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B2B73041-1DA3-4762-A2F0-75F9EAA1F62D}" xr6:coauthVersionLast="47" xr6:coauthVersionMax="47" xr10:uidLastSave="{00000000-0000-0000-0000-000000000000}"/>
  <bookViews>
    <workbookView xWindow="-110" yWindow="-110" windowWidth="19420" windowHeight="10300" tabRatio="943" activeTab="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4" l="1"/>
  <c r="I24" i="44"/>
  <c r="E82" i="57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9" i="51" l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J12" i="56"/>
  <c r="A7" i="51"/>
  <c r="A8" i="51" s="1"/>
  <c r="C656" i="54"/>
  <c r="F75" i="44"/>
  <c r="F76" i="44"/>
  <c r="F71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8" i="44" l="1"/>
  <c r="I71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2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8" i="44"/>
  <c r="I58" i="44"/>
  <c r="H59" i="44"/>
  <c r="I59" i="44"/>
  <c r="H60" i="44"/>
  <c r="I60" i="44"/>
  <c r="H61" i="44"/>
  <c r="H63" i="44"/>
  <c r="I63" i="44"/>
  <c r="A64" i="44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H64" i="44"/>
  <c r="I64" i="44"/>
  <c r="H65" i="44"/>
  <c r="I65" i="44"/>
  <c r="F66" i="44"/>
  <c r="I66" i="44"/>
  <c r="F67" i="44"/>
  <c r="I67" i="44"/>
  <c r="F68" i="44"/>
  <c r="F69" i="44"/>
  <c r="H69" i="44" s="1"/>
  <c r="I69" i="44"/>
  <c r="F70" i="44"/>
  <c r="I70" i="44"/>
  <c r="I72" i="44"/>
  <c r="F73" i="44"/>
  <c r="I73" i="44"/>
  <c r="F74" i="44"/>
  <c r="I74" i="44"/>
  <c r="I75" i="44"/>
  <c r="I76" i="44"/>
  <c r="F77" i="44"/>
  <c r="I77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7" i="44"/>
  <c r="H72" i="44"/>
  <c r="H67" i="44"/>
  <c r="H76" i="44"/>
  <c r="H71" i="44"/>
  <c r="H73" i="44"/>
  <c r="H68" i="44"/>
  <c r="H66" i="44"/>
  <c r="H75" i="44"/>
  <c r="H62" i="44"/>
  <c r="H70" i="44"/>
  <c r="H74" i="44"/>
  <c r="I61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P12" i="56" l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<sst xmlns="http://schemas.openxmlformats.org/spreadsheetml/2006/main" count="6964" uniqueCount="1117">
  <si>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</si>
  <si>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</si>
  <si>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</si>
  <si>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</si>
  <si>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</si>
  <si>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</si>
  <si>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</si>
  <si>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</si>
  <si>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</si>
  <si>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</si>
  <si>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</si>
  <si>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</si>
  <si>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</si>
  <si>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</si>
  <si>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</si>
  <si>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</si>
  <si>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</si>
  <si>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</si>
  <si>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</si>
  <si>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</si>
  <si>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</si>
  <si>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</si>
  <si>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</si>
  <si>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</si>
  <si>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</si>
  <si>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</si>
  <si>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</si>
  <si>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</si>
  <si>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</si>
  <si>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</si>
  <si>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</si>
  <si>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</si>
  <si>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</si>
  <si>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</si>
  <si>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</si>
  <si>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</si>
  <si>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</si>
  <si>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</si>
  <si>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</si>
  <si>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</si>
  <si>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</si>
  <si>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</si>
  <si>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</si>
  <si>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</si>
  <si>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</si>
  <si>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</si>
  <si>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</si>
  <si>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</si>
  <si>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</si>
  <si>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</si>
  <si>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</si>
  <si>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</si>
  <si>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</si>
  <si>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</si>
  <si>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</si>
  <si>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</si>
  <si>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</si>
  <si>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</si>
  <si>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</si>
  <si>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</si>
  <si>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</si>
  <si>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</si>
  <si>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</si>
  <si>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</si>
  <si>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</si>
  <si>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</si>
  <si>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</si>
  <si>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</si>
  <si>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</si>
  <si>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</si>
  <si>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</si>
  <si>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</si>
  <si>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</si>
  <si>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</si>
  <si>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</si>
  <si>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</si>
  <si>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</si>
  <si>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</si>
  <si>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</si>
  <si>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</si>
  <si>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</si>
  <si>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</si>
  <si>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</si>
  <si>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</si>
  <si>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</si>
  <si>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</si>
  <si>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</si>
  <si>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</si>
  <si>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</si>
  <si>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</si>
  <si>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</si>
  <si>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</si>
  <si>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</si>
  <si>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</si>
  <si>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</si>
  <si>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</si>
  <si>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</si>
  <si>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</si>
  <si>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</si>
  <si>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</si>
  <si>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</si>
  <si>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</si>
  <si>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</si>
  <si>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</si>
  <si>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</si>
  <si>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</si>
  <si>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</si>
  <si>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</si>
  <si>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</si>
  <si>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</si>
  <si>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</si>
  <si>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</si>
  <si>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</si>
  <si>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</si>
  <si>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</si>
  <si>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</si>
  <si>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</si>
  <si>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</si>
  <si>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</si>
  <si>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</si>
  <si>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</si>
  <si>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</si>
  <si>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</si>
  <si>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</si>
  <si>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</si>
  <si>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</si>
  <si>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</si>
  <si>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</si>
  <si>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</si>
  <si>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</si>
  <si>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</si>
  <si>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</si>
  <si>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</si>
  <si>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</si>
  <si>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</si>
  <si>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</si>
  <si>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</si>
  <si>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</si>
  <si>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</si>
  <si>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</si>
  <si>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</si>
  <si>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</si>
  <si>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</si>
  <si>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</si>
  <si>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</si>
  <si>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</si>
  <si>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</si>
  <si>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</si>
  <si>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</si>
  <si>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</si>
  <si>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</si>
  <si>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</si>
  <si>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</si>
  <si>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</si>
  <si>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</si>
  <si>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</si>
  <si>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</si>
  <si>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</si>
  <si>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</si>
  <si>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</si>
  <si>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</si>
  <si>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</si>
  <si>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</si>
  <si>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</si>
  <si>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</si>
  <si>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</si>
  <si>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</si>
  <si>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</si>
  <si>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</si>
  <si>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</si>
  <si>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</si>
  <si>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</si>
  <si>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</si>
  <si>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</si>
  <si>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</si>
  <si>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</si>
  <si>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</si>
  <si>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</si>
  <si>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</si>
  <si>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</si>
  <si>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</si>
  <si>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</si>
  <si>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</si>
  <si>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</si>
  <si>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</si>
  <si>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</si>
  <si>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</si>
  <si>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</si>
  <si>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</si>
  <si>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</si>
  <si>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</si>
  <si>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</si>
  <si>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</si>
  <si>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</si>
  <si>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</si>
  <si>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</si>
  <si>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</si>
  <si>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</si>
  <si>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</si>
  <si>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</si>
  <si>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</si>
  <si>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</si>
  <si>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</si>
  <si>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</si>
  <si>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</si>
  <si>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</si>
  <si>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</si>
  <si>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</si>
  <si>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</si>
  <si>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</si>
  <si>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</si>
  <si>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</si>
  <si>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</si>
  <si>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</si>
  <si>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</si>
  <si>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</si>
  <si>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</si>
  <si>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</si>
  <si>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</si>
  <si>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</si>
  <si>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</si>
  <si>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</si>
  <si>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</si>
  <si>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</si>
  <si>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</si>
  <si>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</si>
  <si>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</si>
  <si>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</si>
  <si>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</si>
  <si>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</si>
  <si>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</si>
  <si>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</si>
  <si>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</si>
  <si>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</si>
  <si>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</si>
  <si>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</si>
  <si>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</si>
  <si>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</si>
  <si>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</si>
  <si>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</si>
  <si>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</si>
  <si>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</si>
  <si>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</si>
  <si>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</si>
  <si>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</si>
  <si>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</si>
  <si>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</si>
  <si>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</si>
  <si>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</si>
  <si>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</si>
  <si>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</si>
  <si>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</si>
  <si>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</si>
  <si>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</si>
  <si>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</si>
  <si>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</si>
  <si>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</si>
  <si>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</si>
  <si>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</si>
  <si>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</si>
  <si>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</si>
  <si>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</si>
  <si>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</si>
  <si>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</si>
  <si>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</si>
  <si>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</si>
  <si>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</si>
  <si>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</si>
  <si>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</si>
  <si>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</si>
  <si>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</si>
  <si>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</si>
  <si>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</si>
  <si>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</si>
  <si>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</si>
  <si>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</si>
  <si>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</si>
  <si>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</si>
  <si>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</si>
  <si>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</si>
  <si>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</si>
  <si>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</si>
  <si>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</si>
  <si>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</si>
  <si>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</si>
  <si>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</si>
  <si>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</si>
  <si>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</si>
  <si>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</si>
  <si>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</si>
  <si>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</si>
  <si>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</si>
  <si>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</si>
  <si>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</si>
  <si>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</si>
  <si>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</si>
  <si>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</si>
  <si>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</si>
  <si>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</si>
  <si>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</si>
  <si>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</si>
  <si>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</si>
  <si>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</si>
  <si>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</si>
  <si>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</si>
  <si>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</si>
  <si>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</si>
  <si>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</si>
  <si>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</si>
  <si>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</si>
  <si>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</si>
  <si>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</si>
  <si>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</si>
  <si>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</si>
  <si>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</si>
  <si>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</si>
  <si>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</si>
  <si>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</si>
  <si>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</si>
  <si>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</si>
  <si>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</si>
  <si>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</si>
  <si>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</si>
  <si>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</si>
  <si>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</si>
  <si>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</si>
  <si>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</si>
  <si>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</si>
  <si>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</si>
  <si>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</si>
  <si>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</si>
  <si>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</si>
  <si>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</si>
  <si>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</si>
  <si>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</si>
  <si>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</si>
  <si>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</si>
  <si>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</si>
  <si>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</si>
  <si>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</si>
  <si>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</si>
  <si>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</si>
  <si>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</si>
  <si>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</si>
  <si>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</si>
  <si>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</si>
  <si>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</si>
  <si>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</si>
  <si>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</si>
  <si>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</si>
  <si>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</si>
  <si>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</si>
  <si>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</si>
  <si>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</si>
  <si>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</si>
  <si>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</si>
  <si>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</si>
  <si>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</si>
  <si>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</si>
  <si>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</si>
  <si>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</si>
  <si>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</si>
  <si>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</si>
  <si>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</si>
  <si>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</si>
  <si>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</si>
  <si>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</si>
  <si>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</si>
  <si>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</si>
  <si>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</si>
  <si>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</si>
  <si>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</si>
  <si>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</si>
  <si>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</si>
  <si>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</si>
  <si>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</si>
  <si>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</si>
  <si>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</si>
  <si>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</si>
  <si>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</si>
  <si>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</si>
  <si>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</si>
  <si>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</si>
  <si>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</si>
  <si>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</si>
  <si>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</si>
  <si>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</si>
  <si>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</si>
  <si>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</si>
  <si>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</si>
  <si>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</si>
  <si>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</si>
  <si>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</si>
  <si>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</si>
  <si>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</si>
  <si>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</si>
  <si>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</si>
  <si>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</si>
  <si>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</si>
  <si>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</si>
  <si>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</si>
  <si>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</si>
  <si>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</si>
  <si>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</si>
  <si>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</si>
  <si>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</si>
  <si>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</si>
  <si>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</si>
  <si>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</si>
  <si>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</si>
  <si>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</si>
  <si>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</si>
  <si>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</si>
  <si>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</si>
  <si>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</si>
  <si>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</si>
  <si>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</si>
  <si>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</si>
  <si>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</si>
  <si>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</si>
  <si>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</si>
  <si>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</si>
  <si>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</si>
  <si>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</si>
  <si>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</si>
  <si>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</si>
  <si>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</si>
  <si>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</si>
  <si>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</si>
  <si>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</si>
  <si>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</si>
  <si>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</si>
  <si>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</si>
  <si>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</si>
  <si>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</si>
  <si>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</si>
  <si>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</si>
  <si>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</si>
  <si>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</si>
  <si>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</si>
  <si>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</si>
  <si>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</si>
  <si>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</si>
  <si>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</si>
  <si>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</si>
  <si>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</si>
  <si>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</si>
  <si>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</si>
  <si>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</si>
  <si>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</si>
  <si>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</si>
  <si>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</si>
  <si>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</si>
  <si>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</si>
  <si>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</si>
  <si>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</si>
  <si>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</si>
  <si>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</si>
  <si>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</si>
  <si>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</si>
  <si>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</si>
  <si>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</si>
  <si>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</si>
  <si>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</si>
  <si>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</si>
  <si>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</si>
  <si>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</si>
  <si>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</si>
  <si>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</si>
  <si>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</si>
  <si>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</si>
  <si>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</si>
  <si>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</si>
  <si>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</si>
  <si>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</si>
  <si>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</si>
  <si>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</si>
  <si>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</si>
  <si>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</si>
  <si>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</si>
  <si>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</si>
  <si>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</si>
  <si>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</si>
  <si>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</si>
  <si>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</si>
  <si>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</si>
  <si>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</si>
  <si>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</si>
  <si>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</si>
  <si>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</si>
  <si>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</si>
  <si>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</si>
  <si>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</si>
  <si>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</si>
  <si>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</si>
  <si>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</si>
  <si>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</si>
  <si>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</si>
  <si>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</si>
  <si>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</si>
  <si>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</si>
  <si>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</si>
  <si>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</si>
  <si>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</si>
  <si>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</si>
  <si>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</si>
  <si>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</si>
  <si>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</si>
  <si>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</si>
  <si>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</si>
  <si>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</si>
  <si>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</si>
  <si>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</si>
  <si>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</si>
  <si>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</si>
  <si>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</si>
  <si>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</si>
  <si>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</si>
  <si>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</si>
  <si>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</si>
  <si>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</si>
  <si>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</si>
  <si>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</si>
  <si>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</si>
  <si>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</si>
  <si>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</si>
  <si>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</si>
  <si>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</si>
  <si>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</si>
  <si>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</si>
  <si>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</si>
  <si>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</si>
  <si>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</si>
  <si>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</si>
  <si>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</si>
  <si>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</si>
  <si>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</si>
  <si>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</si>
  <si>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</si>
  <si>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</si>
  <si>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</si>
  <si>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</si>
  <si>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</si>
  <si>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</si>
  <si>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</si>
  <si>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</si>
  <si>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</si>
  <si>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</si>
  <si>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</si>
  <si>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</si>
  <si>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</si>
  <si>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</si>
  <si>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</si>
  <si>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</si>
  <si>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</si>
  <si>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</si>
  <si>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</si>
  <si>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</si>
  <si>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</si>
  <si>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</si>
  <si>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</si>
  <si>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</si>
  <si>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</si>
  <si>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</si>
  <si>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</si>
  <si>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</si>
  <si>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</si>
  <si>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</si>
  <si>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</si>
  <si>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</si>
  <si>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</si>
  <si>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</si>
  <si>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</si>
  <si>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</si>
  <si>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</si>
  <si>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</si>
  <si>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</si>
  <si>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</si>
  <si>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</si>
  <si>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</si>
  <si>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</si>
  <si>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</si>
  <si>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</si>
  <si>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</si>
  <si>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</si>
  <si>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</si>
  <si>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</si>
  <si>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</si>
  <si>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</si>
  <si>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</si>
  <si>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</si>
  <si>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</si>
  <si>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</si>
  <si>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</si>
  <si>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</si>
  <si>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</si>
  <si>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</si>
  <si>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</si>
  <si>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</si>
  <si>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</si>
  <si>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</si>
  <si>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</si>
  <si>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</si>
  <si>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</si>
  <si>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</si>
  <si>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</si>
  <si>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</si>
  <si>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</si>
  <si>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</si>
  <si>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</si>
  <si>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</si>
  <si>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</si>
  <si>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</si>
  <si>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</si>
  <si>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</si>
  <si>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</si>
  <si>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</si>
  <si>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</si>
  <si>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</si>
  <si>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</si>
  <si>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</si>
  <si>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</si>
  <si>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</si>
  <si>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</si>
  <si>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</si>
  <si>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</si>
  <si>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</si>
  <si>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</si>
  <si>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</si>
  <si>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</si>
  <si>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</si>
  <si>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</si>
  <si>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</si>
  <si>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</si>
  <si>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</si>
  <si>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</si>
  <si>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</si>
  <si>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</si>
  <si>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</si>
  <si>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</si>
  <si>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</si>
  <si>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</si>
  <si>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</si>
  <si>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</si>
  <si>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</si>
  <si>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</si>
  <si>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</si>
  <si>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</si>
  <si>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</si>
  <si>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</si>
  <si>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</si>
  <si>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</si>
  <si>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</si>
  <si>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</si>
  <si>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</si>
  <si>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</si>
  <si>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</si>
  <si>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</si>
  <si>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</si>
  <si>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</si>
  <si>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</si>
  <si>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</si>
  <si>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</si>
  <si>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</si>
  <si>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</si>
  <si>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</si>
  <si>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</si>
  <si>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</si>
  <si>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</si>
  <si>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</si>
  <si>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</si>
  <si>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</si>
  <si>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</si>
  <si>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</si>
  <si>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</si>
  <si>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</si>
  <si>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</si>
  <si>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</si>
  <si>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</si>
  <si>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</si>
  <si>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</si>
  <si>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</si>
  <si>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</si>
  <si>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</si>
  <si>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</si>
  <si>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</si>
  <si>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</si>
  <si>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</si>
  <si>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</si>
  <si>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</si>
  <si>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</si>
  <si>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</si>
  <si>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</si>
  <si>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</si>
  <si>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</si>
  <si>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</si>
  <si>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</si>
  <si>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</si>
  <si>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</si>
  <si>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</si>
  <si>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</si>
  <si>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</si>
  <si>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</si>
  <si>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</si>
  <si>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</si>
  <si>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</si>
  <si>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</si>
  <si>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</si>
  <si>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</si>
  <si>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</si>
  <si>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</si>
  <si>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</si>
  <si>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</si>
  <si>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</si>
  <si>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</si>
  <si>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</si>
  <si>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</si>
  <si>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</si>
  <si>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</si>
  <si>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</si>
  <si>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</si>
  <si>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</si>
  <si>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</si>
  <si>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</si>
  <si>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</si>
  <si>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</si>
  <si>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</si>
  <si>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</si>
  <si>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</si>
  <si>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</si>
  <si>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</si>
  <si>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</si>
  <si>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</si>
  <si>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</si>
  <si>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</si>
  <si>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</si>
  <si>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</si>
  <si>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</si>
  <si>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</si>
  <si>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</si>
  <si>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</si>
  <si>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</si>
  <si>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</si>
  <si>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</si>
  <si>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</si>
  <si>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</si>
  <si>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</si>
  <si>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</si>
  <si>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</si>
  <si>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</si>
  <si>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</si>
  <si>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</si>
  <si>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</si>
  <si>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</si>
  <si>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</si>
  <si>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</si>
  <si>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</si>
  <si>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</si>
  <si>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</si>
  <si>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</si>
  <si>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</si>
  <si>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</si>
  <si>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</si>
  <si>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</si>
  <si>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</si>
  <si>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</si>
  <si>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</si>
  <si>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</si>
  <si>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</si>
  <si>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</si>
  <si>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</si>
  <si>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</si>
  <si>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</si>
  <si>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</si>
  <si>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</si>
  <si>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</si>
  <si>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</si>
  <si>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</si>
  <si>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</si>
  <si>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</si>
  <si>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</si>
  <si>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</si>
  <si>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</si>
  <si>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</si>
  <si>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</si>
  <si>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</si>
  <si>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</si>
  <si>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</si>
  <si>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</si>
  <si>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</si>
  <si>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</si>
  <si>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</si>
  <si>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</si>
  <si>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</si>
  <si>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</si>
  <si>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</si>
  <si>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</si>
  <si>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</si>
  <si>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</si>
  <si>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</si>
  <si>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</si>
  <si>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</si>
  <si>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</si>
  <si>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</si>
  <si>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</si>
  <si>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</si>
  <si>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</si>
  <si>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</si>
  <si>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</si>
  <si>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</si>
  <si>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</si>
  <si>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</si>
  <si>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</si>
  <si>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</si>
  <si>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</si>
  <si>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</si>
  <si>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</si>
  <si>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</si>
  <si>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</si>
  <si>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</si>
  <si>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</si>
  <si>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</si>
  <si>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</si>
  <si>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</si>
  <si>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</si>
  <si>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</si>
  <si>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</si>
  <si>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</si>
  <si>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</si>
  <si>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</si>
  <si>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</si>
  <si>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</si>
  <si>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</si>
  <si>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</si>
  <si>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</si>
  <si>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</si>
  <si>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</si>
  <si>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</si>
  <si>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</si>
  <si>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</si>
  <si>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</si>
  <si>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</si>
  <si>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</si>
  <si>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</si>
  <si>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</si>
  <si>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</si>
  <si>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</si>
  <si>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</si>
  <si>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</si>
  <si>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</si>
  <si>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</si>
  <si>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</si>
  <si>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</si>
  <si>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</si>
  <si>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</si>
  <si>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</si>
  <si>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</si>
  <si>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</si>
  <si>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</si>
  <si>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</si>
  <si>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</si>
  <si>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</si>
  <si>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</si>
  <si>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</si>
  <si>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</si>
  <si>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</si>
  <si>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</si>
  <si>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</si>
  <si>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</si>
  <si>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</si>
  <si>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</si>
  <si>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</si>
  <si>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</si>
  <si>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</si>
  <si>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</si>
  <si>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</si>
  <si>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</si>
  <si>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</si>
  <si>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</si>
  <si>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</si>
  <si>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</si>
  <si>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</si>
  <si>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</si>
  <si>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</si>
  <si>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</si>
  <si>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</si>
  <si>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</si>
  <si>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</si>
  <si>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</si>
  <si>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</si>
  <si>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</si>
  <si>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</si>
  <si>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</si>
  <si>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</si>
  <si>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</si>
  <si>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</si>
  <si>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</si>
  <si>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</si>
  <si>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</si>
  <si>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</si>
  <si>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</si>
  <si>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</si>
  <si>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</si>
  <si>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</si>
  <si>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</si>
  <si>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</si>
  <si>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</si>
  <si>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</si>
  <si>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</si>
  <si>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</si>
  <si>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</si>
  <si>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</si>
  <si>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</si>
  <si>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</si>
  <si>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</si>
  <si>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</si>
  <si>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</si>
  <si>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</si>
  <si>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</si>
  <si>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</si>
  <si>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</si>
  <si>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</si>
  <si>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</si>
  <si>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</si>
  <si>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</si>
  <si>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</si>
  <si>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</si>
  <si>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</si>
  <si>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</si>
  <si>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</si>
  <si>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</si>
  <si>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</si>
  <si>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</si>
  <si>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</si>
  <si>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</si>
  <si>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</si>
  <si>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</si>
  <si>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</si>
  <si>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</si>
  <si>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</si>
  <si>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</si>
  <si>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</si>
  <si>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</si>
  <si>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</si>
  <si>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</si>
  <si>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</si>
  <si>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</si>
  <si>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</si>
  <si>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</si>
  <si>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</si>
  <si>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</si>
  <si>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</si>
  <si>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</si>
  <si>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</si>
  <si>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</si>
  <si>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</si>
  <si>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</si>
  <si>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</si>
  <si>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</si>
  <si>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</si>
  <si>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</si>
  <si>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</si>
  <si>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</si>
  <si>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</si>
  <si>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</si>
  <si>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</si>
  <si>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</si>
  <si>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</si>
  <si>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</si>
  <si>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</si>
  <si>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</si>
  <si>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</si>
  <si>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</si>
  <si>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</si>
  <si>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</si>
  <si>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</si>
  <si>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</si>
  <si>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</si>
  <si>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</si>
  <si>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</si>
  <si>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</si>
  <si>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</si>
  <si>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</si>
  <si>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</si>
  <si>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</si>
  <si>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</si>
  <si>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</si>
  <si>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</si>
  <si>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</si>
  <si>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</si>
  <si>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</si>
  <si>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</si>
  <si>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</si>
  <si>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</si>
  <si>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</si>
  <si>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</si>
  <si>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</si>
  <si>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</si>
  <si>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</si>
  <si>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</si>
  <si>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</si>
  <si>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</si>
  <si>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</si>
  <si>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</si>
  <si>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</si>
  <si>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</si>
  <si>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</si>
  <si>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</si>
  <si>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</si>
  <si>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</si>
  <si>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</si>
  <si>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</si>
  <si>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</si>
  <si>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</si>
  <si>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</si>
  <si>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</si>
  <si>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</si>
  <si>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</si>
  <si>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</si>
  <si>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</si>
  <si>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</si>
  <si>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</si>
  <si>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</si>
  <si>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</si>
  <si>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</si>
  <si>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</si>
  <si>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</si>
  <si>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</si>
  <si>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</si>
  <si>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</si>
  <si>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</si>
  <si>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</si>
  <si>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</si>
  <si>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</si>
  <si>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</si>
  <si>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</si>
  <si>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</si>
  <si>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</si>
  <si>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</si>
  <si>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</si>
  <si>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</si>
  <si>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</si>
  <si>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</si>
  <si>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</si>
  <si>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</si>
  <si>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</si>
  <si>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</si>
  <si>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</si>
  <si>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</si>
  <si>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</si>
  <si>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</si>
  <si>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Top Phase Paying out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</si>
  <si>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</si>
  <si>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</si>
  <si>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</si>
  <si>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</si>
  <si>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</si>
  <si>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</si>
  <si>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</si>
  <si>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</si>
  <si>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</si>
  <si>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</si>
  <si>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</si>
  <si>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</si>
  <si>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</si>
  <si>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</si>
  <si>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</si>
  <si>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</si>
  <si>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</si>
  <si>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</si>
  <si>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</si>
  <si>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</si>
  <si>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</si>
  <si>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</si>
  <si>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</si>
  <si>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</si>
  <si>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</si>
  <si>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</si>
  <si>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</si>
  <si>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</si>
  <si>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</si>
  <si>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</si>
  <si>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</si>
  <si>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</si>
  <si>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</si>
  <si>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</si>
  <si>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</si>
  <si>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</si>
  <si>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</si>
  <si>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</si>
  <si>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</si>
  <si>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</si>
  <si>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</si>
  <si>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</si>
  <si>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</si>
  <si>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</si>
  <si>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</si>
  <si>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</si>
  <si>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</si>
  <si>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</si>
  <si>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</si>
  <si>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</si>
  <si>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</si>
  <si>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</si>
  <si>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</si>
  <si>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</si>
  <si>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</si>
  <si>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</si>
  <si>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</si>
  <si>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</si>
  <si>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</si>
  <si>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</si>
  <si>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</si>
  <si>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Gang Mobilized.</t>
  </si>
  <si>
    <t>1 Gang shift to PGCIL site Chatri Narela line.</t>
  </si>
  <si>
    <t>Gang shift to Chatri Narela line on PGCIL request</t>
  </si>
  <si>
    <t>Gang left side for PGCIL request Chatri Narela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</si>
</sst>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165" fontId="6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1" fillId="0" borderId="0"/>
  </cellStyleXfs>
  <cellXfs count="76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quotePrefix="1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74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80" fillId="74" borderId="42" xfId="0" applyFont="1" applyFill="1" applyBorder="1" applyAlignment="1">
      <alignment horizontal="center"/>
    </xf>
    <xf numFmtId="0" fontId="80" fillId="74" borderId="31" xfId="0" applyFont="1" applyFill="1" applyBorder="1" applyAlignment="1">
      <alignment horizontal="center"/>
    </xf>
    <xf numFmtId="0" fontId="80" fillId="74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80" fillId="74" borderId="1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276</v>
          </cell>
          <cell r="Q2">
            <v>168</v>
          </cell>
          <cell r="S2">
            <v>64.714991000000012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H2" sqref="H2"/>
    </sheetView>
  </sheetViews>
  <sheetFormatPr defaultRowHeight="14.5"/>
  <cols>
    <col min="1" max="1" width="11.26953125" bestFit="1" customWidth="1"/>
    <col min="2" max="2" width="46.453125" bestFit="1" customWidth="1"/>
    <col min="3" max="3" width="10.81640625" bestFit="1" customWidth="1"/>
    <col min="4" max="4" width="13.453125" bestFit="1" customWidth="1"/>
    <col min="5" max="5" width="12.1796875" bestFit="1" customWidth="1"/>
    <col min="6" max="6" width="23.54296875" bestFit="1" customWidth="1"/>
    <col min="7" max="7" width="14.26953125" bestFit="1" customWidth="1"/>
    <col min="8" max="8" width="15.81640625" bestFit="1" customWidth="1"/>
    <col min="9" max="9" width="15.1796875" bestFit="1" customWidth="1"/>
    <col min="10" max="10" width="14.54296875" bestFit="1" customWidth="1"/>
    <col min="11" max="11" width="11.8164062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6" t="s">
        <v>401</v>
      </c>
      <c r="C2" s="417" t="s">
        <v>402</v>
      </c>
      <c r="D2" s="418">
        <v>45329</v>
      </c>
      <c r="E2" s="418">
        <v>45967</v>
      </c>
      <c r="F2" s="417" t="s">
        <v>404</v>
      </c>
      <c r="G2" s="417" t="s">
        <v>405</v>
      </c>
      <c r="H2" s="417" t="s">
        <v>406</v>
      </c>
      <c r="I2" s="417" t="s">
        <v>407</v>
      </c>
      <c r="J2" s="417" t="s">
        <v>390</v>
      </c>
      <c r="K2" s="417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7"/>
  <sheetViews>
    <sheetView topLeftCell="D21" zoomScale="70" zoomScaleNormal="70" workbookViewId="0">
      <selection activeCell="J22" sqref="J22"/>
    </sheetView>
  </sheetViews>
  <sheetFormatPr defaultColWidth="9.1796875" defaultRowHeight="14.5"/>
  <cols>
    <col min="1" max="1" width="18.81640625" style="31" customWidth="1"/>
    <col min="2" max="2" width="18.1796875" style="31" customWidth="1"/>
    <col min="3" max="3" width="24.453125" style="31" customWidth="1"/>
    <col min="4" max="4" width="14.54296875" style="31" customWidth="1"/>
    <col min="5" max="5" width="16.81640625" style="31" customWidth="1"/>
    <col min="6" max="6" width="14.1796875" style="31" customWidth="1"/>
    <col min="7" max="7" width="15.54296875" style="31" customWidth="1"/>
    <col min="8" max="8" width="14.81640625" style="31" customWidth="1"/>
    <col min="9" max="9" width="20.453125" style="31" customWidth="1"/>
    <col min="10" max="11" width="24.1796875" style="31" customWidth="1"/>
    <col min="12" max="12" width="34.453125" style="31" customWidth="1"/>
    <col min="13" max="13" width="35.81640625" style="31" customWidth="1"/>
    <col min="14" max="14" width="11.81640625" style="31" customWidth="1"/>
    <col min="15" max="15" width="42.54296875" style="31" customWidth="1"/>
    <col min="16" max="16" width="27.453125" style="31" customWidth="1"/>
    <col min="17" max="256" width="9.1796875" style="31"/>
    <col min="257" max="257" width="17.453125" style="31" customWidth="1"/>
    <col min="258" max="258" width="13.81640625" style="31" customWidth="1"/>
    <col min="259" max="259" width="16.1796875" style="31" customWidth="1"/>
    <col min="260" max="260" width="13" style="31" customWidth="1"/>
    <col min="261" max="261" width="11.1796875" style="31" customWidth="1"/>
    <col min="262" max="262" width="11.81640625" style="31" customWidth="1"/>
    <col min="263" max="263" width="14.81640625" style="31" customWidth="1"/>
    <col min="264" max="264" width="11.81640625" style="31" customWidth="1"/>
    <col min="265" max="265" width="20.54296875" style="31" customWidth="1"/>
    <col min="266" max="266" width="12.54296875" style="31" customWidth="1"/>
    <col min="267" max="267" width="14.54296875" style="31" customWidth="1"/>
    <col min="268" max="268" width="34.453125" style="31" customWidth="1"/>
    <col min="269" max="269" width="10.54296875" style="31" customWidth="1"/>
    <col min="270" max="270" width="9.1796875" style="31"/>
    <col min="271" max="271" width="26.453125" style="31" customWidth="1"/>
    <col min="272" max="272" width="27.453125" style="31" customWidth="1"/>
    <col min="273" max="512" width="9.1796875" style="31"/>
    <col min="513" max="513" width="17.453125" style="31" customWidth="1"/>
    <col min="514" max="514" width="13.81640625" style="31" customWidth="1"/>
    <col min="515" max="515" width="16.1796875" style="31" customWidth="1"/>
    <col min="516" max="516" width="13" style="31" customWidth="1"/>
    <col min="517" max="517" width="11.1796875" style="31" customWidth="1"/>
    <col min="518" max="518" width="11.81640625" style="31" customWidth="1"/>
    <col min="519" max="519" width="14.81640625" style="31" customWidth="1"/>
    <col min="520" max="520" width="11.81640625" style="31" customWidth="1"/>
    <col min="521" max="521" width="20.54296875" style="31" customWidth="1"/>
    <col min="522" max="522" width="12.54296875" style="31" customWidth="1"/>
    <col min="523" max="523" width="14.54296875" style="31" customWidth="1"/>
    <col min="524" max="524" width="34.453125" style="31" customWidth="1"/>
    <col min="525" max="525" width="10.54296875" style="31" customWidth="1"/>
    <col min="526" max="526" width="9.1796875" style="31"/>
    <col min="527" max="527" width="26.453125" style="31" customWidth="1"/>
    <col min="528" max="528" width="27.453125" style="31" customWidth="1"/>
    <col min="529" max="768" width="9.1796875" style="31"/>
    <col min="769" max="769" width="17.453125" style="31" customWidth="1"/>
    <col min="770" max="770" width="13.81640625" style="31" customWidth="1"/>
    <col min="771" max="771" width="16.1796875" style="31" customWidth="1"/>
    <col min="772" max="772" width="13" style="31" customWidth="1"/>
    <col min="773" max="773" width="11.1796875" style="31" customWidth="1"/>
    <col min="774" max="774" width="11.81640625" style="31" customWidth="1"/>
    <col min="775" max="775" width="14.81640625" style="31" customWidth="1"/>
    <col min="776" max="776" width="11.81640625" style="31" customWidth="1"/>
    <col min="777" max="777" width="20.54296875" style="31" customWidth="1"/>
    <col min="778" max="778" width="12.54296875" style="31" customWidth="1"/>
    <col min="779" max="779" width="14.54296875" style="31" customWidth="1"/>
    <col min="780" max="780" width="34.453125" style="31" customWidth="1"/>
    <col min="781" max="781" width="10.54296875" style="31" customWidth="1"/>
    <col min="782" max="782" width="9.1796875" style="31"/>
    <col min="783" max="783" width="26.453125" style="31" customWidth="1"/>
    <col min="784" max="784" width="27.453125" style="31" customWidth="1"/>
    <col min="785" max="1024" width="9.1796875" style="31"/>
    <col min="1025" max="1025" width="17.453125" style="31" customWidth="1"/>
    <col min="1026" max="1026" width="13.81640625" style="31" customWidth="1"/>
    <col min="1027" max="1027" width="16.1796875" style="31" customWidth="1"/>
    <col min="1028" max="1028" width="13" style="31" customWidth="1"/>
    <col min="1029" max="1029" width="11.1796875" style="31" customWidth="1"/>
    <col min="1030" max="1030" width="11.81640625" style="31" customWidth="1"/>
    <col min="1031" max="1031" width="14.81640625" style="31" customWidth="1"/>
    <col min="1032" max="1032" width="11.81640625" style="31" customWidth="1"/>
    <col min="1033" max="1033" width="20.54296875" style="31" customWidth="1"/>
    <col min="1034" max="1034" width="12.54296875" style="31" customWidth="1"/>
    <col min="1035" max="1035" width="14.54296875" style="31" customWidth="1"/>
    <col min="1036" max="1036" width="34.453125" style="31" customWidth="1"/>
    <col min="1037" max="1037" width="10.54296875" style="31" customWidth="1"/>
    <col min="1038" max="1038" width="9.1796875" style="31"/>
    <col min="1039" max="1039" width="26.453125" style="31" customWidth="1"/>
    <col min="1040" max="1040" width="27.453125" style="31" customWidth="1"/>
    <col min="1041" max="1280" width="9.1796875" style="31"/>
    <col min="1281" max="1281" width="17.453125" style="31" customWidth="1"/>
    <col min="1282" max="1282" width="13.81640625" style="31" customWidth="1"/>
    <col min="1283" max="1283" width="16.1796875" style="31" customWidth="1"/>
    <col min="1284" max="1284" width="13" style="31" customWidth="1"/>
    <col min="1285" max="1285" width="11.1796875" style="31" customWidth="1"/>
    <col min="1286" max="1286" width="11.81640625" style="31" customWidth="1"/>
    <col min="1287" max="1287" width="14.81640625" style="31" customWidth="1"/>
    <col min="1288" max="1288" width="11.81640625" style="31" customWidth="1"/>
    <col min="1289" max="1289" width="20.54296875" style="31" customWidth="1"/>
    <col min="1290" max="1290" width="12.54296875" style="31" customWidth="1"/>
    <col min="1291" max="1291" width="14.54296875" style="31" customWidth="1"/>
    <col min="1292" max="1292" width="34.453125" style="31" customWidth="1"/>
    <col min="1293" max="1293" width="10.54296875" style="31" customWidth="1"/>
    <col min="1294" max="1294" width="9.1796875" style="31"/>
    <col min="1295" max="1295" width="26.453125" style="31" customWidth="1"/>
    <col min="1296" max="1296" width="27.453125" style="31" customWidth="1"/>
    <col min="1297" max="1536" width="9.1796875" style="31"/>
    <col min="1537" max="1537" width="17.453125" style="31" customWidth="1"/>
    <col min="1538" max="1538" width="13.81640625" style="31" customWidth="1"/>
    <col min="1539" max="1539" width="16.1796875" style="31" customWidth="1"/>
    <col min="1540" max="1540" width="13" style="31" customWidth="1"/>
    <col min="1541" max="1541" width="11.1796875" style="31" customWidth="1"/>
    <col min="1542" max="1542" width="11.81640625" style="31" customWidth="1"/>
    <col min="1543" max="1543" width="14.81640625" style="31" customWidth="1"/>
    <col min="1544" max="1544" width="11.81640625" style="31" customWidth="1"/>
    <col min="1545" max="1545" width="20.54296875" style="31" customWidth="1"/>
    <col min="1546" max="1546" width="12.54296875" style="31" customWidth="1"/>
    <col min="1547" max="1547" width="14.54296875" style="31" customWidth="1"/>
    <col min="1548" max="1548" width="34.453125" style="31" customWidth="1"/>
    <col min="1549" max="1549" width="10.54296875" style="31" customWidth="1"/>
    <col min="1550" max="1550" width="9.1796875" style="31"/>
    <col min="1551" max="1551" width="26.453125" style="31" customWidth="1"/>
    <col min="1552" max="1552" width="27.453125" style="31" customWidth="1"/>
    <col min="1553" max="1792" width="9.1796875" style="31"/>
    <col min="1793" max="1793" width="17.453125" style="31" customWidth="1"/>
    <col min="1794" max="1794" width="13.81640625" style="31" customWidth="1"/>
    <col min="1795" max="1795" width="16.1796875" style="31" customWidth="1"/>
    <col min="1796" max="1796" width="13" style="31" customWidth="1"/>
    <col min="1797" max="1797" width="11.1796875" style="31" customWidth="1"/>
    <col min="1798" max="1798" width="11.81640625" style="31" customWidth="1"/>
    <col min="1799" max="1799" width="14.81640625" style="31" customWidth="1"/>
    <col min="1800" max="1800" width="11.81640625" style="31" customWidth="1"/>
    <col min="1801" max="1801" width="20.54296875" style="31" customWidth="1"/>
    <col min="1802" max="1802" width="12.54296875" style="31" customWidth="1"/>
    <col min="1803" max="1803" width="14.54296875" style="31" customWidth="1"/>
    <col min="1804" max="1804" width="34.453125" style="31" customWidth="1"/>
    <col min="1805" max="1805" width="10.54296875" style="31" customWidth="1"/>
    <col min="1806" max="1806" width="9.1796875" style="31"/>
    <col min="1807" max="1807" width="26.453125" style="31" customWidth="1"/>
    <col min="1808" max="1808" width="27.453125" style="31" customWidth="1"/>
    <col min="1809" max="2048" width="9.1796875" style="31"/>
    <col min="2049" max="2049" width="17.453125" style="31" customWidth="1"/>
    <col min="2050" max="2050" width="13.81640625" style="31" customWidth="1"/>
    <col min="2051" max="2051" width="16.1796875" style="31" customWidth="1"/>
    <col min="2052" max="2052" width="13" style="31" customWidth="1"/>
    <col min="2053" max="2053" width="11.1796875" style="31" customWidth="1"/>
    <col min="2054" max="2054" width="11.81640625" style="31" customWidth="1"/>
    <col min="2055" max="2055" width="14.81640625" style="31" customWidth="1"/>
    <col min="2056" max="2056" width="11.81640625" style="31" customWidth="1"/>
    <col min="2057" max="2057" width="20.54296875" style="31" customWidth="1"/>
    <col min="2058" max="2058" width="12.54296875" style="31" customWidth="1"/>
    <col min="2059" max="2059" width="14.54296875" style="31" customWidth="1"/>
    <col min="2060" max="2060" width="34.453125" style="31" customWidth="1"/>
    <col min="2061" max="2061" width="10.54296875" style="31" customWidth="1"/>
    <col min="2062" max="2062" width="9.1796875" style="31"/>
    <col min="2063" max="2063" width="26.453125" style="31" customWidth="1"/>
    <col min="2064" max="2064" width="27.453125" style="31" customWidth="1"/>
    <col min="2065" max="2304" width="9.1796875" style="31"/>
    <col min="2305" max="2305" width="17.453125" style="31" customWidth="1"/>
    <col min="2306" max="2306" width="13.81640625" style="31" customWidth="1"/>
    <col min="2307" max="2307" width="16.1796875" style="31" customWidth="1"/>
    <col min="2308" max="2308" width="13" style="31" customWidth="1"/>
    <col min="2309" max="2309" width="11.1796875" style="31" customWidth="1"/>
    <col min="2310" max="2310" width="11.81640625" style="31" customWidth="1"/>
    <col min="2311" max="2311" width="14.81640625" style="31" customWidth="1"/>
    <col min="2312" max="2312" width="11.81640625" style="31" customWidth="1"/>
    <col min="2313" max="2313" width="20.54296875" style="31" customWidth="1"/>
    <col min="2314" max="2314" width="12.54296875" style="31" customWidth="1"/>
    <col min="2315" max="2315" width="14.54296875" style="31" customWidth="1"/>
    <col min="2316" max="2316" width="34.453125" style="31" customWidth="1"/>
    <col min="2317" max="2317" width="10.54296875" style="31" customWidth="1"/>
    <col min="2318" max="2318" width="9.1796875" style="31"/>
    <col min="2319" max="2319" width="26.453125" style="31" customWidth="1"/>
    <col min="2320" max="2320" width="27.453125" style="31" customWidth="1"/>
    <col min="2321" max="2560" width="9.1796875" style="31"/>
    <col min="2561" max="2561" width="17.453125" style="31" customWidth="1"/>
    <col min="2562" max="2562" width="13.81640625" style="31" customWidth="1"/>
    <col min="2563" max="2563" width="16.1796875" style="31" customWidth="1"/>
    <col min="2564" max="2564" width="13" style="31" customWidth="1"/>
    <col min="2565" max="2565" width="11.1796875" style="31" customWidth="1"/>
    <col min="2566" max="2566" width="11.81640625" style="31" customWidth="1"/>
    <col min="2567" max="2567" width="14.81640625" style="31" customWidth="1"/>
    <col min="2568" max="2568" width="11.81640625" style="31" customWidth="1"/>
    <col min="2569" max="2569" width="20.54296875" style="31" customWidth="1"/>
    <col min="2570" max="2570" width="12.54296875" style="31" customWidth="1"/>
    <col min="2571" max="2571" width="14.54296875" style="31" customWidth="1"/>
    <col min="2572" max="2572" width="34.453125" style="31" customWidth="1"/>
    <col min="2573" max="2573" width="10.54296875" style="31" customWidth="1"/>
    <col min="2574" max="2574" width="9.1796875" style="31"/>
    <col min="2575" max="2575" width="26.453125" style="31" customWidth="1"/>
    <col min="2576" max="2576" width="27.453125" style="31" customWidth="1"/>
    <col min="2577" max="2816" width="9.1796875" style="31"/>
    <col min="2817" max="2817" width="17.453125" style="31" customWidth="1"/>
    <col min="2818" max="2818" width="13.81640625" style="31" customWidth="1"/>
    <col min="2819" max="2819" width="16.1796875" style="31" customWidth="1"/>
    <col min="2820" max="2820" width="13" style="31" customWidth="1"/>
    <col min="2821" max="2821" width="11.1796875" style="31" customWidth="1"/>
    <col min="2822" max="2822" width="11.81640625" style="31" customWidth="1"/>
    <col min="2823" max="2823" width="14.81640625" style="31" customWidth="1"/>
    <col min="2824" max="2824" width="11.81640625" style="31" customWidth="1"/>
    <col min="2825" max="2825" width="20.54296875" style="31" customWidth="1"/>
    <col min="2826" max="2826" width="12.54296875" style="31" customWidth="1"/>
    <col min="2827" max="2827" width="14.54296875" style="31" customWidth="1"/>
    <col min="2828" max="2828" width="34.453125" style="31" customWidth="1"/>
    <col min="2829" max="2829" width="10.54296875" style="31" customWidth="1"/>
    <col min="2830" max="2830" width="9.1796875" style="31"/>
    <col min="2831" max="2831" width="26.453125" style="31" customWidth="1"/>
    <col min="2832" max="2832" width="27.453125" style="31" customWidth="1"/>
    <col min="2833" max="3072" width="9.1796875" style="31"/>
    <col min="3073" max="3073" width="17.453125" style="31" customWidth="1"/>
    <col min="3074" max="3074" width="13.81640625" style="31" customWidth="1"/>
    <col min="3075" max="3075" width="16.1796875" style="31" customWidth="1"/>
    <col min="3076" max="3076" width="13" style="31" customWidth="1"/>
    <col min="3077" max="3077" width="11.1796875" style="31" customWidth="1"/>
    <col min="3078" max="3078" width="11.81640625" style="31" customWidth="1"/>
    <col min="3079" max="3079" width="14.81640625" style="31" customWidth="1"/>
    <col min="3080" max="3080" width="11.81640625" style="31" customWidth="1"/>
    <col min="3081" max="3081" width="20.54296875" style="31" customWidth="1"/>
    <col min="3082" max="3082" width="12.54296875" style="31" customWidth="1"/>
    <col min="3083" max="3083" width="14.54296875" style="31" customWidth="1"/>
    <col min="3084" max="3084" width="34.453125" style="31" customWidth="1"/>
    <col min="3085" max="3085" width="10.54296875" style="31" customWidth="1"/>
    <col min="3086" max="3086" width="9.1796875" style="31"/>
    <col min="3087" max="3087" width="26.453125" style="31" customWidth="1"/>
    <col min="3088" max="3088" width="27.453125" style="31" customWidth="1"/>
    <col min="3089" max="3328" width="9.1796875" style="31"/>
    <col min="3329" max="3329" width="17.453125" style="31" customWidth="1"/>
    <col min="3330" max="3330" width="13.81640625" style="31" customWidth="1"/>
    <col min="3331" max="3331" width="16.1796875" style="31" customWidth="1"/>
    <col min="3332" max="3332" width="13" style="31" customWidth="1"/>
    <col min="3333" max="3333" width="11.1796875" style="31" customWidth="1"/>
    <col min="3334" max="3334" width="11.81640625" style="31" customWidth="1"/>
    <col min="3335" max="3335" width="14.81640625" style="31" customWidth="1"/>
    <col min="3336" max="3336" width="11.81640625" style="31" customWidth="1"/>
    <col min="3337" max="3337" width="20.54296875" style="31" customWidth="1"/>
    <col min="3338" max="3338" width="12.54296875" style="31" customWidth="1"/>
    <col min="3339" max="3339" width="14.54296875" style="31" customWidth="1"/>
    <col min="3340" max="3340" width="34.453125" style="31" customWidth="1"/>
    <col min="3341" max="3341" width="10.54296875" style="31" customWidth="1"/>
    <col min="3342" max="3342" width="9.1796875" style="31"/>
    <col min="3343" max="3343" width="26.453125" style="31" customWidth="1"/>
    <col min="3344" max="3344" width="27.453125" style="31" customWidth="1"/>
    <col min="3345" max="3584" width="9.1796875" style="31"/>
    <col min="3585" max="3585" width="17.453125" style="31" customWidth="1"/>
    <col min="3586" max="3586" width="13.81640625" style="31" customWidth="1"/>
    <col min="3587" max="3587" width="16.1796875" style="31" customWidth="1"/>
    <col min="3588" max="3588" width="13" style="31" customWidth="1"/>
    <col min="3589" max="3589" width="11.1796875" style="31" customWidth="1"/>
    <col min="3590" max="3590" width="11.81640625" style="31" customWidth="1"/>
    <col min="3591" max="3591" width="14.81640625" style="31" customWidth="1"/>
    <col min="3592" max="3592" width="11.81640625" style="31" customWidth="1"/>
    <col min="3593" max="3593" width="20.54296875" style="31" customWidth="1"/>
    <col min="3594" max="3594" width="12.54296875" style="31" customWidth="1"/>
    <col min="3595" max="3595" width="14.54296875" style="31" customWidth="1"/>
    <col min="3596" max="3596" width="34.453125" style="31" customWidth="1"/>
    <col min="3597" max="3597" width="10.54296875" style="31" customWidth="1"/>
    <col min="3598" max="3598" width="9.1796875" style="31"/>
    <col min="3599" max="3599" width="26.453125" style="31" customWidth="1"/>
    <col min="3600" max="3600" width="27.453125" style="31" customWidth="1"/>
    <col min="3601" max="3840" width="9.1796875" style="31"/>
    <col min="3841" max="3841" width="17.453125" style="31" customWidth="1"/>
    <col min="3842" max="3842" width="13.81640625" style="31" customWidth="1"/>
    <col min="3843" max="3843" width="16.1796875" style="31" customWidth="1"/>
    <col min="3844" max="3844" width="13" style="31" customWidth="1"/>
    <col min="3845" max="3845" width="11.1796875" style="31" customWidth="1"/>
    <col min="3846" max="3846" width="11.81640625" style="31" customWidth="1"/>
    <col min="3847" max="3847" width="14.81640625" style="31" customWidth="1"/>
    <col min="3848" max="3848" width="11.81640625" style="31" customWidth="1"/>
    <col min="3849" max="3849" width="20.54296875" style="31" customWidth="1"/>
    <col min="3850" max="3850" width="12.54296875" style="31" customWidth="1"/>
    <col min="3851" max="3851" width="14.54296875" style="31" customWidth="1"/>
    <col min="3852" max="3852" width="34.453125" style="31" customWidth="1"/>
    <col min="3853" max="3853" width="10.54296875" style="31" customWidth="1"/>
    <col min="3854" max="3854" width="9.1796875" style="31"/>
    <col min="3855" max="3855" width="26.453125" style="31" customWidth="1"/>
    <col min="3856" max="3856" width="27.453125" style="31" customWidth="1"/>
    <col min="3857" max="4096" width="9.1796875" style="31"/>
    <col min="4097" max="4097" width="17.453125" style="31" customWidth="1"/>
    <col min="4098" max="4098" width="13.81640625" style="31" customWidth="1"/>
    <col min="4099" max="4099" width="16.1796875" style="31" customWidth="1"/>
    <col min="4100" max="4100" width="13" style="31" customWidth="1"/>
    <col min="4101" max="4101" width="11.1796875" style="31" customWidth="1"/>
    <col min="4102" max="4102" width="11.81640625" style="31" customWidth="1"/>
    <col min="4103" max="4103" width="14.81640625" style="31" customWidth="1"/>
    <col min="4104" max="4104" width="11.81640625" style="31" customWidth="1"/>
    <col min="4105" max="4105" width="20.54296875" style="31" customWidth="1"/>
    <col min="4106" max="4106" width="12.54296875" style="31" customWidth="1"/>
    <col min="4107" max="4107" width="14.54296875" style="31" customWidth="1"/>
    <col min="4108" max="4108" width="34.453125" style="31" customWidth="1"/>
    <col min="4109" max="4109" width="10.54296875" style="31" customWidth="1"/>
    <col min="4110" max="4110" width="9.1796875" style="31"/>
    <col min="4111" max="4111" width="26.453125" style="31" customWidth="1"/>
    <col min="4112" max="4112" width="27.453125" style="31" customWidth="1"/>
    <col min="4113" max="4352" width="9.1796875" style="31"/>
    <col min="4353" max="4353" width="17.453125" style="31" customWidth="1"/>
    <col min="4354" max="4354" width="13.81640625" style="31" customWidth="1"/>
    <col min="4355" max="4355" width="16.1796875" style="31" customWidth="1"/>
    <col min="4356" max="4356" width="13" style="31" customWidth="1"/>
    <col min="4357" max="4357" width="11.1796875" style="31" customWidth="1"/>
    <col min="4358" max="4358" width="11.81640625" style="31" customWidth="1"/>
    <col min="4359" max="4359" width="14.81640625" style="31" customWidth="1"/>
    <col min="4360" max="4360" width="11.81640625" style="31" customWidth="1"/>
    <col min="4361" max="4361" width="20.54296875" style="31" customWidth="1"/>
    <col min="4362" max="4362" width="12.54296875" style="31" customWidth="1"/>
    <col min="4363" max="4363" width="14.54296875" style="31" customWidth="1"/>
    <col min="4364" max="4364" width="34.453125" style="31" customWidth="1"/>
    <col min="4365" max="4365" width="10.54296875" style="31" customWidth="1"/>
    <col min="4366" max="4366" width="9.1796875" style="31"/>
    <col min="4367" max="4367" width="26.453125" style="31" customWidth="1"/>
    <col min="4368" max="4368" width="27.453125" style="31" customWidth="1"/>
    <col min="4369" max="4608" width="9.1796875" style="31"/>
    <col min="4609" max="4609" width="17.453125" style="31" customWidth="1"/>
    <col min="4610" max="4610" width="13.81640625" style="31" customWidth="1"/>
    <col min="4611" max="4611" width="16.1796875" style="31" customWidth="1"/>
    <col min="4612" max="4612" width="13" style="31" customWidth="1"/>
    <col min="4613" max="4613" width="11.1796875" style="31" customWidth="1"/>
    <col min="4614" max="4614" width="11.81640625" style="31" customWidth="1"/>
    <col min="4615" max="4615" width="14.81640625" style="31" customWidth="1"/>
    <col min="4616" max="4616" width="11.81640625" style="31" customWidth="1"/>
    <col min="4617" max="4617" width="20.54296875" style="31" customWidth="1"/>
    <col min="4618" max="4618" width="12.54296875" style="31" customWidth="1"/>
    <col min="4619" max="4619" width="14.54296875" style="31" customWidth="1"/>
    <col min="4620" max="4620" width="34.453125" style="31" customWidth="1"/>
    <col min="4621" max="4621" width="10.54296875" style="31" customWidth="1"/>
    <col min="4622" max="4622" width="9.1796875" style="31"/>
    <col min="4623" max="4623" width="26.453125" style="31" customWidth="1"/>
    <col min="4624" max="4624" width="27.453125" style="31" customWidth="1"/>
    <col min="4625" max="4864" width="9.1796875" style="31"/>
    <col min="4865" max="4865" width="17.453125" style="31" customWidth="1"/>
    <col min="4866" max="4866" width="13.81640625" style="31" customWidth="1"/>
    <col min="4867" max="4867" width="16.1796875" style="31" customWidth="1"/>
    <col min="4868" max="4868" width="13" style="31" customWidth="1"/>
    <col min="4869" max="4869" width="11.1796875" style="31" customWidth="1"/>
    <col min="4870" max="4870" width="11.81640625" style="31" customWidth="1"/>
    <col min="4871" max="4871" width="14.81640625" style="31" customWidth="1"/>
    <col min="4872" max="4872" width="11.81640625" style="31" customWidth="1"/>
    <col min="4873" max="4873" width="20.54296875" style="31" customWidth="1"/>
    <col min="4874" max="4874" width="12.54296875" style="31" customWidth="1"/>
    <col min="4875" max="4875" width="14.54296875" style="31" customWidth="1"/>
    <col min="4876" max="4876" width="34.453125" style="31" customWidth="1"/>
    <col min="4877" max="4877" width="10.54296875" style="31" customWidth="1"/>
    <col min="4878" max="4878" width="9.1796875" style="31"/>
    <col min="4879" max="4879" width="26.453125" style="31" customWidth="1"/>
    <col min="4880" max="4880" width="27.453125" style="31" customWidth="1"/>
    <col min="4881" max="5120" width="9.1796875" style="31"/>
    <col min="5121" max="5121" width="17.453125" style="31" customWidth="1"/>
    <col min="5122" max="5122" width="13.81640625" style="31" customWidth="1"/>
    <col min="5123" max="5123" width="16.1796875" style="31" customWidth="1"/>
    <col min="5124" max="5124" width="13" style="31" customWidth="1"/>
    <col min="5125" max="5125" width="11.1796875" style="31" customWidth="1"/>
    <col min="5126" max="5126" width="11.81640625" style="31" customWidth="1"/>
    <col min="5127" max="5127" width="14.81640625" style="31" customWidth="1"/>
    <col min="5128" max="5128" width="11.81640625" style="31" customWidth="1"/>
    <col min="5129" max="5129" width="20.54296875" style="31" customWidth="1"/>
    <col min="5130" max="5130" width="12.54296875" style="31" customWidth="1"/>
    <col min="5131" max="5131" width="14.54296875" style="31" customWidth="1"/>
    <col min="5132" max="5132" width="34.453125" style="31" customWidth="1"/>
    <col min="5133" max="5133" width="10.54296875" style="31" customWidth="1"/>
    <col min="5134" max="5134" width="9.1796875" style="31"/>
    <col min="5135" max="5135" width="26.453125" style="31" customWidth="1"/>
    <col min="5136" max="5136" width="27.453125" style="31" customWidth="1"/>
    <col min="5137" max="5376" width="9.1796875" style="31"/>
    <col min="5377" max="5377" width="17.453125" style="31" customWidth="1"/>
    <col min="5378" max="5378" width="13.81640625" style="31" customWidth="1"/>
    <col min="5379" max="5379" width="16.1796875" style="31" customWidth="1"/>
    <col min="5380" max="5380" width="13" style="31" customWidth="1"/>
    <col min="5381" max="5381" width="11.1796875" style="31" customWidth="1"/>
    <col min="5382" max="5382" width="11.81640625" style="31" customWidth="1"/>
    <col min="5383" max="5383" width="14.81640625" style="31" customWidth="1"/>
    <col min="5384" max="5384" width="11.81640625" style="31" customWidth="1"/>
    <col min="5385" max="5385" width="20.54296875" style="31" customWidth="1"/>
    <col min="5386" max="5386" width="12.54296875" style="31" customWidth="1"/>
    <col min="5387" max="5387" width="14.54296875" style="31" customWidth="1"/>
    <col min="5388" max="5388" width="34.453125" style="31" customWidth="1"/>
    <col min="5389" max="5389" width="10.54296875" style="31" customWidth="1"/>
    <col min="5390" max="5390" width="9.1796875" style="31"/>
    <col min="5391" max="5391" width="26.453125" style="31" customWidth="1"/>
    <col min="5392" max="5392" width="27.453125" style="31" customWidth="1"/>
    <col min="5393" max="5632" width="9.1796875" style="31"/>
    <col min="5633" max="5633" width="17.453125" style="31" customWidth="1"/>
    <col min="5634" max="5634" width="13.81640625" style="31" customWidth="1"/>
    <col min="5635" max="5635" width="16.1796875" style="31" customWidth="1"/>
    <col min="5636" max="5636" width="13" style="31" customWidth="1"/>
    <col min="5637" max="5637" width="11.1796875" style="31" customWidth="1"/>
    <col min="5638" max="5638" width="11.81640625" style="31" customWidth="1"/>
    <col min="5639" max="5639" width="14.81640625" style="31" customWidth="1"/>
    <col min="5640" max="5640" width="11.81640625" style="31" customWidth="1"/>
    <col min="5641" max="5641" width="20.54296875" style="31" customWidth="1"/>
    <col min="5642" max="5642" width="12.54296875" style="31" customWidth="1"/>
    <col min="5643" max="5643" width="14.54296875" style="31" customWidth="1"/>
    <col min="5644" max="5644" width="34.453125" style="31" customWidth="1"/>
    <col min="5645" max="5645" width="10.54296875" style="31" customWidth="1"/>
    <col min="5646" max="5646" width="9.1796875" style="31"/>
    <col min="5647" max="5647" width="26.453125" style="31" customWidth="1"/>
    <col min="5648" max="5648" width="27.453125" style="31" customWidth="1"/>
    <col min="5649" max="5888" width="9.1796875" style="31"/>
    <col min="5889" max="5889" width="17.453125" style="31" customWidth="1"/>
    <col min="5890" max="5890" width="13.81640625" style="31" customWidth="1"/>
    <col min="5891" max="5891" width="16.1796875" style="31" customWidth="1"/>
    <col min="5892" max="5892" width="13" style="31" customWidth="1"/>
    <col min="5893" max="5893" width="11.1796875" style="31" customWidth="1"/>
    <col min="5894" max="5894" width="11.81640625" style="31" customWidth="1"/>
    <col min="5895" max="5895" width="14.81640625" style="31" customWidth="1"/>
    <col min="5896" max="5896" width="11.81640625" style="31" customWidth="1"/>
    <col min="5897" max="5897" width="20.54296875" style="31" customWidth="1"/>
    <col min="5898" max="5898" width="12.54296875" style="31" customWidth="1"/>
    <col min="5899" max="5899" width="14.54296875" style="31" customWidth="1"/>
    <col min="5900" max="5900" width="34.453125" style="31" customWidth="1"/>
    <col min="5901" max="5901" width="10.54296875" style="31" customWidth="1"/>
    <col min="5902" max="5902" width="9.1796875" style="31"/>
    <col min="5903" max="5903" width="26.453125" style="31" customWidth="1"/>
    <col min="5904" max="5904" width="27.453125" style="31" customWidth="1"/>
    <col min="5905" max="6144" width="9.1796875" style="31"/>
    <col min="6145" max="6145" width="17.453125" style="31" customWidth="1"/>
    <col min="6146" max="6146" width="13.81640625" style="31" customWidth="1"/>
    <col min="6147" max="6147" width="16.1796875" style="31" customWidth="1"/>
    <col min="6148" max="6148" width="13" style="31" customWidth="1"/>
    <col min="6149" max="6149" width="11.1796875" style="31" customWidth="1"/>
    <col min="6150" max="6150" width="11.81640625" style="31" customWidth="1"/>
    <col min="6151" max="6151" width="14.81640625" style="31" customWidth="1"/>
    <col min="6152" max="6152" width="11.81640625" style="31" customWidth="1"/>
    <col min="6153" max="6153" width="20.54296875" style="31" customWidth="1"/>
    <col min="6154" max="6154" width="12.54296875" style="31" customWidth="1"/>
    <col min="6155" max="6155" width="14.54296875" style="31" customWidth="1"/>
    <col min="6156" max="6156" width="34.453125" style="31" customWidth="1"/>
    <col min="6157" max="6157" width="10.54296875" style="31" customWidth="1"/>
    <col min="6158" max="6158" width="9.1796875" style="31"/>
    <col min="6159" max="6159" width="26.453125" style="31" customWidth="1"/>
    <col min="6160" max="6160" width="27.453125" style="31" customWidth="1"/>
    <col min="6161" max="6400" width="9.1796875" style="31"/>
    <col min="6401" max="6401" width="17.453125" style="31" customWidth="1"/>
    <col min="6402" max="6402" width="13.81640625" style="31" customWidth="1"/>
    <col min="6403" max="6403" width="16.1796875" style="31" customWidth="1"/>
    <col min="6404" max="6404" width="13" style="31" customWidth="1"/>
    <col min="6405" max="6405" width="11.1796875" style="31" customWidth="1"/>
    <col min="6406" max="6406" width="11.81640625" style="31" customWidth="1"/>
    <col min="6407" max="6407" width="14.81640625" style="31" customWidth="1"/>
    <col min="6408" max="6408" width="11.81640625" style="31" customWidth="1"/>
    <col min="6409" max="6409" width="20.54296875" style="31" customWidth="1"/>
    <col min="6410" max="6410" width="12.54296875" style="31" customWidth="1"/>
    <col min="6411" max="6411" width="14.54296875" style="31" customWidth="1"/>
    <col min="6412" max="6412" width="34.453125" style="31" customWidth="1"/>
    <col min="6413" max="6413" width="10.54296875" style="31" customWidth="1"/>
    <col min="6414" max="6414" width="9.1796875" style="31"/>
    <col min="6415" max="6415" width="26.453125" style="31" customWidth="1"/>
    <col min="6416" max="6416" width="27.453125" style="31" customWidth="1"/>
    <col min="6417" max="6656" width="9.1796875" style="31"/>
    <col min="6657" max="6657" width="17.453125" style="31" customWidth="1"/>
    <col min="6658" max="6658" width="13.81640625" style="31" customWidth="1"/>
    <col min="6659" max="6659" width="16.1796875" style="31" customWidth="1"/>
    <col min="6660" max="6660" width="13" style="31" customWidth="1"/>
    <col min="6661" max="6661" width="11.1796875" style="31" customWidth="1"/>
    <col min="6662" max="6662" width="11.81640625" style="31" customWidth="1"/>
    <col min="6663" max="6663" width="14.81640625" style="31" customWidth="1"/>
    <col min="6664" max="6664" width="11.81640625" style="31" customWidth="1"/>
    <col min="6665" max="6665" width="20.54296875" style="31" customWidth="1"/>
    <col min="6666" max="6666" width="12.54296875" style="31" customWidth="1"/>
    <col min="6667" max="6667" width="14.54296875" style="31" customWidth="1"/>
    <col min="6668" max="6668" width="34.453125" style="31" customWidth="1"/>
    <col min="6669" max="6669" width="10.54296875" style="31" customWidth="1"/>
    <col min="6670" max="6670" width="9.1796875" style="31"/>
    <col min="6671" max="6671" width="26.453125" style="31" customWidth="1"/>
    <col min="6672" max="6672" width="27.453125" style="31" customWidth="1"/>
    <col min="6673" max="6912" width="9.1796875" style="31"/>
    <col min="6913" max="6913" width="17.453125" style="31" customWidth="1"/>
    <col min="6914" max="6914" width="13.81640625" style="31" customWidth="1"/>
    <col min="6915" max="6915" width="16.1796875" style="31" customWidth="1"/>
    <col min="6916" max="6916" width="13" style="31" customWidth="1"/>
    <col min="6917" max="6917" width="11.1796875" style="31" customWidth="1"/>
    <col min="6918" max="6918" width="11.81640625" style="31" customWidth="1"/>
    <col min="6919" max="6919" width="14.81640625" style="31" customWidth="1"/>
    <col min="6920" max="6920" width="11.81640625" style="31" customWidth="1"/>
    <col min="6921" max="6921" width="20.54296875" style="31" customWidth="1"/>
    <col min="6922" max="6922" width="12.54296875" style="31" customWidth="1"/>
    <col min="6923" max="6923" width="14.54296875" style="31" customWidth="1"/>
    <col min="6924" max="6924" width="34.453125" style="31" customWidth="1"/>
    <col min="6925" max="6925" width="10.54296875" style="31" customWidth="1"/>
    <col min="6926" max="6926" width="9.1796875" style="31"/>
    <col min="6927" max="6927" width="26.453125" style="31" customWidth="1"/>
    <col min="6928" max="6928" width="27.453125" style="31" customWidth="1"/>
    <col min="6929" max="7168" width="9.1796875" style="31"/>
    <col min="7169" max="7169" width="17.453125" style="31" customWidth="1"/>
    <col min="7170" max="7170" width="13.81640625" style="31" customWidth="1"/>
    <col min="7171" max="7171" width="16.1796875" style="31" customWidth="1"/>
    <col min="7172" max="7172" width="13" style="31" customWidth="1"/>
    <col min="7173" max="7173" width="11.1796875" style="31" customWidth="1"/>
    <col min="7174" max="7174" width="11.81640625" style="31" customWidth="1"/>
    <col min="7175" max="7175" width="14.81640625" style="31" customWidth="1"/>
    <col min="7176" max="7176" width="11.81640625" style="31" customWidth="1"/>
    <col min="7177" max="7177" width="20.54296875" style="31" customWidth="1"/>
    <col min="7178" max="7178" width="12.54296875" style="31" customWidth="1"/>
    <col min="7179" max="7179" width="14.54296875" style="31" customWidth="1"/>
    <col min="7180" max="7180" width="34.453125" style="31" customWidth="1"/>
    <col min="7181" max="7181" width="10.54296875" style="31" customWidth="1"/>
    <col min="7182" max="7182" width="9.1796875" style="31"/>
    <col min="7183" max="7183" width="26.453125" style="31" customWidth="1"/>
    <col min="7184" max="7184" width="27.453125" style="31" customWidth="1"/>
    <col min="7185" max="7424" width="9.1796875" style="31"/>
    <col min="7425" max="7425" width="17.453125" style="31" customWidth="1"/>
    <col min="7426" max="7426" width="13.81640625" style="31" customWidth="1"/>
    <col min="7427" max="7427" width="16.1796875" style="31" customWidth="1"/>
    <col min="7428" max="7428" width="13" style="31" customWidth="1"/>
    <col min="7429" max="7429" width="11.1796875" style="31" customWidth="1"/>
    <col min="7430" max="7430" width="11.81640625" style="31" customWidth="1"/>
    <col min="7431" max="7431" width="14.81640625" style="31" customWidth="1"/>
    <col min="7432" max="7432" width="11.81640625" style="31" customWidth="1"/>
    <col min="7433" max="7433" width="20.54296875" style="31" customWidth="1"/>
    <col min="7434" max="7434" width="12.54296875" style="31" customWidth="1"/>
    <col min="7435" max="7435" width="14.54296875" style="31" customWidth="1"/>
    <col min="7436" max="7436" width="34.453125" style="31" customWidth="1"/>
    <col min="7437" max="7437" width="10.54296875" style="31" customWidth="1"/>
    <col min="7438" max="7438" width="9.1796875" style="31"/>
    <col min="7439" max="7439" width="26.453125" style="31" customWidth="1"/>
    <col min="7440" max="7440" width="27.453125" style="31" customWidth="1"/>
    <col min="7441" max="7680" width="9.1796875" style="31"/>
    <col min="7681" max="7681" width="17.453125" style="31" customWidth="1"/>
    <col min="7682" max="7682" width="13.81640625" style="31" customWidth="1"/>
    <col min="7683" max="7683" width="16.1796875" style="31" customWidth="1"/>
    <col min="7684" max="7684" width="13" style="31" customWidth="1"/>
    <col min="7685" max="7685" width="11.1796875" style="31" customWidth="1"/>
    <col min="7686" max="7686" width="11.81640625" style="31" customWidth="1"/>
    <col min="7687" max="7687" width="14.81640625" style="31" customWidth="1"/>
    <col min="7688" max="7688" width="11.81640625" style="31" customWidth="1"/>
    <col min="7689" max="7689" width="20.54296875" style="31" customWidth="1"/>
    <col min="7690" max="7690" width="12.54296875" style="31" customWidth="1"/>
    <col min="7691" max="7691" width="14.54296875" style="31" customWidth="1"/>
    <col min="7692" max="7692" width="34.453125" style="31" customWidth="1"/>
    <col min="7693" max="7693" width="10.54296875" style="31" customWidth="1"/>
    <col min="7694" max="7694" width="9.1796875" style="31"/>
    <col min="7695" max="7695" width="26.453125" style="31" customWidth="1"/>
    <col min="7696" max="7696" width="27.453125" style="31" customWidth="1"/>
    <col min="7697" max="7936" width="9.1796875" style="31"/>
    <col min="7937" max="7937" width="17.453125" style="31" customWidth="1"/>
    <col min="7938" max="7938" width="13.81640625" style="31" customWidth="1"/>
    <col min="7939" max="7939" width="16.1796875" style="31" customWidth="1"/>
    <col min="7940" max="7940" width="13" style="31" customWidth="1"/>
    <col min="7941" max="7941" width="11.1796875" style="31" customWidth="1"/>
    <col min="7942" max="7942" width="11.81640625" style="31" customWidth="1"/>
    <col min="7943" max="7943" width="14.81640625" style="31" customWidth="1"/>
    <col min="7944" max="7944" width="11.81640625" style="31" customWidth="1"/>
    <col min="7945" max="7945" width="20.54296875" style="31" customWidth="1"/>
    <col min="7946" max="7946" width="12.54296875" style="31" customWidth="1"/>
    <col min="7947" max="7947" width="14.54296875" style="31" customWidth="1"/>
    <col min="7948" max="7948" width="34.453125" style="31" customWidth="1"/>
    <col min="7949" max="7949" width="10.54296875" style="31" customWidth="1"/>
    <col min="7950" max="7950" width="9.1796875" style="31"/>
    <col min="7951" max="7951" width="26.453125" style="31" customWidth="1"/>
    <col min="7952" max="7952" width="27.453125" style="31" customWidth="1"/>
    <col min="7953" max="8192" width="9.1796875" style="31"/>
    <col min="8193" max="8193" width="17.453125" style="31" customWidth="1"/>
    <col min="8194" max="8194" width="13.81640625" style="31" customWidth="1"/>
    <col min="8195" max="8195" width="16.1796875" style="31" customWidth="1"/>
    <col min="8196" max="8196" width="13" style="31" customWidth="1"/>
    <col min="8197" max="8197" width="11.1796875" style="31" customWidth="1"/>
    <col min="8198" max="8198" width="11.81640625" style="31" customWidth="1"/>
    <col min="8199" max="8199" width="14.81640625" style="31" customWidth="1"/>
    <col min="8200" max="8200" width="11.81640625" style="31" customWidth="1"/>
    <col min="8201" max="8201" width="20.54296875" style="31" customWidth="1"/>
    <col min="8202" max="8202" width="12.54296875" style="31" customWidth="1"/>
    <col min="8203" max="8203" width="14.54296875" style="31" customWidth="1"/>
    <col min="8204" max="8204" width="34.453125" style="31" customWidth="1"/>
    <col min="8205" max="8205" width="10.54296875" style="31" customWidth="1"/>
    <col min="8206" max="8206" width="9.1796875" style="31"/>
    <col min="8207" max="8207" width="26.453125" style="31" customWidth="1"/>
    <col min="8208" max="8208" width="27.453125" style="31" customWidth="1"/>
    <col min="8209" max="8448" width="9.1796875" style="31"/>
    <col min="8449" max="8449" width="17.453125" style="31" customWidth="1"/>
    <col min="8450" max="8450" width="13.81640625" style="31" customWidth="1"/>
    <col min="8451" max="8451" width="16.1796875" style="31" customWidth="1"/>
    <col min="8452" max="8452" width="13" style="31" customWidth="1"/>
    <col min="8453" max="8453" width="11.1796875" style="31" customWidth="1"/>
    <col min="8454" max="8454" width="11.81640625" style="31" customWidth="1"/>
    <col min="8455" max="8455" width="14.81640625" style="31" customWidth="1"/>
    <col min="8456" max="8456" width="11.81640625" style="31" customWidth="1"/>
    <col min="8457" max="8457" width="20.54296875" style="31" customWidth="1"/>
    <col min="8458" max="8458" width="12.54296875" style="31" customWidth="1"/>
    <col min="8459" max="8459" width="14.54296875" style="31" customWidth="1"/>
    <col min="8460" max="8460" width="34.453125" style="31" customWidth="1"/>
    <col min="8461" max="8461" width="10.54296875" style="31" customWidth="1"/>
    <col min="8462" max="8462" width="9.1796875" style="31"/>
    <col min="8463" max="8463" width="26.453125" style="31" customWidth="1"/>
    <col min="8464" max="8464" width="27.453125" style="31" customWidth="1"/>
    <col min="8465" max="8704" width="9.1796875" style="31"/>
    <col min="8705" max="8705" width="17.453125" style="31" customWidth="1"/>
    <col min="8706" max="8706" width="13.81640625" style="31" customWidth="1"/>
    <col min="8707" max="8707" width="16.1796875" style="31" customWidth="1"/>
    <col min="8708" max="8708" width="13" style="31" customWidth="1"/>
    <col min="8709" max="8709" width="11.1796875" style="31" customWidth="1"/>
    <col min="8710" max="8710" width="11.81640625" style="31" customWidth="1"/>
    <col min="8711" max="8711" width="14.81640625" style="31" customWidth="1"/>
    <col min="8712" max="8712" width="11.81640625" style="31" customWidth="1"/>
    <col min="8713" max="8713" width="20.54296875" style="31" customWidth="1"/>
    <col min="8714" max="8714" width="12.54296875" style="31" customWidth="1"/>
    <col min="8715" max="8715" width="14.54296875" style="31" customWidth="1"/>
    <col min="8716" max="8716" width="34.453125" style="31" customWidth="1"/>
    <col min="8717" max="8717" width="10.54296875" style="31" customWidth="1"/>
    <col min="8718" max="8718" width="9.1796875" style="31"/>
    <col min="8719" max="8719" width="26.453125" style="31" customWidth="1"/>
    <col min="8720" max="8720" width="27.453125" style="31" customWidth="1"/>
    <col min="8721" max="8960" width="9.1796875" style="31"/>
    <col min="8961" max="8961" width="17.453125" style="31" customWidth="1"/>
    <col min="8962" max="8962" width="13.81640625" style="31" customWidth="1"/>
    <col min="8963" max="8963" width="16.1796875" style="31" customWidth="1"/>
    <col min="8964" max="8964" width="13" style="31" customWidth="1"/>
    <col min="8965" max="8965" width="11.1796875" style="31" customWidth="1"/>
    <col min="8966" max="8966" width="11.81640625" style="31" customWidth="1"/>
    <col min="8967" max="8967" width="14.81640625" style="31" customWidth="1"/>
    <col min="8968" max="8968" width="11.81640625" style="31" customWidth="1"/>
    <col min="8969" max="8969" width="20.54296875" style="31" customWidth="1"/>
    <col min="8970" max="8970" width="12.54296875" style="31" customWidth="1"/>
    <col min="8971" max="8971" width="14.54296875" style="31" customWidth="1"/>
    <col min="8972" max="8972" width="34.453125" style="31" customWidth="1"/>
    <col min="8973" max="8973" width="10.54296875" style="31" customWidth="1"/>
    <col min="8974" max="8974" width="9.1796875" style="31"/>
    <col min="8975" max="8975" width="26.453125" style="31" customWidth="1"/>
    <col min="8976" max="8976" width="27.453125" style="31" customWidth="1"/>
    <col min="8977" max="9216" width="9.1796875" style="31"/>
    <col min="9217" max="9217" width="17.453125" style="31" customWidth="1"/>
    <col min="9218" max="9218" width="13.81640625" style="31" customWidth="1"/>
    <col min="9219" max="9219" width="16.1796875" style="31" customWidth="1"/>
    <col min="9220" max="9220" width="13" style="31" customWidth="1"/>
    <col min="9221" max="9221" width="11.1796875" style="31" customWidth="1"/>
    <col min="9222" max="9222" width="11.81640625" style="31" customWidth="1"/>
    <col min="9223" max="9223" width="14.81640625" style="31" customWidth="1"/>
    <col min="9224" max="9224" width="11.81640625" style="31" customWidth="1"/>
    <col min="9225" max="9225" width="20.54296875" style="31" customWidth="1"/>
    <col min="9226" max="9226" width="12.54296875" style="31" customWidth="1"/>
    <col min="9227" max="9227" width="14.54296875" style="31" customWidth="1"/>
    <col min="9228" max="9228" width="34.453125" style="31" customWidth="1"/>
    <col min="9229" max="9229" width="10.54296875" style="31" customWidth="1"/>
    <col min="9230" max="9230" width="9.1796875" style="31"/>
    <col min="9231" max="9231" width="26.453125" style="31" customWidth="1"/>
    <col min="9232" max="9232" width="27.453125" style="31" customWidth="1"/>
    <col min="9233" max="9472" width="9.1796875" style="31"/>
    <col min="9473" max="9473" width="17.453125" style="31" customWidth="1"/>
    <col min="9474" max="9474" width="13.81640625" style="31" customWidth="1"/>
    <col min="9475" max="9475" width="16.1796875" style="31" customWidth="1"/>
    <col min="9476" max="9476" width="13" style="31" customWidth="1"/>
    <col min="9477" max="9477" width="11.1796875" style="31" customWidth="1"/>
    <col min="9478" max="9478" width="11.81640625" style="31" customWidth="1"/>
    <col min="9479" max="9479" width="14.81640625" style="31" customWidth="1"/>
    <col min="9480" max="9480" width="11.81640625" style="31" customWidth="1"/>
    <col min="9481" max="9481" width="20.54296875" style="31" customWidth="1"/>
    <col min="9482" max="9482" width="12.54296875" style="31" customWidth="1"/>
    <col min="9483" max="9483" width="14.54296875" style="31" customWidth="1"/>
    <col min="9484" max="9484" width="34.453125" style="31" customWidth="1"/>
    <col min="9485" max="9485" width="10.54296875" style="31" customWidth="1"/>
    <col min="9486" max="9486" width="9.1796875" style="31"/>
    <col min="9487" max="9487" width="26.453125" style="31" customWidth="1"/>
    <col min="9488" max="9488" width="27.453125" style="31" customWidth="1"/>
    <col min="9489" max="9728" width="9.1796875" style="31"/>
    <col min="9729" max="9729" width="17.453125" style="31" customWidth="1"/>
    <col min="9730" max="9730" width="13.81640625" style="31" customWidth="1"/>
    <col min="9731" max="9731" width="16.1796875" style="31" customWidth="1"/>
    <col min="9732" max="9732" width="13" style="31" customWidth="1"/>
    <col min="9733" max="9733" width="11.1796875" style="31" customWidth="1"/>
    <col min="9734" max="9734" width="11.81640625" style="31" customWidth="1"/>
    <col min="9735" max="9735" width="14.81640625" style="31" customWidth="1"/>
    <col min="9736" max="9736" width="11.81640625" style="31" customWidth="1"/>
    <col min="9737" max="9737" width="20.54296875" style="31" customWidth="1"/>
    <col min="9738" max="9738" width="12.54296875" style="31" customWidth="1"/>
    <col min="9739" max="9739" width="14.54296875" style="31" customWidth="1"/>
    <col min="9740" max="9740" width="34.453125" style="31" customWidth="1"/>
    <col min="9741" max="9741" width="10.54296875" style="31" customWidth="1"/>
    <col min="9742" max="9742" width="9.1796875" style="31"/>
    <col min="9743" max="9743" width="26.453125" style="31" customWidth="1"/>
    <col min="9744" max="9744" width="27.453125" style="31" customWidth="1"/>
    <col min="9745" max="9984" width="9.1796875" style="31"/>
    <col min="9985" max="9985" width="17.453125" style="31" customWidth="1"/>
    <col min="9986" max="9986" width="13.81640625" style="31" customWidth="1"/>
    <col min="9987" max="9987" width="16.1796875" style="31" customWidth="1"/>
    <col min="9988" max="9988" width="13" style="31" customWidth="1"/>
    <col min="9989" max="9989" width="11.1796875" style="31" customWidth="1"/>
    <col min="9990" max="9990" width="11.81640625" style="31" customWidth="1"/>
    <col min="9991" max="9991" width="14.81640625" style="31" customWidth="1"/>
    <col min="9992" max="9992" width="11.81640625" style="31" customWidth="1"/>
    <col min="9993" max="9993" width="20.54296875" style="31" customWidth="1"/>
    <col min="9994" max="9994" width="12.54296875" style="31" customWidth="1"/>
    <col min="9995" max="9995" width="14.54296875" style="31" customWidth="1"/>
    <col min="9996" max="9996" width="34.453125" style="31" customWidth="1"/>
    <col min="9997" max="9997" width="10.54296875" style="31" customWidth="1"/>
    <col min="9998" max="9998" width="9.1796875" style="31"/>
    <col min="9999" max="9999" width="26.453125" style="31" customWidth="1"/>
    <col min="10000" max="10000" width="27.453125" style="31" customWidth="1"/>
    <col min="10001" max="10240" width="9.1796875" style="31"/>
    <col min="10241" max="10241" width="17.453125" style="31" customWidth="1"/>
    <col min="10242" max="10242" width="13.81640625" style="31" customWidth="1"/>
    <col min="10243" max="10243" width="16.1796875" style="31" customWidth="1"/>
    <col min="10244" max="10244" width="13" style="31" customWidth="1"/>
    <col min="10245" max="10245" width="11.1796875" style="31" customWidth="1"/>
    <col min="10246" max="10246" width="11.81640625" style="31" customWidth="1"/>
    <col min="10247" max="10247" width="14.81640625" style="31" customWidth="1"/>
    <col min="10248" max="10248" width="11.81640625" style="31" customWidth="1"/>
    <col min="10249" max="10249" width="20.54296875" style="31" customWidth="1"/>
    <col min="10250" max="10250" width="12.54296875" style="31" customWidth="1"/>
    <col min="10251" max="10251" width="14.54296875" style="31" customWidth="1"/>
    <col min="10252" max="10252" width="34.453125" style="31" customWidth="1"/>
    <col min="10253" max="10253" width="10.54296875" style="31" customWidth="1"/>
    <col min="10254" max="10254" width="9.1796875" style="31"/>
    <col min="10255" max="10255" width="26.453125" style="31" customWidth="1"/>
    <col min="10256" max="10256" width="27.453125" style="31" customWidth="1"/>
    <col min="10257" max="10496" width="9.1796875" style="31"/>
    <col min="10497" max="10497" width="17.453125" style="31" customWidth="1"/>
    <col min="10498" max="10498" width="13.81640625" style="31" customWidth="1"/>
    <col min="10499" max="10499" width="16.1796875" style="31" customWidth="1"/>
    <col min="10500" max="10500" width="13" style="31" customWidth="1"/>
    <col min="10501" max="10501" width="11.1796875" style="31" customWidth="1"/>
    <col min="10502" max="10502" width="11.81640625" style="31" customWidth="1"/>
    <col min="10503" max="10503" width="14.81640625" style="31" customWidth="1"/>
    <col min="10504" max="10504" width="11.81640625" style="31" customWidth="1"/>
    <col min="10505" max="10505" width="20.54296875" style="31" customWidth="1"/>
    <col min="10506" max="10506" width="12.54296875" style="31" customWidth="1"/>
    <col min="10507" max="10507" width="14.54296875" style="31" customWidth="1"/>
    <col min="10508" max="10508" width="34.453125" style="31" customWidth="1"/>
    <col min="10509" max="10509" width="10.54296875" style="31" customWidth="1"/>
    <col min="10510" max="10510" width="9.1796875" style="31"/>
    <col min="10511" max="10511" width="26.453125" style="31" customWidth="1"/>
    <col min="10512" max="10512" width="27.453125" style="31" customWidth="1"/>
    <col min="10513" max="10752" width="9.1796875" style="31"/>
    <col min="10753" max="10753" width="17.453125" style="31" customWidth="1"/>
    <col min="10754" max="10754" width="13.81640625" style="31" customWidth="1"/>
    <col min="10755" max="10755" width="16.1796875" style="31" customWidth="1"/>
    <col min="10756" max="10756" width="13" style="31" customWidth="1"/>
    <col min="10757" max="10757" width="11.1796875" style="31" customWidth="1"/>
    <col min="10758" max="10758" width="11.81640625" style="31" customWidth="1"/>
    <col min="10759" max="10759" width="14.81640625" style="31" customWidth="1"/>
    <col min="10760" max="10760" width="11.81640625" style="31" customWidth="1"/>
    <col min="10761" max="10761" width="20.54296875" style="31" customWidth="1"/>
    <col min="10762" max="10762" width="12.54296875" style="31" customWidth="1"/>
    <col min="10763" max="10763" width="14.54296875" style="31" customWidth="1"/>
    <col min="10764" max="10764" width="34.453125" style="31" customWidth="1"/>
    <col min="10765" max="10765" width="10.54296875" style="31" customWidth="1"/>
    <col min="10766" max="10766" width="9.1796875" style="31"/>
    <col min="10767" max="10767" width="26.453125" style="31" customWidth="1"/>
    <col min="10768" max="10768" width="27.453125" style="31" customWidth="1"/>
    <col min="10769" max="11008" width="9.1796875" style="31"/>
    <col min="11009" max="11009" width="17.453125" style="31" customWidth="1"/>
    <col min="11010" max="11010" width="13.81640625" style="31" customWidth="1"/>
    <col min="11011" max="11011" width="16.1796875" style="31" customWidth="1"/>
    <col min="11012" max="11012" width="13" style="31" customWidth="1"/>
    <col min="11013" max="11013" width="11.1796875" style="31" customWidth="1"/>
    <col min="11014" max="11014" width="11.81640625" style="31" customWidth="1"/>
    <col min="11015" max="11015" width="14.81640625" style="31" customWidth="1"/>
    <col min="11016" max="11016" width="11.81640625" style="31" customWidth="1"/>
    <col min="11017" max="11017" width="20.54296875" style="31" customWidth="1"/>
    <col min="11018" max="11018" width="12.54296875" style="31" customWidth="1"/>
    <col min="11019" max="11019" width="14.54296875" style="31" customWidth="1"/>
    <col min="11020" max="11020" width="34.453125" style="31" customWidth="1"/>
    <col min="11021" max="11021" width="10.54296875" style="31" customWidth="1"/>
    <col min="11022" max="11022" width="9.1796875" style="31"/>
    <col min="11023" max="11023" width="26.453125" style="31" customWidth="1"/>
    <col min="11024" max="11024" width="27.453125" style="31" customWidth="1"/>
    <col min="11025" max="11264" width="9.1796875" style="31"/>
    <col min="11265" max="11265" width="17.453125" style="31" customWidth="1"/>
    <col min="11266" max="11266" width="13.81640625" style="31" customWidth="1"/>
    <col min="11267" max="11267" width="16.1796875" style="31" customWidth="1"/>
    <col min="11268" max="11268" width="13" style="31" customWidth="1"/>
    <col min="11269" max="11269" width="11.1796875" style="31" customWidth="1"/>
    <col min="11270" max="11270" width="11.81640625" style="31" customWidth="1"/>
    <col min="11271" max="11271" width="14.81640625" style="31" customWidth="1"/>
    <col min="11272" max="11272" width="11.81640625" style="31" customWidth="1"/>
    <col min="11273" max="11273" width="20.54296875" style="31" customWidth="1"/>
    <col min="11274" max="11274" width="12.54296875" style="31" customWidth="1"/>
    <col min="11275" max="11275" width="14.54296875" style="31" customWidth="1"/>
    <col min="11276" max="11276" width="34.453125" style="31" customWidth="1"/>
    <col min="11277" max="11277" width="10.54296875" style="31" customWidth="1"/>
    <col min="11278" max="11278" width="9.1796875" style="31"/>
    <col min="11279" max="11279" width="26.453125" style="31" customWidth="1"/>
    <col min="11280" max="11280" width="27.453125" style="31" customWidth="1"/>
    <col min="11281" max="11520" width="9.1796875" style="31"/>
    <col min="11521" max="11521" width="17.453125" style="31" customWidth="1"/>
    <col min="11522" max="11522" width="13.81640625" style="31" customWidth="1"/>
    <col min="11523" max="11523" width="16.1796875" style="31" customWidth="1"/>
    <col min="11524" max="11524" width="13" style="31" customWidth="1"/>
    <col min="11525" max="11525" width="11.1796875" style="31" customWidth="1"/>
    <col min="11526" max="11526" width="11.81640625" style="31" customWidth="1"/>
    <col min="11527" max="11527" width="14.81640625" style="31" customWidth="1"/>
    <col min="11528" max="11528" width="11.81640625" style="31" customWidth="1"/>
    <col min="11529" max="11529" width="20.54296875" style="31" customWidth="1"/>
    <col min="11530" max="11530" width="12.54296875" style="31" customWidth="1"/>
    <col min="11531" max="11531" width="14.54296875" style="31" customWidth="1"/>
    <col min="11532" max="11532" width="34.453125" style="31" customWidth="1"/>
    <col min="11533" max="11533" width="10.54296875" style="31" customWidth="1"/>
    <col min="11534" max="11534" width="9.1796875" style="31"/>
    <col min="11535" max="11535" width="26.453125" style="31" customWidth="1"/>
    <col min="11536" max="11536" width="27.453125" style="31" customWidth="1"/>
    <col min="11537" max="11776" width="9.1796875" style="31"/>
    <col min="11777" max="11777" width="17.453125" style="31" customWidth="1"/>
    <col min="11778" max="11778" width="13.81640625" style="31" customWidth="1"/>
    <col min="11779" max="11779" width="16.1796875" style="31" customWidth="1"/>
    <col min="11780" max="11780" width="13" style="31" customWidth="1"/>
    <col min="11781" max="11781" width="11.1796875" style="31" customWidth="1"/>
    <col min="11782" max="11782" width="11.81640625" style="31" customWidth="1"/>
    <col min="11783" max="11783" width="14.81640625" style="31" customWidth="1"/>
    <col min="11784" max="11784" width="11.81640625" style="31" customWidth="1"/>
    <col min="11785" max="11785" width="20.54296875" style="31" customWidth="1"/>
    <col min="11786" max="11786" width="12.54296875" style="31" customWidth="1"/>
    <col min="11787" max="11787" width="14.54296875" style="31" customWidth="1"/>
    <col min="11788" max="11788" width="34.453125" style="31" customWidth="1"/>
    <col min="11789" max="11789" width="10.54296875" style="31" customWidth="1"/>
    <col min="11790" max="11790" width="9.1796875" style="31"/>
    <col min="11791" max="11791" width="26.453125" style="31" customWidth="1"/>
    <col min="11792" max="11792" width="27.453125" style="31" customWidth="1"/>
    <col min="11793" max="12032" width="9.1796875" style="31"/>
    <col min="12033" max="12033" width="17.453125" style="31" customWidth="1"/>
    <col min="12034" max="12034" width="13.81640625" style="31" customWidth="1"/>
    <col min="12035" max="12035" width="16.1796875" style="31" customWidth="1"/>
    <col min="12036" max="12036" width="13" style="31" customWidth="1"/>
    <col min="12037" max="12037" width="11.1796875" style="31" customWidth="1"/>
    <col min="12038" max="12038" width="11.81640625" style="31" customWidth="1"/>
    <col min="12039" max="12039" width="14.81640625" style="31" customWidth="1"/>
    <col min="12040" max="12040" width="11.81640625" style="31" customWidth="1"/>
    <col min="12041" max="12041" width="20.54296875" style="31" customWidth="1"/>
    <col min="12042" max="12042" width="12.54296875" style="31" customWidth="1"/>
    <col min="12043" max="12043" width="14.54296875" style="31" customWidth="1"/>
    <col min="12044" max="12044" width="34.453125" style="31" customWidth="1"/>
    <col min="12045" max="12045" width="10.54296875" style="31" customWidth="1"/>
    <col min="12046" max="12046" width="9.1796875" style="31"/>
    <col min="12047" max="12047" width="26.453125" style="31" customWidth="1"/>
    <col min="12048" max="12048" width="27.453125" style="31" customWidth="1"/>
    <col min="12049" max="12288" width="9.1796875" style="31"/>
    <col min="12289" max="12289" width="17.453125" style="31" customWidth="1"/>
    <col min="12290" max="12290" width="13.81640625" style="31" customWidth="1"/>
    <col min="12291" max="12291" width="16.1796875" style="31" customWidth="1"/>
    <col min="12292" max="12292" width="13" style="31" customWidth="1"/>
    <col min="12293" max="12293" width="11.1796875" style="31" customWidth="1"/>
    <col min="12294" max="12294" width="11.81640625" style="31" customWidth="1"/>
    <col min="12295" max="12295" width="14.81640625" style="31" customWidth="1"/>
    <col min="12296" max="12296" width="11.81640625" style="31" customWidth="1"/>
    <col min="12297" max="12297" width="20.54296875" style="31" customWidth="1"/>
    <col min="12298" max="12298" width="12.54296875" style="31" customWidth="1"/>
    <col min="12299" max="12299" width="14.54296875" style="31" customWidth="1"/>
    <col min="12300" max="12300" width="34.453125" style="31" customWidth="1"/>
    <col min="12301" max="12301" width="10.54296875" style="31" customWidth="1"/>
    <col min="12302" max="12302" width="9.1796875" style="31"/>
    <col min="12303" max="12303" width="26.453125" style="31" customWidth="1"/>
    <col min="12304" max="12304" width="27.453125" style="31" customWidth="1"/>
    <col min="12305" max="12544" width="9.1796875" style="31"/>
    <col min="12545" max="12545" width="17.453125" style="31" customWidth="1"/>
    <col min="12546" max="12546" width="13.81640625" style="31" customWidth="1"/>
    <col min="12547" max="12547" width="16.1796875" style="31" customWidth="1"/>
    <col min="12548" max="12548" width="13" style="31" customWidth="1"/>
    <col min="12549" max="12549" width="11.1796875" style="31" customWidth="1"/>
    <col min="12550" max="12550" width="11.81640625" style="31" customWidth="1"/>
    <col min="12551" max="12551" width="14.81640625" style="31" customWidth="1"/>
    <col min="12552" max="12552" width="11.81640625" style="31" customWidth="1"/>
    <col min="12553" max="12553" width="20.54296875" style="31" customWidth="1"/>
    <col min="12554" max="12554" width="12.54296875" style="31" customWidth="1"/>
    <col min="12555" max="12555" width="14.54296875" style="31" customWidth="1"/>
    <col min="12556" max="12556" width="34.453125" style="31" customWidth="1"/>
    <col min="12557" max="12557" width="10.54296875" style="31" customWidth="1"/>
    <col min="12558" max="12558" width="9.1796875" style="31"/>
    <col min="12559" max="12559" width="26.453125" style="31" customWidth="1"/>
    <col min="12560" max="12560" width="27.453125" style="31" customWidth="1"/>
    <col min="12561" max="12800" width="9.1796875" style="31"/>
    <col min="12801" max="12801" width="17.453125" style="31" customWidth="1"/>
    <col min="12802" max="12802" width="13.81640625" style="31" customWidth="1"/>
    <col min="12803" max="12803" width="16.1796875" style="31" customWidth="1"/>
    <col min="12804" max="12804" width="13" style="31" customWidth="1"/>
    <col min="12805" max="12805" width="11.1796875" style="31" customWidth="1"/>
    <col min="12806" max="12806" width="11.81640625" style="31" customWidth="1"/>
    <col min="12807" max="12807" width="14.81640625" style="31" customWidth="1"/>
    <col min="12808" max="12808" width="11.81640625" style="31" customWidth="1"/>
    <col min="12809" max="12809" width="20.54296875" style="31" customWidth="1"/>
    <col min="12810" max="12810" width="12.54296875" style="31" customWidth="1"/>
    <col min="12811" max="12811" width="14.54296875" style="31" customWidth="1"/>
    <col min="12812" max="12812" width="34.453125" style="31" customWidth="1"/>
    <col min="12813" max="12813" width="10.54296875" style="31" customWidth="1"/>
    <col min="12814" max="12814" width="9.1796875" style="31"/>
    <col min="12815" max="12815" width="26.453125" style="31" customWidth="1"/>
    <col min="12816" max="12816" width="27.453125" style="31" customWidth="1"/>
    <col min="12817" max="13056" width="9.1796875" style="31"/>
    <col min="13057" max="13057" width="17.453125" style="31" customWidth="1"/>
    <col min="13058" max="13058" width="13.81640625" style="31" customWidth="1"/>
    <col min="13059" max="13059" width="16.1796875" style="31" customWidth="1"/>
    <col min="13060" max="13060" width="13" style="31" customWidth="1"/>
    <col min="13061" max="13061" width="11.1796875" style="31" customWidth="1"/>
    <col min="13062" max="13062" width="11.81640625" style="31" customWidth="1"/>
    <col min="13063" max="13063" width="14.81640625" style="31" customWidth="1"/>
    <col min="13064" max="13064" width="11.81640625" style="31" customWidth="1"/>
    <col min="13065" max="13065" width="20.54296875" style="31" customWidth="1"/>
    <col min="13066" max="13066" width="12.54296875" style="31" customWidth="1"/>
    <col min="13067" max="13067" width="14.54296875" style="31" customWidth="1"/>
    <col min="13068" max="13068" width="34.453125" style="31" customWidth="1"/>
    <col min="13069" max="13069" width="10.54296875" style="31" customWidth="1"/>
    <col min="13070" max="13070" width="9.1796875" style="31"/>
    <col min="13071" max="13071" width="26.453125" style="31" customWidth="1"/>
    <col min="13072" max="13072" width="27.453125" style="31" customWidth="1"/>
    <col min="13073" max="13312" width="9.1796875" style="31"/>
    <col min="13313" max="13313" width="17.453125" style="31" customWidth="1"/>
    <col min="13314" max="13314" width="13.81640625" style="31" customWidth="1"/>
    <col min="13315" max="13315" width="16.1796875" style="31" customWidth="1"/>
    <col min="13316" max="13316" width="13" style="31" customWidth="1"/>
    <col min="13317" max="13317" width="11.1796875" style="31" customWidth="1"/>
    <col min="13318" max="13318" width="11.81640625" style="31" customWidth="1"/>
    <col min="13319" max="13319" width="14.81640625" style="31" customWidth="1"/>
    <col min="13320" max="13320" width="11.81640625" style="31" customWidth="1"/>
    <col min="13321" max="13321" width="20.54296875" style="31" customWidth="1"/>
    <col min="13322" max="13322" width="12.54296875" style="31" customWidth="1"/>
    <col min="13323" max="13323" width="14.54296875" style="31" customWidth="1"/>
    <col min="13324" max="13324" width="34.453125" style="31" customWidth="1"/>
    <col min="13325" max="13325" width="10.54296875" style="31" customWidth="1"/>
    <col min="13326" max="13326" width="9.1796875" style="31"/>
    <col min="13327" max="13327" width="26.453125" style="31" customWidth="1"/>
    <col min="13328" max="13328" width="27.453125" style="31" customWidth="1"/>
    <col min="13329" max="13568" width="9.1796875" style="31"/>
    <col min="13569" max="13569" width="17.453125" style="31" customWidth="1"/>
    <col min="13570" max="13570" width="13.81640625" style="31" customWidth="1"/>
    <col min="13571" max="13571" width="16.1796875" style="31" customWidth="1"/>
    <col min="13572" max="13572" width="13" style="31" customWidth="1"/>
    <col min="13573" max="13573" width="11.1796875" style="31" customWidth="1"/>
    <col min="13574" max="13574" width="11.81640625" style="31" customWidth="1"/>
    <col min="13575" max="13575" width="14.81640625" style="31" customWidth="1"/>
    <col min="13576" max="13576" width="11.81640625" style="31" customWidth="1"/>
    <col min="13577" max="13577" width="20.54296875" style="31" customWidth="1"/>
    <col min="13578" max="13578" width="12.54296875" style="31" customWidth="1"/>
    <col min="13579" max="13579" width="14.54296875" style="31" customWidth="1"/>
    <col min="13580" max="13580" width="34.453125" style="31" customWidth="1"/>
    <col min="13581" max="13581" width="10.54296875" style="31" customWidth="1"/>
    <col min="13582" max="13582" width="9.1796875" style="31"/>
    <col min="13583" max="13583" width="26.453125" style="31" customWidth="1"/>
    <col min="13584" max="13584" width="27.453125" style="31" customWidth="1"/>
    <col min="13585" max="13824" width="9.1796875" style="31"/>
    <col min="13825" max="13825" width="17.453125" style="31" customWidth="1"/>
    <col min="13826" max="13826" width="13.81640625" style="31" customWidth="1"/>
    <col min="13827" max="13827" width="16.1796875" style="31" customWidth="1"/>
    <col min="13828" max="13828" width="13" style="31" customWidth="1"/>
    <col min="13829" max="13829" width="11.1796875" style="31" customWidth="1"/>
    <col min="13830" max="13830" width="11.81640625" style="31" customWidth="1"/>
    <col min="13831" max="13831" width="14.81640625" style="31" customWidth="1"/>
    <col min="13832" max="13832" width="11.81640625" style="31" customWidth="1"/>
    <col min="13833" max="13833" width="20.54296875" style="31" customWidth="1"/>
    <col min="13834" max="13834" width="12.54296875" style="31" customWidth="1"/>
    <col min="13835" max="13835" width="14.54296875" style="31" customWidth="1"/>
    <col min="13836" max="13836" width="34.453125" style="31" customWidth="1"/>
    <col min="13837" max="13837" width="10.54296875" style="31" customWidth="1"/>
    <col min="13838" max="13838" width="9.1796875" style="31"/>
    <col min="13839" max="13839" width="26.453125" style="31" customWidth="1"/>
    <col min="13840" max="13840" width="27.453125" style="31" customWidth="1"/>
    <col min="13841" max="14080" width="9.1796875" style="31"/>
    <col min="14081" max="14081" width="17.453125" style="31" customWidth="1"/>
    <col min="14082" max="14082" width="13.81640625" style="31" customWidth="1"/>
    <col min="14083" max="14083" width="16.1796875" style="31" customWidth="1"/>
    <col min="14084" max="14084" width="13" style="31" customWidth="1"/>
    <col min="14085" max="14085" width="11.1796875" style="31" customWidth="1"/>
    <col min="14086" max="14086" width="11.81640625" style="31" customWidth="1"/>
    <col min="14087" max="14087" width="14.81640625" style="31" customWidth="1"/>
    <col min="14088" max="14088" width="11.81640625" style="31" customWidth="1"/>
    <col min="14089" max="14089" width="20.54296875" style="31" customWidth="1"/>
    <col min="14090" max="14090" width="12.54296875" style="31" customWidth="1"/>
    <col min="14091" max="14091" width="14.54296875" style="31" customWidth="1"/>
    <col min="14092" max="14092" width="34.453125" style="31" customWidth="1"/>
    <col min="14093" max="14093" width="10.54296875" style="31" customWidth="1"/>
    <col min="14094" max="14094" width="9.1796875" style="31"/>
    <col min="14095" max="14095" width="26.453125" style="31" customWidth="1"/>
    <col min="14096" max="14096" width="27.453125" style="31" customWidth="1"/>
    <col min="14097" max="14336" width="9.1796875" style="31"/>
    <col min="14337" max="14337" width="17.453125" style="31" customWidth="1"/>
    <col min="14338" max="14338" width="13.81640625" style="31" customWidth="1"/>
    <col min="14339" max="14339" width="16.1796875" style="31" customWidth="1"/>
    <col min="14340" max="14340" width="13" style="31" customWidth="1"/>
    <col min="14341" max="14341" width="11.1796875" style="31" customWidth="1"/>
    <col min="14342" max="14342" width="11.81640625" style="31" customWidth="1"/>
    <col min="14343" max="14343" width="14.81640625" style="31" customWidth="1"/>
    <col min="14344" max="14344" width="11.81640625" style="31" customWidth="1"/>
    <col min="14345" max="14345" width="20.54296875" style="31" customWidth="1"/>
    <col min="14346" max="14346" width="12.54296875" style="31" customWidth="1"/>
    <col min="14347" max="14347" width="14.54296875" style="31" customWidth="1"/>
    <col min="14348" max="14348" width="34.453125" style="31" customWidth="1"/>
    <col min="14349" max="14349" width="10.54296875" style="31" customWidth="1"/>
    <col min="14350" max="14350" width="9.1796875" style="31"/>
    <col min="14351" max="14351" width="26.453125" style="31" customWidth="1"/>
    <col min="14352" max="14352" width="27.453125" style="31" customWidth="1"/>
    <col min="14353" max="14592" width="9.1796875" style="31"/>
    <col min="14593" max="14593" width="17.453125" style="31" customWidth="1"/>
    <col min="14594" max="14594" width="13.81640625" style="31" customWidth="1"/>
    <col min="14595" max="14595" width="16.1796875" style="31" customWidth="1"/>
    <col min="14596" max="14596" width="13" style="31" customWidth="1"/>
    <col min="14597" max="14597" width="11.1796875" style="31" customWidth="1"/>
    <col min="14598" max="14598" width="11.81640625" style="31" customWidth="1"/>
    <col min="14599" max="14599" width="14.81640625" style="31" customWidth="1"/>
    <col min="14600" max="14600" width="11.81640625" style="31" customWidth="1"/>
    <col min="14601" max="14601" width="20.54296875" style="31" customWidth="1"/>
    <col min="14602" max="14602" width="12.54296875" style="31" customWidth="1"/>
    <col min="14603" max="14603" width="14.54296875" style="31" customWidth="1"/>
    <col min="14604" max="14604" width="34.453125" style="31" customWidth="1"/>
    <col min="14605" max="14605" width="10.54296875" style="31" customWidth="1"/>
    <col min="14606" max="14606" width="9.1796875" style="31"/>
    <col min="14607" max="14607" width="26.453125" style="31" customWidth="1"/>
    <col min="14608" max="14608" width="27.453125" style="31" customWidth="1"/>
    <col min="14609" max="14848" width="9.1796875" style="31"/>
    <col min="14849" max="14849" width="17.453125" style="31" customWidth="1"/>
    <col min="14850" max="14850" width="13.81640625" style="31" customWidth="1"/>
    <col min="14851" max="14851" width="16.1796875" style="31" customWidth="1"/>
    <col min="14852" max="14852" width="13" style="31" customWidth="1"/>
    <col min="14853" max="14853" width="11.1796875" style="31" customWidth="1"/>
    <col min="14854" max="14854" width="11.81640625" style="31" customWidth="1"/>
    <col min="14855" max="14855" width="14.81640625" style="31" customWidth="1"/>
    <col min="14856" max="14856" width="11.81640625" style="31" customWidth="1"/>
    <col min="14857" max="14857" width="20.54296875" style="31" customWidth="1"/>
    <col min="14858" max="14858" width="12.54296875" style="31" customWidth="1"/>
    <col min="14859" max="14859" width="14.54296875" style="31" customWidth="1"/>
    <col min="14860" max="14860" width="34.453125" style="31" customWidth="1"/>
    <col min="14861" max="14861" width="10.54296875" style="31" customWidth="1"/>
    <col min="14862" max="14862" width="9.1796875" style="31"/>
    <col min="14863" max="14863" width="26.453125" style="31" customWidth="1"/>
    <col min="14864" max="14864" width="27.453125" style="31" customWidth="1"/>
    <col min="14865" max="15104" width="9.1796875" style="31"/>
    <col min="15105" max="15105" width="17.453125" style="31" customWidth="1"/>
    <col min="15106" max="15106" width="13.81640625" style="31" customWidth="1"/>
    <col min="15107" max="15107" width="16.1796875" style="31" customWidth="1"/>
    <col min="15108" max="15108" width="13" style="31" customWidth="1"/>
    <col min="15109" max="15109" width="11.1796875" style="31" customWidth="1"/>
    <col min="15110" max="15110" width="11.81640625" style="31" customWidth="1"/>
    <col min="15111" max="15111" width="14.81640625" style="31" customWidth="1"/>
    <col min="15112" max="15112" width="11.81640625" style="31" customWidth="1"/>
    <col min="15113" max="15113" width="20.54296875" style="31" customWidth="1"/>
    <col min="15114" max="15114" width="12.54296875" style="31" customWidth="1"/>
    <col min="15115" max="15115" width="14.54296875" style="31" customWidth="1"/>
    <col min="15116" max="15116" width="34.453125" style="31" customWidth="1"/>
    <col min="15117" max="15117" width="10.54296875" style="31" customWidth="1"/>
    <col min="15118" max="15118" width="9.1796875" style="31"/>
    <col min="15119" max="15119" width="26.453125" style="31" customWidth="1"/>
    <col min="15120" max="15120" width="27.453125" style="31" customWidth="1"/>
    <col min="15121" max="15360" width="9.1796875" style="31"/>
    <col min="15361" max="15361" width="17.453125" style="31" customWidth="1"/>
    <col min="15362" max="15362" width="13.81640625" style="31" customWidth="1"/>
    <col min="15363" max="15363" width="16.1796875" style="31" customWidth="1"/>
    <col min="15364" max="15364" width="13" style="31" customWidth="1"/>
    <col min="15365" max="15365" width="11.1796875" style="31" customWidth="1"/>
    <col min="15366" max="15366" width="11.81640625" style="31" customWidth="1"/>
    <col min="15367" max="15367" width="14.81640625" style="31" customWidth="1"/>
    <col min="15368" max="15368" width="11.81640625" style="31" customWidth="1"/>
    <col min="15369" max="15369" width="20.54296875" style="31" customWidth="1"/>
    <col min="15370" max="15370" width="12.54296875" style="31" customWidth="1"/>
    <col min="15371" max="15371" width="14.54296875" style="31" customWidth="1"/>
    <col min="15372" max="15372" width="34.453125" style="31" customWidth="1"/>
    <col min="15373" max="15373" width="10.54296875" style="31" customWidth="1"/>
    <col min="15374" max="15374" width="9.1796875" style="31"/>
    <col min="15375" max="15375" width="26.453125" style="31" customWidth="1"/>
    <col min="15376" max="15376" width="27.453125" style="31" customWidth="1"/>
    <col min="15377" max="15616" width="9.1796875" style="31"/>
    <col min="15617" max="15617" width="17.453125" style="31" customWidth="1"/>
    <col min="15618" max="15618" width="13.81640625" style="31" customWidth="1"/>
    <col min="15619" max="15619" width="16.1796875" style="31" customWidth="1"/>
    <col min="15620" max="15620" width="13" style="31" customWidth="1"/>
    <col min="15621" max="15621" width="11.1796875" style="31" customWidth="1"/>
    <col min="15622" max="15622" width="11.81640625" style="31" customWidth="1"/>
    <col min="15623" max="15623" width="14.81640625" style="31" customWidth="1"/>
    <col min="15624" max="15624" width="11.81640625" style="31" customWidth="1"/>
    <col min="15625" max="15625" width="20.54296875" style="31" customWidth="1"/>
    <col min="15626" max="15626" width="12.54296875" style="31" customWidth="1"/>
    <col min="15627" max="15627" width="14.54296875" style="31" customWidth="1"/>
    <col min="15628" max="15628" width="34.453125" style="31" customWidth="1"/>
    <col min="15629" max="15629" width="10.54296875" style="31" customWidth="1"/>
    <col min="15630" max="15630" width="9.1796875" style="31"/>
    <col min="15631" max="15631" width="26.453125" style="31" customWidth="1"/>
    <col min="15632" max="15632" width="27.453125" style="31" customWidth="1"/>
    <col min="15633" max="15872" width="9.1796875" style="31"/>
    <col min="15873" max="15873" width="17.453125" style="31" customWidth="1"/>
    <col min="15874" max="15874" width="13.81640625" style="31" customWidth="1"/>
    <col min="15875" max="15875" width="16.1796875" style="31" customWidth="1"/>
    <col min="15876" max="15876" width="13" style="31" customWidth="1"/>
    <col min="15877" max="15877" width="11.1796875" style="31" customWidth="1"/>
    <col min="15878" max="15878" width="11.81640625" style="31" customWidth="1"/>
    <col min="15879" max="15879" width="14.81640625" style="31" customWidth="1"/>
    <col min="15880" max="15880" width="11.81640625" style="31" customWidth="1"/>
    <col min="15881" max="15881" width="20.54296875" style="31" customWidth="1"/>
    <col min="15882" max="15882" width="12.54296875" style="31" customWidth="1"/>
    <col min="15883" max="15883" width="14.54296875" style="31" customWidth="1"/>
    <col min="15884" max="15884" width="34.453125" style="31" customWidth="1"/>
    <col min="15885" max="15885" width="10.54296875" style="31" customWidth="1"/>
    <col min="15886" max="15886" width="9.1796875" style="31"/>
    <col min="15887" max="15887" width="26.453125" style="31" customWidth="1"/>
    <col min="15888" max="15888" width="27.453125" style="31" customWidth="1"/>
    <col min="15889" max="16128" width="9.1796875" style="31"/>
    <col min="16129" max="16129" width="17.453125" style="31" customWidth="1"/>
    <col min="16130" max="16130" width="13.81640625" style="31" customWidth="1"/>
    <col min="16131" max="16131" width="16.1796875" style="31" customWidth="1"/>
    <col min="16132" max="16132" width="13" style="31" customWidth="1"/>
    <col min="16133" max="16133" width="11.1796875" style="31" customWidth="1"/>
    <col min="16134" max="16134" width="11.81640625" style="31" customWidth="1"/>
    <col min="16135" max="16135" width="14.81640625" style="31" customWidth="1"/>
    <col min="16136" max="16136" width="11.81640625" style="31" customWidth="1"/>
    <col min="16137" max="16137" width="20.54296875" style="31" customWidth="1"/>
    <col min="16138" max="16138" width="12.54296875" style="31" customWidth="1"/>
    <col min="16139" max="16139" width="14.54296875" style="31" customWidth="1"/>
    <col min="16140" max="16140" width="34.453125" style="31" customWidth="1"/>
    <col min="16141" max="16141" width="10.54296875" style="31" customWidth="1"/>
    <col min="16142" max="16142" width="9.1796875" style="31"/>
    <col min="16143" max="16143" width="26.453125" style="31" customWidth="1"/>
    <col min="16144" max="16144" width="27.453125" style="31" customWidth="1"/>
    <col min="16145" max="16384" width="9.1796875" style="31"/>
  </cols>
  <sheetData>
    <row r="1" spans="1:16" ht="30.65" customHeight="1" thickTop="1" thickBot="1">
      <c r="A1" s="516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5" customHeight="1" thickTop="1" thickBot="1">
      <c r="A2" s="517"/>
      <c r="B2" s="40" t="s">
        <v>204</v>
      </c>
      <c r="C2" s="519" t="s">
        <v>409</v>
      </c>
      <c r="D2" s="520"/>
      <c r="E2" s="521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5" customHeight="1" thickTop="1" thickBot="1">
      <c r="A3" s="517"/>
      <c r="B3" s="40" t="s">
        <v>206</v>
      </c>
      <c r="C3" s="519" t="s">
        <v>207</v>
      </c>
      <c r="D3" s="520"/>
      <c r="E3" s="521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2" thickTop="1" thickBot="1">
      <c r="A4" s="518"/>
      <c r="B4" s="40" t="s">
        <v>191</v>
      </c>
      <c r="C4" s="522" t="s">
        <v>412</v>
      </c>
      <c r="D4" s="523"/>
      <c r="E4" s="524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" thickBot="1">
      <c r="O7" s="34"/>
      <c r="P7" s="34"/>
    </row>
    <row r="8" spans="1:16" ht="22.4" customHeight="1" thickTop="1" thickBot="1">
      <c r="A8" s="528" t="s">
        <v>164</v>
      </c>
      <c r="B8" s="529"/>
      <c r="C8" s="529"/>
      <c r="D8" s="529"/>
      <c r="E8" s="529"/>
      <c r="F8" s="529"/>
      <c r="G8" s="529"/>
      <c r="H8" s="529"/>
      <c r="I8" s="529"/>
      <c r="J8" s="529"/>
      <c r="K8" s="529"/>
      <c r="L8" s="530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5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" thickTop="1">
      <c r="M12" s="45"/>
      <c r="O12" s="34"/>
      <c r="P12" s="34"/>
    </row>
    <row r="13" spans="1:16" ht="15" thickBot="1">
      <c r="O13" s="34"/>
      <c r="P13" s="34"/>
    </row>
    <row r="14" spans="1:16" ht="22.4" customHeight="1" thickBot="1">
      <c r="A14" s="525" t="s">
        <v>177</v>
      </c>
      <c r="B14" s="526"/>
      <c r="C14" s="526"/>
      <c r="D14" s="526"/>
      <c r="E14" s="526"/>
      <c r="F14" s="526"/>
      <c r="G14" s="526"/>
      <c r="H14" s="526"/>
      <c r="I14" s="526"/>
      <c r="J14" s="526"/>
      <c r="K14" s="526"/>
      <c r="L14" s="526"/>
      <c r="M14" s="526"/>
      <c r="N14" s="527"/>
      <c r="O14" s="34"/>
      <c r="P14" s="34"/>
    </row>
    <row r="15" spans="1:16" ht="47.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37" t="s">
        <v>73</v>
      </c>
      <c r="N15" s="538"/>
      <c r="O15" s="34"/>
      <c r="P15" s="34"/>
    </row>
    <row r="16" spans="1:16" ht="66.650000000000006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1"/>
      <c r="N16" s="542"/>
      <c r="O16" s="33"/>
    </row>
    <row r="17" spans="1:16" ht="39.65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3"/>
      <c r="N17" s="544"/>
    </row>
    <row r="18" spans="1:16" ht="15.5" thickTop="1" thickBot="1">
      <c r="P18" s="35"/>
    </row>
    <row r="19" spans="1:16" s="36" customFormat="1" ht="22.4" customHeight="1" thickTop="1" thickBot="1">
      <c r="A19" s="531" t="s">
        <v>210</v>
      </c>
      <c r="B19" s="532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2"/>
      <c r="N19" s="532"/>
      <c r="O19" s="533"/>
    </row>
    <row r="20" spans="1:16" s="36" customFormat="1" ht="40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4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4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5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3</v>
      </c>
      <c r="J23" s="85">
        <v>302</v>
      </c>
      <c r="K23" s="86">
        <v>276</v>
      </c>
      <c r="L23" s="85">
        <f t="shared" si="0"/>
        <v>26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8</v>
      </c>
      <c r="G24" s="85">
        <v>30</v>
      </c>
      <c r="H24" s="87">
        <v>4.8230000000000004</v>
      </c>
      <c r="I24" s="87">
        <f>0.319+4.823</f>
        <v>5.1420000000000003</v>
      </c>
      <c r="J24" s="85">
        <v>115</v>
      </c>
      <c r="K24" s="86">
        <f>59.3+4.823</f>
        <v>64.12299999999999</v>
      </c>
      <c r="L24" s="86">
        <f t="shared" ref="L24" si="1">+C24-K24</f>
        <v>51.01100000000001</v>
      </c>
      <c r="M24" s="85">
        <v>9</v>
      </c>
      <c r="N24" s="85">
        <v>2</v>
      </c>
      <c r="O24" s="497" t="s">
        <v>1114</v>
      </c>
    </row>
    <row r="25" spans="1:16" ht="15" thickTop="1">
      <c r="A25" s="37"/>
      <c r="N25" s="545"/>
      <c r="O25" s="545"/>
    </row>
    <row r="26" spans="1:16" ht="15" thickBot="1">
      <c r="A26" s="37"/>
    </row>
    <row r="27" spans="1:16" ht="42.65" customHeight="1" thickBot="1">
      <c r="A27" s="183" t="s">
        <v>12</v>
      </c>
      <c r="B27" s="164" t="s">
        <v>368</v>
      </c>
      <c r="C27" s="165" t="s">
        <v>369</v>
      </c>
      <c r="D27" s="514" t="s">
        <v>370</v>
      </c>
      <c r="E27" s="515"/>
      <c r="F27" s="508" t="s">
        <v>378</v>
      </c>
      <c r="G27" s="508"/>
      <c r="H27" s="546" t="s">
        <v>355</v>
      </c>
      <c r="I27" s="547"/>
    </row>
    <row r="28" spans="1:16" ht="42.65" customHeight="1">
      <c r="A28" s="184"/>
      <c r="B28" s="185" t="s">
        <v>416</v>
      </c>
      <c r="C28" s="180" t="s">
        <v>417</v>
      </c>
      <c r="D28" s="510" t="s">
        <v>434</v>
      </c>
      <c r="E28" s="511"/>
      <c r="F28" s="504"/>
      <c r="G28" s="505"/>
      <c r="H28" s="181"/>
      <c r="I28" s="182"/>
    </row>
    <row r="29" spans="1:16" ht="42.65" customHeight="1">
      <c r="A29" s="184"/>
      <c r="B29" s="185" t="s">
        <v>416</v>
      </c>
      <c r="C29" s="180" t="s">
        <v>419</v>
      </c>
      <c r="D29" s="506" t="s">
        <v>421</v>
      </c>
      <c r="E29" s="507"/>
      <c r="F29" s="502" t="s">
        <v>435</v>
      </c>
      <c r="G29" s="503"/>
      <c r="H29" s="181"/>
      <c r="I29" s="182"/>
    </row>
    <row r="30" spans="1:16" ht="42.65" customHeight="1">
      <c r="A30" s="184"/>
      <c r="B30" s="185" t="s">
        <v>416</v>
      </c>
      <c r="C30" s="180" t="s">
        <v>1054</v>
      </c>
      <c r="D30" s="506" t="s">
        <v>690</v>
      </c>
      <c r="E30" s="507"/>
      <c r="F30" s="502" t="s">
        <v>691</v>
      </c>
      <c r="G30" s="503"/>
      <c r="H30" s="181"/>
      <c r="I30" s="182"/>
    </row>
    <row r="31" spans="1:16" ht="42.65" customHeight="1">
      <c r="A31" s="184"/>
      <c r="B31" s="185" t="s">
        <v>416</v>
      </c>
      <c r="C31" s="180" t="s">
        <v>423</v>
      </c>
      <c r="D31" s="506" t="s">
        <v>437</v>
      </c>
      <c r="E31" s="507"/>
      <c r="F31" s="502"/>
      <c r="G31" s="503"/>
      <c r="H31" s="181"/>
      <c r="I31" s="182"/>
    </row>
    <row r="32" spans="1:16" ht="42.65" customHeight="1">
      <c r="A32" s="184"/>
      <c r="B32" s="185" t="s">
        <v>416</v>
      </c>
      <c r="C32" s="180" t="s">
        <v>424</v>
      </c>
      <c r="D32" s="506" t="s">
        <v>328</v>
      </c>
      <c r="E32" s="507"/>
      <c r="F32" s="502"/>
      <c r="G32" s="503"/>
      <c r="H32" s="181"/>
      <c r="I32" s="182"/>
    </row>
    <row r="33" spans="1:9" ht="42.65" customHeight="1">
      <c r="A33" s="184"/>
      <c r="B33" s="185" t="s">
        <v>416</v>
      </c>
      <c r="C33" s="180" t="s">
        <v>426</v>
      </c>
      <c r="D33" s="506" t="s">
        <v>294</v>
      </c>
      <c r="E33" s="507"/>
      <c r="F33" s="502"/>
      <c r="G33" s="503"/>
      <c r="H33" s="181"/>
      <c r="I33" s="182"/>
    </row>
    <row r="34" spans="1:9" ht="42.65" customHeight="1">
      <c r="A34" s="184"/>
      <c r="B34" s="185" t="s">
        <v>416</v>
      </c>
      <c r="C34" s="180" t="s">
        <v>427</v>
      </c>
      <c r="D34" s="506" t="s">
        <v>327</v>
      </c>
      <c r="E34" s="507"/>
      <c r="F34" s="502"/>
      <c r="G34" s="503"/>
      <c r="H34" s="181"/>
      <c r="I34" s="182"/>
    </row>
    <row r="35" spans="1:9" ht="42.65" customHeight="1">
      <c r="A35" s="184"/>
      <c r="B35" s="185" t="s">
        <v>416</v>
      </c>
      <c r="C35" s="180" t="s">
        <v>430</v>
      </c>
      <c r="D35" s="506" t="s">
        <v>134</v>
      </c>
      <c r="E35" s="507"/>
      <c r="F35" s="502"/>
      <c r="G35" s="503"/>
      <c r="H35" s="181"/>
      <c r="I35" s="182"/>
    </row>
    <row r="36" spans="1:9" ht="42.65" customHeight="1">
      <c r="A36" s="184"/>
      <c r="B36" s="185" t="s">
        <v>416</v>
      </c>
      <c r="C36" s="180" t="s">
        <v>1043</v>
      </c>
      <c r="D36" s="506" t="s">
        <v>431</v>
      </c>
      <c r="E36" s="507"/>
      <c r="F36" s="502" t="s">
        <v>439</v>
      </c>
      <c r="G36" s="503"/>
      <c r="H36" s="181"/>
      <c r="I36" s="182"/>
    </row>
    <row r="37" spans="1:9" ht="42.65" customHeight="1">
      <c r="A37" s="184"/>
      <c r="B37" s="185" t="s">
        <v>416</v>
      </c>
      <c r="C37" s="180" t="s">
        <v>432</v>
      </c>
      <c r="D37" s="506" t="s">
        <v>299</v>
      </c>
      <c r="E37" s="507"/>
      <c r="F37" s="502" t="s">
        <v>693</v>
      </c>
      <c r="G37" s="503"/>
      <c r="H37" s="181"/>
      <c r="I37" s="182"/>
    </row>
    <row r="38" spans="1:9" ht="42.65" customHeight="1">
      <c r="A38" s="184"/>
      <c r="B38" s="185" t="s">
        <v>416</v>
      </c>
      <c r="C38" s="180" t="s">
        <v>1112</v>
      </c>
      <c r="D38" s="506" t="s">
        <v>875</v>
      </c>
      <c r="E38" s="507"/>
      <c r="F38" s="502"/>
      <c r="G38" s="503"/>
      <c r="H38" s="500" t="s">
        <v>1113</v>
      </c>
      <c r="I38" s="501"/>
    </row>
    <row r="39" spans="1:9" ht="42.65" customHeight="1">
      <c r="A39" s="184"/>
      <c r="B39" s="185" t="s">
        <v>416</v>
      </c>
      <c r="C39" s="180"/>
      <c r="D39" s="506"/>
      <c r="E39" s="507"/>
      <c r="F39" s="502"/>
      <c r="G39" s="503"/>
      <c r="H39" s="181"/>
      <c r="I39" s="182"/>
    </row>
    <row r="40" spans="1:9" ht="42.65" customHeight="1">
      <c r="A40" s="184"/>
      <c r="B40" s="185" t="s">
        <v>416</v>
      </c>
      <c r="C40" s="180"/>
      <c r="D40" s="506"/>
      <c r="E40" s="507"/>
      <c r="F40" s="502"/>
      <c r="G40" s="503"/>
      <c r="H40" s="181"/>
      <c r="I40" s="182"/>
    </row>
    <row r="41" spans="1:9" ht="42.65" customHeight="1">
      <c r="A41" s="184"/>
      <c r="B41" s="185" t="s">
        <v>416</v>
      </c>
      <c r="C41" s="180"/>
      <c r="D41" s="506"/>
      <c r="E41" s="507"/>
      <c r="F41" s="502"/>
      <c r="G41" s="503"/>
      <c r="H41" s="181"/>
      <c r="I41" s="182"/>
    </row>
    <row r="42" spans="1:9" ht="42.65" customHeight="1">
      <c r="A42" s="184"/>
      <c r="B42" s="185" t="s">
        <v>416</v>
      </c>
      <c r="C42" s="180"/>
      <c r="D42" s="506"/>
      <c r="E42" s="507"/>
      <c r="F42" s="502"/>
      <c r="G42" s="503"/>
      <c r="H42" s="181"/>
      <c r="I42" s="182"/>
    </row>
    <row r="43" spans="1:9" ht="42.65" customHeight="1" thickBot="1">
      <c r="A43" s="184"/>
      <c r="B43" s="186"/>
      <c r="C43" s="162"/>
      <c r="D43" s="187"/>
      <c r="E43" s="187"/>
      <c r="F43" s="175"/>
      <c r="G43" s="176"/>
      <c r="H43" s="188"/>
      <c r="I43" s="189"/>
    </row>
    <row r="45" spans="1:9" ht="6" customHeight="1">
      <c r="A45" s="37"/>
    </row>
    <row r="46" spans="1:9" ht="6" customHeight="1">
      <c r="A46" s="37"/>
    </row>
    <row r="47" spans="1:9" s="160" customFormat="1" ht="28.4" customHeight="1">
      <c r="A47" s="159" t="s">
        <v>366</v>
      </c>
    </row>
    <row r="48" spans="1:9" s="157" customFormat="1" ht="9" customHeight="1">
      <c r="A48" s="158"/>
      <c r="B48" s="509"/>
      <c r="C48" s="509"/>
      <c r="D48" s="509"/>
      <c r="E48" s="509"/>
      <c r="F48" s="509"/>
      <c r="G48" s="509"/>
    </row>
    <row r="49" spans="1:15" s="157" customFormat="1" ht="9" customHeight="1">
      <c r="A49" s="158"/>
      <c r="B49" s="509"/>
      <c r="C49" s="509"/>
      <c r="D49" s="509"/>
      <c r="E49" s="509"/>
      <c r="F49" s="509"/>
      <c r="G49" s="509"/>
    </row>
    <row r="50" spans="1:15" s="157" customFormat="1" ht="10.4" customHeight="1">
      <c r="A50" s="158"/>
      <c r="B50" s="509"/>
      <c r="C50" s="509"/>
      <c r="D50" s="509"/>
      <c r="E50" s="509"/>
      <c r="F50" s="509"/>
      <c r="G50" s="509"/>
    </row>
    <row r="51" spans="1:15" s="157" customFormat="1" ht="24.65" customHeight="1">
      <c r="A51" s="158" t="s">
        <v>367</v>
      </c>
      <c r="B51" s="509" t="s">
        <v>374</v>
      </c>
      <c r="C51" s="509"/>
      <c r="D51" s="509"/>
      <c r="E51" s="509"/>
      <c r="F51" s="509"/>
      <c r="G51" s="509"/>
      <c r="H51" s="509"/>
      <c r="I51" s="509"/>
      <c r="J51" s="509"/>
      <c r="K51" s="156"/>
      <c r="L51" s="156"/>
      <c r="M51" s="536"/>
      <c r="N51" s="536"/>
      <c r="O51" s="536"/>
    </row>
    <row r="52" spans="1:15" s="157" customFormat="1" ht="24.65" customHeight="1">
      <c r="A52" s="158" t="s">
        <v>367</v>
      </c>
      <c r="B52" s="509" t="s">
        <v>375</v>
      </c>
      <c r="C52" s="509"/>
      <c r="D52" s="509"/>
      <c r="E52" s="509"/>
      <c r="F52" s="509"/>
      <c r="G52" s="509"/>
      <c r="H52" s="509"/>
      <c r="I52" s="509"/>
      <c r="J52" s="509"/>
      <c r="K52" s="156"/>
      <c r="L52" s="156"/>
      <c r="M52" s="163"/>
      <c r="N52" s="163"/>
      <c r="O52" s="163"/>
    </row>
    <row r="53" spans="1:15" s="157" customFormat="1" ht="24.65" customHeight="1">
      <c r="A53" s="158" t="s">
        <v>367</v>
      </c>
      <c r="B53" s="509" t="s">
        <v>381</v>
      </c>
      <c r="C53" s="509"/>
      <c r="D53" s="509"/>
      <c r="E53" s="509"/>
      <c r="F53" s="509"/>
      <c r="G53" s="509"/>
      <c r="H53" s="509"/>
      <c r="I53" s="509"/>
      <c r="J53" s="509"/>
      <c r="K53" s="156"/>
      <c r="L53" s="156"/>
      <c r="M53" s="163"/>
      <c r="N53" s="163"/>
      <c r="O53" s="163"/>
    </row>
    <row r="54" spans="1:15" s="58" customFormat="1" ht="17.5" customHeight="1">
      <c r="A54" s="156"/>
      <c r="B54" s="31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3"/>
      <c r="N54" s="153"/>
      <c r="O54" s="153"/>
    </row>
    <row r="56" spans="1:15" ht="18.5">
      <c r="A56" s="12"/>
      <c r="B56" s="552" t="s">
        <v>251</v>
      </c>
      <c r="C56" s="553"/>
      <c r="D56"/>
      <c r="E56"/>
      <c r="F56"/>
      <c r="G56"/>
      <c r="H56"/>
      <c r="I56"/>
      <c r="J56"/>
    </row>
    <row r="57" spans="1:15" ht="26">
      <c r="A57" s="59" t="s">
        <v>222</v>
      </c>
      <c r="B57" s="548" t="s">
        <v>252</v>
      </c>
      <c r="C57" s="549"/>
      <c r="D57" s="59" t="s">
        <v>253</v>
      </c>
      <c r="E57" s="59" t="s">
        <v>254</v>
      </c>
      <c r="F57" s="59" t="s">
        <v>1037</v>
      </c>
      <c r="G57" s="150" t="s">
        <v>267</v>
      </c>
      <c r="H57" s="59" t="s">
        <v>255</v>
      </c>
      <c r="I57" s="59" t="s">
        <v>256</v>
      </c>
      <c r="J57" s="512" t="s">
        <v>73</v>
      </c>
      <c r="K57" s="513"/>
    </row>
    <row r="58" spans="1:15" ht="36" customHeight="1">
      <c r="A58" s="130">
        <v>1</v>
      </c>
      <c r="B58" s="534" t="s">
        <v>257</v>
      </c>
      <c r="C58" s="535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ref="H58:H77" si="2">F58-G58</f>
        <v>0</v>
      </c>
      <c r="I58" s="129">
        <f t="shared" ref="I58:I77" si="3">E58-G58</f>
        <v>0</v>
      </c>
      <c r="J58" s="539"/>
      <c r="K58" s="540"/>
    </row>
    <row r="59" spans="1:15" ht="36" customHeight="1">
      <c r="A59" s="130">
        <v>2</v>
      </c>
      <c r="B59" s="534" t="s">
        <v>259</v>
      </c>
      <c r="C59" s="535"/>
      <c r="D59" s="126" t="s">
        <v>258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39"/>
      <c r="K59" s="540"/>
      <c r="L59" s="141"/>
    </row>
    <row r="60" spans="1:15" ht="36" customHeight="1">
      <c r="A60" s="130">
        <v>3</v>
      </c>
      <c r="B60" s="534" t="s">
        <v>260</v>
      </c>
      <c r="C60" s="535"/>
      <c r="D60" s="126" t="s">
        <v>261</v>
      </c>
      <c r="E60" s="127">
        <v>302</v>
      </c>
      <c r="F60" s="127">
        <v>302</v>
      </c>
      <c r="G60" s="151">
        <v>302</v>
      </c>
      <c r="H60" s="128">
        <f t="shared" si="2"/>
        <v>0</v>
      </c>
      <c r="I60" s="129">
        <f t="shared" si="3"/>
        <v>0</v>
      </c>
      <c r="J60" s="550"/>
      <c r="K60" s="551"/>
    </row>
    <row r="61" spans="1:15" ht="36" customHeight="1">
      <c r="A61" s="130">
        <v>4</v>
      </c>
      <c r="B61" s="534" t="s">
        <v>262</v>
      </c>
      <c r="C61" s="535"/>
      <c r="D61" s="126" t="s">
        <v>72</v>
      </c>
      <c r="E61" s="127">
        <v>116</v>
      </c>
      <c r="F61" s="127">
        <v>116</v>
      </c>
      <c r="G61" s="152">
        <v>116</v>
      </c>
      <c r="H61" s="128">
        <f t="shared" si="2"/>
        <v>0</v>
      </c>
      <c r="I61" s="129">
        <f t="shared" si="3"/>
        <v>0</v>
      </c>
      <c r="J61" s="539"/>
      <c r="K61" s="540"/>
    </row>
    <row r="62" spans="1:15" ht="36" customHeight="1">
      <c r="A62" s="130">
        <v>5</v>
      </c>
      <c r="B62" s="534" t="s">
        <v>263</v>
      </c>
      <c r="C62" s="535"/>
      <c r="D62" s="126" t="s">
        <v>72</v>
      </c>
      <c r="E62" s="127">
        <v>4186</v>
      </c>
      <c r="F62" s="127">
        <v>4186</v>
      </c>
      <c r="G62" s="152">
        <v>4186</v>
      </c>
      <c r="H62" s="128">
        <f t="shared" si="2"/>
        <v>0</v>
      </c>
      <c r="I62" s="129">
        <f t="shared" si="3"/>
        <v>0</v>
      </c>
      <c r="J62" s="539"/>
      <c r="K62" s="540"/>
      <c r="M62" s="38"/>
    </row>
    <row r="63" spans="1:15" ht="37.4" customHeight="1">
      <c r="A63" s="130">
        <v>6</v>
      </c>
      <c r="B63" s="534" t="s">
        <v>264</v>
      </c>
      <c r="C63" s="535"/>
      <c r="D63" s="126" t="s">
        <v>68</v>
      </c>
      <c r="E63" s="127">
        <v>5784</v>
      </c>
      <c r="F63" s="127">
        <v>5784</v>
      </c>
      <c r="G63" s="151">
        <v>5784</v>
      </c>
      <c r="H63" s="128">
        <f t="shared" si="2"/>
        <v>0</v>
      </c>
      <c r="I63" s="129">
        <f t="shared" si="3"/>
        <v>0</v>
      </c>
      <c r="J63" s="550"/>
      <c r="K63" s="551"/>
    </row>
    <row r="64" spans="1:15" ht="37.4" customHeight="1">
      <c r="A64" s="130">
        <f>A63+1</f>
        <v>7</v>
      </c>
      <c r="B64" s="534" t="s">
        <v>265</v>
      </c>
      <c r="C64" s="535"/>
      <c r="D64" s="126" t="s">
        <v>68</v>
      </c>
      <c r="E64" s="127">
        <v>7440</v>
      </c>
      <c r="F64" s="127">
        <v>7440</v>
      </c>
      <c r="G64" s="151">
        <v>7440</v>
      </c>
      <c r="H64" s="128">
        <f t="shared" si="2"/>
        <v>0</v>
      </c>
      <c r="I64" s="129">
        <f t="shared" si="3"/>
        <v>0</v>
      </c>
      <c r="J64" s="550"/>
      <c r="K64" s="551"/>
    </row>
    <row r="65" spans="1:13" ht="37.4" customHeight="1">
      <c r="A65" s="130">
        <f t="shared" ref="A65:A77" si="4">A64+1</f>
        <v>8</v>
      </c>
      <c r="B65" s="534" t="s">
        <v>358</v>
      </c>
      <c r="C65" s="535"/>
      <c r="D65" s="126" t="s">
        <v>72</v>
      </c>
      <c r="E65" s="127">
        <v>121</v>
      </c>
      <c r="F65" s="127">
        <v>121</v>
      </c>
      <c r="G65" s="152">
        <v>121</v>
      </c>
      <c r="H65" s="128">
        <f t="shared" si="2"/>
        <v>0</v>
      </c>
      <c r="I65" s="129">
        <f t="shared" si="3"/>
        <v>0</v>
      </c>
      <c r="J65" s="539"/>
      <c r="K65" s="540"/>
    </row>
    <row r="66" spans="1:13" ht="35.5" customHeight="1">
      <c r="A66" s="130">
        <f t="shared" si="4"/>
        <v>9</v>
      </c>
      <c r="B66" s="534" t="s">
        <v>339</v>
      </c>
      <c r="C66" s="535"/>
      <c r="D66" s="126" t="s">
        <v>338</v>
      </c>
      <c r="E66" s="127">
        <v>936</v>
      </c>
      <c r="F66" s="126">
        <f>E66</f>
        <v>936</v>
      </c>
      <c r="G66" s="151">
        <v>936</v>
      </c>
      <c r="H66" s="128">
        <f t="shared" si="2"/>
        <v>0</v>
      </c>
      <c r="I66" s="129">
        <f t="shared" si="3"/>
        <v>0</v>
      </c>
      <c r="J66" s="550"/>
      <c r="K66" s="551"/>
      <c r="L66" s="132"/>
      <c r="M66" s="133"/>
    </row>
    <row r="67" spans="1:13" ht="37.4" customHeight="1">
      <c r="A67" s="130">
        <f t="shared" si="4"/>
        <v>10</v>
      </c>
      <c r="B67" s="534" t="s">
        <v>340</v>
      </c>
      <c r="C67" s="535"/>
      <c r="D67" s="126" t="s">
        <v>338</v>
      </c>
      <c r="E67" s="127">
        <v>1350</v>
      </c>
      <c r="F67" s="126">
        <f t="shared" ref="F67:F77" si="5">E67</f>
        <v>1350</v>
      </c>
      <c r="G67" s="151">
        <v>1350</v>
      </c>
      <c r="H67" s="128">
        <f t="shared" si="2"/>
        <v>0</v>
      </c>
      <c r="I67" s="129">
        <f t="shared" si="3"/>
        <v>0</v>
      </c>
      <c r="J67" s="539"/>
      <c r="K67" s="540"/>
      <c r="L67" s="132"/>
      <c r="M67" s="133"/>
    </row>
    <row r="68" spans="1:13" ht="36.65" customHeight="1">
      <c r="A68" s="130">
        <f t="shared" si="4"/>
        <v>11</v>
      </c>
      <c r="B68" s="534" t="s">
        <v>343</v>
      </c>
      <c r="C68" s="535"/>
      <c r="D68" s="126" t="s">
        <v>338</v>
      </c>
      <c r="E68" s="127">
        <v>2870</v>
      </c>
      <c r="F68" s="126">
        <f t="shared" si="5"/>
        <v>2870</v>
      </c>
      <c r="G68" s="151">
        <v>2760</v>
      </c>
      <c r="H68" s="128">
        <f t="shared" ref="H68" si="6">F68-G68</f>
        <v>110</v>
      </c>
      <c r="I68" s="129">
        <f t="shared" ref="I68" si="7">E68-G68</f>
        <v>110</v>
      </c>
      <c r="J68" s="550"/>
      <c r="K68" s="551"/>
      <c r="L68" s="132"/>
      <c r="M68" s="133"/>
    </row>
    <row r="69" spans="1:13" ht="35.5" customHeight="1">
      <c r="A69" s="130">
        <f t="shared" si="4"/>
        <v>12</v>
      </c>
      <c r="B69" s="534" t="s">
        <v>341</v>
      </c>
      <c r="C69" s="535"/>
      <c r="D69" s="126" t="s">
        <v>338</v>
      </c>
      <c r="E69" s="127">
        <v>196</v>
      </c>
      <c r="F69" s="126">
        <f t="shared" si="5"/>
        <v>196</v>
      </c>
      <c r="G69" s="151">
        <v>196</v>
      </c>
      <c r="H69" s="128">
        <f t="shared" si="2"/>
        <v>0</v>
      </c>
      <c r="I69" s="129">
        <f t="shared" si="3"/>
        <v>0</v>
      </c>
      <c r="J69" s="550"/>
      <c r="K69" s="551"/>
      <c r="L69" s="132"/>
      <c r="M69" s="133"/>
    </row>
    <row r="70" spans="1:13" ht="28.4" customHeight="1">
      <c r="A70" s="130">
        <f t="shared" si="4"/>
        <v>13</v>
      </c>
      <c r="B70" s="534" t="s">
        <v>348</v>
      </c>
      <c r="C70" s="535"/>
      <c r="D70" s="126" t="s">
        <v>338</v>
      </c>
      <c r="E70" s="127">
        <v>2100</v>
      </c>
      <c r="F70" s="126">
        <f t="shared" si="5"/>
        <v>2100</v>
      </c>
      <c r="G70" s="151">
        <v>2100</v>
      </c>
      <c r="H70" s="128">
        <f t="shared" si="2"/>
        <v>0</v>
      </c>
      <c r="I70" s="129">
        <f t="shared" si="3"/>
        <v>0</v>
      </c>
      <c r="J70" s="550"/>
      <c r="K70" s="551"/>
      <c r="L70" s="132"/>
      <c r="M70" s="133"/>
    </row>
    <row r="71" spans="1:13" ht="28.4" customHeight="1">
      <c r="A71" s="130">
        <f t="shared" si="4"/>
        <v>14</v>
      </c>
      <c r="B71" s="534" t="s">
        <v>337</v>
      </c>
      <c r="C71" s="535"/>
      <c r="D71" s="126" t="s">
        <v>338</v>
      </c>
      <c r="E71" s="127">
        <v>12726</v>
      </c>
      <c r="F71" s="126">
        <f t="shared" si="5"/>
        <v>12726</v>
      </c>
      <c r="G71" s="151">
        <v>12726</v>
      </c>
      <c r="H71" s="128">
        <f t="shared" si="2"/>
        <v>0</v>
      </c>
      <c r="I71" s="129">
        <f t="shared" si="3"/>
        <v>0</v>
      </c>
      <c r="J71" s="539" t="s">
        <v>383</v>
      </c>
      <c r="K71" s="540"/>
      <c r="L71" s="132"/>
      <c r="M71" s="133"/>
    </row>
    <row r="72" spans="1:13" ht="37.4" customHeight="1">
      <c r="A72" s="130">
        <f t="shared" si="4"/>
        <v>15</v>
      </c>
      <c r="B72" s="534" t="s">
        <v>342</v>
      </c>
      <c r="C72" s="535"/>
      <c r="D72" s="126" t="s">
        <v>338</v>
      </c>
      <c r="E72" s="127">
        <v>700</v>
      </c>
      <c r="F72" s="126">
        <v>700</v>
      </c>
      <c r="G72" s="151">
        <v>700</v>
      </c>
      <c r="H72" s="128">
        <f t="shared" si="2"/>
        <v>0</v>
      </c>
      <c r="I72" s="129">
        <f t="shared" si="3"/>
        <v>0</v>
      </c>
      <c r="J72" s="550"/>
      <c r="K72" s="551"/>
      <c r="L72" s="132"/>
      <c r="M72" s="133"/>
    </row>
    <row r="73" spans="1:13" ht="28.4" customHeight="1">
      <c r="A73" s="130">
        <f t="shared" si="4"/>
        <v>16</v>
      </c>
      <c r="B73" s="534" t="s">
        <v>344</v>
      </c>
      <c r="C73" s="535"/>
      <c r="D73" s="126" t="s">
        <v>338</v>
      </c>
      <c r="E73" s="127">
        <v>381</v>
      </c>
      <c r="F73" s="126">
        <f t="shared" si="5"/>
        <v>381</v>
      </c>
      <c r="G73" s="151">
        <v>379</v>
      </c>
      <c r="H73" s="128">
        <f t="shared" si="2"/>
        <v>2</v>
      </c>
      <c r="I73" s="129">
        <f t="shared" si="3"/>
        <v>2</v>
      </c>
      <c r="J73" s="554"/>
      <c r="K73" s="555"/>
      <c r="L73" s="132"/>
      <c r="M73" s="133"/>
    </row>
    <row r="74" spans="1:13" ht="28.4" customHeight="1">
      <c r="A74" s="130">
        <f t="shared" si="4"/>
        <v>17</v>
      </c>
      <c r="B74" s="534" t="s">
        <v>336</v>
      </c>
      <c r="C74" s="535"/>
      <c r="D74" s="126" t="s">
        <v>338</v>
      </c>
      <c r="E74" s="127">
        <v>225</v>
      </c>
      <c r="F74" s="126">
        <f t="shared" si="5"/>
        <v>225</v>
      </c>
      <c r="G74" s="151">
        <v>225</v>
      </c>
      <c r="H74" s="128">
        <f t="shared" ref="H74" si="8">F74-G74</f>
        <v>0</v>
      </c>
      <c r="I74" s="129">
        <f t="shared" ref="I74" si="9">E74-G74</f>
        <v>0</v>
      </c>
      <c r="J74" s="554"/>
      <c r="K74" s="555"/>
    </row>
    <row r="75" spans="1:13" ht="28.4" customHeight="1">
      <c r="A75" s="130">
        <f t="shared" si="4"/>
        <v>18</v>
      </c>
      <c r="B75" s="534" t="s">
        <v>345</v>
      </c>
      <c r="C75" s="535"/>
      <c r="D75" s="126" t="s">
        <v>338</v>
      </c>
      <c r="E75" s="127">
        <v>760</v>
      </c>
      <c r="F75" s="126">
        <f t="shared" si="5"/>
        <v>760</v>
      </c>
      <c r="G75" s="151">
        <v>756</v>
      </c>
      <c r="H75" s="128">
        <f t="shared" si="2"/>
        <v>4</v>
      </c>
      <c r="I75" s="129">
        <f t="shared" si="3"/>
        <v>4</v>
      </c>
      <c r="J75" s="554"/>
      <c r="K75" s="555"/>
    </row>
    <row r="76" spans="1:13" ht="28.4" customHeight="1">
      <c r="A76" s="130">
        <f t="shared" si="4"/>
        <v>19</v>
      </c>
      <c r="B76" s="534" t="s">
        <v>346</v>
      </c>
      <c r="C76" s="535"/>
      <c r="D76" s="126" t="s">
        <v>338</v>
      </c>
      <c r="E76" s="127">
        <v>156</v>
      </c>
      <c r="F76" s="126">
        <f t="shared" ref="F76" si="10">E76</f>
        <v>156</v>
      </c>
      <c r="G76" s="151">
        <v>154</v>
      </c>
      <c r="H76" s="128">
        <f t="shared" si="2"/>
        <v>2</v>
      </c>
      <c r="I76" s="129">
        <f t="shared" si="3"/>
        <v>2</v>
      </c>
      <c r="J76" s="554"/>
      <c r="K76" s="555"/>
    </row>
    <row r="77" spans="1:13" ht="28.4" customHeight="1">
      <c r="A77" s="130">
        <f t="shared" si="4"/>
        <v>20</v>
      </c>
      <c r="B77" s="534" t="s">
        <v>347</v>
      </c>
      <c r="C77" s="535"/>
      <c r="D77" s="126" t="s">
        <v>338</v>
      </c>
      <c r="E77" s="127">
        <v>64</v>
      </c>
      <c r="F77" s="126">
        <f t="shared" si="5"/>
        <v>64</v>
      </c>
      <c r="G77" s="151">
        <v>64</v>
      </c>
      <c r="H77" s="128">
        <f t="shared" si="2"/>
        <v>0</v>
      </c>
      <c r="I77" s="129">
        <f t="shared" si="3"/>
        <v>0</v>
      </c>
      <c r="J77" s="554"/>
      <c r="K77" s="555"/>
    </row>
  </sheetData>
  <mergeCells count="95">
    <mergeCell ref="B74:C74"/>
    <mergeCell ref="J67:K67"/>
    <mergeCell ref="J68:K68"/>
    <mergeCell ref="J77:K77"/>
    <mergeCell ref="J74:K74"/>
    <mergeCell ref="J72:K72"/>
    <mergeCell ref="B67:C67"/>
    <mergeCell ref="J73:K73"/>
    <mergeCell ref="J75:K75"/>
    <mergeCell ref="J76:K76"/>
    <mergeCell ref="B77:C77"/>
    <mergeCell ref="B76:C76"/>
    <mergeCell ref="B75:C75"/>
    <mergeCell ref="B73:C73"/>
    <mergeCell ref="B72:C72"/>
    <mergeCell ref="B71:C71"/>
    <mergeCell ref="J63:K63"/>
    <mergeCell ref="B65:C65"/>
    <mergeCell ref="B56:C56"/>
    <mergeCell ref="B63:C63"/>
    <mergeCell ref="B64:C64"/>
    <mergeCell ref="J62:K62"/>
    <mergeCell ref="B62:C62"/>
    <mergeCell ref="B59:C59"/>
    <mergeCell ref="J60:K60"/>
    <mergeCell ref="J61:K61"/>
    <mergeCell ref="B60:C60"/>
    <mergeCell ref="B61:C61"/>
    <mergeCell ref="J71:K71"/>
    <mergeCell ref="B66:C66"/>
    <mergeCell ref="J66:K66"/>
    <mergeCell ref="J65:K65"/>
    <mergeCell ref="J64:K64"/>
    <mergeCell ref="B70:C70"/>
    <mergeCell ref="B69:C69"/>
    <mergeCell ref="B68:C68"/>
    <mergeCell ref="J69:K69"/>
    <mergeCell ref="J70:K70"/>
    <mergeCell ref="A19:O19"/>
    <mergeCell ref="B58:C58"/>
    <mergeCell ref="M51:O51"/>
    <mergeCell ref="M15:N15"/>
    <mergeCell ref="J59:K59"/>
    <mergeCell ref="J58:K58"/>
    <mergeCell ref="D30:E30"/>
    <mergeCell ref="F30:G30"/>
    <mergeCell ref="M16:N16"/>
    <mergeCell ref="M17:N17"/>
    <mergeCell ref="N25:O25"/>
    <mergeCell ref="H27:I27"/>
    <mergeCell ref="B57:C57"/>
    <mergeCell ref="B50:G50"/>
    <mergeCell ref="B49:G49"/>
    <mergeCell ref="B48:G48"/>
    <mergeCell ref="A1:A4"/>
    <mergeCell ref="C2:E2"/>
    <mergeCell ref="C3:E3"/>
    <mergeCell ref="C4:E4"/>
    <mergeCell ref="A14:N14"/>
    <mergeCell ref="A8:L8"/>
    <mergeCell ref="F27:G27"/>
    <mergeCell ref="B51:J51"/>
    <mergeCell ref="D28:E28"/>
    <mergeCell ref="B52:J52"/>
    <mergeCell ref="J57:K57"/>
    <mergeCell ref="B53:J53"/>
    <mergeCell ref="D27:E27"/>
    <mergeCell ref="D29:E29"/>
    <mergeCell ref="D31:E31"/>
    <mergeCell ref="D32:E32"/>
    <mergeCell ref="D33:E33"/>
    <mergeCell ref="D34:E34"/>
    <mergeCell ref="F41:G41"/>
    <mergeCell ref="D35:E35"/>
    <mergeCell ref="D36:E36"/>
    <mergeCell ref="D37:E37"/>
    <mergeCell ref="D38:E38"/>
    <mergeCell ref="D39:E39"/>
    <mergeCell ref="D42:E42"/>
    <mergeCell ref="F42:G42"/>
    <mergeCell ref="D40:E40"/>
    <mergeCell ref="D41:E41"/>
    <mergeCell ref="F39:G39"/>
    <mergeCell ref="F40:G40"/>
    <mergeCell ref="H38:I38"/>
    <mergeCell ref="F35:G35"/>
    <mergeCell ref="F37:G37"/>
    <mergeCell ref="F38:G38"/>
    <mergeCell ref="F28:G28"/>
    <mergeCell ref="F29:G29"/>
    <mergeCell ref="F31:G31"/>
    <mergeCell ref="F32:G32"/>
    <mergeCell ref="F34:G34"/>
    <mergeCell ref="F36:G36"/>
    <mergeCell ref="F33:G33"/>
  </mergeCells>
  <phoneticPr fontId="83" type="noConversion"/>
  <conditionalFormatting sqref="C10:K11 D45:D47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5:D56 D78:D187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I279" sqref="I279"/>
    </sheetView>
  </sheetViews>
  <sheetFormatPr defaultRowHeight="14.5"/>
  <cols>
    <col min="3" max="3" width="13" customWidth="1"/>
    <col min="5" max="5" width="10.453125" bestFit="1" customWidth="1"/>
    <col min="11" max="11" width="21.54296875" bestFit="1" customWidth="1"/>
    <col min="12" max="12" width="32.81640625" bestFit="1" customWidth="1"/>
  </cols>
  <sheetData>
    <row r="1" spans="1:47" ht="26.5" thickBot="1">
      <c r="A1" s="30" t="s">
        <v>197</v>
      </c>
      <c r="B1" s="30" t="s">
        <v>59</v>
      </c>
      <c r="C1" s="419" t="s">
        <v>57</v>
      </c>
      <c r="D1" s="30" t="s">
        <v>162</v>
      </c>
      <c r="E1" s="30" t="s">
        <v>384</v>
      </c>
      <c r="F1" s="30" t="s">
        <v>385</v>
      </c>
      <c r="G1" s="558" t="s">
        <v>71</v>
      </c>
      <c r="H1" s="559"/>
      <c r="I1" s="559"/>
      <c r="J1" s="560"/>
      <c r="K1" s="30" t="s">
        <v>386</v>
      </c>
      <c r="L1" s="30" t="s">
        <v>192</v>
      </c>
      <c r="M1" s="30" t="s">
        <v>193</v>
      </c>
      <c r="N1" s="558" t="s">
        <v>194</v>
      </c>
      <c r="O1" s="559"/>
      <c r="P1" s="560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56" t="s">
        <v>196</v>
      </c>
      <c r="H2" s="556"/>
      <c r="I2" s="556"/>
      <c r="J2" s="556"/>
      <c r="K2" s="202">
        <v>45551</v>
      </c>
      <c r="L2" s="203" t="s">
        <v>664</v>
      </c>
      <c r="M2" s="10"/>
      <c r="N2" s="557"/>
      <c r="O2" s="557"/>
      <c r="P2" s="557"/>
    </row>
    <row r="3" spans="1:47" ht="18.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56" t="s">
        <v>196</v>
      </c>
      <c r="H3" s="556"/>
      <c r="I3" s="556"/>
      <c r="J3" s="556"/>
      <c r="K3" s="202">
        <v>45564</v>
      </c>
      <c r="L3" s="203" t="s">
        <v>664</v>
      </c>
      <c r="M3" s="10"/>
      <c r="N3" s="557"/>
      <c r="O3" s="557"/>
      <c r="P3" s="557"/>
    </row>
    <row r="4" spans="1:47" ht="15.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56" t="s">
        <v>196</v>
      </c>
      <c r="H4" s="556"/>
      <c r="I4" s="556"/>
      <c r="J4" s="556"/>
      <c r="K4" s="202">
        <v>45566</v>
      </c>
      <c r="L4" s="203" t="s">
        <v>665</v>
      </c>
      <c r="M4" s="10"/>
      <c r="N4" s="557"/>
      <c r="O4" s="557"/>
      <c r="P4" s="557"/>
    </row>
    <row r="5" spans="1:47" ht="15.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56" t="s">
        <v>196</v>
      </c>
      <c r="H5" s="556"/>
      <c r="I5" s="556"/>
      <c r="J5" s="556"/>
      <c r="K5" s="202">
        <v>45572</v>
      </c>
      <c r="L5" s="203" t="s">
        <v>664</v>
      </c>
      <c r="M5" s="10"/>
      <c r="N5" s="557"/>
      <c r="O5" s="557"/>
      <c r="P5" s="557"/>
    </row>
    <row r="6" spans="1:47" ht="15.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56" t="s">
        <v>196</v>
      </c>
      <c r="H6" s="556"/>
      <c r="I6" s="556"/>
      <c r="J6" s="556"/>
      <c r="K6" s="202">
        <v>45580</v>
      </c>
      <c r="L6" s="203" t="s">
        <v>665</v>
      </c>
      <c r="M6" s="10"/>
      <c r="N6" s="557"/>
      <c r="O6" s="557"/>
      <c r="P6" s="557"/>
    </row>
    <row r="7" spans="1:47" ht="15.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56" t="s">
        <v>196</v>
      </c>
      <c r="H7" s="556"/>
      <c r="I7" s="556"/>
      <c r="J7" s="556"/>
      <c r="K7" s="202">
        <v>45578</v>
      </c>
      <c r="L7" s="203" t="s">
        <v>664</v>
      </c>
      <c r="M7" s="10"/>
      <c r="N7" s="557"/>
      <c r="O7" s="557"/>
      <c r="P7" s="557"/>
    </row>
    <row r="8" spans="1:47" ht="15.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56" t="s">
        <v>196</v>
      </c>
      <c r="H8" s="556"/>
      <c r="I8" s="556"/>
      <c r="J8" s="556"/>
      <c r="K8" s="202">
        <v>45584</v>
      </c>
      <c r="L8" s="203" t="s">
        <v>664</v>
      </c>
      <c r="M8" s="10"/>
      <c r="N8" s="557"/>
      <c r="O8" s="557"/>
      <c r="P8" s="557"/>
    </row>
    <row r="9" spans="1:47" ht="15.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56" t="s">
        <v>196</v>
      </c>
      <c r="H9" s="556"/>
      <c r="I9" s="556"/>
      <c r="J9" s="556"/>
      <c r="K9" s="202">
        <v>45589</v>
      </c>
      <c r="L9" s="203" t="s">
        <v>665</v>
      </c>
      <c r="M9" s="10"/>
      <c r="N9" s="557"/>
      <c r="O9" s="557"/>
      <c r="P9" s="557"/>
    </row>
    <row r="10" spans="1:47" ht="15.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56" t="s">
        <v>196</v>
      </c>
      <c r="H10" s="556"/>
      <c r="I10" s="556"/>
      <c r="J10" s="556"/>
      <c r="K10" s="202">
        <v>45589</v>
      </c>
      <c r="L10" s="203" t="s">
        <v>664</v>
      </c>
      <c r="M10" s="10"/>
      <c r="N10" s="557"/>
      <c r="O10" s="557"/>
      <c r="P10" s="557"/>
    </row>
    <row r="11" spans="1:47" ht="15.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56" t="s">
        <v>196</v>
      </c>
      <c r="H11" s="556"/>
      <c r="I11" s="556"/>
      <c r="J11" s="556"/>
      <c r="K11" s="202">
        <v>45594</v>
      </c>
      <c r="L11" s="203" t="s">
        <v>664</v>
      </c>
      <c r="M11" s="10"/>
      <c r="N11" s="557"/>
      <c r="O11" s="557"/>
      <c r="P11" s="557"/>
    </row>
    <row r="12" spans="1:47" ht="15.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56" t="s">
        <v>196</v>
      </c>
      <c r="H12" s="556"/>
      <c r="I12" s="556"/>
      <c r="J12" s="556"/>
      <c r="K12" s="202">
        <v>45596</v>
      </c>
      <c r="L12" s="203" t="s">
        <v>665</v>
      </c>
      <c r="M12" s="10"/>
      <c r="N12" s="557"/>
      <c r="O12" s="557"/>
      <c r="P12" s="557"/>
    </row>
    <row r="13" spans="1:47" ht="15.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56" t="s">
        <v>196</v>
      </c>
      <c r="H13" s="556"/>
      <c r="I13" s="556"/>
      <c r="J13" s="556"/>
      <c r="K13" s="202">
        <v>45600</v>
      </c>
      <c r="L13" s="203" t="s">
        <v>664</v>
      </c>
      <c r="M13" s="10"/>
      <c r="N13" s="557"/>
      <c r="O13" s="557"/>
      <c r="P13" s="557"/>
    </row>
    <row r="14" spans="1:47" ht="15.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56" t="s">
        <v>196</v>
      </c>
      <c r="H14" s="556"/>
      <c r="I14" s="556"/>
      <c r="J14" s="556"/>
      <c r="K14" s="202">
        <v>45606</v>
      </c>
      <c r="L14" s="203" t="s">
        <v>664</v>
      </c>
      <c r="M14" s="10"/>
      <c r="N14" s="557"/>
      <c r="O14" s="557"/>
      <c r="P14" s="557"/>
    </row>
    <row r="15" spans="1:47" ht="15.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56" t="s">
        <v>196</v>
      </c>
      <c r="H15" s="556"/>
      <c r="I15" s="556"/>
      <c r="J15" s="556"/>
      <c r="K15" s="202" t="s">
        <v>663</v>
      </c>
      <c r="L15" s="203" t="s">
        <v>665</v>
      </c>
      <c r="M15" s="10"/>
      <c r="N15" s="557"/>
      <c r="O15" s="557"/>
      <c r="P15" s="557"/>
    </row>
    <row r="16" spans="1:47" ht="15.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56" t="s">
        <v>196</v>
      </c>
      <c r="H16" s="556"/>
      <c r="I16" s="556"/>
      <c r="J16" s="556"/>
      <c r="K16" s="202">
        <v>45613</v>
      </c>
      <c r="L16" s="203" t="s">
        <v>664</v>
      </c>
      <c r="M16" s="10"/>
      <c r="N16" s="557"/>
      <c r="O16" s="557"/>
      <c r="P16" s="557"/>
    </row>
    <row r="17" spans="1:16" ht="15.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56" t="s">
        <v>196</v>
      </c>
      <c r="H17" s="556"/>
      <c r="I17" s="556"/>
      <c r="J17" s="556"/>
      <c r="K17" s="202">
        <v>45618</v>
      </c>
      <c r="L17" s="203" t="s">
        <v>664</v>
      </c>
      <c r="M17" s="10"/>
      <c r="N17" s="557"/>
      <c r="O17" s="557"/>
      <c r="P17" s="557"/>
    </row>
    <row r="18" spans="1:16" ht="15.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56" t="s">
        <v>196</v>
      </c>
      <c r="H18" s="556"/>
      <c r="I18" s="556"/>
      <c r="J18" s="556"/>
      <c r="K18" s="202">
        <v>45620</v>
      </c>
      <c r="L18" s="203" t="s">
        <v>666</v>
      </c>
      <c r="M18" s="10"/>
      <c r="N18" s="557"/>
      <c r="O18" s="557"/>
      <c r="P18" s="557"/>
    </row>
    <row r="19" spans="1:16" ht="15.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56" t="s">
        <v>196</v>
      </c>
      <c r="H19" s="556"/>
      <c r="I19" s="556"/>
      <c r="J19" s="556"/>
      <c r="K19" s="202">
        <v>45622</v>
      </c>
      <c r="L19" s="203" t="s">
        <v>420</v>
      </c>
      <c r="M19" s="10"/>
      <c r="N19" s="557"/>
      <c r="O19" s="557"/>
      <c r="P19" s="557"/>
    </row>
    <row r="20" spans="1:16" ht="15.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56" t="s">
        <v>196</v>
      </c>
      <c r="H20" s="556"/>
      <c r="I20" s="556"/>
      <c r="J20" s="556"/>
      <c r="K20" s="202">
        <v>45621</v>
      </c>
      <c r="L20" s="203" t="s">
        <v>667</v>
      </c>
      <c r="M20" s="10"/>
      <c r="N20" s="557"/>
      <c r="O20" s="557"/>
      <c r="P20" s="557"/>
    </row>
    <row r="21" spans="1:16" ht="15.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56" t="s">
        <v>196</v>
      </c>
      <c r="H21" s="556"/>
      <c r="I21" s="556"/>
      <c r="J21" s="556"/>
      <c r="K21" s="202">
        <v>45621</v>
      </c>
      <c r="L21" s="203" t="s">
        <v>665</v>
      </c>
      <c r="M21" s="10"/>
      <c r="N21" s="557"/>
      <c r="O21" s="557"/>
      <c r="P21" s="557"/>
    </row>
    <row r="22" spans="1:16" ht="15.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56" t="s">
        <v>196</v>
      </c>
      <c r="H22" s="556"/>
      <c r="I22" s="556"/>
      <c r="J22" s="556"/>
      <c r="K22" s="202">
        <v>45624</v>
      </c>
      <c r="L22" s="203" t="s">
        <v>664</v>
      </c>
      <c r="M22" s="10"/>
      <c r="N22" s="561"/>
      <c r="O22" s="561"/>
      <c r="P22" s="561"/>
    </row>
    <row r="23" spans="1:16" ht="15.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6" t="s">
        <v>196</v>
      </c>
      <c r="H23" s="556"/>
      <c r="I23" s="556"/>
      <c r="J23" s="556"/>
      <c r="K23" s="202">
        <v>45625</v>
      </c>
      <c r="L23" s="203" t="s">
        <v>668</v>
      </c>
      <c r="M23" s="10"/>
      <c r="N23" s="562"/>
      <c r="O23" s="562"/>
      <c r="P23" s="562"/>
    </row>
    <row r="24" spans="1:16" ht="15.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56" t="s">
        <v>196</v>
      </c>
      <c r="H24" s="556"/>
      <c r="I24" s="556"/>
      <c r="J24" s="556"/>
      <c r="K24" s="202">
        <v>45629</v>
      </c>
      <c r="L24" s="203" t="s">
        <v>666</v>
      </c>
      <c r="M24" s="10"/>
      <c r="N24" s="557"/>
      <c r="O24" s="557"/>
      <c r="P24" s="557"/>
    </row>
    <row r="25" spans="1:16" ht="15.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56" t="s">
        <v>196</v>
      </c>
      <c r="H25" s="556"/>
      <c r="I25" s="556"/>
      <c r="J25" s="556"/>
      <c r="K25" s="202">
        <v>45631</v>
      </c>
      <c r="L25" s="203" t="s">
        <v>420</v>
      </c>
      <c r="M25" s="10"/>
      <c r="N25" s="557"/>
      <c r="O25" s="557"/>
      <c r="P25" s="557"/>
    </row>
    <row r="26" spans="1:16" ht="15.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56" t="s">
        <v>196</v>
      </c>
      <c r="H26" s="556"/>
      <c r="I26" s="556"/>
      <c r="J26" s="556"/>
      <c r="K26" s="202">
        <v>45631</v>
      </c>
      <c r="L26" s="203" t="s">
        <v>664</v>
      </c>
      <c r="M26" s="10"/>
      <c r="N26" s="561"/>
      <c r="O26" s="561"/>
      <c r="P26" s="561"/>
    </row>
    <row r="27" spans="1:16" ht="15.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56" t="s">
        <v>196</v>
      </c>
      <c r="H27" s="556"/>
      <c r="I27" s="556"/>
      <c r="J27" s="556"/>
      <c r="K27" s="202">
        <v>45631</v>
      </c>
      <c r="L27" s="203" t="s">
        <v>667</v>
      </c>
      <c r="M27" s="10"/>
      <c r="N27" s="561"/>
      <c r="O27" s="561"/>
      <c r="P27" s="561"/>
    </row>
    <row r="28" spans="1:16" ht="15.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56" t="s">
        <v>196</v>
      </c>
      <c r="H28" s="556"/>
      <c r="I28" s="556"/>
      <c r="J28" s="556"/>
      <c r="K28" s="202">
        <v>45632</v>
      </c>
      <c r="L28" s="203" t="s">
        <v>665</v>
      </c>
      <c r="M28" s="10"/>
      <c r="N28" s="561"/>
      <c r="O28" s="561"/>
      <c r="P28" s="561"/>
    </row>
    <row r="29" spans="1:16" ht="15.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56" t="s">
        <v>196</v>
      </c>
      <c r="H29" s="556"/>
      <c r="I29" s="556"/>
      <c r="J29" s="556"/>
      <c r="K29" s="202">
        <v>45635</v>
      </c>
      <c r="L29" s="203" t="s">
        <v>666</v>
      </c>
      <c r="M29" s="10"/>
      <c r="N29" s="561"/>
      <c r="O29" s="561"/>
      <c r="P29" s="561"/>
    </row>
    <row r="30" spans="1:16" ht="15.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6" t="s">
        <v>196</v>
      </c>
      <c r="H30" s="556"/>
      <c r="I30" s="556"/>
      <c r="J30" s="556"/>
      <c r="K30" s="202">
        <v>45636</v>
      </c>
      <c r="L30" s="203" t="s">
        <v>668</v>
      </c>
      <c r="M30" s="10"/>
      <c r="N30" s="561"/>
      <c r="O30" s="561"/>
      <c r="P30" s="561"/>
    </row>
    <row r="31" spans="1:16" ht="15.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56" t="s">
        <v>196</v>
      </c>
      <c r="H31" s="556"/>
      <c r="I31" s="556"/>
      <c r="J31" s="556"/>
      <c r="K31" s="202">
        <v>45638</v>
      </c>
      <c r="L31" s="203" t="s">
        <v>664</v>
      </c>
      <c r="M31" s="10"/>
      <c r="N31" s="561"/>
      <c r="O31" s="561"/>
      <c r="P31" s="561"/>
    </row>
    <row r="32" spans="1:16" ht="15.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56" t="s">
        <v>196</v>
      </c>
      <c r="H32" s="556"/>
      <c r="I32" s="556"/>
      <c r="J32" s="556"/>
      <c r="K32" s="202">
        <v>45638</v>
      </c>
      <c r="L32" s="203" t="s">
        <v>667</v>
      </c>
      <c r="M32" s="10"/>
      <c r="N32" s="561"/>
      <c r="O32" s="561"/>
      <c r="P32" s="561"/>
    </row>
    <row r="33" spans="1:16" ht="15.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56" t="s">
        <v>196</v>
      </c>
      <c r="H33" s="556"/>
      <c r="I33" s="556"/>
      <c r="J33" s="556"/>
      <c r="K33" s="202">
        <v>45639</v>
      </c>
      <c r="L33" s="203" t="s">
        <v>420</v>
      </c>
      <c r="M33" s="10"/>
      <c r="N33" s="561"/>
      <c r="O33" s="561"/>
      <c r="P33" s="561"/>
    </row>
    <row r="34" spans="1:16" ht="15.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56" t="s">
        <v>196</v>
      </c>
      <c r="H34" s="556"/>
      <c r="I34" s="556"/>
      <c r="J34" s="556"/>
      <c r="K34" s="202">
        <v>45642</v>
      </c>
      <c r="L34" s="203" t="s">
        <v>666</v>
      </c>
      <c r="M34" s="10"/>
      <c r="N34" s="561"/>
      <c r="O34" s="561"/>
      <c r="P34" s="561"/>
    </row>
    <row r="35" spans="1:16" ht="15.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56" t="s">
        <v>196</v>
      </c>
      <c r="H35" s="556"/>
      <c r="I35" s="556"/>
      <c r="J35" s="556"/>
      <c r="K35" s="202">
        <v>45642</v>
      </c>
      <c r="L35" s="203" t="s">
        <v>667</v>
      </c>
      <c r="M35" s="10"/>
      <c r="N35" s="561"/>
      <c r="O35" s="561"/>
      <c r="P35" s="561"/>
    </row>
    <row r="36" spans="1:16" ht="15.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56" t="s">
        <v>196</v>
      </c>
      <c r="H36" s="556"/>
      <c r="I36" s="556"/>
      <c r="J36" s="556"/>
      <c r="K36" s="202">
        <v>45643</v>
      </c>
      <c r="L36" s="203" t="s">
        <v>664</v>
      </c>
      <c r="M36" s="10"/>
      <c r="N36" s="561"/>
      <c r="O36" s="561"/>
      <c r="P36" s="561"/>
    </row>
    <row r="37" spans="1:16" ht="15.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6" t="s">
        <v>196</v>
      </c>
      <c r="H37" s="556"/>
      <c r="I37" s="556"/>
      <c r="J37" s="556"/>
      <c r="K37" s="202">
        <v>45645</v>
      </c>
      <c r="L37" s="203" t="s">
        <v>665</v>
      </c>
      <c r="M37" s="10"/>
      <c r="N37" s="561"/>
      <c r="O37" s="561"/>
      <c r="P37" s="561"/>
    </row>
    <row r="38" spans="1:16" ht="15.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6" t="s">
        <v>196</v>
      </c>
      <c r="H38" s="556"/>
      <c r="I38" s="556"/>
      <c r="J38" s="556"/>
      <c r="K38" s="202">
        <v>45646</v>
      </c>
      <c r="L38" s="203" t="s">
        <v>668</v>
      </c>
      <c r="M38" s="10"/>
      <c r="N38" s="561"/>
      <c r="O38" s="561"/>
      <c r="P38" s="561"/>
    </row>
    <row r="39" spans="1:16" ht="15.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56" t="s">
        <v>196</v>
      </c>
      <c r="H39" s="556"/>
      <c r="I39" s="556"/>
      <c r="J39" s="556"/>
      <c r="K39" s="202">
        <v>45647</v>
      </c>
      <c r="L39" s="203" t="s">
        <v>420</v>
      </c>
      <c r="M39" s="10"/>
      <c r="N39" s="561"/>
      <c r="O39" s="561"/>
      <c r="P39" s="561"/>
    </row>
    <row r="40" spans="1:16" ht="15.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56" t="s">
        <v>196</v>
      </c>
      <c r="H40" s="556"/>
      <c r="I40" s="556"/>
      <c r="J40" s="556"/>
      <c r="K40" s="202">
        <v>45648</v>
      </c>
      <c r="L40" s="203" t="s">
        <v>667</v>
      </c>
      <c r="M40" s="10"/>
      <c r="N40" s="561"/>
      <c r="O40" s="561"/>
      <c r="P40" s="561"/>
    </row>
    <row r="41" spans="1:16" ht="18.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56" t="s">
        <v>196</v>
      </c>
      <c r="H41" s="556"/>
      <c r="I41" s="556"/>
      <c r="J41" s="556"/>
      <c r="K41" s="202">
        <v>45649</v>
      </c>
      <c r="L41" s="204" t="s">
        <v>664</v>
      </c>
      <c r="M41" s="10"/>
      <c r="N41" s="563"/>
      <c r="O41" s="563"/>
      <c r="P41" s="563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56" t="s">
        <v>196</v>
      </c>
      <c r="H42" s="556"/>
      <c r="I42" s="556"/>
      <c r="J42" s="556"/>
      <c r="K42" s="202">
        <v>45649</v>
      </c>
      <c r="L42" s="203" t="s">
        <v>666</v>
      </c>
      <c r="M42" s="10"/>
      <c r="N42" s="564"/>
      <c r="O42" s="564"/>
      <c r="P42" s="564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6" t="s">
        <v>196</v>
      </c>
      <c r="H43" s="556"/>
      <c r="I43" s="556"/>
      <c r="J43" s="556"/>
      <c r="K43" s="202">
        <v>45653</v>
      </c>
      <c r="L43" s="203" t="s">
        <v>668</v>
      </c>
      <c r="M43" s="10"/>
      <c r="N43" s="564"/>
      <c r="O43" s="564"/>
      <c r="P43" s="564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56" t="s">
        <v>196</v>
      </c>
      <c r="H44" s="556"/>
      <c r="I44" s="556"/>
      <c r="J44" s="556"/>
      <c r="K44" s="202">
        <v>45653</v>
      </c>
      <c r="L44" s="203" t="s">
        <v>420</v>
      </c>
      <c r="M44" s="10"/>
      <c r="N44" s="564"/>
      <c r="O44" s="564"/>
      <c r="P44" s="564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56" t="s">
        <v>196</v>
      </c>
      <c r="H45" s="556"/>
      <c r="I45" s="556"/>
      <c r="J45" s="556"/>
      <c r="K45" s="202">
        <v>45653</v>
      </c>
      <c r="L45" s="203" t="s">
        <v>667</v>
      </c>
      <c r="M45" s="10"/>
      <c r="N45" s="565"/>
      <c r="O45" s="565"/>
      <c r="P45" s="565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56" t="s">
        <v>196</v>
      </c>
      <c r="H46" s="556"/>
      <c r="I46" s="556"/>
      <c r="J46" s="556"/>
      <c r="K46" s="202">
        <v>45656</v>
      </c>
      <c r="L46" s="203" t="s">
        <v>666</v>
      </c>
      <c r="M46" s="10"/>
      <c r="N46" s="565"/>
      <c r="O46" s="565"/>
      <c r="P46" s="565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56" t="s">
        <v>196</v>
      </c>
      <c r="H47" s="556"/>
      <c r="I47" s="556"/>
      <c r="J47" s="556"/>
      <c r="K47" s="202">
        <v>45657</v>
      </c>
      <c r="L47" s="203" t="s">
        <v>665</v>
      </c>
      <c r="M47" s="10"/>
      <c r="N47" s="565"/>
      <c r="O47" s="565"/>
      <c r="P47" s="565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56" t="s">
        <v>196</v>
      </c>
      <c r="H48" s="556"/>
      <c r="I48" s="556"/>
      <c r="J48" s="556"/>
      <c r="K48" s="202">
        <v>45657</v>
      </c>
      <c r="L48" s="203" t="s">
        <v>664</v>
      </c>
      <c r="M48" s="10"/>
      <c r="N48" s="565"/>
      <c r="O48" s="565"/>
      <c r="P48" s="565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56" t="s">
        <v>196</v>
      </c>
      <c r="H49" s="556"/>
      <c r="I49" s="556"/>
      <c r="J49" s="556"/>
      <c r="K49" s="202">
        <v>45660</v>
      </c>
      <c r="L49" s="203" t="s">
        <v>669</v>
      </c>
      <c r="M49" s="10"/>
      <c r="N49" s="565"/>
      <c r="O49" s="565"/>
      <c r="P49" s="565"/>
    </row>
    <row r="50" spans="1:16" ht="26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56" t="s">
        <v>196</v>
      </c>
      <c r="H50" s="556"/>
      <c r="I50" s="556"/>
      <c r="J50" s="556"/>
      <c r="K50" s="202">
        <v>45660</v>
      </c>
      <c r="L50" s="203" t="s">
        <v>667</v>
      </c>
      <c r="M50" s="10"/>
      <c r="N50" s="566"/>
      <c r="O50" s="566"/>
      <c r="P50" s="566"/>
    </row>
    <row r="51" spans="1:16" ht="26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6" t="s">
        <v>196</v>
      </c>
      <c r="H51" s="556"/>
      <c r="I51" s="556"/>
      <c r="J51" s="556"/>
      <c r="K51" s="202">
        <v>45661</v>
      </c>
      <c r="L51" s="203" t="s">
        <v>668</v>
      </c>
      <c r="M51" s="10"/>
      <c r="N51" s="566"/>
      <c r="O51" s="566"/>
      <c r="P51" s="566"/>
    </row>
    <row r="52" spans="1:16" ht="26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56" t="s">
        <v>196</v>
      </c>
      <c r="H52" s="556"/>
      <c r="I52" s="556"/>
      <c r="J52" s="556"/>
      <c r="K52" s="202">
        <v>45664</v>
      </c>
      <c r="L52" s="203" t="s">
        <v>666</v>
      </c>
      <c r="M52" s="10"/>
      <c r="N52" s="566"/>
      <c r="O52" s="566"/>
      <c r="P52" s="566"/>
    </row>
    <row r="53" spans="1:16" ht="26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56" t="s">
        <v>196</v>
      </c>
      <c r="H53" s="556"/>
      <c r="I53" s="556"/>
      <c r="J53" s="556"/>
      <c r="K53" s="202">
        <v>45665</v>
      </c>
      <c r="L53" s="203" t="s">
        <v>420</v>
      </c>
      <c r="M53" s="10"/>
      <c r="N53" s="566"/>
      <c r="O53" s="566"/>
      <c r="P53" s="566"/>
    </row>
    <row r="54" spans="1:16" ht="26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56" t="s">
        <v>196</v>
      </c>
      <c r="H54" s="556"/>
      <c r="I54" s="556"/>
      <c r="J54" s="556"/>
      <c r="K54" s="202">
        <v>45667</v>
      </c>
      <c r="L54" s="203" t="s">
        <v>664</v>
      </c>
      <c r="M54" s="10"/>
      <c r="N54" s="566"/>
      <c r="O54" s="566"/>
      <c r="P54" s="566"/>
    </row>
    <row r="55" spans="1:16" ht="26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56" t="s">
        <v>196</v>
      </c>
      <c r="H55" s="556"/>
      <c r="I55" s="556"/>
      <c r="J55" s="556"/>
      <c r="K55" s="202">
        <v>45668</v>
      </c>
      <c r="L55" s="203" t="s">
        <v>669</v>
      </c>
      <c r="M55" s="10"/>
      <c r="N55" s="566"/>
      <c r="O55" s="566"/>
      <c r="P55" s="566"/>
    </row>
    <row r="56" spans="1:16" ht="26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56" t="s">
        <v>196</v>
      </c>
      <c r="H56" s="556"/>
      <c r="I56" s="556"/>
      <c r="J56" s="556"/>
      <c r="K56" s="202">
        <v>45668</v>
      </c>
      <c r="L56" s="203" t="s">
        <v>667</v>
      </c>
      <c r="M56" s="10"/>
      <c r="N56" s="566"/>
      <c r="O56" s="566"/>
      <c r="P56" s="566"/>
    </row>
    <row r="57" spans="1:16" ht="26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56" t="s">
        <v>196</v>
      </c>
      <c r="H57" s="556"/>
      <c r="I57" s="556"/>
      <c r="J57" s="556"/>
      <c r="K57" s="202">
        <v>45671</v>
      </c>
      <c r="L57" s="203" t="s">
        <v>666</v>
      </c>
      <c r="M57" s="10"/>
      <c r="N57" s="566"/>
      <c r="O57" s="566"/>
      <c r="P57" s="566"/>
    </row>
    <row r="58" spans="1:16" ht="26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56" t="s">
        <v>196</v>
      </c>
      <c r="H58" s="556"/>
      <c r="I58" s="556"/>
      <c r="J58" s="556"/>
      <c r="K58" s="202">
        <v>45672</v>
      </c>
      <c r="L58" s="203" t="s">
        <v>668</v>
      </c>
      <c r="M58" s="10"/>
      <c r="N58" s="566"/>
      <c r="O58" s="566"/>
      <c r="P58" s="566"/>
    </row>
    <row r="59" spans="1:16" ht="26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6" t="s">
        <v>196</v>
      </c>
      <c r="H59" s="556"/>
      <c r="I59" s="556"/>
      <c r="J59" s="556"/>
      <c r="K59" s="202">
        <v>45674</v>
      </c>
      <c r="L59" s="203" t="s">
        <v>665</v>
      </c>
      <c r="M59" s="10"/>
      <c r="N59" s="566"/>
      <c r="O59" s="566"/>
      <c r="P59" s="566"/>
    </row>
    <row r="60" spans="1:16" ht="26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56" t="s">
        <v>196</v>
      </c>
      <c r="H60" s="556"/>
      <c r="I60" s="556"/>
      <c r="J60" s="556"/>
      <c r="K60" s="202">
        <v>45674</v>
      </c>
      <c r="L60" s="203" t="s">
        <v>420</v>
      </c>
      <c r="M60" s="10"/>
      <c r="N60" s="566"/>
      <c r="O60" s="566"/>
      <c r="P60" s="566"/>
    </row>
    <row r="61" spans="1:16" ht="26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56" t="s">
        <v>196</v>
      </c>
      <c r="H61" s="556"/>
      <c r="I61" s="556"/>
      <c r="J61" s="556"/>
      <c r="K61" s="202">
        <v>45674</v>
      </c>
      <c r="L61" s="203" t="s">
        <v>664</v>
      </c>
      <c r="M61" s="10"/>
      <c r="N61" s="566"/>
      <c r="O61" s="566"/>
      <c r="P61" s="566"/>
    </row>
    <row r="62" spans="1:16" ht="26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56" t="s">
        <v>196</v>
      </c>
      <c r="H62" s="556"/>
      <c r="I62" s="556"/>
      <c r="J62" s="556"/>
      <c r="K62" s="202">
        <v>45676</v>
      </c>
      <c r="L62" s="203" t="s">
        <v>669</v>
      </c>
      <c r="M62" s="10"/>
      <c r="N62" s="566"/>
      <c r="O62" s="566"/>
      <c r="P62" s="566"/>
    </row>
    <row r="63" spans="1:16" ht="26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56" t="s">
        <v>196</v>
      </c>
      <c r="H63" s="556"/>
      <c r="I63" s="556"/>
      <c r="J63" s="556"/>
      <c r="K63" s="202">
        <v>45678</v>
      </c>
      <c r="L63" s="203" t="s">
        <v>667</v>
      </c>
      <c r="M63" s="10"/>
      <c r="N63" s="566"/>
      <c r="O63" s="566"/>
      <c r="P63" s="566"/>
    </row>
    <row r="64" spans="1:16" ht="26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56" t="s">
        <v>196</v>
      </c>
      <c r="H64" s="556"/>
      <c r="I64" s="556"/>
      <c r="J64" s="556"/>
      <c r="K64" s="202">
        <v>45679</v>
      </c>
      <c r="L64" s="203" t="s">
        <v>666</v>
      </c>
      <c r="M64" s="10"/>
      <c r="N64" s="566"/>
      <c r="O64" s="566"/>
      <c r="P64" s="566"/>
    </row>
    <row r="65" spans="1:47" ht="15.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56" t="s">
        <v>196</v>
      </c>
      <c r="H65" s="556"/>
      <c r="I65" s="556"/>
      <c r="J65" s="556"/>
      <c r="K65" s="202">
        <v>45680</v>
      </c>
      <c r="L65" s="203" t="s">
        <v>664</v>
      </c>
      <c r="M65" s="10"/>
      <c r="N65" s="567"/>
      <c r="O65" s="567"/>
      <c r="P65" s="567"/>
    </row>
    <row r="66" spans="1:47" ht="15.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56" t="s">
        <v>196</v>
      </c>
      <c r="H66" s="556"/>
      <c r="I66" s="556"/>
      <c r="J66" s="556"/>
      <c r="K66" s="202">
        <v>45681</v>
      </c>
      <c r="L66" s="203" t="s">
        <v>668</v>
      </c>
      <c r="M66" s="10"/>
      <c r="N66" s="567"/>
      <c r="O66" s="567"/>
      <c r="P66" s="567"/>
    </row>
    <row r="67" spans="1:47" ht="26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56" t="s">
        <v>196</v>
      </c>
      <c r="H67" s="556"/>
      <c r="I67" s="556"/>
      <c r="J67" s="556"/>
      <c r="K67" s="202">
        <v>45682</v>
      </c>
      <c r="L67" s="203" t="s">
        <v>669</v>
      </c>
      <c r="M67" s="10"/>
      <c r="N67" s="566"/>
      <c r="O67" s="566"/>
      <c r="P67" s="566"/>
    </row>
    <row r="68" spans="1:47" ht="26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56" t="s">
        <v>196</v>
      </c>
      <c r="H68" s="556"/>
      <c r="I68" s="556"/>
      <c r="J68" s="556"/>
      <c r="K68" s="202">
        <v>45682</v>
      </c>
      <c r="L68" s="203" t="s">
        <v>667</v>
      </c>
      <c r="M68" s="10"/>
      <c r="N68" s="566"/>
      <c r="O68" s="566"/>
      <c r="P68" s="566"/>
    </row>
    <row r="69" spans="1:47" ht="26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56" t="s">
        <v>196</v>
      </c>
      <c r="H69" s="556"/>
      <c r="I69" s="556"/>
      <c r="J69" s="556"/>
      <c r="K69" s="202">
        <v>45684</v>
      </c>
      <c r="L69" s="203" t="s">
        <v>420</v>
      </c>
      <c r="M69" s="10"/>
      <c r="N69" s="566"/>
      <c r="O69" s="566"/>
      <c r="P69" s="566"/>
    </row>
    <row r="70" spans="1:47" ht="26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6" t="s">
        <v>196</v>
      </c>
      <c r="H70" s="556"/>
      <c r="I70" s="556"/>
      <c r="J70" s="556"/>
      <c r="K70" s="202">
        <v>45685</v>
      </c>
      <c r="L70" s="203" t="s">
        <v>665</v>
      </c>
      <c r="M70" s="10"/>
      <c r="N70" s="566"/>
      <c r="O70" s="566"/>
      <c r="P70" s="566"/>
    </row>
    <row r="71" spans="1:47" ht="26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56" t="s">
        <v>196</v>
      </c>
      <c r="H71" s="556"/>
      <c r="I71" s="556"/>
      <c r="J71" s="556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56" t="s">
        <v>196</v>
      </c>
      <c r="H72" s="556"/>
      <c r="I72" s="556"/>
      <c r="J72" s="556"/>
      <c r="K72" s="202">
        <v>45687</v>
      </c>
      <c r="L72" s="203" t="s">
        <v>666</v>
      </c>
      <c r="M72" s="10"/>
      <c r="N72" s="195"/>
      <c r="O72" s="195"/>
      <c r="P72" s="195"/>
    </row>
    <row r="73" spans="1:47" ht="26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6" t="s">
        <v>196</v>
      </c>
      <c r="H73" s="556"/>
      <c r="I73" s="556"/>
      <c r="J73" s="556"/>
      <c r="K73" s="202">
        <v>45687</v>
      </c>
      <c r="L73" s="203" t="s">
        <v>668</v>
      </c>
      <c r="M73" s="10"/>
      <c r="N73" s="566"/>
      <c r="O73" s="566"/>
      <c r="P73" s="566"/>
    </row>
    <row r="74" spans="1:47" ht="26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6" t="s">
        <v>196</v>
      </c>
      <c r="H74" s="556"/>
      <c r="I74" s="556"/>
      <c r="J74" s="556"/>
      <c r="K74" s="202">
        <v>45688</v>
      </c>
      <c r="L74" s="203" t="s">
        <v>670</v>
      </c>
      <c r="M74" s="10"/>
      <c r="N74" s="566"/>
      <c r="O74" s="566"/>
      <c r="P74" s="566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56" t="s">
        <v>196</v>
      </c>
      <c r="H75" s="556"/>
      <c r="I75" s="556"/>
      <c r="J75" s="556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56" t="s">
        <v>196</v>
      </c>
      <c r="H76" s="556"/>
      <c r="I76" s="556"/>
      <c r="J76" s="556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56" t="s">
        <v>196</v>
      </c>
      <c r="H77" s="556"/>
      <c r="I77" s="556"/>
      <c r="J77" s="556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56" t="s">
        <v>196</v>
      </c>
      <c r="H78" s="556"/>
      <c r="I78" s="556"/>
      <c r="J78" s="556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56" t="s">
        <v>196</v>
      </c>
      <c r="H79" s="556"/>
      <c r="I79" s="556"/>
      <c r="J79" s="556"/>
      <c r="K79" s="202">
        <v>45695</v>
      </c>
      <c r="L79" s="203" t="s">
        <v>668</v>
      </c>
      <c r="M79" s="10"/>
      <c r="N79" s="568"/>
      <c r="O79" s="569"/>
      <c r="P79" s="569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56" t="s">
        <v>196</v>
      </c>
      <c r="H80" s="556"/>
      <c r="I80" s="556"/>
      <c r="J80" s="556"/>
      <c r="K80" s="202">
        <v>45696</v>
      </c>
      <c r="L80" s="203" t="s">
        <v>667</v>
      </c>
      <c r="M80" s="10"/>
      <c r="N80" s="568"/>
      <c r="O80" s="569"/>
      <c r="P80" s="569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56" t="s">
        <v>196</v>
      </c>
      <c r="H81" s="556"/>
      <c r="I81" s="556"/>
      <c r="J81" s="556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56" t="s">
        <v>196</v>
      </c>
      <c r="H82" s="556"/>
      <c r="I82" s="556"/>
      <c r="J82" s="556"/>
      <c r="K82" s="202">
        <v>45698</v>
      </c>
      <c r="L82" s="203" t="s">
        <v>669</v>
      </c>
      <c r="M82" s="10"/>
      <c r="N82" s="195"/>
      <c r="O82" s="195"/>
      <c r="P82" s="195"/>
    </row>
    <row r="83" spans="1:41" ht="26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56" t="s">
        <v>196</v>
      </c>
      <c r="H83" s="556"/>
      <c r="I83" s="556"/>
      <c r="J83" s="556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6" t="s">
        <v>196</v>
      </c>
      <c r="H84" s="556"/>
      <c r="I84" s="556"/>
      <c r="J84" s="556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56" t="s">
        <v>196</v>
      </c>
      <c r="H85" s="556"/>
      <c r="I85" s="556"/>
      <c r="J85" s="556"/>
      <c r="K85" s="202">
        <v>45701</v>
      </c>
      <c r="L85" s="203" t="s">
        <v>664</v>
      </c>
      <c r="M85" s="10"/>
      <c r="N85" s="568"/>
      <c r="O85" s="569"/>
      <c r="P85" s="569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56" t="s">
        <v>196</v>
      </c>
      <c r="H86" s="556"/>
      <c r="I86" s="556"/>
      <c r="J86" s="556"/>
      <c r="K86" s="202">
        <v>45701</v>
      </c>
      <c r="L86" s="203" t="s">
        <v>420</v>
      </c>
      <c r="M86" s="10"/>
      <c r="N86" s="568"/>
      <c r="O86" s="569"/>
      <c r="P86" s="569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6" t="s">
        <v>196</v>
      </c>
      <c r="H87" s="556"/>
      <c r="I87" s="556"/>
      <c r="J87" s="556"/>
      <c r="K87" s="202">
        <v>45703</v>
      </c>
      <c r="L87" s="203" t="s">
        <v>668</v>
      </c>
      <c r="M87" s="10"/>
      <c r="N87" s="568"/>
      <c r="O87" s="569"/>
      <c r="P87" s="569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56" t="s">
        <v>196</v>
      </c>
      <c r="H88" s="556"/>
      <c r="I88" s="556"/>
      <c r="J88" s="556"/>
      <c r="K88" s="202">
        <v>45703</v>
      </c>
      <c r="L88" s="203" t="s">
        <v>667</v>
      </c>
      <c r="M88" s="10"/>
      <c r="N88" s="568"/>
      <c r="O88" s="569"/>
      <c r="P88" s="569"/>
    </row>
    <row r="89" spans="1:41" ht="15.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56" t="s">
        <v>196</v>
      </c>
      <c r="H89" s="556"/>
      <c r="I89" s="556"/>
      <c r="J89" s="556"/>
      <c r="K89" s="202">
        <v>45706</v>
      </c>
      <c r="L89" s="203" t="s">
        <v>666</v>
      </c>
      <c r="M89" s="10"/>
      <c r="N89" s="197"/>
      <c r="O89" s="198"/>
      <c r="P89" s="198"/>
    </row>
    <row r="90" spans="1:41" ht="15.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56" t="s">
        <v>196</v>
      </c>
      <c r="H90" s="556"/>
      <c r="I90" s="556"/>
      <c r="J90" s="556"/>
      <c r="K90" s="202">
        <v>45707</v>
      </c>
      <c r="L90" s="203" t="s">
        <v>420</v>
      </c>
      <c r="M90" s="10"/>
      <c r="N90" s="197"/>
      <c r="O90" s="198"/>
      <c r="P90" s="198"/>
    </row>
    <row r="91" spans="1:41" ht="15.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56" t="s">
        <v>196</v>
      </c>
      <c r="H91" s="556"/>
      <c r="I91" s="556"/>
      <c r="J91" s="556"/>
      <c r="K91" s="202">
        <v>45708</v>
      </c>
      <c r="L91" s="203" t="s">
        <v>669</v>
      </c>
      <c r="M91" s="10"/>
      <c r="N91" s="197"/>
      <c r="O91" s="198"/>
      <c r="P91" s="198"/>
    </row>
    <row r="92" spans="1:41" ht="15.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56" t="s">
        <v>196</v>
      </c>
      <c r="H92" s="556"/>
      <c r="I92" s="556"/>
      <c r="J92" s="556"/>
      <c r="K92" s="202">
        <v>45708</v>
      </c>
      <c r="L92" s="203" t="s">
        <v>665</v>
      </c>
      <c r="M92" s="10"/>
      <c r="N92" s="197"/>
      <c r="O92" s="198"/>
      <c r="P92" s="198"/>
    </row>
    <row r="93" spans="1:41" ht="15.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6" t="s">
        <v>196</v>
      </c>
      <c r="H93" s="556"/>
      <c r="I93" s="556"/>
      <c r="J93" s="556"/>
      <c r="K93" s="202">
        <v>45708</v>
      </c>
      <c r="L93" s="203" t="s">
        <v>664</v>
      </c>
      <c r="M93" s="10"/>
      <c r="N93" s="197"/>
      <c r="O93" s="198"/>
      <c r="P93" s="198"/>
    </row>
    <row r="94" spans="1:41" ht="15.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56" t="s">
        <v>196</v>
      </c>
      <c r="H94" s="556"/>
      <c r="I94" s="556"/>
      <c r="J94" s="556"/>
      <c r="K94" s="202">
        <v>45709</v>
      </c>
      <c r="L94" s="203" t="s">
        <v>667</v>
      </c>
      <c r="M94" s="10"/>
      <c r="N94" s="197"/>
      <c r="O94" s="198"/>
      <c r="P94" s="198"/>
    </row>
    <row r="95" spans="1:41" ht="15.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6" t="s">
        <v>196</v>
      </c>
      <c r="H95" s="556"/>
      <c r="I95" s="556"/>
      <c r="J95" s="556"/>
      <c r="K95" s="202">
        <v>45709</v>
      </c>
      <c r="L95" s="203" t="s">
        <v>668</v>
      </c>
      <c r="M95" s="10"/>
      <c r="N95" s="197"/>
      <c r="O95" s="198"/>
      <c r="P95" s="198"/>
    </row>
    <row r="96" spans="1:41" ht="15.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6" t="s">
        <v>196</v>
      </c>
      <c r="H96" s="556"/>
      <c r="I96" s="556"/>
      <c r="J96" s="556"/>
      <c r="K96" s="202">
        <v>45710</v>
      </c>
      <c r="L96" s="203" t="s">
        <v>670</v>
      </c>
      <c r="M96" s="10"/>
      <c r="N96" s="197"/>
      <c r="O96" s="198"/>
      <c r="P96" s="198"/>
    </row>
    <row r="97" spans="1:16" ht="15.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56" t="s">
        <v>196</v>
      </c>
      <c r="H97" s="556"/>
      <c r="I97" s="556"/>
      <c r="J97" s="556"/>
      <c r="K97" s="202">
        <v>45713</v>
      </c>
      <c r="L97" s="203" t="s">
        <v>420</v>
      </c>
      <c r="M97" s="10"/>
      <c r="N97" s="197"/>
      <c r="O97" s="198"/>
      <c r="P97" s="198"/>
    </row>
    <row r="98" spans="1:16" ht="15.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6" t="s">
        <v>196</v>
      </c>
      <c r="H98" s="556"/>
      <c r="I98" s="556"/>
      <c r="J98" s="556"/>
      <c r="K98" s="202">
        <v>45713</v>
      </c>
      <c r="L98" s="203" t="s">
        <v>664</v>
      </c>
      <c r="M98" s="10"/>
      <c r="N98" s="197"/>
      <c r="O98" s="198"/>
      <c r="P98" s="198"/>
    </row>
    <row r="99" spans="1:16" ht="15.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56" t="s">
        <v>196</v>
      </c>
      <c r="H99" s="556"/>
      <c r="I99" s="556"/>
      <c r="J99" s="556"/>
      <c r="K99" s="202">
        <v>45713</v>
      </c>
      <c r="L99" s="203" t="s">
        <v>666</v>
      </c>
      <c r="M99" s="10"/>
      <c r="N99" s="197"/>
      <c r="O99" s="198"/>
      <c r="P99" s="198"/>
    </row>
    <row r="100" spans="1:16" ht="15.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56" t="s">
        <v>196</v>
      </c>
      <c r="H100" s="556"/>
      <c r="I100" s="556"/>
      <c r="J100" s="556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6" t="s">
        <v>196</v>
      </c>
      <c r="H101" s="556"/>
      <c r="I101" s="556"/>
      <c r="J101" s="556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56" t="s">
        <v>196</v>
      </c>
      <c r="H102" s="556"/>
      <c r="I102" s="556"/>
      <c r="J102" s="556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56" t="s">
        <v>196</v>
      </c>
      <c r="H103" s="556"/>
      <c r="I103" s="556"/>
      <c r="J103" s="556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6" t="s">
        <v>196</v>
      </c>
      <c r="H104" s="556"/>
      <c r="I104" s="556"/>
      <c r="J104" s="556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6" t="s">
        <v>196</v>
      </c>
      <c r="H105" s="556"/>
      <c r="I105" s="556"/>
      <c r="J105" s="556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56" t="s">
        <v>196</v>
      </c>
      <c r="H106" s="556"/>
      <c r="I106" s="556"/>
      <c r="J106" s="556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6" t="s">
        <v>196</v>
      </c>
      <c r="H107" s="556"/>
      <c r="I107" s="556"/>
      <c r="J107" s="556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56" t="s">
        <v>196</v>
      </c>
      <c r="H108" s="556"/>
      <c r="I108" s="556"/>
      <c r="J108" s="556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56" t="s">
        <v>196</v>
      </c>
      <c r="H109" s="556"/>
      <c r="I109" s="556"/>
      <c r="J109" s="556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6" t="s">
        <v>196</v>
      </c>
      <c r="H110" s="556"/>
      <c r="I110" s="556"/>
      <c r="J110" s="556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56" t="s">
        <v>196</v>
      </c>
      <c r="H111" s="556"/>
      <c r="I111" s="556"/>
      <c r="J111" s="556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6" t="s">
        <v>196</v>
      </c>
      <c r="H112" s="556"/>
      <c r="I112" s="556"/>
      <c r="J112" s="556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6" t="s">
        <v>196</v>
      </c>
      <c r="H113" s="556"/>
      <c r="I113" s="556"/>
      <c r="J113" s="556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56" t="s">
        <v>196</v>
      </c>
      <c r="H114" s="556"/>
      <c r="I114" s="556"/>
      <c r="J114" s="556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56" t="s">
        <v>196</v>
      </c>
      <c r="H115" s="556"/>
      <c r="I115" s="556"/>
      <c r="J115" s="556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56" t="s">
        <v>196</v>
      </c>
      <c r="H116" s="556"/>
      <c r="I116" s="556"/>
      <c r="J116" s="556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6" t="s">
        <v>196</v>
      </c>
      <c r="H117" s="556"/>
      <c r="I117" s="556"/>
      <c r="J117" s="556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6" t="s">
        <v>196</v>
      </c>
      <c r="H118" s="556"/>
      <c r="I118" s="556"/>
      <c r="J118" s="556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56" t="s">
        <v>196</v>
      </c>
      <c r="H119" s="556"/>
      <c r="I119" s="556"/>
      <c r="J119" s="556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56" t="s">
        <v>196</v>
      </c>
      <c r="H120" s="556"/>
      <c r="I120" s="556"/>
      <c r="J120" s="556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56" t="s">
        <v>196</v>
      </c>
      <c r="H121" s="556"/>
      <c r="I121" s="556"/>
      <c r="J121" s="556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56" t="s">
        <v>196</v>
      </c>
      <c r="H122" s="556"/>
      <c r="I122" s="556"/>
      <c r="J122" s="556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6" t="s">
        <v>196</v>
      </c>
      <c r="H123" s="556"/>
      <c r="I123" s="556"/>
      <c r="J123" s="556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56" t="s">
        <v>196</v>
      </c>
      <c r="H124" s="556"/>
      <c r="I124" s="556"/>
      <c r="J124" s="556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56" t="s">
        <v>196</v>
      </c>
      <c r="H125" s="556"/>
      <c r="I125" s="556"/>
      <c r="J125" s="556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56" t="s">
        <v>196</v>
      </c>
      <c r="H126" s="556"/>
      <c r="I126" s="556"/>
      <c r="J126" s="556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6" t="s">
        <v>196</v>
      </c>
      <c r="H127" s="556"/>
      <c r="I127" s="556"/>
      <c r="J127" s="556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56" t="s">
        <v>196</v>
      </c>
      <c r="H128" s="556"/>
      <c r="I128" s="556"/>
      <c r="J128" s="556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56" t="s">
        <v>196</v>
      </c>
      <c r="H129" s="556"/>
      <c r="I129" s="556"/>
      <c r="J129" s="556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56" t="s">
        <v>196</v>
      </c>
      <c r="H130" s="556"/>
      <c r="I130" s="556"/>
      <c r="J130" s="556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6" t="s">
        <v>196</v>
      </c>
      <c r="H131" s="556"/>
      <c r="I131" s="556"/>
      <c r="J131" s="556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56" t="s">
        <v>196</v>
      </c>
      <c r="H132" s="556"/>
      <c r="I132" s="556"/>
      <c r="J132" s="556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56" t="s">
        <v>196</v>
      </c>
      <c r="H133" s="556"/>
      <c r="I133" s="556"/>
      <c r="J133" s="556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56" t="s">
        <v>196</v>
      </c>
      <c r="H134" s="556"/>
      <c r="I134" s="556"/>
      <c r="J134" s="556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56" t="s">
        <v>196</v>
      </c>
      <c r="H135" s="556"/>
      <c r="I135" s="556"/>
      <c r="J135" s="556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56" t="s">
        <v>196</v>
      </c>
      <c r="H136" s="556"/>
      <c r="I136" s="556"/>
      <c r="J136" s="556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6" t="s">
        <v>196</v>
      </c>
      <c r="H137" s="556"/>
      <c r="I137" s="556"/>
      <c r="J137" s="556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56" t="s">
        <v>196</v>
      </c>
      <c r="H138" s="556"/>
      <c r="I138" s="556"/>
      <c r="J138" s="556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56" t="s">
        <v>196</v>
      </c>
      <c r="H139" s="556"/>
      <c r="I139" s="556"/>
      <c r="J139" s="556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56" t="s">
        <v>196</v>
      </c>
      <c r="H140" s="556"/>
      <c r="I140" s="556"/>
      <c r="J140" s="556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56" t="s">
        <v>196</v>
      </c>
      <c r="H141" s="556"/>
      <c r="I141" s="556"/>
      <c r="J141" s="556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56" t="s">
        <v>196</v>
      </c>
      <c r="H142" s="556"/>
      <c r="I142" s="556"/>
      <c r="J142" s="556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56" t="s">
        <v>196</v>
      </c>
      <c r="H143" s="556"/>
      <c r="I143" s="556"/>
      <c r="J143" s="556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56" t="s">
        <v>196</v>
      </c>
      <c r="H144" s="556"/>
      <c r="I144" s="556"/>
      <c r="J144" s="556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56" t="s">
        <v>196</v>
      </c>
      <c r="H145" s="556"/>
      <c r="I145" s="556"/>
      <c r="J145" s="556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56" t="s">
        <v>196</v>
      </c>
      <c r="H146" s="556"/>
      <c r="I146" s="556"/>
      <c r="J146" s="556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56" t="s">
        <v>196</v>
      </c>
      <c r="H147" s="556"/>
      <c r="I147" s="556"/>
      <c r="J147" s="556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56" t="s">
        <v>196</v>
      </c>
      <c r="H148" s="556"/>
      <c r="I148" s="556"/>
      <c r="J148" s="556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56" t="s">
        <v>196</v>
      </c>
      <c r="H149" s="556"/>
      <c r="I149" s="556"/>
      <c r="J149" s="556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56" t="s">
        <v>196</v>
      </c>
      <c r="H150" s="556"/>
      <c r="I150" s="556"/>
      <c r="J150" s="556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56" t="s">
        <v>196</v>
      </c>
      <c r="H151" s="556"/>
      <c r="I151" s="556"/>
      <c r="J151" s="556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56" t="s">
        <v>196</v>
      </c>
      <c r="H152" s="556"/>
      <c r="I152" s="556"/>
      <c r="J152" s="556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56" t="s">
        <v>196</v>
      </c>
      <c r="H153" s="556"/>
      <c r="I153" s="556"/>
      <c r="J153" s="556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56" t="s">
        <v>196</v>
      </c>
      <c r="H154" s="556"/>
      <c r="I154" s="556"/>
      <c r="J154" s="556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56" t="s">
        <v>196</v>
      </c>
      <c r="H155" s="556"/>
      <c r="I155" s="556"/>
      <c r="J155" s="556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56" t="s">
        <v>196</v>
      </c>
      <c r="H156" s="556"/>
      <c r="I156" s="556"/>
      <c r="J156" s="556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56" t="s">
        <v>196</v>
      </c>
      <c r="H157" s="556"/>
      <c r="I157" s="556"/>
      <c r="J157" s="556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56" t="s">
        <v>196</v>
      </c>
      <c r="H158" s="556"/>
      <c r="I158" s="556"/>
      <c r="J158" s="556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56" t="s">
        <v>196</v>
      </c>
      <c r="H159" s="556"/>
      <c r="I159" s="556"/>
      <c r="J159" s="556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56" t="s">
        <v>196</v>
      </c>
      <c r="H160" s="556"/>
      <c r="I160" s="556"/>
      <c r="J160" s="556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56" t="s">
        <v>196</v>
      </c>
      <c r="H161" s="556"/>
      <c r="I161" s="556"/>
      <c r="J161" s="556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56" t="s">
        <v>196</v>
      </c>
      <c r="H162" s="556"/>
      <c r="I162" s="556"/>
      <c r="J162" s="556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6" t="s">
        <v>196</v>
      </c>
      <c r="H163" s="556"/>
      <c r="I163" s="556"/>
      <c r="J163" s="556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56" t="s">
        <v>196</v>
      </c>
      <c r="H164" s="556"/>
      <c r="I164" s="556"/>
      <c r="J164" s="556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56" t="s">
        <v>196</v>
      </c>
      <c r="H165" s="556"/>
      <c r="I165" s="556"/>
      <c r="J165" s="556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56" t="s">
        <v>196</v>
      </c>
      <c r="H166" s="556"/>
      <c r="I166" s="556"/>
      <c r="J166" s="556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56" t="s">
        <v>196</v>
      </c>
      <c r="H167" s="556"/>
      <c r="I167" s="556"/>
      <c r="J167" s="556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56" t="s">
        <v>196</v>
      </c>
      <c r="H168" s="556"/>
      <c r="I168" s="556"/>
      <c r="J168" s="556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56" t="s">
        <v>196</v>
      </c>
      <c r="H169" s="556"/>
      <c r="I169" s="556"/>
      <c r="J169" s="556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6" t="s">
        <v>196</v>
      </c>
      <c r="H170" s="556"/>
      <c r="I170" s="556"/>
      <c r="J170" s="556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56" t="s">
        <v>196</v>
      </c>
      <c r="H171" s="556"/>
      <c r="I171" s="556"/>
      <c r="J171" s="556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56" t="s">
        <v>196</v>
      </c>
      <c r="H172" s="556"/>
      <c r="I172" s="556"/>
      <c r="J172" s="556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56" t="s">
        <v>196</v>
      </c>
      <c r="H173" s="556"/>
      <c r="I173" s="556"/>
      <c r="J173" s="556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56" t="s">
        <v>196</v>
      </c>
      <c r="H174" s="556"/>
      <c r="I174" s="556"/>
      <c r="J174" s="556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56" t="s">
        <v>196</v>
      </c>
      <c r="H175" s="556"/>
      <c r="I175" s="556"/>
      <c r="J175" s="556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56" t="s">
        <v>196</v>
      </c>
      <c r="H176" s="556"/>
      <c r="I176" s="556"/>
      <c r="J176" s="556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56" t="s">
        <v>196</v>
      </c>
      <c r="H177" s="556"/>
      <c r="I177" s="556"/>
      <c r="J177" s="556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56" t="s">
        <v>196</v>
      </c>
      <c r="H178" s="556"/>
      <c r="I178" s="556"/>
      <c r="J178" s="556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56" t="s">
        <v>196</v>
      </c>
      <c r="H179" s="556"/>
      <c r="I179" s="556"/>
      <c r="J179" s="556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56" t="s">
        <v>196</v>
      </c>
      <c r="H180" s="556"/>
      <c r="I180" s="556"/>
      <c r="J180" s="556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6" t="s">
        <v>196</v>
      </c>
      <c r="H181" s="556"/>
      <c r="I181" s="556"/>
      <c r="J181" s="556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56" t="s">
        <v>196</v>
      </c>
      <c r="H182" s="556"/>
      <c r="I182" s="556"/>
      <c r="J182" s="556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56" t="s">
        <v>196</v>
      </c>
      <c r="H183" s="556"/>
      <c r="I183" s="556"/>
      <c r="J183" s="556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6" t="s">
        <v>196</v>
      </c>
      <c r="H184" s="556"/>
      <c r="I184" s="556"/>
      <c r="J184" s="556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56" t="s">
        <v>196</v>
      </c>
      <c r="H185" s="556"/>
      <c r="I185" s="556"/>
      <c r="J185" s="556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56" t="s">
        <v>196</v>
      </c>
      <c r="H186" s="556"/>
      <c r="I186" s="556"/>
      <c r="J186" s="556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56" t="s">
        <v>196</v>
      </c>
      <c r="H187" s="556"/>
      <c r="I187" s="556"/>
      <c r="J187" s="556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6" t="s">
        <v>196</v>
      </c>
      <c r="H188" s="556"/>
      <c r="I188" s="556"/>
      <c r="J188" s="556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56" t="s">
        <v>196</v>
      </c>
      <c r="H189" s="556"/>
      <c r="I189" s="556"/>
      <c r="J189" s="556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56" t="s">
        <v>196</v>
      </c>
      <c r="H190" s="556"/>
      <c r="I190" s="556"/>
      <c r="J190" s="556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56" t="s">
        <v>196</v>
      </c>
      <c r="H191" s="556"/>
      <c r="I191" s="556"/>
      <c r="J191" s="556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56" t="s">
        <v>196</v>
      </c>
      <c r="H192" s="556"/>
      <c r="I192" s="556"/>
      <c r="J192" s="556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56" t="s">
        <v>196</v>
      </c>
      <c r="H193" s="556"/>
      <c r="I193" s="556"/>
      <c r="J193" s="556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56" t="s">
        <v>196</v>
      </c>
      <c r="H194" s="556"/>
      <c r="I194" s="556"/>
      <c r="J194" s="556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56" t="s">
        <v>196</v>
      </c>
      <c r="H195" s="556"/>
      <c r="I195" s="556"/>
      <c r="J195" s="556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56" t="s">
        <v>196</v>
      </c>
      <c r="H196" s="556"/>
      <c r="I196" s="556"/>
      <c r="J196" s="556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56" t="s">
        <v>196</v>
      </c>
      <c r="H197" s="556"/>
      <c r="I197" s="556"/>
      <c r="J197" s="556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56" t="s">
        <v>196</v>
      </c>
      <c r="H198" s="556"/>
      <c r="I198" s="556"/>
      <c r="J198" s="556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6" t="s">
        <v>196</v>
      </c>
      <c r="H199" s="556"/>
      <c r="I199" s="556"/>
      <c r="J199" s="556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56" t="s">
        <v>196</v>
      </c>
      <c r="H200" s="556"/>
      <c r="I200" s="556"/>
      <c r="J200" s="556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56" t="s">
        <v>196</v>
      </c>
      <c r="H201" s="556"/>
      <c r="I201" s="556"/>
      <c r="J201" s="556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56" t="s">
        <v>196</v>
      </c>
      <c r="H202" s="556"/>
      <c r="I202" s="556"/>
      <c r="J202" s="556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56" t="s">
        <v>196</v>
      </c>
      <c r="H203" s="556"/>
      <c r="I203" s="556"/>
      <c r="J203" s="556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56" t="s">
        <v>196</v>
      </c>
      <c r="H204" s="556"/>
      <c r="I204" s="556"/>
      <c r="J204" s="556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56" t="s">
        <v>196</v>
      </c>
      <c r="H205" s="556"/>
      <c r="I205" s="556"/>
      <c r="J205" s="556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56" t="s">
        <v>196</v>
      </c>
      <c r="H206" s="556"/>
      <c r="I206" s="556"/>
      <c r="J206" s="556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56" t="s">
        <v>196</v>
      </c>
      <c r="H207" s="556"/>
      <c r="I207" s="556"/>
      <c r="J207" s="556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56" t="s">
        <v>196</v>
      </c>
      <c r="H208" s="556"/>
      <c r="I208" s="556"/>
      <c r="J208" s="556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56" t="s">
        <v>196</v>
      </c>
      <c r="H209" s="556"/>
      <c r="I209" s="556"/>
      <c r="J209" s="556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56" t="s">
        <v>196</v>
      </c>
      <c r="H210" s="556"/>
      <c r="I210" s="556"/>
      <c r="J210" s="556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56" t="s">
        <v>196</v>
      </c>
      <c r="H211" s="556"/>
      <c r="I211" s="556"/>
      <c r="J211" s="556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56" t="s">
        <v>196</v>
      </c>
      <c r="H212" s="556"/>
      <c r="I212" s="556"/>
      <c r="J212" s="556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56" t="s">
        <v>196</v>
      </c>
      <c r="H213" s="556"/>
      <c r="I213" s="556"/>
      <c r="J213" s="556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6" t="s">
        <v>196</v>
      </c>
      <c r="H214" s="556"/>
      <c r="I214" s="556"/>
      <c r="J214" s="556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56" t="s">
        <v>196</v>
      </c>
      <c r="H215" s="556"/>
      <c r="I215" s="556"/>
      <c r="J215" s="556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56" t="s">
        <v>196</v>
      </c>
      <c r="H216" s="556"/>
      <c r="I216" s="556"/>
      <c r="J216" s="556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56" t="s">
        <v>196</v>
      </c>
      <c r="H217" s="556"/>
      <c r="I217" s="556"/>
      <c r="J217" s="556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56" t="s">
        <v>196</v>
      </c>
      <c r="H218" s="556"/>
      <c r="I218" s="556"/>
      <c r="J218" s="556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56" t="s">
        <v>196</v>
      </c>
      <c r="H219" s="556"/>
      <c r="I219" s="556"/>
      <c r="J219" s="556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56" t="s">
        <v>196</v>
      </c>
      <c r="H220" s="556"/>
      <c r="I220" s="556"/>
      <c r="J220" s="556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56" t="s">
        <v>196</v>
      </c>
      <c r="H221" s="556"/>
      <c r="I221" s="556"/>
      <c r="J221" s="556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56" t="s">
        <v>196</v>
      </c>
      <c r="H222" s="556"/>
      <c r="I222" s="556"/>
      <c r="J222" s="556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56" t="s">
        <v>196</v>
      </c>
      <c r="H223" s="556"/>
      <c r="I223" s="556"/>
      <c r="J223" s="556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6" t="s">
        <v>196</v>
      </c>
      <c r="H224" s="556"/>
      <c r="I224" s="556"/>
      <c r="J224" s="556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56" t="s">
        <v>196</v>
      </c>
      <c r="H225" s="556"/>
      <c r="I225" s="556"/>
      <c r="J225" s="556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56" t="s">
        <v>196</v>
      </c>
      <c r="H226" s="556"/>
      <c r="I226" s="556"/>
      <c r="J226" s="556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56" t="s">
        <v>196</v>
      </c>
      <c r="H227" s="556"/>
      <c r="I227" s="556"/>
      <c r="J227" s="556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56" t="s">
        <v>196</v>
      </c>
      <c r="H228" s="556"/>
      <c r="I228" s="556"/>
      <c r="J228" s="556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56" t="s">
        <v>196</v>
      </c>
      <c r="H229" s="556"/>
      <c r="I229" s="556"/>
      <c r="J229" s="556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56" t="s">
        <v>196</v>
      </c>
      <c r="H230" s="556"/>
      <c r="I230" s="556"/>
      <c r="J230" s="556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56" t="s">
        <v>196</v>
      </c>
      <c r="H231" s="556"/>
      <c r="I231" s="556"/>
      <c r="J231" s="556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56" t="s">
        <v>196</v>
      </c>
      <c r="H232" s="556"/>
      <c r="I232" s="556"/>
      <c r="J232" s="556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56" t="s">
        <v>196</v>
      </c>
      <c r="H233" s="556"/>
      <c r="I233" s="556"/>
      <c r="J233" s="556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56" t="s">
        <v>196</v>
      </c>
      <c r="H234" s="556"/>
      <c r="I234" s="556"/>
      <c r="J234" s="556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56" t="s">
        <v>196</v>
      </c>
      <c r="H235" s="556"/>
      <c r="I235" s="556"/>
      <c r="J235" s="556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56" t="s">
        <v>196</v>
      </c>
      <c r="H236" s="556"/>
      <c r="I236" s="556"/>
      <c r="J236" s="556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56" t="s">
        <v>196</v>
      </c>
      <c r="H237" s="556"/>
      <c r="I237" s="556"/>
      <c r="J237" s="556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56" t="s">
        <v>196</v>
      </c>
      <c r="H238" s="556"/>
      <c r="I238" s="556"/>
      <c r="J238" s="556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56" t="s">
        <v>196</v>
      </c>
      <c r="H239" s="556"/>
      <c r="I239" s="556"/>
      <c r="J239" s="556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6" t="s">
        <v>196</v>
      </c>
      <c r="H240" s="556"/>
      <c r="I240" s="556"/>
      <c r="J240" s="556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56" t="s">
        <v>196</v>
      </c>
      <c r="H241" s="556"/>
      <c r="I241" s="556"/>
      <c r="J241" s="556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56" t="s">
        <v>196</v>
      </c>
      <c r="H242" s="556"/>
      <c r="I242" s="556"/>
      <c r="J242" s="556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56" t="s">
        <v>196</v>
      </c>
      <c r="H243" s="556"/>
      <c r="I243" s="556"/>
      <c r="J243" s="556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56" t="s">
        <v>196</v>
      </c>
      <c r="H244" s="556"/>
      <c r="I244" s="556"/>
      <c r="J244" s="556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56" t="s">
        <v>196</v>
      </c>
      <c r="H245" s="556"/>
      <c r="I245" s="556"/>
      <c r="J245" s="556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6" t="s">
        <v>196</v>
      </c>
      <c r="H246" s="556"/>
      <c r="I246" s="556"/>
      <c r="J246" s="556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56" t="s">
        <v>196</v>
      </c>
      <c r="H247" s="556"/>
      <c r="I247" s="556"/>
      <c r="J247" s="556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56" t="s">
        <v>196</v>
      </c>
      <c r="H248" s="556"/>
      <c r="I248" s="556"/>
      <c r="J248" s="556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56" t="s">
        <v>196</v>
      </c>
      <c r="H249" s="556"/>
      <c r="I249" s="556"/>
      <c r="J249" s="556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56" t="s">
        <v>196</v>
      </c>
      <c r="H250" s="556"/>
      <c r="I250" s="556"/>
      <c r="J250" s="556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56" t="s">
        <v>196</v>
      </c>
      <c r="H251" s="556"/>
      <c r="I251" s="556"/>
      <c r="J251" s="556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56" t="s">
        <v>196</v>
      </c>
      <c r="H252" s="556"/>
      <c r="I252" s="556"/>
      <c r="J252" s="556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56" t="s">
        <v>196</v>
      </c>
      <c r="H253" s="556"/>
      <c r="I253" s="556"/>
      <c r="J253" s="556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56" t="s">
        <v>196</v>
      </c>
      <c r="H254" s="556"/>
      <c r="I254" s="556"/>
      <c r="J254" s="556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56" t="s">
        <v>196</v>
      </c>
      <c r="H255" s="556"/>
      <c r="I255" s="556"/>
      <c r="J255" s="556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6" t="s">
        <v>196</v>
      </c>
      <c r="H256" s="556"/>
      <c r="I256" s="556"/>
      <c r="J256" s="556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56" t="s">
        <v>196</v>
      </c>
      <c r="H257" s="556"/>
      <c r="I257" s="556"/>
      <c r="J257" s="556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56" t="s">
        <v>196</v>
      </c>
      <c r="H258" s="556"/>
      <c r="I258" s="556"/>
      <c r="J258" s="556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56" t="s">
        <v>196</v>
      </c>
      <c r="H259" s="556"/>
      <c r="I259" s="556"/>
      <c r="J259" s="556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56" t="s">
        <v>196</v>
      </c>
      <c r="H260" s="556"/>
      <c r="I260" s="556"/>
      <c r="J260" s="556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56" t="s">
        <v>196</v>
      </c>
      <c r="H261" s="556"/>
      <c r="I261" s="556"/>
      <c r="J261" s="556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56" t="s">
        <v>196</v>
      </c>
      <c r="H262" s="556"/>
      <c r="I262" s="556"/>
      <c r="J262" s="556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56" t="s">
        <v>196</v>
      </c>
      <c r="H263" s="556"/>
      <c r="I263" s="556"/>
      <c r="J263" s="556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56" t="s">
        <v>196</v>
      </c>
      <c r="H264" s="556"/>
      <c r="I264" s="556"/>
      <c r="J264" s="556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5">
      <c r="A265" s="10">
        <v>264</v>
      </c>
      <c r="B265" s="272" t="s">
        <v>329</v>
      </c>
      <c r="C265" s="420" t="s">
        <v>604</v>
      </c>
      <c r="D265" s="10"/>
      <c r="E265" s="191">
        <v>45931</v>
      </c>
      <c r="F265" s="23">
        <v>78.073216000000002</v>
      </c>
      <c r="G265" s="556" t="s">
        <v>196</v>
      </c>
      <c r="H265" s="556"/>
      <c r="I265" s="556"/>
      <c r="J265" s="556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5">
      <c r="A266" s="10">
        <v>265</v>
      </c>
      <c r="B266" s="272" t="s">
        <v>422</v>
      </c>
      <c r="C266" s="420" t="s">
        <v>639</v>
      </c>
      <c r="D266" s="10"/>
      <c r="E266" s="191">
        <v>45922</v>
      </c>
      <c r="F266" s="23">
        <v>101.69198999999999</v>
      </c>
      <c r="G266" s="556" t="s">
        <v>196</v>
      </c>
      <c r="H266" s="556"/>
      <c r="I266" s="556"/>
      <c r="J266" s="556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56" t="s">
        <v>196</v>
      </c>
      <c r="H267" s="556"/>
      <c r="I267" s="556"/>
      <c r="J267" s="556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56" t="s">
        <v>196</v>
      </c>
      <c r="H268" s="556"/>
      <c r="I268" s="556"/>
      <c r="J268" s="556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56" t="s">
        <v>196</v>
      </c>
      <c r="H269" s="556"/>
      <c r="I269" s="556"/>
      <c r="J269" s="556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56" t="s">
        <v>196</v>
      </c>
      <c r="H270" s="556"/>
      <c r="I270" s="556"/>
      <c r="J270" s="556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5">
      <c r="A271" s="10">
        <v>270</v>
      </c>
      <c r="B271" s="272" t="s">
        <v>131</v>
      </c>
      <c r="C271" s="435" t="s">
        <v>225</v>
      </c>
      <c r="D271" s="10"/>
      <c r="E271" s="191">
        <v>45938</v>
      </c>
      <c r="F271" s="23">
        <v>42.374236000000003</v>
      </c>
      <c r="G271" s="556" t="s">
        <v>196</v>
      </c>
      <c r="H271" s="556"/>
      <c r="I271" s="556"/>
      <c r="J271" s="556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56" t="s">
        <v>196</v>
      </c>
      <c r="H272" s="556"/>
      <c r="I272" s="556"/>
      <c r="J272" s="556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56" t="s">
        <v>196</v>
      </c>
      <c r="H273" s="556"/>
      <c r="I273" s="556"/>
      <c r="J273" s="556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56" t="s">
        <v>196</v>
      </c>
      <c r="H274" s="556"/>
      <c r="I274" s="556"/>
      <c r="J274" s="556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56" t="s">
        <v>196</v>
      </c>
      <c r="H275" s="556"/>
      <c r="I275" s="556"/>
      <c r="J275" s="556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6" t="s">
        <v>196</v>
      </c>
      <c r="H276" s="556"/>
      <c r="I276" s="556"/>
      <c r="J276" s="556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551</v>
      </c>
      <c r="D277" s="10"/>
      <c r="E277" s="191">
        <v>45957</v>
      </c>
      <c r="F277" s="279">
        <v>75.858000000000004</v>
      </c>
      <c r="G277" s="556" t="s">
        <v>196</v>
      </c>
      <c r="H277" s="556"/>
      <c r="I277" s="556"/>
      <c r="J277" s="556"/>
      <c r="K277" s="202">
        <v>45971</v>
      </c>
      <c r="L277" s="326" t="s">
        <v>424</v>
      </c>
      <c r="M277" s="10"/>
      <c r="N277" s="197"/>
      <c r="O277" s="198"/>
      <c r="P277" s="198"/>
    </row>
    <row r="278" spans="1:16" ht="28.5">
      <c r="A278" s="10">
        <v>277</v>
      </c>
      <c r="B278" s="193"/>
      <c r="C278" s="10"/>
      <c r="D278" s="10"/>
      <c r="E278" s="191"/>
      <c r="F278" s="192"/>
      <c r="G278" s="199"/>
      <c r="H278" s="200"/>
      <c r="I278" s="200"/>
      <c r="J278" s="201"/>
      <c r="K278" s="196"/>
      <c r="L278" s="10"/>
      <c r="M278" s="10"/>
      <c r="N278" s="197"/>
      <c r="O278" s="198"/>
      <c r="P278" s="198"/>
    </row>
    <row r="279" spans="1:16" ht="28.5">
      <c r="A279" s="10">
        <v>278</v>
      </c>
      <c r="B279" s="193"/>
      <c r="C279" s="10"/>
      <c r="D279" s="10"/>
      <c r="E279" s="191"/>
      <c r="F279" s="192"/>
      <c r="G279" s="199"/>
      <c r="H279" s="200"/>
      <c r="I279" s="200"/>
      <c r="J279" s="201"/>
      <c r="K279" s="196"/>
      <c r="L279" s="10"/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5"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  <mergeCell ref="G276:J276"/>
    <mergeCell ref="G274:J274"/>
    <mergeCell ref="G275:J275"/>
    <mergeCell ref="G273:J273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abSelected="1" workbookViewId="0">
      <selection activeCell="A26" sqref="A26:XFD26"/>
    </sheetView>
  </sheetViews>
  <sheetFormatPr defaultRowHeight="14.5"/>
  <cols>
    <col min="1" max="1" width="6.54296875" customWidth="1"/>
    <col min="2" max="2" width="15.1796875" customWidth="1"/>
    <col min="3" max="3" width="11.81640625" bestFit="1" customWidth="1"/>
    <col min="4" max="4" width="14.7265625" bestFit="1" customWidth="1"/>
    <col min="5" max="6" width="13.453125" bestFit="1" customWidth="1"/>
    <col min="7" max="7" width="12.453125" customWidth="1"/>
    <col min="8" max="8" width="14.1796875" style="496" bestFit="1" customWidth="1"/>
    <col min="9" max="9" width="15.1796875" style="496" bestFit="1" customWidth="1"/>
    <col min="10" max="10" width="13.453125" bestFit="1" customWidth="1"/>
    <col min="11" max="11" width="14.1796875" bestFit="1" customWidth="1"/>
    <col min="12" max="12" width="15.1796875" style="496" bestFit="1" customWidth="1"/>
    <col min="13" max="13" width="12.81640625" bestFit="1" customWidth="1"/>
    <col min="14" max="14" width="11.54296875" bestFit="1" customWidth="1"/>
    <col min="15" max="15" width="31.7265625" style="2" bestFit="1" customWidth="1"/>
    <col min="16" max="16" width="20.26953125" bestFit="1" customWidth="1"/>
    <col min="17" max="17" width="23.453125" bestFit="1" customWidth="1"/>
    <col min="20" max="20" width="12.54296875" bestFit="1" customWidth="1"/>
  </cols>
  <sheetData>
    <row r="1" spans="1:20" ht="16" thickBot="1">
      <c r="A1" s="470"/>
      <c r="B1" s="471"/>
      <c r="C1" s="470"/>
      <c r="D1" s="472" t="s">
        <v>1055</v>
      </c>
      <c r="E1" s="473">
        <v>2</v>
      </c>
      <c r="F1" s="470"/>
      <c r="G1" s="470"/>
      <c r="H1" s="470"/>
      <c r="I1" s="470"/>
      <c r="J1" s="470"/>
      <c r="K1" s="470"/>
      <c r="L1" s="470"/>
      <c r="M1" s="139"/>
      <c r="T1" t="s">
        <v>1056</v>
      </c>
    </row>
    <row r="2" spans="1:20" ht="16" thickBot="1">
      <c r="A2" s="471"/>
      <c r="B2" s="471"/>
      <c r="C2" s="474"/>
      <c r="D2" s="471"/>
      <c r="E2" s="474"/>
      <c r="F2" s="471"/>
      <c r="G2" s="474"/>
      <c r="H2" s="475"/>
      <c r="I2" s="475"/>
      <c r="J2" s="474"/>
      <c r="K2" s="471"/>
      <c r="L2" s="475"/>
      <c r="M2" s="474"/>
      <c r="T2" s="476">
        <v>905812</v>
      </c>
    </row>
    <row r="3" spans="1:20" ht="29.5" thickBot="1">
      <c r="A3" s="477" t="s">
        <v>1057</v>
      </c>
      <c r="B3" s="478" t="s">
        <v>1058</v>
      </c>
      <c r="C3" s="478" t="s">
        <v>1059</v>
      </c>
      <c r="D3" s="478" t="s">
        <v>1060</v>
      </c>
      <c r="E3" s="478" t="s">
        <v>1061</v>
      </c>
      <c r="F3" s="479" t="s">
        <v>1062</v>
      </c>
      <c r="G3" s="480" t="s">
        <v>1063</v>
      </c>
      <c r="H3" s="479" t="s">
        <v>1064</v>
      </c>
      <c r="I3" s="479" t="s">
        <v>1065</v>
      </c>
      <c r="J3" s="478" t="s">
        <v>1066</v>
      </c>
      <c r="K3" s="479" t="s">
        <v>1067</v>
      </c>
      <c r="L3" s="479" t="s">
        <v>1068</v>
      </c>
      <c r="M3" s="478" t="s">
        <v>198</v>
      </c>
      <c r="N3" s="478" t="s">
        <v>71</v>
      </c>
      <c r="O3" s="478" t="s">
        <v>192</v>
      </c>
      <c r="P3" s="478" t="s">
        <v>1069</v>
      </c>
      <c r="Q3" s="481" t="s">
        <v>73</v>
      </c>
      <c r="T3" s="482" t="s">
        <v>1070</v>
      </c>
    </row>
    <row r="4" spans="1:20">
      <c r="A4" s="10">
        <v>1</v>
      </c>
      <c r="B4" s="483" t="s">
        <v>1071</v>
      </c>
      <c r="C4" s="10" t="s">
        <v>1072</v>
      </c>
      <c r="D4" s="466" t="s">
        <v>1073</v>
      </c>
      <c r="E4" s="279">
        <v>4818.75</v>
      </c>
      <c r="F4" s="10" t="s">
        <v>1074</v>
      </c>
      <c r="G4" s="484" t="s">
        <v>1075</v>
      </c>
      <c r="H4" s="191">
        <v>45780</v>
      </c>
      <c r="I4" s="191">
        <v>45789</v>
      </c>
      <c r="J4" s="485">
        <f t="shared" ref="J4:J27" si="0">E4</f>
        <v>4818.75</v>
      </c>
      <c r="K4" s="191">
        <v>45792</v>
      </c>
      <c r="L4" s="191">
        <v>45795</v>
      </c>
      <c r="M4" s="486">
        <f t="shared" ref="M4:M25" si="1">E4</f>
        <v>4818.75</v>
      </c>
      <c r="N4" s="487" t="s">
        <v>55</v>
      </c>
      <c r="O4" s="10" t="s">
        <v>1076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3" t="s">
        <v>1071</v>
      </c>
      <c r="C5" s="10" t="s">
        <v>1077</v>
      </c>
      <c r="D5" s="466" t="s">
        <v>1072</v>
      </c>
      <c r="E5" s="279">
        <v>1234.28</v>
      </c>
      <c r="F5" s="10" t="s">
        <v>1074</v>
      </c>
      <c r="G5" s="484" t="s">
        <v>1075</v>
      </c>
      <c r="H5" s="191">
        <v>45791</v>
      </c>
      <c r="I5" s="191">
        <v>45794</v>
      </c>
      <c r="J5" s="485">
        <f t="shared" si="0"/>
        <v>1234.28</v>
      </c>
      <c r="K5" s="191">
        <v>45796</v>
      </c>
      <c r="L5" s="191">
        <v>45798</v>
      </c>
      <c r="M5" s="486">
        <f t="shared" si="1"/>
        <v>1234.28</v>
      </c>
      <c r="N5" s="487" t="s">
        <v>55</v>
      </c>
      <c r="O5" s="10" t="s">
        <v>1076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3" t="s">
        <v>1071</v>
      </c>
      <c r="C6" s="10" t="s">
        <v>1078</v>
      </c>
      <c r="D6" s="466" t="s">
        <v>1079</v>
      </c>
      <c r="E6" s="279">
        <v>3957.05</v>
      </c>
      <c r="F6" s="10" t="s">
        <v>1074</v>
      </c>
      <c r="G6" s="484" t="s">
        <v>1075</v>
      </c>
      <c r="H6" s="191">
        <v>45795</v>
      </c>
      <c r="I6" s="191">
        <v>45802</v>
      </c>
      <c r="J6" s="485">
        <f t="shared" si="0"/>
        <v>3957.05</v>
      </c>
      <c r="K6" s="191">
        <v>45835</v>
      </c>
      <c r="L6" s="191">
        <v>45838</v>
      </c>
      <c r="M6" s="486">
        <f t="shared" si="1"/>
        <v>3957.05</v>
      </c>
      <c r="N6" s="487" t="s">
        <v>55</v>
      </c>
      <c r="O6" s="10" t="s">
        <v>1080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3" t="s">
        <v>1071</v>
      </c>
      <c r="C7" s="10" t="s">
        <v>1073</v>
      </c>
      <c r="D7" s="466" t="s">
        <v>754</v>
      </c>
      <c r="E7" s="279">
        <v>2016.72</v>
      </c>
      <c r="F7" s="10" t="s">
        <v>1074</v>
      </c>
      <c r="G7" s="484" t="s">
        <v>1075</v>
      </c>
      <c r="H7" s="191">
        <v>45801</v>
      </c>
      <c r="I7" s="191">
        <v>45806</v>
      </c>
      <c r="J7" s="485">
        <f t="shared" si="0"/>
        <v>2016.72</v>
      </c>
      <c r="K7" s="191">
        <v>45807</v>
      </c>
      <c r="L7" s="191">
        <v>45808</v>
      </c>
      <c r="M7" s="486">
        <f t="shared" si="1"/>
        <v>2016.72</v>
      </c>
      <c r="N7" s="487" t="s">
        <v>55</v>
      </c>
      <c r="O7" s="10" t="s">
        <v>1076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3" t="s">
        <v>1071</v>
      </c>
      <c r="C8" s="10" t="s">
        <v>1081</v>
      </c>
      <c r="D8" s="466" t="s">
        <v>1082</v>
      </c>
      <c r="E8" s="279">
        <v>4283.67</v>
      </c>
      <c r="F8" s="10" t="s">
        <v>1074</v>
      </c>
      <c r="G8" s="484" t="s">
        <v>1075</v>
      </c>
      <c r="H8" s="191">
        <v>45810</v>
      </c>
      <c r="I8" s="191">
        <v>45817</v>
      </c>
      <c r="J8" s="485">
        <f t="shared" si="0"/>
        <v>4283.67</v>
      </c>
      <c r="K8" s="191">
        <v>45830</v>
      </c>
      <c r="L8" s="191">
        <v>45834</v>
      </c>
      <c r="M8" s="486">
        <f t="shared" si="1"/>
        <v>4283.67</v>
      </c>
      <c r="N8" s="487" t="s">
        <v>55</v>
      </c>
      <c r="O8" s="10" t="s">
        <v>1080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3" t="s">
        <v>1071</v>
      </c>
      <c r="C9" s="10" t="s">
        <v>754</v>
      </c>
      <c r="D9" s="466" t="s">
        <v>755</v>
      </c>
      <c r="E9" s="279">
        <v>223.61</v>
      </c>
      <c r="F9" s="10" t="s">
        <v>1083</v>
      </c>
      <c r="G9" s="484" t="s">
        <v>1075</v>
      </c>
      <c r="H9" s="191">
        <v>45825</v>
      </c>
      <c r="I9" s="191">
        <v>45827</v>
      </c>
      <c r="J9" s="485">
        <f t="shared" si="0"/>
        <v>223.61</v>
      </c>
      <c r="K9" s="191">
        <v>45860</v>
      </c>
      <c r="L9" s="191">
        <v>45862</v>
      </c>
      <c r="M9" s="486">
        <f t="shared" si="1"/>
        <v>223.61</v>
      </c>
      <c r="N9" s="487" t="s">
        <v>55</v>
      </c>
      <c r="O9" s="10" t="s">
        <v>1076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3" t="s">
        <v>1071</v>
      </c>
      <c r="C10" s="10" t="s">
        <v>1082</v>
      </c>
      <c r="D10" s="466" t="s">
        <v>1084</v>
      </c>
      <c r="E10" s="279">
        <v>407.17</v>
      </c>
      <c r="F10" s="10" t="s">
        <v>1083</v>
      </c>
      <c r="G10" s="484" t="s">
        <v>1075</v>
      </c>
      <c r="H10" s="191">
        <v>45826</v>
      </c>
      <c r="I10" s="191">
        <v>45827</v>
      </c>
      <c r="J10" s="485">
        <f t="shared" si="0"/>
        <v>407.17</v>
      </c>
      <c r="K10" s="191">
        <v>45863</v>
      </c>
      <c r="L10" s="191">
        <v>45867</v>
      </c>
      <c r="M10" s="486">
        <f t="shared" si="1"/>
        <v>407.17</v>
      </c>
      <c r="N10" s="487" t="s">
        <v>55</v>
      </c>
      <c r="O10" s="10" t="s">
        <v>1080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3" t="s">
        <v>1071</v>
      </c>
      <c r="C11" s="10" t="s">
        <v>755</v>
      </c>
      <c r="D11" s="466" t="s">
        <v>1085</v>
      </c>
      <c r="E11" s="279">
        <v>2226.2199999999998</v>
      </c>
      <c r="F11" s="10" t="s">
        <v>1074</v>
      </c>
      <c r="G11" s="484" t="s">
        <v>1075</v>
      </c>
      <c r="H11" s="191">
        <v>45853</v>
      </c>
      <c r="I11" s="191">
        <v>45859</v>
      </c>
      <c r="J11" s="485">
        <f t="shared" si="0"/>
        <v>2226.2199999999998</v>
      </c>
      <c r="K11" s="191">
        <v>45864</v>
      </c>
      <c r="L11" s="191">
        <v>45866</v>
      </c>
      <c r="M11" s="486">
        <f t="shared" si="1"/>
        <v>2226.2199999999998</v>
      </c>
      <c r="N11" s="487" t="s">
        <v>55</v>
      </c>
      <c r="O11" s="10" t="s">
        <v>1076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3" t="s">
        <v>1071</v>
      </c>
      <c r="C12" s="10" t="s">
        <v>1084</v>
      </c>
      <c r="D12" s="10" t="s">
        <v>1086</v>
      </c>
      <c r="E12" s="279">
        <v>4781.5</v>
      </c>
      <c r="F12" s="10" t="s">
        <v>1074</v>
      </c>
      <c r="G12" s="484" t="s">
        <v>1075</v>
      </c>
      <c r="H12" s="191">
        <v>45855</v>
      </c>
      <c r="I12" s="191">
        <v>45859</v>
      </c>
      <c r="J12" s="485">
        <f t="shared" si="0"/>
        <v>4781.5</v>
      </c>
      <c r="K12" s="191">
        <v>45863</v>
      </c>
      <c r="L12" s="191">
        <v>45867</v>
      </c>
      <c r="M12" s="486">
        <f t="shared" si="1"/>
        <v>4781.5</v>
      </c>
      <c r="N12" s="487" t="s">
        <v>55</v>
      </c>
      <c r="O12" s="10" t="s">
        <v>1080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3" t="s">
        <v>1071</v>
      </c>
      <c r="C13" s="10" t="s">
        <v>1087</v>
      </c>
      <c r="D13" s="10" t="s">
        <v>1077</v>
      </c>
      <c r="E13" s="279">
        <v>723.57</v>
      </c>
      <c r="F13" s="10" t="s">
        <v>1074</v>
      </c>
      <c r="G13" s="484" t="s">
        <v>1075</v>
      </c>
      <c r="H13" s="191">
        <v>45874</v>
      </c>
      <c r="I13" s="191">
        <v>45877</v>
      </c>
      <c r="J13" s="485">
        <f t="shared" si="0"/>
        <v>723.57</v>
      </c>
      <c r="K13" s="191">
        <v>45895</v>
      </c>
      <c r="L13" s="191">
        <v>45896</v>
      </c>
      <c r="M13" s="486">
        <f t="shared" si="1"/>
        <v>723.57</v>
      </c>
      <c r="N13" s="487" t="s">
        <v>55</v>
      </c>
      <c r="O13" s="10" t="s">
        <v>1076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3" t="s">
        <v>1071</v>
      </c>
      <c r="C14" s="10" t="s">
        <v>1085</v>
      </c>
      <c r="D14" s="10" t="s">
        <v>1088</v>
      </c>
      <c r="E14" s="279">
        <v>283.43</v>
      </c>
      <c r="F14" s="10" t="s">
        <v>1083</v>
      </c>
      <c r="G14" s="484" t="s">
        <v>1075</v>
      </c>
      <c r="H14" s="191">
        <v>45880</v>
      </c>
      <c r="I14" s="191">
        <v>45880</v>
      </c>
      <c r="J14" s="485">
        <f t="shared" si="0"/>
        <v>283.43</v>
      </c>
      <c r="K14" s="191">
        <v>45880</v>
      </c>
      <c r="L14" s="191">
        <v>45881</v>
      </c>
      <c r="M14" s="486">
        <f t="shared" si="1"/>
        <v>283.43</v>
      </c>
      <c r="N14" s="487" t="s">
        <v>55</v>
      </c>
      <c r="O14" s="10" t="s">
        <v>1076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3" t="s">
        <v>1071</v>
      </c>
      <c r="C15" s="10" t="s">
        <v>1086</v>
      </c>
      <c r="D15" s="10" t="s">
        <v>1078</v>
      </c>
      <c r="E15" s="279">
        <v>3193.23</v>
      </c>
      <c r="F15" s="10" t="s">
        <v>1074</v>
      </c>
      <c r="G15" s="484" t="s">
        <v>1075</v>
      </c>
      <c r="H15" s="191">
        <v>45880</v>
      </c>
      <c r="I15" s="191">
        <v>45889</v>
      </c>
      <c r="J15" s="485">
        <f t="shared" si="0"/>
        <v>3193.23</v>
      </c>
      <c r="K15" s="191">
        <v>45890</v>
      </c>
      <c r="L15" s="191">
        <v>45893</v>
      </c>
      <c r="M15" s="486">
        <f t="shared" si="1"/>
        <v>3193.23</v>
      </c>
      <c r="N15" s="487" t="s">
        <v>55</v>
      </c>
      <c r="O15" s="10" t="s">
        <v>1080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3" t="s">
        <v>1071</v>
      </c>
      <c r="C16" s="10" t="s">
        <v>1089</v>
      </c>
      <c r="D16" s="10" t="s">
        <v>1087</v>
      </c>
      <c r="E16" s="279">
        <v>4415.7449999999999</v>
      </c>
      <c r="F16" s="10" t="s">
        <v>1074</v>
      </c>
      <c r="G16" s="484" t="s">
        <v>1075</v>
      </c>
      <c r="H16" s="191">
        <v>45891</v>
      </c>
      <c r="I16" s="191">
        <v>45894</v>
      </c>
      <c r="J16" s="485">
        <f t="shared" si="0"/>
        <v>4415.7449999999999</v>
      </c>
      <c r="K16" s="191">
        <v>45896</v>
      </c>
      <c r="L16" s="191">
        <v>45900</v>
      </c>
      <c r="M16" s="486">
        <f t="shared" si="1"/>
        <v>4415.7449999999999</v>
      </c>
      <c r="N16" s="487" t="s">
        <v>55</v>
      </c>
      <c r="O16" s="10" t="s">
        <v>1076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3" t="s">
        <v>1071</v>
      </c>
      <c r="C17" s="10" t="s">
        <v>1090</v>
      </c>
      <c r="D17" s="10" t="s">
        <v>1091</v>
      </c>
      <c r="E17" s="279">
        <v>3611</v>
      </c>
      <c r="F17" s="10" t="s">
        <v>1074</v>
      </c>
      <c r="G17" s="484" t="s">
        <v>1075</v>
      </c>
      <c r="H17" s="191">
        <v>45905</v>
      </c>
      <c r="I17" s="191">
        <v>45910</v>
      </c>
      <c r="J17" s="485">
        <f t="shared" si="0"/>
        <v>3611</v>
      </c>
      <c r="K17" s="191">
        <v>45928</v>
      </c>
      <c r="L17" s="191">
        <v>45930</v>
      </c>
      <c r="M17" s="486">
        <f t="shared" si="1"/>
        <v>3611</v>
      </c>
      <c r="N17" s="487" t="s">
        <v>55</v>
      </c>
      <c r="O17" s="10" t="s">
        <v>1076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3" t="s">
        <v>1071</v>
      </c>
      <c r="C18" s="10" t="s">
        <v>1079</v>
      </c>
      <c r="D18" s="10" t="s">
        <v>1092</v>
      </c>
      <c r="E18" s="279">
        <v>4947.3100000000004</v>
      </c>
      <c r="F18" s="10" t="s">
        <v>1074</v>
      </c>
      <c r="G18" s="484" t="s">
        <v>1075</v>
      </c>
      <c r="H18" s="191">
        <v>45905</v>
      </c>
      <c r="I18" s="191">
        <v>45911</v>
      </c>
      <c r="J18" s="485">
        <f t="shared" si="0"/>
        <v>4947.3100000000004</v>
      </c>
      <c r="K18" s="191"/>
      <c r="L18" s="191"/>
      <c r="M18" s="486"/>
      <c r="N18" s="487"/>
      <c r="O18" s="10" t="s">
        <v>1080</v>
      </c>
      <c r="P18" s="10"/>
      <c r="Q18" s="488" t="s">
        <v>1093</v>
      </c>
      <c r="T18" s="308">
        <f>(M18/1000)*T2</f>
        <v>0</v>
      </c>
    </row>
    <row r="19" spans="1:20">
      <c r="A19" s="10">
        <f t="shared" si="2"/>
        <v>16</v>
      </c>
      <c r="B19" s="483" t="s">
        <v>1071</v>
      </c>
      <c r="C19" s="10" t="s">
        <v>1094</v>
      </c>
      <c r="D19" s="10" t="s">
        <v>1089</v>
      </c>
      <c r="E19" s="279">
        <v>280</v>
      </c>
      <c r="F19" s="10" t="s">
        <v>1083</v>
      </c>
      <c r="G19" s="484" t="s">
        <v>1075</v>
      </c>
      <c r="H19" s="191">
        <v>45915</v>
      </c>
      <c r="I19" s="191">
        <v>45915</v>
      </c>
      <c r="J19" s="485">
        <f t="shared" si="0"/>
        <v>280</v>
      </c>
      <c r="K19" s="191">
        <v>45916</v>
      </c>
      <c r="L19" s="191">
        <v>45916</v>
      </c>
      <c r="M19" s="486">
        <f t="shared" si="1"/>
        <v>280</v>
      </c>
      <c r="N19" s="487" t="s">
        <v>55</v>
      </c>
      <c r="O19" s="10" t="s">
        <v>1076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3" t="s">
        <v>1071</v>
      </c>
      <c r="C20" s="10" t="s">
        <v>1095</v>
      </c>
      <c r="D20" s="10" t="s">
        <v>1081</v>
      </c>
      <c r="E20" s="279">
        <v>2750.46</v>
      </c>
      <c r="F20" s="10" t="s">
        <v>1074</v>
      </c>
      <c r="G20" s="484" t="s">
        <v>1075</v>
      </c>
      <c r="H20" s="191">
        <v>45921</v>
      </c>
      <c r="I20" s="191">
        <v>45928</v>
      </c>
      <c r="J20" s="485">
        <f t="shared" si="0"/>
        <v>2750.46</v>
      </c>
      <c r="K20" s="191">
        <v>45930</v>
      </c>
      <c r="L20" s="191">
        <v>45933</v>
      </c>
      <c r="M20" s="486">
        <f t="shared" si="1"/>
        <v>2750.46</v>
      </c>
      <c r="N20" s="487" t="s">
        <v>55</v>
      </c>
      <c r="O20" s="10" t="s">
        <v>1080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3" t="s">
        <v>1071</v>
      </c>
      <c r="C21" s="10" t="s">
        <v>1096</v>
      </c>
      <c r="D21" s="10" t="s">
        <v>1097</v>
      </c>
      <c r="E21" s="279">
        <v>4957.9799999999996</v>
      </c>
      <c r="F21" s="10" t="s">
        <v>1074</v>
      </c>
      <c r="G21" s="484" t="s">
        <v>1075</v>
      </c>
      <c r="H21" s="191">
        <v>45921</v>
      </c>
      <c r="I21" s="191">
        <v>45930</v>
      </c>
      <c r="J21" s="485">
        <f t="shared" si="0"/>
        <v>4957.9799999999996</v>
      </c>
      <c r="K21" s="191">
        <v>45931</v>
      </c>
      <c r="L21" s="191">
        <v>45936</v>
      </c>
      <c r="M21" s="486">
        <f t="shared" si="1"/>
        <v>4957.9799999999996</v>
      </c>
      <c r="N21" s="487" t="s">
        <v>55</v>
      </c>
      <c r="O21" s="10" t="s">
        <v>1098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3" t="s">
        <v>1071</v>
      </c>
      <c r="C22" s="10" t="s">
        <v>1099</v>
      </c>
      <c r="D22" s="10" t="s">
        <v>1100</v>
      </c>
      <c r="E22" s="279">
        <v>3919.97</v>
      </c>
      <c r="F22" s="10" t="s">
        <v>1074</v>
      </c>
      <c r="G22" s="484" t="s">
        <v>1075</v>
      </c>
      <c r="H22" s="191">
        <v>45942</v>
      </c>
      <c r="I22" s="191">
        <v>45946</v>
      </c>
      <c r="J22" s="485">
        <f t="shared" si="0"/>
        <v>3919.97</v>
      </c>
      <c r="K22" s="191">
        <v>45954</v>
      </c>
      <c r="L22" s="191">
        <v>45956</v>
      </c>
      <c r="M22" s="486">
        <f t="shared" si="1"/>
        <v>3919.97</v>
      </c>
      <c r="N22" s="487" t="s">
        <v>55</v>
      </c>
      <c r="O22" s="10" t="s">
        <v>1076</v>
      </c>
      <c r="P22" s="10"/>
      <c r="Q22" s="10"/>
      <c r="T22" s="308">
        <f>(M22/1000)*T2</f>
        <v>3550755.86564</v>
      </c>
    </row>
    <row r="23" spans="1:20" ht="29">
      <c r="A23" s="10">
        <f t="shared" si="2"/>
        <v>20</v>
      </c>
      <c r="B23" s="483" t="s">
        <v>1071</v>
      </c>
      <c r="C23" s="10" t="s">
        <v>1101</v>
      </c>
      <c r="D23" s="10" t="s">
        <v>1102</v>
      </c>
      <c r="E23" s="279">
        <v>4460.53</v>
      </c>
      <c r="F23" s="10" t="s">
        <v>1074</v>
      </c>
      <c r="G23" s="484" t="s">
        <v>1075</v>
      </c>
      <c r="H23" s="191">
        <v>45944</v>
      </c>
      <c r="I23" s="191">
        <v>45949</v>
      </c>
      <c r="J23" s="485">
        <f t="shared" si="0"/>
        <v>4460.53</v>
      </c>
      <c r="K23" s="191">
        <v>45953</v>
      </c>
      <c r="L23" s="191">
        <v>45956</v>
      </c>
      <c r="M23" s="486">
        <f t="shared" si="1"/>
        <v>4460.53</v>
      </c>
      <c r="N23" s="487" t="s">
        <v>55</v>
      </c>
      <c r="O23" s="10" t="s">
        <v>1080</v>
      </c>
      <c r="P23" s="10"/>
      <c r="Q23" s="498" t="s">
        <v>1115</v>
      </c>
      <c r="T23" s="308">
        <f>(M23/1000)*T2</f>
        <v>4040401.6003599996</v>
      </c>
    </row>
    <row r="24" spans="1:20">
      <c r="A24" s="10">
        <f t="shared" si="2"/>
        <v>21</v>
      </c>
      <c r="B24" s="483" t="s">
        <v>1071</v>
      </c>
      <c r="C24" s="10" t="s">
        <v>1097</v>
      </c>
      <c r="D24" s="10" t="s">
        <v>1103</v>
      </c>
      <c r="E24" s="279">
        <v>1606</v>
      </c>
      <c r="F24" s="10" t="s">
        <v>1074</v>
      </c>
      <c r="G24" s="484" t="s">
        <v>1075</v>
      </c>
      <c r="H24" s="191">
        <v>45954</v>
      </c>
      <c r="I24" s="191">
        <v>45956</v>
      </c>
      <c r="J24" s="485">
        <f t="shared" si="0"/>
        <v>1606</v>
      </c>
      <c r="K24" s="191">
        <v>45957</v>
      </c>
      <c r="L24" s="191">
        <v>45958</v>
      </c>
      <c r="M24" s="486">
        <f t="shared" si="1"/>
        <v>1606</v>
      </c>
      <c r="N24" s="487" t="s">
        <v>55</v>
      </c>
      <c r="O24" s="10" t="s">
        <v>1098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3" t="s">
        <v>1071</v>
      </c>
      <c r="C25" s="10" t="s">
        <v>1100</v>
      </c>
      <c r="D25" s="10" t="s">
        <v>1090</v>
      </c>
      <c r="E25" s="279">
        <v>319.13</v>
      </c>
      <c r="F25" s="10" t="s">
        <v>1083</v>
      </c>
      <c r="G25" s="484" t="s">
        <v>1075</v>
      </c>
      <c r="H25" s="191">
        <v>45964</v>
      </c>
      <c r="I25" s="191">
        <v>45964</v>
      </c>
      <c r="J25" s="485">
        <f t="shared" si="0"/>
        <v>319.13</v>
      </c>
      <c r="K25" s="191">
        <v>45964</v>
      </c>
      <c r="L25" s="191">
        <v>45965</v>
      </c>
      <c r="M25" s="486">
        <f t="shared" si="1"/>
        <v>319.13</v>
      </c>
      <c r="N25" s="487" t="s">
        <v>55</v>
      </c>
      <c r="O25" s="10" t="s">
        <v>1076</v>
      </c>
      <c r="P25" s="10"/>
      <c r="Q25" s="488" t="s">
        <v>1104</v>
      </c>
      <c r="T25" s="308">
        <f>(M25/1000)*T2</f>
        <v>289071.78355999995</v>
      </c>
    </row>
    <row r="26" spans="1:20">
      <c r="A26" s="10">
        <f t="shared" si="2"/>
        <v>23</v>
      </c>
      <c r="B26" s="483" t="s">
        <v>1071</v>
      </c>
      <c r="C26" s="10" t="s">
        <v>1105</v>
      </c>
      <c r="D26" s="10" t="s">
        <v>1101</v>
      </c>
      <c r="E26" s="279">
        <v>4822.84</v>
      </c>
      <c r="F26" s="10" t="s">
        <v>1074</v>
      </c>
      <c r="G26" s="484" t="s">
        <v>1075</v>
      </c>
      <c r="H26" s="191">
        <v>45963</v>
      </c>
      <c r="I26" s="191">
        <v>45971</v>
      </c>
      <c r="J26" s="485">
        <f t="shared" si="0"/>
        <v>4822.84</v>
      </c>
      <c r="K26" s="191"/>
      <c r="L26" s="191"/>
      <c r="M26" s="486"/>
      <c r="N26" s="487"/>
      <c r="O26" s="10" t="s">
        <v>1080</v>
      </c>
      <c r="P26" s="10"/>
      <c r="Q26" s="10" t="s">
        <v>1106</v>
      </c>
    </row>
    <row r="27" spans="1:20">
      <c r="A27" s="10">
        <f t="shared" si="2"/>
        <v>24</v>
      </c>
      <c r="B27" s="483" t="s">
        <v>1071</v>
      </c>
      <c r="C27" s="10" t="s">
        <v>1107</v>
      </c>
      <c r="D27" s="10" t="s">
        <v>1096</v>
      </c>
      <c r="E27" s="279">
        <v>4990.45</v>
      </c>
      <c r="F27" s="10" t="s">
        <v>1074</v>
      </c>
      <c r="G27" s="484" t="s">
        <v>1075</v>
      </c>
      <c r="H27" s="191">
        <v>45967</v>
      </c>
      <c r="I27" s="191">
        <v>45974</v>
      </c>
      <c r="J27" s="485">
        <f t="shared" si="0"/>
        <v>4990.45</v>
      </c>
      <c r="K27" s="191"/>
      <c r="L27" s="191"/>
      <c r="M27" s="486"/>
      <c r="N27" s="487"/>
      <c r="O27" s="10" t="s">
        <v>1098</v>
      </c>
      <c r="P27" s="10"/>
      <c r="Q27" s="10" t="s">
        <v>1108</v>
      </c>
    </row>
    <row r="28" spans="1:20">
      <c r="A28" s="10">
        <f t="shared" si="2"/>
        <v>25</v>
      </c>
      <c r="B28" s="483" t="s">
        <v>1071</v>
      </c>
      <c r="C28" s="10" t="s">
        <v>1109</v>
      </c>
      <c r="D28" s="10" t="s">
        <v>1110</v>
      </c>
      <c r="E28" s="279">
        <v>3456.56</v>
      </c>
      <c r="F28" s="10" t="s">
        <v>1074</v>
      </c>
      <c r="G28" s="484" t="s">
        <v>1075</v>
      </c>
      <c r="H28" s="191">
        <v>45972</v>
      </c>
      <c r="I28" s="191"/>
      <c r="J28" s="485"/>
      <c r="K28" s="191"/>
      <c r="L28" s="191"/>
      <c r="M28" s="486"/>
      <c r="N28" s="487"/>
      <c r="O28" s="10" t="s">
        <v>1076</v>
      </c>
      <c r="P28" s="489"/>
      <c r="Q28" s="10" t="s">
        <v>1106</v>
      </c>
    </row>
    <row r="29" spans="1:20">
      <c r="A29" s="10">
        <f t="shared" si="2"/>
        <v>26</v>
      </c>
      <c r="B29" s="483" t="s">
        <v>1071</v>
      </c>
      <c r="C29" s="10"/>
      <c r="D29" s="10"/>
      <c r="E29" s="279"/>
      <c r="F29" s="10"/>
      <c r="G29" s="484"/>
      <c r="H29" s="191"/>
      <c r="I29" s="191"/>
      <c r="J29" s="485"/>
      <c r="K29" s="191"/>
      <c r="L29" s="191"/>
      <c r="M29" s="486"/>
      <c r="N29" s="245"/>
      <c r="O29" s="10"/>
      <c r="P29" s="10"/>
      <c r="Q29" s="10"/>
    </row>
    <row r="30" spans="1:20">
      <c r="A30" s="10">
        <f t="shared" si="2"/>
        <v>27</v>
      </c>
      <c r="B30" s="483" t="s">
        <v>1071</v>
      </c>
      <c r="C30" s="10"/>
      <c r="D30" s="10"/>
      <c r="E30" s="279"/>
      <c r="F30" s="10"/>
      <c r="G30" s="484"/>
      <c r="H30" s="191"/>
      <c r="I30" s="191"/>
      <c r="J30" s="485"/>
      <c r="K30" s="191"/>
      <c r="L30" s="191"/>
      <c r="M30" s="486"/>
      <c r="N30" s="245"/>
      <c r="O30" s="10"/>
      <c r="P30" s="489"/>
      <c r="Q30" s="10"/>
    </row>
    <row r="31" spans="1:20">
      <c r="A31" s="10">
        <f t="shared" si="2"/>
        <v>28</v>
      </c>
      <c r="B31" s="483" t="s">
        <v>1071</v>
      </c>
      <c r="C31" s="10"/>
      <c r="D31" s="10"/>
      <c r="E31" s="279"/>
      <c r="F31" s="10"/>
      <c r="G31" s="484"/>
      <c r="H31" s="191"/>
      <c r="I31" s="191"/>
      <c r="J31" s="485"/>
      <c r="K31" s="191"/>
      <c r="L31" s="191"/>
      <c r="M31" s="486"/>
      <c r="N31" s="245"/>
      <c r="O31" s="10"/>
      <c r="P31" s="489"/>
      <c r="Q31" s="10"/>
    </row>
    <row r="32" spans="1:20">
      <c r="A32" s="10">
        <f t="shared" si="2"/>
        <v>29</v>
      </c>
      <c r="B32" s="483" t="s">
        <v>1071</v>
      </c>
      <c r="C32" s="10"/>
      <c r="D32" s="10"/>
      <c r="E32" s="279"/>
      <c r="F32" s="10"/>
      <c r="G32" s="484"/>
      <c r="H32" s="490"/>
      <c r="I32" s="490"/>
      <c r="J32" s="485"/>
      <c r="K32" s="490"/>
      <c r="L32" s="490"/>
      <c r="M32" s="486"/>
      <c r="N32" s="245"/>
      <c r="O32" s="491"/>
      <c r="P32" s="10"/>
      <c r="Q32" s="10"/>
    </row>
    <row r="33" spans="1:17">
      <c r="A33" s="10">
        <f t="shared" si="2"/>
        <v>30</v>
      </c>
      <c r="B33" s="483" t="s">
        <v>1071</v>
      </c>
      <c r="C33" s="10"/>
      <c r="D33" s="10"/>
      <c r="E33" s="279"/>
      <c r="F33" s="10"/>
      <c r="G33" s="484"/>
      <c r="H33" s="490"/>
      <c r="I33" s="490"/>
      <c r="J33" s="485"/>
      <c r="K33" s="490"/>
      <c r="L33" s="490"/>
      <c r="M33" s="486"/>
      <c r="N33" s="245"/>
      <c r="O33" s="489"/>
      <c r="P33" s="10"/>
      <c r="Q33" s="10"/>
    </row>
    <row r="34" spans="1:17">
      <c r="A34" s="10">
        <f t="shared" si="2"/>
        <v>31</v>
      </c>
      <c r="B34" s="483" t="s">
        <v>1071</v>
      </c>
      <c r="C34" s="10"/>
      <c r="D34" s="10"/>
      <c r="E34" s="279"/>
      <c r="F34" s="10"/>
      <c r="G34" s="484"/>
      <c r="H34" s="191"/>
      <c r="I34" s="191"/>
      <c r="J34" s="485"/>
      <c r="K34" s="191"/>
      <c r="L34" s="191"/>
      <c r="M34" s="486"/>
      <c r="N34" s="245"/>
      <c r="O34" s="10"/>
      <c r="P34" s="10"/>
      <c r="Q34" s="10"/>
    </row>
    <row r="35" spans="1:17">
      <c r="A35" s="10">
        <f t="shared" si="2"/>
        <v>32</v>
      </c>
      <c r="B35" s="483" t="s">
        <v>1071</v>
      </c>
      <c r="C35" s="10"/>
      <c r="D35" s="10"/>
      <c r="E35" s="279"/>
      <c r="F35" s="10"/>
      <c r="G35" s="484"/>
      <c r="H35" s="191"/>
      <c r="I35" s="191"/>
      <c r="J35" s="485"/>
      <c r="K35" s="191"/>
      <c r="L35" s="191"/>
      <c r="M35" s="486"/>
      <c r="N35" s="245"/>
      <c r="O35" s="10"/>
      <c r="P35" s="489"/>
      <c r="Q35" s="10"/>
    </row>
    <row r="36" spans="1:17">
      <c r="A36" s="10">
        <f t="shared" si="2"/>
        <v>33</v>
      </c>
      <c r="B36" s="483" t="s">
        <v>1071</v>
      </c>
      <c r="C36" s="10"/>
      <c r="D36" s="10"/>
      <c r="E36" s="279"/>
      <c r="F36" s="10"/>
      <c r="G36" s="484"/>
      <c r="H36" s="191"/>
      <c r="I36" s="191"/>
      <c r="J36" s="485"/>
      <c r="K36" s="191"/>
      <c r="L36" s="191"/>
      <c r="M36" s="486"/>
      <c r="N36" s="245"/>
      <c r="O36" s="10"/>
      <c r="P36" s="10"/>
      <c r="Q36" s="10"/>
    </row>
    <row r="37" spans="1:17">
      <c r="A37" s="10">
        <f t="shared" si="2"/>
        <v>34</v>
      </c>
      <c r="B37" s="483" t="s">
        <v>1071</v>
      </c>
      <c r="C37" s="10"/>
      <c r="D37" s="10"/>
      <c r="E37" s="279"/>
      <c r="F37" s="10"/>
      <c r="G37" s="484"/>
      <c r="H37" s="191"/>
      <c r="I37" s="191"/>
      <c r="J37" s="485"/>
      <c r="K37" s="191"/>
      <c r="L37" s="191"/>
      <c r="M37" s="486"/>
      <c r="N37" s="245"/>
      <c r="O37" s="10"/>
      <c r="P37" s="10"/>
      <c r="Q37" s="10"/>
    </row>
    <row r="38" spans="1:17">
      <c r="A38" s="10">
        <f t="shared" si="2"/>
        <v>35</v>
      </c>
      <c r="B38" s="483" t="s">
        <v>1071</v>
      </c>
      <c r="C38" s="10"/>
      <c r="D38" s="10"/>
      <c r="E38" s="279"/>
      <c r="F38" s="10"/>
      <c r="G38" s="484"/>
      <c r="H38" s="191"/>
      <c r="I38" s="191"/>
      <c r="J38" s="485"/>
      <c r="K38" s="191"/>
      <c r="L38" s="191"/>
      <c r="M38" s="486"/>
      <c r="N38" s="245"/>
      <c r="O38" s="10"/>
      <c r="P38" s="10"/>
      <c r="Q38" s="10"/>
    </row>
    <row r="39" spans="1:17">
      <c r="A39" s="10">
        <f t="shared" si="2"/>
        <v>36</v>
      </c>
      <c r="B39" s="483" t="s">
        <v>1071</v>
      </c>
      <c r="C39" s="10"/>
      <c r="D39" s="10"/>
      <c r="E39" s="279"/>
      <c r="F39" s="10"/>
      <c r="G39" s="484"/>
      <c r="H39" s="191"/>
      <c r="I39" s="191"/>
      <c r="J39" s="485"/>
      <c r="K39" s="191"/>
      <c r="L39" s="191"/>
      <c r="M39" s="486"/>
      <c r="N39" s="245"/>
      <c r="O39" s="10"/>
      <c r="P39" s="10"/>
      <c r="Q39" s="10"/>
    </row>
    <row r="40" spans="1:17">
      <c r="A40" s="10">
        <f t="shared" si="2"/>
        <v>37</v>
      </c>
      <c r="B40" s="483" t="s">
        <v>1071</v>
      </c>
      <c r="C40" s="10"/>
      <c r="D40" s="10"/>
      <c r="E40" s="279"/>
      <c r="F40" s="10"/>
      <c r="G40" s="484"/>
      <c r="H40" s="191"/>
      <c r="I40" s="191"/>
      <c r="J40" s="485"/>
      <c r="K40" s="191"/>
      <c r="L40" s="191"/>
      <c r="M40" s="486"/>
      <c r="N40" s="245"/>
      <c r="O40" s="10"/>
      <c r="P40" s="10"/>
      <c r="Q40" s="10"/>
    </row>
    <row r="41" spans="1:17">
      <c r="A41" s="10">
        <f t="shared" si="2"/>
        <v>38</v>
      </c>
      <c r="B41" s="483" t="s">
        <v>1071</v>
      </c>
      <c r="C41" s="10"/>
      <c r="D41" s="10"/>
      <c r="E41" s="279"/>
      <c r="F41" s="10"/>
      <c r="G41" s="484"/>
      <c r="H41" s="191"/>
      <c r="I41" s="191"/>
      <c r="J41" s="279"/>
      <c r="K41" s="191"/>
      <c r="L41" s="191"/>
      <c r="M41" s="486"/>
      <c r="N41" s="245"/>
      <c r="O41" s="10"/>
      <c r="P41" s="489"/>
      <c r="Q41" s="10"/>
    </row>
    <row r="42" spans="1:17">
      <c r="A42" s="10">
        <f t="shared" si="2"/>
        <v>39</v>
      </c>
      <c r="B42" s="483" t="s">
        <v>1071</v>
      </c>
      <c r="C42" s="10"/>
      <c r="D42" s="10"/>
      <c r="E42" s="279"/>
      <c r="F42" s="10"/>
      <c r="G42" s="484"/>
      <c r="H42" s="191"/>
      <c r="I42" s="191"/>
      <c r="J42" s="279"/>
      <c r="K42" s="191"/>
      <c r="L42" s="191"/>
      <c r="M42" s="486"/>
      <c r="N42" s="245"/>
      <c r="O42" s="10"/>
      <c r="P42" s="10"/>
      <c r="Q42" s="10"/>
    </row>
    <row r="43" spans="1:17">
      <c r="A43" s="10">
        <f t="shared" si="2"/>
        <v>40</v>
      </c>
      <c r="B43" s="483" t="s">
        <v>1071</v>
      </c>
      <c r="C43" s="10"/>
      <c r="D43" s="10"/>
      <c r="E43" s="279"/>
      <c r="F43" s="10"/>
      <c r="G43" s="484"/>
      <c r="H43" s="191"/>
      <c r="I43" s="191"/>
      <c r="J43" s="279"/>
      <c r="K43" s="191"/>
      <c r="L43" s="191"/>
      <c r="M43" s="486"/>
      <c r="N43" s="245"/>
      <c r="O43" s="10"/>
      <c r="P43" s="10"/>
      <c r="Q43" s="10"/>
    </row>
    <row r="44" spans="1:17">
      <c r="A44" s="10">
        <f t="shared" si="2"/>
        <v>41</v>
      </c>
      <c r="B44" s="483" t="s">
        <v>1071</v>
      </c>
      <c r="C44" s="10"/>
      <c r="D44" s="10"/>
      <c r="E44" s="279"/>
      <c r="F44" s="10"/>
      <c r="G44" s="484"/>
      <c r="H44" s="191"/>
      <c r="I44" s="191"/>
      <c r="J44" s="279"/>
      <c r="K44" s="191"/>
      <c r="L44" s="191"/>
      <c r="M44" s="486"/>
      <c r="N44" s="245"/>
      <c r="O44" s="10"/>
      <c r="P44" s="10"/>
      <c r="Q44" s="10"/>
    </row>
    <row r="45" spans="1:17">
      <c r="A45" s="10">
        <f t="shared" si="2"/>
        <v>42</v>
      </c>
      <c r="B45" s="483" t="s">
        <v>1071</v>
      </c>
      <c r="C45" s="10"/>
      <c r="D45" s="10"/>
      <c r="E45" s="279"/>
      <c r="F45" s="10"/>
      <c r="G45" s="484"/>
      <c r="H45" s="191"/>
      <c r="I45" s="191"/>
      <c r="J45" s="279"/>
      <c r="K45" s="191"/>
      <c r="L45" s="191"/>
      <c r="M45" s="486"/>
      <c r="N45" s="245"/>
      <c r="O45" s="10"/>
      <c r="P45" s="10"/>
      <c r="Q45" s="10"/>
    </row>
    <row r="46" spans="1:17">
      <c r="A46" s="10">
        <f t="shared" si="2"/>
        <v>43</v>
      </c>
      <c r="B46" s="483" t="s">
        <v>1071</v>
      </c>
      <c r="C46" s="10"/>
      <c r="D46" s="10"/>
      <c r="E46" s="279"/>
      <c r="F46" s="10"/>
      <c r="G46" s="484"/>
      <c r="H46" s="191"/>
      <c r="I46" s="191"/>
      <c r="J46" s="279"/>
      <c r="K46" s="191"/>
      <c r="L46" s="191"/>
      <c r="M46" s="486"/>
      <c r="N46" s="245"/>
      <c r="O46" s="10"/>
      <c r="P46" s="10"/>
      <c r="Q46" s="10"/>
    </row>
    <row r="47" spans="1:17">
      <c r="A47" s="10">
        <f t="shared" si="2"/>
        <v>44</v>
      </c>
      <c r="B47" s="483" t="s">
        <v>1071</v>
      </c>
      <c r="C47" s="10"/>
      <c r="D47" s="10"/>
      <c r="E47" s="279"/>
      <c r="F47" s="10"/>
      <c r="G47" s="484"/>
      <c r="H47" s="191"/>
      <c r="I47" s="191"/>
      <c r="J47" s="279"/>
      <c r="K47" s="191"/>
      <c r="L47" s="191"/>
      <c r="M47" s="486"/>
      <c r="N47" s="245"/>
      <c r="O47" s="10"/>
      <c r="P47" s="10"/>
      <c r="Q47" s="10"/>
    </row>
    <row r="48" spans="1:17">
      <c r="A48" s="10">
        <f t="shared" si="2"/>
        <v>45</v>
      </c>
      <c r="B48" s="483" t="s">
        <v>1071</v>
      </c>
      <c r="C48" s="10"/>
      <c r="D48" s="10"/>
      <c r="E48" s="279"/>
      <c r="F48" s="10"/>
      <c r="G48" s="484"/>
      <c r="H48" s="492"/>
      <c r="I48" s="492"/>
      <c r="J48" s="279"/>
      <c r="K48" s="492"/>
      <c r="L48" s="492"/>
      <c r="M48" s="486"/>
      <c r="N48" s="245"/>
      <c r="O48" s="491"/>
      <c r="P48" s="10"/>
      <c r="Q48" s="10"/>
    </row>
    <row r="49" spans="1:17">
      <c r="A49" s="10">
        <f t="shared" si="2"/>
        <v>46</v>
      </c>
      <c r="B49" s="483" t="s">
        <v>1071</v>
      </c>
      <c r="C49" s="10"/>
      <c r="D49" s="10"/>
      <c r="E49" s="279"/>
      <c r="F49" s="10"/>
      <c r="G49" s="484"/>
      <c r="H49" s="191"/>
      <c r="I49" s="191"/>
      <c r="J49" s="279"/>
      <c r="K49" s="191"/>
      <c r="L49" s="191"/>
      <c r="M49" s="486"/>
      <c r="N49" s="245"/>
      <c r="O49" s="10"/>
      <c r="P49" s="10"/>
      <c r="Q49" s="10"/>
    </row>
    <row r="50" spans="1:17">
      <c r="A50" s="10">
        <f t="shared" si="2"/>
        <v>47</v>
      </c>
      <c r="B50" s="483" t="s">
        <v>1071</v>
      </c>
      <c r="C50" s="10"/>
      <c r="D50" s="10"/>
      <c r="E50" s="279"/>
      <c r="F50" s="10"/>
      <c r="G50" s="484"/>
      <c r="H50" s="191"/>
      <c r="I50" s="191"/>
      <c r="J50" s="279"/>
      <c r="K50" s="191"/>
      <c r="L50" s="191"/>
      <c r="M50" s="486"/>
      <c r="N50" s="245"/>
      <c r="O50" s="10"/>
      <c r="P50" s="10"/>
      <c r="Q50" s="10"/>
    </row>
    <row r="51" spans="1:17">
      <c r="A51" s="10">
        <f t="shared" si="2"/>
        <v>48</v>
      </c>
      <c r="B51" s="483" t="s">
        <v>1071</v>
      </c>
      <c r="C51" s="10"/>
      <c r="D51" s="10"/>
      <c r="E51" s="279"/>
      <c r="F51" s="10"/>
      <c r="G51" s="484"/>
      <c r="H51" s="492"/>
      <c r="I51" s="492"/>
      <c r="J51" s="279"/>
      <c r="K51" s="492"/>
      <c r="L51" s="492"/>
      <c r="M51" s="486"/>
      <c r="N51" s="245"/>
      <c r="O51" s="491"/>
      <c r="P51" s="10"/>
      <c r="Q51" s="10"/>
    </row>
    <row r="52" spans="1:17">
      <c r="A52" s="10">
        <f t="shared" si="2"/>
        <v>49</v>
      </c>
      <c r="B52" s="483" t="s">
        <v>1071</v>
      </c>
      <c r="C52" s="10"/>
      <c r="D52" s="10"/>
      <c r="E52" s="279"/>
      <c r="F52" s="10"/>
      <c r="G52" s="484"/>
      <c r="H52" s="191"/>
      <c r="I52" s="191"/>
      <c r="J52" s="279"/>
      <c r="K52" s="191"/>
      <c r="L52" s="191"/>
      <c r="M52" s="486"/>
      <c r="N52" s="245"/>
      <c r="O52" s="10"/>
      <c r="P52" s="10"/>
      <c r="Q52" s="10"/>
    </row>
    <row r="53" spans="1:17">
      <c r="A53" s="10">
        <f t="shared" si="2"/>
        <v>50</v>
      </c>
      <c r="B53" s="483" t="s">
        <v>1071</v>
      </c>
      <c r="C53" s="10"/>
      <c r="D53" s="10"/>
      <c r="E53" s="279"/>
      <c r="F53" s="10"/>
      <c r="G53" s="484"/>
      <c r="H53" s="191"/>
      <c r="I53" s="191"/>
      <c r="J53" s="279"/>
      <c r="K53" s="191"/>
      <c r="L53" s="191"/>
      <c r="M53" s="486"/>
      <c r="N53" s="245"/>
      <c r="O53" s="10"/>
      <c r="P53" s="10"/>
      <c r="Q53" s="10"/>
    </row>
    <row r="54" spans="1:17">
      <c r="A54" s="10">
        <f t="shared" si="2"/>
        <v>51</v>
      </c>
      <c r="B54" s="483" t="s">
        <v>1071</v>
      </c>
      <c r="C54" s="10"/>
      <c r="D54" s="10"/>
      <c r="E54" s="279"/>
      <c r="F54" s="10"/>
      <c r="G54" s="484"/>
      <c r="H54" s="191"/>
      <c r="I54" s="191"/>
      <c r="J54" s="279"/>
      <c r="K54" s="191"/>
      <c r="L54" s="191"/>
      <c r="M54" s="486"/>
      <c r="N54" s="245"/>
      <c r="O54" s="10"/>
      <c r="P54" s="10"/>
      <c r="Q54" s="10"/>
    </row>
    <row r="55" spans="1:17">
      <c r="A55" s="10">
        <f t="shared" si="2"/>
        <v>52</v>
      </c>
      <c r="B55" s="483" t="s">
        <v>1071</v>
      </c>
      <c r="C55" s="10"/>
      <c r="D55" s="10"/>
      <c r="E55" s="279"/>
      <c r="F55" s="10"/>
      <c r="G55" s="484"/>
      <c r="H55" s="191"/>
      <c r="I55" s="191"/>
      <c r="J55" s="279"/>
      <c r="K55" s="191"/>
      <c r="L55" s="191"/>
      <c r="M55" s="486"/>
      <c r="N55" s="245"/>
      <c r="O55" s="10"/>
      <c r="P55" s="10"/>
      <c r="Q55" s="10"/>
    </row>
    <row r="56" spans="1:17">
      <c r="A56" s="10">
        <f t="shared" si="2"/>
        <v>53</v>
      </c>
      <c r="B56" s="483" t="s">
        <v>1071</v>
      </c>
      <c r="C56" s="10"/>
      <c r="D56" s="10"/>
      <c r="E56" s="279"/>
      <c r="F56" s="10"/>
      <c r="G56" s="484"/>
      <c r="H56" s="492"/>
      <c r="I56" s="492"/>
      <c r="J56" s="279"/>
      <c r="K56" s="492"/>
      <c r="L56" s="492"/>
      <c r="M56" s="486"/>
      <c r="N56" s="245"/>
      <c r="O56" s="491"/>
      <c r="P56" s="10"/>
      <c r="Q56" s="10"/>
    </row>
    <row r="57" spans="1:17">
      <c r="A57" s="10">
        <f t="shared" si="2"/>
        <v>54</v>
      </c>
      <c r="B57" s="483" t="s">
        <v>1071</v>
      </c>
      <c r="C57" s="10"/>
      <c r="D57" s="10"/>
      <c r="E57" s="279"/>
      <c r="F57" s="10"/>
      <c r="G57" s="484"/>
      <c r="H57" s="492"/>
      <c r="I57" s="492"/>
      <c r="J57" s="279"/>
      <c r="K57" s="492"/>
      <c r="L57" s="492"/>
      <c r="M57" s="486"/>
      <c r="N57" s="245"/>
      <c r="O57" s="491"/>
      <c r="P57" s="10"/>
      <c r="Q57" s="10"/>
    </row>
    <row r="58" spans="1:17">
      <c r="A58" s="10">
        <f t="shared" si="2"/>
        <v>55</v>
      </c>
      <c r="B58" s="483" t="s">
        <v>1071</v>
      </c>
      <c r="C58" s="10"/>
      <c r="D58" s="10"/>
      <c r="E58" s="279"/>
      <c r="F58" s="10"/>
      <c r="G58" s="484"/>
      <c r="H58" s="191"/>
      <c r="I58" s="191"/>
      <c r="J58" s="279"/>
      <c r="K58" s="191"/>
      <c r="L58" s="191"/>
      <c r="M58" s="486"/>
      <c r="N58" s="245"/>
      <c r="O58" s="10"/>
      <c r="P58" s="10"/>
      <c r="Q58" s="10"/>
    </row>
    <row r="59" spans="1:17">
      <c r="A59" s="10">
        <f t="shared" si="2"/>
        <v>56</v>
      </c>
      <c r="B59" s="483" t="s">
        <v>1071</v>
      </c>
      <c r="C59" s="10"/>
      <c r="D59" s="10"/>
      <c r="E59" s="279"/>
      <c r="F59" s="10"/>
      <c r="G59" s="484"/>
      <c r="H59" s="191"/>
      <c r="I59" s="191"/>
      <c r="J59" s="279"/>
      <c r="K59" s="191"/>
      <c r="L59" s="191"/>
      <c r="M59" s="486"/>
      <c r="N59" s="245"/>
      <c r="O59" s="10"/>
      <c r="P59" s="10"/>
      <c r="Q59" s="10"/>
    </row>
    <row r="60" spans="1:17">
      <c r="A60" s="10">
        <f t="shared" si="2"/>
        <v>57</v>
      </c>
      <c r="B60" s="483" t="s">
        <v>1071</v>
      </c>
      <c r="C60" s="10"/>
      <c r="D60" s="10"/>
      <c r="E60" s="279"/>
      <c r="F60" s="10"/>
      <c r="G60" s="484"/>
      <c r="H60" s="492"/>
      <c r="I60" s="492"/>
      <c r="J60" s="279"/>
      <c r="K60" s="492"/>
      <c r="L60" s="492"/>
      <c r="M60" s="486"/>
      <c r="N60" s="245"/>
      <c r="O60" s="491"/>
      <c r="P60" s="10"/>
      <c r="Q60" s="10"/>
    </row>
    <row r="61" spans="1:17">
      <c r="A61" s="10">
        <f t="shared" si="2"/>
        <v>58</v>
      </c>
      <c r="B61" s="483" t="s">
        <v>1071</v>
      </c>
      <c r="C61" s="10"/>
      <c r="D61" s="10"/>
      <c r="E61" s="279"/>
      <c r="F61" s="10"/>
      <c r="G61" s="484"/>
      <c r="H61" s="492"/>
      <c r="I61" s="492"/>
      <c r="J61" s="279"/>
      <c r="K61" s="492"/>
      <c r="L61" s="492"/>
      <c r="M61" s="486"/>
      <c r="N61" s="245"/>
      <c r="O61" s="491"/>
      <c r="P61" s="10"/>
      <c r="Q61" s="10"/>
    </row>
    <row r="62" spans="1:17">
      <c r="A62" s="10">
        <f t="shared" si="2"/>
        <v>59</v>
      </c>
      <c r="B62" s="483" t="s">
        <v>1071</v>
      </c>
      <c r="C62" s="10"/>
      <c r="D62" s="10"/>
      <c r="E62" s="279"/>
      <c r="F62" s="10"/>
      <c r="G62" s="484"/>
      <c r="H62" s="191"/>
      <c r="I62" s="191"/>
      <c r="J62" s="279"/>
      <c r="K62" s="191"/>
      <c r="L62" s="191"/>
      <c r="M62" s="486"/>
      <c r="N62" s="245"/>
      <c r="O62" s="10"/>
      <c r="P62" s="10"/>
      <c r="Q62" s="10"/>
    </row>
    <row r="63" spans="1:17">
      <c r="A63" s="10">
        <f t="shared" si="2"/>
        <v>60</v>
      </c>
      <c r="B63" s="483" t="s">
        <v>1071</v>
      </c>
      <c r="C63" s="10"/>
      <c r="D63" s="10"/>
      <c r="E63" s="279"/>
      <c r="F63" s="10"/>
      <c r="G63" s="484"/>
      <c r="H63" s="191"/>
      <c r="I63" s="490"/>
      <c r="J63" s="279"/>
      <c r="K63" s="191"/>
      <c r="L63" s="191"/>
      <c r="M63" s="486"/>
      <c r="N63" s="245"/>
      <c r="O63" s="10"/>
      <c r="P63" s="10"/>
      <c r="Q63" s="10"/>
    </row>
    <row r="64" spans="1:17">
      <c r="A64" s="10">
        <f t="shared" si="2"/>
        <v>61</v>
      </c>
      <c r="B64" s="483" t="s">
        <v>1071</v>
      </c>
      <c r="C64" s="10"/>
      <c r="D64" s="10"/>
      <c r="E64" s="279"/>
      <c r="F64" s="10"/>
      <c r="G64" s="484"/>
      <c r="H64" s="191"/>
      <c r="I64" s="490"/>
      <c r="J64" s="279"/>
      <c r="K64" s="191"/>
      <c r="L64" s="191"/>
      <c r="M64" s="486"/>
      <c r="N64" s="245"/>
      <c r="O64" s="10"/>
      <c r="P64" s="10"/>
      <c r="Q64" s="10"/>
    </row>
    <row r="65" spans="1:16362">
      <c r="A65" s="10">
        <f t="shared" si="2"/>
        <v>62</v>
      </c>
      <c r="B65" s="483" t="s">
        <v>1071</v>
      </c>
      <c r="C65" s="10"/>
      <c r="D65" s="10"/>
      <c r="E65" s="279"/>
      <c r="F65" s="10"/>
      <c r="G65" s="484"/>
      <c r="H65" s="191"/>
      <c r="I65" s="490"/>
      <c r="J65" s="279"/>
      <c r="K65" s="191"/>
      <c r="L65" s="191"/>
      <c r="M65" s="486"/>
      <c r="N65" s="245"/>
      <c r="O65" s="10"/>
      <c r="P65" s="10"/>
      <c r="Q65" s="10"/>
    </row>
    <row r="66" spans="1:16362">
      <c r="A66" s="10">
        <f t="shared" si="2"/>
        <v>63</v>
      </c>
      <c r="B66" s="483" t="s">
        <v>1071</v>
      </c>
      <c r="C66" s="10"/>
      <c r="D66" s="10"/>
      <c r="E66" s="279"/>
      <c r="F66" s="10"/>
      <c r="G66" s="484"/>
      <c r="H66" s="492"/>
      <c r="I66" s="492"/>
      <c r="J66" s="279"/>
      <c r="K66" s="492"/>
      <c r="L66" s="492"/>
      <c r="M66" s="486"/>
      <c r="N66" s="245"/>
      <c r="O66" s="491"/>
      <c r="P66" s="10"/>
      <c r="Q66" s="10"/>
    </row>
    <row r="67" spans="1:16362">
      <c r="A67" s="10">
        <f t="shared" si="2"/>
        <v>64</v>
      </c>
      <c r="B67" s="483" t="s">
        <v>1071</v>
      </c>
      <c r="C67" s="10"/>
      <c r="D67" s="10"/>
      <c r="E67" s="279"/>
      <c r="F67" s="10"/>
      <c r="G67" s="484"/>
      <c r="H67" s="191"/>
      <c r="I67" s="191"/>
      <c r="J67" s="279"/>
      <c r="K67" s="191"/>
      <c r="L67" s="191"/>
      <c r="M67" s="486"/>
      <c r="N67" s="245"/>
      <c r="O67" s="10"/>
      <c r="P67" s="10"/>
      <c r="Q67" s="10"/>
    </row>
    <row r="68" spans="1:16362">
      <c r="A68" s="10">
        <f t="shared" si="2"/>
        <v>65</v>
      </c>
      <c r="B68" s="483" t="s">
        <v>1071</v>
      </c>
      <c r="C68" s="10"/>
      <c r="D68" s="10"/>
      <c r="E68" s="279"/>
      <c r="F68" s="10"/>
      <c r="G68" s="484"/>
      <c r="H68" s="191"/>
      <c r="I68" s="191"/>
      <c r="J68" s="279"/>
      <c r="K68" s="191"/>
      <c r="L68" s="191"/>
      <c r="M68" s="486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3" t="s">
        <v>1071</v>
      </c>
      <c r="C69" s="10"/>
      <c r="D69" s="10"/>
      <c r="E69" s="279"/>
      <c r="F69" s="10"/>
      <c r="G69" s="484"/>
      <c r="H69" s="191"/>
      <c r="I69" s="191"/>
      <c r="J69" s="279"/>
      <c r="K69" s="191"/>
      <c r="L69" s="191"/>
      <c r="M69" s="486"/>
      <c r="N69" s="245"/>
      <c r="O69" s="10"/>
      <c r="P69" s="10"/>
      <c r="Q69" s="10"/>
    </row>
    <row r="70" spans="1:16362">
      <c r="A70" s="10">
        <f t="shared" si="3"/>
        <v>67</v>
      </c>
      <c r="B70" s="483" t="s">
        <v>1071</v>
      </c>
      <c r="C70" s="10"/>
      <c r="D70" s="10"/>
      <c r="E70" s="279"/>
      <c r="F70" s="10"/>
      <c r="G70" s="484"/>
      <c r="H70" s="492"/>
      <c r="I70" s="492"/>
      <c r="J70" s="279"/>
      <c r="K70" s="492"/>
      <c r="L70" s="492"/>
      <c r="M70" s="486"/>
      <c r="N70" s="245"/>
      <c r="O70" s="491"/>
      <c r="P70" s="10"/>
      <c r="Q70" s="10"/>
    </row>
    <row r="71" spans="1:16362">
      <c r="A71" s="10">
        <f t="shared" si="3"/>
        <v>68</v>
      </c>
      <c r="B71" s="483" t="s">
        <v>1071</v>
      </c>
      <c r="C71" s="10"/>
      <c r="D71" s="10"/>
      <c r="E71" s="279"/>
      <c r="F71" s="10"/>
      <c r="G71" s="484"/>
      <c r="H71" s="492"/>
      <c r="I71" s="492"/>
      <c r="J71" s="279"/>
      <c r="K71" s="492"/>
      <c r="L71" s="492"/>
      <c r="M71" s="486"/>
      <c r="N71" s="245"/>
      <c r="O71" s="491"/>
      <c r="P71" s="10"/>
      <c r="Q71" s="10"/>
    </row>
    <row r="72" spans="1:16362">
      <c r="A72" s="10">
        <f t="shared" si="3"/>
        <v>69</v>
      </c>
      <c r="B72" s="483" t="s">
        <v>1071</v>
      </c>
      <c r="C72" s="10"/>
      <c r="D72" s="10"/>
      <c r="E72" s="279"/>
      <c r="F72" s="10"/>
      <c r="G72" s="484"/>
      <c r="H72" s="191"/>
      <c r="I72" s="191"/>
      <c r="J72" s="279"/>
      <c r="K72" s="191"/>
      <c r="L72" s="191"/>
      <c r="M72" s="486"/>
      <c r="N72" s="245"/>
      <c r="O72" s="10"/>
      <c r="P72" s="10"/>
      <c r="Q72" s="10"/>
    </row>
    <row r="73" spans="1:16362">
      <c r="A73" s="10">
        <f t="shared" si="3"/>
        <v>70</v>
      </c>
      <c r="B73" s="483" t="s">
        <v>1071</v>
      </c>
      <c r="C73" s="10"/>
      <c r="D73" s="10"/>
      <c r="E73" s="279"/>
      <c r="F73" s="10"/>
      <c r="G73" s="484"/>
      <c r="H73" s="191"/>
      <c r="I73" s="191"/>
      <c r="J73" s="279"/>
      <c r="K73" s="191"/>
      <c r="L73" s="191"/>
      <c r="M73" s="486"/>
      <c r="N73" s="245"/>
      <c r="O73" s="10"/>
      <c r="P73" s="10"/>
      <c r="Q73" s="10"/>
    </row>
    <row r="74" spans="1:16362">
      <c r="A74" s="10">
        <f t="shared" si="3"/>
        <v>71</v>
      </c>
      <c r="B74" s="483" t="s">
        <v>1071</v>
      </c>
      <c r="C74" s="10"/>
      <c r="D74" s="10"/>
      <c r="E74" s="279"/>
      <c r="F74" s="10"/>
      <c r="G74" s="484"/>
      <c r="H74" s="191"/>
      <c r="I74" s="191"/>
      <c r="J74" s="279"/>
      <c r="K74" s="191"/>
      <c r="L74" s="191"/>
      <c r="M74" s="486"/>
      <c r="N74" s="245"/>
      <c r="O74" s="10"/>
      <c r="P74" s="10"/>
      <c r="Q74" s="10"/>
    </row>
    <row r="75" spans="1:16362">
      <c r="A75" s="10">
        <f t="shared" si="3"/>
        <v>72</v>
      </c>
      <c r="B75" s="483" t="s">
        <v>1071</v>
      </c>
      <c r="C75" s="10"/>
      <c r="D75" s="10"/>
      <c r="E75" s="279"/>
      <c r="F75" s="10"/>
      <c r="G75" s="484"/>
      <c r="H75" s="492"/>
      <c r="I75" s="492"/>
      <c r="J75" s="279"/>
      <c r="K75" s="492"/>
      <c r="L75" s="492"/>
      <c r="M75" s="486"/>
      <c r="N75" s="245"/>
      <c r="O75" s="491"/>
      <c r="P75" s="10"/>
      <c r="Q75" s="10"/>
    </row>
    <row r="76" spans="1:16362">
      <c r="A76" s="10">
        <f t="shared" si="3"/>
        <v>73</v>
      </c>
      <c r="B76" s="483" t="s">
        <v>1071</v>
      </c>
      <c r="C76" s="10"/>
      <c r="D76" s="10"/>
      <c r="E76" s="279"/>
      <c r="F76" s="10"/>
      <c r="G76" s="484"/>
      <c r="H76" s="492"/>
      <c r="I76" s="492"/>
      <c r="J76" s="279"/>
      <c r="K76" s="492"/>
      <c r="L76" s="492"/>
      <c r="M76" s="486"/>
      <c r="N76" s="245"/>
      <c r="O76" s="491"/>
      <c r="P76" s="10"/>
      <c r="Q76" s="10"/>
    </row>
    <row r="77" spans="1:16362">
      <c r="A77" s="10">
        <f t="shared" si="3"/>
        <v>74</v>
      </c>
      <c r="B77" s="483" t="s">
        <v>1071</v>
      </c>
      <c r="C77" s="10"/>
      <c r="D77" s="10"/>
      <c r="E77" s="279"/>
      <c r="F77" s="10"/>
      <c r="G77" s="484"/>
      <c r="H77" s="492"/>
      <c r="I77" s="492"/>
      <c r="J77" s="279"/>
      <c r="K77" s="492"/>
      <c r="L77" s="492"/>
      <c r="M77" s="486"/>
      <c r="N77" s="245"/>
      <c r="O77" s="491"/>
      <c r="P77" s="10"/>
      <c r="Q77" s="10"/>
    </row>
    <row r="78" spans="1:16362">
      <c r="A78" s="10">
        <f t="shared" si="3"/>
        <v>75</v>
      </c>
      <c r="B78" s="483" t="s">
        <v>1071</v>
      </c>
      <c r="C78" s="10"/>
      <c r="D78" s="10"/>
      <c r="E78" s="279"/>
      <c r="F78" s="10"/>
      <c r="G78" s="484"/>
      <c r="H78" s="492"/>
      <c r="I78" s="492"/>
      <c r="J78" s="279"/>
      <c r="K78" s="492"/>
      <c r="L78" s="492"/>
      <c r="M78" s="486"/>
      <c r="N78" s="245"/>
      <c r="O78" s="491"/>
      <c r="P78" s="10"/>
      <c r="Q78" s="10"/>
    </row>
    <row r="79" spans="1:16362">
      <c r="A79" s="10">
        <f t="shared" si="3"/>
        <v>76</v>
      </c>
      <c r="B79" s="483" t="s">
        <v>1071</v>
      </c>
      <c r="C79" s="10"/>
      <c r="D79" s="10"/>
      <c r="E79" s="279"/>
      <c r="F79" s="10"/>
      <c r="G79" s="484"/>
      <c r="H79" s="191"/>
      <c r="I79" s="191"/>
      <c r="J79" s="279"/>
      <c r="K79" s="191"/>
      <c r="L79" s="191"/>
      <c r="M79" s="486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3"/>
      <c r="C80" s="10"/>
      <c r="D80" s="10"/>
      <c r="E80" s="279"/>
      <c r="F80" s="10"/>
      <c r="G80" s="484"/>
      <c r="H80" s="191"/>
      <c r="I80" s="191"/>
      <c r="J80" s="279"/>
      <c r="K80" s="191"/>
      <c r="L80" s="191"/>
      <c r="M80" s="486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9"/>
      <c r="B82" s="469"/>
      <c r="C82" s="469"/>
      <c r="D82" s="469" t="s">
        <v>11</v>
      </c>
      <c r="E82" s="493">
        <f>SUM(E4:E79)/1000</f>
        <v>72.687174999999982</v>
      </c>
      <c r="F82" s="494"/>
      <c r="G82" s="495"/>
      <c r="H82" s="494"/>
      <c r="I82" s="494"/>
      <c r="J82" s="493">
        <f>SUM(J4:J79)/1000</f>
        <v>69.230614999999986</v>
      </c>
      <c r="K82" s="494"/>
      <c r="L82" s="494"/>
      <c r="M82" s="493">
        <f>SUM(M4:M79)/1000</f>
        <v>54.470014999999989</v>
      </c>
      <c r="N82" s="494"/>
      <c r="O82" s="494"/>
      <c r="P82" s="494"/>
      <c r="Q82" s="494"/>
    </row>
  </sheetData>
  <conditionalFormatting sqref="B83:B1048576 B1:B2">
    <cfRule type="duplicateValues" dxfId="644" priority="4"/>
  </conditionalFormatting>
  <conditionalFormatting sqref="C3:C80">
    <cfRule type="duplicateValues" dxfId="643" priority="9"/>
  </conditionalFormatting>
  <conditionalFormatting sqref="C32">
    <cfRule type="duplicateValues" dxfId="642" priority="5"/>
  </conditionalFormatting>
  <conditionalFormatting sqref="C39">
    <cfRule type="duplicateValues" dxfId="641" priority="6"/>
  </conditionalFormatting>
  <conditionalFormatting sqref="C81:C82">
    <cfRule type="duplicateValues" dxfId="640" priority="7"/>
  </conditionalFormatting>
  <conditionalFormatting sqref="D33:D63 D66:D80 D3:D31">
    <cfRule type="duplicateValues" dxfId="639" priority="8"/>
  </conditionalFormatting>
  <conditionalFormatting sqref="D64">
    <cfRule type="duplicateValues" dxfId="638" priority="2"/>
  </conditionalFormatting>
  <conditionalFormatting sqref="D65">
    <cfRule type="duplicateValues" dxfId="637" priority="3"/>
  </conditionalFormatting>
  <conditionalFormatting sqref="D81:D82">
    <cfRule type="duplicateValues" dxfId="63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6"/>
  <sheetViews>
    <sheetView topLeftCell="A622" workbookViewId="0">
      <selection activeCell="L600" sqref="L600"/>
    </sheetView>
  </sheetViews>
  <sheetFormatPr defaultRowHeight="15.5"/>
  <cols>
    <col min="2" max="2" width="15.1796875" bestFit="1" customWidth="1"/>
    <col min="3" max="3" width="11.7265625" style="439" bestFit="1" customWidth="1"/>
    <col min="4" max="4" width="11" bestFit="1" customWidth="1"/>
    <col min="5" max="5" width="10.1796875" bestFit="1" customWidth="1"/>
    <col min="8" max="8" width="14.81640625" customWidth="1"/>
    <col min="10" max="10" width="20.81640625" customWidth="1"/>
    <col min="11" max="11" width="10.453125" bestFit="1" customWidth="1"/>
    <col min="12" max="12" width="29.1796875" bestFit="1" customWidth="1"/>
  </cols>
  <sheetData>
    <row r="1" spans="1:16" ht="22" thickTop="1" thickBot="1">
      <c r="A1" s="528" t="s">
        <v>164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30"/>
      <c r="M1" s="31"/>
      <c r="N1" s="31"/>
    </row>
    <row r="2" spans="1:16" ht="53" thickTop="1" thickBot="1">
      <c r="A2" s="40" t="s">
        <v>165</v>
      </c>
      <c r="B2" s="40" t="s">
        <v>166</v>
      </c>
      <c r="C2" s="436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6.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6.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" thickTop="1">
      <c r="A5" s="31"/>
      <c r="B5" s="31"/>
      <c r="C5" s="437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7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2" t="s">
        <v>177</v>
      </c>
      <c r="B7" s="593"/>
      <c r="C7" s="593"/>
      <c r="D7" s="593"/>
      <c r="E7" s="593"/>
      <c r="F7" s="593"/>
      <c r="G7" s="593"/>
      <c r="H7" s="593"/>
      <c r="I7" s="593"/>
      <c r="J7" s="593"/>
      <c r="K7" s="593"/>
      <c r="L7" s="593"/>
      <c r="M7" s="593"/>
      <c r="N7" s="594"/>
    </row>
    <row r="8" spans="1:16" ht="52.5" thickBot="1">
      <c r="A8" s="72" t="s">
        <v>165</v>
      </c>
      <c r="B8" s="72" t="s">
        <v>166</v>
      </c>
      <c r="C8" s="438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5" t="s">
        <v>73</v>
      </c>
      <c r="N8" s="596"/>
    </row>
    <row r="9" spans="1:16" ht="30" thickTop="1" thickBot="1">
      <c r="A9" s="91" t="s">
        <v>186</v>
      </c>
      <c r="B9" s="91" t="s">
        <v>187</v>
      </c>
      <c r="C9" s="421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3"/>
      <c r="N9" s="544"/>
    </row>
    <row r="10" spans="1:16" ht="30" thickTop="1" thickBot="1">
      <c r="A10" s="91" t="s">
        <v>161</v>
      </c>
      <c r="B10" s="91" t="s">
        <v>187</v>
      </c>
      <c r="C10" s="421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3"/>
      <c r="N10" s="544"/>
    </row>
    <row r="11" spans="1:16" ht="16" thickTop="1"/>
    <row r="12" spans="1:16" ht="31">
      <c r="A12" s="271" t="s">
        <v>188</v>
      </c>
      <c r="B12" s="271" t="s">
        <v>59</v>
      </c>
      <c r="C12" s="440" t="s">
        <v>57</v>
      </c>
      <c r="D12" s="271" t="s">
        <v>162</v>
      </c>
      <c r="E12" s="271" t="s">
        <v>189</v>
      </c>
      <c r="F12" s="271" t="s">
        <v>190</v>
      </c>
      <c r="G12" s="597" t="s">
        <v>71</v>
      </c>
      <c r="H12" s="597"/>
      <c r="I12" s="597"/>
      <c r="J12" s="597"/>
      <c r="K12" s="271" t="s">
        <v>191</v>
      </c>
      <c r="L12" s="271" t="s">
        <v>192</v>
      </c>
      <c r="M12" s="271" t="s">
        <v>193</v>
      </c>
      <c r="N12" s="597" t="s">
        <v>194</v>
      </c>
      <c r="O12" s="597"/>
      <c r="P12" s="597"/>
    </row>
    <row r="13" spans="1:16">
      <c r="A13" s="235">
        <v>1</v>
      </c>
      <c r="B13" s="214" t="s">
        <v>441</v>
      </c>
      <c r="C13" s="441" t="s">
        <v>195</v>
      </c>
      <c r="D13" s="247" t="s">
        <v>699</v>
      </c>
      <c r="E13" s="250">
        <v>45406</v>
      </c>
      <c r="F13" s="260">
        <v>37.64</v>
      </c>
      <c r="G13" s="589" t="s">
        <v>55</v>
      </c>
      <c r="H13" s="590"/>
      <c r="I13" s="590"/>
      <c r="J13" s="591"/>
      <c r="K13" s="258">
        <v>45418</v>
      </c>
      <c r="L13" s="264" t="s">
        <v>723</v>
      </c>
      <c r="M13" s="270"/>
      <c r="N13" s="270"/>
      <c r="O13" s="270"/>
      <c r="P13" s="270"/>
    </row>
    <row r="14" spans="1:16">
      <c r="A14" s="75">
        <v>2</v>
      </c>
      <c r="B14" s="215" t="s">
        <v>462</v>
      </c>
      <c r="C14" s="442" t="s">
        <v>224</v>
      </c>
      <c r="D14" s="236" t="s">
        <v>699</v>
      </c>
      <c r="E14" s="251">
        <v>45413</v>
      </c>
      <c r="F14" s="260">
        <v>41.37</v>
      </c>
      <c r="G14" s="589" t="s">
        <v>55</v>
      </c>
      <c r="H14" s="590"/>
      <c r="I14" s="590"/>
      <c r="J14" s="591"/>
      <c r="K14" s="259">
        <v>45422</v>
      </c>
      <c r="L14" s="264" t="s">
        <v>723</v>
      </c>
      <c r="M14" s="76"/>
      <c r="N14" s="76"/>
      <c r="O14" s="76"/>
      <c r="P14" s="76"/>
    </row>
    <row r="15" spans="1:16">
      <c r="A15" s="75">
        <v>3</v>
      </c>
      <c r="B15" s="215" t="s">
        <v>467</v>
      </c>
      <c r="C15" s="442" t="s">
        <v>195</v>
      </c>
      <c r="D15" s="236" t="s">
        <v>699</v>
      </c>
      <c r="E15" s="251">
        <v>45421</v>
      </c>
      <c r="F15" s="260">
        <v>37.64</v>
      </c>
      <c r="G15" s="589" t="s">
        <v>55</v>
      </c>
      <c r="H15" s="590"/>
      <c r="I15" s="590"/>
      <c r="J15" s="591"/>
      <c r="K15" s="259">
        <v>45426</v>
      </c>
      <c r="L15" s="264" t="s">
        <v>723</v>
      </c>
      <c r="M15" s="76"/>
      <c r="N15" s="76"/>
      <c r="O15" s="76"/>
      <c r="P15" s="76"/>
    </row>
    <row r="16" spans="1:16">
      <c r="A16" s="75">
        <v>4</v>
      </c>
      <c r="B16" s="215" t="s">
        <v>457</v>
      </c>
      <c r="C16" s="442" t="s">
        <v>224</v>
      </c>
      <c r="D16" s="236" t="s">
        <v>699</v>
      </c>
      <c r="E16" s="251">
        <v>45425</v>
      </c>
      <c r="F16" s="260">
        <v>41.37</v>
      </c>
      <c r="G16" s="589" t="s">
        <v>55</v>
      </c>
      <c r="H16" s="590"/>
      <c r="I16" s="590"/>
      <c r="J16" s="591"/>
      <c r="K16" s="259">
        <v>45430</v>
      </c>
      <c r="L16" s="264" t="s">
        <v>723</v>
      </c>
      <c r="M16" s="76"/>
      <c r="N16" s="76"/>
      <c r="O16" s="76"/>
      <c r="P16" s="76"/>
    </row>
    <row r="17" spans="1:16">
      <c r="A17" s="75">
        <v>5</v>
      </c>
      <c r="B17" s="215" t="s">
        <v>442</v>
      </c>
      <c r="C17" s="442" t="s">
        <v>195</v>
      </c>
      <c r="D17" s="236" t="s">
        <v>699</v>
      </c>
      <c r="E17" s="251">
        <v>45428</v>
      </c>
      <c r="F17" s="260">
        <v>37.64</v>
      </c>
      <c r="G17" s="589" t="s">
        <v>55</v>
      </c>
      <c r="H17" s="590"/>
      <c r="I17" s="590"/>
      <c r="J17" s="591"/>
      <c r="K17" s="259">
        <v>45433</v>
      </c>
      <c r="L17" s="264" t="s">
        <v>723</v>
      </c>
      <c r="M17" s="76"/>
      <c r="N17" s="76"/>
      <c r="O17" s="76"/>
      <c r="P17" s="76"/>
    </row>
    <row r="18" spans="1:16">
      <c r="A18" s="75">
        <v>6</v>
      </c>
      <c r="B18" s="215" t="s">
        <v>471</v>
      </c>
      <c r="C18" s="442" t="s">
        <v>224</v>
      </c>
      <c r="D18" s="236" t="s">
        <v>699</v>
      </c>
      <c r="E18" s="251">
        <v>45434</v>
      </c>
      <c r="F18" s="260">
        <v>41.37</v>
      </c>
      <c r="G18" s="589" t="s">
        <v>55</v>
      </c>
      <c r="H18" s="590"/>
      <c r="I18" s="590"/>
      <c r="J18" s="591"/>
      <c r="K18" s="259">
        <v>45440</v>
      </c>
      <c r="L18" s="264" t="s">
        <v>723</v>
      </c>
      <c r="M18" s="76"/>
      <c r="N18" s="76"/>
      <c r="O18" s="76"/>
      <c r="P18" s="76"/>
    </row>
    <row r="19" spans="1:16">
      <c r="A19" s="75">
        <v>7</v>
      </c>
      <c r="B19" s="215" t="s">
        <v>443</v>
      </c>
      <c r="C19" s="442" t="s">
        <v>195</v>
      </c>
      <c r="D19" s="236" t="s">
        <v>699</v>
      </c>
      <c r="E19" s="251">
        <v>45440</v>
      </c>
      <c r="F19" s="260">
        <v>37.64</v>
      </c>
      <c r="G19" s="589" t="s">
        <v>55</v>
      </c>
      <c r="H19" s="590"/>
      <c r="I19" s="590"/>
      <c r="J19" s="591"/>
      <c r="K19" s="259">
        <v>45447</v>
      </c>
      <c r="L19" s="265" t="s">
        <v>724</v>
      </c>
      <c r="M19" s="76"/>
      <c r="N19" s="76"/>
      <c r="O19" s="76"/>
      <c r="P19" s="76"/>
    </row>
    <row r="20" spans="1:16">
      <c r="A20" s="75">
        <v>8</v>
      </c>
      <c r="B20" s="215" t="s">
        <v>487</v>
      </c>
      <c r="C20" s="442" t="s">
        <v>224</v>
      </c>
      <c r="D20" s="236" t="s">
        <v>699</v>
      </c>
      <c r="E20" s="251">
        <v>45443</v>
      </c>
      <c r="F20" s="260">
        <v>41.37</v>
      </c>
      <c r="G20" s="589" t="s">
        <v>55</v>
      </c>
      <c r="H20" s="590"/>
      <c r="I20" s="590"/>
      <c r="J20" s="591"/>
      <c r="K20" s="259">
        <v>45446</v>
      </c>
      <c r="L20" s="264" t="s">
        <v>723</v>
      </c>
      <c r="M20" s="76"/>
      <c r="N20" s="76"/>
      <c r="O20" s="76"/>
      <c r="P20" s="76"/>
    </row>
    <row r="21" spans="1:16">
      <c r="A21" s="75">
        <v>9</v>
      </c>
      <c r="B21" s="215" t="s">
        <v>502</v>
      </c>
      <c r="C21" s="442" t="s">
        <v>224</v>
      </c>
      <c r="D21" s="236" t="s">
        <v>699</v>
      </c>
      <c r="E21" s="251">
        <v>45443</v>
      </c>
      <c r="F21" s="260">
        <v>41.37</v>
      </c>
      <c r="G21" s="589" t="s">
        <v>55</v>
      </c>
      <c r="H21" s="590"/>
      <c r="I21" s="590"/>
      <c r="J21" s="591"/>
      <c r="K21" s="259">
        <v>45449</v>
      </c>
      <c r="L21" s="264" t="s">
        <v>723</v>
      </c>
      <c r="M21" s="76"/>
      <c r="N21" s="76"/>
      <c r="O21" s="76"/>
      <c r="P21" s="76"/>
    </row>
    <row r="22" spans="1:16">
      <c r="A22" s="75">
        <v>10</v>
      </c>
      <c r="B22" s="215" t="s">
        <v>493</v>
      </c>
      <c r="C22" s="442" t="s">
        <v>195</v>
      </c>
      <c r="D22" s="236" t="s">
        <v>699</v>
      </c>
      <c r="E22" s="251">
        <v>45447</v>
      </c>
      <c r="F22" s="260">
        <v>37.64</v>
      </c>
      <c r="G22" s="589" t="s">
        <v>55</v>
      </c>
      <c r="H22" s="590"/>
      <c r="I22" s="590"/>
      <c r="J22" s="591"/>
      <c r="K22" s="259">
        <v>45452</v>
      </c>
      <c r="L22" s="264" t="s">
        <v>723</v>
      </c>
      <c r="M22" s="76"/>
      <c r="N22" s="76"/>
      <c r="O22" s="76"/>
      <c r="P22" s="76"/>
    </row>
    <row r="23" spans="1:16">
      <c r="A23" s="75">
        <v>11</v>
      </c>
      <c r="B23" s="215" t="s">
        <v>445</v>
      </c>
      <c r="C23" s="442" t="s">
        <v>195</v>
      </c>
      <c r="D23" s="236" t="s">
        <v>699</v>
      </c>
      <c r="E23" s="251">
        <v>45447</v>
      </c>
      <c r="F23" s="260">
        <v>37.64</v>
      </c>
      <c r="G23" s="589" t="s">
        <v>55</v>
      </c>
      <c r="H23" s="590"/>
      <c r="I23" s="590"/>
      <c r="J23" s="591"/>
      <c r="K23" s="259">
        <v>45451</v>
      </c>
      <c r="L23" s="265" t="s">
        <v>724</v>
      </c>
      <c r="M23" s="76"/>
      <c r="N23" s="76"/>
      <c r="O23" s="76"/>
      <c r="P23" s="76"/>
    </row>
    <row r="24" spans="1:16">
      <c r="A24" s="75">
        <v>12</v>
      </c>
      <c r="B24" s="215" t="s">
        <v>459</v>
      </c>
      <c r="C24" s="442" t="s">
        <v>224</v>
      </c>
      <c r="D24" s="238" t="s">
        <v>700</v>
      </c>
      <c r="E24" s="251">
        <v>45449</v>
      </c>
      <c r="F24" s="260">
        <v>49.03</v>
      </c>
      <c r="G24" s="589" t="s">
        <v>55</v>
      </c>
      <c r="H24" s="590"/>
      <c r="I24" s="590"/>
      <c r="J24" s="591"/>
      <c r="K24" s="259">
        <v>45455</v>
      </c>
      <c r="L24" s="265" t="s">
        <v>725</v>
      </c>
      <c r="M24" s="76"/>
      <c r="N24" s="76"/>
      <c r="O24" s="76"/>
      <c r="P24" s="76"/>
    </row>
    <row r="25" spans="1:16">
      <c r="A25" s="75">
        <v>13</v>
      </c>
      <c r="B25" s="216" t="s">
        <v>658</v>
      </c>
      <c r="C25" s="442" t="s">
        <v>225</v>
      </c>
      <c r="D25" s="236" t="s">
        <v>699</v>
      </c>
      <c r="E25" s="251">
        <v>45450</v>
      </c>
      <c r="F25" s="260">
        <v>37.64</v>
      </c>
      <c r="G25" s="589" t="s">
        <v>55</v>
      </c>
      <c r="H25" s="590"/>
      <c r="I25" s="590"/>
      <c r="J25" s="591"/>
      <c r="K25" s="251">
        <v>45454</v>
      </c>
      <c r="L25" s="264" t="s">
        <v>723</v>
      </c>
      <c r="M25" s="76"/>
      <c r="N25" s="76"/>
      <c r="O25" s="76"/>
      <c r="P25" s="76"/>
    </row>
    <row r="26" spans="1:16">
      <c r="A26" s="75">
        <v>14</v>
      </c>
      <c r="B26" s="216" t="s">
        <v>451</v>
      </c>
      <c r="C26" s="442" t="s">
        <v>224</v>
      </c>
      <c r="D26" s="236" t="s">
        <v>699</v>
      </c>
      <c r="E26" s="251">
        <v>45451</v>
      </c>
      <c r="F26" s="260">
        <v>41.37</v>
      </c>
      <c r="G26" s="589" t="s">
        <v>55</v>
      </c>
      <c r="H26" s="590"/>
      <c r="I26" s="590"/>
      <c r="J26" s="591"/>
      <c r="K26" s="259">
        <v>45456</v>
      </c>
      <c r="L26" s="265" t="s">
        <v>724</v>
      </c>
      <c r="M26" s="76"/>
      <c r="N26" s="76"/>
      <c r="O26" s="76"/>
      <c r="P26" s="76"/>
    </row>
    <row r="27" spans="1:16">
      <c r="A27" s="75">
        <v>15</v>
      </c>
      <c r="B27" s="216" t="s">
        <v>506</v>
      </c>
      <c r="C27" s="442" t="s">
        <v>224</v>
      </c>
      <c r="D27" s="236" t="s">
        <v>699</v>
      </c>
      <c r="E27" s="251">
        <v>45453</v>
      </c>
      <c r="F27" s="260">
        <v>41.37</v>
      </c>
      <c r="G27" s="589" t="s">
        <v>55</v>
      </c>
      <c r="H27" s="590"/>
      <c r="I27" s="590"/>
      <c r="J27" s="591"/>
      <c r="K27" s="259">
        <v>45457</v>
      </c>
      <c r="L27" s="264" t="s">
        <v>723</v>
      </c>
      <c r="M27" s="76"/>
      <c r="N27" s="76"/>
      <c r="O27" s="76"/>
      <c r="P27" s="76"/>
    </row>
    <row r="28" spans="1:16">
      <c r="A28" s="75">
        <v>16</v>
      </c>
      <c r="B28" s="216" t="s">
        <v>448</v>
      </c>
      <c r="C28" s="442" t="s">
        <v>224</v>
      </c>
      <c r="D28" s="236" t="s">
        <v>699</v>
      </c>
      <c r="E28" s="251">
        <v>45455</v>
      </c>
      <c r="F28" s="260">
        <v>41.37</v>
      </c>
      <c r="G28" s="589" t="s">
        <v>55</v>
      </c>
      <c r="H28" s="590"/>
      <c r="I28" s="590"/>
      <c r="J28" s="591"/>
      <c r="K28" s="259">
        <v>45462</v>
      </c>
      <c r="L28" s="265" t="s">
        <v>724</v>
      </c>
      <c r="M28" s="76"/>
      <c r="N28" s="76"/>
      <c r="O28" s="76"/>
      <c r="P28" s="76"/>
    </row>
    <row r="29" spans="1:16">
      <c r="A29" s="75">
        <v>17</v>
      </c>
      <c r="B29" s="216" t="s">
        <v>553</v>
      </c>
      <c r="C29" s="442" t="s">
        <v>224</v>
      </c>
      <c r="D29" s="236" t="s">
        <v>699</v>
      </c>
      <c r="E29" s="251">
        <v>45456</v>
      </c>
      <c r="F29" s="260">
        <v>41.37</v>
      </c>
      <c r="G29" s="589" t="s">
        <v>55</v>
      </c>
      <c r="H29" s="590"/>
      <c r="I29" s="590"/>
      <c r="J29" s="591"/>
      <c r="K29" s="259">
        <v>45466</v>
      </c>
      <c r="L29" s="265" t="s">
        <v>726</v>
      </c>
      <c r="M29" s="76"/>
      <c r="N29" s="76"/>
      <c r="O29" s="76"/>
      <c r="P29" s="76"/>
    </row>
    <row r="30" spans="1:16">
      <c r="A30" s="75">
        <v>18</v>
      </c>
      <c r="B30" s="216" t="s">
        <v>446</v>
      </c>
      <c r="C30" s="442" t="s">
        <v>195</v>
      </c>
      <c r="D30" s="236" t="s">
        <v>699</v>
      </c>
      <c r="E30" s="251">
        <v>45456</v>
      </c>
      <c r="F30" s="260">
        <v>37.64</v>
      </c>
      <c r="G30" s="589" t="s">
        <v>55</v>
      </c>
      <c r="H30" s="590"/>
      <c r="I30" s="590"/>
      <c r="J30" s="591"/>
      <c r="K30" s="259">
        <v>45465</v>
      </c>
      <c r="L30" s="266" t="s">
        <v>725</v>
      </c>
      <c r="M30" s="76"/>
      <c r="N30" s="76"/>
      <c r="O30" s="76"/>
      <c r="P30" s="76"/>
    </row>
    <row r="31" spans="1:16">
      <c r="A31" s="75">
        <v>19</v>
      </c>
      <c r="B31" s="216" t="s">
        <v>591</v>
      </c>
      <c r="C31" s="442" t="s">
        <v>225</v>
      </c>
      <c r="D31" s="236" t="s">
        <v>699</v>
      </c>
      <c r="E31" s="251">
        <v>45456</v>
      </c>
      <c r="F31" s="260">
        <v>37.64</v>
      </c>
      <c r="G31" s="589" t="s">
        <v>55</v>
      </c>
      <c r="H31" s="590"/>
      <c r="I31" s="590"/>
      <c r="J31" s="591"/>
      <c r="K31" s="259">
        <v>45460</v>
      </c>
      <c r="L31" s="264" t="s">
        <v>723</v>
      </c>
      <c r="M31" s="76"/>
      <c r="N31" s="76"/>
      <c r="O31" s="76"/>
      <c r="P31" s="76"/>
    </row>
    <row r="32" spans="1:16">
      <c r="A32" s="75">
        <v>20</v>
      </c>
      <c r="B32" s="216" t="s">
        <v>482</v>
      </c>
      <c r="C32" s="442" t="s">
        <v>225</v>
      </c>
      <c r="D32" s="236" t="s">
        <v>699</v>
      </c>
      <c r="E32" s="251">
        <v>45456</v>
      </c>
      <c r="F32" s="260">
        <v>37.64</v>
      </c>
      <c r="G32" s="589" t="s">
        <v>55</v>
      </c>
      <c r="H32" s="590"/>
      <c r="I32" s="590"/>
      <c r="J32" s="591"/>
      <c r="K32" s="259">
        <v>45463</v>
      </c>
      <c r="L32" s="264" t="s">
        <v>723</v>
      </c>
      <c r="M32" s="76"/>
      <c r="N32" s="76"/>
      <c r="O32" s="76"/>
      <c r="P32" s="76"/>
    </row>
    <row r="33" spans="1:16">
      <c r="A33" s="75">
        <v>21</v>
      </c>
      <c r="B33" s="216" t="s">
        <v>454</v>
      </c>
      <c r="C33" s="442" t="s">
        <v>224</v>
      </c>
      <c r="D33" s="236" t="s">
        <v>699</v>
      </c>
      <c r="E33" s="251">
        <v>45463</v>
      </c>
      <c r="F33" s="260">
        <v>41.37</v>
      </c>
      <c r="G33" s="589" t="s">
        <v>55</v>
      </c>
      <c r="H33" s="590"/>
      <c r="I33" s="590"/>
      <c r="J33" s="591"/>
      <c r="K33" s="259">
        <v>45468</v>
      </c>
      <c r="L33" s="266" t="s">
        <v>724</v>
      </c>
      <c r="M33" s="76"/>
      <c r="N33" s="76"/>
      <c r="O33" s="76"/>
      <c r="P33" s="76"/>
    </row>
    <row r="34" spans="1:16">
      <c r="A34" s="75">
        <v>22</v>
      </c>
      <c r="B34" s="216" t="s">
        <v>450</v>
      </c>
      <c r="C34" s="442" t="s">
        <v>225</v>
      </c>
      <c r="D34" s="236" t="s">
        <v>699</v>
      </c>
      <c r="E34" s="251">
        <v>45464</v>
      </c>
      <c r="F34" s="260">
        <v>37.64</v>
      </c>
      <c r="G34" s="589" t="s">
        <v>55</v>
      </c>
      <c r="H34" s="590"/>
      <c r="I34" s="590"/>
      <c r="J34" s="591"/>
      <c r="K34" s="259">
        <v>45470</v>
      </c>
      <c r="L34" s="265" t="s">
        <v>725</v>
      </c>
      <c r="M34" s="76"/>
      <c r="N34" s="76"/>
      <c r="O34" s="76"/>
      <c r="P34" s="76"/>
    </row>
    <row r="35" spans="1:16">
      <c r="A35" s="75">
        <v>23</v>
      </c>
      <c r="B35" s="216" t="s">
        <v>594</v>
      </c>
      <c r="C35" s="442" t="s">
        <v>224</v>
      </c>
      <c r="D35" s="238" t="s">
        <v>700</v>
      </c>
      <c r="E35" s="251">
        <v>45465</v>
      </c>
      <c r="F35" s="260">
        <v>49.03</v>
      </c>
      <c r="G35" s="589" t="s">
        <v>55</v>
      </c>
      <c r="H35" s="590"/>
      <c r="I35" s="590"/>
      <c r="J35" s="591"/>
      <c r="K35" s="259">
        <v>45473</v>
      </c>
      <c r="L35" s="266" t="s">
        <v>726</v>
      </c>
      <c r="M35" s="76"/>
      <c r="N35" s="76"/>
      <c r="O35" s="76"/>
      <c r="P35" s="76"/>
    </row>
    <row r="36" spans="1:16">
      <c r="A36" s="75">
        <v>24</v>
      </c>
      <c r="B36" s="216" t="s">
        <v>99</v>
      </c>
      <c r="C36" s="442" t="s">
        <v>224</v>
      </c>
      <c r="D36" s="238" t="s">
        <v>700</v>
      </c>
      <c r="E36" s="251">
        <v>45474</v>
      </c>
      <c r="F36" s="260">
        <v>49.03</v>
      </c>
      <c r="G36" s="589" t="s">
        <v>55</v>
      </c>
      <c r="H36" s="590"/>
      <c r="I36" s="590"/>
      <c r="J36" s="591"/>
      <c r="K36" s="259">
        <v>45484</v>
      </c>
      <c r="L36" s="266" t="s">
        <v>726</v>
      </c>
      <c r="M36" s="76"/>
      <c r="N36" s="76"/>
      <c r="O36" s="76"/>
      <c r="P36" s="76"/>
    </row>
    <row r="37" spans="1:16">
      <c r="A37" s="75">
        <v>25</v>
      </c>
      <c r="B37" s="216" t="s">
        <v>452</v>
      </c>
      <c r="C37" s="442" t="s">
        <v>225</v>
      </c>
      <c r="D37" s="236" t="s">
        <v>699</v>
      </c>
      <c r="E37" s="251">
        <v>45481</v>
      </c>
      <c r="F37" s="260">
        <v>37.64</v>
      </c>
      <c r="G37" s="589" t="s">
        <v>55</v>
      </c>
      <c r="H37" s="590"/>
      <c r="I37" s="590"/>
      <c r="J37" s="591"/>
      <c r="K37" s="253">
        <v>45488</v>
      </c>
      <c r="L37" s="266" t="s">
        <v>727</v>
      </c>
      <c r="M37" s="76"/>
      <c r="N37" s="76"/>
      <c r="O37" s="76"/>
      <c r="P37" s="76"/>
    </row>
    <row r="38" spans="1:16">
      <c r="A38" s="75">
        <v>26</v>
      </c>
      <c r="B38" s="216" t="s">
        <v>331</v>
      </c>
      <c r="C38" s="442" t="s">
        <v>224</v>
      </c>
      <c r="D38" s="238" t="s">
        <v>700</v>
      </c>
      <c r="E38" s="251">
        <v>45484</v>
      </c>
      <c r="F38" s="260">
        <v>49.03</v>
      </c>
      <c r="G38" s="589" t="s">
        <v>55</v>
      </c>
      <c r="H38" s="590"/>
      <c r="I38" s="590"/>
      <c r="J38" s="591"/>
      <c r="K38" s="259">
        <v>45491</v>
      </c>
      <c r="L38" s="266" t="s">
        <v>726</v>
      </c>
      <c r="M38" s="76"/>
      <c r="N38" s="76"/>
      <c r="O38" s="76"/>
      <c r="P38" s="76"/>
    </row>
    <row r="39" spans="1:16">
      <c r="A39" s="75">
        <v>27</v>
      </c>
      <c r="B39" s="216" t="s">
        <v>577</v>
      </c>
      <c r="C39" s="442" t="s">
        <v>225</v>
      </c>
      <c r="D39" s="236" t="s">
        <v>699</v>
      </c>
      <c r="E39" s="251">
        <v>45485</v>
      </c>
      <c r="F39" s="260">
        <v>37.64</v>
      </c>
      <c r="G39" s="589" t="s">
        <v>55</v>
      </c>
      <c r="H39" s="590"/>
      <c r="I39" s="590"/>
      <c r="J39" s="591"/>
      <c r="K39" s="253">
        <v>45496</v>
      </c>
      <c r="L39" s="266" t="s">
        <v>728</v>
      </c>
      <c r="M39" s="76"/>
      <c r="N39" s="76"/>
      <c r="O39" s="76"/>
      <c r="P39" s="76"/>
    </row>
    <row r="40" spans="1:16">
      <c r="A40" s="75">
        <v>28</v>
      </c>
      <c r="B40" s="216" t="s">
        <v>455</v>
      </c>
      <c r="C40" s="442" t="s">
        <v>224</v>
      </c>
      <c r="D40" s="236" t="s">
        <v>699</v>
      </c>
      <c r="E40" s="251">
        <v>45486</v>
      </c>
      <c r="F40" s="260">
        <v>41.37</v>
      </c>
      <c r="G40" s="589" t="s">
        <v>55</v>
      </c>
      <c r="H40" s="590"/>
      <c r="I40" s="590"/>
      <c r="J40" s="591"/>
      <c r="K40" s="259">
        <v>45493</v>
      </c>
      <c r="L40" s="266" t="s">
        <v>729</v>
      </c>
      <c r="M40" s="76"/>
      <c r="N40" s="76"/>
      <c r="O40" s="76"/>
      <c r="P40" s="76"/>
    </row>
    <row r="41" spans="1:16">
      <c r="A41" s="75">
        <v>29</v>
      </c>
      <c r="B41" s="216" t="s">
        <v>460</v>
      </c>
      <c r="C41" s="442" t="s">
        <v>224</v>
      </c>
      <c r="D41" s="238" t="s">
        <v>700</v>
      </c>
      <c r="E41" s="251">
        <v>45488</v>
      </c>
      <c r="F41" s="260">
        <v>49.03</v>
      </c>
      <c r="G41" s="589" t="s">
        <v>55</v>
      </c>
      <c r="H41" s="590"/>
      <c r="I41" s="590"/>
      <c r="J41" s="591"/>
      <c r="K41" s="259">
        <v>45498</v>
      </c>
      <c r="L41" s="266" t="s">
        <v>726</v>
      </c>
      <c r="M41" s="76"/>
      <c r="N41" s="76"/>
      <c r="O41" s="76"/>
      <c r="P41" s="76"/>
    </row>
    <row r="42" spans="1:16">
      <c r="A42" s="75">
        <v>30</v>
      </c>
      <c r="B42" s="216" t="s">
        <v>481</v>
      </c>
      <c r="C42" s="442" t="s">
        <v>224</v>
      </c>
      <c r="D42" s="238" t="s">
        <v>701</v>
      </c>
      <c r="E42" s="252">
        <v>45493</v>
      </c>
      <c r="F42" s="260">
        <v>61.059999999999995</v>
      </c>
      <c r="G42" s="589" t="s">
        <v>55</v>
      </c>
      <c r="H42" s="590"/>
      <c r="I42" s="590"/>
      <c r="J42" s="591"/>
      <c r="K42" s="253">
        <v>45504</v>
      </c>
      <c r="L42" s="266" t="s">
        <v>726</v>
      </c>
      <c r="M42" s="76"/>
      <c r="N42" s="76"/>
      <c r="O42" s="76"/>
      <c r="P42" s="76"/>
    </row>
    <row r="43" spans="1:16">
      <c r="A43" s="75">
        <v>31</v>
      </c>
      <c r="B43" s="216" t="s">
        <v>584</v>
      </c>
      <c r="C43" s="442" t="s">
        <v>225</v>
      </c>
      <c r="D43" s="236" t="s">
        <v>699</v>
      </c>
      <c r="E43" s="252">
        <v>45493</v>
      </c>
      <c r="F43" s="260">
        <v>37.64</v>
      </c>
      <c r="G43" s="589" t="s">
        <v>55</v>
      </c>
      <c r="H43" s="590"/>
      <c r="I43" s="590"/>
      <c r="J43" s="591"/>
      <c r="K43" s="253">
        <v>45503</v>
      </c>
      <c r="L43" s="266" t="s">
        <v>727</v>
      </c>
      <c r="M43" s="76"/>
      <c r="N43" s="76"/>
      <c r="O43" s="76"/>
      <c r="P43" s="76"/>
    </row>
    <row r="44" spans="1:16">
      <c r="A44" s="75">
        <v>32</v>
      </c>
      <c r="B44" s="216" t="s">
        <v>444</v>
      </c>
      <c r="C44" s="442" t="s">
        <v>195</v>
      </c>
      <c r="D44" s="236" t="s">
        <v>699</v>
      </c>
      <c r="E44" s="252">
        <v>45493</v>
      </c>
      <c r="F44" s="260">
        <v>37.64</v>
      </c>
      <c r="G44" s="589" t="s">
        <v>55</v>
      </c>
      <c r="H44" s="590"/>
      <c r="I44" s="590"/>
      <c r="J44" s="591"/>
      <c r="K44" s="253">
        <v>45502</v>
      </c>
      <c r="L44" s="266" t="s">
        <v>730</v>
      </c>
      <c r="M44" s="76"/>
      <c r="N44" s="76"/>
      <c r="O44" s="76"/>
      <c r="P44" s="76"/>
    </row>
    <row r="45" spans="1:16">
      <c r="A45" s="75">
        <v>33</v>
      </c>
      <c r="B45" s="216" t="s">
        <v>453</v>
      </c>
      <c r="C45" s="442" t="s">
        <v>224</v>
      </c>
      <c r="D45" s="236" t="s">
        <v>699</v>
      </c>
      <c r="E45" s="251">
        <v>45495</v>
      </c>
      <c r="F45" s="260">
        <v>41.37</v>
      </c>
      <c r="G45" s="589" t="s">
        <v>55</v>
      </c>
      <c r="H45" s="590"/>
      <c r="I45" s="590"/>
      <c r="J45" s="591"/>
      <c r="K45" s="259">
        <v>45501</v>
      </c>
      <c r="L45" s="266" t="s">
        <v>729</v>
      </c>
      <c r="M45" s="76"/>
      <c r="N45" s="76"/>
      <c r="O45" s="76"/>
      <c r="P45" s="76"/>
    </row>
    <row r="46" spans="1:16">
      <c r="A46" s="75">
        <v>34</v>
      </c>
      <c r="B46" s="216" t="s">
        <v>501</v>
      </c>
      <c r="C46" s="442" t="s">
        <v>224</v>
      </c>
      <c r="D46" s="236" t="s">
        <v>699</v>
      </c>
      <c r="E46" s="251">
        <v>45501</v>
      </c>
      <c r="F46" s="260">
        <v>41.37</v>
      </c>
      <c r="G46" s="589" t="s">
        <v>55</v>
      </c>
      <c r="H46" s="590"/>
      <c r="I46" s="590"/>
      <c r="J46" s="591"/>
      <c r="K46" s="253">
        <v>45508</v>
      </c>
      <c r="L46" s="266" t="s">
        <v>728</v>
      </c>
      <c r="M46" s="76"/>
      <c r="N46" s="76"/>
      <c r="O46" s="76"/>
      <c r="P46" s="76"/>
    </row>
    <row r="47" spans="1:16">
      <c r="A47" s="75">
        <v>35</v>
      </c>
      <c r="B47" s="216" t="s">
        <v>456</v>
      </c>
      <c r="C47" s="442" t="s">
        <v>224</v>
      </c>
      <c r="D47" s="236" t="s">
        <v>699</v>
      </c>
      <c r="E47" s="251">
        <v>45501</v>
      </c>
      <c r="F47" s="260">
        <v>41.37</v>
      </c>
      <c r="G47" s="589" t="s">
        <v>55</v>
      </c>
      <c r="H47" s="590"/>
      <c r="I47" s="590"/>
      <c r="J47" s="591"/>
      <c r="K47" s="253">
        <v>45513</v>
      </c>
      <c r="L47" s="266" t="s">
        <v>729</v>
      </c>
      <c r="M47" s="76"/>
      <c r="N47" s="76"/>
      <c r="O47" s="76"/>
      <c r="P47" s="76"/>
    </row>
    <row r="48" spans="1:16">
      <c r="A48" s="75">
        <v>36</v>
      </c>
      <c r="B48" s="216" t="s">
        <v>447</v>
      </c>
      <c r="C48" s="442" t="s">
        <v>224</v>
      </c>
      <c r="D48" s="236" t="s">
        <v>699</v>
      </c>
      <c r="E48" s="251">
        <v>45503</v>
      </c>
      <c r="F48" s="260">
        <v>41.37</v>
      </c>
      <c r="G48" s="589" t="s">
        <v>55</v>
      </c>
      <c r="H48" s="590"/>
      <c r="I48" s="590"/>
      <c r="J48" s="591"/>
      <c r="K48" s="253">
        <v>45507</v>
      </c>
      <c r="L48" s="266" t="s">
        <v>730</v>
      </c>
      <c r="M48" s="76"/>
      <c r="N48" s="76"/>
      <c r="O48" s="76"/>
      <c r="P48" s="76"/>
    </row>
    <row r="49" spans="1:16">
      <c r="A49" s="75">
        <v>37</v>
      </c>
      <c r="B49" s="216" t="s">
        <v>466</v>
      </c>
      <c r="C49" s="442" t="s">
        <v>195</v>
      </c>
      <c r="D49" s="238" t="s">
        <v>700</v>
      </c>
      <c r="E49" s="252">
        <v>45870</v>
      </c>
      <c r="F49" s="260">
        <v>46.16</v>
      </c>
      <c r="G49" s="589" t="s">
        <v>55</v>
      </c>
      <c r="H49" s="590"/>
      <c r="I49" s="590"/>
      <c r="J49" s="591"/>
      <c r="K49" s="253">
        <v>45512</v>
      </c>
      <c r="L49" s="266" t="s">
        <v>726</v>
      </c>
      <c r="M49" s="76"/>
      <c r="N49" s="76"/>
      <c r="O49" s="76"/>
      <c r="P49" s="76"/>
    </row>
    <row r="50" spans="1:16">
      <c r="A50" s="75">
        <v>38</v>
      </c>
      <c r="B50" s="216" t="s">
        <v>449</v>
      </c>
      <c r="C50" s="442" t="s">
        <v>224</v>
      </c>
      <c r="D50" s="236" t="s">
        <v>699</v>
      </c>
      <c r="E50" s="252">
        <v>45509</v>
      </c>
      <c r="F50" s="260">
        <v>41.37</v>
      </c>
      <c r="G50" s="589" t="s">
        <v>55</v>
      </c>
      <c r="H50" s="590"/>
      <c r="I50" s="590"/>
      <c r="J50" s="591"/>
      <c r="K50" s="253">
        <v>45514</v>
      </c>
      <c r="L50" s="266" t="s">
        <v>730</v>
      </c>
      <c r="M50" s="76"/>
      <c r="N50" s="76"/>
      <c r="O50" s="76"/>
      <c r="P50" s="76"/>
    </row>
    <row r="51" spans="1:16">
      <c r="A51" s="75">
        <v>39</v>
      </c>
      <c r="B51" s="216" t="s">
        <v>593</v>
      </c>
      <c r="C51" s="442" t="s">
        <v>225</v>
      </c>
      <c r="D51" s="236" t="s">
        <v>699</v>
      </c>
      <c r="E51" s="252">
        <v>45512</v>
      </c>
      <c r="F51" s="260">
        <v>37.64</v>
      </c>
      <c r="G51" s="589" t="s">
        <v>55</v>
      </c>
      <c r="H51" s="590"/>
      <c r="I51" s="590"/>
      <c r="J51" s="591"/>
      <c r="K51" s="253">
        <v>45518</v>
      </c>
      <c r="L51" s="266" t="s">
        <v>726</v>
      </c>
      <c r="M51" s="76"/>
      <c r="N51" s="76"/>
      <c r="O51" s="76"/>
      <c r="P51" s="76"/>
    </row>
    <row r="52" spans="1:16">
      <c r="A52" s="75">
        <v>40</v>
      </c>
      <c r="B52" s="217" t="s">
        <v>468</v>
      </c>
      <c r="C52" s="443" t="s">
        <v>195</v>
      </c>
      <c r="D52" s="236" t="s">
        <v>699</v>
      </c>
      <c r="E52" s="252">
        <v>45514</v>
      </c>
      <c r="F52" s="260">
        <v>37.64</v>
      </c>
      <c r="G52" s="589" t="s">
        <v>55</v>
      </c>
      <c r="H52" s="590"/>
      <c r="I52" s="590"/>
      <c r="J52" s="591"/>
      <c r="K52" s="253">
        <v>45525</v>
      </c>
      <c r="L52" s="266" t="s">
        <v>729</v>
      </c>
      <c r="M52" s="76"/>
      <c r="N52" s="76"/>
      <c r="O52" s="76"/>
      <c r="P52" s="76"/>
    </row>
    <row r="53" spans="1:16">
      <c r="A53" s="75">
        <v>41</v>
      </c>
      <c r="B53" s="218" t="s">
        <v>598</v>
      </c>
      <c r="C53" s="443" t="s">
        <v>225</v>
      </c>
      <c r="D53" s="236" t="s">
        <v>699</v>
      </c>
      <c r="E53" s="252">
        <v>45516</v>
      </c>
      <c r="F53" s="260">
        <v>37.64</v>
      </c>
      <c r="G53" s="589" t="s">
        <v>55</v>
      </c>
      <c r="H53" s="590"/>
      <c r="I53" s="590"/>
      <c r="J53" s="591"/>
      <c r="K53" s="253">
        <v>45522</v>
      </c>
      <c r="L53" s="266" t="s">
        <v>730</v>
      </c>
      <c r="M53" s="76"/>
      <c r="N53" s="76"/>
      <c r="O53" s="76"/>
      <c r="P53" s="76"/>
    </row>
    <row r="54" spans="1:16">
      <c r="A54" s="75">
        <v>42</v>
      </c>
      <c r="B54" s="218" t="s">
        <v>569</v>
      </c>
      <c r="C54" s="443" t="s">
        <v>225</v>
      </c>
      <c r="D54" s="236" t="s">
        <v>699</v>
      </c>
      <c r="E54" s="252">
        <v>45516</v>
      </c>
      <c r="F54" s="260">
        <v>37.64</v>
      </c>
      <c r="G54" s="589" t="s">
        <v>55</v>
      </c>
      <c r="H54" s="590"/>
      <c r="I54" s="590"/>
      <c r="J54" s="591"/>
      <c r="K54" s="253">
        <v>45528</v>
      </c>
      <c r="L54" s="266" t="s">
        <v>728</v>
      </c>
      <c r="M54" s="76"/>
      <c r="N54" s="76"/>
      <c r="O54" s="76"/>
      <c r="P54" s="76"/>
    </row>
    <row r="55" spans="1:16">
      <c r="A55" s="75">
        <v>43</v>
      </c>
      <c r="B55" s="27" t="s">
        <v>510</v>
      </c>
      <c r="C55" s="443" t="s">
        <v>224</v>
      </c>
      <c r="D55" s="236" t="s">
        <v>699</v>
      </c>
      <c r="E55" s="252">
        <v>45520</v>
      </c>
      <c r="F55" s="260">
        <v>41.37</v>
      </c>
      <c r="G55" s="589" t="s">
        <v>55</v>
      </c>
      <c r="H55" s="590"/>
      <c r="I55" s="590"/>
      <c r="J55" s="591"/>
      <c r="K55" s="253">
        <v>45535</v>
      </c>
      <c r="L55" s="266" t="s">
        <v>731</v>
      </c>
      <c r="M55" s="76"/>
      <c r="N55" s="76"/>
      <c r="O55" s="76"/>
      <c r="P55" s="76"/>
    </row>
    <row r="56" spans="1:16">
      <c r="A56" s="75">
        <v>44</v>
      </c>
      <c r="B56" s="216" t="s">
        <v>607</v>
      </c>
      <c r="C56" s="442" t="s">
        <v>225</v>
      </c>
      <c r="D56" s="236" t="s">
        <v>699</v>
      </c>
      <c r="E56" s="252">
        <v>45527</v>
      </c>
      <c r="F56" s="260">
        <v>37.64</v>
      </c>
      <c r="G56" s="589" t="s">
        <v>55</v>
      </c>
      <c r="H56" s="590"/>
      <c r="I56" s="590"/>
      <c r="J56" s="591"/>
      <c r="K56" s="253">
        <v>45535</v>
      </c>
      <c r="L56" s="266" t="s">
        <v>730</v>
      </c>
      <c r="M56" s="76"/>
      <c r="N56" s="76"/>
      <c r="O56" s="76"/>
      <c r="P56" s="76"/>
    </row>
    <row r="57" spans="1:16">
      <c r="A57" s="75">
        <v>45</v>
      </c>
      <c r="B57" s="216" t="s">
        <v>491</v>
      </c>
      <c r="C57" s="443" t="s">
        <v>224</v>
      </c>
      <c r="D57" s="236" t="s">
        <v>699</v>
      </c>
      <c r="E57" s="252">
        <v>45527</v>
      </c>
      <c r="F57" s="260">
        <v>41.37</v>
      </c>
      <c r="G57" s="589" t="s">
        <v>55</v>
      </c>
      <c r="H57" s="590"/>
      <c r="I57" s="590"/>
      <c r="J57" s="591"/>
      <c r="K57" s="253">
        <v>45535</v>
      </c>
      <c r="L57" s="266" t="s">
        <v>732</v>
      </c>
      <c r="M57" s="76"/>
      <c r="N57" s="76"/>
      <c r="O57" s="76"/>
      <c r="P57" s="76"/>
    </row>
    <row r="58" spans="1:16">
      <c r="A58" s="75">
        <v>46</v>
      </c>
      <c r="B58" s="216" t="s">
        <v>464</v>
      </c>
      <c r="C58" s="443" t="s">
        <v>195</v>
      </c>
      <c r="D58" s="236" t="s">
        <v>699</v>
      </c>
      <c r="E58" s="252">
        <v>45528</v>
      </c>
      <c r="F58" s="260">
        <v>37.64</v>
      </c>
      <c r="G58" s="589" t="s">
        <v>55</v>
      </c>
      <c r="H58" s="590"/>
      <c r="I58" s="590"/>
      <c r="J58" s="591"/>
      <c r="K58" s="253">
        <v>45534</v>
      </c>
      <c r="L58" s="266" t="s">
        <v>729</v>
      </c>
      <c r="M58" s="76"/>
      <c r="N58" s="76"/>
      <c r="O58" s="76"/>
      <c r="P58" s="76"/>
    </row>
    <row r="59" spans="1:16">
      <c r="A59" s="75">
        <v>47</v>
      </c>
      <c r="B59" s="219" t="s">
        <v>571</v>
      </c>
      <c r="C59" s="444" t="s">
        <v>224</v>
      </c>
      <c r="D59" s="236" t="s">
        <v>699</v>
      </c>
      <c r="E59" s="252">
        <v>45528</v>
      </c>
      <c r="F59" s="260">
        <v>41.37</v>
      </c>
      <c r="G59" s="589" t="s">
        <v>55</v>
      </c>
      <c r="H59" s="590"/>
      <c r="I59" s="590"/>
      <c r="J59" s="591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5" t="s">
        <v>224</v>
      </c>
      <c r="D60" s="238" t="s">
        <v>701</v>
      </c>
      <c r="E60" s="252">
        <v>45528</v>
      </c>
      <c r="F60" s="260">
        <v>61.059999999999995</v>
      </c>
      <c r="G60" s="589" t="s">
        <v>55</v>
      </c>
      <c r="H60" s="590"/>
      <c r="I60" s="590"/>
      <c r="J60" s="591"/>
      <c r="K60" s="253">
        <v>45543</v>
      </c>
      <c r="L60" s="266" t="s">
        <v>734</v>
      </c>
      <c r="M60" s="76"/>
      <c r="N60" s="76"/>
      <c r="O60" s="76"/>
      <c r="P60" s="76"/>
    </row>
    <row r="61" spans="1:16">
      <c r="A61" s="75">
        <v>49</v>
      </c>
      <c r="B61" s="27" t="s">
        <v>474</v>
      </c>
      <c r="C61" s="443" t="s">
        <v>195</v>
      </c>
      <c r="D61" s="236" t="s">
        <v>699</v>
      </c>
      <c r="E61" s="252">
        <v>45528</v>
      </c>
      <c r="F61" s="260">
        <v>37.64</v>
      </c>
      <c r="G61" s="589" t="s">
        <v>55</v>
      </c>
      <c r="H61" s="590"/>
      <c r="I61" s="590"/>
      <c r="J61" s="591"/>
      <c r="K61" s="253">
        <v>45565</v>
      </c>
      <c r="L61" s="266" t="s">
        <v>735</v>
      </c>
      <c r="M61" s="76"/>
      <c r="N61" s="76"/>
      <c r="O61" s="76"/>
      <c r="P61" s="76"/>
    </row>
    <row r="62" spans="1:16">
      <c r="A62" s="75">
        <v>50</v>
      </c>
      <c r="B62" s="27" t="s">
        <v>458</v>
      </c>
      <c r="C62" s="443" t="s">
        <v>224</v>
      </c>
      <c r="D62" s="236" t="s">
        <v>699</v>
      </c>
      <c r="E62" s="252">
        <v>45528</v>
      </c>
      <c r="F62" s="260">
        <v>41.37</v>
      </c>
      <c r="G62" s="589" t="s">
        <v>55</v>
      </c>
      <c r="H62" s="590"/>
      <c r="I62" s="590"/>
      <c r="J62" s="591"/>
      <c r="K62" s="253">
        <v>45540</v>
      </c>
      <c r="L62" s="266" t="s">
        <v>736</v>
      </c>
      <c r="M62" s="76"/>
      <c r="N62" s="76"/>
      <c r="O62" s="76"/>
      <c r="P62" s="76"/>
    </row>
    <row r="63" spans="1:16">
      <c r="A63" s="75">
        <v>51</v>
      </c>
      <c r="B63" s="216" t="s">
        <v>463</v>
      </c>
      <c r="C63" s="443" t="s">
        <v>195</v>
      </c>
      <c r="D63" s="236" t="s">
        <v>699</v>
      </c>
      <c r="E63" s="252">
        <v>45528</v>
      </c>
      <c r="F63" s="260">
        <v>37.64</v>
      </c>
      <c r="G63" s="589" t="s">
        <v>55</v>
      </c>
      <c r="H63" s="590"/>
      <c r="I63" s="590"/>
      <c r="J63" s="591"/>
      <c r="K63" s="253">
        <v>45557</v>
      </c>
      <c r="L63" s="266" t="s">
        <v>737</v>
      </c>
      <c r="M63" s="76"/>
      <c r="N63" s="76"/>
      <c r="O63" s="76"/>
      <c r="P63" s="76"/>
    </row>
    <row r="64" spans="1:16">
      <c r="A64" s="75">
        <v>52</v>
      </c>
      <c r="B64" s="216" t="s">
        <v>564</v>
      </c>
      <c r="C64" s="443" t="s">
        <v>224</v>
      </c>
      <c r="D64" s="236" t="s">
        <v>699</v>
      </c>
      <c r="E64" s="252">
        <v>45528</v>
      </c>
      <c r="F64" s="260">
        <v>41.37</v>
      </c>
      <c r="G64" s="589" t="s">
        <v>55</v>
      </c>
      <c r="H64" s="590"/>
      <c r="I64" s="590"/>
      <c r="J64" s="591"/>
      <c r="K64" s="253">
        <v>45555</v>
      </c>
      <c r="L64" s="266" t="s">
        <v>733</v>
      </c>
      <c r="M64" s="76"/>
      <c r="N64" s="76"/>
      <c r="O64" s="76"/>
      <c r="P64" s="76"/>
    </row>
    <row r="65" spans="1:16">
      <c r="A65" s="75">
        <v>53</v>
      </c>
      <c r="B65" s="216" t="s">
        <v>111</v>
      </c>
      <c r="C65" s="443" t="s">
        <v>225</v>
      </c>
      <c r="D65" s="238" t="s">
        <v>701</v>
      </c>
      <c r="E65" s="252">
        <v>45528</v>
      </c>
      <c r="F65" s="260">
        <v>58.51</v>
      </c>
      <c r="G65" s="589" t="s">
        <v>55</v>
      </c>
      <c r="H65" s="590"/>
      <c r="I65" s="590"/>
      <c r="J65" s="591"/>
      <c r="K65" s="253">
        <v>45543</v>
      </c>
      <c r="L65" s="266" t="s">
        <v>738</v>
      </c>
      <c r="M65" s="76"/>
      <c r="N65" s="76"/>
      <c r="O65" s="76"/>
      <c r="P65" s="76"/>
    </row>
    <row r="66" spans="1:16">
      <c r="A66" s="75">
        <v>54</v>
      </c>
      <c r="B66" s="216" t="s">
        <v>619</v>
      </c>
      <c r="C66" s="443" t="s">
        <v>195</v>
      </c>
      <c r="D66" s="236" t="s">
        <v>699</v>
      </c>
      <c r="E66" s="252">
        <v>45528</v>
      </c>
      <c r="F66" s="260">
        <v>37.64</v>
      </c>
      <c r="G66" s="589" t="s">
        <v>55</v>
      </c>
      <c r="H66" s="590"/>
      <c r="I66" s="590"/>
      <c r="J66" s="591"/>
      <c r="K66" s="253">
        <v>45546</v>
      </c>
      <c r="L66" s="266" t="s">
        <v>739</v>
      </c>
      <c r="M66" s="76"/>
      <c r="N66" s="76"/>
      <c r="O66" s="76"/>
      <c r="P66" s="76"/>
    </row>
    <row r="67" spans="1:16">
      <c r="A67" s="75">
        <v>55</v>
      </c>
      <c r="B67" s="216" t="s">
        <v>578</v>
      </c>
      <c r="C67" s="443" t="s">
        <v>224</v>
      </c>
      <c r="D67" s="238" t="s">
        <v>701</v>
      </c>
      <c r="E67" s="252">
        <v>45533</v>
      </c>
      <c r="F67" s="260">
        <v>61.059999999999995</v>
      </c>
      <c r="G67" s="589" t="s">
        <v>55</v>
      </c>
      <c r="H67" s="590"/>
      <c r="I67" s="590"/>
      <c r="J67" s="591"/>
      <c r="K67" s="253">
        <v>45543</v>
      </c>
      <c r="L67" s="266" t="s">
        <v>724</v>
      </c>
      <c r="M67" s="76"/>
      <c r="N67" s="76"/>
      <c r="O67" s="76"/>
      <c r="P67" s="76"/>
    </row>
    <row r="68" spans="1:16">
      <c r="A68" s="75">
        <v>56</v>
      </c>
      <c r="B68" s="216" t="s">
        <v>565</v>
      </c>
      <c r="C68" s="442" t="s">
        <v>226</v>
      </c>
      <c r="D68" s="236" t="s">
        <v>699</v>
      </c>
      <c r="E68" s="252">
        <v>45534</v>
      </c>
      <c r="F68" s="260">
        <v>41.37</v>
      </c>
      <c r="G68" s="589" t="s">
        <v>55</v>
      </c>
      <c r="H68" s="590"/>
      <c r="I68" s="590"/>
      <c r="J68" s="591"/>
      <c r="K68" s="253">
        <v>45557</v>
      </c>
      <c r="L68" s="266" t="s">
        <v>728</v>
      </c>
      <c r="M68" s="76"/>
      <c r="N68" s="76"/>
      <c r="O68" s="76"/>
      <c r="P68" s="76"/>
    </row>
    <row r="69" spans="1:16">
      <c r="A69" s="75">
        <v>57</v>
      </c>
      <c r="B69" s="216" t="s">
        <v>610</v>
      </c>
      <c r="C69" s="443" t="s">
        <v>225</v>
      </c>
      <c r="D69" s="236" t="s">
        <v>699</v>
      </c>
      <c r="E69" s="252">
        <v>45536</v>
      </c>
      <c r="F69" s="260">
        <v>37.64</v>
      </c>
      <c r="G69" s="589" t="s">
        <v>55</v>
      </c>
      <c r="H69" s="590"/>
      <c r="I69" s="590"/>
      <c r="J69" s="591"/>
      <c r="K69" s="253">
        <v>45544</v>
      </c>
      <c r="L69" s="266" t="s">
        <v>731</v>
      </c>
      <c r="M69" s="76"/>
      <c r="N69" s="76"/>
      <c r="O69" s="76"/>
      <c r="P69" s="76"/>
    </row>
    <row r="70" spans="1:16">
      <c r="A70" s="75">
        <v>58</v>
      </c>
      <c r="B70" s="216" t="s">
        <v>500</v>
      </c>
      <c r="C70" s="443" t="s">
        <v>224</v>
      </c>
      <c r="D70" s="236" t="s">
        <v>699</v>
      </c>
      <c r="E70" s="252">
        <v>45536</v>
      </c>
      <c r="F70" s="260">
        <v>41.37</v>
      </c>
      <c r="G70" s="589" t="s">
        <v>55</v>
      </c>
      <c r="H70" s="590"/>
      <c r="I70" s="590"/>
      <c r="J70" s="591"/>
      <c r="K70" s="253">
        <v>45543</v>
      </c>
      <c r="L70" s="266" t="s">
        <v>729</v>
      </c>
      <c r="M70" s="76"/>
      <c r="N70" s="76"/>
      <c r="O70" s="76"/>
      <c r="P70" s="76"/>
    </row>
    <row r="71" spans="1:16">
      <c r="A71" s="75">
        <v>59</v>
      </c>
      <c r="B71" s="216" t="s">
        <v>489</v>
      </c>
      <c r="C71" s="443" t="s">
        <v>224</v>
      </c>
      <c r="D71" s="236" t="s">
        <v>699</v>
      </c>
      <c r="E71" s="253">
        <v>45543</v>
      </c>
      <c r="F71" s="260">
        <v>41.37</v>
      </c>
      <c r="G71" s="589" t="s">
        <v>55</v>
      </c>
      <c r="H71" s="590"/>
      <c r="I71" s="590"/>
      <c r="J71" s="591"/>
      <c r="K71" s="253">
        <v>45559</v>
      </c>
      <c r="L71" s="266" t="s">
        <v>729</v>
      </c>
      <c r="M71" s="76"/>
      <c r="N71" s="76"/>
      <c r="O71" s="76"/>
      <c r="P71" s="76"/>
    </row>
    <row r="72" spans="1:16">
      <c r="A72" s="75">
        <v>60</v>
      </c>
      <c r="B72" s="216" t="s">
        <v>605</v>
      </c>
      <c r="C72" s="443" t="s">
        <v>225</v>
      </c>
      <c r="D72" s="236" t="s">
        <v>699</v>
      </c>
      <c r="E72" s="253">
        <v>45543</v>
      </c>
      <c r="F72" s="260">
        <v>37.64</v>
      </c>
      <c r="G72" s="589" t="s">
        <v>55</v>
      </c>
      <c r="H72" s="590"/>
      <c r="I72" s="590"/>
      <c r="J72" s="591"/>
      <c r="K72" s="253">
        <v>45546</v>
      </c>
      <c r="L72" s="266" t="s">
        <v>730</v>
      </c>
      <c r="M72" s="76"/>
      <c r="N72" s="76"/>
      <c r="O72" s="76"/>
      <c r="P72" s="76"/>
    </row>
    <row r="73" spans="1:16">
      <c r="A73" s="75">
        <v>61</v>
      </c>
      <c r="B73" s="216" t="s">
        <v>581</v>
      </c>
      <c r="C73" s="443" t="s">
        <v>195</v>
      </c>
      <c r="D73" s="236" t="s">
        <v>699</v>
      </c>
      <c r="E73" s="253">
        <v>45543</v>
      </c>
      <c r="F73" s="260">
        <v>37.64</v>
      </c>
      <c r="G73" s="589" t="s">
        <v>55</v>
      </c>
      <c r="H73" s="590"/>
      <c r="I73" s="590"/>
      <c r="J73" s="591"/>
      <c r="K73" s="253">
        <v>45557</v>
      </c>
      <c r="L73" s="266" t="s">
        <v>736</v>
      </c>
      <c r="M73" s="76"/>
      <c r="N73" s="76"/>
      <c r="O73" s="76"/>
      <c r="P73" s="76"/>
    </row>
    <row r="74" spans="1:16">
      <c r="A74" s="75">
        <v>62</v>
      </c>
      <c r="B74" s="216" t="s">
        <v>102</v>
      </c>
      <c r="C74" s="443" t="s">
        <v>195</v>
      </c>
      <c r="D74" s="236" t="s">
        <v>699</v>
      </c>
      <c r="E74" s="253">
        <v>45544</v>
      </c>
      <c r="F74" s="260">
        <v>37.64</v>
      </c>
      <c r="G74" s="589" t="s">
        <v>55</v>
      </c>
      <c r="H74" s="590"/>
      <c r="I74" s="590"/>
      <c r="J74" s="591"/>
      <c r="K74" s="253">
        <v>45555</v>
      </c>
      <c r="L74" s="266" t="s">
        <v>724</v>
      </c>
      <c r="M74" s="76"/>
      <c r="N74" s="76"/>
      <c r="O74" s="76"/>
      <c r="P74" s="76"/>
    </row>
    <row r="75" spans="1:16">
      <c r="A75" s="75">
        <v>63</v>
      </c>
      <c r="B75" s="216" t="s">
        <v>611</v>
      </c>
      <c r="C75" s="443" t="s">
        <v>225</v>
      </c>
      <c r="D75" s="236" t="s">
        <v>699</v>
      </c>
      <c r="E75" s="253">
        <v>45544</v>
      </c>
      <c r="F75" s="260">
        <v>37.64</v>
      </c>
      <c r="G75" s="589" t="s">
        <v>55</v>
      </c>
      <c r="H75" s="590"/>
      <c r="I75" s="590"/>
      <c r="J75" s="591"/>
      <c r="K75" s="253">
        <v>45565</v>
      </c>
      <c r="L75" s="266" t="s">
        <v>732</v>
      </c>
      <c r="M75" s="76"/>
      <c r="N75" s="76"/>
      <c r="O75" s="76"/>
      <c r="P75" s="76"/>
    </row>
    <row r="76" spans="1:16">
      <c r="A76" s="75">
        <v>64</v>
      </c>
      <c r="B76" s="216" t="s">
        <v>5</v>
      </c>
      <c r="C76" s="443" t="s">
        <v>224</v>
      </c>
      <c r="D76" s="236" t="s">
        <v>699</v>
      </c>
      <c r="E76" s="253">
        <v>45544</v>
      </c>
      <c r="F76" s="260">
        <v>41.37</v>
      </c>
      <c r="G76" s="589" t="s">
        <v>55</v>
      </c>
      <c r="H76" s="590"/>
      <c r="I76" s="590"/>
      <c r="J76" s="591"/>
      <c r="K76" s="253">
        <v>45564</v>
      </c>
      <c r="L76" s="266" t="s">
        <v>738</v>
      </c>
      <c r="M76" s="76"/>
      <c r="N76" s="76"/>
      <c r="O76" s="76"/>
      <c r="P76" s="76"/>
    </row>
    <row r="77" spans="1:16">
      <c r="A77" s="75">
        <v>65</v>
      </c>
      <c r="B77" s="216" t="s">
        <v>617</v>
      </c>
      <c r="C77" s="443" t="s">
        <v>195</v>
      </c>
      <c r="D77" s="236" t="s">
        <v>699</v>
      </c>
      <c r="E77" s="253">
        <v>45546</v>
      </c>
      <c r="F77" s="260">
        <v>37.64</v>
      </c>
      <c r="G77" s="589" t="s">
        <v>55</v>
      </c>
      <c r="H77" s="590"/>
      <c r="I77" s="590"/>
      <c r="J77" s="591"/>
      <c r="K77" s="253">
        <v>45555</v>
      </c>
      <c r="L77" s="266" t="s">
        <v>730</v>
      </c>
      <c r="M77" s="76"/>
      <c r="N77" s="76"/>
      <c r="O77" s="76"/>
      <c r="P77" s="76"/>
    </row>
    <row r="78" spans="1:16">
      <c r="A78" s="75">
        <v>66</v>
      </c>
      <c r="B78" s="216" t="s">
        <v>573</v>
      </c>
      <c r="C78" s="443" t="s">
        <v>225</v>
      </c>
      <c r="D78" s="236" t="s">
        <v>699</v>
      </c>
      <c r="E78" s="253">
        <v>45554</v>
      </c>
      <c r="F78" s="260">
        <v>37.64</v>
      </c>
      <c r="G78" s="589" t="s">
        <v>55</v>
      </c>
      <c r="H78" s="590"/>
      <c r="I78" s="590"/>
      <c r="J78" s="591"/>
      <c r="K78" s="253">
        <v>45559</v>
      </c>
      <c r="L78" s="266" t="s">
        <v>740</v>
      </c>
      <c r="M78" s="76"/>
      <c r="N78" s="76"/>
      <c r="O78" s="76"/>
      <c r="P78" s="76"/>
    </row>
    <row r="79" spans="1:16">
      <c r="A79" s="75">
        <v>67</v>
      </c>
      <c r="B79" s="216" t="s">
        <v>88</v>
      </c>
      <c r="C79" s="442" t="s">
        <v>225</v>
      </c>
      <c r="D79" s="236" t="s">
        <v>699</v>
      </c>
      <c r="E79" s="254">
        <v>45554</v>
      </c>
      <c r="F79" s="260">
        <v>37.64</v>
      </c>
      <c r="G79" s="589" t="s">
        <v>55</v>
      </c>
      <c r="H79" s="590"/>
      <c r="I79" s="590"/>
      <c r="J79" s="591"/>
      <c r="K79" s="253">
        <v>45561</v>
      </c>
      <c r="L79" s="266" t="s">
        <v>734</v>
      </c>
      <c r="M79" s="76"/>
      <c r="N79" s="76"/>
      <c r="O79" s="76"/>
      <c r="P79" s="76"/>
    </row>
    <row r="80" spans="1:16">
      <c r="A80" s="75">
        <v>68</v>
      </c>
      <c r="B80" s="216" t="s">
        <v>103</v>
      </c>
      <c r="C80" s="442" t="s">
        <v>224</v>
      </c>
      <c r="D80" s="236" t="s">
        <v>699</v>
      </c>
      <c r="E80" s="254">
        <v>45554</v>
      </c>
      <c r="F80" s="260">
        <v>41.37</v>
      </c>
      <c r="G80" s="589" t="s">
        <v>55</v>
      </c>
      <c r="H80" s="590"/>
      <c r="I80" s="590"/>
      <c r="J80" s="591"/>
      <c r="K80" s="253">
        <v>45561</v>
      </c>
      <c r="L80" s="266" t="s">
        <v>724</v>
      </c>
      <c r="M80" s="76"/>
      <c r="N80" s="76"/>
      <c r="O80" s="76"/>
      <c r="P80" s="76"/>
    </row>
    <row r="81" spans="1:16">
      <c r="A81" s="75">
        <v>69</v>
      </c>
      <c r="B81" s="216" t="s">
        <v>601</v>
      </c>
      <c r="C81" s="442" t="s">
        <v>225</v>
      </c>
      <c r="D81" s="236" t="s">
        <v>699</v>
      </c>
      <c r="E81" s="254">
        <v>45554</v>
      </c>
      <c r="F81" s="260">
        <v>37.64</v>
      </c>
      <c r="G81" s="589" t="s">
        <v>55</v>
      </c>
      <c r="H81" s="590"/>
      <c r="I81" s="590"/>
      <c r="J81" s="591"/>
      <c r="K81" s="253">
        <v>45559</v>
      </c>
      <c r="L81" s="266" t="s">
        <v>733</v>
      </c>
      <c r="M81" s="76"/>
      <c r="N81" s="76"/>
      <c r="O81" s="76"/>
      <c r="P81" s="76"/>
    </row>
    <row r="82" spans="1:16">
      <c r="A82" s="75">
        <v>70</v>
      </c>
      <c r="B82" s="216" t="s">
        <v>498</v>
      </c>
      <c r="C82" s="442" t="s">
        <v>195</v>
      </c>
      <c r="D82" s="236" t="s">
        <v>699</v>
      </c>
      <c r="E82" s="254">
        <v>45555</v>
      </c>
      <c r="F82" s="260">
        <v>37.64</v>
      </c>
      <c r="G82" s="589" t="s">
        <v>55</v>
      </c>
      <c r="H82" s="590"/>
      <c r="I82" s="590"/>
      <c r="J82" s="591"/>
      <c r="K82" s="253">
        <v>45561</v>
      </c>
      <c r="L82" s="266" t="s">
        <v>732</v>
      </c>
      <c r="M82" s="76"/>
      <c r="N82" s="76"/>
      <c r="O82" s="76"/>
      <c r="P82" s="76"/>
    </row>
    <row r="83" spans="1:16">
      <c r="A83" s="75">
        <v>71</v>
      </c>
      <c r="B83" s="216" t="s">
        <v>638</v>
      </c>
      <c r="C83" s="442" t="s">
        <v>227</v>
      </c>
      <c r="D83" s="236" t="s">
        <v>699</v>
      </c>
      <c r="E83" s="254">
        <v>45557</v>
      </c>
      <c r="F83" s="260">
        <v>41.37</v>
      </c>
      <c r="G83" s="589" t="s">
        <v>55</v>
      </c>
      <c r="H83" s="590"/>
      <c r="I83" s="590"/>
      <c r="J83" s="591"/>
      <c r="K83" s="253">
        <v>45561</v>
      </c>
      <c r="L83" s="266" t="s">
        <v>730</v>
      </c>
      <c r="M83" s="76"/>
      <c r="N83" s="76"/>
      <c r="O83" s="76"/>
      <c r="P83" s="76"/>
    </row>
    <row r="84" spans="1:16">
      <c r="A84" s="75">
        <v>72</v>
      </c>
      <c r="B84" s="216" t="s">
        <v>530</v>
      </c>
      <c r="C84" s="442" t="s">
        <v>224</v>
      </c>
      <c r="D84" s="236" t="s">
        <v>699</v>
      </c>
      <c r="E84" s="254">
        <v>45557</v>
      </c>
      <c r="F84" s="260">
        <v>41.37</v>
      </c>
      <c r="G84" s="589" t="s">
        <v>55</v>
      </c>
      <c r="H84" s="590"/>
      <c r="I84" s="590"/>
      <c r="J84" s="591"/>
      <c r="K84" s="253">
        <v>45565</v>
      </c>
      <c r="L84" s="266" t="s">
        <v>736</v>
      </c>
      <c r="M84" s="76"/>
      <c r="N84" s="76"/>
      <c r="O84" s="76"/>
      <c r="P84" s="76"/>
    </row>
    <row r="85" spans="1:16">
      <c r="A85" s="75">
        <v>73</v>
      </c>
      <c r="B85" s="216" t="s">
        <v>599</v>
      </c>
      <c r="C85" s="442" t="s">
        <v>225</v>
      </c>
      <c r="D85" s="236" t="s">
        <v>699</v>
      </c>
      <c r="E85" s="254">
        <v>45558</v>
      </c>
      <c r="F85" s="260">
        <v>37.64</v>
      </c>
      <c r="G85" s="589" t="s">
        <v>55</v>
      </c>
      <c r="H85" s="590"/>
      <c r="I85" s="590"/>
      <c r="J85" s="591"/>
      <c r="K85" s="253">
        <v>45565</v>
      </c>
      <c r="L85" s="266" t="s">
        <v>731</v>
      </c>
      <c r="M85" s="76"/>
      <c r="N85" s="76"/>
      <c r="O85" s="76"/>
      <c r="P85" s="76"/>
    </row>
    <row r="86" spans="1:16">
      <c r="A86" s="75">
        <v>74</v>
      </c>
      <c r="B86" s="216" t="s">
        <v>585</v>
      </c>
      <c r="C86" s="442" t="s">
        <v>225</v>
      </c>
      <c r="D86" s="236" t="s">
        <v>699</v>
      </c>
      <c r="E86" s="254">
        <v>45560</v>
      </c>
      <c r="F86" s="260">
        <v>37.64</v>
      </c>
      <c r="G86" s="589" t="s">
        <v>55</v>
      </c>
      <c r="H86" s="590"/>
      <c r="I86" s="590"/>
      <c r="J86" s="591"/>
      <c r="K86" s="253">
        <v>45565</v>
      </c>
      <c r="L86" s="266" t="s">
        <v>729</v>
      </c>
      <c r="M86" s="76"/>
      <c r="N86" s="76"/>
      <c r="O86" s="76"/>
      <c r="P86" s="76"/>
    </row>
    <row r="87" spans="1:16">
      <c r="A87" s="75">
        <v>75</v>
      </c>
      <c r="B87" s="216" t="s">
        <v>613</v>
      </c>
      <c r="C87" s="443" t="s">
        <v>227</v>
      </c>
      <c r="D87" s="236" t="s">
        <v>699</v>
      </c>
      <c r="E87" s="254">
        <v>45561</v>
      </c>
      <c r="F87" s="260">
        <v>41.37</v>
      </c>
      <c r="G87" s="589" t="s">
        <v>55</v>
      </c>
      <c r="H87" s="590"/>
      <c r="I87" s="590"/>
      <c r="J87" s="591"/>
      <c r="K87" s="253">
        <v>45565</v>
      </c>
      <c r="L87" s="266" t="s">
        <v>730</v>
      </c>
      <c r="M87" s="76"/>
      <c r="N87" s="76"/>
      <c r="O87" s="76"/>
      <c r="P87" s="76"/>
    </row>
    <row r="88" spans="1:16">
      <c r="A88" s="75">
        <v>76</v>
      </c>
      <c r="B88" s="216" t="s">
        <v>631</v>
      </c>
      <c r="C88" s="443" t="s">
        <v>225</v>
      </c>
      <c r="D88" s="236" t="s">
        <v>699</v>
      </c>
      <c r="E88" s="254">
        <v>45562</v>
      </c>
      <c r="F88" s="260">
        <v>37.64</v>
      </c>
      <c r="G88" s="589" t="s">
        <v>55</v>
      </c>
      <c r="H88" s="590"/>
      <c r="I88" s="590"/>
      <c r="J88" s="591"/>
      <c r="K88" s="253">
        <v>45571</v>
      </c>
      <c r="L88" s="266" t="s">
        <v>731</v>
      </c>
      <c r="M88" s="76"/>
      <c r="N88" s="76"/>
      <c r="O88" s="76"/>
      <c r="P88" s="76"/>
    </row>
    <row r="89" spans="1:16">
      <c r="A89" s="75">
        <v>77</v>
      </c>
      <c r="B89" s="216" t="s">
        <v>6</v>
      </c>
      <c r="C89" s="443" t="s">
        <v>195</v>
      </c>
      <c r="D89" s="236" t="s">
        <v>699</v>
      </c>
      <c r="E89" s="253">
        <v>45544</v>
      </c>
      <c r="F89" s="260">
        <v>37.64</v>
      </c>
      <c r="G89" s="589" t="s">
        <v>55</v>
      </c>
      <c r="H89" s="590"/>
      <c r="I89" s="590"/>
      <c r="J89" s="591"/>
      <c r="K89" s="253">
        <v>45575</v>
      </c>
      <c r="L89" s="266" t="s">
        <v>738</v>
      </c>
      <c r="M89" s="76"/>
      <c r="N89" s="76"/>
      <c r="O89" s="76"/>
      <c r="P89" s="76"/>
    </row>
    <row r="90" spans="1:16">
      <c r="A90" s="75">
        <v>78</v>
      </c>
      <c r="B90" s="216" t="s">
        <v>87</v>
      </c>
      <c r="C90" s="442" t="s">
        <v>224</v>
      </c>
      <c r="D90" s="236" t="s">
        <v>699</v>
      </c>
      <c r="E90" s="254">
        <v>45555</v>
      </c>
      <c r="F90" s="260">
        <v>41.37</v>
      </c>
      <c r="G90" s="589" t="s">
        <v>55</v>
      </c>
      <c r="H90" s="590"/>
      <c r="I90" s="590"/>
      <c r="J90" s="591"/>
      <c r="K90" s="253">
        <v>45566</v>
      </c>
      <c r="L90" s="266" t="s">
        <v>741</v>
      </c>
      <c r="M90" s="76"/>
      <c r="N90" s="76"/>
      <c r="O90" s="76"/>
      <c r="P90" s="76"/>
    </row>
    <row r="91" spans="1:16">
      <c r="A91" s="75">
        <v>79</v>
      </c>
      <c r="B91" s="216" t="s">
        <v>37</v>
      </c>
      <c r="C91" s="442" t="s">
        <v>224</v>
      </c>
      <c r="D91" s="236" t="s">
        <v>699</v>
      </c>
      <c r="E91" s="254">
        <v>45560</v>
      </c>
      <c r="F91" s="260">
        <v>41.37</v>
      </c>
      <c r="G91" s="589" t="s">
        <v>55</v>
      </c>
      <c r="H91" s="590"/>
      <c r="I91" s="590"/>
      <c r="J91" s="591"/>
      <c r="K91" s="253">
        <v>45568</v>
      </c>
      <c r="L91" s="266" t="s">
        <v>739</v>
      </c>
      <c r="M91" s="76"/>
      <c r="N91" s="76"/>
      <c r="O91" s="76"/>
      <c r="P91" s="76"/>
    </row>
    <row r="92" spans="1:16">
      <c r="A92" s="75">
        <v>80</v>
      </c>
      <c r="B92" s="216" t="s">
        <v>579</v>
      </c>
      <c r="C92" s="442" t="s">
        <v>225</v>
      </c>
      <c r="D92" s="236" t="s">
        <v>699</v>
      </c>
      <c r="E92" s="254">
        <v>45561</v>
      </c>
      <c r="F92" s="260">
        <v>37.64</v>
      </c>
      <c r="G92" s="589" t="s">
        <v>55</v>
      </c>
      <c r="H92" s="590"/>
      <c r="I92" s="590"/>
      <c r="J92" s="591"/>
      <c r="K92" s="253">
        <v>45571</v>
      </c>
      <c r="L92" s="266" t="s">
        <v>733</v>
      </c>
      <c r="M92" s="76"/>
      <c r="N92" s="76"/>
      <c r="O92" s="76"/>
      <c r="P92" s="76"/>
    </row>
    <row r="93" spans="1:16">
      <c r="A93" s="75">
        <v>81</v>
      </c>
      <c r="B93" s="216" t="s">
        <v>520</v>
      </c>
      <c r="C93" s="442" t="s">
        <v>224</v>
      </c>
      <c r="D93" s="236" t="s">
        <v>699</v>
      </c>
      <c r="E93" s="254">
        <v>45561</v>
      </c>
      <c r="F93" s="260">
        <v>41.37</v>
      </c>
      <c r="G93" s="589" t="s">
        <v>55</v>
      </c>
      <c r="H93" s="590"/>
      <c r="I93" s="590"/>
      <c r="J93" s="591"/>
      <c r="K93" s="253">
        <v>45568</v>
      </c>
      <c r="L93" s="266" t="s">
        <v>742</v>
      </c>
      <c r="M93" s="76"/>
      <c r="N93" s="76"/>
      <c r="O93" s="76"/>
      <c r="P93" s="76"/>
    </row>
    <row r="94" spans="1:16">
      <c r="A94" s="75">
        <v>82</v>
      </c>
      <c r="B94" s="216" t="s">
        <v>89</v>
      </c>
      <c r="C94" s="442" t="s">
        <v>195</v>
      </c>
      <c r="D94" s="236" t="s">
        <v>699</v>
      </c>
      <c r="E94" s="254">
        <v>45562</v>
      </c>
      <c r="F94" s="260">
        <v>37.64</v>
      </c>
      <c r="G94" s="589" t="s">
        <v>55</v>
      </c>
      <c r="H94" s="590"/>
      <c r="I94" s="590"/>
      <c r="J94" s="591"/>
      <c r="K94" s="253">
        <v>45566</v>
      </c>
      <c r="L94" s="266" t="s">
        <v>734</v>
      </c>
      <c r="M94" s="76"/>
      <c r="N94" s="76"/>
      <c r="O94" s="76"/>
      <c r="P94" s="76"/>
    </row>
    <row r="95" spans="1:16">
      <c r="A95" s="75">
        <v>83</v>
      </c>
      <c r="B95" s="9" t="s">
        <v>566</v>
      </c>
      <c r="C95" s="443" t="s">
        <v>195</v>
      </c>
      <c r="D95" s="236" t="s">
        <v>699</v>
      </c>
      <c r="E95" s="254">
        <v>45566</v>
      </c>
      <c r="F95" s="260">
        <v>37.64</v>
      </c>
      <c r="G95" s="589" t="s">
        <v>55</v>
      </c>
      <c r="H95" s="590"/>
      <c r="I95" s="590"/>
      <c r="J95" s="591"/>
      <c r="K95" s="253">
        <v>45569</v>
      </c>
      <c r="L95" s="266" t="s">
        <v>730</v>
      </c>
      <c r="M95" s="76"/>
      <c r="N95" s="76"/>
      <c r="O95" s="76"/>
      <c r="P95" s="76"/>
    </row>
    <row r="96" spans="1:16">
      <c r="A96" s="75">
        <v>84</v>
      </c>
      <c r="B96" s="221" t="s">
        <v>495</v>
      </c>
      <c r="C96" s="443" t="s">
        <v>224</v>
      </c>
      <c r="D96" s="236" t="s">
        <v>699</v>
      </c>
      <c r="E96" s="253">
        <v>45566</v>
      </c>
      <c r="F96" s="260">
        <v>41.37</v>
      </c>
      <c r="G96" s="589" t="s">
        <v>55</v>
      </c>
      <c r="H96" s="590"/>
      <c r="I96" s="590"/>
      <c r="J96" s="591"/>
      <c r="K96" s="253">
        <v>45572</v>
      </c>
      <c r="L96" s="266" t="s">
        <v>729</v>
      </c>
      <c r="M96" s="76"/>
      <c r="N96" s="76"/>
      <c r="O96" s="76"/>
      <c r="P96" s="76"/>
    </row>
    <row r="97" spans="1:16">
      <c r="A97" s="75">
        <v>85</v>
      </c>
      <c r="B97" s="210" t="s">
        <v>595</v>
      </c>
      <c r="C97" s="442" t="s">
        <v>225</v>
      </c>
      <c r="D97" s="236" t="s">
        <v>699</v>
      </c>
      <c r="E97" s="253">
        <v>45566</v>
      </c>
      <c r="F97" s="260">
        <v>37.64</v>
      </c>
      <c r="G97" s="589" t="s">
        <v>55</v>
      </c>
      <c r="H97" s="590"/>
      <c r="I97" s="590"/>
      <c r="J97" s="591"/>
      <c r="K97" s="253">
        <v>45572</v>
      </c>
      <c r="L97" s="10" t="s">
        <v>736</v>
      </c>
      <c r="M97" s="76"/>
      <c r="N97" s="76"/>
      <c r="O97" s="76"/>
      <c r="P97" s="76"/>
    </row>
    <row r="98" spans="1:16">
      <c r="A98" s="75">
        <v>86</v>
      </c>
      <c r="B98" s="210" t="s">
        <v>494</v>
      </c>
      <c r="C98" s="442" t="s">
        <v>195</v>
      </c>
      <c r="D98" s="236" t="s">
        <v>699</v>
      </c>
      <c r="E98" s="253">
        <v>45568</v>
      </c>
      <c r="F98" s="260">
        <v>37.64</v>
      </c>
      <c r="G98" s="589" t="s">
        <v>55</v>
      </c>
      <c r="H98" s="590"/>
      <c r="I98" s="590"/>
      <c r="J98" s="591"/>
      <c r="K98" s="253">
        <v>45572</v>
      </c>
      <c r="L98" s="10" t="s">
        <v>740</v>
      </c>
      <c r="M98" s="76"/>
      <c r="N98" s="76"/>
      <c r="O98" s="76"/>
      <c r="P98" s="76"/>
    </row>
    <row r="99" spans="1:16">
      <c r="A99" s="75">
        <v>87</v>
      </c>
      <c r="B99" s="210" t="s">
        <v>583</v>
      </c>
      <c r="C99" s="443" t="s">
        <v>224</v>
      </c>
      <c r="D99" s="236" t="s">
        <v>699</v>
      </c>
      <c r="E99" s="253">
        <v>45569</v>
      </c>
      <c r="F99" s="260">
        <v>41.37</v>
      </c>
      <c r="G99" s="589" t="s">
        <v>55</v>
      </c>
      <c r="H99" s="590"/>
      <c r="I99" s="590"/>
      <c r="J99" s="591"/>
      <c r="K99" s="253">
        <v>45573</v>
      </c>
      <c r="L99" s="10" t="s">
        <v>730</v>
      </c>
      <c r="M99" s="76"/>
      <c r="N99" s="76"/>
      <c r="O99" s="76"/>
      <c r="P99" s="76"/>
    </row>
    <row r="100" spans="1:16">
      <c r="A100" s="75">
        <v>88</v>
      </c>
      <c r="B100" s="222" t="s">
        <v>95</v>
      </c>
      <c r="C100" s="442" t="s">
        <v>224</v>
      </c>
      <c r="D100" s="236" t="s">
        <v>699</v>
      </c>
      <c r="E100" s="253">
        <v>45569</v>
      </c>
      <c r="F100" s="260">
        <v>41.37</v>
      </c>
      <c r="G100" s="589" t="s">
        <v>55</v>
      </c>
      <c r="H100" s="590"/>
      <c r="I100" s="590"/>
      <c r="J100" s="591"/>
      <c r="K100" s="253">
        <v>45575</v>
      </c>
      <c r="L100" s="266" t="s">
        <v>734</v>
      </c>
      <c r="M100" s="76"/>
      <c r="N100" s="76"/>
      <c r="O100" s="76"/>
      <c r="P100" s="76"/>
    </row>
    <row r="101" spans="1:16">
      <c r="A101" s="75">
        <v>89</v>
      </c>
      <c r="B101" s="211" t="s">
        <v>587</v>
      </c>
      <c r="C101" s="442" t="s">
        <v>225</v>
      </c>
      <c r="D101" s="236" t="s">
        <v>699</v>
      </c>
      <c r="E101" s="253">
        <v>45569</v>
      </c>
      <c r="F101" s="260">
        <v>37.64</v>
      </c>
      <c r="G101" s="589" t="s">
        <v>55</v>
      </c>
      <c r="H101" s="590"/>
      <c r="I101" s="590"/>
      <c r="J101" s="591"/>
      <c r="K101" s="253">
        <v>45573</v>
      </c>
      <c r="L101" s="266" t="s">
        <v>724</v>
      </c>
      <c r="M101" s="76"/>
      <c r="N101" s="76"/>
      <c r="O101" s="76"/>
      <c r="P101" s="76"/>
    </row>
    <row r="102" spans="1:16">
      <c r="A102" s="75">
        <v>90</v>
      </c>
      <c r="B102" s="216" t="s">
        <v>524</v>
      </c>
      <c r="C102" s="442" t="s">
        <v>195</v>
      </c>
      <c r="D102" s="236" t="s">
        <v>699</v>
      </c>
      <c r="E102" s="253">
        <v>45569</v>
      </c>
      <c r="F102" s="260">
        <v>37.64</v>
      </c>
      <c r="G102" s="589" t="s">
        <v>55</v>
      </c>
      <c r="H102" s="590"/>
      <c r="I102" s="590"/>
      <c r="J102" s="591"/>
      <c r="K102" s="253">
        <v>45573</v>
      </c>
      <c r="L102" s="266" t="s">
        <v>742</v>
      </c>
      <c r="M102" s="76"/>
      <c r="N102" s="76"/>
      <c r="O102" s="76"/>
      <c r="P102" s="76"/>
    </row>
    <row r="103" spans="1:16">
      <c r="A103" s="75">
        <v>91</v>
      </c>
      <c r="B103" s="216" t="s">
        <v>18</v>
      </c>
      <c r="C103" s="443" t="s">
        <v>224</v>
      </c>
      <c r="D103" s="236" t="s">
        <v>699</v>
      </c>
      <c r="E103" s="253">
        <v>45569</v>
      </c>
      <c r="F103" s="260">
        <v>41.37</v>
      </c>
      <c r="G103" s="589" t="s">
        <v>55</v>
      </c>
      <c r="H103" s="590"/>
      <c r="I103" s="590"/>
      <c r="J103" s="591"/>
      <c r="K103" s="253">
        <v>45575</v>
      </c>
      <c r="L103" s="266" t="s">
        <v>741</v>
      </c>
      <c r="M103" s="76"/>
      <c r="N103" s="76"/>
      <c r="O103" s="76"/>
      <c r="P103" s="76"/>
    </row>
    <row r="104" spans="1:16">
      <c r="A104" s="75">
        <v>92</v>
      </c>
      <c r="B104" s="216" t="s">
        <v>86</v>
      </c>
      <c r="C104" s="442" t="s">
        <v>225</v>
      </c>
      <c r="D104" s="236" t="s">
        <v>699</v>
      </c>
      <c r="E104" s="253">
        <v>45569</v>
      </c>
      <c r="F104" s="260">
        <v>37.64</v>
      </c>
      <c r="G104" s="589" t="s">
        <v>55</v>
      </c>
      <c r="H104" s="590"/>
      <c r="I104" s="590"/>
      <c r="J104" s="591"/>
      <c r="K104" s="253">
        <v>45575</v>
      </c>
      <c r="L104" s="266" t="s">
        <v>743</v>
      </c>
      <c r="M104" s="76"/>
      <c r="N104" s="76"/>
      <c r="O104" s="76"/>
      <c r="P104" s="76"/>
    </row>
    <row r="105" spans="1:16">
      <c r="A105" s="75">
        <v>93</v>
      </c>
      <c r="B105" s="216" t="s">
        <v>505</v>
      </c>
      <c r="C105" s="442" t="s">
        <v>195</v>
      </c>
      <c r="D105" s="236" t="s">
        <v>699</v>
      </c>
      <c r="E105" s="253">
        <v>45573</v>
      </c>
      <c r="F105" s="260">
        <v>37.64</v>
      </c>
      <c r="G105" s="589" t="s">
        <v>55</v>
      </c>
      <c r="H105" s="590"/>
      <c r="I105" s="590"/>
      <c r="J105" s="591"/>
      <c r="K105" s="253">
        <v>45575</v>
      </c>
      <c r="L105" s="266" t="s">
        <v>740</v>
      </c>
      <c r="M105" s="76"/>
      <c r="N105" s="76"/>
      <c r="O105" s="76"/>
      <c r="P105" s="76"/>
    </row>
    <row r="106" spans="1:16">
      <c r="A106" s="75">
        <v>94</v>
      </c>
      <c r="B106" s="216" t="s">
        <v>17</v>
      </c>
      <c r="C106" s="443" t="s">
        <v>224</v>
      </c>
      <c r="D106" s="236" t="s">
        <v>699</v>
      </c>
      <c r="E106" s="253">
        <v>45573</v>
      </c>
      <c r="F106" s="260">
        <v>41.37</v>
      </c>
      <c r="G106" s="589" t="s">
        <v>55</v>
      </c>
      <c r="H106" s="590"/>
      <c r="I106" s="590"/>
      <c r="J106" s="591"/>
      <c r="K106" s="253">
        <v>45578</v>
      </c>
      <c r="L106" s="266" t="s">
        <v>742</v>
      </c>
      <c r="M106" s="76"/>
      <c r="N106" s="76"/>
      <c r="O106" s="76"/>
      <c r="P106" s="76"/>
    </row>
    <row r="107" spans="1:16">
      <c r="A107" s="75">
        <v>95</v>
      </c>
      <c r="B107" s="216" t="s">
        <v>504</v>
      </c>
      <c r="C107" s="443" t="s">
        <v>224</v>
      </c>
      <c r="D107" s="236" t="s">
        <v>699</v>
      </c>
      <c r="E107" s="253">
        <v>45575</v>
      </c>
      <c r="F107" s="260">
        <v>41.37</v>
      </c>
      <c r="G107" s="589" t="s">
        <v>55</v>
      </c>
      <c r="H107" s="590"/>
      <c r="I107" s="590"/>
      <c r="J107" s="591"/>
      <c r="K107" s="253">
        <v>45578</v>
      </c>
      <c r="L107" s="266" t="s">
        <v>729</v>
      </c>
      <c r="M107" s="76"/>
      <c r="N107" s="76"/>
      <c r="O107" s="76"/>
      <c r="P107" s="76"/>
    </row>
    <row r="108" spans="1:16">
      <c r="A108" s="75">
        <v>96</v>
      </c>
      <c r="B108" s="216" t="s">
        <v>472</v>
      </c>
      <c r="C108" s="442" t="s">
        <v>225</v>
      </c>
      <c r="D108" s="236" t="s">
        <v>699</v>
      </c>
      <c r="E108" s="253">
        <v>45575</v>
      </c>
      <c r="F108" s="260">
        <v>37.64</v>
      </c>
      <c r="G108" s="589" t="s">
        <v>55</v>
      </c>
      <c r="H108" s="590"/>
      <c r="I108" s="590"/>
      <c r="J108" s="591"/>
      <c r="K108" s="253">
        <v>45579</v>
      </c>
      <c r="L108" s="266" t="s">
        <v>731</v>
      </c>
      <c r="M108" s="76"/>
      <c r="N108" s="76"/>
      <c r="O108" s="76"/>
      <c r="P108" s="76"/>
    </row>
    <row r="109" spans="1:16">
      <c r="A109" s="75">
        <v>97</v>
      </c>
      <c r="B109" s="216" t="s">
        <v>537</v>
      </c>
      <c r="C109" s="442" t="s">
        <v>225</v>
      </c>
      <c r="D109" s="236" t="s">
        <v>699</v>
      </c>
      <c r="E109" s="253">
        <v>45575</v>
      </c>
      <c r="F109" s="260">
        <v>37.64</v>
      </c>
      <c r="G109" s="589" t="s">
        <v>55</v>
      </c>
      <c r="H109" s="590"/>
      <c r="I109" s="590"/>
      <c r="J109" s="591"/>
      <c r="K109" s="253">
        <v>45579</v>
      </c>
      <c r="L109" s="10" t="s">
        <v>730</v>
      </c>
      <c r="M109" s="76"/>
      <c r="N109" s="76"/>
      <c r="O109" s="76"/>
      <c r="P109" s="76"/>
    </row>
    <row r="110" spans="1:16">
      <c r="A110" s="75">
        <v>98</v>
      </c>
      <c r="B110" s="216" t="s">
        <v>588</v>
      </c>
      <c r="C110" s="442" t="s">
        <v>225</v>
      </c>
      <c r="D110" s="236" t="s">
        <v>699</v>
      </c>
      <c r="E110" s="253">
        <v>45575</v>
      </c>
      <c r="F110" s="260">
        <v>37.64</v>
      </c>
      <c r="G110" s="589" t="s">
        <v>55</v>
      </c>
      <c r="H110" s="590"/>
      <c r="I110" s="590"/>
      <c r="J110" s="591"/>
      <c r="K110" s="253">
        <v>45579</v>
      </c>
      <c r="L110" s="266" t="s">
        <v>736</v>
      </c>
      <c r="M110" s="76"/>
      <c r="N110" s="76"/>
      <c r="O110" s="76"/>
      <c r="P110" s="76"/>
    </row>
    <row r="111" spans="1:16">
      <c r="A111" s="75">
        <v>99</v>
      </c>
      <c r="B111" s="216" t="s">
        <v>533</v>
      </c>
      <c r="C111" s="442" t="s">
        <v>195</v>
      </c>
      <c r="D111" s="236" t="s">
        <v>699</v>
      </c>
      <c r="E111" s="253">
        <v>45575</v>
      </c>
      <c r="F111" s="260">
        <v>37.64</v>
      </c>
      <c r="G111" s="589" t="s">
        <v>55</v>
      </c>
      <c r="H111" s="590"/>
      <c r="I111" s="590"/>
      <c r="J111" s="591"/>
      <c r="K111" s="253">
        <v>45581</v>
      </c>
      <c r="L111" s="266" t="s">
        <v>740</v>
      </c>
      <c r="M111" s="76"/>
      <c r="N111" s="76"/>
      <c r="O111" s="76"/>
      <c r="P111" s="76"/>
    </row>
    <row r="112" spans="1:16">
      <c r="A112" s="75">
        <v>100</v>
      </c>
      <c r="B112" s="216" t="s">
        <v>515</v>
      </c>
      <c r="C112" s="442" t="s">
        <v>195</v>
      </c>
      <c r="D112" s="236" t="s">
        <v>699</v>
      </c>
      <c r="E112" s="253">
        <v>45577</v>
      </c>
      <c r="F112" s="260">
        <v>37.64</v>
      </c>
      <c r="G112" s="589" t="s">
        <v>55</v>
      </c>
      <c r="H112" s="590"/>
      <c r="I112" s="590"/>
      <c r="J112" s="591"/>
      <c r="K112" s="253">
        <v>45586</v>
      </c>
      <c r="L112" s="266" t="s">
        <v>728</v>
      </c>
      <c r="M112" s="76"/>
      <c r="N112" s="76"/>
      <c r="O112" s="76"/>
      <c r="P112" s="76"/>
    </row>
    <row r="113" spans="1:16">
      <c r="A113" s="75">
        <v>101</v>
      </c>
      <c r="B113" s="216" t="s">
        <v>509</v>
      </c>
      <c r="C113" s="442" t="s">
        <v>195</v>
      </c>
      <c r="D113" s="236" t="s">
        <v>699</v>
      </c>
      <c r="E113" s="253">
        <v>45577</v>
      </c>
      <c r="F113" s="260">
        <v>37.64</v>
      </c>
      <c r="G113" s="589" t="s">
        <v>55</v>
      </c>
      <c r="H113" s="590"/>
      <c r="I113" s="590"/>
      <c r="J113" s="591"/>
      <c r="K113" s="253">
        <v>45581</v>
      </c>
      <c r="L113" s="266" t="s">
        <v>733</v>
      </c>
      <c r="M113" s="76"/>
      <c r="N113" s="76"/>
      <c r="O113" s="76"/>
      <c r="P113" s="76"/>
    </row>
    <row r="114" spans="1:16">
      <c r="A114" s="75">
        <v>102</v>
      </c>
      <c r="B114" s="216" t="s">
        <v>94</v>
      </c>
      <c r="C114" s="442" t="s">
        <v>225</v>
      </c>
      <c r="D114" s="236" t="s">
        <v>699</v>
      </c>
      <c r="E114" s="253">
        <v>45577</v>
      </c>
      <c r="F114" s="260">
        <v>37.64</v>
      </c>
      <c r="G114" s="589" t="s">
        <v>55</v>
      </c>
      <c r="H114" s="590"/>
      <c r="I114" s="590"/>
      <c r="J114" s="591"/>
      <c r="K114" s="253">
        <v>45586</v>
      </c>
      <c r="L114" s="266" t="s">
        <v>734</v>
      </c>
      <c r="M114" s="76"/>
      <c r="N114" s="76"/>
      <c r="O114" s="76"/>
      <c r="P114" s="76"/>
    </row>
    <row r="115" spans="1:16">
      <c r="A115" s="75">
        <v>103</v>
      </c>
      <c r="B115" s="216" t="s">
        <v>592</v>
      </c>
      <c r="C115" s="442" t="s">
        <v>225</v>
      </c>
      <c r="D115" s="238" t="s">
        <v>701</v>
      </c>
      <c r="E115" s="253">
        <v>45578</v>
      </c>
      <c r="F115" s="260">
        <v>58.51</v>
      </c>
      <c r="G115" s="589" t="s">
        <v>55</v>
      </c>
      <c r="H115" s="590"/>
      <c r="I115" s="590"/>
      <c r="J115" s="591"/>
      <c r="K115" s="253">
        <v>45587</v>
      </c>
      <c r="L115" s="266" t="s">
        <v>724</v>
      </c>
      <c r="M115" s="76"/>
      <c r="N115" s="76"/>
      <c r="O115" s="76"/>
      <c r="P115" s="76"/>
    </row>
    <row r="116" spans="1:16">
      <c r="A116" s="75">
        <v>104</v>
      </c>
      <c r="B116" s="216" t="s">
        <v>473</v>
      </c>
      <c r="C116" s="442" t="s">
        <v>195</v>
      </c>
      <c r="D116" s="236" t="s">
        <v>699</v>
      </c>
      <c r="E116" s="253">
        <v>45578</v>
      </c>
      <c r="F116" s="260">
        <v>37.64</v>
      </c>
      <c r="G116" s="589" t="s">
        <v>55</v>
      </c>
      <c r="H116" s="590"/>
      <c r="I116" s="590"/>
      <c r="J116" s="591"/>
      <c r="K116" s="253">
        <v>45585</v>
      </c>
      <c r="L116" s="266" t="s">
        <v>729</v>
      </c>
      <c r="M116" s="76"/>
      <c r="N116" s="76"/>
      <c r="O116" s="76"/>
      <c r="P116" s="76"/>
    </row>
    <row r="117" spans="1:16">
      <c r="A117" s="75">
        <v>105</v>
      </c>
      <c r="B117" s="216" t="s">
        <v>84</v>
      </c>
      <c r="C117" s="443" t="s">
        <v>224</v>
      </c>
      <c r="D117" s="236" t="s">
        <v>699</v>
      </c>
      <c r="E117" s="253">
        <v>45578</v>
      </c>
      <c r="F117" s="260">
        <v>41.37</v>
      </c>
      <c r="G117" s="589" t="s">
        <v>55</v>
      </c>
      <c r="H117" s="590"/>
      <c r="I117" s="590"/>
      <c r="J117" s="591"/>
      <c r="K117" s="253">
        <v>45583</v>
      </c>
      <c r="L117" s="266" t="s">
        <v>742</v>
      </c>
      <c r="M117" s="76"/>
      <c r="N117" s="76"/>
      <c r="O117" s="76"/>
      <c r="P117" s="76"/>
    </row>
    <row r="118" spans="1:16">
      <c r="A118" s="75">
        <v>106</v>
      </c>
      <c r="B118" s="216" t="s">
        <v>74</v>
      </c>
      <c r="C118" s="442" t="s">
        <v>225</v>
      </c>
      <c r="D118" s="236" t="s">
        <v>699</v>
      </c>
      <c r="E118" s="253">
        <v>45578</v>
      </c>
      <c r="F118" s="260">
        <v>37.64</v>
      </c>
      <c r="G118" s="589" t="s">
        <v>55</v>
      </c>
      <c r="H118" s="590"/>
      <c r="I118" s="590"/>
      <c r="J118" s="591"/>
      <c r="K118" s="253">
        <v>45581</v>
      </c>
      <c r="L118" s="266" t="s">
        <v>743</v>
      </c>
      <c r="M118" s="76"/>
      <c r="N118" s="76"/>
      <c r="O118" s="76"/>
      <c r="P118" s="76"/>
    </row>
    <row r="119" spans="1:16">
      <c r="A119" s="75">
        <v>107</v>
      </c>
      <c r="B119" s="216" t="s">
        <v>16</v>
      </c>
      <c r="C119" s="443" t="s">
        <v>224</v>
      </c>
      <c r="D119" s="236" t="s">
        <v>699</v>
      </c>
      <c r="E119" s="253">
        <v>45578</v>
      </c>
      <c r="F119" s="260">
        <v>41.37</v>
      </c>
      <c r="G119" s="589" t="s">
        <v>55</v>
      </c>
      <c r="H119" s="590"/>
      <c r="I119" s="590"/>
      <c r="J119" s="591"/>
      <c r="K119" s="253">
        <v>45586</v>
      </c>
      <c r="L119" s="266" t="s">
        <v>741</v>
      </c>
      <c r="M119" s="76"/>
      <c r="N119" s="76"/>
      <c r="O119" s="76"/>
      <c r="P119" s="76"/>
    </row>
    <row r="120" spans="1:16">
      <c r="A120" s="75">
        <v>108</v>
      </c>
      <c r="B120" s="216" t="s">
        <v>541</v>
      </c>
      <c r="C120" s="442" t="s">
        <v>225</v>
      </c>
      <c r="D120" s="236" t="s">
        <v>699</v>
      </c>
      <c r="E120" s="253">
        <v>45578</v>
      </c>
      <c r="F120" s="260">
        <v>37.64</v>
      </c>
      <c r="G120" s="589" t="s">
        <v>55</v>
      </c>
      <c r="H120" s="590"/>
      <c r="I120" s="590"/>
      <c r="J120" s="591"/>
      <c r="K120" s="253">
        <v>45583</v>
      </c>
      <c r="L120" s="266" t="s">
        <v>730</v>
      </c>
      <c r="M120" s="76"/>
      <c r="N120" s="76"/>
      <c r="O120" s="76"/>
      <c r="P120" s="76"/>
    </row>
    <row r="121" spans="1:16">
      <c r="A121" s="75">
        <v>109</v>
      </c>
      <c r="B121" s="216" t="s">
        <v>483</v>
      </c>
      <c r="C121" s="443" t="s">
        <v>224</v>
      </c>
      <c r="D121" s="236" t="s">
        <v>699</v>
      </c>
      <c r="E121" s="253">
        <v>45581</v>
      </c>
      <c r="F121" s="260">
        <v>41.37</v>
      </c>
      <c r="G121" s="589" t="s">
        <v>55</v>
      </c>
      <c r="H121" s="590"/>
      <c r="I121" s="590"/>
      <c r="J121" s="591"/>
      <c r="K121" s="253">
        <v>45585</v>
      </c>
      <c r="L121" s="266" t="s">
        <v>740</v>
      </c>
      <c r="M121" s="76"/>
      <c r="N121" s="76"/>
      <c r="O121" s="76"/>
      <c r="P121" s="76"/>
    </row>
    <row r="122" spans="1:16">
      <c r="A122" s="75">
        <v>110</v>
      </c>
      <c r="B122" s="216" t="s">
        <v>75</v>
      </c>
      <c r="C122" s="442" t="s">
        <v>225</v>
      </c>
      <c r="D122" s="236" t="s">
        <v>699</v>
      </c>
      <c r="E122" s="253">
        <v>45581</v>
      </c>
      <c r="F122" s="260">
        <v>37.64</v>
      </c>
      <c r="G122" s="589" t="s">
        <v>55</v>
      </c>
      <c r="H122" s="590"/>
      <c r="I122" s="590"/>
      <c r="J122" s="591"/>
      <c r="K122" s="253">
        <v>45585</v>
      </c>
      <c r="L122" s="266" t="s">
        <v>743</v>
      </c>
      <c r="M122" s="76"/>
      <c r="N122" s="76"/>
      <c r="O122" s="76"/>
      <c r="P122" s="76"/>
    </row>
    <row r="123" spans="1:16">
      <c r="A123" s="75">
        <v>111</v>
      </c>
      <c r="B123" s="216" t="s">
        <v>465</v>
      </c>
      <c r="C123" s="443" t="s">
        <v>224</v>
      </c>
      <c r="D123" s="236" t="s">
        <v>699</v>
      </c>
      <c r="E123" s="253">
        <v>45582</v>
      </c>
      <c r="F123" s="260">
        <v>41.37</v>
      </c>
      <c r="G123" s="589" t="s">
        <v>55</v>
      </c>
      <c r="H123" s="590"/>
      <c r="I123" s="590"/>
      <c r="J123" s="591"/>
      <c r="K123" s="253">
        <v>45588</v>
      </c>
      <c r="L123" s="266" t="s">
        <v>731</v>
      </c>
      <c r="M123" s="76"/>
      <c r="N123" s="76"/>
      <c r="O123" s="76"/>
      <c r="P123" s="76"/>
    </row>
    <row r="124" spans="1:16">
      <c r="A124" s="75">
        <v>112</v>
      </c>
      <c r="B124" s="216" t="s">
        <v>546</v>
      </c>
      <c r="C124" s="443" t="s">
        <v>224</v>
      </c>
      <c r="D124" s="236" t="s">
        <v>699</v>
      </c>
      <c r="E124" s="253">
        <v>45582</v>
      </c>
      <c r="F124" s="260">
        <v>41.37</v>
      </c>
      <c r="G124" s="589" t="s">
        <v>55</v>
      </c>
      <c r="H124" s="590"/>
      <c r="I124" s="590"/>
      <c r="J124" s="591"/>
      <c r="K124" s="253">
        <v>45591</v>
      </c>
      <c r="L124" s="266" t="s">
        <v>736</v>
      </c>
      <c r="M124" s="76"/>
      <c r="N124" s="76"/>
      <c r="O124" s="76"/>
      <c r="P124" s="76"/>
    </row>
    <row r="125" spans="1:16">
      <c r="A125" s="75">
        <v>113</v>
      </c>
      <c r="B125" s="216" t="s">
        <v>636</v>
      </c>
      <c r="C125" s="443" t="s">
        <v>224</v>
      </c>
      <c r="D125" s="236" t="s">
        <v>699</v>
      </c>
      <c r="E125" s="253">
        <v>45582</v>
      </c>
      <c r="F125" s="260">
        <v>41.37</v>
      </c>
      <c r="G125" s="589" t="s">
        <v>55</v>
      </c>
      <c r="H125" s="590"/>
      <c r="I125" s="590"/>
      <c r="J125" s="591"/>
      <c r="K125" s="253">
        <v>45589</v>
      </c>
      <c r="L125" s="266" t="s">
        <v>732</v>
      </c>
      <c r="M125" s="76"/>
      <c r="N125" s="76"/>
      <c r="O125" s="76"/>
      <c r="P125" s="76"/>
    </row>
    <row r="126" spans="1:16">
      <c r="A126" s="75">
        <v>114</v>
      </c>
      <c r="B126" s="216" t="s">
        <v>519</v>
      </c>
      <c r="C126" s="443" t="s">
        <v>224</v>
      </c>
      <c r="D126" s="236" t="s">
        <v>699</v>
      </c>
      <c r="E126" s="253">
        <v>45582</v>
      </c>
      <c r="F126" s="260">
        <v>41.37</v>
      </c>
      <c r="G126" s="589" t="s">
        <v>55</v>
      </c>
      <c r="H126" s="590"/>
      <c r="I126" s="590"/>
      <c r="J126" s="591"/>
      <c r="K126" s="253">
        <v>45589</v>
      </c>
      <c r="L126" s="266" t="s">
        <v>730</v>
      </c>
      <c r="M126" s="76"/>
      <c r="N126" s="76"/>
      <c r="O126" s="76"/>
      <c r="P126" s="76"/>
    </row>
    <row r="127" spans="1:16">
      <c r="A127" s="75">
        <v>115</v>
      </c>
      <c r="B127" s="223" t="s">
        <v>78</v>
      </c>
      <c r="C127" s="443" t="s">
        <v>224</v>
      </c>
      <c r="D127" s="236" t="s">
        <v>699</v>
      </c>
      <c r="E127" s="253">
        <v>45582</v>
      </c>
      <c r="F127" s="260">
        <v>41.37</v>
      </c>
      <c r="G127" s="589" t="s">
        <v>55</v>
      </c>
      <c r="H127" s="590"/>
      <c r="I127" s="590"/>
      <c r="J127" s="591"/>
      <c r="K127" s="253">
        <v>45589</v>
      </c>
      <c r="L127" s="266" t="s">
        <v>738</v>
      </c>
      <c r="M127" s="76"/>
      <c r="N127" s="76"/>
      <c r="O127" s="76"/>
      <c r="P127" s="76"/>
    </row>
    <row r="128" spans="1:16">
      <c r="A128" s="75">
        <v>116</v>
      </c>
      <c r="B128" s="221" t="s">
        <v>83</v>
      </c>
      <c r="C128" s="443" t="s">
        <v>224</v>
      </c>
      <c r="D128" s="236" t="s">
        <v>699</v>
      </c>
      <c r="E128" s="253">
        <v>45582</v>
      </c>
      <c r="F128" s="260">
        <v>41.37</v>
      </c>
      <c r="G128" s="589" t="s">
        <v>55</v>
      </c>
      <c r="H128" s="590"/>
      <c r="I128" s="590"/>
      <c r="J128" s="591"/>
      <c r="K128" s="253">
        <v>45588</v>
      </c>
      <c r="L128" s="266" t="s">
        <v>742</v>
      </c>
      <c r="M128" s="76"/>
      <c r="N128" s="76"/>
      <c r="O128" s="76"/>
      <c r="P128" s="76"/>
    </row>
    <row r="129" spans="1:16">
      <c r="A129" s="75">
        <v>117</v>
      </c>
      <c r="B129" s="221" t="s">
        <v>19</v>
      </c>
      <c r="C129" s="443" t="s">
        <v>224</v>
      </c>
      <c r="D129" s="236" t="s">
        <v>699</v>
      </c>
      <c r="E129" s="253">
        <v>45582</v>
      </c>
      <c r="F129" s="260">
        <v>41.37</v>
      </c>
      <c r="G129" s="589" t="s">
        <v>55</v>
      </c>
      <c r="H129" s="590"/>
      <c r="I129" s="590"/>
      <c r="J129" s="591"/>
      <c r="K129" s="253">
        <v>45589</v>
      </c>
      <c r="L129" s="266" t="s">
        <v>733</v>
      </c>
      <c r="M129" s="76"/>
      <c r="N129" s="76"/>
      <c r="O129" s="76"/>
      <c r="P129" s="76"/>
    </row>
    <row r="130" spans="1:16">
      <c r="A130" s="75">
        <v>118</v>
      </c>
      <c r="B130" s="221" t="s">
        <v>477</v>
      </c>
      <c r="C130" s="446" t="s">
        <v>224</v>
      </c>
      <c r="D130" s="236" t="s">
        <v>699</v>
      </c>
      <c r="E130" s="253">
        <v>45584</v>
      </c>
      <c r="F130" s="260">
        <v>41.37</v>
      </c>
      <c r="G130" s="589" t="s">
        <v>55</v>
      </c>
      <c r="H130" s="590"/>
      <c r="I130" s="590"/>
      <c r="J130" s="591"/>
      <c r="K130" s="253">
        <v>45590</v>
      </c>
      <c r="L130" s="266" t="s">
        <v>744</v>
      </c>
      <c r="M130" s="76"/>
      <c r="N130" s="76"/>
      <c r="O130" s="76"/>
      <c r="P130" s="76"/>
    </row>
    <row r="131" spans="1:16">
      <c r="A131" s="75">
        <v>119</v>
      </c>
      <c r="B131" s="223" t="s">
        <v>476</v>
      </c>
      <c r="C131" s="442" t="s">
        <v>195</v>
      </c>
      <c r="D131" s="236" t="s">
        <v>699</v>
      </c>
      <c r="E131" s="253">
        <v>45586</v>
      </c>
      <c r="F131" s="260">
        <v>37.64</v>
      </c>
      <c r="G131" s="589" t="s">
        <v>55</v>
      </c>
      <c r="H131" s="590"/>
      <c r="I131" s="590"/>
      <c r="J131" s="591"/>
      <c r="K131" s="253">
        <v>45589</v>
      </c>
      <c r="L131" s="266" t="s">
        <v>729</v>
      </c>
      <c r="M131" s="76"/>
      <c r="N131" s="76"/>
      <c r="O131" s="76"/>
      <c r="P131" s="76"/>
    </row>
    <row r="132" spans="1:16">
      <c r="A132" s="75">
        <v>120</v>
      </c>
      <c r="B132" s="223" t="s">
        <v>562</v>
      </c>
      <c r="C132" s="442" t="s">
        <v>225</v>
      </c>
      <c r="D132" s="236" t="s">
        <v>699</v>
      </c>
      <c r="E132" s="253">
        <v>45587</v>
      </c>
      <c r="F132" s="260">
        <v>37.64</v>
      </c>
      <c r="G132" s="589" t="s">
        <v>55</v>
      </c>
      <c r="H132" s="590"/>
      <c r="I132" s="590"/>
      <c r="J132" s="591"/>
      <c r="K132" s="253">
        <v>45590</v>
      </c>
      <c r="L132" s="266" t="s">
        <v>740</v>
      </c>
      <c r="M132" s="76"/>
      <c r="N132" s="76"/>
      <c r="O132" s="76"/>
      <c r="P132" s="76"/>
    </row>
    <row r="133" spans="1:16">
      <c r="A133" s="75">
        <v>121</v>
      </c>
      <c r="B133" s="224" t="s">
        <v>76</v>
      </c>
      <c r="C133" s="446" t="s">
        <v>224</v>
      </c>
      <c r="D133" s="236" t="s">
        <v>699</v>
      </c>
      <c r="E133" s="253">
        <v>45587</v>
      </c>
      <c r="F133" s="260">
        <v>41.37</v>
      </c>
      <c r="G133" s="589" t="s">
        <v>55</v>
      </c>
      <c r="H133" s="590"/>
      <c r="I133" s="590"/>
      <c r="J133" s="591"/>
      <c r="K133" s="253">
        <v>45591</v>
      </c>
      <c r="L133" s="266" t="s">
        <v>743</v>
      </c>
      <c r="M133" s="76"/>
      <c r="N133" s="76"/>
      <c r="O133" s="76"/>
      <c r="P133" s="76"/>
    </row>
    <row r="134" spans="1:16">
      <c r="A134" s="75">
        <v>122</v>
      </c>
      <c r="B134" s="221" t="s">
        <v>82</v>
      </c>
      <c r="C134" s="442" t="s">
        <v>195</v>
      </c>
      <c r="D134" s="236" t="s">
        <v>699</v>
      </c>
      <c r="E134" s="253">
        <v>45589</v>
      </c>
      <c r="F134" s="260">
        <v>37.64</v>
      </c>
      <c r="G134" s="589" t="s">
        <v>55</v>
      </c>
      <c r="H134" s="590"/>
      <c r="I134" s="590"/>
      <c r="J134" s="591"/>
      <c r="K134" s="253">
        <v>45591</v>
      </c>
      <c r="L134" s="266" t="s">
        <v>742</v>
      </c>
      <c r="M134" s="76"/>
      <c r="N134" s="76"/>
      <c r="O134" s="76"/>
      <c r="P134" s="76"/>
    </row>
    <row r="135" spans="1:16">
      <c r="A135" s="75">
        <v>123</v>
      </c>
      <c r="B135" s="221" t="s">
        <v>93</v>
      </c>
      <c r="C135" s="446" t="s">
        <v>224</v>
      </c>
      <c r="D135" s="236" t="s">
        <v>699</v>
      </c>
      <c r="E135" s="253">
        <v>45589</v>
      </c>
      <c r="F135" s="260">
        <v>41.37</v>
      </c>
      <c r="G135" s="589" t="s">
        <v>55</v>
      </c>
      <c r="H135" s="590"/>
      <c r="I135" s="590"/>
      <c r="J135" s="591"/>
      <c r="K135" s="253">
        <v>45591</v>
      </c>
      <c r="L135" s="266" t="s">
        <v>734</v>
      </c>
      <c r="M135" s="76"/>
      <c r="N135" s="76"/>
      <c r="O135" s="76"/>
      <c r="P135" s="76"/>
    </row>
    <row r="136" spans="1:16">
      <c r="A136" s="75">
        <v>124</v>
      </c>
      <c r="B136" s="225" t="s">
        <v>469</v>
      </c>
      <c r="C136" s="442" t="s">
        <v>195</v>
      </c>
      <c r="D136" s="236" t="s">
        <v>699</v>
      </c>
      <c r="E136" s="253">
        <v>45589</v>
      </c>
      <c r="F136" s="260">
        <v>37.64</v>
      </c>
      <c r="G136" s="589" t="s">
        <v>55</v>
      </c>
      <c r="H136" s="590"/>
      <c r="I136" s="590"/>
      <c r="J136" s="591"/>
      <c r="K136" s="253">
        <v>45592</v>
      </c>
      <c r="L136" s="266" t="s">
        <v>731</v>
      </c>
      <c r="M136" s="76"/>
      <c r="N136" s="76"/>
      <c r="O136" s="76"/>
      <c r="P136" s="76"/>
    </row>
    <row r="137" spans="1:16">
      <c r="A137" s="75">
        <v>125</v>
      </c>
      <c r="B137" s="225" t="s">
        <v>529</v>
      </c>
      <c r="C137" s="442" t="s">
        <v>195</v>
      </c>
      <c r="D137" s="236" t="s">
        <v>699</v>
      </c>
      <c r="E137" s="253">
        <v>45589</v>
      </c>
      <c r="F137" s="260">
        <v>37.64</v>
      </c>
      <c r="G137" s="589" t="s">
        <v>55</v>
      </c>
      <c r="H137" s="590"/>
      <c r="I137" s="590"/>
      <c r="J137" s="591"/>
      <c r="K137" s="253">
        <v>45592</v>
      </c>
      <c r="L137" s="266" t="s">
        <v>744</v>
      </c>
      <c r="M137" s="76"/>
      <c r="N137" s="76"/>
      <c r="O137" s="76"/>
      <c r="P137" s="76"/>
    </row>
    <row r="138" spans="1:16">
      <c r="A138" s="75">
        <v>126</v>
      </c>
      <c r="B138" s="226" t="s">
        <v>461</v>
      </c>
      <c r="C138" s="446" t="s">
        <v>224</v>
      </c>
      <c r="D138" s="236" t="s">
        <v>699</v>
      </c>
      <c r="E138" s="253">
        <v>45589</v>
      </c>
      <c r="F138" s="260">
        <v>41.37</v>
      </c>
      <c r="G138" s="589" t="s">
        <v>55</v>
      </c>
      <c r="H138" s="590"/>
      <c r="I138" s="590"/>
      <c r="J138" s="591"/>
      <c r="K138" s="253">
        <v>45597</v>
      </c>
      <c r="L138" s="266" t="s">
        <v>729</v>
      </c>
      <c r="M138" s="76"/>
      <c r="N138" s="76"/>
      <c r="O138" s="76"/>
      <c r="P138" s="76"/>
    </row>
    <row r="139" spans="1:16">
      <c r="A139" s="75">
        <v>127</v>
      </c>
      <c r="B139" s="227" t="s">
        <v>499</v>
      </c>
      <c r="C139" s="446" t="s">
        <v>224</v>
      </c>
      <c r="D139" s="236" t="s">
        <v>699</v>
      </c>
      <c r="E139" s="253">
        <v>45589</v>
      </c>
      <c r="F139" s="260">
        <v>41.37</v>
      </c>
      <c r="G139" s="589" t="s">
        <v>55</v>
      </c>
      <c r="H139" s="590"/>
      <c r="I139" s="590"/>
      <c r="J139" s="591"/>
      <c r="K139" s="253">
        <v>45597</v>
      </c>
      <c r="L139" s="266" t="s">
        <v>740</v>
      </c>
      <c r="M139" s="76"/>
      <c r="N139" s="76"/>
      <c r="O139" s="76"/>
      <c r="P139" s="76"/>
    </row>
    <row r="140" spans="1:16">
      <c r="A140" s="75">
        <v>128</v>
      </c>
      <c r="B140" s="227" t="s">
        <v>512</v>
      </c>
      <c r="C140" s="442" t="s">
        <v>195</v>
      </c>
      <c r="D140" s="236" t="s">
        <v>699</v>
      </c>
      <c r="E140" s="253">
        <v>45589</v>
      </c>
      <c r="F140" s="260">
        <v>37.64</v>
      </c>
      <c r="G140" s="589" t="s">
        <v>55</v>
      </c>
      <c r="H140" s="590"/>
      <c r="I140" s="590"/>
      <c r="J140" s="591"/>
      <c r="K140" s="253">
        <v>45597</v>
      </c>
      <c r="L140" s="266" t="s">
        <v>730</v>
      </c>
      <c r="M140" s="76"/>
      <c r="N140" s="76"/>
      <c r="O140" s="76"/>
      <c r="P140" s="76"/>
    </row>
    <row r="141" spans="1:16">
      <c r="A141" s="75">
        <v>129</v>
      </c>
      <c r="B141" s="226" t="s">
        <v>597</v>
      </c>
      <c r="C141" s="446" t="s">
        <v>224</v>
      </c>
      <c r="D141" s="238" t="s">
        <v>701</v>
      </c>
      <c r="E141" s="253">
        <v>45589</v>
      </c>
      <c r="F141" s="260">
        <v>61.059999999999995</v>
      </c>
      <c r="G141" s="589" t="s">
        <v>55</v>
      </c>
      <c r="H141" s="590"/>
      <c r="I141" s="590"/>
      <c r="J141" s="591"/>
      <c r="K141" s="253">
        <v>45597</v>
      </c>
      <c r="L141" s="266" t="s">
        <v>724</v>
      </c>
      <c r="M141" s="76"/>
      <c r="N141" s="76"/>
      <c r="O141" s="76"/>
      <c r="P141" s="76"/>
    </row>
    <row r="142" spans="1:16">
      <c r="A142" s="75">
        <v>130</v>
      </c>
      <c r="B142" s="226" t="s">
        <v>522</v>
      </c>
      <c r="C142" s="442" t="s">
        <v>225</v>
      </c>
      <c r="D142" s="236" t="s">
        <v>699</v>
      </c>
      <c r="E142" s="253">
        <v>45589</v>
      </c>
      <c r="F142" s="260">
        <v>37.64</v>
      </c>
      <c r="G142" s="589" t="s">
        <v>55</v>
      </c>
      <c r="H142" s="590"/>
      <c r="I142" s="590"/>
      <c r="J142" s="591"/>
      <c r="K142" s="253">
        <v>45597</v>
      </c>
      <c r="L142" s="266" t="s">
        <v>728</v>
      </c>
      <c r="M142" s="76"/>
      <c r="N142" s="76"/>
      <c r="O142" s="76"/>
      <c r="P142" s="76"/>
    </row>
    <row r="143" spans="1:16">
      <c r="A143" s="75">
        <v>131</v>
      </c>
      <c r="B143" s="226" t="s">
        <v>90</v>
      </c>
      <c r="C143" s="442" t="s">
        <v>195</v>
      </c>
      <c r="D143" s="236" t="s">
        <v>699</v>
      </c>
      <c r="E143" s="253">
        <v>45590</v>
      </c>
      <c r="F143" s="260">
        <v>37.64</v>
      </c>
      <c r="G143" s="589" t="s">
        <v>55</v>
      </c>
      <c r="H143" s="590"/>
      <c r="I143" s="590"/>
      <c r="J143" s="591"/>
      <c r="K143" s="253">
        <v>45606</v>
      </c>
      <c r="L143" s="266" t="s">
        <v>741</v>
      </c>
      <c r="M143" s="76"/>
      <c r="N143" s="76"/>
      <c r="O143" s="76"/>
      <c r="P143" s="76"/>
    </row>
    <row r="144" spans="1:16">
      <c r="A144" s="75">
        <v>132</v>
      </c>
      <c r="B144" s="226" t="s">
        <v>77</v>
      </c>
      <c r="C144" s="442" t="s">
        <v>225</v>
      </c>
      <c r="D144" s="236" t="s">
        <v>699</v>
      </c>
      <c r="E144" s="253">
        <v>45590</v>
      </c>
      <c r="F144" s="260">
        <v>37.64</v>
      </c>
      <c r="G144" s="589" t="s">
        <v>55</v>
      </c>
      <c r="H144" s="590"/>
      <c r="I144" s="590"/>
      <c r="J144" s="591"/>
      <c r="K144" s="253">
        <v>45598</v>
      </c>
      <c r="L144" s="266" t="s">
        <v>743</v>
      </c>
      <c r="M144" s="76"/>
      <c r="N144" s="76"/>
      <c r="O144" s="76"/>
      <c r="P144" s="76"/>
    </row>
    <row r="145" spans="1:16">
      <c r="A145" s="75">
        <v>133</v>
      </c>
      <c r="B145" s="226" t="s">
        <v>91</v>
      </c>
      <c r="C145" s="446" t="s">
        <v>224</v>
      </c>
      <c r="D145" s="236" t="s">
        <v>699</v>
      </c>
      <c r="E145" s="253">
        <v>45590</v>
      </c>
      <c r="F145" s="260">
        <v>41.37</v>
      </c>
      <c r="G145" s="589" t="s">
        <v>55</v>
      </c>
      <c r="H145" s="590"/>
      <c r="I145" s="590"/>
      <c r="J145" s="591"/>
      <c r="K145" s="253">
        <v>45598</v>
      </c>
      <c r="L145" s="266" t="s">
        <v>734</v>
      </c>
      <c r="M145" s="76"/>
      <c r="N145" s="76"/>
      <c r="O145" s="76"/>
      <c r="P145" s="76"/>
    </row>
    <row r="146" spans="1:16">
      <c r="A146" s="75">
        <v>134</v>
      </c>
      <c r="B146" s="212" t="s">
        <v>538</v>
      </c>
      <c r="C146" s="442" t="s">
        <v>225</v>
      </c>
      <c r="D146" s="236" t="s">
        <v>699</v>
      </c>
      <c r="E146" s="253">
        <v>45599</v>
      </c>
      <c r="F146" s="260">
        <v>37.64</v>
      </c>
      <c r="G146" s="589" t="s">
        <v>55</v>
      </c>
      <c r="H146" s="590"/>
      <c r="I146" s="590"/>
      <c r="J146" s="591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7" t="s">
        <v>248</v>
      </c>
      <c r="D147" s="236" t="s">
        <v>699</v>
      </c>
      <c r="E147" s="253">
        <v>45599</v>
      </c>
      <c r="F147" s="260">
        <v>58.25</v>
      </c>
      <c r="G147" s="589" t="s">
        <v>55</v>
      </c>
      <c r="H147" s="590"/>
      <c r="I147" s="590"/>
      <c r="J147" s="591"/>
      <c r="K147" s="257">
        <v>45609</v>
      </c>
      <c r="L147" s="266" t="s">
        <v>732</v>
      </c>
      <c r="M147" s="76"/>
      <c r="N147" s="76"/>
      <c r="O147" s="76"/>
      <c r="P147" s="76"/>
    </row>
    <row r="148" spans="1:16">
      <c r="A148" s="75">
        <v>136</v>
      </c>
      <c r="B148" s="226" t="s">
        <v>480</v>
      </c>
      <c r="C148" s="442" t="s">
        <v>195</v>
      </c>
      <c r="D148" s="236" t="s">
        <v>699</v>
      </c>
      <c r="E148" s="253">
        <v>45599</v>
      </c>
      <c r="F148" s="260">
        <v>37.64</v>
      </c>
      <c r="G148" s="589" t="s">
        <v>55</v>
      </c>
      <c r="H148" s="590"/>
      <c r="I148" s="590"/>
      <c r="J148" s="591"/>
      <c r="K148" s="253">
        <v>45607</v>
      </c>
      <c r="L148" s="266" t="s">
        <v>744</v>
      </c>
      <c r="M148" s="76"/>
      <c r="N148" s="76"/>
      <c r="O148" s="76"/>
      <c r="P148" s="76"/>
    </row>
    <row r="149" spans="1:16">
      <c r="A149" s="75">
        <v>137</v>
      </c>
      <c r="B149" s="228" t="s">
        <v>518</v>
      </c>
      <c r="C149" s="442" t="s">
        <v>195</v>
      </c>
      <c r="D149" s="236" t="s">
        <v>699</v>
      </c>
      <c r="E149" s="253">
        <v>45599</v>
      </c>
      <c r="F149" s="260">
        <v>37.64</v>
      </c>
      <c r="G149" s="589" t="s">
        <v>55</v>
      </c>
      <c r="H149" s="590"/>
      <c r="I149" s="590"/>
      <c r="J149" s="591"/>
      <c r="K149" s="253">
        <v>45609</v>
      </c>
      <c r="L149" s="266" t="s">
        <v>728</v>
      </c>
      <c r="M149" s="76"/>
      <c r="N149" s="76"/>
      <c r="O149" s="76"/>
      <c r="P149" s="76"/>
    </row>
    <row r="150" spans="1:16">
      <c r="A150" s="75">
        <v>138</v>
      </c>
      <c r="B150" s="226" t="s">
        <v>488</v>
      </c>
      <c r="C150" s="442" t="s">
        <v>225</v>
      </c>
      <c r="D150" s="236" t="s">
        <v>699</v>
      </c>
      <c r="E150" s="253">
        <v>45599</v>
      </c>
      <c r="F150" s="260">
        <v>37.64</v>
      </c>
      <c r="G150" s="589" t="s">
        <v>55</v>
      </c>
      <c r="H150" s="590"/>
      <c r="I150" s="590"/>
      <c r="J150" s="591"/>
      <c r="K150" s="253">
        <v>45605</v>
      </c>
      <c r="L150" s="266" t="s">
        <v>740</v>
      </c>
      <c r="M150" s="76"/>
      <c r="N150" s="76"/>
      <c r="O150" s="76"/>
      <c r="P150" s="76"/>
    </row>
    <row r="151" spans="1:16">
      <c r="A151" s="75">
        <v>139</v>
      </c>
      <c r="B151" s="221" t="s">
        <v>555</v>
      </c>
      <c r="C151" s="442" t="s">
        <v>225</v>
      </c>
      <c r="D151" s="236" t="s">
        <v>699</v>
      </c>
      <c r="E151" s="253">
        <v>45599</v>
      </c>
      <c r="F151" s="260">
        <v>37.64</v>
      </c>
      <c r="G151" s="589" t="s">
        <v>55</v>
      </c>
      <c r="H151" s="590"/>
      <c r="I151" s="590"/>
      <c r="J151" s="591"/>
      <c r="K151" s="253">
        <v>45609</v>
      </c>
      <c r="L151" s="266" t="s">
        <v>736</v>
      </c>
      <c r="M151" s="76"/>
      <c r="N151" s="76"/>
      <c r="O151" s="76"/>
      <c r="P151" s="76"/>
    </row>
    <row r="152" spans="1:16">
      <c r="A152" s="75">
        <v>140</v>
      </c>
      <c r="B152" s="221" t="s">
        <v>81</v>
      </c>
      <c r="C152" s="446" t="s">
        <v>224</v>
      </c>
      <c r="D152" s="236" t="s">
        <v>699</v>
      </c>
      <c r="E152" s="253">
        <v>45599</v>
      </c>
      <c r="F152" s="260">
        <v>41.37</v>
      </c>
      <c r="G152" s="589" t="s">
        <v>55</v>
      </c>
      <c r="H152" s="590"/>
      <c r="I152" s="590"/>
      <c r="J152" s="591"/>
      <c r="K152" s="253">
        <v>45607</v>
      </c>
      <c r="L152" s="266" t="s">
        <v>742</v>
      </c>
      <c r="M152" s="76"/>
      <c r="N152" s="76"/>
      <c r="O152" s="76"/>
      <c r="P152" s="76"/>
    </row>
    <row r="153" spans="1:16">
      <c r="A153" s="75">
        <v>141</v>
      </c>
      <c r="B153" s="226" t="s">
        <v>79</v>
      </c>
      <c r="C153" s="446" t="s">
        <v>224</v>
      </c>
      <c r="D153" s="236" t="s">
        <v>699</v>
      </c>
      <c r="E153" s="253">
        <v>45599</v>
      </c>
      <c r="F153" s="260">
        <v>41.37</v>
      </c>
      <c r="G153" s="589" t="s">
        <v>55</v>
      </c>
      <c r="H153" s="590"/>
      <c r="I153" s="590"/>
      <c r="J153" s="591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7" t="s">
        <v>248</v>
      </c>
      <c r="D154" s="236" t="s">
        <v>699</v>
      </c>
      <c r="E154" s="253">
        <v>45599</v>
      </c>
      <c r="F154" s="260">
        <v>58.25</v>
      </c>
      <c r="G154" s="589" t="s">
        <v>55</v>
      </c>
      <c r="H154" s="590"/>
      <c r="I154" s="590"/>
      <c r="J154" s="591"/>
      <c r="K154" s="257">
        <v>45605</v>
      </c>
      <c r="L154" s="266" t="s">
        <v>743</v>
      </c>
      <c r="M154" s="76"/>
      <c r="N154" s="76"/>
      <c r="O154" s="76"/>
      <c r="P154" s="76"/>
    </row>
    <row r="155" spans="1:16">
      <c r="A155" s="75">
        <v>143</v>
      </c>
      <c r="B155" s="221" t="s">
        <v>492</v>
      </c>
      <c r="C155" s="446" t="s">
        <v>224</v>
      </c>
      <c r="D155" s="236" t="s">
        <v>699</v>
      </c>
      <c r="E155" s="253">
        <v>45602</v>
      </c>
      <c r="F155" s="260">
        <v>41.37</v>
      </c>
      <c r="G155" s="589" t="s">
        <v>55</v>
      </c>
      <c r="H155" s="590"/>
      <c r="I155" s="590"/>
      <c r="J155" s="591"/>
      <c r="K155" s="253">
        <v>45609</v>
      </c>
      <c r="L155" s="266" t="s">
        <v>730</v>
      </c>
      <c r="M155" s="76"/>
      <c r="N155" s="76"/>
      <c r="O155" s="76"/>
      <c r="P155" s="76"/>
    </row>
    <row r="156" spans="1:16">
      <c r="A156" s="75">
        <v>144</v>
      </c>
      <c r="B156" s="221" t="s">
        <v>497</v>
      </c>
      <c r="C156" s="442" t="s">
        <v>195</v>
      </c>
      <c r="D156" s="236" t="s">
        <v>699</v>
      </c>
      <c r="E156" s="253">
        <v>45602</v>
      </c>
      <c r="F156" s="260">
        <v>37.64</v>
      </c>
      <c r="G156" s="589" t="s">
        <v>55</v>
      </c>
      <c r="H156" s="590"/>
      <c r="I156" s="590"/>
      <c r="J156" s="591"/>
      <c r="K156" s="253">
        <v>45606</v>
      </c>
      <c r="L156" s="266" t="s">
        <v>729</v>
      </c>
      <c r="M156" s="76"/>
      <c r="N156" s="76"/>
      <c r="O156" s="76"/>
      <c r="P156" s="76"/>
    </row>
    <row r="157" spans="1:16">
      <c r="A157" s="75">
        <v>145</v>
      </c>
      <c r="B157" s="221" t="s">
        <v>470</v>
      </c>
      <c r="C157" s="442" t="s">
        <v>195</v>
      </c>
      <c r="D157" s="236" t="s">
        <v>699</v>
      </c>
      <c r="E157" s="253">
        <v>45602</v>
      </c>
      <c r="F157" s="260">
        <v>37.64</v>
      </c>
      <c r="G157" s="589" t="s">
        <v>55</v>
      </c>
      <c r="H157" s="590"/>
      <c r="I157" s="590"/>
      <c r="J157" s="591"/>
      <c r="K157" s="253">
        <v>45607</v>
      </c>
      <c r="L157" s="266" t="s">
        <v>730</v>
      </c>
      <c r="M157" s="76"/>
      <c r="N157" s="76"/>
      <c r="O157" s="76"/>
      <c r="P157" s="76"/>
    </row>
    <row r="158" spans="1:16">
      <c r="A158" s="75">
        <v>146</v>
      </c>
      <c r="B158" s="221" t="s">
        <v>490</v>
      </c>
      <c r="C158" s="446" t="s">
        <v>224</v>
      </c>
      <c r="D158" s="236" t="s">
        <v>699</v>
      </c>
      <c r="E158" s="253">
        <v>45602</v>
      </c>
      <c r="F158" s="260">
        <v>41.37</v>
      </c>
      <c r="G158" s="589" t="s">
        <v>55</v>
      </c>
      <c r="H158" s="590"/>
      <c r="I158" s="590"/>
      <c r="J158" s="591"/>
      <c r="K158" s="253">
        <v>45611</v>
      </c>
      <c r="L158" s="266" t="s">
        <v>744</v>
      </c>
      <c r="M158" s="76"/>
      <c r="N158" s="76"/>
      <c r="O158" s="76"/>
      <c r="P158" s="76"/>
    </row>
    <row r="159" spans="1:16">
      <c r="A159" s="75">
        <v>147</v>
      </c>
      <c r="B159" s="9" t="s">
        <v>80</v>
      </c>
      <c r="C159" s="446" t="s">
        <v>224</v>
      </c>
      <c r="D159" s="236" t="s">
        <v>699</v>
      </c>
      <c r="E159" s="253">
        <v>45602</v>
      </c>
      <c r="F159" s="260">
        <v>41.37</v>
      </c>
      <c r="G159" s="589" t="s">
        <v>55</v>
      </c>
      <c r="H159" s="590"/>
      <c r="I159" s="590"/>
      <c r="J159" s="591"/>
      <c r="K159" s="253">
        <v>45611</v>
      </c>
      <c r="L159" s="266" t="s">
        <v>742</v>
      </c>
      <c r="M159" s="76"/>
      <c r="N159" s="76"/>
      <c r="O159" s="76"/>
      <c r="P159" s="76"/>
    </row>
    <row r="160" spans="1:16">
      <c r="A160" s="75">
        <v>148</v>
      </c>
      <c r="B160" s="9" t="s">
        <v>321</v>
      </c>
      <c r="C160" s="446" t="s">
        <v>377</v>
      </c>
      <c r="D160" s="236" t="s">
        <v>699</v>
      </c>
      <c r="E160" s="253">
        <v>45604</v>
      </c>
      <c r="F160" s="260">
        <v>71.039999999999992</v>
      </c>
      <c r="G160" s="589" t="s">
        <v>55</v>
      </c>
      <c r="H160" s="590"/>
      <c r="I160" s="590"/>
      <c r="J160" s="591"/>
      <c r="K160" s="253">
        <v>45612</v>
      </c>
      <c r="L160" s="266" t="s">
        <v>740</v>
      </c>
      <c r="M160" s="76"/>
      <c r="N160" s="76"/>
      <c r="O160" s="76"/>
      <c r="P160" s="76"/>
    </row>
    <row r="161" spans="1:16">
      <c r="A161" s="75">
        <v>149</v>
      </c>
      <c r="B161" s="221" t="s">
        <v>558</v>
      </c>
      <c r="C161" s="442" t="s">
        <v>225</v>
      </c>
      <c r="D161" s="236" t="s">
        <v>699</v>
      </c>
      <c r="E161" s="253">
        <v>45605</v>
      </c>
      <c r="F161" s="260">
        <v>37.64</v>
      </c>
      <c r="G161" s="589" t="s">
        <v>55</v>
      </c>
      <c r="H161" s="590"/>
      <c r="I161" s="590"/>
      <c r="J161" s="591"/>
      <c r="K161" s="253">
        <v>45614</v>
      </c>
      <c r="L161" s="266" t="s">
        <v>729</v>
      </c>
      <c r="M161" s="76"/>
      <c r="N161" s="76"/>
      <c r="O161" s="76"/>
      <c r="P161" s="76"/>
    </row>
    <row r="162" spans="1:16">
      <c r="A162" s="75">
        <v>150</v>
      </c>
      <c r="B162" s="221" t="s">
        <v>478</v>
      </c>
      <c r="C162" s="442" t="s">
        <v>225</v>
      </c>
      <c r="D162" s="236" t="s">
        <v>699</v>
      </c>
      <c r="E162" s="253">
        <v>45606</v>
      </c>
      <c r="F162" s="260">
        <v>37.64</v>
      </c>
      <c r="G162" s="589" t="s">
        <v>55</v>
      </c>
      <c r="H162" s="590"/>
      <c r="I162" s="590"/>
      <c r="J162" s="591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6" t="s">
        <v>224</v>
      </c>
      <c r="D163" s="239" t="s">
        <v>702</v>
      </c>
      <c r="E163" s="253">
        <v>45608</v>
      </c>
      <c r="F163" s="260">
        <v>71.430000000000007</v>
      </c>
      <c r="G163" s="589" t="s">
        <v>55</v>
      </c>
      <c r="H163" s="590"/>
      <c r="I163" s="590"/>
      <c r="J163" s="591"/>
      <c r="K163" s="257">
        <v>45616</v>
      </c>
      <c r="L163" s="266" t="s">
        <v>743</v>
      </c>
      <c r="M163" s="76"/>
      <c r="N163" s="76"/>
      <c r="O163" s="76"/>
      <c r="P163" s="76"/>
    </row>
    <row r="164" spans="1:16">
      <c r="A164" s="75">
        <v>152</v>
      </c>
      <c r="B164" s="221" t="s">
        <v>561</v>
      </c>
      <c r="C164" s="446" t="s">
        <v>226</v>
      </c>
      <c r="D164" s="236" t="s">
        <v>699</v>
      </c>
      <c r="E164" s="253">
        <v>45610</v>
      </c>
      <c r="F164" s="260">
        <v>41.37</v>
      </c>
      <c r="G164" s="589" t="s">
        <v>55</v>
      </c>
      <c r="H164" s="590"/>
      <c r="I164" s="590"/>
      <c r="J164" s="591"/>
      <c r="K164" s="253">
        <v>45617</v>
      </c>
      <c r="L164" s="266" t="s">
        <v>736</v>
      </c>
      <c r="M164" s="76"/>
      <c r="N164" s="76"/>
      <c r="O164" s="76"/>
      <c r="P164" s="76"/>
    </row>
    <row r="165" spans="1:16">
      <c r="A165" s="75">
        <v>153</v>
      </c>
      <c r="B165" s="229" t="s">
        <v>475</v>
      </c>
      <c r="C165" s="442" t="s">
        <v>195</v>
      </c>
      <c r="D165" s="236" t="s">
        <v>699</v>
      </c>
      <c r="E165" s="253">
        <v>45610</v>
      </c>
      <c r="F165" s="260">
        <v>37.64</v>
      </c>
      <c r="G165" s="589" t="s">
        <v>55</v>
      </c>
      <c r="H165" s="590"/>
      <c r="I165" s="590"/>
      <c r="J165" s="591"/>
      <c r="K165" s="253">
        <v>45617</v>
      </c>
      <c r="L165" s="266" t="s">
        <v>745</v>
      </c>
      <c r="M165" s="76"/>
      <c r="N165" s="76"/>
      <c r="O165" s="76"/>
      <c r="P165" s="76"/>
    </row>
    <row r="166" spans="1:16">
      <c r="A166" s="75">
        <v>154</v>
      </c>
      <c r="B166" s="221" t="s">
        <v>362</v>
      </c>
      <c r="C166" s="442" t="s">
        <v>322</v>
      </c>
      <c r="D166" s="236" t="s">
        <v>699</v>
      </c>
      <c r="E166" s="253">
        <v>45610</v>
      </c>
      <c r="F166" s="260">
        <v>77.81</v>
      </c>
      <c r="G166" s="589" t="s">
        <v>55</v>
      </c>
      <c r="H166" s="590"/>
      <c r="I166" s="590"/>
      <c r="J166" s="591"/>
      <c r="K166" s="253">
        <v>45617</v>
      </c>
      <c r="L166" s="266" t="s">
        <v>742</v>
      </c>
      <c r="M166" s="76"/>
      <c r="N166" s="76"/>
      <c r="O166" s="76"/>
      <c r="P166" s="76"/>
    </row>
    <row r="167" spans="1:16">
      <c r="A167" s="75">
        <v>155</v>
      </c>
      <c r="B167" s="221" t="s">
        <v>486</v>
      </c>
      <c r="C167" s="442" t="s">
        <v>195</v>
      </c>
      <c r="D167" s="236" t="s">
        <v>699</v>
      </c>
      <c r="E167" s="253">
        <v>45614</v>
      </c>
      <c r="F167" s="260">
        <v>37.64</v>
      </c>
      <c r="G167" s="589" t="s">
        <v>55</v>
      </c>
      <c r="H167" s="590"/>
      <c r="I167" s="590"/>
      <c r="J167" s="591"/>
      <c r="K167" s="253">
        <v>45617</v>
      </c>
      <c r="L167" s="266" t="s">
        <v>730</v>
      </c>
      <c r="M167" s="76"/>
      <c r="N167" s="76"/>
      <c r="O167" s="76"/>
      <c r="P167" s="76"/>
    </row>
    <row r="168" spans="1:16">
      <c r="A168" s="75">
        <v>156</v>
      </c>
      <c r="B168" s="221" t="s">
        <v>589</v>
      </c>
      <c r="C168" s="442" t="s">
        <v>195</v>
      </c>
      <c r="D168" s="236" t="s">
        <v>699</v>
      </c>
      <c r="E168" s="253">
        <v>45614</v>
      </c>
      <c r="F168" s="260">
        <v>37.64</v>
      </c>
      <c r="G168" s="589" t="s">
        <v>55</v>
      </c>
      <c r="H168" s="590"/>
      <c r="I168" s="590"/>
      <c r="J168" s="591"/>
      <c r="K168" s="253">
        <v>45617</v>
      </c>
      <c r="L168" s="266" t="s">
        <v>741</v>
      </c>
      <c r="M168" s="76"/>
      <c r="N168" s="76"/>
      <c r="O168" s="76"/>
      <c r="P168" s="76"/>
    </row>
    <row r="169" spans="1:16">
      <c r="A169" s="75">
        <v>157</v>
      </c>
      <c r="B169" s="221" t="s">
        <v>130</v>
      </c>
      <c r="C169" s="442" t="s">
        <v>227</v>
      </c>
      <c r="D169" s="238" t="s">
        <v>702</v>
      </c>
      <c r="E169" s="253">
        <v>45612</v>
      </c>
      <c r="F169" s="260">
        <v>71.430000000000007</v>
      </c>
      <c r="G169" s="589" t="s">
        <v>55</v>
      </c>
      <c r="H169" s="590"/>
      <c r="I169" s="590"/>
      <c r="J169" s="591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7" t="s">
        <v>248</v>
      </c>
      <c r="D170" s="236" t="s">
        <v>699</v>
      </c>
      <c r="E170" s="253">
        <v>45614</v>
      </c>
      <c r="F170" s="260">
        <v>58.25</v>
      </c>
      <c r="G170" s="589" t="s">
        <v>55</v>
      </c>
      <c r="H170" s="590"/>
      <c r="I170" s="590"/>
      <c r="J170" s="591"/>
      <c r="K170" s="257">
        <v>45618</v>
      </c>
      <c r="L170" s="266" t="s">
        <v>732</v>
      </c>
      <c r="M170" s="76"/>
      <c r="N170" s="76"/>
      <c r="O170" s="76"/>
      <c r="P170" s="76"/>
    </row>
    <row r="171" spans="1:16">
      <c r="A171" s="75">
        <v>159</v>
      </c>
      <c r="B171" s="221" t="s">
        <v>531</v>
      </c>
      <c r="C171" s="442" t="s">
        <v>225</v>
      </c>
      <c r="D171" s="236" t="s">
        <v>699</v>
      </c>
      <c r="E171" s="253">
        <v>45614</v>
      </c>
      <c r="F171" s="260">
        <v>37.64</v>
      </c>
      <c r="G171" s="589" t="s">
        <v>55</v>
      </c>
      <c r="H171" s="590"/>
      <c r="I171" s="590"/>
      <c r="J171" s="591"/>
      <c r="K171" s="257">
        <v>45618</v>
      </c>
      <c r="L171" s="266" t="s">
        <v>734</v>
      </c>
      <c r="M171" s="76"/>
      <c r="N171" s="76"/>
      <c r="O171" s="76"/>
      <c r="P171" s="76"/>
    </row>
    <row r="172" spans="1:16">
      <c r="A172" s="75">
        <v>160</v>
      </c>
      <c r="B172" s="221" t="s">
        <v>547</v>
      </c>
      <c r="C172" s="442" t="s">
        <v>225</v>
      </c>
      <c r="D172" s="236" t="s">
        <v>699</v>
      </c>
      <c r="E172" s="253">
        <v>45614</v>
      </c>
      <c r="F172" s="260">
        <v>37.64</v>
      </c>
      <c r="G172" s="589" t="s">
        <v>55</v>
      </c>
      <c r="H172" s="590"/>
      <c r="I172" s="590"/>
      <c r="J172" s="591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6" t="s">
        <v>224</v>
      </c>
      <c r="D173" s="239" t="s">
        <v>702</v>
      </c>
      <c r="E173" s="253">
        <v>45616</v>
      </c>
      <c r="F173" s="260">
        <v>71.430000000000007</v>
      </c>
      <c r="G173" s="589" t="s">
        <v>55</v>
      </c>
      <c r="H173" s="590"/>
      <c r="I173" s="590"/>
      <c r="J173" s="591"/>
      <c r="K173" s="253">
        <v>45625</v>
      </c>
      <c r="L173" s="266" t="s">
        <v>738</v>
      </c>
      <c r="M173" s="76"/>
      <c r="N173" s="76"/>
      <c r="O173" s="76"/>
      <c r="P173" s="76"/>
    </row>
    <row r="174" spans="1:16">
      <c r="A174" s="75">
        <v>162</v>
      </c>
      <c r="B174" s="216" t="s">
        <v>570</v>
      </c>
      <c r="C174" s="442" t="s">
        <v>225</v>
      </c>
      <c r="D174" s="236" t="s">
        <v>699</v>
      </c>
      <c r="E174" s="253">
        <v>45618</v>
      </c>
      <c r="F174" s="260">
        <v>37.64</v>
      </c>
      <c r="G174" s="589" t="s">
        <v>55</v>
      </c>
      <c r="H174" s="590"/>
      <c r="I174" s="590"/>
      <c r="J174" s="591"/>
      <c r="K174" s="257">
        <v>45622</v>
      </c>
      <c r="L174" s="266" t="s">
        <v>743</v>
      </c>
      <c r="M174" s="76"/>
      <c r="N174" s="76"/>
      <c r="O174" s="76"/>
      <c r="P174" s="76"/>
    </row>
    <row r="175" spans="1:16">
      <c r="A175" s="75">
        <v>163</v>
      </c>
      <c r="B175" s="216" t="s">
        <v>282</v>
      </c>
      <c r="C175" s="446" t="s">
        <v>349</v>
      </c>
      <c r="D175" s="236" t="s">
        <v>699</v>
      </c>
      <c r="E175" s="253">
        <v>45618</v>
      </c>
      <c r="F175" s="260">
        <v>70.25</v>
      </c>
      <c r="G175" s="589" t="s">
        <v>55</v>
      </c>
      <c r="H175" s="590"/>
      <c r="I175" s="590"/>
      <c r="J175" s="591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8" t="s">
        <v>318</v>
      </c>
      <c r="D176" s="236" t="s">
        <v>699</v>
      </c>
      <c r="E176" s="253">
        <v>45618</v>
      </c>
      <c r="F176" s="260">
        <v>65.713999999999999</v>
      </c>
      <c r="G176" s="589" t="s">
        <v>55</v>
      </c>
      <c r="H176" s="590"/>
      <c r="I176" s="590"/>
      <c r="J176" s="591"/>
      <c r="K176" s="257">
        <v>45623</v>
      </c>
      <c r="L176" s="266" t="s">
        <v>733</v>
      </c>
      <c r="M176" s="76"/>
      <c r="N176" s="76"/>
      <c r="O176" s="76"/>
      <c r="P176" s="76"/>
    </row>
    <row r="177" spans="1:16">
      <c r="A177" s="75">
        <v>165</v>
      </c>
      <c r="B177" s="216" t="s">
        <v>535</v>
      </c>
      <c r="C177" s="446" t="s">
        <v>227</v>
      </c>
      <c r="D177" s="236" t="s">
        <v>699</v>
      </c>
      <c r="E177" s="253">
        <v>45618</v>
      </c>
      <c r="F177" s="260">
        <v>41.37</v>
      </c>
      <c r="G177" s="589" t="s">
        <v>55</v>
      </c>
      <c r="H177" s="590"/>
      <c r="I177" s="590"/>
      <c r="J177" s="591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7" t="s">
        <v>224</v>
      </c>
      <c r="D178" s="236" t="s">
        <v>699</v>
      </c>
      <c r="E178" s="253">
        <v>45618</v>
      </c>
      <c r="F178" s="260">
        <v>41.37</v>
      </c>
      <c r="G178" s="589" t="s">
        <v>55</v>
      </c>
      <c r="H178" s="590"/>
      <c r="I178" s="590"/>
      <c r="J178" s="591"/>
      <c r="K178" s="257">
        <v>45625</v>
      </c>
      <c r="L178" s="266" t="s">
        <v>745</v>
      </c>
      <c r="M178" s="76"/>
      <c r="N178" s="76"/>
      <c r="O178" s="76"/>
      <c r="P178" s="76"/>
    </row>
    <row r="179" spans="1:16">
      <c r="A179" s="75">
        <v>167</v>
      </c>
      <c r="B179" s="216" t="s">
        <v>544</v>
      </c>
      <c r="C179" s="446" t="s">
        <v>226</v>
      </c>
      <c r="D179" s="236" t="s">
        <v>699</v>
      </c>
      <c r="E179" s="253">
        <v>45618</v>
      </c>
      <c r="F179" s="260">
        <v>41.37</v>
      </c>
      <c r="G179" s="589" t="s">
        <v>55</v>
      </c>
      <c r="H179" s="590"/>
      <c r="I179" s="590"/>
      <c r="J179" s="591"/>
      <c r="K179" s="257">
        <v>45625</v>
      </c>
      <c r="L179" s="266" t="s">
        <v>736</v>
      </c>
      <c r="M179" s="76"/>
      <c r="N179" s="76"/>
      <c r="O179" s="76"/>
      <c r="P179" s="76"/>
    </row>
    <row r="180" spans="1:16">
      <c r="A180" s="75">
        <v>168</v>
      </c>
      <c r="B180" s="216" t="s">
        <v>539</v>
      </c>
      <c r="C180" s="446" t="s">
        <v>225</v>
      </c>
      <c r="D180" s="236" t="s">
        <v>699</v>
      </c>
      <c r="E180" s="253">
        <v>45618</v>
      </c>
      <c r="F180" s="260">
        <v>37.64</v>
      </c>
      <c r="G180" s="589" t="s">
        <v>55</v>
      </c>
      <c r="H180" s="590"/>
      <c r="I180" s="590"/>
      <c r="J180" s="591"/>
      <c r="K180" s="257">
        <v>45622</v>
      </c>
      <c r="L180" s="266" t="s">
        <v>740</v>
      </c>
      <c r="M180" s="76"/>
      <c r="N180" s="76"/>
      <c r="O180" s="76"/>
      <c r="P180" s="76"/>
    </row>
    <row r="181" spans="1:16">
      <c r="A181" s="75">
        <v>169</v>
      </c>
      <c r="B181" s="216" t="s">
        <v>485</v>
      </c>
      <c r="C181" s="446" t="s">
        <v>224</v>
      </c>
      <c r="D181" s="236" t="s">
        <v>699</v>
      </c>
      <c r="E181" s="253">
        <v>45618</v>
      </c>
      <c r="F181" s="260">
        <v>41.37</v>
      </c>
      <c r="G181" s="589" t="s">
        <v>55</v>
      </c>
      <c r="H181" s="590"/>
      <c r="I181" s="590"/>
      <c r="J181" s="591"/>
      <c r="K181" s="257">
        <v>45625</v>
      </c>
      <c r="L181" s="266" t="s">
        <v>740</v>
      </c>
      <c r="M181" s="76"/>
      <c r="N181" s="76"/>
      <c r="O181" s="76"/>
      <c r="P181" s="76"/>
    </row>
    <row r="182" spans="1:16">
      <c r="A182" s="75">
        <v>170</v>
      </c>
      <c r="B182" s="216" t="s">
        <v>572</v>
      </c>
      <c r="C182" s="446" t="s">
        <v>314</v>
      </c>
      <c r="D182" s="236" t="s">
        <v>699</v>
      </c>
      <c r="E182" s="253">
        <v>45618</v>
      </c>
      <c r="F182" s="260">
        <v>58.25</v>
      </c>
      <c r="G182" s="589" t="s">
        <v>55</v>
      </c>
      <c r="H182" s="590"/>
      <c r="I182" s="590"/>
      <c r="J182" s="591"/>
      <c r="K182" s="257">
        <v>45626</v>
      </c>
      <c r="L182" s="266" t="s">
        <v>729</v>
      </c>
      <c r="M182" s="76"/>
      <c r="N182" s="76"/>
      <c r="O182" s="76"/>
      <c r="P182" s="76"/>
    </row>
    <row r="183" spans="1:16">
      <c r="A183" s="75">
        <v>171</v>
      </c>
      <c r="B183" s="216" t="s">
        <v>525</v>
      </c>
      <c r="C183" s="446" t="s">
        <v>318</v>
      </c>
      <c r="D183" s="236" t="s">
        <v>699</v>
      </c>
      <c r="E183" s="253">
        <v>45618</v>
      </c>
      <c r="F183" s="260">
        <v>65.713999999999999</v>
      </c>
      <c r="G183" s="589" t="s">
        <v>55</v>
      </c>
      <c r="H183" s="590"/>
      <c r="I183" s="590"/>
      <c r="J183" s="591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7" t="s">
        <v>225</v>
      </c>
      <c r="D184" s="239" t="s">
        <v>702</v>
      </c>
      <c r="E184" s="253">
        <v>45616</v>
      </c>
      <c r="F184" s="260">
        <v>68.849999999999994</v>
      </c>
      <c r="G184" s="589" t="s">
        <v>55</v>
      </c>
      <c r="H184" s="590"/>
      <c r="I184" s="590"/>
      <c r="J184" s="591"/>
      <c r="K184" s="257">
        <v>45627</v>
      </c>
      <c r="L184" s="266" t="s">
        <v>724</v>
      </c>
      <c r="M184" s="76"/>
      <c r="N184" s="76"/>
      <c r="O184" s="76"/>
      <c r="P184" s="76"/>
    </row>
    <row r="185" spans="1:16">
      <c r="A185" s="75">
        <v>173</v>
      </c>
      <c r="B185" s="216" t="s">
        <v>364</v>
      </c>
      <c r="C185" s="446" t="s">
        <v>318</v>
      </c>
      <c r="D185" s="236" t="s">
        <v>699</v>
      </c>
      <c r="E185" s="253">
        <v>45618</v>
      </c>
      <c r="F185" s="260">
        <v>65.713999999999999</v>
      </c>
      <c r="G185" s="589" t="s">
        <v>55</v>
      </c>
      <c r="H185" s="590"/>
      <c r="I185" s="590"/>
      <c r="J185" s="591"/>
      <c r="K185" s="257">
        <v>45628</v>
      </c>
      <c r="L185" s="266" t="s">
        <v>743</v>
      </c>
      <c r="M185" s="76"/>
      <c r="N185" s="76"/>
      <c r="O185" s="76"/>
      <c r="P185" s="76"/>
    </row>
    <row r="186" spans="1:16">
      <c r="A186" s="75">
        <v>174</v>
      </c>
      <c r="B186" s="216" t="s">
        <v>521</v>
      </c>
      <c r="C186" s="446" t="s">
        <v>195</v>
      </c>
      <c r="D186" s="236" t="s">
        <v>699</v>
      </c>
      <c r="E186" s="253">
        <v>45621</v>
      </c>
      <c r="F186" s="260">
        <v>37.64</v>
      </c>
      <c r="G186" s="589" t="s">
        <v>55</v>
      </c>
      <c r="H186" s="590"/>
      <c r="I186" s="590"/>
      <c r="J186" s="591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9" t="s">
        <v>319</v>
      </c>
      <c r="D187" s="236" t="s">
        <v>699</v>
      </c>
      <c r="E187" s="253">
        <v>45625</v>
      </c>
      <c r="F187" s="260">
        <v>65.912000000000006</v>
      </c>
      <c r="G187" s="589" t="s">
        <v>55</v>
      </c>
      <c r="H187" s="590"/>
      <c r="I187" s="590"/>
      <c r="J187" s="591"/>
      <c r="K187" s="257">
        <v>45630</v>
      </c>
      <c r="L187" s="266" t="s">
        <v>730</v>
      </c>
      <c r="M187" s="76"/>
      <c r="N187" s="76"/>
      <c r="O187" s="76"/>
      <c r="P187" s="76"/>
    </row>
    <row r="188" spans="1:16">
      <c r="A188" s="75">
        <v>176</v>
      </c>
      <c r="B188" s="216" t="s">
        <v>523</v>
      </c>
      <c r="C188" s="442" t="s">
        <v>195</v>
      </c>
      <c r="D188" s="236" t="s">
        <v>699</v>
      </c>
      <c r="E188" s="253">
        <v>45626</v>
      </c>
      <c r="F188" s="260">
        <v>37.64</v>
      </c>
      <c r="G188" s="589" t="s">
        <v>55</v>
      </c>
      <c r="H188" s="590"/>
      <c r="I188" s="590"/>
      <c r="J188" s="591"/>
      <c r="K188" s="257">
        <v>45630</v>
      </c>
      <c r="L188" s="266" t="s">
        <v>740</v>
      </c>
      <c r="M188" s="76"/>
      <c r="N188" s="76"/>
      <c r="O188" s="76"/>
      <c r="P188" s="76"/>
    </row>
    <row r="189" spans="1:16">
      <c r="A189" s="75">
        <v>177</v>
      </c>
      <c r="B189" s="216" t="s">
        <v>484</v>
      </c>
      <c r="C189" s="446" t="s">
        <v>224</v>
      </c>
      <c r="D189" s="236" t="s">
        <v>699</v>
      </c>
      <c r="E189" s="253">
        <v>45626</v>
      </c>
      <c r="F189" s="260">
        <v>41.37</v>
      </c>
      <c r="G189" s="589" t="s">
        <v>55</v>
      </c>
      <c r="H189" s="590"/>
      <c r="I189" s="590"/>
      <c r="J189" s="591"/>
      <c r="K189" s="257">
        <v>45632</v>
      </c>
      <c r="L189" s="266" t="s">
        <v>745</v>
      </c>
      <c r="M189" s="76"/>
      <c r="N189" s="76"/>
      <c r="O189" s="76"/>
      <c r="P189" s="76"/>
    </row>
    <row r="190" spans="1:16">
      <c r="A190" s="75">
        <v>178</v>
      </c>
      <c r="B190" s="216" t="s">
        <v>536</v>
      </c>
      <c r="C190" s="446" t="s">
        <v>224</v>
      </c>
      <c r="D190" s="236" t="s">
        <v>699</v>
      </c>
      <c r="E190" s="253">
        <v>45629</v>
      </c>
      <c r="F190" s="260">
        <v>41.37</v>
      </c>
      <c r="G190" s="589" t="s">
        <v>55</v>
      </c>
      <c r="H190" s="590"/>
      <c r="I190" s="590"/>
      <c r="J190" s="591"/>
      <c r="K190" s="257">
        <v>45635</v>
      </c>
      <c r="L190" s="266" t="s">
        <v>732</v>
      </c>
      <c r="M190" s="76"/>
      <c r="N190" s="76"/>
      <c r="O190" s="76"/>
      <c r="P190" s="76"/>
    </row>
    <row r="191" spans="1:16">
      <c r="A191" s="75">
        <v>179</v>
      </c>
      <c r="B191" s="216" t="s">
        <v>517</v>
      </c>
      <c r="C191" s="442" t="s">
        <v>195</v>
      </c>
      <c r="D191" s="236" t="s">
        <v>699</v>
      </c>
      <c r="E191" s="253">
        <v>45629</v>
      </c>
      <c r="F191" s="260">
        <v>37.64</v>
      </c>
      <c r="G191" s="589" t="s">
        <v>55</v>
      </c>
      <c r="H191" s="590"/>
      <c r="I191" s="590"/>
      <c r="J191" s="591"/>
      <c r="K191" s="257">
        <v>45635</v>
      </c>
      <c r="L191" s="266" t="s">
        <v>740</v>
      </c>
      <c r="M191" s="76"/>
      <c r="N191" s="76"/>
      <c r="O191" s="76"/>
      <c r="P191" s="76"/>
    </row>
    <row r="192" spans="1:16">
      <c r="A192" s="75">
        <v>180</v>
      </c>
      <c r="B192" s="216" t="s">
        <v>496</v>
      </c>
      <c r="C192" s="442" t="s">
        <v>195</v>
      </c>
      <c r="D192" s="236" t="s">
        <v>699</v>
      </c>
      <c r="E192" s="253">
        <v>45629</v>
      </c>
      <c r="F192" s="260">
        <v>37.64</v>
      </c>
      <c r="G192" s="589" t="s">
        <v>55</v>
      </c>
      <c r="H192" s="590"/>
      <c r="I192" s="590"/>
      <c r="J192" s="591"/>
      <c r="K192" s="257">
        <v>45635</v>
      </c>
      <c r="L192" s="266" t="s">
        <v>736</v>
      </c>
      <c r="M192" s="76"/>
      <c r="N192" s="76"/>
      <c r="O192" s="76"/>
      <c r="P192" s="76"/>
    </row>
    <row r="193" spans="1:16">
      <c r="A193" s="75">
        <v>181</v>
      </c>
      <c r="B193" s="216" t="s">
        <v>516</v>
      </c>
      <c r="C193" s="446" t="s">
        <v>224</v>
      </c>
      <c r="D193" s="236" t="s">
        <v>699</v>
      </c>
      <c r="E193" s="253">
        <v>45629</v>
      </c>
      <c r="F193" s="260">
        <v>41.37</v>
      </c>
      <c r="G193" s="589" t="s">
        <v>55</v>
      </c>
      <c r="H193" s="590"/>
      <c r="I193" s="590"/>
      <c r="J193" s="591"/>
      <c r="K193" s="257">
        <v>45635</v>
      </c>
      <c r="L193" s="266" t="s">
        <v>734</v>
      </c>
      <c r="M193" s="76"/>
      <c r="N193" s="76"/>
      <c r="O193" s="76"/>
      <c r="P193" s="76"/>
    </row>
    <row r="194" spans="1:16">
      <c r="A194" s="75">
        <v>182</v>
      </c>
      <c r="B194" s="216" t="s">
        <v>661</v>
      </c>
      <c r="C194" s="446" t="s">
        <v>703</v>
      </c>
      <c r="D194" s="236" t="s">
        <v>699</v>
      </c>
      <c r="E194" s="253">
        <v>45629</v>
      </c>
      <c r="F194" s="260">
        <v>65.912000000000006</v>
      </c>
      <c r="G194" s="589" t="s">
        <v>55</v>
      </c>
      <c r="H194" s="590"/>
      <c r="I194" s="590"/>
      <c r="J194" s="591"/>
      <c r="K194" s="257">
        <v>45635</v>
      </c>
      <c r="L194" s="266" t="s">
        <v>729</v>
      </c>
      <c r="M194" s="76"/>
      <c r="N194" s="76"/>
      <c r="O194" s="76"/>
      <c r="P194" s="76"/>
    </row>
    <row r="195" spans="1:16">
      <c r="A195" s="75">
        <v>183</v>
      </c>
      <c r="B195" s="216" t="s">
        <v>627</v>
      </c>
      <c r="C195" s="446" t="s">
        <v>357</v>
      </c>
      <c r="D195" s="236" t="s">
        <v>699</v>
      </c>
      <c r="E195" s="253">
        <v>45630</v>
      </c>
      <c r="F195" s="260">
        <v>77.070000000000007</v>
      </c>
      <c r="G195" s="589" t="s">
        <v>55</v>
      </c>
      <c r="H195" s="590"/>
      <c r="I195" s="590"/>
      <c r="J195" s="591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6" t="s">
        <v>225</v>
      </c>
      <c r="D196" s="239" t="s">
        <v>701</v>
      </c>
      <c r="E196" s="253">
        <v>45630</v>
      </c>
      <c r="F196" s="260">
        <v>58.51</v>
      </c>
      <c r="G196" s="589" t="s">
        <v>55</v>
      </c>
      <c r="H196" s="590"/>
      <c r="I196" s="590"/>
      <c r="J196" s="591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6" t="s">
        <v>225</v>
      </c>
      <c r="D197" s="239" t="s">
        <v>701</v>
      </c>
      <c r="E197" s="253">
        <v>45627</v>
      </c>
      <c r="F197" s="260">
        <v>58.51</v>
      </c>
      <c r="G197" s="589" t="s">
        <v>55</v>
      </c>
      <c r="H197" s="590"/>
      <c r="I197" s="590"/>
      <c r="J197" s="591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6" t="s">
        <v>225</v>
      </c>
      <c r="D198" s="239" t="s">
        <v>701</v>
      </c>
      <c r="E198" s="253">
        <v>45628</v>
      </c>
      <c r="F198" s="260">
        <v>58.51</v>
      </c>
      <c r="G198" s="589" t="s">
        <v>55</v>
      </c>
      <c r="H198" s="590"/>
      <c r="I198" s="590"/>
      <c r="J198" s="591"/>
      <c r="K198" s="257">
        <v>45637</v>
      </c>
      <c r="L198" s="267" t="s">
        <v>724</v>
      </c>
      <c r="M198" s="76"/>
      <c r="N198" s="76"/>
      <c r="O198" s="76"/>
      <c r="P198" s="76"/>
    </row>
    <row r="199" spans="1:16">
      <c r="A199" s="75">
        <v>187</v>
      </c>
      <c r="B199" s="216" t="s">
        <v>511</v>
      </c>
      <c r="C199" s="446" t="s">
        <v>224</v>
      </c>
      <c r="D199" s="236" t="s">
        <v>699</v>
      </c>
      <c r="E199" s="253">
        <v>45635</v>
      </c>
      <c r="F199" s="260">
        <v>41.37</v>
      </c>
      <c r="G199" s="589" t="s">
        <v>55</v>
      </c>
      <c r="H199" s="590"/>
      <c r="I199" s="590"/>
      <c r="J199" s="591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6" t="s">
        <v>704</v>
      </c>
      <c r="D200" s="239" t="s">
        <v>701</v>
      </c>
      <c r="E200" s="253">
        <v>45635</v>
      </c>
      <c r="F200" s="260">
        <v>113.26</v>
      </c>
      <c r="G200" s="589" t="s">
        <v>55</v>
      </c>
      <c r="H200" s="590"/>
      <c r="I200" s="590"/>
      <c r="J200" s="591"/>
      <c r="K200" s="257">
        <v>45641</v>
      </c>
      <c r="L200" s="266" t="s">
        <v>743</v>
      </c>
      <c r="M200" s="76"/>
      <c r="N200" s="76"/>
      <c r="O200" s="76"/>
      <c r="P200" s="76"/>
    </row>
    <row r="201" spans="1:16">
      <c r="A201" s="75">
        <v>189</v>
      </c>
      <c r="B201" s="216" t="s">
        <v>586</v>
      </c>
      <c r="C201" s="446" t="s">
        <v>225</v>
      </c>
      <c r="D201" s="236" t="s">
        <v>699</v>
      </c>
      <c r="E201" s="253">
        <v>45635</v>
      </c>
      <c r="F201" s="260">
        <v>37.64</v>
      </c>
      <c r="G201" s="589" t="s">
        <v>55</v>
      </c>
      <c r="H201" s="590"/>
      <c r="I201" s="590"/>
      <c r="J201" s="591"/>
      <c r="K201" s="257">
        <v>45642</v>
      </c>
      <c r="L201" s="266" t="s">
        <v>745</v>
      </c>
      <c r="M201" s="76"/>
      <c r="N201" s="76"/>
      <c r="O201" s="76"/>
      <c r="P201" s="76"/>
    </row>
    <row r="202" spans="1:16">
      <c r="A202" s="75">
        <v>190</v>
      </c>
      <c r="B202" s="216" t="s">
        <v>503</v>
      </c>
      <c r="C202" s="446" t="s">
        <v>195</v>
      </c>
      <c r="D202" s="236" t="s">
        <v>699</v>
      </c>
      <c r="E202" s="253">
        <v>45635</v>
      </c>
      <c r="F202" s="260">
        <v>37.64</v>
      </c>
      <c r="G202" s="589" t="s">
        <v>55</v>
      </c>
      <c r="H202" s="590"/>
      <c r="I202" s="590"/>
      <c r="J202" s="591"/>
      <c r="K202" s="257">
        <v>45642</v>
      </c>
      <c r="L202" s="266" t="s">
        <v>736</v>
      </c>
      <c r="M202" s="76"/>
      <c r="N202" s="76"/>
      <c r="O202" s="76"/>
      <c r="P202" s="76"/>
    </row>
    <row r="203" spans="1:16">
      <c r="A203" s="75">
        <v>191</v>
      </c>
      <c r="B203" s="216" t="s">
        <v>534</v>
      </c>
      <c r="C203" s="446" t="s">
        <v>224</v>
      </c>
      <c r="D203" s="236" t="s">
        <v>699</v>
      </c>
      <c r="E203" s="253">
        <v>45635</v>
      </c>
      <c r="F203" s="260">
        <v>41.37</v>
      </c>
      <c r="G203" s="589" t="s">
        <v>55</v>
      </c>
      <c r="H203" s="590"/>
      <c r="I203" s="590"/>
      <c r="J203" s="591"/>
      <c r="K203" s="257">
        <v>45642</v>
      </c>
      <c r="L203" s="266" t="s">
        <v>732</v>
      </c>
      <c r="M203" s="76"/>
      <c r="N203" s="76"/>
      <c r="O203" s="76"/>
      <c r="P203" s="76"/>
    </row>
    <row r="204" spans="1:16">
      <c r="A204" s="75">
        <v>192</v>
      </c>
      <c r="B204" s="216" t="s">
        <v>559</v>
      </c>
      <c r="C204" s="446" t="s">
        <v>560</v>
      </c>
      <c r="D204" s="236" t="s">
        <v>699</v>
      </c>
      <c r="E204" s="253">
        <v>45635</v>
      </c>
      <c r="F204" s="260">
        <v>94.55</v>
      </c>
      <c r="G204" s="589" t="s">
        <v>55</v>
      </c>
      <c r="H204" s="590"/>
      <c r="I204" s="590"/>
      <c r="J204" s="591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6" t="s">
        <v>225</v>
      </c>
      <c r="D205" s="239" t="s">
        <v>702</v>
      </c>
      <c r="E205" s="253">
        <v>45635</v>
      </c>
      <c r="F205" s="260">
        <v>68.849999999999994</v>
      </c>
      <c r="G205" s="589" t="s">
        <v>55</v>
      </c>
      <c r="H205" s="590"/>
      <c r="I205" s="590"/>
      <c r="J205" s="591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6" t="s">
        <v>225</v>
      </c>
      <c r="D206" s="239" t="s">
        <v>702</v>
      </c>
      <c r="E206" s="253">
        <v>45635</v>
      </c>
      <c r="F206" s="260">
        <v>68.849999999999994</v>
      </c>
      <c r="G206" s="589" t="s">
        <v>55</v>
      </c>
      <c r="H206" s="590"/>
      <c r="I206" s="590"/>
      <c r="J206" s="591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6" t="s">
        <v>226</v>
      </c>
      <c r="D207" s="239" t="s">
        <v>702</v>
      </c>
      <c r="E207" s="253">
        <v>45635</v>
      </c>
      <c r="F207" s="260">
        <v>71.430000000000007</v>
      </c>
      <c r="G207" s="589" t="s">
        <v>55</v>
      </c>
      <c r="H207" s="590"/>
      <c r="I207" s="590"/>
      <c r="J207" s="591"/>
      <c r="K207" s="257">
        <v>45644</v>
      </c>
      <c r="L207" s="266" t="s">
        <v>733</v>
      </c>
      <c r="M207" s="76"/>
      <c r="N207" s="76"/>
      <c r="O207" s="76"/>
      <c r="P207" s="76"/>
    </row>
    <row r="208" spans="1:16">
      <c r="A208" s="75">
        <v>196</v>
      </c>
      <c r="B208" s="216" t="s">
        <v>528</v>
      </c>
      <c r="C208" s="446" t="s">
        <v>318</v>
      </c>
      <c r="D208" s="236" t="s">
        <v>699</v>
      </c>
      <c r="E208" s="253">
        <v>45636</v>
      </c>
      <c r="F208" s="260">
        <v>65.713999999999999</v>
      </c>
      <c r="G208" s="589" t="s">
        <v>55</v>
      </c>
      <c r="H208" s="590"/>
      <c r="I208" s="590"/>
      <c r="J208" s="591"/>
      <c r="K208" s="253">
        <v>45646</v>
      </c>
      <c r="L208" s="266" t="s">
        <v>740</v>
      </c>
      <c r="M208" s="76"/>
      <c r="N208" s="76"/>
      <c r="O208" s="76"/>
      <c r="P208" s="76"/>
    </row>
    <row r="209" spans="1:16">
      <c r="A209" s="75">
        <v>197</v>
      </c>
      <c r="B209" s="216" t="s">
        <v>526</v>
      </c>
      <c r="C209" s="446" t="s">
        <v>318</v>
      </c>
      <c r="D209" s="236" t="s">
        <v>699</v>
      </c>
      <c r="E209" s="253">
        <v>45636</v>
      </c>
      <c r="F209" s="260">
        <v>65.713999999999999</v>
      </c>
      <c r="G209" s="589" t="s">
        <v>55</v>
      </c>
      <c r="H209" s="590"/>
      <c r="I209" s="590"/>
      <c r="J209" s="591"/>
      <c r="K209" s="253">
        <v>45646</v>
      </c>
      <c r="L209" s="266" t="s">
        <v>734</v>
      </c>
      <c r="M209" s="76"/>
      <c r="N209" s="76"/>
      <c r="O209" s="76"/>
      <c r="P209" s="76"/>
    </row>
    <row r="210" spans="1:16">
      <c r="A210" s="75">
        <v>198</v>
      </c>
      <c r="B210" s="216" t="s">
        <v>8</v>
      </c>
      <c r="C210" s="446" t="s">
        <v>225</v>
      </c>
      <c r="D210" s="236" t="s">
        <v>699</v>
      </c>
      <c r="E210" s="253">
        <v>45641</v>
      </c>
      <c r="F210" s="260">
        <v>37.64</v>
      </c>
      <c r="G210" s="589" t="s">
        <v>55</v>
      </c>
      <c r="H210" s="590"/>
      <c r="I210" s="590"/>
      <c r="J210" s="591"/>
      <c r="K210" s="253">
        <v>45646</v>
      </c>
      <c r="L210" s="266" t="s">
        <v>743</v>
      </c>
      <c r="M210" s="76"/>
      <c r="N210" s="76"/>
      <c r="O210" s="76"/>
      <c r="P210" s="76"/>
    </row>
    <row r="211" spans="1:16">
      <c r="A211" s="75">
        <v>199</v>
      </c>
      <c r="B211" s="216" t="s">
        <v>372</v>
      </c>
      <c r="C211" s="442" t="s">
        <v>704</v>
      </c>
      <c r="D211" s="236" t="s">
        <v>699</v>
      </c>
      <c r="E211" s="253">
        <v>45636</v>
      </c>
      <c r="F211" s="260">
        <v>77.81</v>
      </c>
      <c r="G211" s="589" t="s">
        <v>55</v>
      </c>
      <c r="H211" s="590"/>
      <c r="I211" s="590"/>
      <c r="J211" s="591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6" t="s">
        <v>195</v>
      </c>
      <c r="D212" s="239" t="s">
        <v>701</v>
      </c>
      <c r="E212" s="253">
        <v>45636</v>
      </c>
      <c r="F212" s="260">
        <v>58.51</v>
      </c>
      <c r="G212" s="589" t="s">
        <v>55</v>
      </c>
      <c r="H212" s="590"/>
      <c r="I212" s="590"/>
      <c r="J212" s="591"/>
      <c r="K212" s="253">
        <v>45648</v>
      </c>
      <c r="L212" s="267" t="s">
        <v>724</v>
      </c>
      <c r="M212" s="76"/>
      <c r="N212" s="76"/>
      <c r="O212" s="76"/>
      <c r="P212" s="76"/>
    </row>
    <row r="213" spans="1:16">
      <c r="A213" s="75">
        <v>201</v>
      </c>
      <c r="B213" s="216" t="s">
        <v>550</v>
      </c>
      <c r="C213" s="442" t="s">
        <v>703</v>
      </c>
      <c r="D213" s="236" t="s">
        <v>699</v>
      </c>
      <c r="E213" s="253">
        <v>45636</v>
      </c>
      <c r="F213" s="260">
        <v>65.912000000000006</v>
      </c>
      <c r="G213" s="589" t="s">
        <v>55</v>
      </c>
      <c r="H213" s="590"/>
      <c r="I213" s="590"/>
      <c r="J213" s="591"/>
      <c r="K213" s="253">
        <v>45650</v>
      </c>
      <c r="L213" s="266" t="s">
        <v>730</v>
      </c>
      <c r="M213" s="76"/>
      <c r="N213" s="76"/>
      <c r="O213" s="76"/>
      <c r="P213" s="76"/>
    </row>
    <row r="214" spans="1:16">
      <c r="A214" s="75">
        <v>202</v>
      </c>
      <c r="B214" s="216" t="s">
        <v>527</v>
      </c>
      <c r="C214" s="442" t="s">
        <v>224</v>
      </c>
      <c r="D214" s="236" t="s">
        <v>699</v>
      </c>
      <c r="E214" s="253">
        <v>45643</v>
      </c>
      <c r="F214" s="260">
        <v>41.37</v>
      </c>
      <c r="G214" s="589" t="s">
        <v>55</v>
      </c>
      <c r="H214" s="590"/>
      <c r="I214" s="590"/>
      <c r="J214" s="591"/>
      <c r="K214" s="253">
        <v>45650</v>
      </c>
      <c r="L214" s="266" t="s">
        <v>745</v>
      </c>
      <c r="M214" s="76"/>
      <c r="N214" s="76"/>
      <c r="O214" s="76"/>
      <c r="P214" s="76"/>
    </row>
    <row r="215" spans="1:16">
      <c r="A215" s="75">
        <v>203</v>
      </c>
      <c r="B215" s="216" t="s">
        <v>606</v>
      </c>
      <c r="C215" s="442" t="s">
        <v>225</v>
      </c>
      <c r="D215" s="236" t="s">
        <v>699</v>
      </c>
      <c r="E215" s="253">
        <v>45645</v>
      </c>
      <c r="F215" s="260">
        <v>37.64</v>
      </c>
      <c r="G215" s="589" t="s">
        <v>55</v>
      </c>
      <c r="H215" s="590"/>
      <c r="I215" s="590"/>
      <c r="J215" s="591"/>
      <c r="K215" s="253">
        <v>45653</v>
      </c>
      <c r="L215" s="266" t="s">
        <v>733</v>
      </c>
      <c r="M215" s="76"/>
      <c r="N215" s="76"/>
      <c r="O215" s="76"/>
      <c r="P215" s="76"/>
    </row>
    <row r="216" spans="1:16">
      <c r="A216" s="75">
        <v>204</v>
      </c>
      <c r="B216" s="216" t="s">
        <v>540</v>
      </c>
      <c r="C216" s="442" t="s">
        <v>248</v>
      </c>
      <c r="D216" s="236" t="s">
        <v>699</v>
      </c>
      <c r="E216" s="253">
        <v>45646</v>
      </c>
      <c r="F216" s="260">
        <v>58.25</v>
      </c>
      <c r="G216" s="589" t="s">
        <v>55</v>
      </c>
      <c r="H216" s="590"/>
      <c r="I216" s="590"/>
      <c r="J216" s="591"/>
      <c r="K216" s="253">
        <v>45653</v>
      </c>
      <c r="L216" s="266" t="s">
        <v>732</v>
      </c>
      <c r="M216" s="76"/>
      <c r="N216" s="76"/>
      <c r="O216" s="76"/>
      <c r="P216" s="76"/>
    </row>
    <row r="217" spans="1:16">
      <c r="A217" s="75">
        <v>205</v>
      </c>
      <c r="B217" s="216" t="s">
        <v>439</v>
      </c>
      <c r="C217" s="442" t="s">
        <v>226</v>
      </c>
      <c r="D217" s="238" t="s">
        <v>702</v>
      </c>
      <c r="E217" s="253">
        <v>45616</v>
      </c>
      <c r="F217" s="260">
        <v>71.430000000000007</v>
      </c>
      <c r="G217" s="589" t="s">
        <v>55</v>
      </c>
      <c r="H217" s="590"/>
      <c r="I217" s="590"/>
      <c r="J217" s="591"/>
      <c r="K217" s="253">
        <v>45653</v>
      </c>
      <c r="L217" s="10" t="s">
        <v>742</v>
      </c>
      <c r="M217" s="76"/>
      <c r="N217" s="76"/>
      <c r="O217" s="76"/>
      <c r="P217" s="76"/>
    </row>
    <row r="218" spans="1:16">
      <c r="A218" s="75">
        <v>206</v>
      </c>
      <c r="B218" s="216" t="s">
        <v>276</v>
      </c>
      <c r="C218" s="442" t="s">
        <v>318</v>
      </c>
      <c r="D218" s="236" t="s">
        <v>699</v>
      </c>
      <c r="E218" s="253">
        <v>45644</v>
      </c>
      <c r="F218" s="260">
        <v>65.713999999999999</v>
      </c>
      <c r="G218" s="589" t="s">
        <v>55</v>
      </c>
      <c r="H218" s="590"/>
      <c r="I218" s="590"/>
      <c r="J218" s="591"/>
      <c r="K218" s="253">
        <v>45654</v>
      </c>
      <c r="L218" s="268" t="s">
        <v>738</v>
      </c>
      <c r="M218" s="76"/>
      <c r="N218" s="76"/>
      <c r="O218" s="76"/>
      <c r="P218" s="76"/>
    </row>
    <row r="219" spans="1:16">
      <c r="A219" s="75">
        <v>207</v>
      </c>
      <c r="B219" s="216" t="s">
        <v>545</v>
      </c>
      <c r="C219" s="442" t="s">
        <v>195</v>
      </c>
      <c r="D219" s="236" t="s">
        <v>699</v>
      </c>
      <c r="E219" s="252">
        <v>45649</v>
      </c>
      <c r="F219" s="260">
        <v>37.64</v>
      </c>
      <c r="G219" s="589" t="s">
        <v>55</v>
      </c>
      <c r="H219" s="590"/>
      <c r="I219" s="590"/>
      <c r="J219" s="591"/>
      <c r="K219" s="253">
        <v>45657</v>
      </c>
      <c r="L219" s="266" t="s">
        <v>745</v>
      </c>
      <c r="M219" s="76"/>
      <c r="N219" s="76"/>
      <c r="O219" s="76"/>
      <c r="P219" s="76"/>
    </row>
    <row r="220" spans="1:16">
      <c r="A220" s="75">
        <v>208</v>
      </c>
      <c r="B220" s="216" t="s">
        <v>376</v>
      </c>
      <c r="C220" s="442" t="s">
        <v>351</v>
      </c>
      <c r="D220" s="238" t="s">
        <v>701</v>
      </c>
      <c r="E220" s="252">
        <v>45649</v>
      </c>
      <c r="F220" s="260">
        <v>82.51</v>
      </c>
      <c r="G220" s="589" t="s">
        <v>55</v>
      </c>
      <c r="H220" s="590"/>
      <c r="I220" s="590"/>
      <c r="J220" s="591"/>
      <c r="K220" s="253">
        <v>45657</v>
      </c>
      <c r="L220" s="266" t="s">
        <v>724</v>
      </c>
      <c r="M220" s="76"/>
      <c r="N220" s="76"/>
      <c r="O220" s="76"/>
      <c r="P220" s="76"/>
    </row>
    <row r="221" spans="1:16">
      <c r="A221" s="75">
        <v>209</v>
      </c>
      <c r="B221" s="216" t="s">
        <v>620</v>
      </c>
      <c r="C221" s="442" t="s">
        <v>225</v>
      </c>
      <c r="D221" s="238" t="s">
        <v>701</v>
      </c>
      <c r="E221" s="253">
        <v>45620</v>
      </c>
      <c r="F221" s="260">
        <v>58.51</v>
      </c>
      <c r="G221" s="589" t="s">
        <v>55</v>
      </c>
      <c r="H221" s="590"/>
      <c r="I221" s="590"/>
      <c r="J221" s="591"/>
      <c r="K221" s="253">
        <v>45659</v>
      </c>
      <c r="L221" s="266" t="s">
        <v>746</v>
      </c>
      <c r="M221" s="76"/>
      <c r="N221" s="76"/>
      <c r="O221" s="76"/>
      <c r="P221" s="76"/>
    </row>
    <row r="222" spans="1:16">
      <c r="A222" s="75">
        <v>210</v>
      </c>
      <c r="B222" s="216" t="s">
        <v>690</v>
      </c>
      <c r="C222" s="442" t="s">
        <v>195</v>
      </c>
      <c r="D222" s="238" t="s">
        <v>701</v>
      </c>
      <c r="E222" s="253">
        <v>45620</v>
      </c>
      <c r="F222" s="260">
        <v>58.51</v>
      </c>
      <c r="G222" s="589" t="s">
        <v>55</v>
      </c>
      <c r="H222" s="590"/>
      <c r="I222" s="590"/>
      <c r="J222" s="591"/>
      <c r="K222" s="253">
        <v>45659</v>
      </c>
      <c r="L222" s="266" t="s">
        <v>743</v>
      </c>
      <c r="M222" s="76"/>
      <c r="N222" s="76"/>
      <c r="O222" s="76"/>
      <c r="P222" s="76"/>
    </row>
    <row r="223" spans="1:16">
      <c r="A223" s="75">
        <v>211</v>
      </c>
      <c r="B223" s="216" t="s">
        <v>603</v>
      </c>
      <c r="C223" s="442" t="s">
        <v>705</v>
      </c>
      <c r="D223" s="236" t="s">
        <v>699</v>
      </c>
      <c r="E223" s="253">
        <v>45643</v>
      </c>
      <c r="F223" s="260">
        <v>77.81</v>
      </c>
      <c r="G223" s="589" t="s">
        <v>55</v>
      </c>
      <c r="H223" s="590"/>
      <c r="I223" s="590"/>
      <c r="J223" s="591"/>
      <c r="K223" s="253">
        <v>45660</v>
      </c>
      <c r="L223" s="266" t="s">
        <v>729</v>
      </c>
      <c r="M223" s="76"/>
      <c r="N223" s="76"/>
      <c r="O223" s="76"/>
      <c r="P223" s="76"/>
    </row>
    <row r="224" spans="1:16">
      <c r="A224" s="75">
        <v>212</v>
      </c>
      <c r="B224" s="216" t="s">
        <v>575</v>
      </c>
      <c r="C224" s="442" t="s">
        <v>225</v>
      </c>
      <c r="D224" s="238" t="s">
        <v>701</v>
      </c>
      <c r="E224" s="253">
        <v>45620</v>
      </c>
      <c r="F224" s="260">
        <v>58.51</v>
      </c>
      <c r="G224" s="589" t="s">
        <v>55</v>
      </c>
      <c r="H224" s="590"/>
      <c r="I224" s="590"/>
      <c r="J224" s="591"/>
      <c r="K224" s="253">
        <v>45660</v>
      </c>
      <c r="L224" s="266" t="s">
        <v>741</v>
      </c>
      <c r="M224" s="76"/>
      <c r="N224" s="76"/>
      <c r="O224" s="76"/>
      <c r="P224" s="76"/>
    </row>
    <row r="225" spans="1:16">
      <c r="A225" s="75">
        <v>213</v>
      </c>
      <c r="B225" s="216" t="s">
        <v>576</v>
      </c>
      <c r="C225" s="442" t="s">
        <v>380</v>
      </c>
      <c r="D225" s="236" t="s">
        <v>699</v>
      </c>
      <c r="E225" s="253">
        <v>45616</v>
      </c>
      <c r="F225" s="260">
        <v>169.70999999999998</v>
      </c>
      <c r="G225" s="589" t="s">
        <v>55</v>
      </c>
      <c r="H225" s="590"/>
      <c r="I225" s="590"/>
      <c r="J225" s="591"/>
      <c r="K225" s="253">
        <v>45666</v>
      </c>
      <c r="L225" s="266" t="s">
        <v>736</v>
      </c>
      <c r="M225" s="76"/>
      <c r="N225" s="76"/>
      <c r="O225" s="76"/>
      <c r="P225" s="76"/>
    </row>
    <row r="226" spans="1:16">
      <c r="A226" s="75">
        <v>214</v>
      </c>
      <c r="B226" s="216" t="s">
        <v>532</v>
      </c>
      <c r="C226" s="442" t="s">
        <v>248</v>
      </c>
      <c r="D226" s="236" t="s">
        <v>699</v>
      </c>
      <c r="E226" s="252">
        <v>45655</v>
      </c>
      <c r="F226" s="260">
        <v>58.25</v>
      </c>
      <c r="G226" s="589" t="s">
        <v>55</v>
      </c>
      <c r="H226" s="590"/>
      <c r="I226" s="590"/>
      <c r="J226" s="591"/>
      <c r="K226" s="253">
        <v>45666</v>
      </c>
      <c r="L226" s="266" t="s">
        <v>732</v>
      </c>
      <c r="M226" s="76"/>
      <c r="N226" s="76"/>
      <c r="O226" s="76"/>
      <c r="P226" s="76"/>
    </row>
    <row r="227" spans="1:16">
      <c r="A227" s="75">
        <v>215</v>
      </c>
      <c r="B227" s="216" t="s">
        <v>437</v>
      </c>
      <c r="C227" s="442" t="s">
        <v>318</v>
      </c>
      <c r="D227" s="238" t="s">
        <v>701</v>
      </c>
      <c r="E227" s="252">
        <v>45660</v>
      </c>
      <c r="F227" s="260">
        <v>95.47</v>
      </c>
      <c r="G227" s="589" t="s">
        <v>55</v>
      </c>
      <c r="H227" s="590"/>
      <c r="I227" s="590"/>
      <c r="J227" s="591"/>
      <c r="K227" s="253">
        <v>45667</v>
      </c>
      <c r="L227" s="266" t="s">
        <v>740</v>
      </c>
      <c r="M227" s="76"/>
      <c r="N227" s="76"/>
      <c r="O227" s="76"/>
      <c r="P227" s="76"/>
    </row>
    <row r="228" spans="1:16">
      <c r="A228" s="75">
        <v>216</v>
      </c>
      <c r="B228" s="216" t="s">
        <v>554</v>
      </c>
      <c r="C228" s="442" t="s">
        <v>224</v>
      </c>
      <c r="D228" s="238" t="s">
        <v>701</v>
      </c>
      <c r="E228" s="252">
        <v>45660</v>
      </c>
      <c r="F228" s="260">
        <v>61.059999999999995</v>
      </c>
      <c r="G228" s="589" t="s">
        <v>55</v>
      </c>
      <c r="H228" s="590"/>
      <c r="I228" s="590"/>
      <c r="J228" s="591"/>
      <c r="K228" s="253">
        <v>45668</v>
      </c>
      <c r="L228" s="266" t="s">
        <v>746</v>
      </c>
      <c r="M228" s="76"/>
      <c r="N228" s="76"/>
      <c r="O228" s="76"/>
      <c r="P228" s="76"/>
    </row>
    <row r="229" spans="1:16">
      <c r="A229" s="75">
        <v>217</v>
      </c>
      <c r="B229" s="216" t="s">
        <v>359</v>
      </c>
      <c r="C229" s="442" t="s">
        <v>560</v>
      </c>
      <c r="D229" s="238" t="s">
        <v>701</v>
      </c>
      <c r="E229" s="252">
        <v>45660</v>
      </c>
      <c r="F229" s="260">
        <v>139.03</v>
      </c>
      <c r="G229" s="589" t="s">
        <v>55</v>
      </c>
      <c r="H229" s="590"/>
      <c r="I229" s="590"/>
      <c r="J229" s="591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2" t="s">
        <v>224</v>
      </c>
      <c r="D230" s="239" t="s">
        <v>702</v>
      </c>
      <c r="E230" s="252">
        <v>45660</v>
      </c>
      <c r="F230" s="260">
        <v>71.430000000000007</v>
      </c>
      <c r="G230" s="589" t="s">
        <v>55</v>
      </c>
      <c r="H230" s="590"/>
      <c r="I230" s="590"/>
      <c r="J230" s="591"/>
      <c r="K230" s="253">
        <v>45668</v>
      </c>
      <c r="L230" s="266" t="s">
        <v>743</v>
      </c>
      <c r="M230" s="76"/>
      <c r="N230" s="76"/>
      <c r="O230" s="76"/>
      <c r="P230" s="76"/>
    </row>
    <row r="231" spans="1:16">
      <c r="A231" s="75">
        <v>219</v>
      </c>
      <c r="B231" s="216" t="s">
        <v>361</v>
      </c>
      <c r="C231" s="442" t="s">
        <v>704</v>
      </c>
      <c r="D231" s="236" t="s">
        <v>699</v>
      </c>
      <c r="E231" s="252">
        <v>45660</v>
      </c>
      <c r="F231" s="260">
        <v>77.81</v>
      </c>
      <c r="G231" s="589" t="s">
        <v>55</v>
      </c>
      <c r="H231" s="590"/>
      <c r="I231" s="590"/>
      <c r="J231" s="591"/>
      <c r="K231" s="253">
        <v>45668</v>
      </c>
      <c r="L231" s="266" t="s">
        <v>738</v>
      </c>
      <c r="M231" s="76"/>
      <c r="N231" s="76"/>
      <c r="O231" s="76"/>
      <c r="P231" s="76"/>
    </row>
    <row r="232" spans="1:16">
      <c r="A232" s="75">
        <v>220</v>
      </c>
      <c r="B232" s="216" t="s">
        <v>371</v>
      </c>
      <c r="C232" s="442" t="s">
        <v>630</v>
      </c>
      <c r="D232" s="236" t="s">
        <v>699</v>
      </c>
      <c r="E232" s="252">
        <v>45661</v>
      </c>
      <c r="F232" s="260">
        <v>94.55</v>
      </c>
      <c r="G232" s="589" t="s">
        <v>55</v>
      </c>
      <c r="H232" s="590"/>
      <c r="I232" s="590"/>
      <c r="J232" s="591"/>
      <c r="K232" s="253">
        <v>45669</v>
      </c>
      <c r="L232" s="266" t="s">
        <v>741</v>
      </c>
      <c r="M232" s="76"/>
      <c r="N232" s="76"/>
      <c r="O232" s="76"/>
      <c r="P232" s="76"/>
    </row>
    <row r="233" spans="1:16">
      <c r="A233" s="75">
        <v>221</v>
      </c>
      <c r="B233" s="216" t="s">
        <v>640</v>
      </c>
      <c r="C233" s="442" t="s">
        <v>380</v>
      </c>
      <c r="D233" s="236" t="s">
        <v>706</v>
      </c>
      <c r="E233" s="252">
        <v>45654</v>
      </c>
      <c r="F233" s="260">
        <v>326.61999999999995</v>
      </c>
      <c r="G233" s="589" t="s">
        <v>55</v>
      </c>
      <c r="H233" s="590"/>
      <c r="I233" s="590"/>
      <c r="J233" s="591"/>
      <c r="K233" s="253">
        <v>45669</v>
      </c>
      <c r="L233" s="266" t="s">
        <v>730</v>
      </c>
      <c r="M233" s="76"/>
      <c r="N233" s="76"/>
      <c r="O233" s="76"/>
      <c r="P233" s="76"/>
    </row>
    <row r="234" spans="1:16">
      <c r="A234" s="75">
        <v>222</v>
      </c>
      <c r="B234" s="216" t="s">
        <v>590</v>
      </c>
      <c r="C234" s="442" t="s">
        <v>380</v>
      </c>
      <c r="D234" s="236" t="s">
        <v>699</v>
      </c>
      <c r="E234" s="253">
        <v>45652</v>
      </c>
      <c r="F234" s="260">
        <v>169.70999999999998</v>
      </c>
      <c r="G234" s="589" t="s">
        <v>55</v>
      </c>
      <c r="H234" s="590"/>
      <c r="I234" s="590"/>
      <c r="J234" s="591"/>
      <c r="K234" s="253">
        <v>45671</v>
      </c>
      <c r="L234" s="266" t="s">
        <v>734</v>
      </c>
      <c r="M234" s="76"/>
      <c r="N234" s="76"/>
      <c r="O234" s="76"/>
      <c r="P234" s="76"/>
    </row>
    <row r="235" spans="1:16">
      <c r="A235" s="75">
        <v>223</v>
      </c>
      <c r="B235" s="216" t="s">
        <v>580</v>
      </c>
      <c r="C235" s="442" t="s">
        <v>224</v>
      </c>
      <c r="D235" s="236" t="s">
        <v>699</v>
      </c>
      <c r="E235" s="253">
        <v>45667</v>
      </c>
      <c r="F235" s="260">
        <v>41.37</v>
      </c>
      <c r="G235" s="589" t="s">
        <v>55</v>
      </c>
      <c r="H235" s="590"/>
      <c r="I235" s="590"/>
      <c r="J235" s="591"/>
      <c r="K235" s="253">
        <v>45671</v>
      </c>
      <c r="L235" s="266" t="s">
        <v>729</v>
      </c>
      <c r="M235" s="76"/>
      <c r="N235" s="76"/>
      <c r="O235" s="76"/>
      <c r="P235" s="76"/>
    </row>
    <row r="236" spans="1:16">
      <c r="A236" s="75">
        <v>224</v>
      </c>
      <c r="B236" s="216" t="s">
        <v>373</v>
      </c>
      <c r="C236" s="442" t="s">
        <v>349</v>
      </c>
      <c r="D236" s="238" t="s">
        <v>701</v>
      </c>
      <c r="E236" s="252">
        <v>45660</v>
      </c>
      <c r="F236" s="260">
        <v>98.56</v>
      </c>
      <c r="G236" s="589" t="s">
        <v>55</v>
      </c>
      <c r="H236" s="590"/>
      <c r="I236" s="590"/>
      <c r="J236" s="591"/>
      <c r="K236" s="253">
        <v>45672</v>
      </c>
      <c r="L236" s="266" t="s">
        <v>733</v>
      </c>
      <c r="M236" s="76"/>
      <c r="N236" s="76"/>
      <c r="O236" s="76"/>
      <c r="P236" s="76"/>
    </row>
    <row r="237" spans="1:16">
      <c r="A237" s="75">
        <v>225</v>
      </c>
      <c r="B237" s="216" t="s">
        <v>622</v>
      </c>
      <c r="C237" s="442" t="s">
        <v>224</v>
      </c>
      <c r="D237" s="238" t="s">
        <v>701</v>
      </c>
      <c r="E237" s="253">
        <v>45667</v>
      </c>
      <c r="F237" s="260">
        <v>61.059999999999995</v>
      </c>
      <c r="G237" s="589" t="s">
        <v>55</v>
      </c>
      <c r="H237" s="590"/>
      <c r="I237" s="590"/>
      <c r="J237" s="591"/>
      <c r="K237" s="253">
        <v>45675</v>
      </c>
      <c r="L237" s="266" t="s">
        <v>740</v>
      </c>
      <c r="M237" s="76"/>
      <c r="N237" s="76"/>
      <c r="O237" s="76"/>
      <c r="P237" s="76"/>
    </row>
    <row r="238" spans="1:16">
      <c r="A238" s="75">
        <v>226</v>
      </c>
      <c r="B238" s="216" t="s">
        <v>582</v>
      </c>
      <c r="C238" s="442" t="s">
        <v>225</v>
      </c>
      <c r="D238" s="236" t="s">
        <v>699</v>
      </c>
      <c r="E238" s="253">
        <v>45669</v>
      </c>
      <c r="F238" s="260">
        <v>37.64</v>
      </c>
      <c r="G238" s="589" t="s">
        <v>55</v>
      </c>
      <c r="H238" s="590"/>
      <c r="I238" s="590"/>
      <c r="J238" s="591"/>
      <c r="K238" s="253">
        <v>45677</v>
      </c>
      <c r="L238" s="268" t="s">
        <v>738</v>
      </c>
      <c r="M238" s="76"/>
      <c r="N238" s="76"/>
      <c r="O238" s="76"/>
      <c r="P238" s="76"/>
    </row>
    <row r="239" spans="1:16">
      <c r="A239" s="75">
        <v>227</v>
      </c>
      <c r="B239" s="216" t="s">
        <v>556</v>
      </c>
      <c r="C239" s="442" t="s">
        <v>224</v>
      </c>
      <c r="D239" s="236" t="s">
        <v>699</v>
      </c>
      <c r="E239" s="253">
        <v>45667</v>
      </c>
      <c r="F239" s="260">
        <v>41.37</v>
      </c>
      <c r="G239" s="589" t="s">
        <v>55</v>
      </c>
      <c r="H239" s="590"/>
      <c r="I239" s="590"/>
      <c r="J239" s="591"/>
      <c r="K239" s="253">
        <v>45677</v>
      </c>
      <c r="L239" s="266" t="s">
        <v>736</v>
      </c>
      <c r="M239" s="76"/>
      <c r="N239" s="76"/>
      <c r="O239" s="76"/>
      <c r="P239" s="76"/>
    </row>
    <row r="240" spans="1:16">
      <c r="A240" s="75">
        <v>228</v>
      </c>
      <c r="B240" s="216" t="s">
        <v>317</v>
      </c>
      <c r="C240" s="442" t="s">
        <v>349</v>
      </c>
      <c r="D240" s="236" t="s">
        <v>702</v>
      </c>
      <c r="E240" s="252">
        <v>45661</v>
      </c>
      <c r="F240" s="260">
        <v>111.17</v>
      </c>
      <c r="G240" s="589" t="s">
        <v>55</v>
      </c>
      <c r="H240" s="590"/>
      <c r="I240" s="590"/>
      <c r="J240" s="591"/>
      <c r="K240" s="253">
        <v>45679</v>
      </c>
      <c r="L240" s="266" t="s">
        <v>724</v>
      </c>
      <c r="M240" s="76"/>
      <c r="N240" s="76"/>
      <c r="O240" s="76"/>
      <c r="P240" s="76"/>
    </row>
    <row r="241" spans="1:16">
      <c r="A241" s="75">
        <v>229</v>
      </c>
      <c r="B241" s="221" t="s">
        <v>642</v>
      </c>
      <c r="C241" s="446" t="s">
        <v>224</v>
      </c>
      <c r="D241" s="238" t="s">
        <v>701</v>
      </c>
      <c r="E241" s="253">
        <v>45669</v>
      </c>
      <c r="F241" s="260">
        <v>61.059999999999995</v>
      </c>
      <c r="G241" s="589" t="s">
        <v>55</v>
      </c>
      <c r="H241" s="590"/>
      <c r="I241" s="590"/>
      <c r="J241" s="591"/>
      <c r="K241" s="253">
        <v>45680</v>
      </c>
      <c r="L241" s="266" t="s">
        <v>746</v>
      </c>
      <c r="M241" s="76"/>
      <c r="N241" s="76"/>
      <c r="O241" s="76"/>
      <c r="P241" s="76"/>
    </row>
    <row r="242" spans="1:16">
      <c r="A242" s="75">
        <v>230</v>
      </c>
      <c r="B242" s="215" t="s">
        <v>616</v>
      </c>
      <c r="C242" s="446" t="s">
        <v>380</v>
      </c>
      <c r="D242" s="236" t="s">
        <v>707</v>
      </c>
      <c r="E242" s="253">
        <v>45669</v>
      </c>
      <c r="F242" s="260">
        <v>169.70999999999998</v>
      </c>
      <c r="G242" s="589" t="s">
        <v>55</v>
      </c>
      <c r="H242" s="590"/>
      <c r="I242" s="590"/>
      <c r="J242" s="591"/>
      <c r="K242" s="253">
        <v>45681</v>
      </c>
      <c r="L242" s="266" t="s">
        <v>743</v>
      </c>
      <c r="M242" s="76"/>
      <c r="N242" s="76"/>
      <c r="O242" s="76"/>
      <c r="P242" s="76"/>
    </row>
    <row r="243" spans="1:16">
      <c r="A243" s="75">
        <v>231</v>
      </c>
      <c r="B243" s="216" t="s">
        <v>629</v>
      </c>
      <c r="C243" s="442" t="s">
        <v>225</v>
      </c>
      <c r="D243" s="238" t="s">
        <v>701</v>
      </c>
      <c r="E243" s="253">
        <v>45675</v>
      </c>
      <c r="F243" s="260">
        <v>58.51</v>
      </c>
      <c r="G243" s="589" t="s">
        <v>55</v>
      </c>
      <c r="H243" s="590"/>
      <c r="I243" s="590"/>
      <c r="J243" s="591"/>
      <c r="K243" s="253">
        <v>45682</v>
      </c>
      <c r="L243" s="266" t="s">
        <v>740</v>
      </c>
      <c r="M243" s="76"/>
      <c r="N243" s="76"/>
      <c r="O243" s="76"/>
      <c r="P243" s="76"/>
    </row>
    <row r="244" spans="1:16">
      <c r="A244" s="75">
        <v>232</v>
      </c>
      <c r="B244" s="216" t="s">
        <v>422</v>
      </c>
      <c r="C244" s="442" t="s">
        <v>639</v>
      </c>
      <c r="D244" s="236" t="s">
        <v>706</v>
      </c>
      <c r="E244" s="252">
        <v>45671</v>
      </c>
      <c r="F244" s="260">
        <v>331.82</v>
      </c>
      <c r="G244" s="589" t="s">
        <v>55</v>
      </c>
      <c r="H244" s="590"/>
      <c r="I244" s="590"/>
      <c r="J244" s="591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6" t="s">
        <v>224</v>
      </c>
      <c r="D245" s="240" t="s">
        <v>699</v>
      </c>
      <c r="E245" s="253">
        <v>45678</v>
      </c>
      <c r="F245" s="260">
        <v>41.37</v>
      </c>
      <c r="G245" s="589" t="s">
        <v>55</v>
      </c>
      <c r="H245" s="590"/>
      <c r="I245" s="590"/>
      <c r="J245" s="591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6" t="s">
        <v>224</v>
      </c>
      <c r="D246" s="240" t="s">
        <v>699</v>
      </c>
      <c r="E246" s="253">
        <v>45682</v>
      </c>
      <c r="F246" s="260">
        <v>41.37</v>
      </c>
      <c r="G246" s="589" t="s">
        <v>55</v>
      </c>
      <c r="H246" s="590"/>
      <c r="I246" s="590"/>
      <c r="J246" s="591"/>
      <c r="K246" s="253">
        <v>45688</v>
      </c>
      <c r="L246" s="266" t="s">
        <v>746</v>
      </c>
      <c r="M246" s="76"/>
      <c r="N246" s="76"/>
      <c r="O246" s="76"/>
      <c r="P246" s="76"/>
    </row>
    <row r="247" spans="1:16">
      <c r="A247" s="75">
        <v>235</v>
      </c>
      <c r="B247" s="216" t="s">
        <v>557</v>
      </c>
      <c r="C247" s="442" t="s">
        <v>224</v>
      </c>
      <c r="D247" s="238" t="s">
        <v>701</v>
      </c>
      <c r="E247" s="253">
        <v>45678</v>
      </c>
      <c r="F247" s="260">
        <v>61.059999999999995</v>
      </c>
      <c r="G247" s="589" t="s">
        <v>55</v>
      </c>
      <c r="H247" s="590"/>
      <c r="I247" s="590"/>
      <c r="J247" s="591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6" t="s">
        <v>318</v>
      </c>
      <c r="D248" s="240" t="s">
        <v>702</v>
      </c>
      <c r="E248" s="253">
        <v>45672</v>
      </c>
      <c r="F248" s="260">
        <v>119.63500000000001</v>
      </c>
      <c r="G248" s="589" t="s">
        <v>55</v>
      </c>
      <c r="H248" s="590"/>
      <c r="I248" s="590"/>
      <c r="J248" s="591"/>
      <c r="K248" s="253">
        <v>45688</v>
      </c>
      <c r="L248" s="266" t="s">
        <v>742</v>
      </c>
      <c r="M248" s="76"/>
      <c r="N248" s="76"/>
      <c r="O248" s="76"/>
      <c r="P248" s="76"/>
    </row>
    <row r="249" spans="1:16">
      <c r="A249" s="75">
        <v>237</v>
      </c>
      <c r="B249" s="216" t="s">
        <v>608</v>
      </c>
      <c r="C249" s="442" t="s">
        <v>225</v>
      </c>
      <c r="D249" s="236" t="s">
        <v>699</v>
      </c>
      <c r="E249" s="253">
        <v>45680</v>
      </c>
      <c r="F249" s="260">
        <v>37.64</v>
      </c>
      <c r="G249" s="589" t="s">
        <v>55</v>
      </c>
      <c r="H249" s="590"/>
      <c r="I249" s="590"/>
      <c r="J249" s="591"/>
      <c r="K249" s="253">
        <v>45688</v>
      </c>
      <c r="L249" s="266" t="s">
        <v>729</v>
      </c>
      <c r="M249" s="76"/>
      <c r="N249" s="76"/>
      <c r="O249" s="76"/>
      <c r="P249" s="76"/>
    </row>
    <row r="250" spans="1:16">
      <c r="A250" s="75">
        <v>238</v>
      </c>
      <c r="B250" s="216" t="s">
        <v>614</v>
      </c>
      <c r="C250" s="442" t="s">
        <v>225</v>
      </c>
      <c r="D250" s="236" t="s">
        <v>699</v>
      </c>
      <c r="E250" s="253">
        <v>45681</v>
      </c>
      <c r="F250" s="260">
        <v>37.64</v>
      </c>
      <c r="G250" s="589" t="s">
        <v>55</v>
      </c>
      <c r="H250" s="590"/>
      <c r="I250" s="590"/>
      <c r="J250" s="591"/>
      <c r="K250" s="253">
        <v>45688</v>
      </c>
      <c r="L250" s="266" t="s">
        <v>736</v>
      </c>
      <c r="M250" s="76"/>
      <c r="N250" s="76"/>
      <c r="O250" s="76"/>
      <c r="P250" s="76"/>
    </row>
    <row r="251" spans="1:16">
      <c r="A251" s="75">
        <v>239</v>
      </c>
      <c r="B251" s="216" t="s">
        <v>600</v>
      </c>
      <c r="C251" s="442" t="s">
        <v>226</v>
      </c>
      <c r="D251" s="238" t="s">
        <v>701</v>
      </c>
      <c r="E251" s="253">
        <v>45683</v>
      </c>
      <c r="F251" s="260">
        <v>61.059999999999995</v>
      </c>
      <c r="G251" s="589" t="s">
        <v>55</v>
      </c>
      <c r="H251" s="590"/>
      <c r="I251" s="590"/>
      <c r="J251" s="591"/>
      <c r="K251" s="253">
        <v>45691</v>
      </c>
      <c r="L251" s="266" t="s">
        <v>740</v>
      </c>
      <c r="M251" s="76"/>
      <c r="N251" s="76"/>
      <c r="O251" s="76"/>
      <c r="P251" s="76"/>
    </row>
    <row r="252" spans="1:16">
      <c r="A252" s="75">
        <v>240</v>
      </c>
      <c r="B252" s="216" t="s">
        <v>643</v>
      </c>
      <c r="C252" s="442" t="s">
        <v>633</v>
      </c>
      <c r="D252" s="236" t="s">
        <v>699</v>
      </c>
      <c r="E252" s="253">
        <v>45675</v>
      </c>
      <c r="F252" s="260">
        <v>165.36</v>
      </c>
      <c r="G252" s="589" t="s">
        <v>55</v>
      </c>
      <c r="H252" s="590"/>
      <c r="I252" s="590"/>
      <c r="J252" s="591"/>
      <c r="K252" s="253">
        <v>45692</v>
      </c>
      <c r="L252" s="266" t="s">
        <v>734</v>
      </c>
      <c r="M252" s="76"/>
      <c r="N252" s="76"/>
      <c r="O252" s="76"/>
      <c r="P252" s="76"/>
    </row>
    <row r="253" spans="1:16">
      <c r="A253" s="75">
        <v>241</v>
      </c>
      <c r="B253" s="231" t="s">
        <v>316</v>
      </c>
      <c r="C253" s="446" t="s">
        <v>626</v>
      </c>
      <c r="D253" s="236" t="s">
        <v>699</v>
      </c>
      <c r="E253" s="253">
        <v>45680</v>
      </c>
      <c r="F253" s="260">
        <v>165.36</v>
      </c>
      <c r="G253" s="589" t="s">
        <v>55</v>
      </c>
      <c r="H253" s="590"/>
      <c r="I253" s="590"/>
      <c r="J253" s="591"/>
      <c r="K253" s="253">
        <v>45693</v>
      </c>
      <c r="L253" s="266" t="s">
        <v>724</v>
      </c>
      <c r="M253" s="76"/>
      <c r="N253" s="76"/>
      <c r="O253" s="76"/>
      <c r="P253" s="76"/>
    </row>
    <row r="254" spans="1:16">
      <c r="A254" s="75">
        <v>242</v>
      </c>
      <c r="B254" s="231" t="s">
        <v>92</v>
      </c>
      <c r="C254" s="446" t="s">
        <v>195</v>
      </c>
      <c r="D254" s="236" t="s">
        <v>699</v>
      </c>
      <c r="E254" s="253">
        <v>45689</v>
      </c>
      <c r="F254" s="260">
        <v>37.64</v>
      </c>
      <c r="G254" s="589" t="s">
        <v>55</v>
      </c>
      <c r="H254" s="590"/>
      <c r="I254" s="590"/>
      <c r="J254" s="591"/>
      <c r="K254" s="253">
        <v>45694</v>
      </c>
      <c r="L254" s="266" t="s">
        <v>741</v>
      </c>
      <c r="M254" s="76"/>
      <c r="N254" s="76"/>
      <c r="O254" s="76"/>
      <c r="P254" s="76"/>
    </row>
    <row r="255" spans="1:16">
      <c r="A255" s="75">
        <v>243</v>
      </c>
      <c r="B255" s="221" t="s">
        <v>623</v>
      </c>
      <c r="C255" s="446" t="s">
        <v>315</v>
      </c>
      <c r="D255" s="236" t="s">
        <v>699</v>
      </c>
      <c r="E255" s="253">
        <v>45689</v>
      </c>
      <c r="F255" s="260">
        <v>65.912000000000006</v>
      </c>
      <c r="G255" s="589" t="s">
        <v>55</v>
      </c>
      <c r="H255" s="590"/>
      <c r="I255" s="590"/>
      <c r="J255" s="591"/>
      <c r="K255" s="253">
        <v>45695</v>
      </c>
      <c r="L255" s="266" t="s">
        <v>746</v>
      </c>
      <c r="M255" s="76"/>
      <c r="N255" s="76"/>
      <c r="O255" s="76"/>
      <c r="P255" s="76"/>
    </row>
    <row r="256" spans="1:16">
      <c r="A256" s="75">
        <v>244</v>
      </c>
      <c r="B256" s="223" t="s">
        <v>141</v>
      </c>
      <c r="C256" s="442" t="s">
        <v>224</v>
      </c>
      <c r="D256" s="238" t="s">
        <v>701</v>
      </c>
      <c r="E256" s="253">
        <v>45689</v>
      </c>
      <c r="F256" s="260">
        <v>61.059999999999995</v>
      </c>
      <c r="G256" s="589" t="s">
        <v>55</v>
      </c>
      <c r="H256" s="590"/>
      <c r="I256" s="590"/>
      <c r="J256" s="591"/>
      <c r="K256" s="253">
        <v>45695</v>
      </c>
      <c r="L256" s="266" t="s">
        <v>745</v>
      </c>
      <c r="M256" s="76"/>
      <c r="N256" s="76"/>
      <c r="O256" s="76"/>
      <c r="P256" s="76"/>
    </row>
    <row r="257" spans="1:16">
      <c r="A257" s="75">
        <v>245</v>
      </c>
      <c r="B257" s="216" t="s">
        <v>568</v>
      </c>
      <c r="C257" s="442" t="s">
        <v>227</v>
      </c>
      <c r="D257" s="236" t="s">
        <v>699</v>
      </c>
      <c r="E257" s="253">
        <v>45689</v>
      </c>
      <c r="F257" s="260">
        <v>41.37</v>
      </c>
      <c r="G257" s="589" t="s">
        <v>55</v>
      </c>
      <c r="H257" s="590"/>
      <c r="I257" s="590"/>
      <c r="J257" s="591"/>
      <c r="K257" s="253">
        <v>45697</v>
      </c>
      <c r="L257" s="266" t="s">
        <v>736</v>
      </c>
      <c r="M257" s="76"/>
      <c r="N257" s="76"/>
      <c r="O257" s="76"/>
      <c r="P257" s="76"/>
    </row>
    <row r="258" spans="1:16">
      <c r="A258" s="75">
        <v>246</v>
      </c>
      <c r="B258" s="223" t="s">
        <v>656</v>
      </c>
      <c r="C258" s="446" t="s">
        <v>633</v>
      </c>
      <c r="D258" s="236" t="s">
        <v>699</v>
      </c>
      <c r="E258" s="253">
        <v>45687</v>
      </c>
      <c r="F258" s="260">
        <v>165.36</v>
      </c>
      <c r="G258" s="589" t="s">
        <v>55</v>
      </c>
      <c r="H258" s="590"/>
      <c r="I258" s="590"/>
      <c r="J258" s="591"/>
      <c r="K258" s="253">
        <v>45697</v>
      </c>
      <c r="L258" s="266" t="s">
        <v>730</v>
      </c>
      <c r="M258" s="76"/>
      <c r="N258" s="76"/>
      <c r="O258" s="76"/>
      <c r="P258" s="76"/>
    </row>
    <row r="259" spans="1:16">
      <c r="A259" s="75">
        <v>247</v>
      </c>
      <c r="B259" s="224" t="s">
        <v>574</v>
      </c>
      <c r="C259" s="446" t="s">
        <v>225</v>
      </c>
      <c r="D259" s="238" t="s">
        <v>701</v>
      </c>
      <c r="E259" s="253">
        <v>45689</v>
      </c>
      <c r="F259" s="260">
        <v>58.51</v>
      </c>
      <c r="G259" s="589" t="s">
        <v>55</v>
      </c>
      <c r="H259" s="590"/>
      <c r="I259" s="590"/>
      <c r="J259" s="591"/>
      <c r="K259" s="253">
        <v>45698</v>
      </c>
      <c r="L259" s="268" t="s">
        <v>738</v>
      </c>
      <c r="M259" s="76"/>
      <c r="N259" s="76"/>
      <c r="O259" s="76"/>
      <c r="P259" s="76"/>
    </row>
    <row r="260" spans="1:16">
      <c r="A260" s="75">
        <v>248</v>
      </c>
      <c r="B260" s="224" t="s">
        <v>567</v>
      </c>
      <c r="C260" s="446" t="s">
        <v>225</v>
      </c>
      <c r="D260" s="238" t="s">
        <v>701</v>
      </c>
      <c r="E260" s="253">
        <v>45690</v>
      </c>
      <c r="F260" s="260">
        <v>58.51</v>
      </c>
      <c r="G260" s="589" t="s">
        <v>55</v>
      </c>
      <c r="H260" s="590"/>
      <c r="I260" s="590"/>
      <c r="J260" s="591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1">
      <c r="A261" s="75">
        <v>249</v>
      </c>
      <c r="B261" s="221" t="s">
        <v>320</v>
      </c>
      <c r="C261" s="442" t="s">
        <v>708</v>
      </c>
      <c r="D261" s="240" t="s">
        <v>699</v>
      </c>
      <c r="E261" s="253">
        <v>45690</v>
      </c>
      <c r="F261" s="260">
        <v>173.792</v>
      </c>
      <c r="G261" s="589" t="s">
        <v>55</v>
      </c>
      <c r="H261" s="590"/>
      <c r="I261" s="590"/>
      <c r="J261" s="591"/>
      <c r="K261" s="253">
        <v>45703</v>
      </c>
      <c r="L261" s="266" t="s">
        <v>742</v>
      </c>
      <c r="M261" s="76"/>
      <c r="N261" s="76"/>
      <c r="O261" s="76"/>
      <c r="P261" s="76"/>
    </row>
    <row r="262" spans="1:16">
      <c r="A262" s="75">
        <v>250</v>
      </c>
      <c r="B262" s="221" t="s">
        <v>292</v>
      </c>
      <c r="C262" s="446" t="s">
        <v>360</v>
      </c>
      <c r="D262" s="238" t="s">
        <v>701</v>
      </c>
      <c r="E262" s="253">
        <v>45690</v>
      </c>
      <c r="F262" s="260">
        <v>253.37</v>
      </c>
      <c r="G262" s="589" t="s">
        <v>55</v>
      </c>
      <c r="H262" s="590"/>
      <c r="I262" s="590"/>
      <c r="J262" s="591"/>
      <c r="K262" s="253">
        <v>45703</v>
      </c>
      <c r="L262" s="266" t="s">
        <v>743</v>
      </c>
      <c r="M262" s="76"/>
      <c r="N262" s="76"/>
      <c r="O262" s="76"/>
      <c r="P262" s="76"/>
    </row>
    <row r="263" spans="1:16">
      <c r="A263" s="75">
        <v>251</v>
      </c>
      <c r="B263" s="216" t="s">
        <v>618</v>
      </c>
      <c r="C263" s="442" t="s">
        <v>225</v>
      </c>
      <c r="D263" s="238" t="s">
        <v>701</v>
      </c>
      <c r="E263" s="253">
        <v>45690</v>
      </c>
      <c r="F263" s="260">
        <v>58.51</v>
      </c>
      <c r="G263" s="589" t="s">
        <v>55</v>
      </c>
      <c r="H263" s="590"/>
      <c r="I263" s="590"/>
      <c r="J263" s="591"/>
      <c r="K263" s="253">
        <v>45703</v>
      </c>
      <c r="L263" s="266" t="s">
        <v>729</v>
      </c>
      <c r="M263" s="76"/>
      <c r="N263" s="76"/>
      <c r="O263" s="76"/>
      <c r="P263" s="76"/>
    </row>
    <row r="264" spans="1:16">
      <c r="A264" s="75">
        <v>252</v>
      </c>
      <c r="B264" s="221" t="s">
        <v>421</v>
      </c>
      <c r="C264" s="446" t="s">
        <v>709</v>
      </c>
      <c r="D264" s="238" t="s">
        <v>701</v>
      </c>
      <c r="E264" s="253">
        <v>45697</v>
      </c>
      <c r="F264" s="260">
        <v>85.98</v>
      </c>
      <c r="G264" s="589" t="s">
        <v>55</v>
      </c>
      <c r="H264" s="590"/>
      <c r="I264" s="590"/>
      <c r="J264" s="591"/>
      <c r="K264" s="253">
        <v>45705</v>
      </c>
      <c r="L264" s="266" t="s">
        <v>746</v>
      </c>
      <c r="M264" s="76"/>
      <c r="N264" s="76"/>
      <c r="O264" s="76"/>
      <c r="P264" s="76"/>
    </row>
    <row r="265" spans="1:16">
      <c r="A265" s="75">
        <v>253</v>
      </c>
      <c r="B265" s="221" t="s">
        <v>662</v>
      </c>
      <c r="C265" s="446" t="s">
        <v>633</v>
      </c>
      <c r="D265" s="236" t="s">
        <v>699</v>
      </c>
      <c r="E265" s="253">
        <v>45694</v>
      </c>
      <c r="F265" s="260">
        <v>165.36</v>
      </c>
      <c r="G265" s="589" t="s">
        <v>55</v>
      </c>
      <c r="H265" s="590"/>
      <c r="I265" s="590"/>
      <c r="J265" s="591"/>
      <c r="K265" s="253">
        <v>45706</v>
      </c>
      <c r="L265" s="266" t="s">
        <v>734</v>
      </c>
      <c r="M265" s="76"/>
      <c r="N265" s="76"/>
      <c r="O265" s="76"/>
      <c r="P265" s="76"/>
    </row>
    <row r="266" spans="1:16">
      <c r="A266" s="75">
        <v>254</v>
      </c>
      <c r="B266" s="221" t="s">
        <v>654</v>
      </c>
      <c r="C266" s="446" t="s">
        <v>349</v>
      </c>
      <c r="D266" s="238" t="s">
        <v>701</v>
      </c>
      <c r="E266" s="253">
        <v>45694</v>
      </c>
      <c r="F266" s="260">
        <v>98.56</v>
      </c>
      <c r="G266" s="589" t="s">
        <v>55</v>
      </c>
      <c r="H266" s="590"/>
      <c r="I266" s="590"/>
      <c r="J266" s="591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6" t="s">
        <v>195</v>
      </c>
      <c r="D267" s="240" t="s">
        <v>699</v>
      </c>
      <c r="E267" s="253">
        <v>45698</v>
      </c>
      <c r="F267" s="260">
        <v>37.64</v>
      </c>
      <c r="G267" s="589" t="s">
        <v>55</v>
      </c>
      <c r="H267" s="590"/>
      <c r="I267" s="590"/>
      <c r="J267" s="591"/>
      <c r="K267" s="253">
        <v>45708</v>
      </c>
      <c r="L267" s="266" t="s">
        <v>741</v>
      </c>
      <c r="M267" s="76"/>
      <c r="N267" s="76"/>
      <c r="O267" s="76"/>
      <c r="P267" s="76"/>
    </row>
    <row r="268" spans="1:16">
      <c r="A268" s="75">
        <v>256</v>
      </c>
      <c r="B268" s="221" t="s">
        <v>625</v>
      </c>
      <c r="C268" s="442" t="s">
        <v>626</v>
      </c>
      <c r="D268" s="236" t="s">
        <v>699</v>
      </c>
      <c r="E268" s="253">
        <v>45698</v>
      </c>
      <c r="F268" s="260">
        <v>165.36</v>
      </c>
      <c r="G268" s="589" t="s">
        <v>55</v>
      </c>
      <c r="H268" s="590"/>
      <c r="I268" s="590"/>
      <c r="J268" s="591"/>
      <c r="K268" s="253">
        <v>45709</v>
      </c>
      <c r="L268" s="266" t="s">
        <v>730</v>
      </c>
      <c r="M268" s="76"/>
      <c r="N268" s="76"/>
      <c r="O268" s="76"/>
      <c r="P268" s="76"/>
    </row>
    <row r="269" spans="1:16">
      <c r="A269" s="75">
        <v>257</v>
      </c>
      <c r="B269" s="221" t="s">
        <v>129</v>
      </c>
      <c r="C269" s="446" t="s">
        <v>224</v>
      </c>
      <c r="D269" s="238" t="s">
        <v>701</v>
      </c>
      <c r="E269" s="253">
        <v>45699</v>
      </c>
      <c r="F269" s="260">
        <v>61.059999999999995</v>
      </c>
      <c r="G269" s="589" t="s">
        <v>55</v>
      </c>
      <c r="H269" s="590"/>
      <c r="I269" s="590"/>
      <c r="J269" s="591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1">
      <c r="A270" s="75">
        <v>258</v>
      </c>
      <c r="B270" s="221" t="s">
        <v>271</v>
      </c>
      <c r="C270" s="442" t="s">
        <v>710</v>
      </c>
      <c r="D270" s="240" t="s">
        <v>699</v>
      </c>
      <c r="E270" s="253">
        <v>45694</v>
      </c>
      <c r="F270" s="260">
        <v>177.25200000000001</v>
      </c>
      <c r="G270" s="589" t="s">
        <v>55</v>
      </c>
      <c r="H270" s="590"/>
      <c r="I270" s="590"/>
      <c r="J270" s="591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6.5">
      <c r="A271" s="598">
        <v>259</v>
      </c>
      <c r="B271" s="221" t="s">
        <v>548</v>
      </c>
      <c r="C271" s="442" t="s">
        <v>711</v>
      </c>
      <c r="D271" s="236" t="s">
        <v>699</v>
      </c>
      <c r="E271" s="253">
        <v>45698</v>
      </c>
      <c r="F271" s="260">
        <v>20.684999999999999</v>
      </c>
      <c r="G271" s="589" t="s">
        <v>55</v>
      </c>
      <c r="H271" s="590"/>
      <c r="I271" s="590"/>
      <c r="J271" s="591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6.5">
      <c r="A272" s="599"/>
      <c r="B272" s="221" t="s">
        <v>548</v>
      </c>
      <c r="C272" s="442" t="s">
        <v>712</v>
      </c>
      <c r="D272" s="236" t="s">
        <v>699</v>
      </c>
      <c r="E272" s="253">
        <v>45698</v>
      </c>
      <c r="F272" s="260">
        <v>27.164999999999999</v>
      </c>
      <c r="G272" s="589" t="s">
        <v>55</v>
      </c>
      <c r="H272" s="590"/>
      <c r="I272" s="590"/>
      <c r="J272" s="591"/>
      <c r="K272" s="253">
        <v>45710</v>
      </c>
      <c r="L272" s="266" t="s">
        <v>736</v>
      </c>
      <c r="M272" s="76"/>
      <c r="N272" s="76"/>
      <c r="O272" s="76"/>
      <c r="P272" s="76"/>
    </row>
    <row r="273" spans="1:16">
      <c r="A273" s="75">
        <v>260</v>
      </c>
      <c r="B273" s="232" t="s">
        <v>142</v>
      </c>
      <c r="C273" s="450" t="s">
        <v>225</v>
      </c>
      <c r="D273" s="241" t="s">
        <v>701</v>
      </c>
      <c r="E273" s="253">
        <v>45698</v>
      </c>
      <c r="F273" s="260">
        <v>58.51</v>
      </c>
      <c r="G273" s="589" t="s">
        <v>55</v>
      </c>
      <c r="H273" s="590"/>
      <c r="I273" s="590"/>
      <c r="J273" s="591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1">
      <c r="A274" s="75">
        <v>261</v>
      </c>
      <c r="B274" s="233" t="s">
        <v>270</v>
      </c>
      <c r="C274" s="451" t="s">
        <v>713</v>
      </c>
      <c r="D274" s="242" t="s">
        <v>699</v>
      </c>
      <c r="E274" s="255">
        <v>45704</v>
      </c>
      <c r="F274" s="261">
        <v>173.792</v>
      </c>
      <c r="G274" s="589" t="s">
        <v>55</v>
      </c>
      <c r="H274" s="590"/>
      <c r="I274" s="590"/>
      <c r="J274" s="591"/>
      <c r="K274" s="255">
        <v>45713</v>
      </c>
      <c r="L274" s="269" t="s">
        <v>742</v>
      </c>
      <c r="M274" s="76"/>
      <c r="N274" s="76"/>
      <c r="O274" s="76"/>
      <c r="P274" s="76"/>
    </row>
    <row r="275" spans="1:16">
      <c r="A275" s="75">
        <v>262</v>
      </c>
      <c r="B275" s="221" t="s">
        <v>329</v>
      </c>
      <c r="C275" s="442" t="s">
        <v>275</v>
      </c>
      <c r="D275" s="243" t="s">
        <v>701</v>
      </c>
      <c r="E275" s="253">
        <v>45707</v>
      </c>
      <c r="F275" s="262">
        <v>100.37</v>
      </c>
      <c r="G275" s="589" t="s">
        <v>55</v>
      </c>
      <c r="H275" s="590"/>
      <c r="I275" s="590"/>
      <c r="J275" s="591"/>
      <c r="K275" s="253">
        <v>45715</v>
      </c>
      <c r="L275" s="10" t="s">
        <v>740</v>
      </c>
      <c r="M275" s="76"/>
      <c r="N275" s="76"/>
      <c r="O275" s="76"/>
      <c r="P275" s="76"/>
    </row>
    <row r="276" spans="1:16">
      <c r="A276" s="75">
        <v>263</v>
      </c>
      <c r="B276" s="221" t="s">
        <v>651</v>
      </c>
      <c r="C276" s="446" t="s">
        <v>714</v>
      </c>
      <c r="D276" s="236" t="s">
        <v>699</v>
      </c>
      <c r="E276" s="253">
        <v>45707</v>
      </c>
      <c r="F276" s="260">
        <v>59.55</v>
      </c>
      <c r="G276" s="589" t="s">
        <v>55</v>
      </c>
      <c r="H276" s="590"/>
      <c r="I276" s="590"/>
      <c r="J276" s="591"/>
      <c r="K276" s="253">
        <v>45716</v>
      </c>
      <c r="L276" s="266" t="s">
        <v>729</v>
      </c>
      <c r="M276" s="76"/>
      <c r="N276" s="76"/>
      <c r="O276" s="76"/>
      <c r="P276" s="76"/>
    </row>
    <row r="277" spans="1:16">
      <c r="A277" s="75">
        <v>264</v>
      </c>
      <c r="B277" s="221" t="s">
        <v>290</v>
      </c>
      <c r="C277" s="442" t="s">
        <v>626</v>
      </c>
      <c r="D277" s="243" t="s">
        <v>701</v>
      </c>
      <c r="E277" s="253">
        <v>45707</v>
      </c>
      <c r="F277" s="260">
        <v>243.46</v>
      </c>
      <c r="G277" s="589" t="s">
        <v>55</v>
      </c>
      <c r="H277" s="590"/>
      <c r="I277" s="590"/>
      <c r="J277" s="591"/>
      <c r="K277" s="253">
        <v>45716</v>
      </c>
      <c r="L277" s="266" t="s">
        <v>743</v>
      </c>
      <c r="M277" s="76"/>
      <c r="N277" s="76"/>
      <c r="O277" s="76"/>
      <c r="P277" s="76"/>
    </row>
    <row r="278" spans="1:16">
      <c r="A278" s="75">
        <v>265</v>
      </c>
      <c r="B278" s="221" t="s">
        <v>429</v>
      </c>
      <c r="C278" s="446" t="s">
        <v>226</v>
      </c>
      <c r="D278" s="243" t="s">
        <v>701</v>
      </c>
      <c r="E278" s="253">
        <v>45708</v>
      </c>
      <c r="F278" s="260">
        <v>61.059999999999995</v>
      </c>
      <c r="G278" s="589" t="s">
        <v>55</v>
      </c>
      <c r="H278" s="590"/>
      <c r="I278" s="590"/>
      <c r="J278" s="591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2" t="s">
        <v>224</v>
      </c>
      <c r="D279" s="240" t="s">
        <v>699</v>
      </c>
      <c r="E279" s="253">
        <v>45714</v>
      </c>
      <c r="F279" s="260">
        <v>41.37</v>
      </c>
      <c r="G279" s="589" t="s">
        <v>55</v>
      </c>
      <c r="H279" s="590"/>
      <c r="I279" s="590"/>
      <c r="J279" s="591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6" t="s">
        <v>635</v>
      </c>
      <c r="D280" s="240" t="s">
        <v>699</v>
      </c>
      <c r="E280" s="253">
        <v>45714</v>
      </c>
      <c r="F280" s="262">
        <v>165.36</v>
      </c>
      <c r="G280" s="589" t="s">
        <v>55</v>
      </c>
      <c r="H280" s="590"/>
      <c r="I280" s="590"/>
      <c r="J280" s="591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6" t="s">
        <v>715</v>
      </c>
      <c r="D281" s="240" t="s">
        <v>699</v>
      </c>
      <c r="E281" s="253">
        <v>45714</v>
      </c>
      <c r="F281" s="262">
        <v>90.44</v>
      </c>
      <c r="G281" s="589" t="s">
        <v>55</v>
      </c>
      <c r="H281" s="590"/>
      <c r="I281" s="590"/>
      <c r="J281" s="591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6" t="s">
        <v>716</v>
      </c>
      <c r="D282" s="240" t="s">
        <v>699</v>
      </c>
      <c r="E282" s="253">
        <v>45717</v>
      </c>
      <c r="F282" s="262">
        <v>100.19</v>
      </c>
      <c r="G282" s="589" t="s">
        <v>55</v>
      </c>
      <c r="H282" s="590"/>
      <c r="I282" s="590"/>
      <c r="J282" s="591"/>
      <c r="K282" s="253">
        <v>45724</v>
      </c>
      <c r="L282" s="10" t="s">
        <v>730</v>
      </c>
      <c r="M282" s="76"/>
      <c r="N282" s="76"/>
      <c r="O282" s="76"/>
      <c r="P282" s="76"/>
    </row>
    <row r="283" spans="1:16">
      <c r="A283" s="75">
        <v>270</v>
      </c>
      <c r="B283" s="221" t="s">
        <v>294</v>
      </c>
      <c r="C283" s="446" t="s">
        <v>717</v>
      </c>
      <c r="D283" s="243" t="s">
        <v>701</v>
      </c>
      <c r="E283" s="253">
        <v>45715</v>
      </c>
      <c r="F283" s="260">
        <v>141.75</v>
      </c>
      <c r="G283" s="589" t="s">
        <v>55</v>
      </c>
      <c r="H283" s="590"/>
      <c r="I283" s="590"/>
      <c r="J283" s="591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6" t="s">
        <v>635</v>
      </c>
      <c r="D284" s="240" t="s">
        <v>699</v>
      </c>
      <c r="E284" s="253">
        <v>45720</v>
      </c>
      <c r="F284" s="262">
        <v>165.36</v>
      </c>
      <c r="G284" s="589" t="s">
        <v>55</v>
      </c>
      <c r="H284" s="590"/>
      <c r="I284" s="590"/>
      <c r="J284" s="591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6" t="s">
        <v>195</v>
      </c>
      <c r="D285" s="240" t="s">
        <v>699</v>
      </c>
      <c r="E285" s="253">
        <v>45720</v>
      </c>
      <c r="F285" s="260">
        <v>37.64</v>
      </c>
      <c r="G285" s="589" t="s">
        <v>55</v>
      </c>
      <c r="H285" s="590"/>
      <c r="I285" s="590"/>
      <c r="J285" s="591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50" t="s">
        <v>718</v>
      </c>
      <c r="D286" s="244" t="s">
        <v>699</v>
      </c>
      <c r="E286" s="253">
        <v>45717</v>
      </c>
      <c r="F286" s="260">
        <v>68.11</v>
      </c>
      <c r="G286" s="589" t="s">
        <v>55</v>
      </c>
      <c r="H286" s="590"/>
      <c r="I286" s="590"/>
      <c r="J286" s="591"/>
      <c r="K286" s="253">
        <v>45726</v>
      </c>
      <c r="L286" s="268" t="s">
        <v>736</v>
      </c>
      <c r="M286" s="76"/>
      <c r="N286" s="76"/>
      <c r="O286" s="76"/>
      <c r="P286" s="76"/>
    </row>
    <row r="287" spans="1:16">
      <c r="A287" s="75">
        <v>274</v>
      </c>
      <c r="B287" s="221" t="s">
        <v>609</v>
      </c>
      <c r="C287" s="442" t="s">
        <v>225</v>
      </c>
      <c r="D287" s="243" t="s">
        <v>701</v>
      </c>
      <c r="E287" s="253">
        <v>45717</v>
      </c>
      <c r="F287" s="262">
        <v>58.51</v>
      </c>
      <c r="G287" s="589" t="s">
        <v>55</v>
      </c>
      <c r="H287" s="590"/>
      <c r="I287" s="590"/>
      <c r="J287" s="591"/>
      <c r="K287" s="253">
        <v>45727</v>
      </c>
      <c r="L287" s="268" t="s">
        <v>745</v>
      </c>
      <c r="M287" s="76"/>
      <c r="N287" s="76"/>
      <c r="O287" s="76"/>
      <c r="P287" s="76"/>
    </row>
    <row r="288" spans="1:16">
      <c r="A288" s="75">
        <v>275</v>
      </c>
      <c r="B288" s="9" t="s">
        <v>299</v>
      </c>
      <c r="C288" s="446" t="s">
        <v>635</v>
      </c>
      <c r="D288" s="243" t="s">
        <v>701</v>
      </c>
      <c r="E288" s="253">
        <v>45717</v>
      </c>
      <c r="F288" s="262">
        <v>243.46</v>
      </c>
      <c r="G288" s="589" t="s">
        <v>55</v>
      </c>
      <c r="H288" s="590"/>
      <c r="I288" s="590"/>
      <c r="J288" s="591"/>
      <c r="K288" s="253">
        <v>45736</v>
      </c>
      <c r="L288" s="10" t="s">
        <v>743</v>
      </c>
      <c r="M288" s="76"/>
      <c r="N288" s="76"/>
      <c r="O288" s="76"/>
      <c r="P288" s="76"/>
    </row>
    <row r="289" spans="1:16">
      <c r="A289" s="75">
        <v>276</v>
      </c>
      <c r="B289" s="9" t="s">
        <v>693</v>
      </c>
      <c r="C289" s="446" t="s">
        <v>635</v>
      </c>
      <c r="D289" s="243" t="s">
        <v>701</v>
      </c>
      <c r="E289" s="253">
        <v>45717</v>
      </c>
      <c r="F289" s="262">
        <v>243.46</v>
      </c>
      <c r="G289" s="589" t="s">
        <v>55</v>
      </c>
      <c r="H289" s="590"/>
      <c r="I289" s="590"/>
      <c r="J289" s="591"/>
      <c r="K289" s="253">
        <v>45736</v>
      </c>
      <c r="L289" s="10" t="s">
        <v>742</v>
      </c>
      <c r="M289" s="76"/>
      <c r="N289" s="76"/>
      <c r="O289" s="76"/>
      <c r="P289" s="76"/>
    </row>
    <row r="290" spans="1:16">
      <c r="A290" s="75">
        <v>277</v>
      </c>
      <c r="B290" s="9" t="s">
        <v>128</v>
      </c>
      <c r="C290" s="446" t="s">
        <v>277</v>
      </c>
      <c r="D290" s="243" t="s">
        <v>701</v>
      </c>
      <c r="E290" s="253">
        <v>45717</v>
      </c>
      <c r="F290" s="260">
        <v>82.51</v>
      </c>
      <c r="G290" s="589" t="s">
        <v>55</v>
      </c>
      <c r="H290" s="590"/>
      <c r="I290" s="590"/>
      <c r="J290" s="591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6" t="s">
        <v>277</v>
      </c>
      <c r="D291" s="240" t="s">
        <v>699</v>
      </c>
      <c r="E291" s="253">
        <v>45736</v>
      </c>
      <c r="F291" s="260">
        <v>58.25</v>
      </c>
      <c r="G291" s="589" t="s">
        <v>55</v>
      </c>
      <c r="H291" s="590"/>
      <c r="I291" s="590"/>
      <c r="J291" s="591"/>
      <c r="K291" s="253">
        <v>45741</v>
      </c>
      <c r="L291" s="10" t="s">
        <v>746</v>
      </c>
      <c r="M291" s="76"/>
      <c r="N291" s="76"/>
      <c r="O291" s="76"/>
      <c r="P291" s="76"/>
    </row>
    <row r="292" spans="1:16">
      <c r="A292" s="75">
        <v>279</v>
      </c>
      <c r="B292" s="221" t="s">
        <v>433</v>
      </c>
      <c r="C292" s="446" t="s">
        <v>225</v>
      </c>
      <c r="D292" s="243" t="s">
        <v>701</v>
      </c>
      <c r="E292" s="253">
        <v>45736</v>
      </c>
      <c r="F292" s="260">
        <v>58.51</v>
      </c>
      <c r="G292" s="589" t="s">
        <v>55</v>
      </c>
      <c r="H292" s="590"/>
      <c r="I292" s="590"/>
      <c r="J292" s="591"/>
      <c r="K292" s="253">
        <v>45742</v>
      </c>
      <c r="L292" s="266" t="s">
        <v>740</v>
      </c>
      <c r="M292" s="76"/>
      <c r="N292" s="76"/>
      <c r="O292" s="76"/>
      <c r="P292" s="76"/>
    </row>
    <row r="293" spans="1:16">
      <c r="A293" s="75">
        <v>280</v>
      </c>
      <c r="B293" s="232" t="s">
        <v>436</v>
      </c>
      <c r="C293" s="446" t="s">
        <v>195</v>
      </c>
      <c r="D293" s="243" t="s">
        <v>701</v>
      </c>
      <c r="E293" s="253">
        <v>45736</v>
      </c>
      <c r="F293" s="260">
        <v>58.51</v>
      </c>
      <c r="G293" s="589" t="s">
        <v>55</v>
      </c>
      <c r="H293" s="590"/>
      <c r="I293" s="590"/>
      <c r="J293" s="591"/>
      <c r="K293" s="253">
        <v>45742</v>
      </c>
      <c r="L293" s="266" t="s">
        <v>733</v>
      </c>
      <c r="M293" s="76"/>
      <c r="N293" s="76"/>
      <c r="O293" s="76"/>
      <c r="P293" s="76"/>
    </row>
    <row r="294" spans="1:16">
      <c r="A294" s="75">
        <v>281</v>
      </c>
      <c r="B294" s="232" t="s">
        <v>328</v>
      </c>
      <c r="C294" s="446" t="s">
        <v>719</v>
      </c>
      <c r="D294" s="243" t="s">
        <v>701</v>
      </c>
      <c r="E294" s="253">
        <v>45736</v>
      </c>
      <c r="F294" s="260">
        <v>132.22999999999999</v>
      </c>
      <c r="G294" s="589" t="s">
        <v>55</v>
      </c>
      <c r="H294" s="590"/>
      <c r="I294" s="590"/>
      <c r="J294" s="591"/>
      <c r="K294" s="253">
        <v>45743</v>
      </c>
      <c r="L294" s="10" t="s">
        <v>743</v>
      </c>
      <c r="M294" s="76"/>
      <c r="N294" s="76"/>
      <c r="O294" s="76"/>
      <c r="P294" s="76"/>
    </row>
    <row r="295" spans="1:16">
      <c r="A295" s="75">
        <v>282</v>
      </c>
      <c r="B295" s="9" t="s">
        <v>659</v>
      </c>
      <c r="C295" s="452" t="s">
        <v>322</v>
      </c>
      <c r="D295" s="245" t="s">
        <v>699</v>
      </c>
      <c r="E295" s="253">
        <v>45741</v>
      </c>
      <c r="F295" s="263">
        <v>77.81</v>
      </c>
      <c r="G295" s="589" t="s">
        <v>55</v>
      </c>
      <c r="H295" s="590"/>
      <c r="I295" s="590"/>
      <c r="J295" s="591"/>
      <c r="K295" s="253">
        <v>45746</v>
      </c>
      <c r="L295" s="10" t="s">
        <v>746</v>
      </c>
      <c r="M295" s="76"/>
      <c r="N295" s="76"/>
      <c r="O295" s="76"/>
      <c r="P295" s="76"/>
    </row>
    <row r="296" spans="1:16">
      <c r="A296" s="75">
        <v>283</v>
      </c>
      <c r="B296" s="9" t="s">
        <v>143</v>
      </c>
      <c r="C296" s="446" t="s">
        <v>225</v>
      </c>
      <c r="D296" s="246" t="s">
        <v>701</v>
      </c>
      <c r="E296" s="253">
        <v>45741</v>
      </c>
      <c r="F296" s="263">
        <v>58.51</v>
      </c>
      <c r="G296" s="589" t="s">
        <v>55</v>
      </c>
      <c r="H296" s="590"/>
      <c r="I296" s="590"/>
      <c r="J296" s="591"/>
      <c r="K296" s="253">
        <v>45749</v>
      </c>
      <c r="L296" s="10" t="s">
        <v>741</v>
      </c>
      <c r="M296" s="76"/>
      <c r="N296" s="76"/>
      <c r="O296" s="76"/>
      <c r="P296" s="76"/>
    </row>
    <row r="297" spans="1:16">
      <c r="A297" s="75">
        <v>284</v>
      </c>
      <c r="B297" s="221" t="s">
        <v>431</v>
      </c>
      <c r="C297" s="446" t="s">
        <v>195</v>
      </c>
      <c r="D297" s="246" t="s">
        <v>701</v>
      </c>
      <c r="E297" s="253">
        <v>45741</v>
      </c>
      <c r="F297" s="262">
        <v>58.51</v>
      </c>
      <c r="G297" s="589" t="s">
        <v>55</v>
      </c>
      <c r="H297" s="590"/>
      <c r="I297" s="590"/>
      <c r="J297" s="591"/>
      <c r="K297" s="253">
        <v>45749</v>
      </c>
      <c r="L297" s="10" t="s">
        <v>745</v>
      </c>
      <c r="M297" s="76"/>
      <c r="N297" s="76"/>
      <c r="O297" s="76"/>
      <c r="P297" s="76"/>
    </row>
    <row r="298" spans="1:16">
      <c r="A298" s="75">
        <v>285</v>
      </c>
      <c r="B298" s="232" t="s">
        <v>632</v>
      </c>
      <c r="C298" s="450" t="s">
        <v>225</v>
      </c>
      <c r="D298" s="247" t="s">
        <v>699</v>
      </c>
      <c r="E298" s="256">
        <v>45747</v>
      </c>
      <c r="F298" s="260">
        <v>37.64</v>
      </c>
      <c r="G298" s="589" t="s">
        <v>55</v>
      </c>
      <c r="H298" s="590"/>
      <c r="I298" s="590"/>
      <c r="J298" s="591"/>
      <c r="K298" s="253">
        <v>45750</v>
      </c>
      <c r="L298" s="10" t="s">
        <v>746</v>
      </c>
      <c r="M298" s="76"/>
      <c r="N298" s="76"/>
      <c r="O298" s="76"/>
      <c r="P298" s="76"/>
    </row>
    <row r="299" spans="1:16">
      <c r="A299" s="598">
        <v>286</v>
      </c>
      <c r="B299" s="216" t="s">
        <v>694</v>
      </c>
      <c r="C299" s="453" t="s">
        <v>380</v>
      </c>
      <c r="D299" s="236" t="s">
        <v>706</v>
      </c>
      <c r="E299" s="253">
        <v>45741</v>
      </c>
      <c r="F299" s="260">
        <v>163.30999999999997</v>
      </c>
      <c r="G299" s="589" t="s">
        <v>55</v>
      </c>
      <c r="H299" s="590"/>
      <c r="I299" s="590"/>
      <c r="J299" s="591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1">
      <c r="A300" s="599"/>
      <c r="B300" s="216" t="s">
        <v>695</v>
      </c>
      <c r="C300" s="453" t="s">
        <v>720</v>
      </c>
      <c r="D300" s="236" t="s">
        <v>706</v>
      </c>
      <c r="E300" s="253">
        <v>45741</v>
      </c>
      <c r="F300" s="260">
        <v>164.49499999999998</v>
      </c>
      <c r="G300" s="589" t="s">
        <v>55</v>
      </c>
      <c r="H300" s="590"/>
      <c r="I300" s="590"/>
      <c r="J300" s="591"/>
      <c r="K300" s="253">
        <v>45757</v>
      </c>
      <c r="L300" s="266" t="s">
        <v>724</v>
      </c>
      <c r="M300" s="76"/>
      <c r="N300" s="76"/>
      <c r="O300" s="76"/>
      <c r="P300" s="76"/>
    </row>
    <row r="301" spans="1:16">
      <c r="A301" s="75">
        <v>287</v>
      </c>
      <c r="B301" s="234" t="s">
        <v>649</v>
      </c>
      <c r="C301" s="450" t="s">
        <v>721</v>
      </c>
      <c r="D301" s="247" t="s">
        <v>699</v>
      </c>
      <c r="E301" s="253">
        <v>45751</v>
      </c>
      <c r="F301" s="260">
        <v>68.11</v>
      </c>
      <c r="G301" s="589" t="s">
        <v>55</v>
      </c>
      <c r="H301" s="590"/>
      <c r="I301" s="590"/>
      <c r="J301" s="591"/>
      <c r="K301" s="253">
        <v>45757</v>
      </c>
      <c r="L301" s="10" t="s">
        <v>746</v>
      </c>
      <c r="M301" s="76"/>
      <c r="N301" s="76"/>
      <c r="O301" s="76"/>
      <c r="P301" s="76"/>
    </row>
    <row r="302" spans="1:16">
      <c r="A302" s="75">
        <v>288</v>
      </c>
      <c r="B302" s="216" t="s">
        <v>696</v>
      </c>
      <c r="C302" s="442" t="s">
        <v>635</v>
      </c>
      <c r="D302" s="243" t="s">
        <v>701</v>
      </c>
      <c r="E302" s="253">
        <v>45751</v>
      </c>
      <c r="F302" s="262">
        <v>243.46</v>
      </c>
      <c r="G302" s="589" t="s">
        <v>55</v>
      </c>
      <c r="H302" s="590"/>
      <c r="I302" s="590"/>
      <c r="J302" s="591"/>
      <c r="K302" s="253">
        <v>45764</v>
      </c>
      <c r="L302" s="10" t="s">
        <v>742</v>
      </c>
      <c r="M302" s="76"/>
      <c r="N302" s="76"/>
      <c r="O302" s="76"/>
      <c r="P302" s="76"/>
    </row>
    <row r="303" spans="1:16">
      <c r="A303" s="75">
        <v>289</v>
      </c>
      <c r="B303" s="216" t="s">
        <v>596</v>
      </c>
      <c r="C303" s="442" t="s">
        <v>224</v>
      </c>
      <c r="D303" s="243" t="s">
        <v>701</v>
      </c>
      <c r="E303" s="253">
        <v>45764</v>
      </c>
      <c r="F303" s="260">
        <v>61.059999999999995</v>
      </c>
      <c r="G303" s="589" t="s">
        <v>55</v>
      </c>
      <c r="H303" s="590"/>
      <c r="I303" s="590"/>
      <c r="J303" s="591"/>
      <c r="K303" s="253">
        <v>45768</v>
      </c>
      <c r="L303" s="10" t="s">
        <v>730</v>
      </c>
      <c r="M303" s="76"/>
      <c r="N303" s="76"/>
      <c r="O303" s="76"/>
      <c r="P303" s="76"/>
    </row>
    <row r="304" spans="1:16">
      <c r="A304" s="75">
        <v>290</v>
      </c>
      <c r="B304" s="216" t="s">
        <v>365</v>
      </c>
      <c r="C304" s="442" t="s">
        <v>639</v>
      </c>
      <c r="D304" s="236" t="s">
        <v>706</v>
      </c>
      <c r="E304" s="253">
        <v>45751</v>
      </c>
      <c r="F304" s="260">
        <v>331.82</v>
      </c>
      <c r="G304" s="589" t="s">
        <v>55</v>
      </c>
      <c r="H304" s="590"/>
      <c r="I304" s="590"/>
      <c r="J304" s="591"/>
      <c r="K304" s="253">
        <v>45768</v>
      </c>
      <c r="L304" s="266" t="s">
        <v>740</v>
      </c>
      <c r="M304" s="76"/>
      <c r="N304" s="76"/>
      <c r="O304" s="76"/>
      <c r="P304" s="76"/>
    </row>
    <row r="305" spans="1:16">
      <c r="A305" s="75">
        <v>291</v>
      </c>
      <c r="B305" s="216" t="s">
        <v>58</v>
      </c>
      <c r="C305" s="442" t="s">
        <v>275</v>
      </c>
      <c r="D305" s="236" t="s">
        <v>699</v>
      </c>
      <c r="E305" s="253">
        <v>45769</v>
      </c>
      <c r="F305" s="260">
        <v>71.039999999999992</v>
      </c>
      <c r="G305" s="589" t="s">
        <v>55</v>
      </c>
      <c r="H305" s="590"/>
      <c r="I305" s="590"/>
      <c r="J305" s="591"/>
      <c r="K305" s="253">
        <v>45774</v>
      </c>
      <c r="L305" s="10" t="s">
        <v>730</v>
      </c>
      <c r="M305" s="76"/>
      <c r="N305" s="76"/>
      <c r="O305" s="76"/>
      <c r="P305" s="76"/>
    </row>
    <row r="306" spans="1:16">
      <c r="A306" s="75">
        <v>292</v>
      </c>
      <c r="B306" s="216" t="s">
        <v>644</v>
      </c>
      <c r="C306" s="442" t="s">
        <v>380</v>
      </c>
      <c r="D306" s="236" t="s">
        <v>706</v>
      </c>
      <c r="E306" s="253">
        <v>45758</v>
      </c>
      <c r="F306" s="260">
        <v>326.61999999999995</v>
      </c>
      <c r="G306" s="589" t="s">
        <v>55</v>
      </c>
      <c r="H306" s="590"/>
      <c r="I306" s="590"/>
      <c r="J306" s="591"/>
      <c r="K306" s="253">
        <v>45775</v>
      </c>
      <c r="L306" s="266" t="s">
        <v>724</v>
      </c>
      <c r="M306" s="76"/>
      <c r="N306" s="76"/>
      <c r="O306" s="76"/>
      <c r="P306" s="76"/>
    </row>
    <row r="307" spans="1:16">
      <c r="A307" s="75">
        <v>293</v>
      </c>
      <c r="B307" s="216" t="s">
        <v>652</v>
      </c>
      <c r="C307" s="442" t="s">
        <v>653</v>
      </c>
      <c r="D307" s="236" t="s">
        <v>699</v>
      </c>
      <c r="E307" s="253">
        <v>45769</v>
      </c>
      <c r="F307" s="260">
        <v>94.55</v>
      </c>
      <c r="G307" s="589" t="s">
        <v>55</v>
      </c>
      <c r="H307" s="590"/>
      <c r="I307" s="590"/>
      <c r="J307" s="591"/>
      <c r="K307" s="253">
        <v>45776</v>
      </c>
      <c r="L307" s="266" t="s">
        <v>734</v>
      </c>
      <c r="M307" s="76"/>
      <c r="N307" s="76"/>
      <c r="O307" s="76"/>
      <c r="P307" s="76"/>
    </row>
    <row r="308" spans="1:16">
      <c r="A308" s="75">
        <v>294</v>
      </c>
      <c r="B308" s="216" t="s">
        <v>697</v>
      </c>
      <c r="C308" s="442" t="s">
        <v>380</v>
      </c>
      <c r="D308" s="243" t="s">
        <v>701</v>
      </c>
      <c r="E308" s="253">
        <v>45764</v>
      </c>
      <c r="F308" s="260">
        <v>249.38</v>
      </c>
      <c r="G308" s="589" t="s">
        <v>55</v>
      </c>
      <c r="H308" s="590"/>
      <c r="I308" s="590"/>
      <c r="J308" s="591"/>
      <c r="K308" s="253">
        <v>45777</v>
      </c>
      <c r="L308" s="266" t="s">
        <v>733</v>
      </c>
      <c r="M308" s="76"/>
      <c r="N308" s="76"/>
      <c r="O308" s="76"/>
      <c r="P308" s="76"/>
    </row>
    <row r="309" spans="1:16">
      <c r="A309" s="75">
        <v>295</v>
      </c>
      <c r="B309" s="216" t="s">
        <v>434</v>
      </c>
      <c r="C309" s="454" t="s">
        <v>195</v>
      </c>
      <c r="D309" s="248" t="s">
        <v>699</v>
      </c>
      <c r="E309" s="253">
        <v>45774</v>
      </c>
      <c r="F309" s="260">
        <v>37.64</v>
      </c>
      <c r="G309" s="589" t="s">
        <v>55</v>
      </c>
      <c r="H309" s="590"/>
      <c r="I309" s="590"/>
      <c r="J309" s="591"/>
      <c r="K309" s="253">
        <v>45777</v>
      </c>
      <c r="L309" s="10" t="s">
        <v>730</v>
      </c>
      <c r="M309" s="76"/>
      <c r="N309" s="76"/>
      <c r="O309" s="76"/>
      <c r="P309" s="76"/>
    </row>
    <row r="310" spans="1:16">
      <c r="A310" s="75">
        <v>296</v>
      </c>
      <c r="B310" s="216" t="s">
        <v>274</v>
      </c>
      <c r="C310" s="442" t="s">
        <v>380</v>
      </c>
      <c r="D310" s="236" t="s">
        <v>706</v>
      </c>
      <c r="E310" s="253">
        <v>45772</v>
      </c>
      <c r="F310" s="260">
        <v>326.61999999999995</v>
      </c>
      <c r="G310" s="589" t="s">
        <v>55</v>
      </c>
      <c r="H310" s="590"/>
      <c r="I310" s="590"/>
      <c r="J310" s="591"/>
      <c r="K310" s="257">
        <v>45788</v>
      </c>
      <c r="L310" s="266" t="s">
        <v>740</v>
      </c>
      <c r="M310" s="76"/>
      <c r="N310" s="76"/>
      <c r="O310" s="76"/>
      <c r="P310" s="76"/>
    </row>
    <row r="311" spans="1:16">
      <c r="A311" s="75">
        <v>297</v>
      </c>
      <c r="B311" s="216" t="s">
        <v>612</v>
      </c>
      <c r="C311" s="442" t="s">
        <v>224</v>
      </c>
      <c r="D311" s="243" t="s">
        <v>701</v>
      </c>
      <c r="E311" s="257">
        <v>45782</v>
      </c>
      <c r="F311" s="260">
        <v>61.059999999999995</v>
      </c>
      <c r="G311" s="589" t="s">
        <v>55</v>
      </c>
      <c r="H311" s="590"/>
      <c r="I311" s="590"/>
      <c r="J311" s="591"/>
      <c r="K311" s="257">
        <v>45788</v>
      </c>
      <c r="L311" s="10" t="s">
        <v>730</v>
      </c>
      <c r="M311" s="76"/>
      <c r="N311" s="76"/>
      <c r="O311" s="76"/>
      <c r="P311" s="76"/>
    </row>
    <row r="312" spans="1:16">
      <c r="A312" s="75">
        <v>298</v>
      </c>
      <c r="B312" s="216" t="s">
        <v>418</v>
      </c>
      <c r="C312" s="442" t="s">
        <v>722</v>
      </c>
      <c r="D312" s="243" t="s">
        <v>701</v>
      </c>
      <c r="E312" s="257">
        <v>45782</v>
      </c>
      <c r="F312" s="260">
        <v>118.54</v>
      </c>
      <c r="G312" s="589" t="s">
        <v>55</v>
      </c>
      <c r="H312" s="590"/>
      <c r="I312" s="590"/>
      <c r="J312" s="591"/>
      <c r="K312" s="257">
        <v>45794</v>
      </c>
      <c r="L312" s="266" t="s">
        <v>734</v>
      </c>
      <c r="M312" s="76"/>
      <c r="N312" s="76"/>
      <c r="O312" s="76"/>
      <c r="P312" s="76"/>
    </row>
    <row r="313" spans="1:16">
      <c r="A313" s="75">
        <v>299</v>
      </c>
      <c r="B313" s="222" t="s">
        <v>698</v>
      </c>
      <c r="C313" s="441" t="s">
        <v>357</v>
      </c>
      <c r="D313" s="249" t="s">
        <v>701</v>
      </c>
      <c r="E313" s="257">
        <v>45783</v>
      </c>
      <c r="F313" s="260">
        <v>110.03</v>
      </c>
      <c r="G313" s="589" t="s">
        <v>55</v>
      </c>
      <c r="H313" s="590"/>
      <c r="I313" s="590"/>
      <c r="J313" s="591"/>
      <c r="K313" s="257">
        <v>45796</v>
      </c>
      <c r="L313" s="268" t="s">
        <v>733</v>
      </c>
      <c r="M313" s="76"/>
      <c r="N313" s="76"/>
      <c r="O313" s="76"/>
      <c r="P313" s="76"/>
    </row>
    <row r="314" spans="1:16">
      <c r="A314" s="75">
        <v>300</v>
      </c>
      <c r="B314" s="216" t="s">
        <v>288</v>
      </c>
      <c r="C314" s="442" t="s">
        <v>716</v>
      </c>
      <c r="D314" s="236" t="s">
        <v>706</v>
      </c>
      <c r="E314" s="257">
        <v>45788</v>
      </c>
      <c r="F314" s="260">
        <v>261.19600000000003</v>
      </c>
      <c r="G314" s="589" t="s">
        <v>55</v>
      </c>
      <c r="H314" s="590"/>
      <c r="I314" s="590"/>
      <c r="J314" s="591"/>
      <c r="K314" s="257">
        <v>45800</v>
      </c>
      <c r="L314" s="10" t="s">
        <v>730</v>
      </c>
      <c r="M314" s="76"/>
      <c r="N314" s="76"/>
      <c r="O314" s="76"/>
      <c r="P314" s="76"/>
    </row>
    <row r="315" spans="1:16">
      <c r="A315" s="75">
        <v>301</v>
      </c>
      <c r="B315" s="216" t="s">
        <v>440</v>
      </c>
      <c r="C315" s="455" t="s">
        <v>380</v>
      </c>
      <c r="D315" s="243" t="s">
        <v>701</v>
      </c>
      <c r="E315" s="257">
        <v>45791</v>
      </c>
      <c r="F315" s="260">
        <v>249.38</v>
      </c>
      <c r="G315" s="589" t="s">
        <v>55</v>
      </c>
      <c r="H315" s="590"/>
      <c r="I315" s="590"/>
      <c r="J315" s="591"/>
      <c r="K315" s="257">
        <v>45805</v>
      </c>
      <c r="L315" s="10" t="s">
        <v>742</v>
      </c>
      <c r="M315" s="76"/>
      <c r="N315" s="76"/>
      <c r="O315" s="76"/>
      <c r="P315" s="76"/>
    </row>
    <row r="316" spans="1:16">
      <c r="A316" s="75">
        <v>302</v>
      </c>
      <c r="B316" s="216" t="s">
        <v>425</v>
      </c>
      <c r="C316" s="442" t="s">
        <v>716</v>
      </c>
      <c r="D316" s="236" t="s">
        <v>706</v>
      </c>
      <c r="E316" s="257">
        <v>45797</v>
      </c>
      <c r="F316" s="260">
        <v>261.19600000000003</v>
      </c>
      <c r="G316" s="589" t="s">
        <v>55</v>
      </c>
      <c r="H316" s="590"/>
      <c r="I316" s="590"/>
      <c r="J316" s="591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1.5" thickBot="1">
      <c r="A318" s="30" t="s">
        <v>197</v>
      </c>
      <c r="B318" s="30" t="s">
        <v>59</v>
      </c>
      <c r="C318" s="456" t="s">
        <v>57</v>
      </c>
      <c r="D318" s="30" t="s">
        <v>162</v>
      </c>
      <c r="E318" s="30" t="s">
        <v>189</v>
      </c>
      <c r="F318" s="30" t="s">
        <v>163</v>
      </c>
      <c r="G318" s="558" t="s">
        <v>71</v>
      </c>
      <c r="H318" s="559"/>
      <c r="I318" s="559"/>
      <c r="J318" s="560"/>
      <c r="K318" s="30" t="s">
        <v>191</v>
      </c>
      <c r="L318" s="30" t="s">
        <v>192</v>
      </c>
      <c r="M318" s="30" t="s">
        <v>193</v>
      </c>
      <c r="N318" s="558" t="s">
        <v>194</v>
      </c>
      <c r="O318" s="559"/>
      <c r="P318" s="560"/>
    </row>
    <row r="319" spans="1:16" ht="18.5">
      <c r="A319" s="10">
        <v>1</v>
      </c>
      <c r="B319" s="190" t="s">
        <v>441</v>
      </c>
      <c r="C319" s="447" t="s">
        <v>195</v>
      </c>
      <c r="D319" s="10"/>
      <c r="E319" s="202">
        <v>45536</v>
      </c>
      <c r="F319" s="23">
        <v>43.775756000000008</v>
      </c>
      <c r="G319" s="556" t="s">
        <v>196</v>
      </c>
      <c r="H319" s="556"/>
      <c r="I319" s="556"/>
      <c r="J319" s="556"/>
      <c r="K319" s="202">
        <v>45551</v>
      </c>
      <c r="L319" s="203" t="s">
        <v>664</v>
      </c>
      <c r="M319" s="10"/>
      <c r="N319" s="557"/>
      <c r="O319" s="557"/>
      <c r="P319" s="557"/>
    </row>
    <row r="320" spans="1:16" ht="18.5">
      <c r="A320" s="10">
        <v>2</v>
      </c>
      <c r="B320" s="190" t="s">
        <v>442</v>
      </c>
      <c r="C320" s="447" t="s">
        <v>195</v>
      </c>
      <c r="D320" s="10"/>
      <c r="E320" s="202">
        <v>45551</v>
      </c>
      <c r="F320" s="23">
        <v>43.775756000000008</v>
      </c>
      <c r="G320" s="556" t="s">
        <v>196</v>
      </c>
      <c r="H320" s="556"/>
      <c r="I320" s="556"/>
      <c r="J320" s="556"/>
      <c r="K320" s="202">
        <v>45564</v>
      </c>
      <c r="L320" s="203" t="s">
        <v>664</v>
      </c>
      <c r="M320" s="10"/>
      <c r="N320" s="557"/>
      <c r="O320" s="557"/>
      <c r="P320" s="557"/>
    </row>
    <row r="321" spans="1:16">
      <c r="A321" s="10">
        <v>3</v>
      </c>
      <c r="B321" s="27" t="s">
        <v>443</v>
      </c>
      <c r="C321" s="447" t="s">
        <v>195</v>
      </c>
      <c r="D321" s="10"/>
      <c r="E321" s="202">
        <v>45551</v>
      </c>
      <c r="F321" s="23">
        <v>43.775756000000008</v>
      </c>
      <c r="G321" s="556" t="s">
        <v>196</v>
      </c>
      <c r="H321" s="556"/>
      <c r="I321" s="556"/>
      <c r="J321" s="556"/>
      <c r="K321" s="202">
        <v>45566</v>
      </c>
      <c r="L321" s="203" t="s">
        <v>665</v>
      </c>
      <c r="M321" s="10"/>
      <c r="N321" s="557"/>
      <c r="O321" s="557"/>
      <c r="P321" s="557"/>
    </row>
    <row r="322" spans="1:16">
      <c r="A322" s="10">
        <v>4</v>
      </c>
      <c r="B322" s="27" t="s">
        <v>444</v>
      </c>
      <c r="C322" s="447" t="s">
        <v>195</v>
      </c>
      <c r="D322" s="10"/>
      <c r="E322" s="202">
        <v>45566</v>
      </c>
      <c r="F322" s="23">
        <v>43.775756000000008</v>
      </c>
      <c r="G322" s="556" t="s">
        <v>196</v>
      </c>
      <c r="H322" s="556"/>
      <c r="I322" s="556"/>
      <c r="J322" s="556"/>
      <c r="K322" s="202">
        <v>45572</v>
      </c>
      <c r="L322" s="203" t="s">
        <v>664</v>
      </c>
      <c r="M322" s="10"/>
      <c r="N322" s="557"/>
      <c r="O322" s="557"/>
      <c r="P322" s="557"/>
    </row>
    <row r="323" spans="1:16">
      <c r="A323" s="10">
        <v>5</v>
      </c>
      <c r="B323" s="27" t="s">
        <v>445</v>
      </c>
      <c r="C323" s="447" t="s">
        <v>195</v>
      </c>
      <c r="D323" s="10"/>
      <c r="E323" s="202">
        <v>45568</v>
      </c>
      <c r="F323" s="23">
        <v>43.775756000000008</v>
      </c>
      <c r="G323" s="556" t="s">
        <v>196</v>
      </c>
      <c r="H323" s="556"/>
      <c r="I323" s="556"/>
      <c r="J323" s="556"/>
      <c r="K323" s="202">
        <v>45580</v>
      </c>
      <c r="L323" s="203" t="s">
        <v>665</v>
      </c>
      <c r="M323" s="10"/>
      <c r="N323" s="557"/>
      <c r="O323" s="557"/>
      <c r="P323" s="557"/>
    </row>
    <row r="324" spans="1:16">
      <c r="A324" s="10">
        <v>6</v>
      </c>
      <c r="B324" s="27" t="s">
        <v>446</v>
      </c>
      <c r="C324" s="447" t="s">
        <v>195</v>
      </c>
      <c r="D324" s="10"/>
      <c r="E324" s="202">
        <v>45573</v>
      </c>
      <c r="F324" s="23">
        <v>43.775756000000008</v>
      </c>
      <c r="G324" s="556" t="s">
        <v>196</v>
      </c>
      <c r="H324" s="556"/>
      <c r="I324" s="556"/>
      <c r="J324" s="556"/>
      <c r="K324" s="202">
        <v>45578</v>
      </c>
      <c r="L324" s="203" t="s">
        <v>664</v>
      </c>
      <c r="M324" s="10"/>
      <c r="N324" s="557"/>
      <c r="O324" s="557"/>
      <c r="P324" s="557"/>
    </row>
    <row r="325" spans="1:16">
      <c r="A325" s="10">
        <v>7</v>
      </c>
      <c r="B325" s="27" t="s">
        <v>447</v>
      </c>
      <c r="C325" s="447" t="s">
        <v>224</v>
      </c>
      <c r="D325" s="10"/>
      <c r="E325" s="202">
        <v>45579</v>
      </c>
      <c r="F325" s="23">
        <v>46.049156000000004</v>
      </c>
      <c r="G325" s="556" t="s">
        <v>196</v>
      </c>
      <c r="H325" s="556"/>
      <c r="I325" s="556"/>
      <c r="J325" s="556"/>
      <c r="K325" s="202">
        <v>45584</v>
      </c>
      <c r="L325" s="203" t="s">
        <v>664</v>
      </c>
      <c r="M325" s="10"/>
      <c r="N325" s="557"/>
      <c r="O325" s="557"/>
      <c r="P325" s="557"/>
    </row>
    <row r="326" spans="1:16">
      <c r="A326" s="10">
        <v>8</v>
      </c>
      <c r="B326" s="27" t="s">
        <v>448</v>
      </c>
      <c r="C326" s="447" t="s">
        <v>224</v>
      </c>
      <c r="D326" s="10"/>
      <c r="E326" s="202">
        <v>45580</v>
      </c>
      <c r="F326" s="23">
        <v>46.049156000000004</v>
      </c>
      <c r="G326" s="556" t="s">
        <v>196</v>
      </c>
      <c r="H326" s="556"/>
      <c r="I326" s="556"/>
      <c r="J326" s="556"/>
      <c r="K326" s="202">
        <v>45589</v>
      </c>
      <c r="L326" s="203" t="s">
        <v>665</v>
      </c>
      <c r="M326" s="10"/>
      <c r="N326" s="557"/>
      <c r="O326" s="557"/>
      <c r="P326" s="557"/>
    </row>
    <row r="327" spans="1:16">
      <c r="A327" s="10">
        <v>9</v>
      </c>
      <c r="B327" s="27" t="s">
        <v>449</v>
      </c>
      <c r="C327" s="447" t="s">
        <v>224</v>
      </c>
      <c r="D327" s="10"/>
      <c r="E327" s="202">
        <v>45585</v>
      </c>
      <c r="F327" s="23">
        <v>46.049156000000004</v>
      </c>
      <c r="G327" s="556" t="s">
        <v>196</v>
      </c>
      <c r="H327" s="556"/>
      <c r="I327" s="556"/>
      <c r="J327" s="556"/>
      <c r="K327" s="202">
        <v>45589</v>
      </c>
      <c r="L327" s="203" t="s">
        <v>664</v>
      </c>
      <c r="M327" s="10"/>
      <c r="N327" s="557"/>
      <c r="O327" s="557"/>
      <c r="P327" s="557"/>
    </row>
    <row r="328" spans="1:16">
      <c r="A328" s="10">
        <v>10</v>
      </c>
      <c r="B328" s="27" t="s">
        <v>450</v>
      </c>
      <c r="C328" s="447" t="s">
        <v>225</v>
      </c>
      <c r="D328" s="10"/>
      <c r="E328" s="202">
        <v>45589</v>
      </c>
      <c r="F328" s="23">
        <v>42.374236000000003</v>
      </c>
      <c r="G328" s="556" t="s">
        <v>196</v>
      </c>
      <c r="H328" s="556"/>
      <c r="I328" s="556"/>
      <c r="J328" s="556"/>
      <c r="K328" s="202">
        <v>45594</v>
      </c>
      <c r="L328" s="203" t="s">
        <v>664</v>
      </c>
      <c r="M328" s="10"/>
      <c r="N328" s="557"/>
      <c r="O328" s="557"/>
      <c r="P328" s="557"/>
    </row>
    <row r="329" spans="1:16">
      <c r="A329" s="10">
        <v>11</v>
      </c>
      <c r="B329" s="27" t="s">
        <v>451</v>
      </c>
      <c r="C329" s="447" t="s">
        <v>224</v>
      </c>
      <c r="D329" s="10"/>
      <c r="E329" s="202">
        <v>45589</v>
      </c>
      <c r="F329" s="23">
        <v>46.049156000000004</v>
      </c>
      <c r="G329" s="556" t="s">
        <v>196</v>
      </c>
      <c r="H329" s="556"/>
      <c r="I329" s="556"/>
      <c r="J329" s="556"/>
      <c r="K329" s="202">
        <v>45596</v>
      </c>
      <c r="L329" s="203" t="s">
        <v>665</v>
      </c>
      <c r="M329" s="10"/>
      <c r="N329" s="557"/>
      <c r="O329" s="557"/>
      <c r="P329" s="557"/>
    </row>
    <row r="330" spans="1:16">
      <c r="A330" s="10">
        <v>12</v>
      </c>
      <c r="B330" s="27" t="s">
        <v>452</v>
      </c>
      <c r="C330" s="447" t="s">
        <v>225</v>
      </c>
      <c r="D330" s="10"/>
      <c r="E330" s="202">
        <v>45597</v>
      </c>
      <c r="F330" s="23">
        <v>42.374236000000003</v>
      </c>
      <c r="G330" s="556" t="s">
        <v>196</v>
      </c>
      <c r="H330" s="556"/>
      <c r="I330" s="556"/>
      <c r="J330" s="556"/>
      <c r="K330" s="202">
        <v>45600</v>
      </c>
      <c r="L330" s="203" t="s">
        <v>664</v>
      </c>
      <c r="M330" s="10"/>
      <c r="N330" s="557"/>
      <c r="O330" s="557"/>
      <c r="P330" s="557"/>
    </row>
    <row r="331" spans="1:16">
      <c r="A331" s="10">
        <v>13</v>
      </c>
      <c r="B331" s="27" t="s">
        <v>453</v>
      </c>
      <c r="C331" s="447" t="s">
        <v>224</v>
      </c>
      <c r="D331" s="10"/>
      <c r="E331" s="202">
        <v>45601</v>
      </c>
      <c r="F331" s="23">
        <v>46.049156000000004</v>
      </c>
      <c r="G331" s="556" t="s">
        <v>196</v>
      </c>
      <c r="H331" s="556"/>
      <c r="I331" s="556"/>
      <c r="J331" s="556"/>
      <c r="K331" s="202">
        <v>45606</v>
      </c>
      <c r="L331" s="203" t="s">
        <v>664</v>
      </c>
      <c r="M331" s="10"/>
      <c r="N331" s="557"/>
      <c r="O331" s="557"/>
      <c r="P331" s="557"/>
    </row>
    <row r="332" spans="1:16">
      <c r="A332" s="10">
        <v>14</v>
      </c>
      <c r="B332" s="27" t="s">
        <v>454</v>
      </c>
      <c r="C332" s="447" t="s">
        <v>224</v>
      </c>
      <c r="D332" s="10"/>
      <c r="E332" s="202">
        <v>45597</v>
      </c>
      <c r="F332" s="23">
        <v>46.049156000000004</v>
      </c>
      <c r="G332" s="556" t="s">
        <v>196</v>
      </c>
      <c r="H332" s="556"/>
      <c r="I332" s="556"/>
      <c r="J332" s="556"/>
      <c r="K332" s="202" t="s">
        <v>663</v>
      </c>
      <c r="L332" s="203" t="s">
        <v>665</v>
      </c>
      <c r="M332" s="10"/>
      <c r="N332" s="557"/>
      <c r="O332" s="557"/>
      <c r="P332" s="557"/>
    </row>
    <row r="333" spans="1:16">
      <c r="A333" s="10">
        <v>15</v>
      </c>
      <c r="B333" s="27" t="s">
        <v>455</v>
      </c>
      <c r="C333" s="447" t="s">
        <v>224</v>
      </c>
      <c r="D333" s="10"/>
      <c r="E333" s="202">
        <v>45606</v>
      </c>
      <c r="F333" s="23">
        <v>46.049156000000004</v>
      </c>
      <c r="G333" s="556" t="s">
        <v>196</v>
      </c>
      <c r="H333" s="556"/>
      <c r="I333" s="556"/>
      <c r="J333" s="556"/>
      <c r="K333" s="202">
        <v>45613</v>
      </c>
      <c r="L333" s="203" t="s">
        <v>664</v>
      </c>
      <c r="M333" s="10"/>
      <c r="N333" s="557"/>
      <c r="O333" s="557"/>
      <c r="P333" s="557"/>
    </row>
    <row r="334" spans="1:16">
      <c r="A334" s="10">
        <v>16</v>
      </c>
      <c r="B334" s="27" t="s">
        <v>456</v>
      </c>
      <c r="C334" s="447" t="s">
        <v>224</v>
      </c>
      <c r="D334" s="10"/>
      <c r="E334" s="202">
        <v>45613</v>
      </c>
      <c r="F334" s="23">
        <v>46.049156000000004</v>
      </c>
      <c r="G334" s="556" t="s">
        <v>196</v>
      </c>
      <c r="H334" s="556"/>
      <c r="I334" s="556"/>
      <c r="J334" s="556"/>
      <c r="K334" s="202">
        <v>45618</v>
      </c>
      <c r="L334" s="203" t="s">
        <v>664</v>
      </c>
      <c r="M334" s="10"/>
      <c r="N334" s="557"/>
      <c r="O334" s="557"/>
      <c r="P334" s="557"/>
    </row>
    <row r="335" spans="1:16">
      <c r="A335" s="10">
        <v>17</v>
      </c>
      <c r="B335" s="27" t="s">
        <v>457</v>
      </c>
      <c r="C335" s="447" t="s">
        <v>224</v>
      </c>
      <c r="D335" s="10"/>
      <c r="E335" s="202">
        <v>45606</v>
      </c>
      <c r="F335" s="23">
        <v>46.049156000000004</v>
      </c>
      <c r="G335" s="556" t="s">
        <v>196</v>
      </c>
      <c r="H335" s="556"/>
      <c r="I335" s="556"/>
      <c r="J335" s="556"/>
      <c r="K335" s="202">
        <v>45620</v>
      </c>
      <c r="L335" s="203" t="s">
        <v>666</v>
      </c>
      <c r="M335" s="10"/>
      <c r="N335" s="557"/>
      <c r="O335" s="557"/>
      <c r="P335" s="557"/>
    </row>
    <row r="336" spans="1:16">
      <c r="A336" s="10">
        <v>18</v>
      </c>
      <c r="B336" s="27" t="s">
        <v>458</v>
      </c>
      <c r="C336" s="447" t="s">
        <v>224</v>
      </c>
      <c r="D336" s="10"/>
      <c r="E336" s="202">
        <v>45606</v>
      </c>
      <c r="F336" s="23">
        <v>46.049156000000004</v>
      </c>
      <c r="G336" s="556" t="s">
        <v>196</v>
      </c>
      <c r="H336" s="556"/>
      <c r="I336" s="556"/>
      <c r="J336" s="556"/>
      <c r="K336" s="202">
        <v>45622</v>
      </c>
      <c r="L336" s="203" t="s">
        <v>420</v>
      </c>
      <c r="M336" s="10"/>
      <c r="N336" s="557"/>
      <c r="O336" s="557"/>
      <c r="P336" s="557"/>
    </row>
    <row r="337" spans="1:16">
      <c r="A337" s="10">
        <v>19</v>
      </c>
      <c r="B337" s="27" t="s">
        <v>459</v>
      </c>
      <c r="C337" s="447" t="s">
        <v>224</v>
      </c>
      <c r="D337" s="10"/>
      <c r="E337" s="202">
        <v>45610</v>
      </c>
      <c r="F337" s="23">
        <v>46.049156000000004</v>
      </c>
      <c r="G337" s="556" t="s">
        <v>196</v>
      </c>
      <c r="H337" s="556"/>
      <c r="I337" s="556"/>
      <c r="J337" s="556"/>
      <c r="K337" s="202">
        <v>45621</v>
      </c>
      <c r="L337" s="203" t="s">
        <v>667</v>
      </c>
      <c r="M337" s="10"/>
      <c r="N337" s="557"/>
      <c r="O337" s="557"/>
      <c r="P337" s="557"/>
    </row>
    <row r="338" spans="1:16">
      <c r="A338" s="10">
        <v>20</v>
      </c>
      <c r="B338" s="27" t="s">
        <v>460</v>
      </c>
      <c r="C338" s="447" t="s">
        <v>224</v>
      </c>
      <c r="D338" s="10"/>
      <c r="E338" s="202">
        <v>45606</v>
      </c>
      <c r="F338" s="23">
        <v>46.049156000000004</v>
      </c>
      <c r="G338" s="556" t="s">
        <v>196</v>
      </c>
      <c r="H338" s="556"/>
      <c r="I338" s="556"/>
      <c r="J338" s="556"/>
      <c r="K338" s="202">
        <v>45621</v>
      </c>
      <c r="L338" s="203" t="s">
        <v>665</v>
      </c>
      <c r="M338" s="10"/>
      <c r="N338" s="557"/>
      <c r="O338" s="557"/>
      <c r="P338" s="557"/>
    </row>
    <row r="339" spans="1:16">
      <c r="A339" s="10">
        <v>21</v>
      </c>
      <c r="B339" s="27" t="s">
        <v>461</v>
      </c>
      <c r="C339" s="447" t="s">
        <v>224</v>
      </c>
      <c r="D339" s="10"/>
      <c r="E339" s="202">
        <v>45618</v>
      </c>
      <c r="F339" s="23">
        <v>46.049156000000004</v>
      </c>
      <c r="G339" s="556" t="s">
        <v>196</v>
      </c>
      <c r="H339" s="556"/>
      <c r="I339" s="556"/>
      <c r="J339" s="556"/>
      <c r="K339" s="202">
        <v>45624</v>
      </c>
      <c r="L339" s="203" t="s">
        <v>664</v>
      </c>
      <c r="M339" s="10"/>
      <c r="N339" s="561"/>
      <c r="O339" s="561"/>
      <c r="P339" s="561"/>
    </row>
    <row r="340" spans="1:16">
      <c r="A340" s="10">
        <v>22</v>
      </c>
      <c r="B340" s="27" t="s">
        <v>102</v>
      </c>
      <c r="C340" s="447" t="s">
        <v>195</v>
      </c>
      <c r="D340" s="10"/>
      <c r="E340" s="202">
        <v>45606</v>
      </c>
      <c r="F340" s="23">
        <v>43.775756000000008</v>
      </c>
      <c r="G340" s="556" t="s">
        <v>196</v>
      </c>
      <c r="H340" s="556"/>
      <c r="I340" s="556"/>
      <c r="J340" s="556"/>
      <c r="K340" s="202">
        <v>45625</v>
      </c>
      <c r="L340" s="203" t="s">
        <v>668</v>
      </c>
      <c r="M340" s="10"/>
      <c r="N340" s="562"/>
      <c r="O340" s="562"/>
      <c r="P340" s="562"/>
    </row>
    <row r="341" spans="1:16">
      <c r="A341" s="10">
        <v>23</v>
      </c>
      <c r="B341" s="27" t="s">
        <v>462</v>
      </c>
      <c r="C341" s="447" t="s">
        <v>224</v>
      </c>
      <c r="D341" s="10"/>
      <c r="E341" s="202">
        <v>45622</v>
      </c>
      <c r="F341" s="23">
        <v>46.049156000000004</v>
      </c>
      <c r="G341" s="556" t="s">
        <v>196</v>
      </c>
      <c r="H341" s="556"/>
      <c r="I341" s="556"/>
      <c r="J341" s="556"/>
      <c r="K341" s="202">
        <v>45629</v>
      </c>
      <c r="L341" s="203" t="s">
        <v>666</v>
      </c>
      <c r="M341" s="10"/>
      <c r="N341" s="557"/>
      <c r="O341" s="557"/>
      <c r="P341" s="557"/>
    </row>
    <row r="342" spans="1:16">
      <c r="A342" s="10">
        <v>24</v>
      </c>
      <c r="B342" s="27" t="s">
        <v>463</v>
      </c>
      <c r="C342" s="447" t="s">
        <v>195</v>
      </c>
      <c r="D342" s="10"/>
      <c r="E342" s="202">
        <v>45624</v>
      </c>
      <c r="F342" s="23">
        <v>43.775756000000008</v>
      </c>
      <c r="G342" s="556" t="s">
        <v>196</v>
      </c>
      <c r="H342" s="556"/>
      <c r="I342" s="556"/>
      <c r="J342" s="556"/>
      <c r="K342" s="202">
        <v>45631</v>
      </c>
      <c r="L342" s="203" t="s">
        <v>420</v>
      </c>
      <c r="M342" s="10"/>
      <c r="N342" s="557"/>
      <c r="O342" s="557"/>
      <c r="P342" s="557"/>
    </row>
    <row r="343" spans="1:16">
      <c r="A343" s="10">
        <v>25</v>
      </c>
      <c r="B343" s="27" t="s">
        <v>464</v>
      </c>
      <c r="C343" s="447" t="s">
        <v>195</v>
      </c>
      <c r="D343" s="10"/>
      <c r="E343" s="202">
        <v>45625</v>
      </c>
      <c r="F343" s="23">
        <v>43.775756000000008</v>
      </c>
      <c r="G343" s="556" t="s">
        <v>196</v>
      </c>
      <c r="H343" s="556"/>
      <c r="I343" s="556"/>
      <c r="J343" s="556"/>
      <c r="K343" s="202">
        <v>45631</v>
      </c>
      <c r="L343" s="203" t="s">
        <v>664</v>
      </c>
      <c r="M343" s="10"/>
      <c r="N343" s="561"/>
      <c r="O343" s="561"/>
      <c r="P343" s="561"/>
    </row>
    <row r="344" spans="1:16">
      <c r="A344" s="10">
        <v>26</v>
      </c>
      <c r="B344" s="27" t="s">
        <v>465</v>
      </c>
      <c r="C344" s="447" t="s">
        <v>224</v>
      </c>
      <c r="D344" s="10"/>
      <c r="E344" s="202">
        <v>45624</v>
      </c>
      <c r="F344" s="23">
        <v>46.049156000000004</v>
      </c>
      <c r="G344" s="556" t="s">
        <v>196</v>
      </c>
      <c r="H344" s="556"/>
      <c r="I344" s="556"/>
      <c r="J344" s="556"/>
      <c r="K344" s="202">
        <v>45631</v>
      </c>
      <c r="L344" s="203" t="s">
        <v>667</v>
      </c>
      <c r="M344" s="10"/>
      <c r="N344" s="561"/>
      <c r="O344" s="561"/>
      <c r="P344" s="561"/>
    </row>
    <row r="345" spans="1:16">
      <c r="A345" s="10">
        <v>27</v>
      </c>
      <c r="B345" s="27" t="s">
        <v>466</v>
      </c>
      <c r="C345" s="447" t="s">
        <v>195</v>
      </c>
      <c r="D345" s="10"/>
      <c r="E345" s="202">
        <v>45625</v>
      </c>
      <c r="F345" s="23">
        <v>43.775756000000008</v>
      </c>
      <c r="G345" s="556" t="s">
        <v>196</v>
      </c>
      <c r="H345" s="556"/>
      <c r="I345" s="556"/>
      <c r="J345" s="556"/>
      <c r="K345" s="202">
        <v>45632</v>
      </c>
      <c r="L345" s="203" t="s">
        <v>665</v>
      </c>
      <c r="M345" s="10"/>
      <c r="N345" s="561"/>
      <c r="O345" s="561"/>
      <c r="P345" s="561"/>
    </row>
    <row r="346" spans="1:16">
      <c r="A346" s="10">
        <v>28</v>
      </c>
      <c r="B346" s="27" t="s">
        <v>467</v>
      </c>
      <c r="C346" s="447" t="s">
        <v>195</v>
      </c>
      <c r="D346" s="10"/>
      <c r="E346" s="202">
        <v>45627</v>
      </c>
      <c r="F346" s="23">
        <v>43.775756000000008</v>
      </c>
      <c r="G346" s="556" t="s">
        <v>196</v>
      </c>
      <c r="H346" s="556"/>
      <c r="I346" s="556"/>
      <c r="J346" s="556"/>
      <c r="K346" s="202">
        <v>45635</v>
      </c>
      <c r="L346" s="203" t="s">
        <v>666</v>
      </c>
      <c r="M346" s="10"/>
      <c r="N346" s="561"/>
      <c r="O346" s="561"/>
      <c r="P346" s="561"/>
    </row>
    <row r="347" spans="1:16">
      <c r="A347" s="10">
        <v>29</v>
      </c>
      <c r="B347" s="27" t="s">
        <v>103</v>
      </c>
      <c r="C347" s="447" t="s">
        <v>224</v>
      </c>
      <c r="D347" s="10"/>
      <c r="E347" s="202">
        <v>45626</v>
      </c>
      <c r="F347" s="23">
        <v>46.049156000000004</v>
      </c>
      <c r="G347" s="556" t="s">
        <v>196</v>
      </c>
      <c r="H347" s="556"/>
      <c r="I347" s="556"/>
      <c r="J347" s="556"/>
      <c r="K347" s="202">
        <v>45636</v>
      </c>
      <c r="L347" s="203" t="s">
        <v>668</v>
      </c>
      <c r="M347" s="10"/>
      <c r="N347" s="561"/>
      <c r="O347" s="561"/>
      <c r="P347" s="561"/>
    </row>
    <row r="348" spans="1:16">
      <c r="A348" s="10">
        <v>30</v>
      </c>
      <c r="B348" s="27" t="s">
        <v>468</v>
      </c>
      <c r="C348" s="447" t="s">
        <v>195</v>
      </c>
      <c r="D348" s="10"/>
      <c r="E348" s="202">
        <v>45632</v>
      </c>
      <c r="F348" s="23">
        <v>43.775756000000008</v>
      </c>
      <c r="G348" s="556" t="s">
        <v>196</v>
      </c>
      <c r="H348" s="556"/>
      <c r="I348" s="556"/>
      <c r="J348" s="556"/>
      <c r="K348" s="202">
        <v>45638</v>
      </c>
      <c r="L348" s="203" t="s">
        <v>664</v>
      </c>
      <c r="M348" s="10"/>
      <c r="N348" s="561"/>
      <c r="O348" s="561"/>
      <c r="P348" s="561"/>
    </row>
    <row r="349" spans="1:16">
      <c r="A349" s="10">
        <v>31</v>
      </c>
      <c r="B349" s="27" t="s">
        <v>469</v>
      </c>
      <c r="C349" s="447" t="s">
        <v>195</v>
      </c>
      <c r="D349" s="10"/>
      <c r="E349" s="202">
        <v>45632</v>
      </c>
      <c r="F349" s="23">
        <v>43.775756000000008</v>
      </c>
      <c r="G349" s="556" t="s">
        <v>196</v>
      </c>
      <c r="H349" s="556"/>
      <c r="I349" s="556"/>
      <c r="J349" s="556"/>
      <c r="K349" s="202">
        <v>45638</v>
      </c>
      <c r="L349" s="203" t="s">
        <v>667</v>
      </c>
      <c r="M349" s="10"/>
      <c r="N349" s="561"/>
      <c r="O349" s="561"/>
      <c r="P349" s="561"/>
    </row>
    <row r="350" spans="1:16">
      <c r="A350" s="10">
        <v>32</v>
      </c>
      <c r="B350" s="27" t="s">
        <v>470</v>
      </c>
      <c r="C350" s="447" t="s">
        <v>195</v>
      </c>
      <c r="D350" s="10"/>
      <c r="E350" s="202">
        <v>45632</v>
      </c>
      <c r="F350" s="23">
        <v>43.775756000000008</v>
      </c>
      <c r="G350" s="556" t="s">
        <v>196</v>
      </c>
      <c r="H350" s="556"/>
      <c r="I350" s="556"/>
      <c r="J350" s="556"/>
      <c r="K350" s="202">
        <v>45639</v>
      </c>
      <c r="L350" s="203" t="s">
        <v>420</v>
      </c>
      <c r="M350" s="10"/>
      <c r="N350" s="561"/>
      <c r="O350" s="561"/>
      <c r="P350" s="561"/>
    </row>
    <row r="351" spans="1:16">
      <c r="A351" s="10">
        <v>33</v>
      </c>
      <c r="B351" s="27" t="s">
        <v>471</v>
      </c>
      <c r="C351" s="447" t="s">
        <v>224</v>
      </c>
      <c r="D351" s="10"/>
      <c r="E351" s="202">
        <v>45636</v>
      </c>
      <c r="F351" s="23">
        <v>46.049156000000004</v>
      </c>
      <c r="G351" s="556" t="s">
        <v>196</v>
      </c>
      <c r="H351" s="556"/>
      <c r="I351" s="556"/>
      <c r="J351" s="556"/>
      <c r="K351" s="202">
        <v>45642</v>
      </c>
      <c r="L351" s="203" t="s">
        <v>666</v>
      </c>
      <c r="M351" s="10"/>
      <c r="N351" s="561"/>
      <c r="O351" s="561"/>
      <c r="P351" s="561"/>
    </row>
    <row r="352" spans="1:16">
      <c r="A352" s="10">
        <v>34</v>
      </c>
      <c r="B352" s="27" t="s">
        <v>472</v>
      </c>
      <c r="C352" s="447" t="s">
        <v>225</v>
      </c>
      <c r="D352" s="10"/>
      <c r="E352" s="202">
        <v>45638</v>
      </c>
      <c r="F352" s="23">
        <v>42.374236000000003</v>
      </c>
      <c r="G352" s="556" t="s">
        <v>196</v>
      </c>
      <c r="H352" s="556"/>
      <c r="I352" s="556"/>
      <c r="J352" s="556"/>
      <c r="K352" s="202">
        <v>45642</v>
      </c>
      <c r="L352" s="203" t="s">
        <v>667</v>
      </c>
      <c r="M352" s="10"/>
      <c r="N352" s="561"/>
      <c r="O352" s="561"/>
      <c r="P352" s="561"/>
    </row>
    <row r="353" spans="1:16">
      <c r="A353" s="10">
        <v>35</v>
      </c>
      <c r="B353" s="27" t="s">
        <v>473</v>
      </c>
      <c r="C353" s="447" t="s">
        <v>195</v>
      </c>
      <c r="D353" s="10"/>
      <c r="E353" s="202">
        <v>45638</v>
      </c>
      <c r="F353" s="23">
        <v>43.775756000000008</v>
      </c>
      <c r="G353" s="556" t="s">
        <v>196</v>
      </c>
      <c r="H353" s="556"/>
      <c r="I353" s="556"/>
      <c r="J353" s="556"/>
      <c r="K353" s="202">
        <v>45643</v>
      </c>
      <c r="L353" s="203" t="s">
        <v>664</v>
      </c>
      <c r="M353" s="10"/>
      <c r="N353" s="561"/>
      <c r="O353" s="561"/>
      <c r="P353" s="561"/>
    </row>
    <row r="354" spans="1:16">
      <c r="A354" s="10">
        <v>36</v>
      </c>
      <c r="B354" s="27" t="s">
        <v>331</v>
      </c>
      <c r="C354" s="447" t="s">
        <v>224</v>
      </c>
      <c r="D354" s="10"/>
      <c r="E354" s="202">
        <v>45632</v>
      </c>
      <c r="F354" s="23">
        <v>46.049156000000004</v>
      </c>
      <c r="G354" s="556" t="s">
        <v>196</v>
      </c>
      <c r="H354" s="556"/>
      <c r="I354" s="556"/>
      <c r="J354" s="556"/>
      <c r="K354" s="202">
        <v>45645</v>
      </c>
      <c r="L354" s="203" t="s">
        <v>665</v>
      </c>
      <c r="M354" s="10"/>
      <c r="N354" s="561"/>
      <c r="O354" s="561"/>
      <c r="P354" s="561"/>
    </row>
    <row r="355" spans="1:16">
      <c r="A355" s="10">
        <v>37</v>
      </c>
      <c r="B355" s="27" t="s">
        <v>111</v>
      </c>
      <c r="C355" s="447" t="s">
        <v>225</v>
      </c>
      <c r="D355" s="10"/>
      <c r="E355" s="202">
        <v>45636</v>
      </c>
      <c r="F355" s="23">
        <v>42.374236000000003</v>
      </c>
      <c r="G355" s="556" t="s">
        <v>196</v>
      </c>
      <c r="H355" s="556"/>
      <c r="I355" s="556"/>
      <c r="J355" s="556"/>
      <c r="K355" s="202">
        <v>45646</v>
      </c>
      <c r="L355" s="203" t="s">
        <v>668</v>
      </c>
      <c r="M355" s="10"/>
      <c r="N355" s="561"/>
      <c r="O355" s="561"/>
      <c r="P355" s="561"/>
    </row>
    <row r="356" spans="1:16">
      <c r="A356" s="10">
        <v>38</v>
      </c>
      <c r="B356" s="27" t="s">
        <v>474</v>
      </c>
      <c r="C356" s="447" t="s">
        <v>195</v>
      </c>
      <c r="D356" s="10"/>
      <c r="E356" s="202">
        <v>45639</v>
      </c>
      <c r="F356" s="23">
        <v>43.775756000000008</v>
      </c>
      <c r="G356" s="556" t="s">
        <v>196</v>
      </c>
      <c r="H356" s="556"/>
      <c r="I356" s="556"/>
      <c r="J356" s="556"/>
      <c r="K356" s="202">
        <v>45647</v>
      </c>
      <c r="L356" s="203" t="s">
        <v>420</v>
      </c>
      <c r="M356" s="10"/>
      <c r="N356" s="561"/>
      <c r="O356" s="561"/>
      <c r="P356" s="561"/>
    </row>
    <row r="357" spans="1:16">
      <c r="A357" s="10">
        <v>39</v>
      </c>
      <c r="B357" s="27" t="s">
        <v>475</v>
      </c>
      <c r="C357" s="447" t="s">
        <v>195</v>
      </c>
      <c r="D357" s="10"/>
      <c r="E357" s="202">
        <v>45643</v>
      </c>
      <c r="F357" s="23">
        <v>43.775756000000008</v>
      </c>
      <c r="G357" s="556" t="s">
        <v>196</v>
      </c>
      <c r="H357" s="556"/>
      <c r="I357" s="556"/>
      <c r="J357" s="556"/>
      <c r="K357" s="202">
        <v>45648</v>
      </c>
      <c r="L357" s="203" t="s">
        <v>667</v>
      </c>
      <c r="M357" s="10"/>
      <c r="N357" s="561"/>
      <c r="O357" s="561"/>
      <c r="P357" s="561"/>
    </row>
    <row r="358" spans="1:16" ht="18.5">
      <c r="A358" s="10">
        <v>40</v>
      </c>
      <c r="B358" s="27" t="s">
        <v>476</v>
      </c>
      <c r="C358" s="447" t="s">
        <v>195</v>
      </c>
      <c r="D358" s="10"/>
      <c r="E358" s="202">
        <v>45644</v>
      </c>
      <c r="F358" s="23">
        <v>43.775756000000008</v>
      </c>
      <c r="G358" s="556" t="s">
        <v>196</v>
      </c>
      <c r="H358" s="556"/>
      <c r="I358" s="556"/>
      <c r="J358" s="556"/>
      <c r="K358" s="202">
        <v>45649</v>
      </c>
      <c r="L358" s="204" t="s">
        <v>664</v>
      </c>
      <c r="M358" s="10"/>
      <c r="N358" s="563"/>
      <c r="O358" s="563"/>
      <c r="P358" s="563"/>
    </row>
    <row r="359" spans="1:16" ht="28.5">
      <c r="A359" s="10">
        <v>41</v>
      </c>
      <c r="B359" s="27" t="s">
        <v>477</v>
      </c>
      <c r="C359" s="447" t="s">
        <v>224</v>
      </c>
      <c r="D359" s="10"/>
      <c r="E359" s="202">
        <v>45644</v>
      </c>
      <c r="F359" s="23">
        <v>46.049156000000004</v>
      </c>
      <c r="G359" s="556" t="s">
        <v>196</v>
      </c>
      <c r="H359" s="556"/>
      <c r="I359" s="556"/>
      <c r="J359" s="556"/>
      <c r="K359" s="202">
        <v>45649</v>
      </c>
      <c r="L359" s="203" t="s">
        <v>666</v>
      </c>
      <c r="M359" s="10"/>
      <c r="N359" s="564"/>
      <c r="O359" s="564"/>
      <c r="P359" s="564"/>
    </row>
    <row r="360" spans="1:16" ht="28.5">
      <c r="A360" s="10">
        <v>42</v>
      </c>
      <c r="B360" s="27" t="s">
        <v>5</v>
      </c>
      <c r="C360" s="447" t="s">
        <v>224</v>
      </c>
      <c r="D360" s="10"/>
      <c r="E360" s="202">
        <v>45647</v>
      </c>
      <c r="F360" s="23">
        <v>46.049156000000004</v>
      </c>
      <c r="G360" s="556" t="s">
        <v>196</v>
      </c>
      <c r="H360" s="556"/>
      <c r="I360" s="556"/>
      <c r="J360" s="556"/>
      <c r="K360" s="202">
        <v>45653</v>
      </c>
      <c r="L360" s="203" t="s">
        <v>668</v>
      </c>
      <c r="M360" s="10"/>
      <c r="N360" s="564"/>
      <c r="O360" s="564"/>
      <c r="P360" s="564"/>
    </row>
    <row r="361" spans="1:16" ht="28.5">
      <c r="A361" s="10">
        <v>43</v>
      </c>
      <c r="B361" s="27" t="s">
        <v>478</v>
      </c>
      <c r="C361" s="447" t="s">
        <v>225</v>
      </c>
      <c r="D361" s="10"/>
      <c r="E361" s="202">
        <v>45648</v>
      </c>
      <c r="F361" s="23">
        <v>42.374236000000003</v>
      </c>
      <c r="G361" s="556" t="s">
        <v>196</v>
      </c>
      <c r="H361" s="556"/>
      <c r="I361" s="556"/>
      <c r="J361" s="556"/>
      <c r="K361" s="202">
        <v>45653</v>
      </c>
      <c r="L361" s="203" t="s">
        <v>420</v>
      </c>
      <c r="M361" s="10"/>
      <c r="N361" s="564"/>
      <c r="O361" s="564"/>
      <c r="P361" s="564"/>
    </row>
    <row r="362" spans="1:16" ht="21">
      <c r="A362" s="10">
        <v>44</v>
      </c>
      <c r="B362" s="27" t="s">
        <v>479</v>
      </c>
      <c r="C362" s="447" t="s">
        <v>224</v>
      </c>
      <c r="D362" s="10"/>
      <c r="E362" s="202">
        <v>45650</v>
      </c>
      <c r="F362" s="23">
        <v>46.049156000000004</v>
      </c>
      <c r="G362" s="556" t="s">
        <v>196</v>
      </c>
      <c r="H362" s="556"/>
      <c r="I362" s="556"/>
      <c r="J362" s="556"/>
      <c r="K362" s="202">
        <v>45653</v>
      </c>
      <c r="L362" s="203" t="s">
        <v>667</v>
      </c>
      <c r="M362" s="10"/>
      <c r="N362" s="565"/>
      <c r="O362" s="565"/>
      <c r="P362" s="565"/>
    </row>
    <row r="363" spans="1:16" ht="21">
      <c r="A363" s="10">
        <v>45</v>
      </c>
      <c r="B363" s="27" t="s">
        <v>480</v>
      </c>
      <c r="C363" s="447" t="s">
        <v>195</v>
      </c>
      <c r="D363" s="10"/>
      <c r="E363" s="202">
        <v>45650</v>
      </c>
      <c r="F363" s="23">
        <v>43.775756000000008</v>
      </c>
      <c r="G363" s="556" t="s">
        <v>196</v>
      </c>
      <c r="H363" s="556"/>
      <c r="I363" s="556"/>
      <c r="J363" s="556"/>
      <c r="K363" s="202">
        <v>45656</v>
      </c>
      <c r="L363" s="203" t="s">
        <v>666</v>
      </c>
      <c r="M363" s="10"/>
      <c r="N363" s="565"/>
      <c r="O363" s="565"/>
      <c r="P363" s="565"/>
    </row>
    <row r="364" spans="1:16" ht="21">
      <c r="A364" s="10">
        <v>46</v>
      </c>
      <c r="B364" s="27" t="s">
        <v>481</v>
      </c>
      <c r="C364" s="447" t="s">
        <v>224</v>
      </c>
      <c r="D364" s="10"/>
      <c r="E364" s="202">
        <v>45646</v>
      </c>
      <c r="F364" s="23">
        <v>46.049156000000004</v>
      </c>
      <c r="G364" s="556" t="s">
        <v>196</v>
      </c>
      <c r="H364" s="556"/>
      <c r="I364" s="556"/>
      <c r="J364" s="556"/>
      <c r="K364" s="202">
        <v>45657</v>
      </c>
      <c r="L364" s="203" t="s">
        <v>665</v>
      </c>
      <c r="M364" s="10"/>
      <c r="N364" s="565"/>
      <c r="O364" s="565"/>
      <c r="P364" s="565"/>
    </row>
    <row r="365" spans="1:16" ht="21">
      <c r="A365" s="10">
        <v>47</v>
      </c>
      <c r="B365" s="27" t="s">
        <v>482</v>
      </c>
      <c r="C365" s="447" t="s">
        <v>225</v>
      </c>
      <c r="D365" s="10"/>
      <c r="E365" s="202">
        <v>45650</v>
      </c>
      <c r="F365" s="23">
        <v>42.374236000000003</v>
      </c>
      <c r="G365" s="556" t="s">
        <v>196</v>
      </c>
      <c r="H365" s="556"/>
      <c r="I365" s="556"/>
      <c r="J365" s="556"/>
      <c r="K365" s="202">
        <v>45657</v>
      </c>
      <c r="L365" s="203" t="s">
        <v>664</v>
      </c>
      <c r="M365" s="10"/>
      <c r="N365" s="565"/>
      <c r="O365" s="565"/>
      <c r="P365" s="565"/>
    </row>
    <row r="366" spans="1:16" ht="21">
      <c r="A366" s="10">
        <v>48</v>
      </c>
      <c r="B366" s="27" t="s">
        <v>483</v>
      </c>
      <c r="C366" s="447" t="s">
        <v>224</v>
      </c>
      <c r="D366" s="10"/>
      <c r="E366" s="202">
        <v>45650</v>
      </c>
      <c r="F366" s="23">
        <v>46.049156000000004</v>
      </c>
      <c r="G366" s="556" t="s">
        <v>196</v>
      </c>
      <c r="H366" s="556"/>
      <c r="I366" s="556"/>
      <c r="J366" s="556"/>
      <c r="K366" s="202">
        <v>45660</v>
      </c>
      <c r="L366" s="203" t="s">
        <v>669</v>
      </c>
      <c r="M366" s="10"/>
      <c r="N366" s="565"/>
      <c r="O366" s="565"/>
      <c r="P366" s="565"/>
    </row>
    <row r="367" spans="1:16" ht="26">
      <c r="A367" s="10">
        <v>49</v>
      </c>
      <c r="B367" s="27" t="s">
        <v>484</v>
      </c>
      <c r="C367" s="447" t="s">
        <v>224</v>
      </c>
      <c r="D367" s="10"/>
      <c r="E367" s="202">
        <v>45654</v>
      </c>
      <c r="F367" s="23">
        <v>46.049156000000004</v>
      </c>
      <c r="G367" s="556" t="s">
        <v>196</v>
      </c>
      <c r="H367" s="556"/>
      <c r="I367" s="556"/>
      <c r="J367" s="556"/>
      <c r="K367" s="202">
        <v>45660</v>
      </c>
      <c r="L367" s="203" t="s">
        <v>667</v>
      </c>
      <c r="M367" s="10"/>
      <c r="N367" s="566"/>
      <c r="O367" s="566"/>
      <c r="P367" s="566"/>
    </row>
    <row r="368" spans="1:16" ht="26">
      <c r="A368" s="10">
        <v>50</v>
      </c>
      <c r="B368" s="27" t="s">
        <v>6</v>
      </c>
      <c r="C368" s="447" t="s">
        <v>195</v>
      </c>
      <c r="D368" s="10"/>
      <c r="E368" s="202">
        <v>45654</v>
      </c>
      <c r="F368" s="23">
        <v>43.775756000000008</v>
      </c>
      <c r="G368" s="556" t="s">
        <v>196</v>
      </c>
      <c r="H368" s="556"/>
      <c r="I368" s="556"/>
      <c r="J368" s="556"/>
      <c r="K368" s="202">
        <v>45661</v>
      </c>
      <c r="L368" s="203" t="s">
        <v>668</v>
      </c>
      <c r="M368" s="10"/>
      <c r="N368" s="566"/>
      <c r="O368" s="566"/>
      <c r="P368" s="566"/>
    </row>
    <row r="369" spans="1:16" ht="26">
      <c r="A369" s="10">
        <v>51</v>
      </c>
      <c r="B369" s="27" t="s">
        <v>485</v>
      </c>
      <c r="C369" s="447" t="s">
        <v>224</v>
      </c>
      <c r="D369" s="10"/>
      <c r="E369" s="202">
        <v>45657</v>
      </c>
      <c r="F369" s="23">
        <v>46.049156000000004</v>
      </c>
      <c r="G369" s="556" t="s">
        <v>196</v>
      </c>
      <c r="H369" s="556"/>
      <c r="I369" s="556"/>
      <c r="J369" s="556"/>
      <c r="K369" s="202">
        <v>45664</v>
      </c>
      <c r="L369" s="203" t="s">
        <v>666</v>
      </c>
      <c r="M369" s="10"/>
      <c r="N369" s="566"/>
      <c r="O369" s="566"/>
      <c r="P369" s="566"/>
    </row>
    <row r="370" spans="1:16" ht="26">
      <c r="A370" s="10">
        <v>52</v>
      </c>
      <c r="B370" s="27" t="s">
        <v>486</v>
      </c>
      <c r="C370" s="447" t="s">
        <v>195</v>
      </c>
      <c r="D370" s="10"/>
      <c r="E370" s="202">
        <v>45654</v>
      </c>
      <c r="F370" s="23">
        <v>43.775756000000008</v>
      </c>
      <c r="G370" s="556" t="s">
        <v>196</v>
      </c>
      <c r="H370" s="556"/>
      <c r="I370" s="556"/>
      <c r="J370" s="556"/>
      <c r="K370" s="202">
        <v>45665</v>
      </c>
      <c r="L370" s="203" t="s">
        <v>420</v>
      </c>
      <c r="M370" s="10"/>
      <c r="N370" s="566"/>
      <c r="O370" s="566"/>
      <c r="P370" s="566"/>
    </row>
    <row r="371" spans="1:16" ht="26">
      <c r="A371" s="10">
        <v>53</v>
      </c>
      <c r="B371" s="27" t="s">
        <v>487</v>
      </c>
      <c r="C371" s="447" t="s">
        <v>224</v>
      </c>
      <c r="D371" s="10"/>
      <c r="E371" s="202">
        <v>45658</v>
      </c>
      <c r="F371" s="23">
        <v>46.049156000000004</v>
      </c>
      <c r="G371" s="556" t="s">
        <v>196</v>
      </c>
      <c r="H371" s="556"/>
      <c r="I371" s="556"/>
      <c r="J371" s="556"/>
      <c r="K371" s="202">
        <v>45667</v>
      </c>
      <c r="L371" s="203" t="s">
        <v>664</v>
      </c>
      <c r="M371" s="10"/>
      <c r="N371" s="566"/>
      <c r="O371" s="566"/>
      <c r="P371" s="566"/>
    </row>
    <row r="372" spans="1:16" ht="26">
      <c r="A372" s="10">
        <v>54</v>
      </c>
      <c r="B372" s="193" t="s">
        <v>488</v>
      </c>
      <c r="C372" s="447" t="s">
        <v>225</v>
      </c>
      <c r="D372" s="10"/>
      <c r="E372" s="202">
        <v>45661</v>
      </c>
      <c r="F372" s="23">
        <v>42.374236000000003</v>
      </c>
      <c r="G372" s="556" t="s">
        <v>196</v>
      </c>
      <c r="H372" s="556"/>
      <c r="I372" s="556"/>
      <c r="J372" s="556"/>
      <c r="K372" s="202">
        <v>45668</v>
      </c>
      <c r="L372" s="203" t="s">
        <v>669</v>
      </c>
      <c r="M372" s="10"/>
      <c r="N372" s="566"/>
      <c r="O372" s="566"/>
      <c r="P372" s="566"/>
    </row>
    <row r="373" spans="1:16" ht="26">
      <c r="A373" s="10">
        <v>55</v>
      </c>
      <c r="B373" s="193" t="s">
        <v>489</v>
      </c>
      <c r="C373" s="447" t="s">
        <v>224</v>
      </c>
      <c r="D373" s="10"/>
      <c r="E373" s="202">
        <v>45660</v>
      </c>
      <c r="F373" s="23">
        <v>46.049156000000004</v>
      </c>
      <c r="G373" s="556" t="s">
        <v>196</v>
      </c>
      <c r="H373" s="556"/>
      <c r="I373" s="556"/>
      <c r="J373" s="556"/>
      <c r="K373" s="202">
        <v>45668</v>
      </c>
      <c r="L373" s="203" t="s">
        <v>667</v>
      </c>
      <c r="M373" s="10"/>
      <c r="N373" s="566"/>
      <c r="O373" s="566"/>
      <c r="P373" s="566"/>
    </row>
    <row r="374" spans="1:16" ht="26">
      <c r="A374" s="10">
        <v>56</v>
      </c>
      <c r="B374" s="193" t="s">
        <v>490</v>
      </c>
      <c r="C374" s="447" t="s">
        <v>224</v>
      </c>
      <c r="D374" s="10"/>
      <c r="E374" s="202">
        <v>45665</v>
      </c>
      <c r="F374" s="23">
        <v>46.049156000000004</v>
      </c>
      <c r="G374" s="556" t="s">
        <v>196</v>
      </c>
      <c r="H374" s="556"/>
      <c r="I374" s="556"/>
      <c r="J374" s="556"/>
      <c r="K374" s="202">
        <v>45671</v>
      </c>
      <c r="L374" s="203" t="s">
        <v>666</v>
      </c>
      <c r="M374" s="10"/>
      <c r="N374" s="566"/>
      <c r="O374" s="566"/>
      <c r="P374" s="566"/>
    </row>
    <row r="375" spans="1:16" ht="26">
      <c r="A375" s="10">
        <v>57</v>
      </c>
      <c r="B375" s="193" t="s">
        <v>491</v>
      </c>
      <c r="C375" s="447" t="s">
        <v>224</v>
      </c>
      <c r="D375" s="10"/>
      <c r="E375" s="202">
        <v>45664</v>
      </c>
      <c r="F375" s="23">
        <v>46.049156000000004</v>
      </c>
      <c r="G375" s="556" t="s">
        <v>196</v>
      </c>
      <c r="H375" s="556"/>
      <c r="I375" s="556"/>
      <c r="J375" s="556"/>
      <c r="K375" s="202">
        <v>45672</v>
      </c>
      <c r="L375" s="203" t="s">
        <v>668</v>
      </c>
      <c r="M375" s="10"/>
      <c r="N375" s="566"/>
      <c r="O375" s="566"/>
      <c r="P375" s="566"/>
    </row>
    <row r="376" spans="1:16" ht="26">
      <c r="A376" s="10">
        <v>58</v>
      </c>
      <c r="B376" s="193" t="s">
        <v>99</v>
      </c>
      <c r="C376" s="447" t="s">
        <v>224</v>
      </c>
      <c r="D376" s="10"/>
      <c r="E376" s="202">
        <v>45664</v>
      </c>
      <c r="F376" s="23">
        <v>46.049156000000004</v>
      </c>
      <c r="G376" s="556" t="s">
        <v>196</v>
      </c>
      <c r="H376" s="556"/>
      <c r="I376" s="556"/>
      <c r="J376" s="556"/>
      <c r="K376" s="202">
        <v>45674</v>
      </c>
      <c r="L376" s="203" t="s">
        <v>665</v>
      </c>
      <c r="M376" s="10"/>
      <c r="N376" s="566"/>
      <c r="O376" s="566"/>
      <c r="P376" s="566"/>
    </row>
    <row r="377" spans="1:16" ht="26">
      <c r="A377" s="10">
        <v>59</v>
      </c>
      <c r="B377" s="193" t="s">
        <v>492</v>
      </c>
      <c r="C377" s="447" t="s">
        <v>224</v>
      </c>
      <c r="D377" s="10"/>
      <c r="E377" s="202">
        <v>45666</v>
      </c>
      <c r="F377" s="23">
        <v>46.049156000000004</v>
      </c>
      <c r="G377" s="556" t="s">
        <v>196</v>
      </c>
      <c r="H377" s="556"/>
      <c r="I377" s="556"/>
      <c r="J377" s="556"/>
      <c r="K377" s="202">
        <v>45674</v>
      </c>
      <c r="L377" s="203" t="s">
        <v>420</v>
      </c>
      <c r="M377" s="10"/>
      <c r="N377" s="566"/>
      <c r="O377" s="566"/>
      <c r="P377" s="566"/>
    </row>
    <row r="378" spans="1:16" ht="26">
      <c r="A378" s="10">
        <v>60</v>
      </c>
      <c r="B378" s="193" t="s">
        <v>493</v>
      </c>
      <c r="C378" s="447" t="s">
        <v>195</v>
      </c>
      <c r="D378" s="10"/>
      <c r="E378" s="202">
        <v>45667</v>
      </c>
      <c r="F378" s="23">
        <v>43.775756000000008</v>
      </c>
      <c r="G378" s="556" t="s">
        <v>196</v>
      </c>
      <c r="H378" s="556"/>
      <c r="I378" s="556"/>
      <c r="J378" s="556"/>
      <c r="K378" s="202">
        <v>45674</v>
      </c>
      <c r="L378" s="203" t="s">
        <v>664</v>
      </c>
      <c r="M378" s="10"/>
      <c r="N378" s="566"/>
      <c r="O378" s="566"/>
      <c r="P378" s="566"/>
    </row>
    <row r="379" spans="1:16" ht="26">
      <c r="A379" s="10">
        <v>61</v>
      </c>
      <c r="B379" s="193" t="s">
        <v>494</v>
      </c>
      <c r="C379" s="447" t="s">
        <v>195</v>
      </c>
      <c r="D379" s="10"/>
      <c r="E379" s="202">
        <v>45668</v>
      </c>
      <c r="F379" s="23">
        <v>43.775756000000008</v>
      </c>
      <c r="G379" s="556" t="s">
        <v>196</v>
      </c>
      <c r="H379" s="556"/>
      <c r="I379" s="556"/>
      <c r="J379" s="556"/>
      <c r="K379" s="202">
        <v>45676</v>
      </c>
      <c r="L379" s="203" t="s">
        <v>669</v>
      </c>
      <c r="M379" s="10"/>
      <c r="N379" s="566"/>
      <c r="O379" s="566"/>
      <c r="P379" s="566"/>
    </row>
    <row r="380" spans="1:16" ht="26">
      <c r="A380" s="10">
        <v>62</v>
      </c>
      <c r="B380" s="193" t="s">
        <v>495</v>
      </c>
      <c r="C380" s="447" t="s">
        <v>224</v>
      </c>
      <c r="D380" s="10"/>
      <c r="E380" s="202">
        <v>45669</v>
      </c>
      <c r="F380" s="23">
        <v>46.049156000000004</v>
      </c>
      <c r="G380" s="556" t="s">
        <v>196</v>
      </c>
      <c r="H380" s="556"/>
      <c r="I380" s="556"/>
      <c r="J380" s="556"/>
      <c r="K380" s="202">
        <v>45678</v>
      </c>
      <c r="L380" s="203" t="s">
        <v>667</v>
      </c>
      <c r="M380" s="10"/>
      <c r="N380" s="566"/>
      <c r="O380" s="566"/>
      <c r="P380" s="566"/>
    </row>
    <row r="381" spans="1:16" ht="26">
      <c r="A381" s="10">
        <v>63</v>
      </c>
      <c r="B381" s="193" t="s">
        <v>496</v>
      </c>
      <c r="C381" s="447" t="s">
        <v>195</v>
      </c>
      <c r="D381" s="10"/>
      <c r="E381" s="202">
        <v>45672</v>
      </c>
      <c r="F381" s="23">
        <v>43.775756000000008</v>
      </c>
      <c r="G381" s="556" t="s">
        <v>196</v>
      </c>
      <c r="H381" s="556"/>
      <c r="I381" s="556"/>
      <c r="J381" s="556"/>
      <c r="K381" s="202">
        <v>45679</v>
      </c>
      <c r="L381" s="203" t="s">
        <v>666</v>
      </c>
      <c r="M381" s="10"/>
      <c r="N381" s="566"/>
      <c r="O381" s="566"/>
      <c r="P381" s="566"/>
    </row>
    <row r="382" spans="1:16">
      <c r="A382" s="10">
        <v>64</v>
      </c>
      <c r="B382" s="193" t="s">
        <v>497</v>
      </c>
      <c r="C382" s="447" t="s">
        <v>195</v>
      </c>
      <c r="D382" s="10"/>
      <c r="E382" s="202">
        <v>45674</v>
      </c>
      <c r="F382" s="23">
        <v>43.775756000000008</v>
      </c>
      <c r="G382" s="556" t="s">
        <v>196</v>
      </c>
      <c r="H382" s="556"/>
      <c r="I382" s="556"/>
      <c r="J382" s="556"/>
      <c r="K382" s="202">
        <v>45680</v>
      </c>
      <c r="L382" s="203" t="s">
        <v>664</v>
      </c>
      <c r="M382" s="10"/>
      <c r="N382" s="567"/>
      <c r="O382" s="567"/>
      <c r="P382" s="567"/>
    </row>
    <row r="383" spans="1:16">
      <c r="A383" s="10">
        <v>65</v>
      </c>
      <c r="B383" s="193" t="s">
        <v>498</v>
      </c>
      <c r="C383" s="447" t="s">
        <v>195</v>
      </c>
      <c r="D383" s="10"/>
      <c r="E383" s="202">
        <v>45672</v>
      </c>
      <c r="F383" s="23">
        <v>43.775756000000008</v>
      </c>
      <c r="G383" s="556" t="s">
        <v>196</v>
      </c>
      <c r="H383" s="556"/>
      <c r="I383" s="556"/>
      <c r="J383" s="556"/>
      <c r="K383" s="202">
        <v>45681</v>
      </c>
      <c r="L383" s="203" t="s">
        <v>668</v>
      </c>
      <c r="M383" s="10"/>
      <c r="N383" s="567"/>
      <c r="O383" s="567"/>
      <c r="P383" s="567"/>
    </row>
    <row r="384" spans="1:16" ht="26">
      <c r="A384" s="10">
        <v>66</v>
      </c>
      <c r="B384" s="193" t="s">
        <v>499</v>
      </c>
      <c r="C384" s="447" t="s">
        <v>224</v>
      </c>
      <c r="D384" s="10"/>
      <c r="E384" s="202">
        <v>45677</v>
      </c>
      <c r="F384" s="23">
        <v>46.049156000000004</v>
      </c>
      <c r="G384" s="556" t="s">
        <v>196</v>
      </c>
      <c r="H384" s="556"/>
      <c r="I384" s="556"/>
      <c r="J384" s="556"/>
      <c r="K384" s="202">
        <v>45682</v>
      </c>
      <c r="L384" s="203" t="s">
        <v>669</v>
      </c>
      <c r="M384" s="10"/>
      <c r="N384" s="566"/>
      <c r="O384" s="566"/>
      <c r="P384" s="566"/>
    </row>
    <row r="385" spans="1:16" ht="26">
      <c r="A385" s="10">
        <v>67</v>
      </c>
      <c r="B385" s="193" t="s">
        <v>500</v>
      </c>
      <c r="C385" s="447" t="s">
        <v>224</v>
      </c>
      <c r="D385" s="10"/>
      <c r="E385" s="202">
        <v>45678</v>
      </c>
      <c r="F385" s="23">
        <v>46.049156000000004</v>
      </c>
      <c r="G385" s="556" t="s">
        <v>196</v>
      </c>
      <c r="H385" s="556"/>
      <c r="I385" s="556"/>
      <c r="J385" s="556"/>
      <c r="K385" s="202">
        <v>45682</v>
      </c>
      <c r="L385" s="203" t="s">
        <v>667</v>
      </c>
      <c r="M385" s="10"/>
      <c r="N385" s="566"/>
      <c r="O385" s="566"/>
      <c r="P385" s="566"/>
    </row>
    <row r="386" spans="1:16" ht="26">
      <c r="A386" s="10">
        <v>68</v>
      </c>
      <c r="B386" s="193" t="s">
        <v>501</v>
      </c>
      <c r="C386" s="447" t="s">
        <v>224</v>
      </c>
      <c r="D386" s="10"/>
      <c r="E386" s="202">
        <v>45673</v>
      </c>
      <c r="F386" s="23">
        <v>46.049156000000004</v>
      </c>
      <c r="G386" s="556" t="s">
        <v>196</v>
      </c>
      <c r="H386" s="556"/>
      <c r="I386" s="556"/>
      <c r="J386" s="556"/>
      <c r="K386" s="202">
        <v>45684</v>
      </c>
      <c r="L386" s="203" t="s">
        <v>420</v>
      </c>
      <c r="M386" s="10"/>
      <c r="N386" s="566"/>
      <c r="O386" s="566"/>
      <c r="P386" s="566"/>
    </row>
    <row r="387" spans="1:16" ht="26">
      <c r="A387" s="10">
        <v>69</v>
      </c>
      <c r="B387" s="193" t="s">
        <v>87</v>
      </c>
      <c r="C387" s="447" t="s">
        <v>224</v>
      </c>
      <c r="D387" s="10"/>
      <c r="E387" s="202">
        <v>45673</v>
      </c>
      <c r="F387" s="23">
        <v>46.049156000000004</v>
      </c>
      <c r="G387" s="556" t="s">
        <v>196</v>
      </c>
      <c r="H387" s="556"/>
      <c r="I387" s="556"/>
      <c r="J387" s="556"/>
      <c r="K387" s="202">
        <v>45685</v>
      </c>
      <c r="L387" s="203" t="s">
        <v>665</v>
      </c>
      <c r="M387" s="10"/>
      <c r="N387" s="566"/>
      <c r="O387" s="566"/>
      <c r="P387" s="566"/>
    </row>
    <row r="388" spans="1:16" ht="26">
      <c r="A388" s="10">
        <v>70</v>
      </c>
      <c r="B388" s="193" t="s">
        <v>502</v>
      </c>
      <c r="C388" s="447" t="s">
        <v>224</v>
      </c>
      <c r="D388" s="10"/>
      <c r="E388" s="202">
        <v>45681</v>
      </c>
      <c r="F388" s="23">
        <v>46.049156000000004</v>
      </c>
      <c r="G388" s="556" t="s">
        <v>196</v>
      </c>
      <c r="H388" s="556"/>
      <c r="I388" s="556"/>
      <c r="J388" s="556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">
      <c r="A389" s="10">
        <v>71</v>
      </c>
      <c r="B389" s="193" t="s">
        <v>503</v>
      </c>
      <c r="C389" s="447" t="s">
        <v>195</v>
      </c>
      <c r="D389" s="10"/>
      <c r="E389" s="202">
        <v>45678</v>
      </c>
      <c r="F389" s="23">
        <v>43.775756000000008</v>
      </c>
      <c r="G389" s="556" t="s">
        <v>196</v>
      </c>
      <c r="H389" s="556"/>
      <c r="I389" s="556"/>
      <c r="J389" s="556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">
      <c r="A390" s="10">
        <v>72</v>
      </c>
      <c r="B390" s="193" t="s">
        <v>19</v>
      </c>
      <c r="C390" s="447" t="s">
        <v>224</v>
      </c>
      <c r="D390" s="10"/>
      <c r="E390" s="202">
        <v>45682</v>
      </c>
      <c r="F390" s="23">
        <v>46.049156000000004</v>
      </c>
      <c r="G390" s="556" t="s">
        <v>196</v>
      </c>
      <c r="H390" s="556"/>
      <c r="I390" s="556"/>
      <c r="J390" s="556"/>
      <c r="K390" s="202">
        <v>45687</v>
      </c>
      <c r="L390" s="203" t="s">
        <v>668</v>
      </c>
      <c r="M390" s="10"/>
      <c r="N390" s="566"/>
      <c r="O390" s="566"/>
      <c r="P390" s="566"/>
    </row>
    <row r="391" spans="1:16" ht="26">
      <c r="A391" s="10">
        <v>73</v>
      </c>
      <c r="B391" s="193" t="s">
        <v>83</v>
      </c>
      <c r="C391" s="447" t="s">
        <v>224</v>
      </c>
      <c r="D391" s="10"/>
      <c r="E391" s="202">
        <v>45678</v>
      </c>
      <c r="F391" s="23">
        <v>46.049156000000004</v>
      </c>
      <c r="G391" s="556" t="s">
        <v>196</v>
      </c>
      <c r="H391" s="556"/>
      <c r="I391" s="556"/>
      <c r="J391" s="556"/>
      <c r="K391" s="202">
        <v>45688</v>
      </c>
      <c r="L391" s="203" t="s">
        <v>670</v>
      </c>
      <c r="M391" s="10"/>
      <c r="N391" s="566"/>
      <c r="O391" s="566"/>
      <c r="P391" s="566"/>
    </row>
    <row r="392" spans="1:16" ht="26">
      <c r="A392" s="10">
        <v>74</v>
      </c>
      <c r="B392" s="193" t="s">
        <v>504</v>
      </c>
      <c r="C392" s="447" t="s">
        <v>224</v>
      </c>
      <c r="D392" s="10"/>
      <c r="E392" s="202">
        <v>45682</v>
      </c>
      <c r="F392" s="23">
        <v>46.049156000000004</v>
      </c>
      <c r="G392" s="556" t="s">
        <v>196</v>
      </c>
      <c r="H392" s="556"/>
      <c r="I392" s="556"/>
      <c r="J392" s="556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">
      <c r="A393" s="10">
        <v>75</v>
      </c>
      <c r="B393" s="193" t="s">
        <v>505</v>
      </c>
      <c r="C393" s="447" t="s">
        <v>195</v>
      </c>
      <c r="D393" s="10"/>
      <c r="E393" s="202">
        <v>45682</v>
      </c>
      <c r="F393" s="23">
        <v>43.775756000000008</v>
      </c>
      <c r="G393" s="556" t="s">
        <v>196</v>
      </c>
      <c r="H393" s="556"/>
      <c r="I393" s="556"/>
      <c r="J393" s="556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">
      <c r="A394" s="10">
        <v>76</v>
      </c>
      <c r="B394" s="193" t="s">
        <v>506</v>
      </c>
      <c r="C394" s="447" t="s">
        <v>224</v>
      </c>
      <c r="D394" s="10"/>
      <c r="E394" s="202">
        <v>45687</v>
      </c>
      <c r="F394" s="23">
        <v>46.049156000000004</v>
      </c>
      <c r="G394" s="556" t="s">
        <v>196</v>
      </c>
      <c r="H394" s="556"/>
      <c r="I394" s="556"/>
      <c r="J394" s="556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">
      <c r="A395" s="10">
        <v>77</v>
      </c>
      <c r="B395" s="193" t="s">
        <v>507</v>
      </c>
      <c r="C395" s="447" t="s">
        <v>508</v>
      </c>
      <c r="D395" s="10"/>
      <c r="E395" s="202">
        <v>45685</v>
      </c>
      <c r="F395" s="23">
        <v>64.481662</v>
      </c>
      <c r="G395" s="556" t="s">
        <v>196</v>
      </c>
      <c r="H395" s="556"/>
      <c r="I395" s="556"/>
      <c r="J395" s="556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7" t="s">
        <v>195</v>
      </c>
      <c r="D396" s="10"/>
      <c r="E396" s="202">
        <v>45690</v>
      </c>
      <c r="F396" s="23">
        <v>43.775756000000008</v>
      </c>
      <c r="G396" s="556" t="s">
        <v>196</v>
      </c>
      <c r="H396" s="556"/>
      <c r="I396" s="556"/>
      <c r="J396" s="556"/>
      <c r="K396" s="202">
        <v>45695</v>
      </c>
      <c r="L396" s="203" t="s">
        <v>668</v>
      </c>
      <c r="M396" s="10">
        <v>27</v>
      </c>
      <c r="N396" s="568"/>
      <c r="O396" s="569"/>
      <c r="P396" s="569"/>
    </row>
    <row r="397" spans="1:16">
      <c r="A397" s="10">
        <v>79</v>
      </c>
      <c r="B397" s="193" t="s">
        <v>510</v>
      </c>
      <c r="C397" s="447" t="s">
        <v>224</v>
      </c>
      <c r="D397" s="10"/>
      <c r="E397" s="202">
        <v>45690</v>
      </c>
      <c r="F397" s="23">
        <v>46.049156000000004</v>
      </c>
      <c r="G397" s="556" t="s">
        <v>196</v>
      </c>
      <c r="H397" s="556"/>
      <c r="I397" s="556"/>
      <c r="J397" s="556"/>
      <c r="K397" s="202">
        <v>45696</v>
      </c>
      <c r="L397" s="203" t="s">
        <v>667</v>
      </c>
      <c r="M397" s="10"/>
      <c r="N397" s="568"/>
      <c r="O397" s="569"/>
      <c r="P397" s="569"/>
    </row>
    <row r="398" spans="1:16" ht="26">
      <c r="A398" s="10">
        <v>80</v>
      </c>
      <c r="B398" s="193" t="s">
        <v>511</v>
      </c>
      <c r="C398" s="447" t="s">
        <v>224</v>
      </c>
      <c r="D398" s="10"/>
      <c r="E398" s="202">
        <v>45686</v>
      </c>
      <c r="F398" s="23">
        <v>46.049156000000004</v>
      </c>
      <c r="G398" s="556" t="s">
        <v>196</v>
      </c>
      <c r="H398" s="556"/>
      <c r="I398" s="556"/>
      <c r="J398" s="556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">
      <c r="A399" s="10">
        <v>81</v>
      </c>
      <c r="B399" s="193" t="s">
        <v>512</v>
      </c>
      <c r="C399" s="447" t="s">
        <v>195</v>
      </c>
      <c r="D399" s="10"/>
      <c r="E399" s="202">
        <v>45691</v>
      </c>
      <c r="F399" s="23">
        <v>43.775756000000008</v>
      </c>
      <c r="G399" s="556" t="s">
        <v>196</v>
      </c>
      <c r="H399" s="556"/>
      <c r="I399" s="556"/>
      <c r="J399" s="556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">
      <c r="A400" s="10">
        <v>82</v>
      </c>
      <c r="B400" s="193" t="s">
        <v>282</v>
      </c>
      <c r="C400" s="447" t="s">
        <v>513</v>
      </c>
      <c r="D400" s="10"/>
      <c r="E400" s="202">
        <v>45686</v>
      </c>
      <c r="F400" s="23">
        <v>73.425832</v>
      </c>
      <c r="G400" s="556" t="s">
        <v>196</v>
      </c>
      <c r="H400" s="556"/>
      <c r="I400" s="556"/>
      <c r="J400" s="556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">
      <c r="A401" s="10">
        <v>83</v>
      </c>
      <c r="B401" s="193" t="s">
        <v>84</v>
      </c>
      <c r="C401" s="447" t="s">
        <v>224</v>
      </c>
      <c r="D401" s="10"/>
      <c r="E401" s="202">
        <v>45690</v>
      </c>
      <c r="F401" s="23">
        <v>46.049156000000004</v>
      </c>
      <c r="G401" s="556" t="s">
        <v>196</v>
      </c>
      <c r="H401" s="556"/>
      <c r="I401" s="556"/>
      <c r="J401" s="556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7" t="s">
        <v>508</v>
      </c>
      <c r="D402" s="10"/>
      <c r="E402" s="202">
        <v>45694</v>
      </c>
      <c r="F402" s="23">
        <v>64.481662</v>
      </c>
      <c r="G402" s="556" t="s">
        <v>196</v>
      </c>
      <c r="H402" s="556"/>
      <c r="I402" s="556"/>
      <c r="J402" s="556"/>
      <c r="K402" s="202">
        <v>45701</v>
      </c>
      <c r="L402" s="203" t="s">
        <v>664</v>
      </c>
      <c r="M402" s="10"/>
      <c r="N402" s="568"/>
      <c r="O402" s="569"/>
      <c r="P402" s="569"/>
    </row>
    <row r="403" spans="1:16">
      <c r="A403" s="10">
        <v>85</v>
      </c>
      <c r="B403" s="193" t="s">
        <v>515</v>
      </c>
      <c r="C403" s="447" t="s">
        <v>195</v>
      </c>
      <c r="D403" s="10"/>
      <c r="E403" s="202">
        <v>45695</v>
      </c>
      <c r="F403" s="23">
        <v>43.775756000000008</v>
      </c>
      <c r="G403" s="556" t="s">
        <v>196</v>
      </c>
      <c r="H403" s="556"/>
      <c r="I403" s="556"/>
      <c r="J403" s="556"/>
      <c r="K403" s="202">
        <v>45701</v>
      </c>
      <c r="L403" s="203" t="s">
        <v>420</v>
      </c>
      <c r="M403" s="10"/>
      <c r="N403" s="568"/>
      <c r="O403" s="569"/>
      <c r="P403" s="569"/>
    </row>
    <row r="404" spans="1:16">
      <c r="A404" s="10">
        <v>86</v>
      </c>
      <c r="B404" s="193" t="s">
        <v>95</v>
      </c>
      <c r="C404" s="447" t="s">
        <v>224</v>
      </c>
      <c r="D404" s="10"/>
      <c r="E404" s="202">
        <v>45696</v>
      </c>
      <c r="F404" s="23">
        <v>46.049156000000004</v>
      </c>
      <c r="G404" s="556" t="s">
        <v>196</v>
      </c>
      <c r="H404" s="556"/>
      <c r="I404" s="556"/>
      <c r="J404" s="556"/>
      <c r="K404" s="202">
        <v>45703</v>
      </c>
      <c r="L404" s="203" t="s">
        <v>668</v>
      </c>
      <c r="M404" s="10"/>
      <c r="N404" s="568"/>
      <c r="O404" s="569"/>
      <c r="P404" s="569"/>
    </row>
    <row r="405" spans="1:16">
      <c r="A405" s="10">
        <v>87</v>
      </c>
      <c r="B405" s="193" t="s">
        <v>516</v>
      </c>
      <c r="C405" s="447" t="s">
        <v>224</v>
      </c>
      <c r="D405" s="10"/>
      <c r="E405" s="202">
        <v>45697</v>
      </c>
      <c r="F405" s="23">
        <v>46.049156000000004</v>
      </c>
      <c r="G405" s="556" t="s">
        <v>196</v>
      </c>
      <c r="H405" s="556"/>
      <c r="I405" s="556"/>
      <c r="J405" s="556"/>
      <c r="K405" s="202">
        <v>45703</v>
      </c>
      <c r="L405" s="203" t="s">
        <v>667</v>
      </c>
      <c r="M405" s="10"/>
      <c r="N405" s="568"/>
      <c r="O405" s="569"/>
      <c r="P405" s="569"/>
    </row>
    <row r="406" spans="1:16">
      <c r="A406" s="10">
        <v>88</v>
      </c>
      <c r="B406" s="193" t="s">
        <v>517</v>
      </c>
      <c r="C406" s="447" t="s">
        <v>195</v>
      </c>
      <c r="D406" s="10"/>
      <c r="E406" s="202">
        <v>45698</v>
      </c>
      <c r="F406" s="23">
        <v>43.775756000000008</v>
      </c>
      <c r="G406" s="556" t="s">
        <v>196</v>
      </c>
      <c r="H406" s="556"/>
      <c r="I406" s="556"/>
      <c r="J406" s="556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7" t="s">
        <v>195</v>
      </c>
      <c r="D407" s="10"/>
      <c r="E407" s="202">
        <v>45700</v>
      </c>
      <c r="F407" s="23">
        <v>43.775756000000008</v>
      </c>
      <c r="G407" s="556" t="s">
        <v>196</v>
      </c>
      <c r="H407" s="556"/>
      <c r="I407" s="556"/>
      <c r="J407" s="556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7" t="s">
        <v>224</v>
      </c>
      <c r="D408" s="10"/>
      <c r="E408" s="202">
        <v>45699</v>
      </c>
      <c r="F408" s="23">
        <v>46.049156000000004</v>
      </c>
      <c r="G408" s="556" t="s">
        <v>196</v>
      </c>
      <c r="H408" s="556"/>
      <c r="I408" s="556"/>
      <c r="J408" s="556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7" t="s">
        <v>224</v>
      </c>
      <c r="D409" s="10"/>
      <c r="E409" s="202">
        <v>45700</v>
      </c>
      <c r="F409" s="23">
        <v>46.049156000000004</v>
      </c>
      <c r="G409" s="556" t="s">
        <v>196</v>
      </c>
      <c r="H409" s="556"/>
      <c r="I409" s="556"/>
      <c r="J409" s="556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7" t="s">
        <v>224</v>
      </c>
      <c r="D410" s="10"/>
      <c r="E410" s="202">
        <v>45702</v>
      </c>
      <c r="F410" s="23">
        <v>46.049156000000004</v>
      </c>
      <c r="G410" s="556" t="s">
        <v>196</v>
      </c>
      <c r="H410" s="556"/>
      <c r="I410" s="556"/>
      <c r="J410" s="556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7" t="s">
        <v>195</v>
      </c>
      <c r="D411" s="10"/>
      <c r="E411" s="202">
        <v>45704</v>
      </c>
      <c r="F411" s="23">
        <v>43.775756000000008</v>
      </c>
      <c r="G411" s="556" t="s">
        <v>196</v>
      </c>
      <c r="H411" s="556"/>
      <c r="I411" s="556"/>
      <c r="J411" s="556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7" t="s">
        <v>224</v>
      </c>
      <c r="D412" s="10"/>
      <c r="E412" s="202">
        <v>45704</v>
      </c>
      <c r="F412" s="23">
        <v>46.049156000000004</v>
      </c>
      <c r="G412" s="556" t="s">
        <v>196</v>
      </c>
      <c r="H412" s="556"/>
      <c r="I412" s="556"/>
      <c r="J412" s="556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7" t="s">
        <v>195</v>
      </c>
      <c r="D413" s="10"/>
      <c r="E413" s="202">
        <v>45702</v>
      </c>
      <c r="F413" s="23">
        <v>43.775756000000008</v>
      </c>
      <c r="G413" s="556" t="s">
        <v>196</v>
      </c>
      <c r="H413" s="556"/>
      <c r="I413" s="556"/>
      <c r="J413" s="556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7" t="s">
        <v>225</v>
      </c>
      <c r="D414" s="10"/>
      <c r="E414" s="202">
        <v>45708</v>
      </c>
      <c r="F414" s="23">
        <v>42.374236000000003</v>
      </c>
      <c r="G414" s="556" t="s">
        <v>196</v>
      </c>
      <c r="H414" s="556"/>
      <c r="I414" s="556"/>
      <c r="J414" s="556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7" t="s">
        <v>224</v>
      </c>
      <c r="D415" s="10"/>
      <c r="E415" s="202">
        <v>45709</v>
      </c>
      <c r="F415" s="23">
        <v>46.049156000000004</v>
      </c>
      <c r="G415" s="556" t="s">
        <v>196</v>
      </c>
      <c r="H415" s="556"/>
      <c r="I415" s="556"/>
      <c r="J415" s="556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7" t="s">
        <v>195</v>
      </c>
      <c r="D416" s="10"/>
      <c r="E416" s="202">
        <v>45707</v>
      </c>
      <c r="F416" s="23">
        <v>43.775756000000008</v>
      </c>
      <c r="G416" s="556" t="s">
        <v>196</v>
      </c>
      <c r="H416" s="556"/>
      <c r="I416" s="556"/>
      <c r="J416" s="556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7" t="s">
        <v>195</v>
      </c>
      <c r="D417" s="10"/>
      <c r="E417" s="202">
        <v>45709</v>
      </c>
      <c r="F417" s="23">
        <v>43.775756000000008</v>
      </c>
      <c r="G417" s="556" t="s">
        <v>196</v>
      </c>
      <c r="H417" s="556"/>
      <c r="I417" s="556"/>
      <c r="J417" s="556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7" t="s">
        <v>195</v>
      </c>
      <c r="D418" s="10"/>
      <c r="E418" s="202">
        <v>45708</v>
      </c>
      <c r="F418" s="23">
        <v>43.775756000000008</v>
      </c>
      <c r="G418" s="556" t="s">
        <v>196</v>
      </c>
      <c r="H418" s="556"/>
      <c r="I418" s="556"/>
      <c r="J418" s="556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7" t="s">
        <v>508</v>
      </c>
      <c r="D419" s="10"/>
      <c r="E419" s="202">
        <v>45707</v>
      </c>
      <c r="F419" s="23">
        <v>64.481662</v>
      </c>
      <c r="G419" s="556" t="s">
        <v>196</v>
      </c>
      <c r="H419" s="556"/>
      <c r="I419" s="556"/>
      <c r="J419" s="556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7" t="s">
        <v>508</v>
      </c>
      <c r="D420" s="10"/>
      <c r="E420" s="202">
        <v>45710</v>
      </c>
      <c r="F420" s="23">
        <v>64.481662</v>
      </c>
      <c r="G420" s="556" t="s">
        <v>196</v>
      </c>
      <c r="H420" s="556"/>
      <c r="I420" s="556"/>
      <c r="J420" s="556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7" t="s">
        <v>224</v>
      </c>
      <c r="D421" s="10"/>
      <c r="E421" s="202">
        <v>45714</v>
      </c>
      <c r="F421" s="23">
        <v>46.049156000000004</v>
      </c>
      <c r="G421" s="556" t="s">
        <v>196</v>
      </c>
      <c r="H421" s="556"/>
      <c r="I421" s="556"/>
      <c r="J421" s="556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7" t="s">
        <v>224</v>
      </c>
      <c r="D422" s="10"/>
      <c r="E422" s="202">
        <v>45715</v>
      </c>
      <c r="F422" s="23">
        <v>46.049156000000004</v>
      </c>
      <c r="G422" s="556" t="s">
        <v>196</v>
      </c>
      <c r="H422" s="556"/>
      <c r="I422" s="556"/>
      <c r="J422" s="556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7" t="s">
        <v>224</v>
      </c>
      <c r="D423" s="10"/>
      <c r="E423" s="202">
        <v>45717</v>
      </c>
      <c r="F423" s="23">
        <v>46.049156000000004</v>
      </c>
      <c r="G423" s="556" t="s">
        <v>196</v>
      </c>
      <c r="H423" s="556"/>
      <c r="I423" s="556"/>
      <c r="J423" s="556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7" t="s">
        <v>224</v>
      </c>
      <c r="D424" s="10"/>
      <c r="E424" s="202">
        <v>45719</v>
      </c>
      <c r="F424" s="23">
        <v>46.049156000000004</v>
      </c>
      <c r="G424" s="556" t="s">
        <v>196</v>
      </c>
      <c r="H424" s="556"/>
      <c r="I424" s="556"/>
      <c r="J424" s="556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7" t="s">
        <v>508</v>
      </c>
      <c r="D425" s="10"/>
      <c r="E425" s="202">
        <v>45715</v>
      </c>
      <c r="F425" s="23">
        <v>64.481662</v>
      </c>
      <c r="G425" s="556" t="s">
        <v>196</v>
      </c>
      <c r="H425" s="556"/>
      <c r="I425" s="556"/>
      <c r="J425" s="556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7" t="s">
        <v>195</v>
      </c>
      <c r="D426" s="10"/>
      <c r="E426" s="202">
        <v>45717</v>
      </c>
      <c r="F426" s="23">
        <v>43.775756000000008</v>
      </c>
      <c r="G426" s="556" t="s">
        <v>196</v>
      </c>
      <c r="H426" s="556"/>
      <c r="I426" s="556"/>
      <c r="J426" s="556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7" t="s">
        <v>195</v>
      </c>
      <c r="D427" s="10"/>
      <c r="E427" s="202">
        <v>45716</v>
      </c>
      <c r="F427" s="23">
        <v>43.775756000000008</v>
      </c>
      <c r="G427" s="556" t="s">
        <v>196</v>
      </c>
      <c r="H427" s="556"/>
      <c r="I427" s="556"/>
      <c r="J427" s="556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7" t="s">
        <v>224</v>
      </c>
      <c r="D428" s="10"/>
      <c r="E428" s="202">
        <v>45717</v>
      </c>
      <c r="F428" s="23">
        <v>46.049156000000004</v>
      </c>
      <c r="G428" s="556" t="s">
        <v>196</v>
      </c>
      <c r="H428" s="556"/>
      <c r="I428" s="556"/>
      <c r="J428" s="556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7" t="s">
        <v>224</v>
      </c>
      <c r="D429" s="10"/>
      <c r="E429" s="202">
        <v>45717</v>
      </c>
      <c r="F429" s="23">
        <v>46.049156000000004</v>
      </c>
      <c r="G429" s="556" t="s">
        <v>196</v>
      </c>
      <c r="H429" s="556"/>
      <c r="I429" s="556"/>
      <c r="J429" s="556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7" t="s">
        <v>225</v>
      </c>
      <c r="D430" s="10"/>
      <c r="E430" s="202">
        <v>45724</v>
      </c>
      <c r="F430" s="23">
        <v>42.374236000000003</v>
      </c>
      <c r="G430" s="556" t="s">
        <v>196</v>
      </c>
      <c r="H430" s="556"/>
      <c r="I430" s="556"/>
      <c r="J430" s="556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7" t="s">
        <v>225</v>
      </c>
      <c r="D431" s="10"/>
      <c r="E431" s="202">
        <v>45724</v>
      </c>
      <c r="F431" s="23">
        <v>42.374236000000003</v>
      </c>
      <c r="G431" s="556" t="s">
        <v>196</v>
      </c>
      <c r="H431" s="556"/>
      <c r="I431" s="556"/>
      <c r="J431" s="556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7" t="s">
        <v>508</v>
      </c>
      <c r="D432" s="10"/>
      <c r="E432" s="202">
        <v>45717</v>
      </c>
      <c r="F432" s="23">
        <v>64.481662</v>
      </c>
      <c r="G432" s="556" t="s">
        <v>196</v>
      </c>
      <c r="H432" s="556"/>
      <c r="I432" s="556"/>
      <c r="J432" s="556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7" t="s">
        <v>195</v>
      </c>
      <c r="D433" s="10"/>
      <c r="E433" s="202">
        <v>45726</v>
      </c>
      <c r="F433" s="23">
        <v>43.775756000000008</v>
      </c>
      <c r="G433" s="556" t="s">
        <v>196</v>
      </c>
      <c r="H433" s="556"/>
      <c r="I433" s="556"/>
      <c r="J433" s="556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7" t="s">
        <v>195</v>
      </c>
      <c r="D434" s="10"/>
      <c r="E434" s="202">
        <v>45726</v>
      </c>
      <c r="F434" s="23">
        <v>43.775756000000008</v>
      </c>
      <c r="G434" s="556" t="s">
        <v>196</v>
      </c>
      <c r="H434" s="556"/>
      <c r="I434" s="556"/>
      <c r="J434" s="556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7" t="s">
        <v>225</v>
      </c>
      <c r="D435" s="10"/>
      <c r="E435" s="202">
        <v>45728</v>
      </c>
      <c r="F435" s="23">
        <v>42.374236000000003</v>
      </c>
      <c r="G435" s="556" t="s">
        <v>196</v>
      </c>
      <c r="H435" s="556"/>
      <c r="I435" s="556"/>
      <c r="J435" s="556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7" t="s">
        <v>224</v>
      </c>
      <c r="D436" s="10"/>
      <c r="E436" s="202">
        <v>45725</v>
      </c>
      <c r="F436" s="23">
        <v>46.049156000000004</v>
      </c>
      <c r="G436" s="556" t="s">
        <v>196</v>
      </c>
      <c r="H436" s="556"/>
      <c r="I436" s="556"/>
      <c r="J436" s="556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7" t="s">
        <v>227</v>
      </c>
      <c r="D437" s="10"/>
      <c r="E437" s="202">
        <v>45729</v>
      </c>
      <c r="F437" s="23">
        <v>55.338726999999999</v>
      </c>
      <c r="G437" s="556" t="s">
        <v>196</v>
      </c>
      <c r="H437" s="556"/>
      <c r="I437" s="556"/>
      <c r="J437" s="556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7" t="s">
        <v>224</v>
      </c>
      <c r="D438" s="10"/>
      <c r="E438" s="202">
        <v>45732</v>
      </c>
      <c r="F438" s="23">
        <v>46.049156000000004</v>
      </c>
      <c r="G438" s="556" t="s">
        <v>196</v>
      </c>
      <c r="H438" s="556"/>
      <c r="I438" s="556"/>
      <c r="J438" s="556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7" t="s">
        <v>225</v>
      </c>
      <c r="D439" s="10"/>
      <c r="E439" s="202">
        <v>45732</v>
      </c>
      <c r="F439" s="23">
        <v>42.374236000000003</v>
      </c>
      <c r="G439" s="556" t="s">
        <v>196</v>
      </c>
      <c r="H439" s="556"/>
      <c r="I439" s="556"/>
      <c r="J439" s="556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7" t="s">
        <v>225</v>
      </c>
      <c r="D440" s="10"/>
      <c r="E440" s="202">
        <v>45735</v>
      </c>
      <c r="F440" s="23">
        <v>42.374236000000003</v>
      </c>
      <c r="G440" s="556" t="s">
        <v>196</v>
      </c>
      <c r="H440" s="556"/>
      <c r="I440" s="556"/>
      <c r="J440" s="556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7" t="s">
        <v>225</v>
      </c>
      <c r="D441" s="10"/>
      <c r="E441" s="202">
        <v>45738</v>
      </c>
      <c r="F441" s="23">
        <v>42.374236000000003</v>
      </c>
      <c r="G441" s="556" t="s">
        <v>196</v>
      </c>
      <c r="H441" s="556"/>
      <c r="I441" s="556"/>
      <c r="J441" s="556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7" t="s">
        <v>225</v>
      </c>
      <c r="D442" s="10"/>
      <c r="E442" s="202">
        <v>45736</v>
      </c>
      <c r="F442" s="23">
        <v>42.374236000000003</v>
      </c>
      <c r="G442" s="556" t="s">
        <v>196</v>
      </c>
      <c r="H442" s="556"/>
      <c r="I442" s="556"/>
      <c r="J442" s="556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7" t="s">
        <v>508</v>
      </c>
      <c r="D443" s="10"/>
      <c r="E443" s="202">
        <v>45738</v>
      </c>
      <c r="F443" s="23">
        <v>64.481662</v>
      </c>
      <c r="G443" s="556" t="s">
        <v>196</v>
      </c>
      <c r="H443" s="556"/>
      <c r="I443" s="556"/>
      <c r="J443" s="556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7" t="s">
        <v>225</v>
      </c>
      <c r="D444" s="10"/>
      <c r="E444" s="202">
        <v>45736</v>
      </c>
      <c r="F444" s="23">
        <v>42.374236000000003</v>
      </c>
      <c r="G444" s="556" t="s">
        <v>196</v>
      </c>
      <c r="H444" s="556"/>
      <c r="I444" s="556"/>
      <c r="J444" s="556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7" t="s">
        <v>225</v>
      </c>
      <c r="D445" s="10"/>
      <c r="E445" s="202">
        <v>45740</v>
      </c>
      <c r="F445" s="23">
        <v>42.374236000000003</v>
      </c>
      <c r="G445" s="556" t="s">
        <v>196</v>
      </c>
      <c r="H445" s="556"/>
      <c r="I445" s="556"/>
      <c r="J445" s="556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7" t="s">
        <v>508</v>
      </c>
      <c r="D446" s="10"/>
      <c r="E446" s="202">
        <v>45740</v>
      </c>
      <c r="F446" s="23">
        <v>64.481662</v>
      </c>
      <c r="G446" s="556" t="s">
        <v>196</v>
      </c>
      <c r="H446" s="556"/>
      <c r="I446" s="556"/>
      <c r="J446" s="556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7" t="s">
        <v>224</v>
      </c>
      <c r="D447" s="10"/>
      <c r="E447" s="202">
        <v>45737</v>
      </c>
      <c r="F447" s="23">
        <v>46.049156000000004</v>
      </c>
      <c r="G447" s="556" t="s">
        <v>196</v>
      </c>
      <c r="H447" s="556"/>
      <c r="I447" s="556"/>
      <c r="J447" s="556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7" t="s">
        <v>225</v>
      </c>
      <c r="D448" s="10"/>
      <c r="E448" s="202">
        <v>45738</v>
      </c>
      <c r="F448" s="23">
        <v>42.374236000000003</v>
      </c>
      <c r="G448" s="556" t="s">
        <v>196</v>
      </c>
      <c r="H448" s="556"/>
      <c r="I448" s="556"/>
      <c r="J448" s="556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7" t="s">
        <v>224</v>
      </c>
      <c r="D449" s="10"/>
      <c r="E449" s="202">
        <v>45740</v>
      </c>
      <c r="F449" s="23">
        <v>46.049156000000004</v>
      </c>
      <c r="G449" s="556" t="s">
        <v>196</v>
      </c>
      <c r="H449" s="556"/>
      <c r="I449" s="556"/>
      <c r="J449" s="556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7" t="s">
        <v>226</v>
      </c>
      <c r="D450" s="10"/>
      <c r="E450" s="202">
        <v>45740</v>
      </c>
      <c r="F450" s="23">
        <v>53.323913999999995</v>
      </c>
      <c r="G450" s="556" t="s">
        <v>196</v>
      </c>
      <c r="H450" s="556"/>
      <c r="I450" s="556"/>
      <c r="J450" s="556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7" t="s">
        <v>195</v>
      </c>
      <c r="D451" s="10"/>
      <c r="E451" s="202">
        <v>45744</v>
      </c>
      <c r="F451" s="23">
        <v>43.775756000000008</v>
      </c>
      <c r="G451" s="556" t="s">
        <v>196</v>
      </c>
      <c r="H451" s="556"/>
      <c r="I451" s="556"/>
      <c r="J451" s="556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7" t="s">
        <v>224</v>
      </c>
      <c r="D452" s="10"/>
      <c r="E452" s="202">
        <v>45744</v>
      </c>
      <c r="F452" s="23">
        <v>46.049156000000004</v>
      </c>
      <c r="G452" s="556" t="s">
        <v>196</v>
      </c>
      <c r="H452" s="556"/>
      <c r="I452" s="556"/>
      <c r="J452" s="556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7" t="s">
        <v>225</v>
      </c>
      <c r="D453" s="10"/>
      <c r="E453" s="202">
        <v>45747</v>
      </c>
      <c r="F453" s="23">
        <v>42.374236000000003</v>
      </c>
      <c r="G453" s="556" t="s">
        <v>196</v>
      </c>
      <c r="H453" s="556"/>
      <c r="I453" s="556"/>
      <c r="J453" s="556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7" t="s">
        <v>225</v>
      </c>
      <c r="D454" s="10"/>
      <c r="E454" s="202">
        <v>45750</v>
      </c>
      <c r="F454" s="23">
        <v>42.374236000000003</v>
      </c>
      <c r="G454" s="556" t="s">
        <v>196</v>
      </c>
      <c r="H454" s="556"/>
      <c r="I454" s="556"/>
      <c r="J454" s="556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7" t="s">
        <v>224</v>
      </c>
      <c r="D455" s="10"/>
      <c r="E455" s="202">
        <v>45747</v>
      </c>
      <c r="F455" s="23">
        <v>46.049156000000004</v>
      </c>
      <c r="G455" s="556" t="s">
        <v>196</v>
      </c>
      <c r="H455" s="556"/>
      <c r="I455" s="556"/>
      <c r="J455" s="556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7" t="s">
        <v>224</v>
      </c>
      <c r="D456" s="10"/>
      <c r="E456" s="202">
        <v>45748</v>
      </c>
      <c r="F456" s="23">
        <v>46.049156000000004</v>
      </c>
      <c r="G456" s="556" t="s">
        <v>196</v>
      </c>
      <c r="H456" s="556"/>
      <c r="I456" s="556"/>
      <c r="J456" s="556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7" t="s">
        <v>551</v>
      </c>
      <c r="D457" s="10"/>
      <c r="E457" s="202">
        <v>45748</v>
      </c>
      <c r="F457" s="23">
        <v>75.858397999999994</v>
      </c>
      <c r="G457" s="556" t="s">
        <v>196</v>
      </c>
      <c r="H457" s="556"/>
      <c r="I457" s="556"/>
      <c r="J457" s="556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7" t="s">
        <v>552</v>
      </c>
      <c r="D458" s="10"/>
      <c r="E458" s="202">
        <v>45748</v>
      </c>
      <c r="F458" s="23">
        <v>87.011570000000006</v>
      </c>
      <c r="G458" s="556" t="s">
        <v>196</v>
      </c>
      <c r="H458" s="556"/>
      <c r="I458" s="556"/>
      <c r="J458" s="556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7" t="s">
        <v>224</v>
      </c>
      <c r="D459" s="10"/>
      <c r="E459" s="202">
        <v>45748</v>
      </c>
      <c r="F459" s="23">
        <v>46.049156000000004</v>
      </c>
      <c r="G459" s="556" t="s">
        <v>196</v>
      </c>
      <c r="H459" s="556"/>
      <c r="I459" s="556"/>
      <c r="J459" s="556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7" t="s">
        <v>224</v>
      </c>
      <c r="D460" s="10"/>
      <c r="E460" s="202">
        <v>45748</v>
      </c>
      <c r="F460" s="23">
        <v>46.049156000000004</v>
      </c>
      <c r="G460" s="556" t="s">
        <v>196</v>
      </c>
      <c r="H460" s="556"/>
      <c r="I460" s="556"/>
      <c r="J460" s="556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7" t="s">
        <v>225</v>
      </c>
      <c r="D461" s="10"/>
      <c r="E461" s="202">
        <v>45755</v>
      </c>
      <c r="F461" s="23">
        <v>42.374236000000003</v>
      </c>
      <c r="G461" s="556" t="s">
        <v>196</v>
      </c>
      <c r="H461" s="556"/>
      <c r="I461" s="556"/>
      <c r="J461" s="556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7" t="s">
        <v>508</v>
      </c>
      <c r="D462" s="10"/>
      <c r="E462" s="202">
        <v>45749</v>
      </c>
      <c r="F462" s="23">
        <v>64.481662</v>
      </c>
      <c r="G462" s="556" t="s">
        <v>196</v>
      </c>
      <c r="H462" s="556"/>
      <c r="I462" s="556"/>
      <c r="J462" s="556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7" t="s">
        <v>224</v>
      </c>
      <c r="D463" s="10"/>
      <c r="E463" s="202">
        <v>45756</v>
      </c>
      <c r="F463" s="23">
        <v>46.049156000000004</v>
      </c>
      <c r="G463" s="556" t="s">
        <v>196</v>
      </c>
      <c r="H463" s="556"/>
      <c r="I463" s="556"/>
      <c r="J463" s="556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7" t="s">
        <v>224</v>
      </c>
      <c r="D464" s="10"/>
      <c r="E464" s="202">
        <v>45752</v>
      </c>
      <c r="F464" s="23">
        <v>46.049156000000004</v>
      </c>
      <c r="G464" s="556" t="s">
        <v>196</v>
      </c>
      <c r="H464" s="556"/>
      <c r="I464" s="556"/>
      <c r="J464" s="556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7" t="s">
        <v>225</v>
      </c>
      <c r="D465" s="10"/>
      <c r="E465" s="202">
        <v>45759</v>
      </c>
      <c r="F465" s="23">
        <v>42.374236000000003</v>
      </c>
      <c r="G465" s="556" t="s">
        <v>196</v>
      </c>
      <c r="H465" s="556"/>
      <c r="I465" s="556"/>
      <c r="J465" s="556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7" t="s">
        <v>560</v>
      </c>
      <c r="D466" s="10"/>
      <c r="E466" s="202">
        <v>45753</v>
      </c>
      <c r="F466" s="23">
        <v>86.256192999999996</v>
      </c>
      <c r="G466" s="556" t="s">
        <v>196</v>
      </c>
      <c r="H466" s="556"/>
      <c r="I466" s="556"/>
      <c r="J466" s="556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7" t="s">
        <v>508</v>
      </c>
      <c r="D467" s="10"/>
      <c r="E467" s="202">
        <v>45759</v>
      </c>
      <c r="F467" s="23">
        <v>64.481662</v>
      </c>
      <c r="G467" s="556" t="s">
        <v>196</v>
      </c>
      <c r="H467" s="556"/>
      <c r="I467" s="556"/>
      <c r="J467" s="556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7" t="s">
        <v>226</v>
      </c>
      <c r="D468" s="10"/>
      <c r="E468" s="202">
        <v>45761</v>
      </c>
      <c r="F468" s="23">
        <v>53.323913999999995</v>
      </c>
      <c r="G468" s="556" t="s">
        <v>196</v>
      </c>
      <c r="H468" s="556"/>
      <c r="I468" s="556"/>
      <c r="J468" s="556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7" t="s">
        <v>225</v>
      </c>
      <c r="D469" s="10"/>
      <c r="E469" s="202">
        <v>45759</v>
      </c>
      <c r="F469" s="23">
        <v>42.374236000000003</v>
      </c>
      <c r="G469" s="556" t="s">
        <v>196</v>
      </c>
      <c r="H469" s="556"/>
      <c r="I469" s="556"/>
      <c r="J469" s="556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7" t="s">
        <v>552</v>
      </c>
      <c r="D470" s="10"/>
      <c r="E470" s="202">
        <v>45759</v>
      </c>
      <c r="F470" s="23">
        <v>87.011570000000006</v>
      </c>
      <c r="G470" s="556" t="s">
        <v>196</v>
      </c>
      <c r="H470" s="556"/>
      <c r="I470" s="556"/>
      <c r="J470" s="556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7" t="s">
        <v>225</v>
      </c>
      <c r="D471" s="10"/>
      <c r="E471" s="202">
        <v>45759</v>
      </c>
      <c r="F471" s="23">
        <v>42.374236000000003</v>
      </c>
      <c r="G471" s="556" t="s">
        <v>196</v>
      </c>
      <c r="H471" s="556"/>
      <c r="I471" s="556"/>
      <c r="J471" s="556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7" t="s">
        <v>224</v>
      </c>
      <c r="D472" s="10"/>
      <c r="E472" s="202">
        <v>45759</v>
      </c>
      <c r="F472" s="23">
        <v>46.049156000000004</v>
      </c>
      <c r="G472" s="556" t="s">
        <v>196</v>
      </c>
      <c r="H472" s="556"/>
      <c r="I472" s="556"/>
      <c r="J472" s="556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7" t="s">
        <v>226</v>
      </c>
      <c r="D473" s="10"/>
      <c r="E473" s="202">
        <v>45763</v>
      </c>
      <c r="F473" s="23">
        <v>53.323913999999995</v>
      </c>
      <c r="G473" s="556" t="s">
        <v>196</v>
      </c>
      <c r="H473" s="556"/>
      <c r="I473" s="556"/>
      <c r="J473" s="556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7" t="s">
        <v>195</v>
      </c>
      <c r="D474" s="10"/>
      <c r="E474" s="202">
        <v>45762</v>
      </c>
      <c r="F474" s="23">
        <v>43.775756000000008</v>
      </c>
      <c r="G474" s="556" t="s">
        <v>196</v>
      </c>
      <c r="H474" s="556"/>
      <c r="I474" s="556"/>
      <c r="J474" s="556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7" t="s">
        <v>225</v>
      </c>
      <c r="D475" s="10"/>
      <c r="E475" s="202">
        <v>45764</v>
      </c>
      <c r="F475" s="23">
        <v>42.374236000000003</v>
      </c>
      <c r="G475" s="556" t="s">
        <v>196</v>
      </c>
      <c r="H475" s="556"/>
      <c r="I475" s="556"/>
      <c r="J475" s="556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7" t="s">
        <v>227</v>
      </c>
      <c r="D476" s="10"/>
      <c r="E476" s="202">
        <v>45759</v>
      </c>
      <c r="F476" s="23">
        <v>55.338726999999999</v>
      </c>
      <c r="G476" s="556" t="s">
        <v>196</v>
      </c>
      <c r="H476" s="556"/>
      <c r="I476" s="556"/>
      <c r="J476" s="556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7" t="s">
        <v>225</v>
      </c>
      <c r="D477" s="10"/>
      <c r="E477" s="202">
        <v>45770</v>
      </c>
      <c r="F477" s="23">
        <v>42.374236000000003</v>
      </c>
      <c r="G477" s="556" t="s">
        <v>196</v>
      </c>
      <c r="H477" s="556"/>
      <c r="I477" s="556"/>
      <c r="J477" s="556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7" t="s">
        <v>225</v>
      </c>
      <c r="D478" s="10"/>
      <c r="E478" s="202">
        <v>45767</v>
      </c>
      <c r="F478" s="23">
        <v>42.374236000000003</v>
      </c>
      <c r="G478" s="556" t="s">
        <v>196</v>
      </c>
      <c r="H478" s="556"/>
      <c r="I478" s="556"/>
      <c r="J478" s="556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7" t="s">
        <v>224</v>
      </c>
      <c r="D479" s="10"/>
      <c r="E479" s="202">
        <v>45770</v>
      </c>
      <c r="F479" s="23">
        <v>46.049156000000004</v>
      </c>
      <c r="G479" s="556" t="s">
        <v>196</v>
      </c>
      <c r="H479" s="556"/>
      <c r="I479" s="556"/>
      <c r="J479" s="556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7" t="s">
        <v>224</v>
      </c>
      <c r="D480" s="10"/>
      <c r="E480" s="202">
        <v>45770</v>
      </c>
      <c r="F480" s="23">
        <v>46.049156000000004</v>
      </c>
      <c r="G480" s="556" t="s">
        <v>196</v>
      </c>
      <c r="H480" s="556"/>
      <c r="I480" s="556"/>
      <c r="J480" s="556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7" t="s">
        <v>363</v>
      </c>
      <c r="D481" s="10"/>
      <c r="E481" s="202">
        <v>45764</v>
      </c>
      <c r="F481" s="23">
        <v>78.677549999999997</v>
      </c>
      <c r="G481" s="556" t="s">
        <v>196</v>
      </c>
      <c r="H481" s="556"/>
      <c r="I481" s="556"/>
      <c r="J481" s="556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7" t="s">
        <v>225</v>
      </c>
      <c r="D482" s="10"/>
      <c r="E482" s="202">
        <v>45769</v>
      </c>
      <c r="F482" s="23">
        <v>42.374236000000003</v>
      </c>
      <c r="G482" s="556" t="s">
        <v>196</v>
      </c>
      <c r="H482" s="556"/>
      <c r="I482" s="556"/>
      <c r="J482" s="556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7" t="s">
        <v>225</v>
      </c>
      <c r="D483" s="10"/>
      <c r="E483" s="202">
        <v>45773</v>
      </c>
      <c r="F483" s="23">
        <v>42.374236000000003</v>
      </c>
      <c r="G483" s="556" t="s">
        <v>196</v>
      </c>
      <c r="H483" s="556"/>
      <c r="I483" s="556"/>
      <c r="J483" s="556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7" t="s">
        <v>225</v>
      </c>
      <c r="D484" s="10"/>
      <c r="E484" s="202">
        <v>45770</v>
      </c>
      <c r="F484" s="23">
        <v>42.374236000000003</v>
      </c>
      <c r="G484" s="556" t="s">
        <v>196</v>
      </c>
      <c r="H484" s="556"/>
      <c r="I484" s="556"/>
      <c r="J484" s="556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7" t="s">
        <v>380</v>
      </c>
      <c r="D485" s="10"/>
      <c r="E485" s="202">
        <v>45769</v>
      </c>
      <c r="F485" s="23">
        <v>97.228551999999993</v>
      </c>
      <c r="G485" s="556" t="s">
        <v>196</v>
      </c>
      <c r="H485" s="556"/>
      <c r="I485" s="556"/>
      <c r="J485" s="556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7" t="s">
        <v>225</v>
      </c>
      <c r="D486" s="10"/>
      <c r="E486" s="202">
        <v>45774</v>
      </c>
      <c r="F486" s="23">
        <v>42.374236000000003</v>
      </c>
      <c r="G486" s="556" t="s">
        <v>196</v>
      </c>
      <c r="H486" s="556"/>
      <c r="I486" s="556"/>
      <c r="J486" s="556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7" t="s">
        <v>224</v>
      </c>
      <c r="D487" s="10"/>
      <c r="E487" s="202">
        <v>45776</v>
      </c>
      <c r="F487" s="23">
        <v>46.049156000000004</v>
      </c>
      <c r="G487" s="556" t="s">
        <v>196</v>
      </c>
      <c r="H487" s="556"/>
      <c r="I487" s="556"/>
      <c r="J487" s="556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7" t="s">
        <v>224</v>
      </c>
      <c r="D488" s="10"/>
      <c r="E488" s="202">
        <v>45776</v>
      </c>
      <c r="F488" s="23">
        <v>46.049156000000004</v>
      </c>
      <c r="G488" s="556" t="s">
        <v>196</v>
      </c>
      <c r="H488" s="556"/>
      <c r="I488" s="556"/>
      <c r="J488" s="556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7" t="s">
        <v>225</v>
      </c>
      <c r="D489" s="10"/>
      <c r="E489" s="202">
        <v>45776</v>
      </c>
      <c r="F489" s="23">
        <v>42.374236000000003</v>
      </c>
      <c r="G489" s="556" t="s">
        <v>196</v>
      </c>
      <c r="H489" s="556"/>
      <c r="I489" s="556"/>
      <c r="J489" s="556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7" t="s">
        <v>224</v>
      </c>
      <c r="D490" s="10"/>
      <c r="E490" s="202">
        <v>45777</v>
      </c>
      <c r="F490" s="23">
        <v>46.049156000000004</v>
      </c>
      <c r="G490" s="556" t="s">
        <v>196</v>
      </c>
      <c r="H490" s="556"/>
      <c r="I490" s="556"/>
      <c r="J490" s="556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7" t="s">
        <v>195</v>
      </c>
      <c r="D491" s="10"/>
      <c r="E491" s="202">
        <v>45777</v>
      </c>
      <c r="F491" s="23">
        <v>43.775756000000008</v>
      </c>
      <c r="G491" s="556" t="s">
        <v>196</v>
      </c>
      <c r="H491" s="556"/>
      <c r="I491" s="556"/>
      <c r="J491" s="556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7" t="s">
        <v>225</v>
      </c>
      <c r="D492" s="10"/>
      <c r="E492" s="202">
        <v>45777</v>
      </c>
      <c r="F492" s="23">
        <v>42.374236000000003</v>
      </c>
      <c r="G492" s="556" t="s">
        <v>196</v>
      </c>
      <c r="H492" s="556"/>
      <c r="I492" s="556"/>
      <c r="J492" s="556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7" t="s">
        <v>224</v>
      </c>
      <c r="D493" s="10"/>
      <c r="E493" s="202">
        <v>45777</v>
      </c>
      <c r="F493" s="23">
        <v>46.049156000000004</v>
      </c>
      <c r="G493" s="556" t="s">
        <v>196</v>
      </c>
      <c r="H493" s="556"/>
      <c r="I493" s="556"/>
      <c r="J493" s="556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7" t="s">
        <v>225</v>
      </c>
      <c r="D494" s="10"/>
      <c r="E494" s="202">
        <v>45783</v>
      </c>
      <c r="F494" s="23">
        <v>42.374236000000003</v>
      </c>
      <c r="G494" s="556" t="s">
        <v>196</v>
      </c>
      <c r="H494" s="556"/>
      <c r="I494" s="556"/>
      <c r="J494" s="556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7" t="s">
        <v>225</v>
      </c>
      <c r="D495" s="10"/>
      <c r="E495" s="202">
        <v>45781</v>
      </c>
      <c r="F495" s="23">
        <v>42.374236000000003</v>
      </c>
      <c r="G495" s="556" t="s">
        <v>196</v>
      </c>
      <c r="H495" s="556"/>
      <c r="I495" s="556"/>
      <c r="J495" s="556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7" t="s">
        <v>225</v>
      </c>
      <c r="D496" s="10"/>
      <c r="E496" s="202">
        <v>45781</v>
      </c>
      <c r="F496" s="23">
        <v>42.374236000000003</v>
      </c>
      <c r="G496" s="556" t="s">
        <v>196</v>
      </c>
      <c r="H496" s="556"/>
      <c r="I496" s="556"/>
      <c r="J496" s="556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7" t="s">
        <v>225</v>
      </c>
      <c r="D497" s="10"/>
      <c r="E497" s="202">
        <v>45782</v>
      </c>
      <c r="F497" s="23">
        <v>42.374236000000003</v>
      </c>
      <c r="G497" s="556" t="s">
        <v>196</v>
      </c>
      <c r="H497" s="556"/>
      <c r="I497" s="556"/>
      <c r="J497" s="556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7" t="s">
        <v>224</v>
      </c>
      <c r="D498" s="10"/>
      <c r="E498" s="202">
        <v>45784</v>
      </c>
      <c r="F498" s="23">
        <v>46.049156000000004</v>
      </c>
      <c r="G498" s="556" t="s">
        <v>196</v>
      </c>
      <c r="H498" s="556"/>
      <c r="I498" s="556"/>
      <c r="J498" s="556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7" t="s">
        <v>225</v>
      </c>
      <c r="D499" s="10"/>
      <c r="E499" s="202">
        <v>45784</v>
      </c>
      <c r="F499" s="23">
        <v>42.374236000000003</v>
      </c>
      <c r="G499" s="556" t="s">
        <v>196</v>
      </c>
      <c r="H499" s="556"/>
      <c r="I499" s="556"/>
      <c r="J499" s="556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7" t="s">
        <v>195</v>
      </c>
      <c r="D500" s="10"/>
      <c r="E500" s="202">
        <v>45784</v>
      </c>
      <c r="F500" s="23">
        <v>43.775756000000008</v>
      </c>
      <c r="G500" s="556" t="s">
        <v>196</v>
      </c>
      <c r="H500" s="556"/>
      <c r="I500" s="556"/>
      <c r="J500" s="556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7" t="s">
        <v>224</v>
      </c>
      <c r="D501" s="10"/>
      <c r="E501" s="202">
        <v>45784</v>
      </c>
      <c r="F501" s="23">
        <v>46.049156000000004</v>
      </c>
      <c r="G501" s="556" t="s">
        <v>196</v>
      </c>
      <c r="H501" s="556"/>
      <c r="I501" s="556"/>
      <c r="J501" s="556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7" t="s">
        <v>380</v>
      </c>
      <c r="D502" s="10"/>
      <c r="E502" s="202">
        <v>45782</v>
      </c>
      <c r="F502" s="23">
        <v>97.228551999999993</v>
      </c>
      <c r="G502" s="556" t="s">
        <v>196</v>
      </c>
      <c r="H502" s="556"/>
      <c r="I502" s="556"/>
      <c r="J502" s="556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7" t="s">
        <v>225</v>
      </c>
      <c r="D503" s="10"/>
      <c r="E503" s="202">
        <v>45788</v>
      </c>
      <c r="F503" s="23">
        <v>42.374236000000003</v>
      </c>
      <c r="G503" s="556" t="s">
        <v>196</v>
      </c>
      <c r="H503" s="556"/>
      <c r="I503" s="556"/>
      <c r="J503" s="556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7" t="s">
        <v>225</v>
      </c>
      <c r="D504" s="10"/>
      <c r="E504" s="202">
        <v>45790</v>
      </c>
      <c r="F504" s="23">
        <v>42.374236000000003</v>
      </c>
      <c r="G504" s="556" t="s">
        <v>196</v>
      </c>
      <c r="H504" s="556"/>
      <c r="I504" s="556"/>
      <c r="J504" s="556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7" t="s">
        <v>195</v>
      </c>
      <c r="D505" s="10"/>
      <c r="E505" s="202">
        <v>45791</v>
      </c>
      <c r="F505" s="23">
        <v>43.775756000000008</v>
      </c>
      <c r="G505" s="556" t="s">
        <v>196</v>
      </c>
      <c r="H505" s="556"/>
      <c r="I505" s="556"/>
      <c r="J505" s="556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7" t="s">
        <v>225</v>
      </c>
      <c r="D506" s="10"/>
      <c r="E506" s="202">
        <v>45791</v>
      </c>
      <c r="F506" s="23">
        <v>42.374236000000003</v>
      </c>
      <c r="G506" s="556" t="s">
        <v>196</v>
      </c>
      <c r="H506" s="556"/>
      <c r="I506" s="556"/>
      <c r="J506" s="556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7" t="s">
        <v>224</v>
      </c>
      <c r="D507" s="10"/>
      <c r="E507" s="202">
        <v>45789</v>
      </c>
      <c r="F507" s="23">
        <v>46.049156000000004</v>
      </c>
      <c r="G507" s="556" t="s">
        <v>196</v>
      </c>
      <c r="H507" s="556"/>
      <c r="I507" s="556"/>
      <c r="J507" s="556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7" t="s">
        <v>225</v>
      </c>
      <c r="D508" s="10"/>
      <c r="E508" s="202">
        <v>45791</v>
      </c>
      <c r="F508" s="23">
        <v>42.374236000000003</v>
      </c>
      <c r="G508" s="556" t="s">
        <v>196</v>
      </c>
      <c r="H508" s="556"/>
      <c r="I508" s="556"/>
      <c r="J508" s="556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7" t="s">
        <v>224</v>
      </c>
      <c r="D509" s="10"/>
      <c r="E509" s="202">
        <v>45789</v>
      </c>
      <c r="F509" s="23">
        <v>46.049156000000004</v>
      </c>
      <c r="G509" s="556" t="s">
        <v>196</v>
      </c>
      <c r="H509" s="556"/>
      <c r="I509" s="556"/>
      <c r="J509" s="556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7" t="s">
        <v>224</v>
      </c>
      <c r="D510" s="10"/>
      <c r="E510" s="202">
        <v>45793</v>
      </c>
      <c r="F510" s="23">
        <v>46.049156000000004</v>
      </c>
      <c r="G510" s="556" t="s">
        <v>196</v>
      </c>
      <c r="H510" s="556"/>
      <c r="I510" s="556"/>
      <c r="J510" s="556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7" t="s">
        <v>225</v>
      </c>
      <c r="D511" s="10"/>
      <c r="E511" s="202">
        <v>45792</v>
      </c>
      <c r="F511" s="23">
        <v>42.374236000000003</v>
      </c>
      <c r="G511" s="556" t="s">
        <v>196</v>
      </c>
      <c r="H511" s="556"/>
      <c r="I511" s="556"/>
      <c r="J511" s="556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7" t="s">
        <v>225</v>
      </c>
      <c r="D512" s="10"/>
      <c r="E512" s="202">
        <v>45788</v>
      </c>
      <c r="F512" s="23">
        <v>42.374236000000003</v>
      </c>
      <c r="G512" s="556" t="s">
        <v>196</v>
      </c>
      <c r="H512" s="556"/>
      <c r="I512" s="556"/>
      <c r="J512" s="556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7" t="s">
        <v>226</v>
      </c>
      <c r="D513" s="10"/>
      <c r="E513" s="202">
        <v>45789</v>
      </c>
      <c r="F513" s="23">
        <v>53.323913999999995</v>
      </c>
      <c r="G513" s="556" t="s">
        <v>196</v>
      </c>
      <c r="H513" s="556"/>
      <c r="I513" s="556"/>
      <c r="J513" s="556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7" t="s">
        <v>225</v>
      </c>
      <c r="D514" s="10"/>
      <c r="E514" s="202">
        <v>45797</v>
      </c>
      <c r="F514" s="23">
        <v>42.374236000000003</v>
      </c>
      <c r="G514" s="556" t="s">
        <v>196</v>
      </c>
      <c r="H514" s="556"/>
      <c r="I514" s="556"/>
      <c r="J514" s="556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7" t="s">
        <v>225</v>
      </c>
      <c r="D515" s="10"/>
      <c r="E515" s="202">
        <v>45797</v>
      </c>
      <c r="F515" s="23">
        <v>42.374236000000003</v>
      </c>
      <c r="G515" s="556" t="s">
        <v>196</v>
      </c>
      <c r="H515" s="556"/>
      <c r="I515" s="556"/>
      <c r="J515" s="556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7" t="s">
        <v>225</v>
      </c>
      <c r="D516" s="10"/>
      <c r="E516" s="202">
        <v>45797</v>
      </c>
      <c r="F516" s="23">
        <v>42.374236000000003</v>
      </c>
      <c r="G516" s="556" t="s">
        <v>196</v>
      </c>
      <c r="H516" s="556"/>
      <c r="I516" s="556"/>
      <c r="J516" s="556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7" t="s">
        <v>604</v>
      </c>
      <c r="D517" s="10"/>
      <c r="E517" s="202">
        <v>45793</v>
      </c>
      <c r="F517" s="23">
        <v>78.073216000000002</v>
      </c>
      <c r="G517" s="556" t="s">
        <v>196</v>
      </c>
      <c r="H517" s="556"/>
      <c r="I517" s="556"/>
      <c r="J517" s="556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7" t="s">
        <v>225</v>
      </c>
      <c r="D518" s="10"/>
      <c r="E518" s="202">
        <v>45787</v>
      </c>
      <c r="F518" s="23">
        <v>42.374236000000003</v>
      </c>
      <c r="G518" s="556" t="s">
        <v>196</v>
      </c>
      <c r="H518" s="556"/>
      <c r="I518" s="556"/>
      <c r="J518" s="556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7" t="s">
        <v>225</v>
      </c>
      <c r="D519" s="10"/>
      <c r="E519" s="202">
        <v>45799</v>
      </c>
      <c r="F519" s="23">
        <v>42.374236000000003</v>
      </c>
      <c r="G519" s="556" t="s">
        <v>196</v>
      </c>
      <c r="H519" s="556"/>
      <c r="I519" s="556"/>
      <c r="J519" s="556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7" t="s">
        <v>225</v>
      </c>
      <c r="D520" s="10"/>
      <c r="E520" s="202">
        <v>45800</v>
      </c>
      <c r="F520" s="23">
        <v>42.374236000000003</v>
      </c>
      <c r="G520" s="556" t="s">
        <v>196</v>
      </c>
      <c r="H520" s="556"/>
      <c r="I520" s="556"/>
      <c r="J520" s="556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7" t="s">
        <v>225</v>
      </c>
      <c r="D521" s="10"/>
      <c r="E521" s="202">
        <v>45800</v>
      </c>
      <c r="F521" s="23">
        <v>42.374236000000003</v>
      </c>
      <c r="G521" s="556" t="s">
        <v>196</v>
      </c>
      <c r="H521" s="556"/>
      <c r="I521" s="556"/>
      <c r="J521" s="556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7" t="s">
        <v>225</v>
      </c>
      <c r="D522" s="10"/>
      <c r="E522" s="202">
        <v>45800</v>
      </c>
      <c r="F522" s="23">
        <v>42.374236000000003</v>
      </c>
      <c r="G522" s="556" t="s">
        <v>196</v>
      </c>
      <c r="H522" s="556"/>
      <c r="I522" s="556"/>
      <c r="J522" s="556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7" t="s">
        <v>225</v>
      </c>
      <c r="D523" s="10"/>
      <c r="E523" s="202">
        <v>45803</v>
      </c>
      <c r="F523" s="23">
        <v>42.374236000000003</v>
      </c>
      <c r="G523" s="556" t="s">
        <v>196</v>
      </c>
      <c r="H523" s="556"/>
      <c r="I523" s="556"/>
      <c r="J523" s="556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7" t="s">
        <v>225</v>
      </c>
      <c r="D524" s="10"/>
      <c r="E524" s="202">
        <v>45802</v>
      </c>
      <c r="F524" s="23">
        <v>42.374236000000003</v>
      </c>
      <c r="G524" s="556" t="s">
        <v>196</v>
      </c>
      <c r="H524" s="556"/>
      <c r="I524" s="556"/>
      <c r="J524" s="556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7" t="s">
        <v>224</v>
      </c>
      <c r="D525" s="10"/>
      <c r="E525" s="202">
        <v>45805</v>
      </c>
      <c r="F525" s="23">
        <v>46.049156000000004</v>
      </c>
      <c r="G525" s="556" t="s">
        <v>196</v>
      </c>
      <c r="H525" s="556"/>
      <c r="I525" s="556"/>
      <c r="J525" s="556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7" t="s">
        <v>227</v>
      </c>
      <c r="D526" s="10"/>
      <c r="E526" s="202">
        <v>45805</v>
      </c>
      <c r="F526" s="23">
        <v>55.338726999999999</v>
      </c>
      <c r="G526" s="556" t="s">
        <v>196</v>
      </c>
      <c r="H526" s="556"/>
      <c r="I526" s="556"/>
      <c r="J526" s="556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7" t="s">
        <v>225</v>
      </c>
      <c r="D527" s="10"/>
      <c r="E527" s="202">
        <v>45802</v>
      </c>
      <c r="F527" s="23">
        <v>42.374236000000003</v>
      </c>
      <c r="G527" s="556" t="s">
        <v>196</v>
      </c>
      <c r="H527" s="556"/>
      <c r="I527" s="556"/>
      <c r="J527" s="556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7" t="s">
        <v>225</v>
      </c>
      <c r="D528" s="10"/>
      <c r="E528" s="202">
        <v>45807</v>
      </c>
      <c r="F528" s="23">
        <v>42.374236000000003</v>
      </c>
      <c r="G528" s="556" t="s">
        <v>196</v>
      </c>
      <c r="H528" s="556"/>
      <c r="I528" s="556"/>
      <c r="J528" s="556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7" t="s">
        <v>380</v>
      </c>
      <c r="D529" s="10"/>
      <c r="E529" s="202">
        <v>45804</v>
      </c>
      <c r="F529" s="23">
        <v>97.228551999999993</v>
      </c>
      <c r="G529" s="556" t="s">
        <v>196</v>
      </c>
      <c r="H529" s="556"/>
      <c r="I529" s="556"/>
      <c r="J529" s="556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7" t="s">
        <v>195</v>
      </c>
      <c r="D530" s="10"/>
      <c r="E530" s="202">
        <v>45812</v>
      </c>
      <c r="F530" s="23">
        <v>43.775756000000008</v>
      </c>
      <c r="G530" s="556" t="s">
        <v>196</v>
      </c>
      <c r="H530" s="556"/>
      <c r="I530" s="556"/>
      <c r="J530" s="556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7" t="s">
        <v>224</v>
      </c>
      <c r="D531" s="10"/>
      <c r="E531" s="202">
        <v>45810</v>
      </c>
      <c r="F531" s="23">
        <v>46.049156000000004</v>
      </c>
      <c r="G531" s="556" t="s">
        <v>196</v>
      </c>
      <c r="H531" s="556"/>
      <c r="I531" s="556"/>
      <c r="J531" s="556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7" t="s">
        <v>225</v>
      </c>
      <c r="D532" s="10"/>
      <c r="E532" s="202">
        <v>45812</v>
      </c>
      <c r="F532" s="23">
        <v>42.374236000000003</v>
      </c>
      <c r="G532" s="556" t="s">
        <v>196</v>
      </c>
      <c r="H532" s="556"/>
      <c r="I532" s="556"/>
      <c r="J532" s="556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7" t="s">
        <v>195</v>
      </c>
      <c r="D533" s="10"/>
      <c r="E533" s="202">
        <v>45816</v>
      </c>
      <c r="F533" s="23">
        <v>43.775756000000008</v>
      </c>
      <c r="G533" s="556" t="s">
        <v>196</v>
      </c>
      <c r="H533" s="556"/>
      <c r="I533" s="556"/>
      <c r="J533" s="556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7" t="s">
        <v>225</v>
      </c>
      <c r="D534" s="10"/>
      <c r="E534" s="202">
        <v>45810</v>
      </c>
      <c r="F534" s="23">
        <v>42.374236000000003</v>
      </c>
      <c r="G534" s="556" t="s">
        <v>196</v>
      </c>
      <c r="H534" s="556"/>
      <c r="I534" s="556"/>
      <c r="J534" s="556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7" t="s">
        <v>195</v>
      </c>
      <c r="D535" s="10"/>
      <c r="E535" s="202">
        <v>45820</v>
      </c>
      <c r="F535" s="23">
        <v>43.775756000000008</v>
      </c>
      <c r="G535" s="556" t="s">
        <v>196</v>
      </c>
      <c r="H535" s="556"/>
      <c r="I535" s="556"/>
      <c r="J535" s="556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7" t="s">
        <v>224</v>
      </c>
      <c r="D536" s="10"/>
      <c r="E536" s="202">
        <v>45818</v>
      </c>
      <c r="F536" s="23">
        <v>46.049156000000004</v>
      </c>
      <c r="G536" s="556" t="s">
        <v>196</v>
      </c>
      <c r="H536" s="556"/>
      <c r="I536" s="556"/>
      <c r="J536" s="556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7" t="s">
        <v>624</v>
      </c>
      <c r="D537" s="10"/>
      <c r="E537" s="202">
        <v>45820</v>
      </c>
      <c r="F537" s="23">
        <v>67.112016999999994</v>
      </c>
      <c r="G537" s="556" t="s">
        <v>196</v>
      </c>
      <c r="H537" s="556"/>
      <c r="I537" s="556"/>
      <c r="J537" s="556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7" t="s">
        <v>626</v>
      </c>
      <c r="D538" s="10"/>
      <c r="E538" s="202">
        <v>45802</v>
      </c>
      <c r="F538" s="23">
        <v>143.46209800000003</v>
      </c>
      <c r="G538" s="556" t="s">
        <v>196</v>
      </c>
      <c r="H538" s="556"/>
      <c r="I538" s="556"/>
      <c r="J538" s="556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7" t="s">
        <v>513</v>
      </c>
      <c r="D539" s="10"/>
      <c r="E539" s="202">
        <v>45820</v>
      </c>
      <c r="F539" s="23">
        <v>73.425832</v>
      </c>
      <c r="G539" s="556" t="s">
        <v>196</v>
      </c>
      <c r="H539" s="556"/>
      <c r="I539" s="556"/>
      <c r="J539" s="556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7" t="s">
        <v>224</v>
      </c>
      <c r="D540" s="10"/>
      <c r="E540" s="202">
        <v>45829</v>
      </c>
      <c r="F540" s="23">
        <v>46.049156000000004</v>
      </c>
      <c r="G540" s="556" t="s">
        <v>196</v>
      </c>
      <c r="H540" s="556"/>
      <c r="I540" s="556"/>
      <c r="J540" s="556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7" t="s">
        <v>224</v>
      </c>
      <c r="D541" s="10"/>
      <c r="E541" s="202">
        <v>45818</v>
      </c>
      <c r="F541" s="23">
        <v>46.049156000000004</v>
      </c>
      <c r="G541" s="556" t="s">
        <v>196</v>
      </c>
      <c r="H541" s="556"/>
      <c r="I541" s="556"/>
      <c r="J541" s="556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7" t="s">
        <v>224</v>
      </c>
      <c r="D542" s="10"/>
      <c r="E542" s="202">
        <v>45828</v>
      </c>
      <c r="F542" s="23">
        <v>46.049156000000004</v>
      </c>
      <c r="G542" s="556" t="s">
        <v>196</v>
      </c>
      <c r="H542" s="556"/>
      <c r="I542" s="556"/>
      <c r="J542" s="556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7" t="s">
        <v>630</v>
      </c>
      <c r="D543" s="10"/>
      <c r="E543" s="202">
        <v>45823</v>
      </c>
      <c r="F543" s="23">
        <v>104.866553</v>
      </c>
      <c r="G543" s="556" t="s">
        <v>196</v>
      </c>
      <c r="H543" s="556"/>
      <c r="I543" s="556"/>
      <c r="J543" s="556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7" t="s">
        <v>225</v>
      </c>
      <c r="D544" s="10"/>
      <c r="E544" s="202">
        <v>45832</v>
      </c>
      <c r="F544" s="23">
        <v>42.374236000000003</v>
      </c>
      <c r="G544" s="556" t="s">
        <v>196</v>
      </c>
      <c r="H544" s="556"/>
      <c r="I544" s="556"/>
      <c r="J544" s="556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7" t="s">
        <v>225</v>
      </c>
      <c r="D545" s="10"/>
      <c r="E545" s="202">
        <v>45835</v>
      </c>
      <c r="F545" s="23">
        <v>42.374236000000003</v>
      </c>
      <c r="G545" s="556" t="s">
        <v>196</v>
      </c>
      <c r="H545" s="556"/>
      <c r="I545" s="556"/>
      <c r="J545" s="556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7" t="s">
        <v>633</v>
      </c>
      <c r="D546" s="10"/>
      <c r="E546" s="202">
        <v>45812</v>
      </c>
      <c r="F546" s="23">
        <v>161.35518400000001</v>
      </c>
      <c r="G546" s="556" t="s">
        <v>196</v>
      </c>
      <c r="H546" s="556"/>
      <c r="I546" s="556"/>
      <c r="J546" s="556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7" t="s">
        <v>635</v>
      </c>
      <c r="D547" s="10"/>
      <c r="E547" s="202">
        <v>45809</v>
      </c>
      <c r="F547" s="23">
        <v>188.37786399999996</v>
      </c>
      <c r="G547" s="556" t="s">
        <v>196</v>
      </c>
      <c r="H547" s="556"/>
      <c r="I547" s="556"/>
      <c r="J547" s="556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7" t="s">
        <v>224</v>
      </c>
      <c r="D548" s="10"/>
      <c r="E548" s="202">
        <v>45832</v>
      </c>
      <c r="F548" s="23">
        <v>46.049156000000004</v>
      </c>
      <c r="G548" s="556" t="s">
        <v>196</v>
      </c>
      <c r="H548" s="556"/>
      <c r="I548" s="556"/>
      <c r="J548" s="556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7" t="s">
        <v>224</v>
      </c>
      <c r="D549" s="10"/>
      <c r="E549" s="202">
        <v>45839</v>
      </c>
      <c r="F549" s="23">
        <v>46.049156000000004</v>
      </c>
      <c r="G549" s="556" t="s">
        <v>196</v>
      </c>
      <c r="H549" s="556"/>
      <c r="I549" s="556"/>
      <c r="J549" s="556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7" t="s">
        <v>227</v>
      </c>
      <c r="D550" s="10"/>
      <c r="E550" s="202">
        <v>45839</v>
      </c>
      <c r="F550" s="23">
        <v>55.338726999999999</v>
      </c>
      <c r="G550" s="556" t="s">
        <v>196</v>
      </c>
      <c r="H550" s="556"/>
      <c r="I550" s="556"/>
      <c r="J550" s="556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7" t="s">
        <v>639</v>
      </c>
      <c r="D551" s="10"/>
      <c r="E551" s="202">
        <v>45843</v>
      </c>
      <c r="F551" s="23">
        <v>101.69198999999999</v>
      </c>
      <c r="G551" s="556" t="s">
        <v>196</v>
      </c>
      <c r="H551" s="556"/>
      <c r="I551" s="556"/>
      <c r="J551" s="556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7" t="s">
        <v>560</v>
      </c>
      <c r="D552" s="10"/>
      <c r="E552" s="202">
        <v>45836</v>
      </c>
      <c r="F552" s="23">
        <v>86.256192999999996</v>
      </c>
      <c r="G552" s="556" t="s">
        <v>196</v>
      </c>
      <c r="H552" s="556"/>
      <c r="I552" s="556"/>
      <c r="J552" s="556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7" t="s">
        <v>380</v>
      </c>
      <c r="D553" s="10"/>
      <c r="E553" s="202">
        <v>45846</v>
      </c>
      <c r="F553" s="23">
        <v>97.228551999999993</v>
      </c>
      <c r="G553" s="556" t="s">
        <v>196</v>
      </c>
      <c r="H553" s="556"/>
      <c r="I553" s="556"/>
      <c r="J553" s="556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7" t="s">
        <v>626</v>
      </c>
      <c r="D554" s="10"/>
      <c r="E554" s="202">
        <v>45858</v>
      </c>
      <c r="F554" s="23">
        <v>143.46209800000003</v>
      </c>
      <c r="G554" s="556" t="s">
        <v>196</v>
      </c>
      <c r="H554" s="556"/>
      <c r="I554" s="556"/>
      <c r="J554" s="556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7" t="s">
        <v>635</v>
      </c>
      <c r="D555" s="10"/>
      <c r="E555" s="202">
        <v>45847</v>
      </c>
      <c r="F555" s="23">
        <v>188.37786399999996</v>
      </c>
      <c r="G555" s="556" t="s">
        <v>196</v>
      </c>
      <c r="H555" s="556"/>
      <c r="I555" s="556"/>
      <c r="J555" s="556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7" t="s">
        <v>224</v>
      </c>
      <c r="D556" s="10"/>
      <c r="E556" s="202">
        <v>45865</v>
      </c>
      <c r="F556" s="23">
        <v>46.049156000000004</v>
      </c>
      <c r="G556" s="556" t="s">
        <v>196</v>
      </c>
      <c r="H556" s="556"/>
      <c r="I556" s="556"/>
      <c r="J556" s="556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7" t="s">
        <v>224</v>
      </c>
      <c r="D557" s="10"/>
      <c r="E557" s="202">
        <v>45883</v>
      </c>
      <c r="F557" s="23">
        <v>46.049156000000004</v>
      </c>
      <c r="G557" s="556" t="s">
        <v>196</v>
      </c>
      <c r="H557" s="556"/>
      <c r="I557" s="556"/>
      <c r="J557" s="556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7" t="s">
        <v>633</v>
      </c>
      <c r="D558" s="10"/>
      <c r="E558" s="202">
        <v>45864</v>
      </c>
      <c r="F558" s="23">
        <v>161.35518400000001</v>
      </c>
      <c r="G558" s="556" t="s">
        <v>196</v>
      </c>
      <c r="H558" s="556"/>
      <c r="I558" s="556"/>
      <c r="J558" s="556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7" t="s">
        <v>380</v>
      </c>
      <c r="D559" s="10"/>
      <c r="E559" s="202">
        <v>45871</v>
      </c>
      <c r="F559" s="23">
        <v>97.228551999999993</v>
      </c>
      <c r="G559" s="556" t="s">
        <v>196</v>
      </c>
      <c r="H559" s="556"/>
      <c r="I559" s="556"/>
      <c r="J559" s="556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7" t="s">
        <v>551</v>
      </c>
      <c r="D560" s="10"/>
      <c r="E560" s="202">
        <v>45873</v>
      </c>
      <c r="F560" s="23">
        <v>75.858397999999994</v>
      </c>
      <c r="G560" s="556" t="s">
        <v>196</v>
      </c>
      <c r="H560" s="556"/>
      <c r="I560" s="556"/>
      <c r="J560" s="556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7" t="s">
        <v>604</v>
      </c>
      <c r="D561" s="10"/>
      <c r="E561" s="202">
        <v>45878</v>
      </c>
      <c r="F561" s="23">
        <v>78.073216000000002</v>
      </c>
      <c r="G561" s="556" t="s">
        <v>196</v>
      </c>
      <c r="H561" s="556"/>
      <c r="I561" s="556"/>
      <c r="J561" s="556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7" t="s">
        <v>647</v>
      </c>
      <c r="D562" s="10"/>
      <c r="E562" s="202">
        <v>45881</v>
      </c>
      <c r="F562" s="23">
        <v>97.653418000000016</v>
      </c>
      <c r="G562" s="556" t="s">
        <v>196</v>
      </c>
      <c r="H562" s="556"/>
      <c r="I562" s="556"/>
      <c r="J562" s="556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7" t="s">
        <v>227</v>
      </c>
      <c r="D563" s="10"/>
      <c r="E563" s="202">
        <v>45887</v>
      </c>
      <c r="F563" s="23">
        <v>55.338726999999999</v>
      </c>
      <c r="G563" s="556" t="s">
        <v>196</v>
      </c>
      <c r="H563" s="556"/>
      <c r="I563" s="556"/>
      <c r="J563" s="556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7" t="s">
        <v>648</v>
      </c>
      <c r="D564" s="10"/>
      <c r="E564" s="202">
        <v>45879</v>
      </c>
      <c r="F564" s="23">
        <v>118.43025200000001</v>
      </c>
      <c r="G564" s="556" t="s">
        <v>196</v>
      </c>
      <c r="H564" s="556"/>
      <c r="I564" s="556"/>
      <c r="J564" s="556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7" t="s">
        <v>650</v>
      </c>
      <c r="D565" s="10"/>
      <c r="E565" s="202">
        <v>45885</v>
      </c>
      <c r="F565" s="23">
        <v>110.625505</v>
      </c>
      <c r="G565" s="556" t="s">
        <v>196</v>
      </c>
      <c r="H565" s="556"/>
      <c r="I565" s="556"/>
      <c r="J565" s="556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7" t="s">
        <v>647</v>
      </c>
      <c r="D566" s="10"/>
      <c r="E566" s="202">
        <v>45893</v>
      </c>
      <c r="F566" s="23">
        <v>97.653418000000016</v>
      </c>
      <c r="G566" s="556" t="s">
        <v>196</v>
      </c>
      <c r="H566" s="556"/>
      <c r="I566" s="556"/>
      <c r="J566" s="556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7" t="s">
        <v>653</v>
      </c>
      <c r="D567" s="10"/>
      <c r="E567" s="202">
        <v>45903</v>
      </c>
      <c r="F567" s="23">
        <v>89.717756999999978</v>
      </c>
      <c r="G567" s="556" t="s">
        <v>196</v>
      </c>
      <c r="H567" s="556"/>
      <c r="I567" s="556"/>
      <c r="J567" s="556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7" t="s">
        <v>513</v>
      </c>
      <c r="D568" s="10"/>
      <c r="E568" s="202">
        <v>45900</v>
      </c>
      <c r="F568" s="23">
        <v>73.425832</v>
      </c>
      <c r="G568" s="556" t="s">
        <v>196</v>
      </c>
      <c r="H568" s="556"/>
      <c r="I568" s="556"/>
      <c r="J568" s="556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7" t="s">
        <v>655</v>
      </c>
      <c r="D569" s="10"/>
      <c r="E569" s="202">
        <v>45905</v>
      </c>
      <c r="F569" s="23">
        <v>90.125158999999982</v>
      </c>
      <c r="G569" s="556" t="s">
        <v>196</v>
      </c>
      <c r="H569" s="556"/>
      <c r="I569" s="556"/>
      <c r="J569" s="556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7" t="s">
        <v>655</v>
      </c>
      <c r="D570" s="10"/>
      <c r="E570" s="202">
        <v>45907</v>
      </c>
      <c r="F570" s="23">
        <v>90.125158999999982</v>
      </c>
      <c r="G570" s="556" t="s">
        <v>196</v>
      </c>
      <c r="H570" s="556"/>
      <c r="I570" s="556"/>
      <c r="J570" s="556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7" t="s">
        <v>633</v>
      </c>
      <c r="D571" s="10"/>
      <c r="E571" s="202">
        <v>45875</v>
      </c>
      <c r="F571" s="23">
        <v>161.35518400000001</v>
      </c>
      <c r="G571" s="556" t="s">
        <v>196</v>
      </c>
      <c r="H571" s="556"/>
      <c r="I571" s="556"/>
      <c r="J571" s="556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7" t="s">
        <v>225</v>
      </c>
      <c r="D572" s="10"/>
      <c r="E572" s="202">
        <v>45887</v>
      </c>
      <c r="F572" s="23">
        <v>42.374236000000003</v>
      </c>
      <c r="G572" s="556" t="s">
        <v>196</v>
      </c>
      <c r="H572" s="556"/>
      <c r="I572" s="556"/>
      <c r="J572" s="556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7" t="s">
        <v>225</v>
      </c>
      <c r="D573" s="10"/>
      <c r="E573" s="202">
        <v>45915</v>
      </c>
      <c r="F573" s="23">
        <v>42.374236000000003</v>
      </c>
      <c r="G573" s="556" t="s">
        <v>196</v>
      </c>
      <c r="H573" s="556"/>
      <c r="I573" s="556"/>
      <c r="J573" s="556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7" t="s">
        <v>225</v>
      </c>
      <c r="D574" s="10"/>
      <c r="E574" s="202">
        <v>45915</v>
      </c>
      <c r="F574" s="23">
        <v>42.374236000000003</v>
      </c>
      <c r="G574" s="556" t="s">
        <v>196</v>
      </c>
      <c r="H574" s="556"/>
      <c r="I574" s="556"/>
      <c r="J574" s="556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7" t="s">
        <v>552</v>
      </c>
      <c r="D575" s="10"/>
      <c r="E575" s="202">
        <v>45900</v>
      </c>
      <c r="F575" s="23">
        <v>87.011570000000006</v>
      </c>
      <c r="G575" s="556" t="s">
        <v>196</v>
      </c>
      <c r="H575" s="556"/>
      <c r="I575" s="556"/>
      <c r="J575" s="556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7" t="s">
        <v>363</v>
      </c>
      <c r="D576" s="10"/>
      <c r="E576" s="202">
        <v>45915</v>
      </c>
      <c r="F576" s="23">
        <v>78.677549999999997</v>
      </c>
      <c r="G576" s="556" t="s">
        <v>196</v>
      </c>
      <c r="H576" s="556"/>
      <c r="I576" s="556"/>
      <c r="J576" s="556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7" t="s">
        <v>551</v>
      </c>
      <c r="D577" s="10"/>
      <c r="E577" s="202">
        <v>45911</v>
      </c>
      <c r="F577" s="23">
        <v>75.858397999999994</v>
      </c>
      <c r="G577" s="556" t="s">
        <v>196</v>
      </c>
      <c r="H577" s="556"/>
      <c r="I577" s="556"/>
      <c r="J577" s="556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7" t="s">
        <v>633</v>
      </c>
      <c r="D578" s="10"/>
      <c r="E578" s="202">
        <v>45897</v>
      </c>
      <c r="F578" s="23">
        <v>161.35518400000001</v>
      </c>
      <c r="G578" s="556" t="s">
        <v>196</v>
      </c>
      <c r="H578" s="556"/>
      <c r="I578" s="556"/>
      <c r="J578" s="556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7" t="s">
        <v>225</v>
      </c>
      <c r="D579" s="10"/>
      <c r="E579" s="202">
        <v>45924</v>
      </c>
      <c r="F579" s="23">
        <v>42.374000000000002</v>
      </c>
      <c r="G579" s="556" t="s">
        <v>196</v>
      </c>
      <c r="H579" s="556"/>
      <c r="I579" s="556"/>
      <c r="J579" s="556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7" t="s">
        <v>624</v>
      </c>
      <c r="D580" s="10"/>
      <c r="E580" s="202">
        <v>45925</v>
      </c>
      <c r="F580" s="23">
        <v>67.111999999999995</v>
      </c>
      <c r="G580" s="556" t="s">
        <v>196</v>
      </c>
      <c r="H580" s="556"/>
      <c r="I580" s="556"/>
      <c r="J580" s="556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7" t="s">
        <v>508</v>
      </c>
      <c r="D581" s="10"/>
      <c r="E581" s="202">
        <v>45925</v>
      </c>
      <c r="F581" s="23">
        <v>64.481662</v>
      </c>
      <c r="G581" s="556" t="s">
        <v>196</v>
      </c>
      <c r="H581" s="556"/>
      <c r="I581" s="556"/>
      <c r="J581" s="556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7" t="s">
        <v>604</v>
      </c>
      <c r="D582" s="10"/>
      <c r="E582" s="191">
        <v>45931</v>
      </c>
      <c r="F582" s="23">
        <v>78.073216000000002</v>
      </c>
      <c r="G582" s="556" t="s">
        <v>196</v>
      </c>
      <c r="H582" s="556"/>
      <c r="I582" s="556"/>
      <c r="J582" s="556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7" t="s">
        <v>639</v>
      </c>
      <c r="D583" s="10"/>
      <c r="E583" s="191">
        <v>45922</v>
      </c>
      <c r="F583" s="23">
        <v>101.69198999999999</v>
      </c>
      <c r="G583" s="556" t="s">
        <v>196</v>
      </c>
      <c r="H583" s="556"/>
      <c r="I583" s="556"/>
      <c r="J583" s="556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7" t="s">
        <v>226</v>
      </c>
      <c r="D584" s="10"/>
      <c r="E584" s="202">
        <v>45918</v>
      </c>
      <c r="F584" s="23">
        <v>53.323913999999995</v>
      </c>
      <c r="G584" s="556" t="s">
        <v>196</v>
      </c>
      <c r="H584" s="556"/>
      <c r="I584" s="556"/>
      <c r="J584" s="556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7" t="s">
        <v>626</v>
      </c>
      <c r="D585" s="10"/>
      <c r="E585" s="202">
        <v>45923</v>
      </c>
      <c r="F585" s="23">
        <v>143.46209800000003</v>
      </c>
      <c r="G585" s="556" t="s">
        <v>196</v>
      </c>
      <c r="H585" s="556"/>
      <c r="I585" s="556"/>
      <c r="J585" s="556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7" t="s">
        <v>748</v>
      </c>
      <c r="D586" s="10"/>
      <c r="E586" s="202">
        <v>45925</v>
      </c>
      <c r="F586" s="23">
        <v>110.69581699999999</v>
      </c>
      <c r="G586" s="556" t="s">
        <v>196</v>
      </c>
      <c r="H586" s="556"/>
      <c r="I586" s="556"/>
      <c r="J586" s="556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7" t="s">
        <v>513</v>
      </c>
      <c r="D587" s="10"/>
      <c r="E587" s="202">
        <v>45926</v>
      </c>
      <c r="F587" s="23">
        <v>73.425832</v>
      </c>
      <c r="G587" s="556" t="s">
        <v>196</v>
      </c>
      <c r="H587" s="556"/>
      <c r="I587" s="556"/>
      <c r="J587" s="556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7" t="s">
        <v>225</v>
      </c>
      <c r="D588" s="10"/>
      <c r="E588" s="202">
        <v>45938</v>
      </c>
      <c r="F588" s="23">
        <v>42.374236000000003</v>
      </c>
      <c r="G588" s="556" t="s">
        <v>196</v>
      </c>
      <c r="H588" s="556"/>
      <c r="I588" s="556"/>
      <c r="J588" s="556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7" t="s">
        <v>748</v>
      </c>
      <c r="D589" s="10"/>
      <c r="E589" s="202">
        <v>45937</v>
      </c>
      <c r="F589" s="23">
        <v>110.69581699999999</v>
      </c>
      <c r="G589" s="556" t="s">
        <v>196</v>
      </c>
      <c r="H589" s="556"/>
      <c r="I589" s="556"/>
      <c r="J589" s="556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7" t="s">
        <v>722</v>
      </c>
      <c r="D590" s="10"/>
      <c r="E590" s="202">
        <v>45933</v>
      </c>
      <c r="F590" s="23">
        <v>97.833781999999985</v>
      </c>
      <c r="G590" s="556" t="s">
        <v>196</v>
      </c>
      <c r="H590" s="556"/>
      <c r="I590" s="556"/>
      <c r="J590" s="556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7" t="s">
        <v>748</v>
      </c>
      <c r="D591" s="10"/>
      <c r="E591" s="202">
        <v>45923</v>
      </c>
      <c r="F591" s="23">
        <v>110.69581699999999</v>
      </c>
      <c r="G591" s="556" t="s">
        <v>196</v>
      </c>
      <c r="H591" s="556"/>
      <c r="I591" s="556"/>
      <c r="J591" s="556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7" t="s">
        <v>513</v>
      </c>
      <c r="D592" s="202"/>
      <c r="E592" s="202">
        <v>45953</v>
      </c>
      <c r="F592" s="23">
        <v>73.425832</v>
      </c>
      <c r="G592" s="556" t="s">
        <v>196</v>
      </c>
      <c r="H592" s="556"/>
      <c r="I592" s="556"/>
      <c r="J592" s="556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7" t="s">
        <v>380</v>
      </c>
      <c r="D593" s="10"/>
      <c r="E593" s="202">
        <v>45939</v>
      </c>
      <c r="F593" s="23">
        <v>97.228551999999993</v>
      </c>
      <c r="G593" s="556" t="s">
        <v>196</v>
      </c>
      <c r="H593" s="556"/>
      <c r="I593" s="556"/>
      <c r="J593" s="556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7" t="s">
        <v>551</v>
      </c>
      <c r="D594" s="10"/>
      <c r="E594" s="202">
        <v>45956</v>
      </c>
      <c r="F594" s="23">
        <v>75.858397999999994</v>
      </c>
      <c r="G594" s="556" t="s">
        <v>196</v>
      </c>
      <c r="H594" s="556"/>
      <c r="I594" s="556"/>
      <c r="J594" s="556"/>
      <c r="K594" s="202">
        <v>45971</v>
      </c>
      <c r="L594" s="203" t="s">
        <v>424</v>
      </c>
      <c r="M594" s="10"/>
      <c r="N594" s="197"/>
      <c r="O594" s="198"/>
      <c r="P594" s="198"/>
    </row>
    <row r="595" spans="1:16" ht="15.75" customHeight="1">
      <c r="A595" s="10">
        <v>277</v>
      </c>
      <c r="B595" s="273" t="s">
        <v>431</v>
      </c>
      <c r="C595" s="457" t="s">
        <v>195</v>
      </c>
      <c r="D595" s="10"/>
      <c r="E595" s="202">
        <v>45924</v>
      </c>
      <c r="F595" s="23">
        <v>43.775756000000008</v>
      </c>
      <c r="G595" s="574" t="s">
        <v>220</v>
      </c>
      <c r="H595" s="575"/>
      <c r="I595" s="575"/>
      <c r="J595" s="576"/>
      <c r="K595" s="202"/>
      <c r="L595" s="203" t="s">
        <v>1043</v>
      </c>
      <c r="M595" s="10"/>
      <c r="N595" s="197"/>
      <c r="O595" s="198"/>
      <c r="P595" s="198"/>
    </row>
    <row r="596" spans="1:16" ht="15.75" customHeight="1">
      <c r="A596" s="10">
        <v>278</v>
      </c>
      <c r="B596" s="273" t="s">
        <v>299</v>
      </c>
      <c r="C596" s="457" t="s">
        <v>635</v>
      </c>
      <c r="D596" s="10"/>
      <c r="E596" s="202">
        <v>45925</v>
      </c>
      <c r="F596" s="23">
        <v>188.37786399999996</v>
      </c>
      <c r="G596" s="574" t="s">
        <v>220</v>
      </c>
      <c r="H596" s="575"/>
      <c r="I596" s="575"/>
      <c r="J596" s="576"/>
      <c r="K596" s="202"/>
      <c r="L596" s="203" t="s">
        <v>750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421</v>
      </c>
      <c r="C597" s="457" t="s">
        <v>650</v>
      </c>
      <c r="D597" s="10"/>
      <c r="E597" s="202">
        <v>45927</v>
      </c>
      <c r="F597" s="23">
        <v>110.625505</v>
      </c>
      <c r="G597" s="574" t="s">
        <v>220</v>
      </c>
      <c r="H597" s="575"/>
      <c r="I597" s="575"/>
      <c r="J597" s="576"/>
      <c r="K597" s="202"/>
      <c r="L597" s="203" t="s">
        <v>687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440</v>
      </c>
      <c r="C598" s="457" t="s">
        <v>380</v>
      </c>
      <c r="D598" s="10"/>
      <c r="E598" s="202">
        <v>45938</v>
      </c>
      <c r="F598" s="23">
        <v>97.228551999999993</v>
      </c>
      <c r="G598" s="574" t="s">
        <v>220</v>
      </c>
      <c r="H598" s="575"/>
      <c r="I598" s="575"/>
      <c r="J598" s="576"/>
      <c r="K598" s="202"/>
      <c r="L598" s="203" t="s">
        <v>683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327</v>
      </c>
      <c r="C599" s="457" t="s">
        <v>655</v>
      </c>
      <c r="D599" s="202"/>
      <c r="E599" s="202">
        <v>45945</v>
      </c>
      <c r="F599" s="23">
        <v>90.125</v>
      </c>
      <c r="G599" s="574" t="s">
        <v>220</v>
      </c>
      <c r="H599" s="575"/>
      <c r="I599" s="575"/>
      <c r="J599" s="576"/>
      <c r="K599" s="202"/>
      <c r="L599" s="203" t="s">
        <v>751</v>
      </c>
      <c r="M599" s="10"/>
      <c r="N599" s="197"/>
      <c r="O599" s="198"/>
      <c r="P599" s="198"/>
    </row>
    <row r="600" spans="1:16" ht="15.75" customHeight="1">
      <c r="A600" s="10">
        <v>282</v>
      </c>
      <c r="B600" s="149" t="s">
        <v>434</v>
      </c>
      <c r="C600" s="447" t="s">
        <v>195</v>
      </c>
      <c r="D600" s="10"/>
      <c r="E600" s="202">
        <v>45959</v>
      </c>
      <c r="F600" s="23">
        <v>43.775756000000008</v>
      </c>
      <c r="G600" s="574" t="s">
        <v>220</v>
      </c>
      <c r="H600" s="575"/>
      <c r="I600" s="575"/>
      <c r="J600" s="576"/>
      <c r="K600" s="202"/>
      <c r="L600" s="203" t="s">
        <v>1111</v>
      </c>
      <c r="M600" s="10"/>
      <c r="N600" s="197"/>
      <c r="O600" s="198"/>
      <c r="P600" s="198"/>
    </row>
    <row r="601" spans="1:16" ht="15.75" customHeight="1">
      <c r="A601" s="10">
        <v>283</v>
      </c>
      <c r="B601" s="149" t="s">
        <v>134</v>
      </c>
      <c r="C601" s="447" t="s">
        <v>225</v>
      </c>
      <c r="D601" s="10"/>
      <c r="E601" s="202">
        <v>45959</v>
      </c>
      <c r="F601" s="23">
        <v>43.775756000000008</v>
      </c>
      <c r="G601" s="574" t="s">
        <v>220</v>
      </c>
      <c r="H601" s="575"/>
      <c r="I601" s="575"/>
      <c r="J601" s="576"/>
      <c r="K601" s="202"/>
      <c r="L601" s="203" t="s">
        <v>753</v>
      </c>
      <c r="M601" s="10"/>
      <c r="N601" s="197"/>
      <c r="O601" s="198"/>
      <c r="P601" s="198"/>
    </row>
    <row r="602" spans="1:16" ht="15.75" customHeight="1">
      <c r="A602" s="10">
        <v>284</v>
      </c>
      <c r="B602" s="149" t="s">
        <v>690</v>
      </c>
      <c r="C602" s="447" t="s">
        <v>195</v>
      </c>
      <c r="D602" s="10"/>
      <c r="E602" s="202">
        <v>45967</v>
      </c>
      <c r="F602" s="23">
        <v>43.775756000000008</v>
      </c>
      <c r="G602" s="574" t="s">
        <v>220</v>
      </c>
      <c r="H602" s="575"/>
      <c r="I602" s="575"/>
      <c r="J602" s="576"/>
      <c r="K602" s="202"/>
      <c r="L602" s="203" t="s">
        <v>1052</v>
      </c>
      <c r="M602" s="10"/>
      <c r="N602" s="197"/>
      <c r="O602" s="198"/>
      <c r="P602" s="198"/>
    </row>
    <row r="603" spans="1:16" ht="15.75" customHeight="1">
      <c r="A603" s="10">
        <v>285</v>
      </c>
      <c r="B603" s="149" t="s">
        <v>294</v>
      </c>
      <c r="C603" s="447" t="s">
        <v>717</v>
      </c>
      <c r="D603" s="10"/>
      <c r="E603" s="202">
        <v>45969</v>
      </c>
      <c r="F603" s="23">
        <v>101.93300000000001</v>
      </c>
      <c r="G603" s="574" t="s">
        <v>220</v>
      </c>
      <c r="H603" s="575"/>
      <c r="I603" s="575"/>
      <c r="J603" s="576"/>
      <c r="K603" s="202"/>
      <c r="L603" s="203" t="s">
        <v>752</v>
      </c>
      <c r="M603" s="10"/>
      <c r="N603" s="197"/>
      <c r="O603" s="198"/>
      <c r="P603" s="198"/>
    </row>
    <row r="604" spans="1:16">
      <c r="A604" s="10">
        <v>286</v>
      </c>
      <c r="B604" s="149" t="s">
        <v>328</v>
      </c>
      <c r="C604" s="447" t="s">
        <v>1053</v>
      </c>
      <c r="D604" s="10"/>
      <c r="E604" s="202">
        <v>45971</v>
      </c>
      <c r="F604" s="23">
        <v>124.03700000000001</v>
      </c>
      <c r="G604" s="574" t="s">
        <v>220</v>
      </c>
      <c r="H604" s="575"/>
      <c r="I604" s="575"/>
      <c r="J604" s="576"/>
      <c r="K604" s="202"/>
      <c r="L604" s="203" t="s">
        <v>424</v>
      </c>
      <c r="M604" s="10"/>
      <c r="N604" s="197"/>
      <c r="O604" s="198"/>
      <c r="P604" s="198"/>
    </row>
    <row r="610" spans="1:10" ht="21">
      <c r="A610" s="580" t="s">
        <v>65</v>
      </c>
      <c r="B610" s="581"/>
      <c r="C610" s="581"/>
      <c r="D610" s="581"/>
      <c r="E610" s="581"/>
      <c r="F610" s="581"/>
      <c r="G610" s="581"/>
      <c r="H610" s="581"/>
      <c r="I610" s="581"/>
      <c r="J610" s="582"/>
    </row>
    <row r="611" spans="1:10" ht="26.5" thickBot="1">
      <c r="A611" s="30" t="s">
        <v>188</v>
      </c>
      <c r="B611" s="30" t="s">
        <v>70</v>
      </c>
      <c r="C611" s="456" t="s">
        <v>198</v>
      </c>
      <c r="D611" s="583" t="s">
        <v>71</v>
      </c>
      <c r="E611" s="584"/>
      <c r="F611" s="584"/>
      <c r="G611" s="585"/>
      <c r="H611" s="30" t="s">
        <v>192</v>
      </c>
      <c r="I611" s="30" t="s">
        <v>193</v>
      </c>
      <c r="J611" s="30" t="s">
        <v>73</v>
      </c>
    </row>
    <row r="612" spans="1:10">
      <c r="A612" s="10">
        <v>1</v>
      </c>
      <c r="B612" s="274" t="s">
        <v>756</v>
      </c>
      <c r="C612" s="422">
        <v>4.8187499999999996</v>
      </c>
      <c r="D612" s="573" t="s">
        <v>196</v>
      </c>
      <c r="E612" s="573"/>
      <c r="F612" s="573"/>
      <c r="G612" s="573"/>
      <c r="H612" s="280" t="s">
        <v>775</v>
      </c>
      <c r="I612" s="10"/>
      <c r="J612" s="28"/>
    </row>
    <row r="613" spans="1:10">
      <c r="A613" s="10">
        <v>2</v>
      </c>
      <c r="B613" s="274" t="s">
        <v>757</v>
      </c>
      <c r="C613" s="422">
        <v>1.23428</v>
      </c>
      <c r="D613" s="573" t="s">
        <v>196</v>
      </c>
      <c r="E613" s="573"/>
      <c r="F613" s="573"/>
      <c r="G613" s="573"/>
      <c r="H613" s="280" t="s">
        <v>775</v>
      </c>
      <c r="I613" s="10"/>
      <c r="J613" s="28"/>
    </row>
    <row r="614" spans="1:10">
      <c r="A614" s="10">
        <v>3</v>
      </c>
      <c r="B614" s="274" t="s">
        <v>758</v>
      </c>
      <c r="C614" s="422">
        <v>3.9570500000000002</v>
      </c>
      <c r="D614" s="573" t="s">
        <v>196</v>
      </c>
      <c r="E614" s="573"/>
      <c r="F614" s="573"/>
      <c r="G614" s="573"/>
      <c r="H614" s="280" t="s">
        <v>776</v>
      </c>
      <c r="I614" s="10"/>
      <c r="J614" s="28"/>
    </row>
    <row r="615" spans="1:10">
      <c r="A615" s="10">
        <v>4</v>
      </c>
      <c r="B615" s="274" t="s">
        <v>759</v>
      </c>
      <c r="C615" s="422">
        <v>2.0167199999999998</v>
      </c>
      <c r="D615" s="573" t="s">
        <v>196</v>
      </c>
      <c r="E615" s="573"/>
      <c r="F615" s="573"/>
      <c r="G615" s="573"/>
      <c r="H615" s="280" t="s">
        <v>775</v>
      </c>
      <c r="I615" s="10"/>
      <c r="J615" s="28"/>
    </row>
    <row r="616" spans="1:10">
      <c r="A616" s="10">
        <v>5</v>
      </c>
      <c r="B616" s="275" t="s">
        <v>760</v>
      </c>
      <c r="C616" s="423">
        <v>4.2836699999999999</v>
      </c>
      <c r="D616" s="573" t="s">
        <v>196</v>
      </c>
      <c r="E616" s="573"/>
      <c r="F616" s="573"/>
      <c r="G616" s="573"/>
      <c r="H616" s="280" t="s">
        <v>776</v>
      </c>
      <c r="I616" s="10"/>
      <c r="J616" s="28"/>
    </row>
    <row r="617" spans="1:10">
      <c r="A617" s="10">
        <v>6</v>
      </c>
      <c r="B617" s="276" t="s">
        <v>761</v>
      </c>
      <c r="C617" s="424">
        <v>0.22361</v>
      </c>
      <c r="D617" s="573" t="s">
        <v>196</v>
      </c>
      <c r="E617" s="573"/>
      <c r="F617" s="573"/>
      <c r="G617" s="573"/>
      <c r="H617" s="280" t="s">
        <v>775</v>
      </c>
      <c r="I617" s="10"/>
      <c r="J617" s="28" t="s">
        <v>1046</v>
      </c>
    </row>
    <row r="618" spans="1:10">
      <c r="A618" s="10">
        <v>7</v>
      </c>
      <c r="B618" s="276" t="s">
        <v>762</v>
      </c>
      <c r="C618" s="424">
        <v>0.40717000000000003</v>
      </c>
      <c r="D618" s="573" t="s">
        <v>196</v>
      </c>
      <c r="E618" s="573"/>
      <c r="F618" s="573"/>
      <c r="G618" s="573"/>
      <c r="H618" s="280" t="s">
        <v>776</v>
      </c>
      <c r="I618" s="10"/>
      <c r="J618" s="28"/>
    </row>
    <row r="619" spans="1:10">
      <c r="A619" s="10">
        <v>8</v>
      </c>
      <c r="B619" s="274" t="s">
        <v>763</v>
      </c>
      <c r="C619" s="423">
        <v>2.2262199999999996</v>
      </c>
      <c r="D619" s="573" t="s">
        <v>196</v>
      </c>
      <c r="E619" s="573"/>
      <c r="F619" s="573"/>
      <c r="G619" s="573"/>
      <c r="H619" s="280" t="s">
        <v>775</v>
      </c>
      <c r="I619" s="10"/>
      <c r="J619" s="28"/>
    </row>
    <row r="620" spans="1:10">
      <c r="A620" s="10">
        <v>9</v>
      </c>
      <c r="B620" s="274" t="s">
        <v>764</v>
      </c>
      <c r="C620" s="423">
        <v>4.7815000000000003</v>
      </c>
      <c r="D620" s="573" t="s">
        <v>196</v>
      </c>
      <c r="E620" s="573"/>
      <c r="F620" s="573"/>
      <c r="G620" s="573"/>
      <c r="H620" s="280" t="s">
        <v>776</v>
      </c>
      <c r="I620" s="10"/>
      <c r="J620" s="28"/>
    </row>
    <row r="621" spans="1:10">
      <c r="A621" s="10">
        <v>10</v>
      </c>
      <c r="B621" s="274" t="s">
        <v>765</v>
      </c>
      <c r="C621" s="423">
        <v>0.72357000000000005</v>
      </c>
      <c r="D621" s="573" t="s">
        <v>196</v>
      </c>
      <c r="E621" s="573"/>
      <c r="F621" s="573"/>
      <c r="G621" s="573"/>
      <c r="H621" s="280" t="s">
        <v>775</v>
      </c>
      <c r="I621" s="10"/>
      <c r="J621" s="28"/>
    </row>
    <row r="622" spans="1:10">
      <c r="A622" s="10">
        <v>11</v>
      </c>
      <c r="B622" s="276" t="s">
        <v>766</v>
      </c>
      <c r="C622" s="425">
        <v>0.28343000000000002</v>
      </c>
      <c r="D622" s="573" t="s">
        <v>196</v>
      </c>
      <c r="E622" s="573"/>
      <c r="F622" s="573"/>
      <c r="G622" s="573"/>
      <c r="H622" s="280" t="s">
        <v>775</v>
      </c>
      <c r="I622" s="10"/>
      <c r="J622" s="466" t="s">
        <v>1045</v>
      </c>
    </row>
    <row r="623" spans="1:10">
      <c r="A623" s="10">
        <v>12</v>
      </c>
      <c r="B623" s="274" t="s">
        <v>767</v>
      </c>
      <c r="C623" s="423">
        <v>3.1932300000000002</v>
      </c>
      <c r="D623" s="573" t="s">
        <v>196</v>
      </c>
      <c r="E623" s="573"/>
      <c r="F623" s="573"/>
      <c r="G623" s="573"/>
      <c r="H623" s="280" t="s">
        <v>776</v>
      </c>
      <c r="I623" s="10"/>
      <c r="J623" s="28"/>
    </row>
    <row r="624" spans="1:10">
      <c r="A624" s="10">
        <v>13</v>
      </c>
      <c r="B624" s="274" t="s">
        <v>768</v>
      </c>
      <c r="C624" s="423">
        <v>4.4157450000000003</v>
      </c>
      <c r="D624" s="573" t="s">
        <v>196</v>
      </c>
      <c r="E624" s="573"/>
      <c r="F624" s="573"/>
      <c r="G624" s="573"/>
      <c r="H624" s="280" t="s">
        <v>775</v>
      </c>
      <c r="I624" s="10"/>
      <c r="J624" s="28"/>
    </row>
    <row r="625" spans="1:13">
      <c r="A625" s="10">
        <v>14</v>
      </c>
      <c r="B625" s="274" t="s">
        <v>769</v>
      </c>
      <c r="C625" s="423">
        <v>3.6110000000000002</v>
      </c>
      <c r="D625" s="573" t="s">
        <v>196</v>
      </c>
      <c r="E625" s="573"/>
      <c r="F625" s="573"/>
      <c r="G625" s="573"/>
      <c r="H625" s="280" t="s">
        <v>775</v>
      </c>
      <c r="I625" s="10"/>
      <c r="J625" s="28"/>
      <c r="M625" s="459"/>
    </row>
    <row r="626" spans="1:13">
      <c r="A626" s="10">
        <v>15</v>
      </c>
      <c r="B626" s="276" t="s">
        <v>770</v>
      </c>
      <c r="C626" s="425">
        <v>0.28000000000000003</v>
      </c>
      <c r="D626" s="573" t="s">
        <v>196</v>
      </c>
      <c r="E626" s="573"/>
      <c r="F626" s="573"/>
      <c r="G626" s="573"/>
      <c r="H626" s="280" t="s">
        <v>775</v>
      </c>
      <c r="I626" s="279"/>
      <c r="J626" s="466" t="s">
        <v>1045</v>
      </c>
      <c r="M626" s="459"/>
    </row>
    <row r="627" spans="1:13">
      <c r="A627" s="10">
        <v>16</v>
      </c>
      <c r="B627" s="274" t="s">
        <v>771</v>
      </c>
      <c r="C627" s="423">
        <v>2.75</v>
      </c>
      <c r="D627" s="573" t="s">
        <v>196</v>
      </c>
      <c r="E627" s="573"/>
      <c r="F627" s="573"/>
      <c r="G627" s="573"/>
      <c r="H627" s="280" t="s">
        <v>776</v>
      </c>
      <c r="I627" s="279"/>
      <c r="J627" s="29"/>
      <c r="M627" s="459"/>
    </row>
    <row r="628" spans="1:13">
      <c r="A628" s="11">
        <v>17</v>
      </c>
      <c r="B628" s="277" t="s">
        <v>772</v>
      </c>
      <c r="C628" s="423">
        <v>4.9580000000000002</v>
      </c>
      <c r="D628" s="573" t="s">
        <v>196</v>
      </c>
      <c r="E628" s="573"/>
      <c r="F628" s="573"/>
      <c r="G628" s="573"/>
      <c r="H628" s="281" t="s">
        <v>777</v>
      </c>
      <c r="I628" s="279"/>
      <c r="J628" s="76"/>
      <c r="M628" s="459"/>
    </row>
    <row r="629" spans="1:13">
      <c r="A629" s="11">
        <v>18</v>
      </c>
      <c r="B629" s="277" t="s">
        <v>773</v>
      </c>
      <c r="C629" s="423">
        <v>4.9470000000000001</v>
      </c>
      <c r="D629" s="570" t="s">
        <v>774</v>
      </c>
      <c r="E629" s="571"/>
      <c r="F629" s="571"/>
      <c r="G629" s="572"/>
      <c r="H629" s="280" t="s">
        <v>776</v>
      </c>
      <c r="I629" s="279"/>
      <c r="J629" s="76"/>
      <c r="M629" s="459"/>
    </row>
    <row r="630" spans="1:13" ht="15.75" customHeight="1">
      <c r="A630" s="11">
        <v>19</v>
      </c>
      <c r="B630" s="277" t="s">
        <v>1018</v>
      </c>
      <c r="C630" s="423">
        <v>3.919</v>
      </c>
      <c r="D630" s="573" t="s">
        <v>196</v>
      </c>
      <c r="E630" s="573"/>
      <c r="F630" s="573"/>
      <c r="G630" s="573"/>
      <c r="H630" s="280" t="s">
        <v>775</v>
      </c>
      <c r="I630" s="279"/>
      <c r="J630" s="76"/>
      <c r="M630" s="459"/>
    </row>
    <row r="631" spans="1:13" ht="15.75" customHeight="1">
      <c r="A631" s="11">
        <v>20</v>
      </c>
      <c r="B631" s="277" t="s">
        <v>1019</v>
      </c>
      <c r="C631" s="423">
        <v>1.6060000000000001</v>
      </c>
      <c r="D631" s="573" t="s">
        <v>196</v>
      </c>
      <c r="E631" s="573"/>
      <c r="F631" s="573"/>
      <c r="G631" s="573"/>
      <c r="H631" s="281" t="s">
        <v>777</v>
      </c>
      <c r="I631" s="279"/>
      <c r="J631" s="76"/>
      <c r="M631" s="459"/>
    </row>
    <row r="632" spans="1:13" ht="15.75" customHeight="1">
      <c r="A632" s="11">
        <v>21</v>
      </c>
      <c r="B632" s="277" t="s">
        <v>1020</v>
      </c>
      <c r="C632" s="423">
        <v>4.431</v>
      </c>
      <c r="D632" s="573" t="s">
        <v>196</v>
      </c>
      <c r="E632" s="573"/>
      <c r="F632" s="573"/>
      <c r="G632" s="573"/>
      <c r="H632" s="280" t="s">
        <v>776</v>
      </c>
      <c r="I632" s="279"/>
      <c r="J632" s="76"/>
    </row>
    <row r="633" spans="1:13">
      <c r="A633" s="11">
        <v>22</v>
      </c>
      <c r="B633" s="277" t="s">
        <v>1027</v>
      </c>
      <c r="C633" s="423">
        <v>3.4319999999999999</v>
      </c>
      <c r="D633" s="570" t="s">
        <v>1028</v>
      </c>
      <c r="E633" s="571"/>
      <c r="F633" s="571"/>
      <c r="G633" s="572"/>
      <c r="H633" s="280" t="s">
        <v>775</v>
      </c>
      <c r="I633" s="76"/>
      <c r="J633" s="76"/>
    </row>
    <row r="634" spans="1:13" ht="50.25" customHeight="1">
      <c r="A634" s="11">
        <v>23</v>
      </c>
      <c r="B634" s="277" t="s">
        <v>1029</v>
      </c>
      <c r="C634" s="423">
        <v>4.8230000000000004</v>
      </c>
      <c r="D634" s="570" t="s">
        <v>774</v>
      </c>
      <c r="E634" s="571"/>
      <c r="F634" s="571"/>
      <c r="G634" s="572"/>
      <c r="H634" s="280" t="s">
        <v>776</v>
      </c>
      <c r="I634" s="76"/>
      <c r="J634" s="499" t="s">
        <v>1116</v>
      </c>
    </row>
    <row r="635" spans="1:13">
      <c r="A635" s="11">
        <v>24</v>
      </c>
      <c r="B635" s="277" t="s">
        <v>1038</v>
      </c>
      <c r="C635" s="465">
        <v>4.9370000000000003</v>
      </c>
      <c r="D635" s="570" t="s">
        <v>1051</v>
      </c>
      <c r="E635" s="571"/>
      <c r="F635" s="571"/>
      <c r="G635" s="572"/>
      <c r="H635" s="281" t="s">
        <v>777</v>
      </c>
      <c r="I635" s="76"/>
      <c r="J635" s="76"/>
    </row>
    <row r="636" spans="1:13" ht="15.75" customHeight="1">
      <c r="A636" s="11">
        <v>25</v>
      </c>
      <c r="B636" s="467" t="s">
        <v>1044</v>
      </c>
      <c r="C636" s="468">
        <v>0.31913000000000002</v>
      </c>
      <c r="D636" s="573" t="s">
        <v>196</v>
      </c>
      <c r="E636" s="573"/>
      <c r="F636" s="573"/>
      <c r="G636" s="573"/>
      <c r="H636" s="280" t="s">
        <v>775</v>
      </c>
      <c r="I636" s="76"/>
      <c r="J636" s="466" t="s">
        <v>1045</v>
      </c>
    </row>
    <row r="637" spans="1:13">
      <c r="A637" s="11">
        <v>26</v>
      </c>
      <c r="B637" s="274"/>
      <c r="C637" s="423"/>
      <c r="D637" s="433"/>
      <c r="E637" s="434"/>
      <c r="F637" s="434"/>
      <c r="G637" s="278"/>
      <c r="H637" s="76"/>
      <c r="I637" s="76"/>
      <c r="J637" s="76"/>
    </row>
    <row r="638" spans="1:13">
      <c r="A638" s="11">
        <v>27</v>
      </c>
      <c r="B638" s="274"/>
      <c r="C638" s="423"/>
      <c r="D638" s="433"/>
      <c r="E638" s="434"/>
      <c r="F638" s="434"/>
      <c r="G638" s="278"/>
      <c r="H638" s="76"/>
      <c r="I638" s="76"/>
      <c r="J638" s="76"/>
    </row>
    <row r="639" spans="1:13">
      <c r="A639" s="11">
        <v>28</v>
      </c>
      <c r="B639" s="274"/>
      <c r="C639" s="423"/>
      <c r="D639" s="433"/>
      <c r="E639" s="434"/>
      <c r="F639" s="434"/>
      <c r="G639" s="278"/>
      <c r="H639" s="76"/>
      <c r="I639" s="76"/>
      <c r="J639" s="76"/>
    </row>
    <row r="640" spans="1:13">
      <c r="A640" s="11"/>
      <c r="B640" s="274"/>
      <c r="C640" s="423"/>
      <c r="D640" s="433"/>
      <c r="E640" s="434"/>
      <c r="F640" s="434"/>
      <c r="G640" s="278"/>
      <c r="H640" s="76"/>
      <c r="I640" s="76"/>
      <c r="J640" s="76"/>
    </row>
    <row r="641" spans="1:12">
      <c r="A641" s="76"/>
      <c r="B641" s="274"/>
      <c r="C641" s="423"/>
      <c r="D641" s="586"/>
      <c r="E641" s="587"/>
      <c r="F641" s="587"/>
      <c r="G641" s="588"/>
      <c r="H641" s="76"/>
      <c r="I641" s="76"/>
      <c r="J641" s="76"/>
    </row>
    <row r="642" spans="1:12" ht="21">
      <c r="A642" s="580" t="s">
        <v>199</v>
      </c>
      <c r="B642" s="581"/>
      <c r="C642" s="581"/>
      <c r="D642" s="581"/>
      <c r="E642" s="581"/>
      <c r="F642" s="581"/>
      <c r="G642" s="581"/>
      <c r="H642" s="581"/>
      <c r="I642" s="581"/>
      <c r="J642" s="582"/>
    </row>
    <row r="643" spans="1:12" ht="31.5" thickBot="1">
      <c r="A643" s="30" t="s">
        <v>188</v>
      </c>
      <c r="B643" s="30" t="s">
        <v>70</v>
      </c>
      <c r="C643" s="456" t="s">
        <v>1025</v>
      </c>
      <c r="D643" s="583" t="s">
        <v>71</v>
      </c>
      <c r="E643" s="584"/>
      <c r="F643" s="584"/>
      <c r="G643" s="585"/>
      <c r="H643" s="30" t="s">
        <v>192</v>
      </c>
      <c r="I643" s="30" t="s">
        <v>193</v>
      </c>
      <c r="J643" s="30" t="s">
        <v>1032</v>
      </c>
    </row>
    <row r="644" spans="1:12" ht="26">
      <c r="A644" s="211">
        <v>1</v>
      </c>
      <c r="B644" s="226" t="s">
        <v>1024</v>
      </c>
      <c r="C644" s="460">
        <v>4415.75</v>
      </c>
      <c r="D644" s="573" t="s">
        <v>196</v>
      </c>
      <c r="E644" s="573"/>
      <c r="F644" s="573"/>
      <c r="G644" s="573"/>
      <c r="H644" s="427" t="s">
        <v>1026</v>
      </c>
      <c r="I644" s="211"/>
      <c r="J644" s="464" t="s">
        <v>1033</v>
      </c>
      <c r="K644" s="432">
        <v>45944</v>
      </c>
      <c r="L644" s="432">
        <v>45948</v>
      </c>
    </row>
    <row r="645" spans="1:12" ht="25.5" customHeight="1">
      <c r="A645" s="211">
        <v>2</v>
      </c>
      <c r="B645" s="226" t="s">
        <v>1030</v>
      </c>
      <c r="C645" s="460">
        <v>4340.9399999999996</v>
      </c>
      <c r="D645" s="573" t="s">
        <v>196</v>
      </c>
      <c r="E645" s="573"/>
      <c r="F645" s="573"/>
      <c r="G645" s="573"/>
      <c r="H645" s="427" t="s">
        <v>1026</v>
      </c>
      <c r="I645" s="211"/>
      <c r="J645" s="464" t="s">
        <v>1034</v>
      </c>
      <c r="K645" s="432">
        <v>45952</v>
      </c>
      <c r="L645" s="432">
        <v>45954</v>
      </c>
    </row>
    <row r="646" spans="1:12" ht="25.5" customHeight="1">
      <c r="A646" s="211">
        <v>3</v>
      </c>
      <c r="B646" s="226" t="s">
        <v>1031</v>
      </c>
      <c r="C646" s="460">
        <v>4675.9799999999996</v>
      </c>
      <c r="D646" s="573" t="s">
        <v>196</v>
      </c>
      <c r="E646" s="573"/>
      <c r="F646" s="573"/>
      <c r="G646" s="573"/>
      <c r="H646" s="427" t="s">
        <v>1026</v>
      </c>
      <c r="I646" s="211"/>
      <c r="J646" s="464" t="s">
        <v>1035</v>
      </c>
      <c r="K646" s="432">
        <v>45955</v>
      </c>
      <c r="L646" s="432">
        <v>45956</v>
      </c>
    </row>
    <row r="647" spans="1:12" ht="26">
      <c r="A647" s="211">
        <v>4</v>
      </c>
      <c r="B647" s="226" t="s">
        <v>1039</v>
      </c>
      <c r="C647" s="460">
        <v>3193.2280000000001</v>
      </c>
      <c r="D647" s="573" t="s">
        <v>196</v>
      </c>
      <c r="E647" s="573"/>
      <c r="F647" s="573"/>
      <c r="G647" s="573"/>
      <c r="H647" s="427" t="s">
        <v>1026</v>
      </c>
      <c r="I647" s="211"/>
      <c r="J647" s="464" t="s">
        <v>1040</v>
      </c>
      <c r="K647" s="432">
        <v>45958</v>
      </c>
      <c r="L647" s="432">
        <v>45961</v>
      </c>
    </row>
    <row r="648" spans="1:12" ht="26">
      <c r="A648" s="211">
        <v>5</v>
      </c>
      <c r="B648" s="226" t="s">
        <v>1041</v>
      </c>
      <c r="C648" s="460">
        <v>3957.049</v>
      </c>
      <c r="D648" s="573" t="s">
        <v>196</v>
      </c>
      <c r="E648" s="573"/>
      <c r="F648" s="573"/>
      <c r="G648" s="573"/>
      <c r="H648" s="427" t="s">
        <v>1026</v>
      </c>
      <c r="I648" s="211"/>
      <c r="J648" s="464" t="s">
        <v>1042</v>
      </c>
      <c r="K648" s="432">
        <v>45962</v>
      </c>
      <c r="L648" s="432">
        <v>45964</v>
      </c>
    </row>
    <row r="649" spans="1:12" ht="26">
      <c r="A649" s="211">
        <v>6</v>
      </c>
      <c r="B649" s="226" t="s">
        <v>1047</v>
      </c>
      <c r="C649" s="460">
        <v>4780.4960000000001</v>
      </c>
      <c r="D649" s="573" t="s">
        <v>196</v>
      </c>
      <c r="E649" s="573"/>
      <c r="F649" s="573"/>
      <c r="G649" s="573"/>
      <c r="H649" s="427" t="s">
        <v>1026</v>
      </c>
      <c r="I649" s="211"/>
      <c r="J649" s="464" t="s">
        <v>1049</v>
      </c>
      <c r="K649" s="432">
        <v>45965</v>
      </c>
      <c r="L649" s="432">
        <v>45967</v>
      </c>
    </row>
    <row r="650" spans="1:12" ht="26">
      <c r="A650" s="211">
        <v>7</v>
      </c>
      <c r="B650" s="226" t="s">
        <v>1048</v>
      </c>
      <c r="C650" s="460">
        <v>4690.8360000000002</v>
      </c>
      <c r="D650" s="573" t="s">
        <v>1023</v>
      </c>
      <c r="E650" s="573"/>
      <c r="F650" s="573"/>
      <c r="G650" s="573"/>
      <c r="H650" s="427" t="s">
        <v>1026</v>
      </c>
      <c r="I650" s="211">
        <v>14</v>
      </c>
      <c r="J650" s="464" t="s">
        <v>1050</v>
      </c>
      <c r="K650" s="432">
        <v>45968</v>
      </c>
      <c r="L650" s="432">
        <v>45972</v>
      </c>
    </row>
    <row r="651" spans="1:12">
      <c r="A651" s="211"/>
      <c r="B651" s="226"/>
      <c r="C651" s="460"/>
      <c r="D651" s="461"/>
      <c r="E651" s="462"/>
      <c r="F651" s="462"/>
      <c r="G651" s="463"/>
      <c r="H651" s="427"/>
      <c r="I651" s="211"/>
      <c r="J651" s="428"/>
      <c r="K651" s="432"/>
      <c r="L651" s="432"/>
    </row>
    <row r="652" spans="1:12">
      <c r="A652" s="211"/>
      <c r="B652" s="226"/>
      <c r="C652" s="460"/>
      <c r="D652" s="461"/>
      <c r="E652" s="462"/>
      <c r="F652" s="462"/>
      <c r="G652" s="463"/>
      <c r="H652" s="427"/>
      <c r="I652" s="211"/>
      <c r="J652" s="428"/>
      <c r="K652" s="432"/>
      <c r="L652" s="432"/>
    </row>
    <row r="653" spans="1:12">
      <c r="A653" s="211"/>
      <c r="B653" s="226"/>
      <c r="C653" s="460"/>
      <c r="D653" s="461"/>
      <c r="E653" s="462"/>
      <c r="F653" s="462"/>
      <c r="G653" s="463"/>
      <c r="H653" s="427"/>
      <c r="I653" s="211"/>
      <c r="J653" s="428"/>
      <c r="K653" s="432"/>
      <c r="L653" s="432"/>
    </row>
    <row r="654" spans="1:12">
      <c r="A654" s="211"/>
      <c r="B654" s="226"/>
      <c r="C654" s="460"/>
      <c r="D654" s="461"/>
      <c r="E654" s="462"/>
      <c r="F654" s="462"/>
      <c r="G654" s="463"/>
      <c r="H654" s="427"/>
      <c r="I654" s="211"/>
      <c r="J654" s="428"/>
      <c r="K654" s="432"/>
      <c r="L654" s="432"/>
    </row>
    <row r="655" spans="1:12" ht="14.5">
      <c r="A655" s="211"/>
      <c r="B655" s="226"/>
      <c r="C655" s="426"/>
      <c r="D655" s="577"/>
      <c r="E655" s="578"/>
      <c r="F655" s="578"/>
      <c r="G655" s="579"/>
      <c r="H655" s="427"/>
      <c r="I655" s="211"/>
      <c r="J655" s="428"/>
    </row>
    <row r="656" spans="1:12" ht="14.5">
      <c r="A656" s="211"/>
      <c r="B656" s="227"/>
      <c r="C656" s="458">
        <f>SUM(C644:C655)</f>
        <v>30054.278999999995</v>
      </c>
      <c r="D656" s="577"/>
      <c r="E656" s="578"/>
      <c r="F656" s="578"/>
      <c r="G656" s="579"/>
      <c r="H656" s="429"/>
      <c r="I656" s="430"/>
      <c r="J656" s="431"/>
    </row>
  </sheetData>
  <mergeCells count="717">
    <mergeCell ref="G104:J104"/>
    <mergeCell ref="G105:J105"/>
    <mergeCell ref="G106:J106"/>
    <mergeCell ref="D646:G646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30:G630"/>
    <mergeCell ref="D633:G633"/>
    <mergeCell ref="D641:G641"/>
    <mergeCell ref="G578:J578"/>
    <mergeCell ref="A610:J610"/>
    <mergeCell ref="D611:G611"/>
    <mergeCell ref="D612:G612"/>
    <mergeCell ref="D613:G613"/>
    <mergeCell ref="D626:G626"/>
    <mergeCell ref="G587:J587"/>
    <mergeCell ref="G593:J593"/>
    <mergeCell ref="G596:J596"/>
    <mergeCell ref="D631:G631"/>
    <mergeCell ref="D632:G632"/>
    <mergeCell ref="D628:G628"/>
    <mergeCell ref="D614:G614"/>
    <mergeCell ref="D615:G615"/>
    <mergeCell ref="G597:J597"/>
    <mergeCell ref="G600:J600"/>
    <mergeCell ref="G602:J602"/>
    <mergeCell ref="G603:J603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7:G627"/>
    <mergeCell ref="D620:G620"/>
    <mergeCell ref="D622:G622"/>
    <mergeCell ref="D623:G623"/>
    <mergeCell ref="G590:J590"/>
    <mergeCell ref="D621:G621"/>
    <mergeCell ref="G594:J594"/>
    <mergeCell ref="D625:G625"/>
    <mergeCell ref="D619:G619"/>
    <mergeCell ref="G595:J595"/>
    <mergeCell ref="G599:J599"/>
    <mergeCell ref="D634:G634"/>
    <mergeCell ref="D616:G616"/>
    <mergeCell ref="D624:G624"/>
    <mergeCell ref="D617:G617"/>
    <mergeCell ref="D618:G618"/>
    <mergeCell ref="G601:J601"/>
    <mergeCell ref="G604:J604"/>
    <mergeCell ref="D656:G656"/>
    <mergeCell ref="A642:J642"/>
    <mergeCell ref="D643:G643"/>
    <mergeCell ref="D644:G644"/>
    <mergeCell ref="D645:G645"/>
    <mergeCell ref="D655:G655"/>
    <mergeCell ref="D629:G629"/>
    <mergeCell ref="D635:G635"/>
    <mergeCell ref="D636:G636"/>
    <mergeCell ref="D650:G650"/>
    <mergeCell ref="D649:G649"/>
    <mergeCell ref="D647:G647"/>
    <mergeCell ref="D648:G648"/>
  </mergeCells>
  <phoneticPr fontId="83" type="noConversion"/>
  <conditionalFormatting sqref="B13:B51 B56:B59 B63:B83 B88:B90 B195 B197 B199:B240 B243:B244 B247 B249:B252 B257 B263">
    <cfRule type="expression" dxfId="635" priority="6688" stopIfTrue="1">
      <formula>AND(COUNTIF($D$608:$D$65539,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34" priority="6687" stopIfTrue="1">
      <formula>AND(COUNTIF($D$191:$D$65539, B13)+COUNTIF($D$1:$D$79, B13)&gt;1,NOT(ISBLANK(B13)))</formula>
    </cfRule>
  </conditionalFormatting>
  <conditionalFormatting sqref="B13:B51 B56:B59 B63:B94 B100:B126 B174:B240 B243:B244 B247 B249:B252 B257 B263">
    <cfRule type="expression" dxfId="633" priority="6735" stopIfTrue="1">
      <formula>AND(COUNTIF($D$171:$D$65539, B13)+COUNTIF($D$1:$D$122, B13)&gt;1,NOT(ISBLANK(B13)))</formula>
    </cfRule>
  </conditionalFormatting>
  <conditionalFormatting sqref="B13:B51 B56:B59 B63:B94 B100:B287 B292:B294 B297:B316">
    <cfRule type="expression" dxfId="632" priority="6714" stopIfTrue="1">
      <formula>AND(COUNTIF($D$1:$D$313, B13)+COUNTIF($D$314:$D$65539, B13)&gt;1,NOT(ISBLANK(B13)))</formula>
    </cfRule>
    <cfRule type="expression" dxfId="631" priority="6713" stopIfTrue="1">
      <formula>AND(COUNTIF($D$1:$D$313, B13)+COUNTIF($D$314:$D$65539, B13)&gt;1,NOT(ISBLANK(B13)))</formula>
    </cfRule>
    <cfRule type="expression" dxfId="630" priority="6712" stopIfTrue="1">
      <formula>AND(COUNTIF($D$1:$D$313, B13)+COUNTIF($D$314:$D$65539, B13)&gt;1,NOT(ISBLANK(B13)))</formula>
    </cfRule>
    <cfRule type="expression" dxfId="629" priority="6711" stopIfTrue="1">
      <formula>AND(COUNTIF($D$1:$D$313, B13)+COUNTIF($D$314:$D$65539, B13)&gt;1,NOT(ISBLANK(B13)))</formula>
    </cfRule>
  </conditionalFormatting>
  <conditionalFormatting sqref="B13:B287 B293:B294 B297:B316">
    <cfRule type="duplicateValues" dxfId="628" priority="610"/>
  </conditionalFormatting>
  <conditionalFormatting sqref="B52">
    <cfRule type="expression" dxfId="627" priority="6749" stopIfTrue="1">
      <formula>AND(COUNTIF($E$314:$E$65382,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expression" dxfId="626" priority="6748" stopIfTrue="1">
      <formula>AND(COUNTIF($E$1:$E$65392, B52)+COUNTIF(#REF!, B52)&gt;1,NOT(ISBLANK(B52)))</formula>
    </cfRule>
    <cfRule type="expression" dxfId="625" priority="6747" stopIfTrue="1">
      <formula>AND(COUNTIF($E$314:$E$65392,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24" priority="6746" stopIfTrue="1">
      <formula>AND(COUNTIF($E$1:$E$65382, B52)+COUNTIF(#REF!, B52)&gt;1,NOT(ISBLANK(B52)))</formula>
    </cfRule>
    <cfRule type="duplicateValues" dxfId="623" priority="6745"/>
  </conditionalFormatting>
  <conditionalFormatting sqref="B53:B54">
    <cfRule type="duplicateValues" dxfId="622" priority="6750"/>
    <cfRule type="expression" dxfId="621" priority="6751" stopIfTrue="1">
      <formula>AND(COUNTIF($C$249:$C$65388,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20" priority="6752" stopIfTrue="1">
      <formula>AND(COUNTIF($C$1:$C$65388, B53)+COUNTIF(#REF!, B53)&gt;1,NOT(ISBLANK(B53)))</formula>
    </cfRule>
  </conditionalFormatting>
  <conditionalFormatting sqref="B54 B60">
    <cfRule type="expression" dxfId="619" priority="6756" stopIfTrue="1">
      <formula>AND(COUNTIF($E$314:$E$65382,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18" priority="6755" stopIfTrue="1">
      <formula>AND(COUNTIF($E$1:$E$65382, B54)+COUNTIF(#REF!, B54)&gt;1,NOT(ISBLANK(B54)))</formula>
    </cfRule>
    <cfRule type="expression" dxfId="617" priority="6754" stopIfTrue="1">
      <formula>AND(COUNTIF($C$1:$C$65388, B54)+COUNTIF(#REF!, B54)&gt;1,NOT(ISBLANK(B54)))</formula>
    </cfRule>
    <cfRule type="expression" dxfId="616" priority="6753" stopIfTrue="1">
      <formula>AND(COUNTIF($C$249:$C$65388,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</conditionalFormatting>
  <conditionalFormatting sqref="B55:B60">
    <cfRule type="expression" dxfId="615" priority="6762" stopIfTrue="1">
      <formula>AND(COUNTIF($C$1:$C$65407, B55)+COUNTIF(#REF!, B55)&gt;1,NOT(ISBLANK(B55)))</formula>
    </cfRule>
    <cfRule type="expression" dxfId="614" priority="6761" stopIfTrue="1">
      <formula>AND(COUNTIF($C$308:$C$65407,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</conditionalFormatting>
  <conditionalFormatting sqref="B56:B59 B13:B51 B63:B94 B100:B132 B134:B240 B243:B244 B247 B249:B252 B257 B263">
    <cfRule type="expression" dxfId="613" priority="6763" stopIfTrue="1">
      <formula>AND(COUNTIF($D$130:$D$65539, B13)+COUNTIF($D$1:$D$128, B13)&gt;1,NOT(ISBLANK(B13)))</formula>
    </cfRule>
  </conditionalFormatting>
  <conditionalFormatting sqref="B60 B54">
    <cfRule type="duplicateValues" dxfId="612" priority="678"/>
  </conditionalFormatting>
  <conditionalFormatting sqref="B84:B87 B91:B94 B100:B126 B174:B194 B196 B198">
    <cfRule type="expression" dxfId="611" priority="6773" stopIfTrue="1">
      <formula>AND(COUNTIF($D$575:$D$65539,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0" priority="591"/>
    <cfRule type="duplicateValues" dxfId="609" priority="592"/>
  </conditionalFormatting>
  <conditionalFormatting sqref="B127:B132 B134:B145 B147:B148">
    <cfRule type="expression" dxfId="608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07" priority="589" stopIfTrue="1">
      <formula>AND(COUNTIF($B$8:$B$38, B127)+COUNTIF($B$41:$B$57, B127)&gt;1,NOT(ISBLANK(B127)))</formula>
    </cfRule>
    <cfRule type="expression" dxfId="606" priority="541" stopIfTrue="1">
      <formula>AND(COUNTIF($B$8:$B$38, B127)+COUNTIF($B$41:$B$57, B127)&gt;1,NOT(ISBLANK(B127)))</formula>
    </cfRule>
  </conditionalFormatting>
  <conditionalFormatting sqref="B127:B132 B134:B174">
    <cfRule type="expression" dxfId="605" priority="588" stopIfTrue="1">
      <formula>AND(COUNTIF($D$130:$D$170, B127)+COUNTIF($D$123:$D$128, B127)&gt;1,NOT(ISBLANK(B127)))</formula>
    </cfRule>
  </conditionalFormatting>
  <conditionalFormatting sqref="B127:B157 B159:B172">
    <cfRule type="expression" dxfId="604" priority="6779" stopIfTrue="1">
      <formula>AND(COUNTIF($C$502:$C$65539,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03" priority="586"/>
    <cfRule type="duplicateValues" dxfId="602" priority="585"/>
  </conditionalFormatting>
  <conditionalFormatting sqref="B129">
    <cfRule type="duplicateValues" dxfId="601" priority="584"/>
  </conditionalFormatting>
  <conditionalFormatting sqref="B129:B130">
    <cfRule type="duplicateValues" dxfId="600" priority="583"/>
    <cfRule type="duplicateValues" dxfId="599" priority="582"/>
  </conditionalFormatting>
  <conditionalFormatting sqref="B129:B132 B134:B155">
    <cfRule type="expression" dxfId="598" priority="581" stopIfTrue="1">
      <formula>AND(COUNTIF($B$36:$B$36, B129)+COUNTIF($B$10:$B$34, B129)&gt;1,NOT(ISBLANK(B129)))</formula>
    </cfRule>
  </conditionalFormatting>
  <conditionalFormatting sqref="B130">
    <cfRule type="duplicateValues" dxfId="597" priority="580"/>
    <cfRule type="duplicateValues" dxfId="596" priority="579"/>
  </conditionalFormatting>
  <conditionalFormatting sqref="B131 B134">
    <cfRule type="expression" dxfId="595" priority="578" stopIfTrue="1">
      <formula>AND(COUNTIF($B$16:$B$16, B131)+COUNTIF($B$12:$B$16, B131)&gt;1,NOT(ISBLANK(B131)))</formula>
    </cfRule>
  </conditionalFormatting>
  <conditionalFormatting sqref="B131 B134:B155">
    <cfRule type="expression" dxfId="594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593" priority="576"/>
    <cfRule type="duplicateValues" dxfId="592" priority="575"/>
  </conditionalFormatting>
  <conditionalFormatting sqref="B131:B132 B134:B135 B142">
    <cfRule type="expression" dxfId="591" priority="574" stopIfTrue="1">
      <formula>AND(COUNTIF($B$24:$B$24, B131)+COUNTIF(#REF!, B131)&gt;1,NOT(ISBLANK(B131)))</formula>
    </cfRule>
  </conditionalFormatting>
  <conditionalFormatting sqref="B131:B132 B134:B135">
    <cfRule type="expression" dxfId="590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89" priority="572" stopIfTrue="1">
      <formula>AND(COUNTIF($D$130:$D$144, B131)+COUNTIF($D$127:$D$128, B131)&gt;1,NOT(ISBLANK(B131)))</formula>
    </cfRule>
  </conditionalFormatting>
  <conditionalFormatting sqref="B131:B132">
    <cfRule type="duplicateValues" dxfId="588" priority="571"/>
  </conditionalFormatting>
  <conditionalFormatting sqref="B132 B127:B130 B159:B172">
    <cfRule type="expression" dxfId="587" priority="569" stopIfTrue="1">
      <formula>AND(COUNTIF($B$13:$B$59, B127)+COUNTIF($B$8:$B$11, B127)&gt;1,NOT(ISBLANK(B127)))</formula>
    </cfRule>
  </conditionalFormatting>
  <conditionalFormatting sqref="B132 B134:B135">
    <cfRule type="expression" dxfId="586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85" priority="540" stopIfTrue="1">
      <formula>AND(COUNTIF(#REF!, B132)+COUNTIF($B$13:$B$59, B132)&gt;1,NOT(ISBLANK(B132)))</formula>
    </cfRule>
  </conditionalFormatting>
  <conditionalFormatting sqref="B132 B142 B135">
    <cfRule type="expression" dxfId="584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83" priority="567"/>
    <cfRule type="duplicateValues" dxfId="582" priority="568"/>
  </conditionalFormatting>
  <conditionalFormatting sqref="B133">
    <cfRule type="duplicateValues" dxfId="581" priority="564"/>
    <cfRule type="duplicateValues" dxfId="580" priority="563"/>
    <cfRule type="duplicateValues" dxfId="579" priority="546" stopIfTrue="1"/>
    <cfRule type="duplicateValues" dxfId="578" priority="547" stopIfTrue="1"/>
    <cfRule type="duplicateValues" dxfId="577" priority="548"/>
    <cfRule type="duplicateValues" dxfId="576" priority="549"/>
    <cfRule type="duplicateValues" dxfId="575" priority="550"/>
    <cfRule type="duplicateValues" dxfId="574" priority="562"/>
    <cfRule type="expression" dxfId="573" priority="560" stopIfTrue="1">
      <formula>AND(COUNTIF($B$12:$B$12, B133)+COUNTIF($B$36:$B$36, B133)+COUNTIF($B$14:$B$34, B133)&gt;1,NOT(ISBLANK(B133)))</formula>
    </cfRule>
    <cfRule type="expression" dxfId="572" priority="559" stopIfTrue="1">
      <formula>AND(COUNTIF($B$8:$B$38, B133)+COUNTIF($B$41:$B$57, B133)&gt;1,NOT(ISBLANK(B133)))</formula>
    </cfRule>
    <cfRule type="expression" dxfId="571" priority="558" stopIfTrue="1">
      <formula>AND(COUNTIF($B$8:$B$38, B133)+COUNTIF($B$41:$B$57, B133)&gt;1,NOT(ISBLANK(B133)))</formula>
    </cfRule>
    <cfRule type="expression" dxfId="570" priority="561" stopIfTrue="1">
      <formula>AND(COUNTIF($B$36:$B$36, B133)+COUNTIF($B$10:$B$34, B133)&gt;1,NOT(ISBLANK(B133)))</formula>
    </cfRule>
    <cfRule type="duplicateValues" dxfId="569" priority="551"/>
    <cfRule type="expression" dxfId="568" priority="552" stopIfTrue="1">
      <formula>AND(COUNTIF($B$24:$B$24, B133)+COUNTIF($B$13:$B$14, B133)+COUNTIF(#REF!, B133)&gt;1,NOT(ISBLANK(B133)))</formula>
    </cfRule>
    <cfRule type="expression" dxfId="567" priority="553" stopIfTrue="1">
      <formula>AND(COUNTIF($B$24:$B$24, B133)+COUNTIF($B$14:$B$14, B133)+COUNTIF(#REF!, B133)&gt;1,NOT(ISBLANK(B133)))</formula>
    </cfRule>
    <cfRule type="expression" dxfId="566" priority="554" stopIfTrue="1">
      <formula>AND(COUNTIF($B$24:$B$24, B133)+COUNTIF($B$13:$B$14, B133)+COUNTIF($B$17:$B$17, B133)&gt;1,NOT(ISBLANK(B133)))</formula>
    </cfRule>
    <cfRule type="expression" dxfId="565" priority="555" stopIfTrue="1">
      <formula>AND(COUNTIF($B$24:$B$24, B133)+COUNTIF(#REF!, B133)&gt;1,NOT(ISBLANK(B133)))</formula>
    </cfRule>
    <cfRule type="expression" dxfId="564" priority="556" stopIfTrue="1">
      <formula>AND(COUNTIF(#REF!, B133)+COUNTIF($B$13:$B$59, B133)&gt;1,NOT(ISBLANK(B133)))</formula>
    </cfRule>
    <cfRule type="duplicateValues" dxfId="563" priority="566"/>
    <cfRule type="duplicateValues" dxfId="562" priority="565"/>
  </conditionalFormatting>
  <conditionalFormatting sqref="B133:B157">
    <cfRule type="expression" dxfId="561" priority="557" stopIfTrue="1">
      <formula>AND(COUNTIF($B$13:$B$59, B133)+COUNTIF($B$8:$B$11, B133)&gt;1,NOT(ISBLANK(B133)))</formula>
    </cfRule>
  </conditionalFormatting>
  <conditionalFormatting sqref="B134">
    <cfRule type="duplicateValues" dxfId="560" priority="545"/>
  </conditionalFormatting>
  <conditionalFormatting sqref="B134:B135">
    <cfRule type="expression" dxfId="559" priority="542" stopIfTrue="1">
      <formula>AND(COUNTIF(#REF!, B134)+COUNTIF($B$16:$B$17, B134)&gt;1,NOT(ISBLANK(B134)))</formula>
    </cfRule>
    <cfRule type="duplicateValues" dxfId="558" priority="543"/>
    <cfRule type="duplicateValues" dxfId="557" priority="544"/>
  </conditionalFormatting>
  <conditionalFormatting sqref="B135 B132">
    <cfRule type="expression" dxfId="556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55" priority="538" stopIfTrue="1">
      <formula>AND(COUNTIF(#REF!, B135)+COUNTIF($B$17:$B$17, B135)&gt;1,NOT(ISBLANK(B135)))</formula>
    </cfRule>
  </conditionalFormatting>
  <conditionalFormatting sqref="B136">
    <cfRule type="duplicateValues" dxfId="554" priority="537"/>
  </conditionalFormatting>
  <conditionalFormatting sqref="B136:B137 B142">
    <cfRule type="expression" dxfId="553" priority="536" stopIfTrue="1">
      <formula>AND(COUNTIF(#REF!, B136)+COUNTIF($B$18:$B$24, B136)&gt;1,NOT(ISBLANK(B136)))</formula>
    </cfRule>
  </conditionalFormatting>
  <conditionalFormatting sqref="B136:B137">
    <cfRule type="duplicateValues" dxfId="552" priority="533"/>
    <cfRule type="duplicateValues" dxfId="551" priority="534"/>
    <cfRule type="duplicateValues" dxfId="550" priority="535"/>
  </conditionalFormatting>
  <conditionalFormatting sqref="B136:B145 B147:B148">
    <cfRule type="duplicateValues" dxfId="549" priority="532"/>
  </conditionalFormatting>
  <conditionalFormatting sqref="B137">
    <cfRule type="duplicateValues" dxfId="548" priority="531"/>
  </conditionalFormatting>
  <conditionalFormatting sqref="B138">
    <cfRule type="duplicateValues" dxfId="547" priority="530"/>
  </conditionalFormatting>
  <conditionalFormatting sqref="B138:B140">
    <cfRule type="duplicateValues" dxfId="546" priority="528"/>
    <cfRule type="duplicateValues" dxfId="545" priority="529"/>
  </conditionalFormatting>
  <conditionalFormatting sqref="B138:B146">
    <cfRule type="expression" dxfId="544" priority="527" stopIfTrue="1">
      <formula>AND(COUNTIF($B$26:$B$26, B138)+COUNTIF($B$20:$B$23, B138)&gt;1,NOT(ISBLANK(B138)))</formula>
    </cfRule>
  </conditionalFormatting>
  <conditionalFormatting sqref="B138:B147">
    <cfRule type="expression" dxfId="543" priority="526" stopIfTrue="1">
      <formula>AND(COUNTIF($B$26:$B$27, B138)+COUNTIF($B$20:$B$23, B138)&gt;1,NOT(ISBLANK(B138)))</formula>
    </cfRule>
  </conditionalFormatting>
  <conditionalFormatting sqref="B138:B148">
    <cfRule type="expression" dxfId="542" priority="525" stopIfTrue="1">
      <formula>AND(COUNTIF($B$25:$B$28, B138)+COUNTIF($B$20:$B$23, B138)&gt;1,NOT(ISBLANK(B138)))</formula>
    </cfRule>
  </conditionalFormatting>
  <conditionalFormatting sqref="B138:B155">
    <cfRule type="expression" dxfId="541" priority="524" stopIfTrue="1">
      <formula>AND(COUNTIF($B$36:$B$36, B138)+COUNTIF($B$20:$B$34, B138)&gt;1,NOT(ISBLANK(B138)))</formula>
    </cfRule>
  </conditionalFormatting>
  <conditionalFormatting sqref="B139:B140">
    <cfRule type="duplicateValues" dxfId="540" priority="522"/>
    <cfRule type="duplicateValues" dxfId="539" priority="523"/>
  </conditionalFormatting>
  <conditionalFormatting sqref="B140:B141">
    <cfRule type="duplicateValues" dxfId="538" priority="521"/>
    <cfRule type="duplicateValues" dxfId="537" priority="520"/>
  </conditionalFormatting>
  <conditionalFormatting sqref="B142 B132">
    <cfRule type="expression" dxfId="536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35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34" priority="516"/>
  </conditionalFormatting>
  <conditionalFormatting sqref="B142:B145 B147">
    <cfRule type="duplicateValues" dxfId="533" priority="515"/>
  </conditionalFormatting>
  <conditionalFormatting sqref="B143:B145 B147">
    <cfRule type="duplicateValues" dxfId="532" priority="514"/>
    <cfRule type="duplicateValues" dxfId="531" priority="513"/>
    <cfRule type="duplicateValues" dxfId="530" priority="512"/>
  </conditionalFormatting>
  <conditionalFormatting sqref="B145 B147">
    <cfRule type="duplicateValues" dxfId="529" priority="511"/>
    <cfRule type="duplicateValues" dxfId="528" priority="510"/>
  </conditionalFormatting>
  <conditionalFormatting sqref="B145 B147:B149">
    <cfRule type="duplicateValues" dxfId="527" priority="509"/>
  </conditionalFormatting>
  <conditionalFormatting sqref="B146 B148:B149">
    <cfRule type="duplicateValues" dxfId="526" priority="508"/>
  </conditionalFormatting>
  <conditionalFormatting sqref="B147:B148">
    <cfRule type="expression" dxfId="525" priority="503" stopIfTrue="1">
      <formula>AND(COUNTIF(#REF!, B147)+COUNTIF($B$18:$B$24, B147)&gt;1,NOT(ISBLANK(B147)))</formula>
    </cfRule>
    <cfRule type="expression" dxfId="524" priority="507" stopIfTrue="1">
      <formula>AND(COUNTIF($B$24:$B$24, B147)+COUNTIF(#REF!, B147)&gt;1,NOT(ISBLANK(B147)))</formula>
    </cfRule>
    <cfRule type="expression" dxfId="523" priority="506" stopIfTrue="1">
      <formula>AND(COUNTIF($B$24:$B$24, B147)+COUNTIF($B$13:$B$14, B147)+COUNTIF($B$17:$B$17, B147)&gt;1,NOT(ISBLANK(B147)))</formula>
    </cfRule>
    <cfRule type="expression" dxfId="522" priority="505" stopIfTrue="1">
      <formula>AND(COUNTIF($B$24:$B$24, B147)+COUNTIF($B$14:$B$14, B147)+COUNTIF(#REF!, B147)&gt;1,NOT(ISBLANK(B147)))</formula>
    </cfRule>
    <cfRule type="expression" dxfId="521" priority="504" stopIfTrue="1">
      <formula>AND(COUNTIF($B$24:$B$24, B147)+COUNTIF($B$13:$B$14, B147)+COUNTIF(#REF!, B147)&gt;1,NOT(ISBLANK(B147)))</formula>
    </cfRule>
    <cfRule type="duplicateValues" dxfId="520" priority="502"/>
  </conditionalFormatting>
  <conditionalFormatting sqref="B148:B149">
    <cfRule type="duplicateValues" dxfId="519" priority="501"/>
  </conditionalFormatting>
  <conditionalFormatting sqref="B148:B157 B159:B172 B146">
    <cfRule type="expression" dxfId="518" priority="500" stopIfTrue="1">
      <formula>AND(COUNTIF($B$29:$B$38, B146)+COUNTIF($B$41:$B$57, B146)&gt;1,NOT(ISBLANK(B146)))</formula>
    </cfRule>
  </conditionalFormatting>
  <conditionalFormatting sqref="B149:B151">
    <cfRule type="duplicateValues" dxfId="517" priority="499"/>
  </conditionalFormatting>
  <conditionalFormatting sqref="B149:B155">
    <cfRule type="expression" dxfId="516" priority="498" stopIfTrue="1">
      <formula>AND(COUNTIF($B$36:$B$36, B149)+COUNTIF($B$32:$B$38, B149)&gt;1,NOT(ISBLANK(B149)))</formula>
    </cfRule>
  </conditionalFormatting>
  <conditionalFormatting sqref="B149:B156">
    <cfRule type="expression" dxfId="515" priority="497" stopIfTrue="1">
      <formula>AND(COUNTIF($B$35:$B$37, B149)+COUNTIF($B$32:$B$38, B149)&gt;1,NOT(ISBLANK(B149)))</formula>
    </cfRule>
  </conditionalFormatting>
  <conditionalFormatting sqref="B150:B152">
    <cfRule type="duplicateValues" dxfId="514" priority="496"/>
    <cfRule type="duplicateValues" dxfId="513" priority="495"/>
  </conditionalFormatting>
  <conditionalFormatting sqref="B150:B153">
    <cfRule type="duplicateValues" dxfId="512" priority="494"/>
  </conditionalFormatting>
  <conditionalFormatting sqref="B151:B153">
    <cfRule type="duplicateValues" dxfId="511" priority="493"/>
    <cfRule type="duplicateValues" dxfId="510" priority="492"/>
  </conditionalFormatting>
  <conditionalFormatting sqref="B152:B156">
    <cfRule type="duplicateValues" dxfId="509" priority="491"/>
  </conditionalFormatting>
  <conditionalFormatting sqref="B152:B157 B159:B172">
    <cfRule type="expression" dxfId="508" priority="490" stopIfTrue="1">
      <formula>AND(COUNTIF($B$35:$B$38, B152)+COUNTIF($B$41:$B$57, B152)&gt;1,NOT(ISBLANK(B152)))</formula>
    </cfRule>
  </conditionalFormatting>
  <conditionalFormatting sqref="B153:B155">
    <cfRule type="duplicateValues" dxfId="507" priority="489"/>
  </conditionalFormatting>
  <conditionalFormatting sqref="B153:B157 B159:B160">
    <cfRule type="expression" dxfId="506" priority="488" stopIfTrue="1">
      <formula>AND(COUNTIF($B$38:$B$47, B153)+COUNTIF($B$37:$B$37, B153)&gt;1,NOT(ISBLANK(B153)))</formula>
    </cfRule>
  </conditionalFormatting>
  <conditionalFormatting sqref="B153:B157 B159:B172">
    <cfRule type="expression" dxfId="505" priority="487" stopIfTrue="1">
      <formula>AND(COUNTIF($B$38:$B$59, B153)+COUNTIF($B$37:$B$37, B153)&gt;1,NOT(ISBLANK(B153)))</formula>
    </cfRule>
  </conditionalFormatting>
  <conditionalFormatting sqref="B153:B157">
    <cfRule type="expression" dxfId="504" priority="486" stopIfTrue="1">
      <formula>AND(COUNTIF($B$38:$B$38, B153)+COUNTIF($B$37:$B$37, B153)&gt;1,NOT(ISBLANK(B153)))</formula>
    </cfRule>
  </conditionalFormatting>
  <conditionalFormatting sqref="B154:B157">
    <cfRule type="duplicateValues" dxfId="503" priority="484"/>
    <cfRule type="duplicateValues" dxfId="502" priority="485"/>
  </conditionalFormatting>
  <conditionalFormatting sqref="B159:B160">
    <cfRule type="expression" dxfId="501" priority="483" stopIfTrue="1">
      <formula>AND(COUNTIF($B$41:$B$41, B159)+COUNTIF(#REF!, B159)&gt;1,NOT(ISBLANK(B159)))</formula>
    </cfRule>
  </conditionalFormatting>
  <conditionalFormatting sqref="B159:B172 B151:B157">
    <cfRule type="expression" dxfId="500" priority="482" stopIfTrue="1">
      <formula>AND(COUNTIF($B$34:$B$38, B151)+COUNTIF($B$41:$B$57, B151)&gt;1,NOT(ISBLANK(B151)))</formula>
    </cfRule>
  </conditionalFormatting>
  <conditionalFormatting sqref="B159:B172">
    <cfRule type="expression" dxfId="499" priority="481" stopIfTrue="1">
      <formula>AND(COUNTIF($B$41:$B$59, B159)+COUNTIF(#REF!, B159)&gt;1,NOT(ISBLANK(B159)))</formula>
    </cfRule>
  </conditionalFormatting>
  <conditionalFormatting sqref="B160:B172">
    <cfRule type="expression" dxfId="498" priority="480" stopIfTrue="1">
      <formula>AND(COUNTIF($B$58:$B$59, B160)+COUNTIF(#REF!, B160)&gt;1,NOT(ISBLANK(B160)))</formula>
    </cfRule>
  </conditionalFormatting>
  <conditionalFormatting sqref="B173:B174 B171">
    <cfRule type="expression" dxfId="497" priority="479" stopIfTrue="1">
      <formula>AND(COUNTIF($B$59:$B$59, B171)+COUNTIF($B$58:$B$58, B171)&gt;1,NOT(ISBLANK(B171)))</formula>
    </cfRule>
  </conditionalFormatting>
  <conditionalFormatting sqref="B173:B174">
    <cfRule type="duplicateValues" dxfId="496" priority="478"/>
    <cfRule type="expression" dxfId="495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494" priority="476" stopIfTrue="1">
      <formula>AND(COUNTIF($D$171:$D$190, B84)+COUNTIF($D$80:$D$122, B84)&gt;1,NOT(ISBLANK(B84)))</formula>
    </cfRule>
  </conditionalFormatting>
  <conditionalFormatting sqref="B184:B186">
    <cfRule type="expression" dxfId="493" priority="475" stopIfTrue="1">
      <formula>AND(COUNTIF($D$130:$D$170, B184)+COUNTIF($D$123:$D$128, B184)&gt;1,NOT(ISBLANK(B184)))</formula>
    </cfRule>
    <cfRule type="expression" dxfId="492" priority="474" stopIfTrue="1">
      <formula>AND(COUNTIF($B$59:$B$59, B184)+COUNTIF($B$58:$B$58, B184)&gt;1,NOT(ISBLANK(B184)))</formula>
    </cfRule>
  </conditionalFormatting>
  <conditionalFormatting sqref="B241">
    <cfRule type="duplicateValues" dxfId="491" priority="473"/>
    <cfRule type="duplicateValues" dxfId="490" priority="472"/>
  </conditionalFormatting>
  <conditionalFormatting sqref="B241:B242 B245:B246 B248 B253:B256 B258:B262 B264:B287 B292:B294 B297:B298 B301">
    <cfRule type="expression" dxfId="489" priority="6781" stopIfTrue="1">
      <formula>AND(COUNTIF($C$8:$C$24, B241)+COUNTIF(#REF!, B241)&gt;1,NOT(ISBLANK(B241)))</formula>
    </cfRule>
    <cfRule type="expression" dxfId="488" priority="6782" stopIfTrue="1">
      <formula>AND(COUNTIF($C$149:$C$149, B241)+COUNTIF($C$172:$C$65539, B241)+COUNTIF($C$1:$C$24, B241)+COUNTIF(#REF!, B241)+COUNTIF($C$44:$C$93, B241)+COUNTIF(#REF!, B241)&gt;1,NOT(ISBLANK(B241)))</formula>
    </cfRule>
    <cfRule type="expression" dxfId="487" priority="6783" stopIfTrue="1">
      <formula>AND(COUNTIF($C$8:$C$24, B241)+COUNTIF(#REF!, B241)+COUNTIF(#REF!, B241)+COUNTIF(#REF!, B241)&gt;1,NOT(ISBLANK(B241)))</formula>
    </cfRule>
    <cfRule type="expression" dxfId="486" priority="6784" stopIfTrue="1">
      <formula>AND(COUNTIF($D$415:$D$65539,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485" priority="467" stopIfTrue="1">
      <formula>AND(COUNTIF($D$237:$D$313, B241)+COUNTIF(#REF!, B241)&gt;1,NOT(ISBLANK(B241)))</formula>
    </cfRule>
  </conditionalFormatting>
  <conditionalFormatting sqref="B242">
    <cfRule type="duplicateValues" dxfId="484" priority="466"/>
    <cfRule type="duplicateValues" dxfId="483" priority="465"/>
  </conditionalFormatting>
  <conditionalFormatting sqref="B245">
    <cfRule type="duplicateValues" dxfId="482" priority="464"/>
    <cfRule type="duplicateValues" dxfId="481" priority="463"/>
    <cfRule type="duplicateValues" dxfId="480" priority="462"/>
  </conditionalFormatting>
  <conditionalFormatting sqref="B245:B246">
    <cfRule type="expression" dxfId="479" priority="461" stopIfTrue="1">
      <formula>AND(COUNTIF($C$12:$C$24, B245)+COUNTIF(#REF!, B245)+COUNTIF(#REF!, B245)+COUNTIF(#REF!, B245)&gt;1,NOT(ISBLANK(B245)))</formula>
    </cfRule>
    <cfRule type="expression" dxfId="478" priority="460" stopIfTrue="1">
      <formula>AND(COUNTIF(#REF!, B245)+COUNTIF($C$17:$C$17, B245)+COUNTIF($C$13:$C$13, B245)&gt;1,NOT(ISBLANK(B245)))</formula>
    </cfRule>
    <cfRule type="expression" dxfId="477" priority="459" stopIfTrue="1">
      <formula>AND(COUNTIF($C$24:$C$24, B245)+COUNTIF(#REF!, B245)&gt;1,NOT(ISBLANK(B245)))</formula>
    </cfRule>
    <cfRule type="expression" dxfId="476" priority="458" stopIfTrue="1">
      <formula>AND(COUNTIF($C$24:$C$24, B245)+COUNTIF($C$13:$C$14, B245)+COUNTIF($C$17:$C$17, B245)&gt;1,NOT(ISBLANK(B245)))</formula>
    </cfRule>
    <cfRule type="expression" dxfId="475" priority="457" stopIfTrue="1">
      <formula>AND(COUNTIF($C$24:$C$24, B245)+COUNTIF($C$13:$C$14, B245)+COUNTIF(#REF!, B245)&gt;1,NOT(ISBLANK(B245)))</formula>
    </cfRule>
    <cfRule type="expression" dxfId="474" priority="456" stopIfTrue="1">
      <formula>AND(COUNTIF(#REF!, B245)+COUNTIF($C$13:$C$24, B245)&gt;1,NOT(ISBLANK(B245)))</formula>
    </cfRule>
  </conditionalFormatting>
  <conditionalFormatting sqref="B246 B248">
    <cfRule type="duplicateValues" dxfId="473" priority="455"/>
    <cfRule type="duplicateValues" dxfId="472" priority="454"/>
    <cfRule type="duplicateValues" dxfId="471" priority="453"/>
  </conditionalFormatting>
  <conditionalFormatting sqref="B253:B254 B258:B262 B264:B282 B284:B287 B297:B298 B301">
    <cfRule type="duplicateValues" dxfId="470" priority="452"/>
  </conditionalFormatting>
  <conditionalFormatting sqref="B253:B254 B259:B262 B264:B282 B284:B287 B297:B298 B301">
    <cfRule type="duplicateValues" dxfId="469" priority="451"/>
  </conditionalFormatting>
  <conditionalFormatting sqref="B253:B287 B297:B302 B241:B246 B248">
    <cfRule type="expression" dxfId="468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67" priority="450" stopIfTrue="1">
      <formula>AND(COUNTIF(#REF!, B242)+COUNTIF($C$10:$C$24, B242)&gt;1,NOT(ISBLANK(B242)))</formula>
    </cfRule>
  </conditionalFormatting>
  <conditionalFormatting sqref="B253:B287 B297:B302">
    <cfRule type="expression" dxfId="466" priority="446" stopIfTrue="1">
      <formula>AND(COUNTIF($C$24:$C$24, B253)+COUNTIF(#REF!, B253)&gt;1,NOT(ISBLANK(B253)))</formula>
    </cfRule>
    <cfRule type="expression" dxfId="465" priority="445" stopIfTrue="1">
      <formula>AND(COUNTIF($C$24:$C$24, B253)+COUNTIF($C$13:$C$14, B253)+COUNTIF($C$17:$C$17, B253)&gt;1,NOT(ISBLANK(B253)))</formula>
    </cfRule>
    <cfRule type="expression" dxfId="464" priority="449" stopIfTrue="1">
      <formula>AND(COUNTIF($C$12:$C$24, B253)+COUNTIF(#REF!, B253)+COUNTIF(#REF!, B253)+COUNTIF(#REF!, B253)&gt;1,NOT(ISBLANK(B253)))</formula>
    </cfRule>
    <cfRule type="expression" dxfId="463" priority="447" stopIfTrue="1">
      <formula>AND(COUNTIF($C$12:$C$12, B253)+COUNTIF(#REF!, B253)+COUNTIF($C$14:$C$24, B253)&gt;1,NOT(ISBLANK(B253)))</formula>
    </cfRule>
    <cfRule type="expression" dxfId="462" priority="442" stopIfTrue="1">
      <formula>AND(COUNTIF(#REF!, B253)+COUNTIF($C$13:$C$24, B253)&gt;1,NOT(ISBLANK(B253)))</formula>
    </cfRule>
    <cfRule type="expression" dxfId="461" priority="443" stopIfTrue="1">
      <formula>AND(COUNTIF($C$24:$C$24, B253)+COUNTIF($C$13:$C$14, B253)+COUNTIF(#REF!, B253)&gt;1,NOT(ISBLANK(B253)))</formula>
    </cfRule>
    <cfRule type="expression" dxfId="460" priority="444" stopIfTrue="1">
      <formula>AND(COUNTIF($C$24:$C$24, B253)+COUNTIF($C$14:$C$14, B253)+COUNTIF(#REF!, B253)&gt;1,NOT(ISBLANK(B253)))</formula>
    </cfRule>
  </conditionalFormatting>
  <conditionalFormatting sqref="B255 B242">
    <cfRule type="duplicateValues" dxfId="459" priority="441"/>
    <cfRule type="duplicateValues" dxfId="458" priority="440"/>
  </conditionalFormatting>
  <conditionalFormatting sqref="B255">
    <cfRule type="duplicateValues" dxfId="457" priority="439"/>
  </conditionalFormatting>
  <conditionalFormatting sqref="B256 B253:B254 B258:B262 B264:B282 B284:B287 B297:B298 B301">
    <cfRule type="duplicateValues" dxfId="456" priority="438"/>
  </conditionalFormatting>
  <conditionalFormatting sqref="B256 B261">
    <cfRule type="expression" dxfId="455" priority="437" stopIfTrue="1">
      <formula>AND(COUNTIF($C$16:$C$16, B256)+COUNTIF($C$12:$C$16, B256)&gt;1,NOT(ISBLANK(B256)))</formula>
    </cfRule>
  </conditionalFormatting>
  <conditionalFormatting sqref="B256">
    <cfRule type="duplicateValues" dxfId="454" priority="436"/>
    <cfRule type="duplicateValues" dxfId="453" priority="435"/>
  </conditionalFormatting>
  <conditionalFormatting sqref="B258">
    <cfRule type="duplicateValues" dxfId="452" priority="433"/>
  </conditionalFormatting>
  <conditionalFormatting sqref="B258:B287 B297:B302">
    <cfRule type="expression" dxfId="451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0" priority="431" stopIfTrue="1">
      <formula>AND(COUNTIF($C$24:$C$24, B260)+COUNTIF($C$14:$C$14, B260)+COUNTIF(#REF!, B260)&gt;1,NOT(ISBLANK(B260)))</formula>
    </cfRule>
    <cfRule type="expression" dxfId="449" priority="430" stopIfTrue="1">
      <formula>AND(COUNTIF($C$24:$C$24, B260)+COUNTIF($C$13:$C$14, B260)+COUNTIF(#REF!, B260)&gt;1,NOT(ISBLANK(B260)))</formula>
    </cfRule>
    <cfRule type="duplicateValues" dxfId="448" priority="429"/>
    <cfRule type="duplicateValues" dxfId="447" priority="428"/>
    <cfRule type="duplicateValues" dxfId="446" priority="426"/>
    <cfRule type="duplicateValues" dxfId="445" priority="427"/>
  </conditionalFormatting>
  <conditionalFormatting sqref="B261">
    <cfRule type="duplicateValues" dxfId="444" priority="425"/>
  </conditionalFormatting>
  <conditionalFormatting sqref="B261:B262 B264:B282 B284:B287 B297:B298">
    <cfRule type="duplicateValues" dxfId="443" priority="424"/>
  </conditionalFormatting>
  <conditionalFormatting sqref="B261:B262 B264:B287 B297:B302">
    <cfRule type="expression" dxfId="442" priority="423" stopIfTrue="1">
      <formula>AND(COUNTIF(#REF!, B261)+COUNTIF($C$16:$C$17, B261)&gt;1,NOT(ISBLANK(B261)))</formula>
    </cfRule>
  </conditionalFormatting>
  <conditionalFormatting sqref="B264:B287 B261:B262 B297:B302">
    <cfRule type="expression" dxfId="441" priority="422" stopIfTrue="1">
      <formula>AND(COUNTIF(#REF!, B261)+COUNTIF($C$17:$C$17, B261)&gt;1,NOT(ISBLANK(B261)))</formula>
    </cfRule>
  </conditionalFormatting>
  <conditionalFormatting sqref="B283">
    <cfRule type="duplicateValues" dxfId="440" priority="418"/>
    <cfRule type="duplicateValues" dxfId="439" priority="419"/>
    <cfRule type="duplicateValues" dxfId="438" priority="420"/>
    <cfRule type="expression" dxfId="437" priority="421" stopIfTrue="1">
      <formula>AND(COUNTIF(#REF!, B283)+COUNTIF($C$18:$C$24, B283)&gt;1,NOT(ISBLANK(B283)))</formula>
    </cfRule>
    <cfRule type="duplicateValues" dxfId="436" priority="417"/>
  </conditionalFormatting>
  <conditionalFormatting sqref="B292">
    <cfRule type="duplicateValues" dxfId="435" priority="409"/>
    <cfRule type="expression" dxfId="434" priority="406" stopIfTrue="1">
      <formula>AND(COUNTIF(#REF!, B292)+COUNTIF($C$10:$C$24, B292)&gt;1,NOT(ISBLANK(B292)))</formula>
    </cfRule>
    <cfRule type="duplicateValues" dxfId="433" priority="407"/>
    <cfRule type="expression" dxfId="432" priority="403" stopIfTrue="1">
      <formula>AND(COUNTIF(#REF!, B292)+COUNTIF($C$18:$C$24, B292)&gt;1,NOT(ISBLANK(B292)))</formula>
    </cfRule>
    <cfRule type="duplicateValues" dxfId="431" priority="416"/>
    <cfRule type="expression" dxfId="430" priority="415" stopIfTrue="1">
      <formula>AND(COUNTIF($C$21:$C$24, B292)+COUNTIF(#REF!, B292)+COUNTIF(#REF!, B292)+COUNTIF(#REF!, B292)&gt;1,NOT(ISBLANK(B292)))</formula>
    </cfRule>
    <cfRule type="expression" dxfId="429" priority="414" stopIfTrue="1">
      <formula>AND(COUNTIF($C$21:$C$24, B292)+COUNTIF(#REF!, B292)+COUNTIF(#REF!, B292)+COUNTIF(#REF!, B292)&gt;1,NOT(ISBLANK(B292)))</formula>
    </cfRule>
    <cfRule type="expression" dxfId="428" priority="412" stopIfTrue="1">
      <formula>AND(COUNTIF($C$18:$C$24, B292)+COUNTIF(#REF!, B292)+COUNTIF(#REF!, B292)+COUNTIF(#REF!, B292)&gt;1,NOT(ISBLANK(B292)))</formula>
    </cfRule>
    <cfRule type="expression" dxfId="427" priority="411" stopIfTrue="1">
      <formula>AND(COUNTIF($C$20:$C$24, B292)+COUNTIF(#REF!, B292)+COUNTIF(#REF!, B292)+COUNTIF(#REF!, B292)&gt;1,NOT(ISBLANK(B292)))</formula>
    </cfRule>
    <cfRule type="expression" dxfId="426" priority="410" stopIfTrue="1">
      <formula>AND(COUNTIF($C$20:$C$24, B292)+COUNTIF(#REF!, B292)+COUNTIF(#REF!, B292)+COUNTIF(#REF!, B292)&gt;1,NOT(ISBLANK(B292)))</formula>
    </cfRule>
    <cfRule type="duplicateValues" dxfId="425" priority="408"/>
    <cfRule type="expression" dxfId="424" priority="404" stopIfTrue="1">
      <formula>AND(COUNTIF(#REF!, B292)+COUNTIF($C$20:$C$23, B292)&gt;1,NOT(ISBLANK(B292)))</formula>
    </cfRule>
  </conditionalFormatting>
  <conditionalFormatting sqref="B292:B294 B264:B287 B253:B256 B258:B262 B297:B302 B241:B242 B245:B246 B248">
    <cfRule type="expression" dxfId="423" priority="402" stopIfTrue="1">
      <formula>AND(COUNTIF($C$8:$C$24, B241)+COUNTIF(#REF!, B241)&gt;1,NOT(ISBLANK(B241)))</formula>
    </cfRule>
  </conditionalFormatting>
  <conditionalFormatting sqref="B292:B294">
    <cfRule type="expression" dxfId="422" priority="405" stopIfTrue="1">
      <formula>AND(COUNTIF($C$12:$C$12, B292)+COUNTIF(#REF!, B292)+COUNTIF($C$14:$C$24, B292)&gt;1,NOT(ISBLANK(B292)))</formula>
    </cfRule>
    <cfRule type="expression" dxfId="421" priority="398" stopIfTrue="1">
      <formula>AND(COUNTIF(#REF!, B292)+COUNTIF($C$20:$C$24, B292)&gt;1,NOT(ISBLANK(B292)))</formula>
    </cfRule>
    <cfRule type="expression" dxfId="420" priority="399" stopIfTrue="1">
      <formula>AND(COUNTIF(#REF!, B292)+COUNTIF($C$13:$C$24, B292)&gt;1,NOT(ISBLANK(B292)))</formula>
    </cfRule>
    <cfRule type="expression" dxfId="419" priority="400" stopIfTrue="1">
      <formula>AND(COUNTIF($C$13:$C$24, B292)+COUNTIF($C$8:$C$11, B292)&gt;1,NOT(ISBLANK(B292)))</formula>
    </cfRule>
    <cfRule type="expression" dxfId="418" priority="401" stopIfTrue="1">
      <formula>AND(COUNTIF(#REF!, B292)+COUNTIF($C$20:$C$23, B292)&gt;1,NOT(ISBLANK(B292)))</formula>
    </cfRule>
    <cfRule type="expression" dxfId="417" priority="413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16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15" priority="395" stopIfTrue="1">
      <formula>AND(COUNTIF(#REF!, B293)+COUNTIF($C$18:$C$24, B293)&gt;1,NOT(ISBLANK(B293)))</formula>
    </cfRule>
    <cfRule type="expression" dxfId="414" priority="389" stopIfTrue="1">
      <formula>AND(COUNTIF($C$20:$C$24, B293)+COUNTIF(#REF!, B293)+COUNTIF(#REF!, B293)+COUNTIF(#REF!, B293)&gt;1,NOT(ISBLANK(B293)))</formula>
    </cfRule>
    <cfRule type="duplicateValues" dxfId="413" priority="391"/>
    <cfRule type="expression" dxfId="412" priority="388" stopIfTrue="1">
      <formula>AND(COUNTIF(#REF!, B293)+COUNTIF($C$20:$C$23, B293)&gt;1,NOT(ISBLANK(B293)))</formula>
    </cfRule>
    <cfRule type="expression" dxfId="411" priority="390" stopIfTrue="1">
      <formula>AND(COUNTIF($C$20:$C$24, B293)+COUNTIF(#REF!, B293)+COUNTIF(#REF!, B293)+COUNTIF(#REF!, B293)&gt;1,NOT(ISBLANK(B293)))</formula>
    </cfRule>
    <cfRule type="duplicateValues" dxfId="410" priority="392"/>
    <cfRule type="duplicateValues" dxfId="409" priority="393"/>
    <cfRule type="duplicateValues" dxfId="408" priority="394"/>
    <cfRule type="duplicateValues" dxfId="407" priority="396"/>
  </conditionalFormatting>
  <conditionalFormatting sqref="B299:B300 B302:B304 B306:B316">
    <cfRule type="expression" dxfId="406" priority="6817" stopIfTrue="1">
      <formula>AND(COUNTIF($C$25:$C$32, B299)+COUNTIF($C$34:$C$41, B299)&gt;1,NOT(ISBLANK(B299)))</formula>
    </cfRule>
    <cfRule type="expression" dxfId="405" priority="6818" stopIfTrue="1">
      <formula>AND(COUNTIF($E$505:$E$65539,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04" priority="384"/>
    <cfRule type="duplicateValues" dxfId="403" priority="385"/>
  </conditionalFormatting>
  <conditionalFormatting sqref="B301 B256 B253:B254 B258:B259 B261">
    <cfRule type="duplicateValues" dxfId="402" priority="383"/>
  </conditionalFormatting>
  <conditionalFormatting sqref="B301 B261 B259 B253:B254">
    <cfRule type="duplicateValues" dxfId="401" priority="382"/>
  </conditionalFormatting>
  <conditionalFormatting sqref="B305">
    <cfRule type="duplicateValues" dxfId="400" priority="6825" stopIfTrue="1"/>
    <cfRule type="expression" dxfId="399" priority="6826" stopIfTrue="1">
      <formula>AND(COUNTIF($E$524:$E$65539,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398" priority="6824" stopIfTrue="1"/>
    <cfRule type="duplicateValues" dxfId="397" priority="6823" stopIfTrue="1"/>
  </conditionalFormatting>
  <conditionalFormatting sqref="B579:B580">
    <cfRule type="duplicateValues" dxfId="396" priority="6834" stopIfTrue="1"/>
    <cfRule type="duplicateValues" dxfId="395" priority="6835" stopIfTrue="1"/>
    <cfRule type="expression" dxfId="394" priority="6836" stopIfTrue="1">
      <formula>AND(COUNTIF($D$10:$D$22, B579)+COUNTIF(#REF!, B579)&gt;1,NOT(ISBLANK(B579)))</formula>
    </cfRule>
    <cfRule type="duplicateValues" dxfId="393" priority="6827" stopIfTrue="1"/>
    <cfRule type="duplicateValues" dxfId="392" priority="6828" stopIfTrue="1"/>
    <cfRule type="duplicateValues" dxfId="391" priority="6829" stopIfTrue="1"/>
    <cfRule type="expression" dxfId="390" priority="6830" stopIfTrue="1">
      <formula>AND(COUNTIF($D$26:$D$65701,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9" priority="6831" stopIfTrue="1">
      <formula>AND(COUNTIF($D$26:$D$65701,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8" priority="6832" stopIfTrue="1">
      <formula>AND(COUNTIF($D$26:$D$65701, B579)+COUNTIF($D$1:$D$22, B579)+COUNTIF(#REF!, B579)+COUNTIF(#REF!, B579)+COUNTIF($D$25:$D$25, B579)+COUNTIF(#REF!, B579)+COUNTIF(#REF!, B579)&gt;1,NOT(ISBLANK(B579)))</formula>
    </cfRule>
    <cfRule type="duplicateValues" dxfId="387" priority="6833" stopIfTrue="1"/>
  </conditionalFormatting>
  <conditionalFormatting sqref="B579:B581 B584:B591 B593 B595:B598">
    <cfRule type="expression" dxfId="386" priority="6843" stopIfTrue="1">
      <formula>AND(COUNTIF($D$26:$D$65704,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5" priority="6837" stopIfTrue="1">
      <formula>AND(COUNTIF($D$26:$D$65704,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4" priority="6838" stopIfTrue="1">
      <formula>AND(COUNTIF($D$26:$D$65704, B579)+COUNTIF($D$1:$D$22, B579)+COUNTIF(#REF!, B579)+COUNTIF(#REF!, B579)+COUNTIF($D$25:$D$25, B579)+COUNTIF(#REF!, B579)+COUNTIF(#REF!, B579)&gt;1,NOT(ISBLANK(B579)))</formula>
    </cfRule>
  </conditionalFormatting>
  <conditionalFormatting sqref="B581 B584:B591 B595:B598 B593">
    <cfRule type="duplicateValues" dxfId="383" priority="6846" stopIfTrue="1"/>
    <cfRule type="duplicateValues" dxfId="382" priority="6847" stopIfTrue="1"/>
    <cfRule type="duplicateValues" dxfId="381" priority="6848" stopIfTrue="1"/>
  </conditionalFormatting>
  <conditionalFormatting sqref="B581">
    <cfRule type="expression" dxfId="380" priority="68" stopIfTrue="1">
      <formula>AND(COUNTIF($D$10:$D$22, B581)+COUNTIF(#REF!, B581)&gt;1,NOT(ISBLANK(B581)))</formula>
    </cfRule>
    <cfRule type="duplicateValues" dxfId="379" priority="6855" stopIfTrue="1"/>
    <cfRule type="duplicateValues" dxfId="378" priority="6857" stopIfTrue="1"/>
    <cfRule type="expression" dxfId="377" priority="6858" stopIfTrue="1">
      <formula>AND(COUNTIF($D$26:$D$65701,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6" priority="6859" stopIfTrue="1">
      <formula>AND(COUNTIF($D$26:$D$65701,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5" priority="6860" stopIfTrue="1">
      <formula>AND(COUNTIF($D$26:$D$65701, B581)+COUNTIF($D$1:$D$22, B581)+COUNTIF(#REF!, B581)+COUNTIF(#REF!, B581)+COUNTIF($D$25:$D$25, B581)+COUNTIF(#REF!, B581)+COUNTIF(#REF!, B581)&gt;1,NOT(ISBLANK(B581)))</formula>
    </cfRule>
    <cfRule type="duplicateValues" dxfId="374" priority="6856" stopIfTrue="1"/>
  </conditionalFormatting>
  <conditionalFormatting sqref="B582:B583">
    <cfRule type="expression" dxfId="373" priority="6870" stopIfTrue="1">
      <formula>AND(COUNTIF($D$10:$D$22, B582)+COUNTIF(#REF!, B582)&gt;1,NOT(ISBLANK(B582)))</formula>
    </cfRule>
    <cfRule type="expression" dxfId="372" priority="6873" stopIfTrue="1">
      <formula>AND(COUNTIF($D$26:$D$65689, B582)+COUNTIF($D$1:$D$22, B582)+COUNTIF(#REF!, B582)+COUNTIF(#REF!, B582)+COUNTIF($D$25:$D$25, B582)+COUNTIF(#REF!, B582)+COUNTIF(#REF!, B582)&gt;1,NOT(ISBLANK(B582)))</formula>
    </cfRule>
    <cfRule type="expression" dxfId="371" priority="6872" stopIfTrue="1">
      <formula>AND(COUNTIF($D$26:$D$65689,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0" priority="6871" stopIfTrue="1">
      <formula>AND(COUNTIF($D$26:$D$65689,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69" priority="6869" stopIfTrue="1"/>
    <cfRule type="duplicateValues" dxfId="368" priority="6868" stopIfTrue="1"/>
    <cfRule type="duplicateValues" dxfId="367" priority="6862" stopIfTrue="1"/>
    <cfRule type="duplicateValues" dxfId="366" priority="6863" stopIfTrue="1"/>
    <cfRule type="expression" dxfId="365" priority="6864" stopIfTrue="1">
      <formula>AND(COUNTIF($D$26:$D$65686,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4" priority="6865" stopIfTrue="1">
      <formula>AND(COUNTIF($D$26:$D$65686,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3" priority="6866" stopIfTrue="1">
      <formula>AND(COUNTIF($D$26:$D$65686, B582)+COUNTIF($D$1:$D$22, B582)+COUNTIF(#REF!, B582)+COUNTIF(#REF!, B582)+COUNTIF($D$25:$D$25, B582)+COUNTIF(#REF!, B582)+COUNTIF(#REF!, B582)&gt;1,NOT(ISBLANK(B582)))</formula>
    </cfRule>
    <cfRule type="duplicateValues" dxfId="362" priority="6867" stopIfTrue="1"/>
    <cfRule type="duplicateValues" dxfId="361" priority="6861" stopIfTrue="1"/>
  </conditionalFormatting>
  <conditionalFormatting sqref="B584:B598">
    <cfRule type="expression" dxfId="360" priority="23" stopIfTrue="1">
      <formula>AND(COUNTIF($D$10:$D$22, B584)+COUNTIF(#REF!, B584)&gt;1,NOT(ISBLANK(B584)))</formula>
    </cfRule>
  </conditionalFormatting>
  <conditionalFormatting sqref="B585:B591 B593 B595:B598">
    <cfRule type="expression" dxfId="359" priority="6877" stopIfTrue="1">
      <formula>AND(COUNTIF($D$26:$D$65701,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58" priority="6879" stopIfTrue="1">
      <formula>AND(COUNTIF($D$26:$D$65701, B585)+COUNTIF($D$1:$D$22, B585)+COUNTIF(#REF!, B585)+COUNTIF(#REF!, B585)+COUNTIF($D$25:$D$25, B585)+COUNTIF(#REF!, B585)+COUNTIF(#REF!, B585)&gt;1,NOT(ISBLANK(B585)))</formula>
    </cfRule>
    <cfRule type="expression" dxfId="357" priority="6878" stopIfTrue="1">
      <formula>AND(COUNTIF($D$26:$D$65701,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85:B591 B595:B598 B593">
    <cfRule type="duplicateValues" dxfId="356" priority="6874" stopIfTrue="1"/>
    <cfRule type="duplicateValues" dxfId="355" priority="6875" stopIfTrue="1"/>
    <cfRule type="duplicateValues" dxfId="354" priority="6876" stopIfTrue="1"/>
  </conditionalFormatting>
  <conditionalFormatting sqref="B592">
    <cfRule type="expression" dxfId="353" priority="6897" stopIfTrue="1">
      <formula>AND(COUNTIF($D$26:$D$65688, B592)+COUNTIF($D$1:$D$22, B592)+COUNTIF(#REF!, B592)+COUNTIF(#REF!, B592)+COUNTIF($D$25:$D$25, B592)+COUNTIF(#REF!, B592)+COUNTIF(#REF!, B592)&gt;1,NOT(ISBLANK(B592)))</formula>
    </cfRule>
    <cfRule type="expression" dxfId="352" priority="6893" stopIfTrue="1">
      <formula>AND(COUNTIF($D$26:$D$65685,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1" priority="6889" stopIfTrue="1"/>
    <cfRule type="duplicateValues" dxfId="350" priority="6890" stopIfTrue="1"/>
    <cfRule type="duplicateValues" dxfId="349" priority="6891" stopIfTrue="1"/>
    <cfRule type="expression" dxfId="348" priority="6892" stopIfTrue="1">
      <formula>AND(COUNTIF($D$26:$D$65685,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47" priority="6888" stopIfTrue="1"/>
    <cfRule type="expression" dxfId="346" priority="6896" stopIfTrue="1">
      <formula>AND(COUNTIF($D$26:$D$65688,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5" priority="6895" stopIfTrue="1">
      <formula>AND(COUNTIF($D$26:$D$65688,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4" priority="6894" stopIfTrue="1">
      <formula>AND(COUNTIF($D$26:$D$65685, B592)+COUNTIF($D$1:$D$22, B592)+COUNTIF(#REF!, B592)+COUNTIF(#REF!, B592)+COUNTIF($D$25:$D$25, B592)+COUNTIF(#REF!, B592)+COUNTIF(#REF!, B592)&gt;1,NOT(ISBLANK(B592)))</formula>
    </cfRule>
    <cfRule type="duplicateValues" dxfId="343" priority="6887" stopIfTrue="1"/>
    <cfRule type="duplicateValues" dxfId="342" priority="6886" stopIfTrue="1"/>
  </conditionalFormatting>
  <conditionalFormatting sqref="B593">
    <cfRule type="expression" dxfId="341" priority="7717" stopIfTrue="1">
      <formula>AND(COUNTIF($D$26:$D$65688, B593)+COUNTIF($D$1:$D$22, B593)+COUNTIF(#REF!, B593)+COUNTIF(#REF!, B593)+COUNTIF($D$25:$D$25, B593)+COUNTIF(#REF!, B593)+COUNTIF(#REF!, B593)&gt;1,NOT(ISBLANK(B593)))</formula>
    </cfRule>
    <cfRule type="expression" dxfId="340" priority="7711" stopIfTrue="1">
      <formula>AND(COUNTIF($D$26:$D$65685,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9" priority="7712" stopIfTrue="1">
      <formula>AND(COUNTIF($D$26:$D$65685,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8" priority="7713" stopIfTrue="1">
      <formula>AND(COUNTIF($D$26:$D$65685, B593)+COUNTIF($D$1:$D$22, B593)+COUNTIF(#REF!, B593)+COUNTIF(#REF!, B593)+COUNTIF($D$25:$D$25, B593)+COUNTIF(#REF!, B593)+COUNTIF(#REF!, B593)&gt;1,NOT(ISBLANK(B593)))</formula>
    </cfRule>
    <cfRule type="expression" dxfId="337" priority="7714" stopIfTrue="1">
      <formula>AND(COUNTIF($D$10:$D$22, B593)+COUNTIF(#REF!, B593)&gt;1,NOT(ISBLANK(B593)))</formula>
    </cfRule>
    <cfRule type="expression" dxfId="336" priority="7715" stopIfTrue="1">
      <formula>AND(COUNTIF($D$26:$D$65688,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5" priority="7716" stopIfTrue="1">
      <formula>AND(COUNTIF($D$26:$D$65688,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34" priority="7710" stopIfTrue="1"/>
    <cfRule type="duplicateValues" dxfId="333" priority="7705" stopIfTrue="1"/>
    <cfRule type="duplicateValues" dxfId="332" priority="7706" stopIfTrue="1"/>
    <cfRule type="duplicateValues" dxfId="331" priority="7707" stopIfTrue="1"/>
    <cfRule type="duplicateValues" dxfId="330" priority="7708" stopIfTrue="1"/>
    <cfRule type="duplicateValues" dxfId="329" priority="7709" stopIfTrue="1"/>
  </conditionalFormatting>
  <conditionalFormatting sqref="B598:B599">
    <cfRule type="duplicateValues" dxfId="328" priority="6903" stopIfTrue="1"/>
    <cfRule type="duplicateValues" dxfId="327" priority="6902" stopIfTrue="1"/>
    <cfRule type="expression" dxfId="326" priority="6907" stopIfTrue="1">
      <formula>AND(COUNTIF($D$10:$D$22, B598)+COUNTIF(#REF!, B598)&gt;1,NOT(ISBLANK(B598)))</formula>
    </cfRule>
    <cfRule type="expression" dxfId="325" priority="6909" stopIfTrue="1">
      <formula>AND(COUNTIF($D$26:$D$65688,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4" priority="6904" stopIfTrue="1">
      <formula>AND(COUNTIF($D$26:$D$65685,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3" priority="6908" stopIfTrue="1">
      <formula>AND(COUNTIF($D$26:$D$65688,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2" priority="6910" stopIfTrue="1">
      <formula>AND(COUNTIF($D$26:$D$65688, B598)+COUNTIF($D$1:$D$22, B598)+COUNTIF(#REF!, B598)+COUNTIF(#REF!, B598)+COUNTIF($D$25:$D$25, B598)+COUNTIF(#REF!, B598)+COUNTIF(#REF!, B598)&gt;1,NOT(ISBLANK(B598)))</formula>
    </cfRule>
    <cfRule type="duplicateValues" dxfId="321" priority="6898" stopIfTrue="1"/>
    <cfRule type="duplicateValues" dxfId="320" priority="6899" stopIfTrue="1"/>
    <cfRule type="duplicateValues" dxfId="319" priority="6900" stopIfTrue="1"/>
    <cfRule type="duplicateValues" dxfId="318" priority="6901" stopIfTrue="1"/>
    <cfRule type="expression" dxfId="317" priority="6906" stopIfTrue="1">
      <formula>AND(COUNTIF($D$26:$D$65685, B598)+COUNTIF($D$1:$D$22, B598)+COUNTIF(#REF!, B598)+COUNTIF(#REF!, B598)+COUNTIF($D$25:$D$25, B598)+COUNTIF(#REF!, B598)+COUNTIF(#REF!, B598)&gt;1,NOT(ISBLANK(B598)))</formula>
    </cfRule>
    <cfRule type="expression" dxfId="316" priority="6905" stopIfTrue="1">
      <formula>AND(COUNTIF($D$26:$D$65685,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</conditionalFormatting>
  <conditionalFormatting sqref="B612:B626">
    <cfRule type="duplicateValues" dxfId="315" priority="89" stopIfTrue="1"/>
    <cfRule type="duplicateValues" dxfId="314" priority="90" stopIfTrue="1"/>
  </conditionalFormatting>
  <conditionalFormatting sqref="B626:B627">
    <cfRule type="duplicateValues" dxfId="313" priority="92" stopIfTrue="1"/>
    <cfRule type="duplicateValues" dxfId="312" priority="91" stopIfTrue="1"/>
  </conditionalFormatting>
  <conditionalFormatting sqref="B644:B655">
    <cfRule type="duplicateValues" dxfId="311" priority="86" stopIfTrue="1"/>
    <cfRule type="duplicateValues" dxfId="310" priority="85" stopIfTrue="1"/>
  </conditionalFormatting>
  <conditionalFormatting sqref="B656">
    <cfRule type="duplicateValues" dxfId="309" priority="87" stopIfTrue="1"/>
    <cfRule type="duplicateValues" dxfId="308" priority="88" stopIfTrue="1"/>
  </conditionalFormatting>
  <conditionalFormatting sqref="C13:C51 C56 C59 C68 C79:C86 C90:C94 C188 C191:C192 C196 C198 C210:C240 C243:C244 C247 C249:C252 C256:C257 C263">
    <cfRule type="expression" dxfId="307" priority="7053" stopIfTrue="1">
      <formula>AND(COUNTIF($E$563:$E$65539,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6959" stopIfTrue="1">
      <formula>AND(COUNTIF($E$525:$E$65539,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5" priority="6958" stopIfTrue="1">
      <formula>AND(COUNTIF($E$608:$E$65539,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6957" stopIfTrue="1">
      <formula>AND(COUNTIF($E$483:$E$65539,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6956" stopIfTrue="1">
      <formula>AND(COUNTIF($E$460:$E$65539,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2" priority="6955" stopIfTrue="1">
      <formula>AND(COUNTIF($E$483:$E$65539,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01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7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5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4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2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0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4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3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2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1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0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79" priority="7040" stopIfTrue="1">
      <formula>AND(COUNTIF($G$170:$G$65401,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7081" stopIfTrue="1">
      <formula>AND(COUNTIF($G$314:$G$65401,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7037" stopIfTrue="1">
      <formula>AND(COUNTIF($G$248:$G$65401,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6" priority="7036" stopIfTrue="1">
      <formula>AND(COUNTIF($G$314:$G$65401,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7038" stopIfTrue="1">
      <formula>AND(COUNTIF($G$193:$G$65401,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4" priority="7039" stopIfTrue="1">
      <formula>AND(COUNTIF($G$193:$G$65401,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</conditionalFormatting>
  <conditionalFormatting sqref="C55:C59">
    <cfRule type="expression" dxfId="273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2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97:C98 C100:C102 C104:C105 C108:C116 C118 C120 C122 C131:C132 C134 C136:C137 C140 C142:C144 C146 C148:C159 C161:C172 C188 C191:C192 C196 C198 C210:C240 C243:C244 C247 C249:C252 C256:C257 C263">
    <cfRule type="expression" dxfId="271" priority="6924" stopIfTrue="1">
      <formula>AND(COUNTIF($E$658:$E$65539, C13)+COUNTIF($E$1:$E$315, C13)+COUNTIF(#REF!, C13)+COUNTIF($E$608:$E$609,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7:C58">
    <cfRule type="expression" dxfId="270" priority="7072" stopIfTrue="1">
      <formula>AND(COUNTIF($G$314:$G$65401,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7080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707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7077" stopIfTrue="1">
      <formula>AND(COUNTIF($G$170:$G$65401,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6" priority="7076" stopIfTrue="1">
      <formula>AND(COUNTIF($G$193:$G$65401,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5" priority="7075" stopIfTrue="1">
      <formula>AND(COUNTIF($G$193:$G$65401,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4" priority="7074" stopIfTrue="1">
      <formula>AND(COUNTIF($G$248:$G$65401,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3" priority="7073" stopIfTrue="1">
      <formula>AND(COUNTIF($G$314:$G$65401,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7071" stopIfTrue="1">
      <formula>AND(COUNTIF($G$314:$G$65401,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7070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0" priority="7069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9" priority="707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58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7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6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5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8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7" priority="7035" stopIfTrue="1">
      <formula>AND(COUNTIF($G$314:$G$65401,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6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3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2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8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4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2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1" priority="7089" stopIfTrue="1">
      <formula>AND(COUNTIF($G$193:$G$65401,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7090" stopIfTrue="1">
      <formula>AND(COUNTIF($G$170:$G$65401,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9" priority="709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8" priority="7092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709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709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7084" stopIfTrue="1">
      <formula>AND(COUNTIF($G$314:$G$65401,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4" priority="7085" stopIfTrue="1">
      <formula>AND(COUNTIF($G$314:$G$65401,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3" priority="7086" stopIfTrue="1">
      <formula>AND(COUNTIF($G$314:$G$65401,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2" priority="7087" stopIfTrue="1">
      <formula>AND(COUNTIF($G$248:$G$65401,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1" priority="7088" stopIfTrue="1">
      <formula>AND(COUNTIF($G$193:$G$65401,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0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7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6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09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7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6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6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5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79" priority="7096" stopIfTrue="1">
      <formula>AND(COUNTIF($G$314:$G$65401,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7101" stopIfTrue="1">
      <formula>AND(COUNTIF($G$170:$G$65401,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7" priority="7099" stopIfTrue="1">
      <formula>AND(COUNTIF($G$193:$G$65401,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7100" stopIfTrue="1">
      <formula>AND(COUNTIF($G$193:$G$65401,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5" priority="7098" stopIfTrue="1">
      <formula>AND(COUNTIF($G$248:$G$65401,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7097" stopIfTrue="1">
      <formula>AND(COUNTIF($G$314:$G$65401,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3" priority="7095" stopIfTrue="1">
      <formula>AND(COUNTIF($G$314:$G$65401,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2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1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0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6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5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2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8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7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0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8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7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4" priority="7110" stopIfTrue="1">
      <formula>AND(COUNTIF($G$314:$G$65401,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3" priority="7111" stopIfTrue="1">
      <formula>AND(COUNTIF($G$314:$G$65401,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7112" stopIfTrue="1">
      <formula>AND(COUNTIF($G$314:$G$65401,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7113" stopIfTrue="1">
      <formula>AND(COUNTIF($G$248:$G$65401,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7114" stopIfTrue="1">
      <formula>AND(COUNTIF($G$193:$G$65401,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7116" stopIfTrue="1">
      <formula>AND(COUNTIF($G$170:$G$65401,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710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7" priority="7115" stopIfTrue="1">
      <formula>AND(COUNTIF($G$193:$G$65401,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6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5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2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1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0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29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8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7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5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4" priority="713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713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713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713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7140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7141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714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71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71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714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7146" stopIfTrue="1">
      <formula>AND(COUNTIF($G$314:$G$65401,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3" priority="7147" stopIfTrue="1">
      <formula>AND(COUNTIF($G$314:$G$65401,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2" priority="7148" stopIfTrue="1">
      <formula>AND(COUNTIF($G$314:$G$65401,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1" priority="7149" stopIfTrue="1">
      <formula>AND(COUNTIF($G$248:$G$65401,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0" priority="7150" stopIfTrue="1">
      <formula>AND(COUNTIF($G$193:$G$65401,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9" priority="7151" stopIfTrue="1">
      <formula>AND(COUNTIF($G$193:$G$65401,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8" priority="7152" stopIfTrue="1">
      <formula>AND(COUNTIF($G$170:$G$65401,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7" priority="712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712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712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7128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7129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713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713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713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713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713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7" priority="713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6" priority="7353" stopIfTrue="1">
      <formula>AND(COUNTIF($E$483:$E$65539,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5" priority="7354" stopIfTrue="1">
      <formula>AND(COUNTIF($E$460:$E$65539,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4" priority="7351" stopIfTrue="1">
      <formula>AND(COUNTIF($E$525:$E$65539,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7350" stopIfTrue="1">
      <formula>AND(COUNTIF($E$563:$E$65539,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7349" stopIfTrue="1">
      <formula>AND(COUNTIF($E$608:$E$65539,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1" priority="7352" stopIfTrue="1">
      <formula>AND(COUNTIF($E$483:$E$65539,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</conditionalFormatting>
  <conditionalFormatting sqref="C130 C133 C135 C138:C139 C141:C172 C191:C192 C196 C198 C188">
    <cfRule type="expression" dxfId="90" priority="7487" stopIfTrue="1">
      <formula>AND(COUNTIF($D$519:$D$65539,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30 C133 C135 C138:C139 C141:C172 C191:C192 C196 C198">
    <cfRule type="expression" dxfId="89" priority="7444" stopIfTrue="1">
      <formula>AND(COUNTIF($D$444:$D$65539,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8" priority="7443" stopIfTrue="1">
      <formula>AND(COUNTIF($D$482:$D$65539,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7" priority="7440" stopIfTrue="1">
      <formula>AND(COUNTIF($D$402:$D$65539,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6" priority="7441" stopIfTrue="1">
      <formula>AND(COUNTIF($D$379:$D$65539,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5" priority="7442" stopIfTrue="1">
      <formula>AND(COUNTIF($D$502:$D$65539,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84" priority="7439" stopIfTrue="1">
      <formula>AND(COUNTIF($D$402:$D$65539,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3" priority="7496" stopIfTrue="1">
      <formula>AND(COUNTIF($E$641:$E$65539,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7497" stopIfTrue="1">
      <formula>AND(COUNTIF($E$575:$E$65539,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7498" stopIfTrue="1">
      <formula>AND(COUNTIF($E$555:$E$65539,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7499" stopIfTrue="1">
      <formula>AND(COUNTIF($E$517:$E$65539,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7500" stopIfTrue="1">
      <formula>AND(COUNTIF($E$475:$E$65539,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8" priority="7501" stopIfTrue="1">
      <formula>AND(COUNTIF($E$475:$E$65539,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7" priority="7502" stopIfTrue="1">
      <formula>AND(COUNTIF($E$452:$E$65539,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6" priority="7504" stopIfTrue="1">
      <formula>AND(COUNTIF($D$371:$D$65539,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7505" stopIfTrue="1">
      <formula>AND(COUNTIF($D$371:$D$65539,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4" priority="7506" stopIfTrue="1">
      <formula>AND(COUNTIF($D$348:$D$65539,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7507" stopIfTrue="1">
      <formula>AND(COUNTIF($D$488:$D$65539,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2" priority="7539" stopIfTrue="1">
      <formula>AND(COUNTIF($D$451:$D$65539,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1" priority="7508" stopIfTrue="1">
      <formula>AND(COUNTIF($D$471:$D$65539,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0" priority="7503" stopIfTrue="1">
      <formula>AND(COUNTIF($D$413:$D$65539,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69" priority="7548" stopIfTrue="1">
      <formula>AND(COUNTIF($D$369:$D$65539,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8" priority="7547" stopIfTrue="1">
      <formula>AND(COUNTIF($D$369:$D$65539,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7546" stopIfTrue="1">
      <formula>AND(COUNTIF($D$411:$D$65539,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6" priority="7545" stopIfTrue="1">
      <formula>AND(COUNTIF($D$449:$D$65539,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7550" stopIfTrue="1">
      <formula>AND(COUNTIF($D$469:$D$65539,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4" priority="7551" stopIfTrue="1">
      <formula>AND(COUNTIF($D$486:$D$65539,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3" priority="7549" stopIfTrue="1">
      <formula>AND(COUNTIF($D$346:$D$65539,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62" priority="7581" stopIfTrue="1">
      <formula>AND(COUNTIF($D$482:$D$65539,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7582" stopIfTrue="1">
      <formula>AND(COUNTIF($D$444:$D$65539,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7583" stopIfTrue="1">
      <formula>AND(COUNTIF($D$402:$D$65539,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7584" stopIfTrue="1">
      <formula>AND(COUNTIF($D$402:$D$65539,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8" priority="7585" stopIfTrue="1">
      <formula>AND(COUNTIF($D$379:$D$65539,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7" priority="7580" stopIfTrue="1">
      <formula>AND(COUNTIF($D$502:$D$65539,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6" priority="7590" stopIfTrue="1">
      <formula>AND(COUNTIF($D$369:$D$65539,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7591" stopIfTrue="1">
      <formula>AND(COUNTIF($D$369:$D$65539,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7592" stopIfTrue="1">
      <formula>AND(COUNTIF($D$346:$D$65539,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7586" stopIfTrue="1">
      <formula>AND(COUNTIF($D$486:$D$65539,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7587" stopIfTrue="1">
      <formula>AND(COUNTIF($D$469:$D$65539,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7588" stopIfTrue="1">
      <formula>AND(COUNTIF($D$449:$D$65539,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0" priority="7589" stopIfTrue="1">
      <formula>AND(COUNTIF($D$411:$D$65539,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41:C242 C245:C246 C248 C253:C255 C258:C262 C264:C289 C297:C298 C301">
    <cfRule type="expression" dxfId="49" priority="7622" stopIfTrue="1">
      <formula>AND(COUNTIF($E$432:$E$65539,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7623" stopIfTrue="1">
      <formula>AND(COUNTIF($E$415:$E$65539,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7624" stopIfTrue="1">
      <formula>AND(COUNTIF($E$395:$E$65539,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7625" stopIfTrue="1">
      <formula>AND(COUNTIF($E$357:$E$65539,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7626" stopIfTrue="1">
      <formula>AND(COUNTIF($E$319:$E$65539,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7627" stopIfTrue="1">
      <formula>AND(COUNTIF($E$319:$E$65539,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3" priority="7621" stopIfTrue="1">
      <formula>AND(COUNTIF($E$319:$E$65539,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7681" stopIfTrue="1">
      <formula>AND(COUNTIF($F$405:$F$65539,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7682" stopIfTrue="1">
      <formula>AND(COUNTIF($F$405:$F$65539,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40" priority="7683" stopIfTrue="1">
      <formula>AND(COUNTIF($F$382:$F$65539,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9" priority="7679" stopIfTrue="1">
      <formula>AND(COUNTIF($F$485:$F$65539,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7677" stopIfTrue="1">
      <formula>AND(COUNTIF($F$522:$F$65539,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7678" stopIfTrue="1">
      <formula>AND(COUNTIF($F$505:$F$65539,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6" priority="7680" stopIfTrue="1">
      <formula>AND(COUNTIF($F$447:$F$65539,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7698" stopIfTrue="1">
      <formula>AND(COUNTIF($F$541:$F$65539,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4" priority="7699" stopIfTrue="1">
      <formula>AND(COUNTIF($F$524:$F$65539,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7700" stopIfTrue="1">
      <formula>AND(COUNTIF($F$504:$F$65539,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7702" stopIfTrue="1">
      <formula>AND(COUNTIF($F$424:$F$65539,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7703" stopIfTrue="1">
      <formula>AND(COUNTIF($F$424:$F$65539,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0" priority="7704" stopIfTrue="1">
      <formula>AND(COUNTIF($F$401:$F$65539,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29" priority="7701" stopIfTrue="1">
      <formula>AND(COUNTIF($F$466:$F$65539,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93" stopIfTrue="1" operator="greaterThan">
      <formula>600</formula>
    </cfRule>
  </conditionalFormatting>
  <conditionalFormatting sqref="D6">
    <cfRule type="cellIs" dxfId="27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9" zoomScale="80" zoomScaleNormal="80" workbookViewId="0">
      <selection activeCell="AP13" sqref="AP13:AR13"/>
    </sheetView>
  </sheetViews>
  <sheetFormatPr defaultRowHeight="14.5"/>
  <cols>
    <col min="1" max="48" width="3.7265625" customWidth="1"/>
    <col min="49" max="49" width="11.54296875" customWidth="1"/>
    <col min="50" max="115" width="3.7265625" customWidth="1"/>
  </cols>
  <sheetData>
    <row r="1" spans="1:46" ht="23.5">
      <c r="A1" s="677" t="s">
        <v>778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678"/>
      <c r="AL1" s="678"/>
      <c r="AM1" s="678"/>
      <c r="AN1" s="678"/>
      <c r="AO1" s="678"/>
      <c r="AP1" s="678"/>
      <c r="AQ1" s="678"/>
      <c r="AR1" s="678"/>
      <c r="AS1" s="678"/>
      <c r="AT1" s="679"/>
    </row>
    <row r="2" spans="1:46">
      <c r="A2" s="282"/>
      <c r="AT2" s="283"/>
    </row>
    <row r="3" spans="1:46" ht="15.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80" t="s">
        <v>780</v>
      </c>
      <c r="AN3" s="680"/>
      <c r="AO3" s="681">
        <f ca="1">TODAY()</f>
        <v>45973</v>
      </c>
      <c r="AP3" s="682"/>
      <c r="AQ3" s="682"/>
      <c r="AR3" s="682"/>
      <c r="AS3" s="682"/>
      <c r="AT3" s="683"/>
    </row>
    <row r="4" spans="1:46" ht="15.5">
      <c r="A4" s="282"/>
      <c r="G4" s="287"/>
      <c r="I4" s="288"/>
      <c r="J4" s="288"/>
      <c r="K4" s="289"/>
      <c r="M4" s="287"/>
      <c r="AT4" s="283"/>
    </row>
    <row r="5" spans="1:46" ht="15.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4" t="s">
        <v>781</v>
      </c>
      <c r="M7" s="685"/>
      <c r="N7" s="685"/>
      <c r="O7" s="686"/>
      <c r="R7" t="s">
        <v>199</v>
      </c>
      <c r="AA7" s="687" t="s">
        <v>782</v>
      </c>
      <c r="AB7" s="688"/>
      <c r="AC7" s="688"/>
      <c r="AD7" s="688"/>
      <c r="AE7" s="688"/>
      <c r="AF7" s="689"/>
      <c r="AG7" s="696" t="s">
        <v>783</v>
      </c>
      <c r="AH7" s="697"/>
      <c r="AI7" s="698"/>
      <c r="AJ7" s="705" t="s">
        <v>784</v>
      </c>
      <c r="AK7" s="697"/>
      <c r="AL7" s="706"/>
      <c r="AM7" s="696" t="s">
        <v>785</v>
      </c>
      <c r="AN7" s="697"/>
      <c r="AO7" s="706"/>
      <c r="AP7" s="705" t="s">
        <v>786</v>
      </c>
      <c r="AQ7" s="697"/>
      <c r="AR7" s="706"/>
      <c r="AT7" s="283"/>
    </row>
    <row r="8" spans="1:46" ht="15" customHeight="1">
      <c r="A8" s="282"/>
      <c r="E8" t="s">
        <v>787</v>
      </c>
      <c r="S8" t="s">
        <v>59</v>
      </c>
      <c r="AA8" s="690"/>
      <c r="AB8" s="691"/>
      <c r="AC8" s="691"/>
      <c r="AD8" s="691"/>
      <c r="AE8" s="691"/>
      <c r="AF8" s="692"/>
      <c r="AG8" s="699"/>
      <c r="AH8" s="700"/>
      <c r="AI8" s="701"/>
      <c r="AJ8" s="707"/>
      <c r="AK8" s="700"/>
      <c r="AL8" s="708"/>
      <c r="AM8" s="699"/>
      <c r="AN8" s="700"/>
      <c r="AO8" s="708"/>
      <c r="AP8" s="707"/>
      <c r="AQ8" s="700"/>
      <c r="AR8" s="708"/>
      <c r="AT8" s="283"/>
    </row>
    <row r="9" spans="1:46" ht="15" thickBot="1">
      <c r="A9" s="282"/>
      <c r="L9" s="292"/>
      <c r="M9" s="293"/>
      <c r="N9" s="293"/>
      <c r="O9" s="711"/>
      <c r="P9" s="712"/>
      <c r="AA9" s="693"/>
      <c r="AB9" s="694"/>
      <c r="AC9" s="694"/>
      <c r="AD9" s="694"/>
      <c r="AE9" s="694"/>
      <c r="AF9" s="695"/>
      <c r="AG9" s="702"/>
      <c r="AH9" s="703"/>
      <c r="AI9" s="704"/>
      <c r="AJ9" s="709"/>
      <c r="AK9" s="703"/>
      <c r="AL9" s="710"/>
      <c r="AM9" s="702"/>
      <c r="AN9" s="703"/>
      <c r="AO9" s="710"/>
      <c r="AP9" s="709"/>
      <c r="AQ9" s="703"/>
      <c r="AR9" s="710"/>
      <c r="AT9" s="283"/>
    </row>
    <row r="10" spans="1:46" ht="15" customHeight="1">
      <c r="A10" s="282"/>
      <c r="C10" t="s">
        <v>788</v>
      </c>
      <c r="U10" t="s">
        <v>789</v>
      </c>
      <c r="AA10" s="716" t="s">
        <v>62</v>
      </c>
      <c r="AB10" s="717"/>
      <c r="AC10" s="717"/>
      <c r="AD10" s="717"/>
      <c r="AE10" s="717"/>
      <c r="AF10" s="718"/>
      <c r="AG10" s="719">
        <v>302</v>
      </c>
      <c r="AH10" s="643"/>
      <c r="AI10" s="720"/>
      <c r="AJ10" s="721">
        <f>[14]Progress!J2</f>
        <v>302</v>
      </c>
      <c r="AK10" s="722"/>
      <c r="AL10" s="723"/>
      <c r="AM10" s="724">
        <f>[14]Progress!K2</f>
        <v>0</v>
      </c>
      <c r="AN10" s="725"/>
      <c r="AO10" s="726"/>
      <c r="AP10" s="642">
        <f t="shared" ref="AP10:AP15" si="0">AG10-AJ10</f>
        <v>0</v>
      </c>
      <c r="AQ10" s="643"/>
      <c r="AR10" s="644"/>
      <c r="AT10" s="283"/>
    </row>
    <row r="11" spans="1:46" ht="18" customHeight="1">
      <c r="A11" s="282"/>
      <c r="N11" t="s">
        <v>67</v>
      </c>
      <c r="S11" t="s">
        <v>788</v>
      </c>
      <c r="AA11" s="665" t="s">
        <v>63</v>
      </c>
      <c r="AB11" s="666"/>
      <c r="AC11" s="666"/>
      <c r="AD11" s="666"/>
      <c r="AE11" s="666"/>
      <c r="AF11" s="667"/>
      <c r="AG11" s="588">
        <v>302</v>
      </c>
      <c r="AH11" s="606"/>
      <c r="AI11" s="586"/>
      <c r="AJ11" s="713">
        <f>[14]Progress!L2</f>
        <v>302</v>
      </c>
      <c r="AK11" s="714"/>
      <c r="AL11" s="715"/>
      <c r="AM11" s="674"/>
      <c r="AN11" s="675"/>
      <c r="AO11" s="676"/>
      <c r="AP11" s="642">
        <f t="shared" si="0"/>
        <v>0</v>
      </c>
      <c r="AQ11" s="643"/>
      <c r="AR11" s="644"/>
      <c r="AT11" s="283"/>
    </row>
    <row r="12" spans="1:46" ht="15" customHeight="1">
      <c r="A12" s="282"/>
      <c r="C12" t="s">
        <v>790</v>
      </c>
      <c r="I12" s="600"/>
      <c r="J12" s="614"/>
      <c r="K12" s="296" t="s">
        <v>791</v>
      </c>
      <c r="L12" s="296" t="s">
        <v>792</v>
      </c>
      <c r="M12" s="613" t="s">
        <v>793</v>
      </c>
      <c r="N12" s="614"/>
      <c r="O12" s="294" t="s">
        <v>791</v>
      </c>
      <c r="P12" s="294" t="s">
        <v>792</v>
      </c>
      <c r="Q12" s="613"/>
      <c r="R12" s="600"/>
      <c r="AA12" s="665" t="s">
        <v>64</v>
      </c>
      <c r="AB12" s="666"/>
      <c r="AC12" s="666"/>
      <c r="AD12" s="666"/>
      <c r="AE12" s="666"/>
      <c r="AF12" s="667"/>
      <c r="AG12" s="588">
        <v>302</v>
      </c>
      <c r="AH12" s="606"/>
      <c r="AI12" s="586"/>
      <c r="AJ12" s="713">
        <f>[14]Progress!N2</f>
        <v>276</v>
      </c>
      <c r="AK12" s="714"/>
      <c r="AL12" s="715"/>
      <c r="AM12" s="674">
        <v>9</v>
      </c>
      <c r="AN12" s="675"/>
      <c r="AO12" s="676"/>
      <c r="AP12" s="642">
        <f t="shared" si="0"/>
        <v>26</v>
      </c>
      <c r="AQ12" s="643"/>
      <c r="AR12" s="644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65" t="s">
        <v>796</v>
      </c>
      <c r="AB13" s="666"/>
      <c r="AC13" s="666"/>
      <c r="AD13" s="666"/>
      <c r="AE13" s="666"/>
      <c r="AF13" s="667"/>
      <c r="AG13" s="588">
        <v>302</v>
      </c>
      <c r="AH13" s="606"/>
      <c r="AI13" s="586"/>
      <c r="AJ13" s="713">
        <f>[14]Progress!Q2</f>
        <v>168</v>
      </c>
      <c r="AK13" s="714"/>
      <c r="AL13" s="715"/>
      <c r="AM13" s="674"/>
      <c r="AN13" s="675"/>
      <c r="AO13" s="676"/>
      <c r="AP13" s="642">
        <f t="shared" si="0"/>
        <v>134</v>
      </c>
      <c r="AQ13" s="643"/>
      <c r="AR13" s="644"/>
      <c r="AT13" s="283"/>
    </row>
    <row r="14" spans="1:46" ht="15" customHeight="1">
      <c r="A14" s="282"/>
      <c r="C14" t="s">
        <v>797</v>
      </c>
      <c r="K14" s="605"/>
      <c r="L14" s="605"/>
      <c r="O14" s="606"/>
      <c r="P14" s="606"/>
      <c r="R14" s="298"/>
      <c r="S14" s="298"/>
      <c r="T14" s="298"/>
      <c r="U14" s="298"/>
      <c r="W14" t="s">
        <v>798</v>
      </c>
      <c r="AA14" s="665" t="s">
        <v>799</v>
      </c>
      <c r="AB14" s="666"/>
      <c r="AC14" s="666"/>
      <c r="AD14" s="666"/>
      <c r="AE14" s="666"/>
      <c r="AF14" s="667"/>
      <c r="AG14" s="668">
        <f>114.985</f>
        <v>114.985</v>
      </c>
      <c r="AH14" s="669"/>
      <c r="AI14" s="670"/>
      <c r="AJ14" s="671">
        <f>[14]Progress!S2</f>
        <v>64.714991000000012</v>
      </c>
      <c r="AK14" s="672"/>
      <c r="AL14" s="673"/>
      <c r="AM14" s="674">
        <v>8</v>
      </c>
      <c r="AN14" s="675"/>
      <c r="AO14" s="676"/>
      <c r="AP14" s="647">
        <f t="shared" si="0"/>
        <v>50.270008999999988</v>
      </c>
      <c r="AQ14" s="648"/>
      <c r="AR14" s="649"/>
      <c r="AT14" s="283"/>
    </row>
    <row r="15" spans="1:46" ht="17.25" customHeight="1" thickBot="1">
      <c r="A15" s="282"/>
      <c r="K15" s="602"/>
      <c r="L15" s="602"/>
      <c r="O15" s="2"/>
      <c r="P15" s="2"/>
      <c r="AA15" s="650" t="s">
        <v>223</v>
      </c>
      <c r="AB15" s="651"/>
      <c r="AC15" s="651"/>
      <c r="AD15" s="651"/>
      <c r="AE15" s="651"/>
      <c r="AF15" s="652"/>
      <c r="AG15" s="653">
        <v>114.985</v>
      </c>
      <c r="AH15" s="654"/>
      <c r="AI15" s="655"/>
      <c r="AJ15" s="656">
        <f>[14]Progress!T2</f>
        <v>54.468887000000009</v>
      </c>
      <c r="AK15" s="657"/>
      <c r="AL15" s="658"/>
      <c r="AM15" s="659"/>
      <c r="AN15" s="660"/>
      <c r="AO15" s="661"/>
      <c r="AP15" s="662">
        <f t="shared" si="0"/>
        <v>60.51611299999999</v>
      </c>
      <c r="AQ15" s="663"/>
      <c r="AR15" s="664"/>
      <c r="AT15" s="283"/>
    </row>
    <row r="16" spans="1:46">
      <c r="A16" s="282"/>
      <c r="F16" t="s">
        <v>14</v>
      </c>
      <c r="K16" s="645" t="s">
        <v>800</v>
      </c>
      <c r="L16" s="645"/>
      <c r="M16" s="645"/>
      <c r="N16" s="645"/>
      <c r="O16" s="645"/>
      <c r="P16" s="645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86" t="s">
        <v>806</v>
      </c>
      <c r="D23" s="587"/>
      <c r="E23" s="587"/>
      <c r="F23" s="587"/>
      <c r="G23" s="587"/>
      <c r="H23" s="587"/>
      <c r="I23" s="587"/>
      <c r="J23" s="587"/>
      <c r="K23" s="587"/>
      <c r="L23" s="587"/>
      <c r="M23" s="587"/>
      <c r="N23" s="587"/>
      <c r="O23" s="587"/>
      <c r="P23" s="587"/>
      <c r="Q23" s="587"/>
      <c r="R23" s="587"/>
      <c r="S23" s="587"/>
      <c r="T23" s="587"/>
      <c r="U23" s="587"/>
      <c r="V23" s="587"/>
      <c r="W23" s="587"/>
      <c r="X23" s="587"/>
      <c r="Y23" s="587"/>
      <c r="Z23" s="588"/>
      <c r="AA23" s="586" t="s">
        <v>807</v>
      </c>
      <c r="AB23" s="587"/>
      <c r="AC23" s="587"/>
      <c r="AD23" s="587"/>
      <c r="AE23" s="587"/>
      <c r="AF23" s="587"/>
      <c r="AG23" s="587"/>
      <c r="AH23" s="587"/>
      <c r="AI23" s="587"/>
      <c r="AJ23" s="587"/>
      <c r="AK23" s="587"/>
      <c r="AL23" s="587"/>
      <c r="AM23" s="587"/>
      <c r="AN23" s="587"/>
      <c r="AO23" s="587"/>
      <c r="AP23" s="587"/>
      <c r="AQ23" s="587"/>
      <c r="AR23" s="588"/>
      <c r="AT23" s="283"/>
    </row>
    <row r="24" spans="1:56" ht="15.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0">
        <f>SUM(AV26:AW303)</f>
        <v>115133.98000000003</v>
      </c>
      <c r="AW24" s="600"/>
      <c r="AX24" s="308"/>
      <c r="AY24" s="646">
        <f>SUM(AY26:AZ303)</f>
        <v>301</v>
      </c>
      <c r="AZ24" s="646"/>
      <c r="BA24" s="309"/>
    </row>
    <row r="25" spans="1:56" s="7" customFormat="1">
      <c r="A25" s="310"/>
      <c r="B25" s="639" t="s">
        <v>418</v>
      </c>
      <c r="C25" s="639"/>
      <c r="F25" s="639" t="s">
        <v>618</v>
      </c>
      <c r="G25" s="639"/>
      <c r="J25" s="639" t="s">
        <v>608</v>
      </c>
      <c r="K25" s="639"/>
      <c r="N25" s="639" t="s">
        <v>614</v>
      </c>
      <c r="O25" s="639"/>
      <c r="R25" s="639" t="s">
        <v>568</v>
      </c>
      <c r="S25" s="639"/>
      <c r="V25" s="639" t="s">
        <v>58</v>
      </c>
      <c r="W25" s="639"/>
      <c r="Z25" s="639" t="s">
        <v>652</v>
      </c>
      <c r="AA25" s="639"/>
      <c r="AD25" s="641" t="s">
        <v>596</v>
      </c>
      <c r="AE25" s="641"/>
      <c r="AH25" s="640" t="s">
        <v>434</v>
      </c>
      <c r="AI25" s="640"/>
      <c r="AL25" s="640" t="s">
        <v>471</v>
      </c>
      <c r="AM25" s="640"/>
      <c r="AP25" s="640" t="s">
        <v>442</v>
      </c>
      <c r="AQ25" s="640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613">
        <f>VLOOKUP(B25,[14]Progress!$B$9:$D$310,3,FALSE)</f>
        <v>369</v>
      </c>
      <c r="E28" s="614"/>
      <c r="F28" s="296" t="s">
        <v>791</v>
      </c>
      <c r="G28" s="296" t="s">
        <v>792</v>
      </c>
      <c r="H28" s="613">
        <f>VLOOKUP(F25,[14]Progress!$B$9:$D$310,3,FALSE)</f>
        <v>367</v>
      </c>
      <c r="I28" s="614"/>
      <c r="J28" s="296" t="s">
        <v>791</v>
      </c>
      <c r="K28" s="296" t="s">
        <v>792</v>
      </c>
      <c r="L28" s="613">
        <f>VLOOKUP(J25,[14]Progress!$B$9:$D$310,3,FALSE)</f>
        <v>354</v>
      </c>
      <c r="M28" s="614"/>
      <c r="N28" s="296" t="s">
        <v>791</v>
      </c>
      <c r="O28" s="296" t="s">
        <v>792</v>
      </c>
      <c r="P28" s="613">
        <f>VLOOKUP(N25,[14]Progress!$B$9:$D$310,3,FALSE)</f>
        <v>381</v>
      </c>
      <c r="Q28" s="614"/>
      <c r="R28" s="296" t="s">
        <v>791</v>
      </c>
      <c r="S28" s="296" t="s">
        <v>792</v>
      </c>
      <c r="T28" s="613">
        <f>VLOOKUP(R25,[14]Progress!$B$9:$D$310,3,FALSE)</f>
        <v>450.56299999999999</v>
      </c>
      <c r="U28" s="614"/>
      <c r="V28" s="296" t="s">
        <v>791</v>
      </c>
      <c r="W28" s="296" t="s">
        <v>792</v>
      </c>
      <c r="X28" s="619">
        <f>VLOOKUP(V25,[14]Progress!$B$9:$D$310,3,FALSE)</f>
        <v>245.982</v>
      </c>
      <c r="Y28" s="620"/>
      <c r="Z28" s="296" t="s">
        <v>791</v>
      </c>
      <c r="AA28" s="296" t="s">
        <v>792</v>
      </c>
      <c r="AB28" s="613">
        <f>VLOOKUP(Z25,[14]Progress!$B$9:$D$310,3,FALSE)</f>
        <v>420</v>
      </c>
      <c r="AC28" s="614"/>
      <c r="AD28" s="296" t="s">
        <v>791</v>
      </c>
      <c r="AE28" s="296" t="s">
        <v>792</v>
      </c>
      <c r="AF28" s="613">
        <f>VLOOKUP(AD25,[14]Progress!$B$9:$D$310,3,FALSE)</f>
        <v>412</v>
      </c>
      <c r="AG28" s="614"/>
      <c r="AH28" s="296" t="s">
        <v>791</v>
      </c>
      <c r="AI28" s="296" t="s">
        <v>792</v>
      </c>
      <c r="AJ28" s="613">
        <f>VLOOKUP(AH25,[14]Progress!$B$9:$D$310,3,FALSE)</f>
        <v>413</v>
      </c>
      <c r="AK28" s="614"/>
      <c r="AL28" s="296" t="s">
        <v>791</v>
      </c>
      <c r="AM28" s="296" t="s">
        <v>792</v>
      </c>
      <c r="AN28" s="613">
        <f>VLOOKUP(AL25,[14]Progress!$B$9:$D$310,3,FALSE)</f>
        <v>415</v>
      </c>
      <c r="AO28" s="614"/>
      <c r="AP28" s="296" t="s">
        <v>791</v>
      </c>
      <c r="AQ28" s="296" t="s">
        <v>792</v>
      </c>
      <c r="AR28" s="613">
        <f>VLOOKUP(AP25,[14]Progress!$B$9:$D$310,3,FALSE)</f>
        <v>414</v>
      </c>
      <c r="AS28" s="600"/>
      <c r="AT28" s="283"/>
      <c r="AV28" s="600">
        <f>D28+H28+L28+P28+T28+X28+AB28+AF28+AJ28+AN28+AR28</f>
        <v>4241.5450000000001</v>
      </c>
      <c r="AW28" s="600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600"/>
      <c r="AW29" s="600"/>
    </row>
    <row r="30" spans="1:56" ht="10.5" customHeight="1">
      <c r="A30" s="282"/>
      <c r="B30" s="605"/>
      <c r="C30" s="605"/>
      <c r="F30" s="605"/>
      <c r="G30" s="605"/>
      <c r="J30" s="605"/>
      <c r="K30" s="605"/>
      <c r="N30" s="605"/>
      <c r="O30" s="605"/>
      <c r="R30" s="605"/>
      <c r="S30" s="605"/>
      <c r="V30" s="605"/>
      <c r="W30" s="605"/>
      <c r="Z30" s="605"/>
      <c r="AA30" s="605"/>
      <c r="AD30" s="605"/>
      <c r="AE30" s="605"/>
      <c r="AH30" s="605"/>
      <c r="AI30" s="605"/>
      <c r="AL30" s="605"/>
      <c r="AM30" s="605"/>
      <c r="AP30" s="605"/>
      <c r="AQ30" s="605"/>
      <c r="AT30" s="283"/>
      <c r="AV30" s="600"/>
      <c r="AW30" s="600"/>
    </row>
    <row r="31" spans="1:56">
      <c r="A31" s="282"/>
      <c r="B31" s="602" t="str">
        <f>VLOOKUP(+B25,'[14]Twr Schedule'!$B$9:$C$611,2,FALSE)</f>
        <v>TPT+0</v>
      </c>
      <c r="C31" s="602"/>
      <c r="F31" s="602" t="str">
        <f>VLOOKUP(+F25,'[14]Twr Schedule'!$B$9:$C$611,2,FALSE)</f>
        <v>DA-3</v>
      </c>
      <c r="G31" s="602"/>
      <c r="J31" s="602" t="str">
        <f>VLOOKUP(+J25,'[14]Twr Schedule'!$B$9:$C$611,2,FALSE)</f>
        <v>DA-3</v>
      </c>
      <c r="K31" s="602"/>
      <c r="N31" s="602" t="str">
        <f>VLOOKUP(+N25,'[14]Twr Schedule'!$B$9:$C$611,2,FALSE)</f>
        <v>DA-3</v>
      </c>
      <c r="O31" s="602"/>
      <c r="R31" s="602" t="str">
        <f>VLOOKUP(+R25,'[14]Twr Schedule'!$B$9:$C$611,2,FALSE)</f>
        <v>DA+9</v>
      </c>
      <c r="S31" s="602"/>
      <c r="V31" s="602" t="str">
        <f>VLOOKUP(+V25,'[14]Twr Schedule'!$B$9:$C$611,2,FALSE)</f>
        <v>DC1+3</v>
      </c>
      <c r="W31" s="602"/>
      <c r="Z31" s="602" t="str">
        <f>VLOOKUP(+Z25,'[14]Twr Schedule'!$B$9:$C$611,2,FALSE)</f>
        <v>DD45+3</v>
      </c>
      <c r="AA31" s="602"/>
      <c r="AD31" s="602" t="str">
        <f>VLOOKUP(+AD25,'[14]Twr Schedule'!$B$9:$C$611,2,FALSE)</f>
        <v>DA+3</v>
      </c>
      <c r="AE31" s="602"/>
      <c r="AH31" s="602" t="str">
        <f>VLOOKUP(+AH25,'[14]Twr Schedule'!$B$9:$C$611,2,FALSE)</f>
        <v>DA+0</v>
      </c>
      <c r="AI31" s="602"/>
      <c r="AL31" s="602" t="str">
        <f>VLOOKUP(+AL25,'[14]Twr Schedule'!$B$9:$C$611,2,FALSE)</f>
        <v>DA+3</v>
      </c>
      <c r="AM31" s="602"/>
      <c r="AP31" s="602" t="str">
        <f>VLOOKUP(+AP25,'[14]Twr Schedule'!$B$9:$C$611,2,FALSE)</f>
        <v>DA+0</v>
      </c>
      <c r="AQ31" s="602"/>
      <c r="AT31" s="283"/>
      <c r="AV31" s="600"/>
      <c r="AW31" s="600"/>
    </row>
    <row r="32" spans="1:56">
      <c r="A32" s="282"/>
      <c r="V32" s="306"/>
      <c r="X32" t="s">
        <v>808</v>
      </c>
      <c r="AH32" s="306"/>
      <c r="AT32" s="283"/>
      <c r="AV32" s="600"/>
      <c r="AW32" s="600"/>
    </row>
    <row r="33" spans="1:51">
      <c r="A33" s="282"/>
      <c r="B33" s="586" t="s">
        <v>807</v>
      </c>
      <c r="C33" s="587"/>
      <c r="D33" s="587"/>
      <c r="E33" s="587"/>
      <c r="F33" s="587"/>
      <c r="G33" s="587"/>
      <c r="H33" s="587"/>
      <c r="I33" s="587"/>
      <c r="J33" s="587"/>
      <c r="K33" s="587"/>
      <c r="L33" s="587"/>
      <c r="M33" s="587"/>
      <c r="N33" s="587"/>
      <c r="O33" s="587"/>
      <c r="P33" s="587"/>
      <c r="Q33" s="587"/>
      <c r="R33" s="587"/>
      <c r="S33" s="587"/>
      <c r="T33" s="587"/>
      <c r="U33" s="587"/>
      <c r="V33" s="588"/>
      <c r="W33" s="616" t="s">
        <v>809</v>
      </c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7"/>
      <c r="AO33" s="617"/>
      <c r="AP33" s="617"/>
      <c r="AQ33" s="617"/>
      <c r="AR33" s="618"/>
      <c r="AT33" s="283"/>
      <c r="AV33" s="600"/>
      <c r="AW33" s="600"/>
    </row>
    <row r="34" spans="1:51">
      <c r="A34" s="282"/>
      <c r="AT34" s="283"/>
      <c r="AV34" s="600"/>
      <c r="AW34" s="600"/>
    </row>
    <row r="35" spans="1:51" s="7" customFormat="1">
      <c r="A35" s="310"/>
      <c r="B35" s="640" t="s">
        <v>457</v>
      </c>
      <c r="C35" s="639"/>
      <c r="F35" s="640" t="s">
        <v>467</v>
      </c>
      <c r="G35" s="639"/>
      <c r="J35" s="640" t="s">
        <v>462</v>
      </c>
      <c r="K35" s="639"/>
      <c r="N35" s="640" t="s">
        <v>441</v>
      </c>
      <c r="O35" s="639"/>
      <c r="R35" s="639" t="s">
        <v>627</v>
      </c>
      <c r="S35" s="639"/>
      <c r="V35" s="640" t="s">
        <v>559</v>
      </c>
      <c r="W35" s="639"/>
      <c r="Z35" s="640" t="s">
        <v>548</v>
      </c>
      <c r="AA35" s="639"/>
      <c r="AD35" s="640" t="s">
        <v>472</v>
      </c>
      <c r="AE35" s="639"/>
      <c r="AH35" s="640" t="s">
        <v>465</v>
      </c>
      <c r="AI35" s="639"/>
      <c r="AL35" s="640" t="s">
        <v>469</v>
      </c>
      <c r="AM35" s="639"/>
      <c r="AP35" s="640" t="s">
        <v>484</v>
      </c>
      <c r="AQ35" s="639"/>
      <c r="AT35" s="311"/>
      <c r="AV35" s="600"/>
      <c r="AW35" s="600"/>
    </row>
    <row r="36" spans="1:51">
      <c r="A36" s="282"/>
      <c r="AT36" s="283"/>
      <c r="AV36" s="600"/>
      <c r="AW36" s="600"/>
    </row>
    <row r="37" spans="1:51">
      <c r="A37" s="282"/>
      <c r="AT37" s="283"/>
      <c r="AV37" s="600"/>
      <c r="AW37" s="600"/>
    </row>
    <row r="38" spans="1:51">
      <c r="A38" s="282"/>
      <c r="B38" s="296" t="s">
        <v>791</v>
      </c>
      <c r="C38" s="296" t="s">
        <v>792</v>
      </c>
      <c r="D38" s="613">
        <f>VLOOKUP(B35,[14]Progress!$B$9:$D$310,3,FALSE)</f>
        <v>410</v>
      </c>
      <c r="E38" s="614"/>
      <c r="F38" s="296" t="s">
        <v>791</v>
      </c>
      <c r="G38" s="296" t="s">
        <v>792</v>
      </c>
      <c r="H38" s="613">
        <f>VLOOKUP(F35,[14]Progress!$B$9:$D$310,3,FALSE)</f>
        <v>378</v>
      </c>
      <c r="I38" s="614"/>
      <c r="J38" s="296" t="s">
        <v>791</v>
      </c>
      <c r="K38" s="296" t="s">
        <v>792</v>
      </c>
      <c r="L38" s="613">
        <f>VLOOKUP(J35,[14]Progress!$B$9:$D$310,3,FALSE)</f>
        <v>420</v>
      </c>
      <c r="M38" s="614"/>
      <c r="N38" s="296" t="s">
        <v>791</v>
      </c>
      <c r="O38" s="296" t="s">
        <v>792</v>
      </c>
      <c r="P38" s="613">
        <f>VLOOKUP(N35,[14]Progress!$B$9:$D$310,3,FALSE)</f>
        <v>401.69499999999999</v>
      </c>
      <c r="Q38" s="614"/>
      <c r="R38" s="296" t="s">
        <v>791</v>
      </c>
      <c r="S38" s="296" t="s">
        <v>792</v>
      </c>
      <c r="T38" s="619">
        <f>VLOOKUP(R35,[14]Progress!$B$9:$D$310,3,FALSE)</f>
        <v>279.99700000000001</v>
      </c>
      <c r="U38" s="620"/>
      <c r="V38" s="296" t="s">
        <v>791</v>
      </c>
      <c r="W38" s="296" t="s">
        <v>792</v>
      </c>
      <c r="X38" s="613">
        <f>VLOOKUP(V35,[14]Progress!$B$9:$D$310,3,FALSE)</f>
        <v>383.06400000000002</v>
      </c>
      <c r="Y38" s="614"/>
      <c r="Z38" s="296" t="s">
        <v>791</v>
      </c>
      <c r="AA38" s="296" t="s">
        <v>792</v>
      </c>
      <c r="AB38" s="613">
        <f>VLOOKUP(Z35,[14]Progress!$B$9:$D$310,3,FALSE)</f>
        <v>400.00400000000002</v>
      </c>
      <c r="AC38" s="614"/>
      <c r="AD38" s="296" t="s">
        <v>791</v>
      </c>
      <c r="AE38" s="296" t="s">
        <v>792</v>
      </c>
      <c r="AF38" s="613">
        <f>VLOOKUP(AD35,[14]Progress!$B$9:$D$310,3,FALSE)</f>
        <v>397.00200000000001</v>
      </c>
      <c r="AG38" s="614"/>
      <c r="AH38" s="296" t="s">
        <v>791</v>
      </c>
      <c r="AI38" s="296" t="s">
        <v>792</v>
      </c>
      <c r="AJ38" s="613">
        <f>VLOOKUP(AH35,[14]Progress!$B$9:$D$310,3,FALSE)</f>
        <v>414</v>
      </c>
      <c r="AK38" s="614"/>
      <c r="AL38" s="296" t="s">
        <v>791</v>
      </c>
      <c r="AM38" s="296" t="s">
        <v>792</v>
      </c>
      <c r="AN38" s="613">
        <f>VLOOKUP(AL35,[14]Progress!$B$9:$D$310,3,FALSE)</f>
        <v>415</v>
      </c>
      <c r="AO38" s="614"/>
      <c r="AP38" s="296" t="s">
        <v>791</v>
      </c>
      <c r="AQ38" s="296" t="s">
        <v>792</v>
      </c>
      <c r="AR38" s="613">
        <f>VLOOKUP(AP35,[14]Progress!$B$9:$D$310,3,FALSE)</f>
        <v>411</v>
      </c>
      <c r="AS38" s="600"/>
      <c r="AT38" s="283"/>
      <c r="AV38" s="600">
        <f>D38+H38+L38+P38+T38+X38+AB38+AF38+AJ38+AN38+AR38</f>
        <v>4309.7619999999997</v>
      </c>
      <c r="AW38" s="600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600"/>
      <c r="AW39" s="600"/>
    </row>
    <row r="40" spans="1:51" ht="10.5" customHeight="1">
      <c r="A40" s="282"/>
      <c r="B40" s="605"/>
      <c r="C40" s="605"/>
      <c r="F40" s="605"/>
      <c r="G40" s="605"/>
      <c r="J40" s="605"/>
      <c r="K40" s="605"/>
      <c r="N40" s="605"/>
      <c r="O40" s="605"/>
      <c r="R40" s="605"/>
      <c r="S40" s="605"/>
      <c r="V40" s="605"/>
      <c r="W40" s="605"/>
      <c r="Z40" s="605"/>
      <c r="AA40" s="605"/>
      <c r="AD40" s="605"/>
      <c r="AE40" s="605"/>
      <c r="AH40" s="605"/>
      <c r="AI40" s="605"/>
      <c r="AL40" s="605"/>
      <c r="AM40" s="605"/>
      <c r="AP40" s="605"/>
      <c r="AQ40" s="605"/>
      <c r="AT40" s="283"/>
      <c r="AV40" s="600"/>
      <c r="AW40" s="600"/>
    </row>
    <row r="41" spans="1:51">
      <c r="A41" s="282"/>
      <c r="B41" s="602" t="str">
        <f>VLOOKUP(+B35,'[14]Twr Schedule'!$B$9:$C$611,2,FALSE)</f>
        <v>DA+3</v>
      </c>
      <c r="C41" s="602"/>
      <c r="F41" s="602" t="str">
        <f>VLOOKUP(+F35,'[14]Twr Schedule'!$B$9:$C$611,2,FALSE)</f>
        <v>DA+0</v>
      </c>
      <c r="G41" s="602"/>
      <c r="J41" s="602" t="str">
        <f>VLOOKUP(+J35,'[14]Twr Schedule'!$B$9:$C$611,2,FALSE)</f>
        <v>DA+3</v>
      </c>
      <c r="K41" s="602"/>
      <c r="N41" s="602" t="str">
        <f>VLOOKUP(+N35,'[14]Twr Schedule'!$B$9:$C$611,2,FALSE)</f>
        <v>DA+0</v>
      </c>
      <c r="O41" s="602"/>
      <c r="R41" s="602" t="str">
        <f>VLOOKUP(+R35,'[14]Twr Schedule'!$B$9:$C$611,2,FALSE)</f>
        <v>DC2+0</v>
      </c>
      <c r="S41" s="602"/>
      <c r="V41" s="602" t="str">
        <f>VLOOKUP(+V35,'[14]Twr Schedule'!$B$9:$C$611,2,FALSE)</f>
        <v>DD45+0</v>
      </c>
      <c r="W41" s="602"/>
      <c r="Z41" s="602" t="str">
        <f>VLOOKUP(+Z35,'[14]Twr Schedule'!$B$9:$C$611,2,FALSE)</f>
        <v>DA+3</v>
      </c>
      <c r="AA41" s="602"/>
      <c r="AD41" s="602" t="str">
        <f>VLOOKUP(+AD35,'[14]Twr Schedule'!$B$9:$C$611,2,FALSE)</f>
        <v>DA-3</v>
      </c>
      <c r="AE41" s="602"/>
      <c r="AH41" s="602" t="str">
        <f>VLOOKUP(+AH35,'[14]Twr Schedule'!$B$9:$C$611,2,FALSE)</f>
        <v>DA+3</v>
      </c>
      <c r="AI41" s="602"/>
      <c r="AL41" s="602" t="str">
        <f>VLOOKUP(+AL35,'[14]Twr Schedule'!$B$9:$C$611,2,FALSE)</f>
        <v>DA+0</v>
      </c>
      <c r="AM41" s="602"/>
      <c r="AP41" s="602" t="str">
        <f>VLOOKUP(+AP35,'[14]Twr Schedule'!$B$9:$C$611,2,FALSE)</f>
        <v>DA+3</v>
      </c>
      <c r="AQ41" s="602"/>
      <c r="AT41" s="283"/>
      <c r="AV41" s="600"/>
      <c r="AW41" s="600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0"/>
      <c r="AW42" s="600"/>
    </row>
    <row r="43" spans="1:51">
      <c r="A43" s="282"/>
      <c r="S43" t="s">
        <v>812</v>
      </c>
      <c r="AT43" s="283"/>
      <c r="AV43" s="600"/>
      <c r="AW43" s="600"/>
    </row>
    <row r="44" spans="1:51">
      <c r="A44" s="616" t="s">
        <v>809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8"/>
      <c r="W44" s="616" t="s">
        <v>813</v>
      </c>
      <c r="X44" s="617"/>
      <c r="Y44" s="617"/>
      <c r="Z44" s="617"/>
      <c r="AA44" s="617"/>
      <c r="AB44" s="617"/>
      <c r="AC44" s="617"/>
      <c r="AD44" s="617"/>
      <c r="AE44" s="617"/>
      <c r="AF44" s="617"/>
      <c r="AG44" s="617"/>
      <c r="AH44" s="617"/>
      <c r="AI44" s="617"/>
      <c r="AJ44" s="617"/>
      <c r="AK44" s="617"/>
      <c r="AL44" s="617"/>
      <c r="AM44" s="617"/>
      <c r="AN44" s="617"/>
      <c r="AO44" s="617"/>
      <c r="AP44" s="617"/>
      <c r="AQ44" s="617"/>
      <c r="AR44" s="618"/>
      <c r="AT44" s="283"/>
      <c r="AV44" s="600"/>
      <c r="AW44" s="600"/>
    </row>
    <row r="45" spans="1:51" s="7" customFormat="1">
      <c r="A45" s="310"/>
      <c r="B45" s="639" t="s">
        <v>545</v>
      </c>
      <c r="C45" s="639"/>
      <c r="F45" s="639" t="s">
        <v>479</v>
      </c>
      <c r="G45" s="639"/>
      <c r="J45" s="639" t="s">
        <v>475</v>
      </c>
      <c r="K45" s="639"/>
      <c r="N45" s="639" t="s">
        <v>586</v>
      </c>
      <c r="O45" s="639"/>
      <c r="R45" s="639" t="s">
        <v>527</v>
      </c>
      <c r="S45" s="639"/>
      <c r="V45" s="639" t="s">
        <v>532</v>
      </c>
      <c r="W45" s="639"/>
      <c r="Z45" s="639" t="s">
        <v>536</v>
      </c>
      <c r="AA45" s="639"/>
      <c r="AD45" s="639" t="s">
        <v>540</v>
      </c>
      <c r="AE45" s="639"/>
      <c r="AH45" s="639" t="s">
        <v>534</v>
      </c>
      <c r="AI45" s="639"/>
      <c r="AL45" s="639" t="s">
        <v>459</v>
      </c>
      <c r="AM45" s="639"/>
      <c r="AP45" s="639" t="s">
        <v>528</v>
      </c>
      <c r="AQ45" s="639"/>
      <c r="AT45" s="311"/>
      <c r="AV45" s="600"/>
      <c r="AW45" s="600"/>
    </row>
    <row r="46" spans="1:51">
      <c r="A46" s="282"/>
      <c r="AT46" s="283"/>
      <c r="AV46" s="600"/>
      <c r="AW46" s="600"/>
    </row>
    <row r="47" spans="1:51">
      <c r="A47" s="282"/>
      <c r="AT47" s="283"/>
      <c r="AV47" s="600"/>
      <c r="AW47" s="600"/>
    </row>
    <row r="48" spans="1:51">
      <c r="A48" s="282"/>
      <c r="B48" s="296" t="s">
        <v>791</v>
      </c>
      <c r="C48" s="296" t="s">
        <v>792</v>
      </c>
      <c r="D48" s="613">
        <f>VLOOKUP(B45,[14]Progress!$B$9:$D$310,3,FALSE)</f>
        <v>416</v>
      </c>
      <c r="E48" s="614"/>
      <c r="F48" s="296" t="s">
        <v>791</v>
      </c>
      <c r="G48" s="296" t="s">
        <v>792</v>
      </c>
      <c r="H48" s="609">
        <f>VLOOKUP(F45,[14]Progress!$B$9:$D$310,3,FALSE)</f>
        <v>409.23099999999999</v>
      </c>
      <c r="I48" s="610"/>
      <c r="J48" s="314" t="s">
        <v>791</v>
      </c>
      <c r="K48" s="314" t="s">
        <v>792</v>
      </c>
      <c r="L48" s="609">
        <f>VLOOKUP(J45,[14]Progress!$B$9:$D$310,3,FALSE)</f>
        <v>378.00099999999998</v>
      </c>
      <c r="M48" s="610"/>
      <c r="N48" s="314" t="s">
        <v>791</v>
      </c>
      <c r="O48" s="314" t="s">
        <v>792</v>
      </c>
      <c r="P48" s="609">
        <f>VLOOKUP(N45,[14]Progress!$B$9:$D$310,3,FALSE)</f>
        <v>391</v>
      </c>
      <c r="Q48" s="610"/>
      <c r="R48" s="314" t="s">
        <v>791</v>
      </c>
      <c r="S48" s="314" t="s">
        <v>792</v>
      </c>
      <c r="T48" s="609">
        <f>VLOOKUP(R45,[14]Progress!$B$9:$D$310,3,FALSE)</f>
        <v>401.44299999999998</v>
      </c>
      <c r="U48" s="610"/>
      <c r="V48" s="314" t="s">
        <v>791</v>
      </c>
      <c r="W48" s="314" t="s">
        <v>792</v>
      </c>
      <c r="X48" s="609">
        <f>VLOOKUP(V45,[14]Progress!$B$9:$D$310,3,FALSE)</f>
        <v>321</v>
      </c>
      <c r="Y48" s="610"/>
      <c r="Z48" s="314" t="s">
        <v>791</v>
      </c>
      <c r="AA48" s="314" t="s">
        <v>792</v>
      </c>
      <c r="AB48" s="609">
        <f>VLOOKUP(Z45,[14]Progress!$B$9:$D$310,3,FALSE)</f>
        <v>402.56900000000002</v>
      </c>
      <c r="AC48" s="610"/>
      <c r="AD48" s="314" t="s">
        <v>791</v>
      </c>
      <c r="AE48" s="314" t="s">
        <v>792</v>
      </c>
      <c r="AF48" s="609">
        <f>VLOOKUP(AD45,[14]Progress!$B$9:$D$310,3,FALSE)</f>
        <v>408</v>
      </c>
      <c r="AG48" s="610"/>
      <c r="AH48" s="314" t="s">
        <v>791</v>
      </c>
      <c r="AI48" s="314" t="s">
        <v>792</v>
      </c>
      <c r="AJ48" s="609">
        <f>VLOOKUP(AH45,[14]Progress!$B$9:$D$310,3,FALSE)</f>
        <v>419</v>
      </c>
      <c r="AK48" s="610"/>
      <c r="AL48" s="314" t="s">
        <v>791</v>
      </c>
      <c r="AM48" s="314" t="s">
        <v>792</v>
      </c>
      <c r="AN48" s="609">
        <f>VLOOKUP(AL45,[14]Progress!$B$9:$D$310,3,FALSE)</f>
        <v>407.27499999999998</v>
      </c>
      <c r="AO48" s="610"/>
      <c r="AP48" s="296" t="s">
        <v>791</v>
      </c>
      <c r="AQ48" s="296" t="s">
        <v>792</v>
      </c>
      <c r="AR48" s="613">
        <f>VLOOKUP(AP45,[14]Progress!$B$9:$D$310,3,FALSE)</f>
        <v>414</v>
      </c>
      <c r="AS48" s="600"/>
      <c r="AT48" s="283"/>
      <c r="AV48" s="600">
        <f>D48+H48+L48+P48+T48+X48+AB48+AF48+AJ48+AN48+AR48</f>
        <v>4367.5190000000002</v>
      </c>
      <c r="AW48" s="600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600"/>
      <c r="AW49" s="600"/>
    </row>
    <row r="50" spans="1:51" ht="10.5" customHeight="1">
      <c r="A50" s="282"/>
      <c r="B50" s="605"/>
      <c r="C50" s="605"/>
      <c r="F50" s="605"/>
      <c r="G50" s="605"/>
      <c r="J50" s="605"/>
      <c r="K50" s="605"/>
      <c r="N50" s="605"/>
      <c r="O50" s="605"/>
      <c r="R50" s="605"/>
      <c r="S50" s="605"/>
      <c r="V50" s="605"/>
      <c r="W50" s="605"/>
      <c r="Z50" s="605"/>
      <c r="AA50" s="605"/>
      <c r="AD50" s="605"/>
      <c r="AE50" s="605"/>
      <c r="AH50" s="605"/>
      <c r="AI50" s="605"/>
      <c r="AL50" s="605"/>
      <c r="AM50" s="605"/>
      <c r="AP50" s="605"/>
      <c r="AQ50" s="605"/>
      <c r="AT50" s="283"/>
      <c r="AV50" s="600"/>
      <c r="AW50" s="600"/>
    </row>
    <row r="51" spans="1:51">
      <c r="A51" s="282"/>
      <c r="B51" s="602" t="str">
        <f>VLOOKUP(+B45,'[14]Twr Schedule'!$B$9:$C$611,2,FALSE)</f>
        <v>DA+0</v>
      </c>
      <c r="C51" s="602"/>
      <c r="F51" s="602" t="str">
        <f>VLOOKUP(+F45,'[14]Twr Schedule'!$B$9:$C$611,2,FALSE)</f>
        <v>DA+3</v>
      </c>
      <c r="G51" s="602"/>
      <c r="J51" s="602" t="str">
        <f>VLOOKUP(+J45,'[14]Twr Schedule'!$B$9:$C$611,2,FALSE)</f>
        <v>DA+0</v>
      </c>
      <c r="K51" s="602"/>
      <c r="N51" s="602" t="str">
        <f>VLOOKUP(+N45,'[14]Twr Schedule'!$B$9:$C$611,2,FALSE)</f>
        <v>DA-3</v>
      </c>
      <c r="O51" s="602"/>
      <c r="R51" s="602" t="str">
        <f>VLOOKUP(+R45,'[14]Twr Schedule'!$B$9:$C$611,2,FALSE)</f>
        <v>DA+3</v>
      </c>
      <c r="S51" s="602"/>
      <c r="V51" s="602" t="str">
        <f>VLOOKUP(+V45,'[14]Twr Schedule'!$B$9:$C$611,2,FALSE)</f>
        <v>DB1+0</v>
      </c>
      <c r="W51" s="602"/>
      <c r="Z51" s="602" t="str">
        <f>VLOOKUP(+Z45,'[14]Twr Schedule'!$B$9:$C$611,2,FALSE)</f>
        <v>DA+3</v>
      </c>
      <c r="AA51" s="602"/>
      <c r="AD51" s="602" t="str">
        <f>VLOOKUP(+AD45,'[14]Twr Schedule'!$B$9:$C$611,2,FALSE)</f>
        <v>DB1+0</v>
      </c>
      <c r="AE51" s="602"/>
      <c r="AH51" s="602" t="str">
        <f>VLOOKUP(+AH45,'[14]Twr Schedule'!$B$9:$C$611,2,FALSE)</f>
        <v>DA+3</v>
      </c>
      <c r="AI51" s="602"/>
      <c r="AL51" s="602" t="str">
        <f>VLOOKUP(+AL45,'[14]Twr Schedule'!$B$9:$C$611,2,FALSE)</f>
        <v>DA+3</v>
      </c>
      <c r="AM51" s="602"/>
      <c r="AP51" s="602" t="str">
        <f>VLOOKUP(+AP45,'[14]Twr Schedule'!$B$9:$C$611,2,FALSE)</f>
        <v>DB2+0</v>
      </c>
      <c r="AQ51" s="602"/>
      <c r="AT51" s="283"/>
      <c r="AV51" s="600"/>
      <c r="AW51" s="600"/>
    </row>
    <row r="52" spans="1:51">
      <c r="A52" s="282"/>
      <c r="AT52" s="283"/>
      <c r="AV52" s="600"/>
      <c r="AW52" s="600"/>
    </row>
    <row r="53" spans="1:51">
      <c r="A53" s="282"/>
      <c r="B53" s="616" t="s">
        <v>813</v>
      </c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8"/>
      <c r="W53" s="616" t="s">
        <v>814</v>
      </c>
      <c r="X53" s="617"/>
      <c r="Y53" s="617"/>
      <c r="Z53" s="617"/>
      <c r="AA53" s="617"/>
      <c r="AB53" s="617"/>
      <c r="AC53" s="617"/>
      <c r="AD53" s="617"/>
      <c r="AE53" s="617"/>
      <c r="AF53" s="617"/>
      <c r="AG53" s="617"/>
      <c r="AH53" s="617"/>
      <c r="AI53" s="617"/>
      <c r="AJ53" s="617"/>
      <c r="AK53" s="617"/>
      <c r="AL53" s="617"/>
      <c r="AM53" s="617"/>
      <c r="AN53" s="617"/>
      <c r="AO53" s="617"/>
      <c r="AP53" s="617"/>
      <c r="AQ53" s="617"/>
      <c r="AR53" s="618"/>
      <c r="AT53" s="283"/>
      <c r="AV53" s="600"/>
      <c r="AW53" s="600"/>
    </row>
    <row r="54" spans="1:51">
      <c r="A54" s="282"/>
      <c r="AT54" s="283"/>
      <c r="AV54" s="600"/>
      <c r="AW54" s="600"/>
    </row>
    <row r="55" spans="1:51">
      <c r="A55" s="282"/>
      <c r="B55" s="600" t="s">
        <v>523</v>
      </c>
      <c r="C55" s="600"/>
      <c r="F55" s="600" t="s">
        <v>485</v>
      </c>
      <c r="G55" s="600"/>
      <c r="J55" s="600" t="s">
        <v>539</v>
      </c>
      <c r="K55" s="600"/>
      <c r="N55" s="600" t="s">
        <v>517</v>
      </c>
      <c r="O55" s="600"/>
      <c r="R55" s="600" t="s">
        <v>511</v>
      </c>
      <c r="S55" s="600"/>
      <c r="V55" s="600" t="s">
        <v>503</v>
      </c>
      <c r="W55" s="600"/>
      <c r="Z55" s="600" t="s">
        <v>496</v>
      </c>
      <c r="AA55" s="600"/>
      <c r="AD55" s="600" t="s">
        <v>490</v>
      </c>
      <c r="AE55" s="600"/>
      <c r="AH55" s="600" t="s">
        <v>480</v>
      </c>
      <c r="AI55" s="600"/>
      <c r="AL55" s="600" t="s">
        <v>477</v>
      </c>
      <c r="AM55" s="600"/>
      <c r="AP55" s="600" t="s">
        <v>529</v>
      </c>
      <c r="AQ55" s="600"/>
      <c r="AT55" s="283"/>
      <c r="AV55" s="600"/>
      <c r="AW55" s="600"/>
    </row>
    <row r="56" spans="1:51">
      <c r="A56" s="282"/>
      <c r="AT56" s="283"/>
      <c r="AV56" s="600"/>
      <c r="AW56" s="600"/>
    </row>
    <row r="57" spans="1:51">
      <c r="A57" s="282"/>
      <c r="AT57" s="283"/>
      <c r="AV57" s="600"/>
      <c r="AW57" s="600"/>
    </row>
    <row r="58" spans="1:51">
      <c r="A58" s="282"/>
      <c r="B58" s="296" t="s">
        <v>791</v>
      </c>
      <c r="C58" s="296" t="s">
        <v>792</v>
      </c>
      <c r="D58" s="613">
        <f>VLOOKUP(B55,[14]Progress!$B$9:$D$310,3,FALSE)</f>
        <v>419</v>
      </c>
      <c r="E58" s="614"/>
      <c r="F58" s="296" t="s">
        <v>791</v>
      </c>
      <c r="G58" s="296" t="s">
        <v>792</v>
      </c>
      <c r="H58" s="609">
        <f>VLOOKUP(F55,[14]Progress!$B$9:$D$310,3,FALSE)</f>
        <v>361.09699999999998</v>
      </c>
      <c r="I58" s="610"/>
      <c r="J58" s="314" t="s">
        <v>791</v>
      </c>
      <c r="K58" s="314" t="s">
        <v>792</v>
      </c>
      <c r="L58" s="609">
        <f>VLOOKUP(J55,[14]Progress!$B$9:$D$310,3,FALSE)</f>
        <v>361</v>
      </c>
      <c r="M58" s="610"/>
      <c r="N58" s="314" t="s">
        <v>791</v>
      </c>
      <c r="O58" s="314" t="s">
        <v>792</v>
      </c>
      <c r="P58" s="609">
        <f>VLOOKUP(N55,[14]Progress!$B$9:$D$310,3,FALSE)</f>
        <v>404</v>
      </c>
      <c r="Q58" s="610"/>
      <c r="R58" s="314" t="s">
        <v>791</v>
      </c>
      <c r="S58" s="314" t="s">
        <v>792</v>
      </c>
      <c r="T58" s="609">
        <f>VLOOKUP(R55,[14]Progress!$B$9:$D$310,3,FALSE)</f>
        <v>424</v>
      </c>
      <c r="U58" s="610"/>
      <c r="V58" s="314" t="s">
        <v>791</v>
      </c>
      <c r="W58" s="314" t="s">
        <v>792</v>
      </c>
      <c r="X58" s="609">
        <f>VLOOKUP(V55,[14]Progress!$B$9:$D$310,3,FALSE)</f>
        <v>406</v>
      </c>
      <c r="Y58" s="610"/>
      <c r="Z58" s="314" t="s">
        <v>791</v>
      </c>
      <c r="AA58" s="314" t="s">
        <v>792</v>
      </c>
      <c r="AB58" s="609">
        <f>VLOOKUP(Z55,[14]Progress!$B$9:$D$310,3,FALSE)</f>
        <v>410</v>
      </c>
      <c r="AC58" s="610"/>
      <c r="AD58" s="314" t="s">
        <v>791</v>
      </c>
      <c r="AE58" s="314" t="s">
        <v>792</v>
      </c>
      <c r="AF58" s="609">
        <f>VLOOKUP(AD55,[14]Progress!$B$9:$D$310,3,FALSE)</f>
        <v>423</v>
      </c>
      <c r="AG58" s="610"/>
      <c r="AH58" s="314" t="s">
        <v>791</v>
      </c>
      <c r="AI58" s="314" t="s">
        <v>792</v>
      </c>
      <c r="AJ58" s="609">
        <f>VLOOKUP(AH55,[14]Progress!$B$9:$D$310,3,FALSE)</f>
        <v>409</v>
      </c>
      <c r="AK58" s="610"/>
      <c r="AL58" s="314" t="s">
        <v>791</v>
      </c>
      <c r="AM58" s="314" t="s">
        <v>792</v>
      </c>
      <c r="AN58" s="609">
        <f>VLOOKUP(AL55,[14]Progress!$B$9:$D$310,3,FALSE)</f>
        <v>425</v>
      </c>
      <c r="AO58" s="610"/>
      <c r="AP58" s="314" t="s">
        <v>791</v>
      </c>
      <c r="AQ58" s="314" t="s">
        <v>792</v>
      </c>
      <c r="AR58" s="609">
        <f>VLOOKUP(AP55,[14]Progress!$B$9:$D$310,3,FALSE)</f>
        <v>362.65</v>
      </c>
      <c r="AS58" s="611"/>
      <c r="AT58" s="283"/>
      <c r="AV58" s="600">
        <f>D58+H58+L58+P58+T58+X58+AB58+AF58+AJ58+AN58+AR58</f>
        <v>4404.7469999999994</v>
      </c>
      <c r="AW58" s="600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600"/>
      <c r="AW59" s="600"/>
    </row>
    <row r="60" spans="1:51" ht="10.5" customHeight="1">
      <c r="A60" s="282"/>
      <c r="B60" s="605"/>
      <c r="C60" s="605"/>
      <c r="F60" s="605"/>
      <c r="G60" s="605"/>
      <c r="J60" s="605"/>
      <c r="K60" s="605"/>
      <c r="N60" s="605"/>
      <c r="O60" s="605"/>
      <c r="R60" s="605"/>
      <c r="S60" s="605"/>
      <c r="V60" s="605"/>
      <c r="W60" s="605"/>
      <c r="Z60" s="605"/>
      <c r="AA60" s="605"/>
      <c r="AD60" s="605"/>
      <c r="AE60" s="605"/>
      <c r="AH60" s="605"/>
      <c r="AI60" s="605"/>
      <c r="AL60" s="605"/>
      <c r="AM60" s="605"/>
      <c r="AP60" s="605"/>
      <c r="AQ60" s="605"/>
      <c r="AT60" s="283"/>
      <c r="AV60" s="600"/>
      <c r="AW60" s="600"/>
    </row>
    <row r="61" spans="1:51">
      <c r="A61" s="282"/>
      <c r="B61" s="602" t="str">
        <f>VLOOKUP(+B55,'[14]Twr Schedule'!$B$9:$C$611,2,FALSE)</f>
        <v>DA+0</v>
      </c>
      <c r="C61" s="602"/>
      <c r="F61" s="602" t="str">
        <f>VLOOKUP(+F55,'[14]Twr Schedule'!$B$9:$C$611,2,FALSE)</f>
        <v>DA+3</v>
      </c>
      <c r="G61" s="602"/>
      <c r="J61" s="602" t="str">
        <f>VLOOKUP(+J55,'[14]Twr Schedule'!$B$9:$C$611,2,FALSE)</f>
        <v>DA-3</v>
      </c>
      <c r="K61" s="602"/>
      <c r="N61" s="602" t="str">
        <f>VLOOKUP(+N55,'[14]Twr Schedule'!$B$9:$C$611,2,FALSE)</f>
        <v>DA+0</v>
      </c>
      <c r="O61" s="602"/>
      <c r="R61" s="602" t="str">
        <f>VLOOKUP(+R55,'[14]Twr Schedule'!$B$9:$C$611,2,FALSE)</f>
        <v>DA+3</v>
      </c>
      <c r="S61" s="602"/>
      <c r="V61" s="602" t="str">
        <f>VLOOKUP(+V55,'[14]Twr Schedule'!$B$9:$C$611,2,FALSE)</f>
        <v>DA+0</v>
      </c>
      <c r="W61" s="602"/>
      <c r="Z61" s="602" t="str">
        <f>VLOOKUP(+Z55,'[14]Twr Schedule'!$B$9:$C$611,2,FALSE)</f>
        <v>DA+0</v>
      </c>
      <c r="AA61" s="602"/>
      <c r="AD61" s="602" t="str">
        <f>VLOOKUP(+AD55,'[14]Twr Schedule'!$B$9:$C$611,2,FALSE)</f>
        <v>DA+3</v>
      </c>
      <c r="AE61" s="602"/>
      <c r="AH61" s="602" t="str">
        <f>VLOOKUP(+AH55,'[14]Twr Schedule'!$B$9:$C$611,2,FALSE)</f>
        <v>DA+0</v>
      </c>
      <c r="AI61" s="602"/>
      <c r="AL61" s="602" t="str">
        <f>VLOOKUP(+AL55,'[14]Twr Schedule'!$B$9:$C$611,2,FALSE)</f>
        <v>DA+3</v>
      </c>
      <c r="AM61" s="602"/>
      <c r="AP61" s="602" t="str">
        <f>VLOOKUP(+AP55,'[14]Twr Schedule'!$B$9:$C$611,2,FALSE)</f>
        <v>DA+0</v>
      </c>
      <c r="AQ61" s="602"/>
      <c r="AT61" s="283"/>
      <c r="AV61" s="600"/>
      <c r="AW61" s="600"/>
    </row>
    <row r="62" spans="1:51">
      <c r="A62" s="282"/>
      <c r="AT62" s="283"/>
      <c r="AV62" s="600"/>
      <c r="AW62" s="600"/>
    </row>
    <row r="63" spans="1:51">
      <c r="A63" s="282"/>
      <c r="B63" s="616" t="s">
        <v>814</v>
      </c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  <c r="Z63" s="618"/>
      <c r="AA63" s="586" t="s">
        <v>815</v>
      </c>
      <c r="AB63" s="587"/>
      <c r="AC63" s="587"/>
      <c r="AD63" s="587"/>
      <c r="AE63" s="587"/>
      <c r="AF63" s="587"/>
      <c r="AG63" s="587"/>
      <c r="AH63" s="587"/>
      <c r="AI63" s="587"/>
      <c r="AJ63" s="587"/>
      <c r="AK63" s="587"/>
      <c r="AL63" s="587"/>
      <c r="AM63" s="587"/>
      <c r="AN63" s="587"/>
      <c r="AO63" s="587"/>
      <c r="AP63" s="587"/>
      <c r="AQ63" s="587"/>
      <c r="AR63" s="588"/>
      <c r="AT63" s="283"/>
      <c r="AV63" s="600"/>
      <c r="AW63" s="600"/>
    </row>
    <row r="64" spans="1:51">
      <c r="A64" s="282"/>
      <c r="AT64" s="283"/>
      <c r="AV64" s="600"/>
      <c r="AW64" s="600"/>
    </row>
    <row r="65" spans="1:51">
      <c r="A65" s="282"/>
      <c r="B65" s="600" t="str">
        <f>'[14]Twr Schedule'!B97</f>
        <v>8/0</v>
      </c>
      <c r="C65" s="600"/>
      <c r="F65" s="600" t="str">
        <f>'[14]Twr Schedule'!B99</f>
        <v>8/1</v>
      </c>
      <c r="G65" s="600"/>
      <c r="J65" s="600" t="str">
        <f>'[14]Twr Schedule'!B101</f>
        <v>8/2</v>
      </c>
      <c r="K65" s="600"/>
      <c r="N65" s="600" t="str">
        <f>'[14]Twr Schedule'!B103</f>
        <v>8/3</v>
      </c>
      <c r="O65" s="600"/>
      <c r="R65" s="600" t="str">
        <f>'[14]Twr Schedule'!B105</f>
        <v>8/4</v>
      </c>
      <c r="S65" s="600"/>
      <c r="V65" s="600" t="str">
        <f>'[14]Twr Schedule'!B107</f>
        <v>8A/0</v>
      </c>
      <c r="W65" s="600"/>
      <c r="Z65" s="600" t="str">
        <f>'[14]Twr Schedule'!B109</f>
        <v>8B/0</v>
      </c>
      <c r="AA65" s="600"/>
      <c r="AD65" s="600" t="str">
        <f>'[14]Twr Schedule'!B111</f>
        <v>8B/1</v>
      </c>
      <c r="AE65" s="600"/>
      <c r="AH65" s="600" t="str">
        <f>'[14]Twr Schedule'!B113</f>
        <v>8B/2</v>
      </c>
      <c r="AI65" s="600"/>
      <c r="AL65" s="600" t="str">
        <f>'[14]Twr Schedule'!B115</f>
        <v>8B/3</v>
      </c>
      <c r="AM65" s="600"/>
      <c r="AP65" s="600" t="str">
        <f>'[14]Twr Schedule'!B117</f>
        <v>8B/4</v>
      </c>
      <c r="AQ65" s="600"/>
      <c r="AT65" s="283"/>
      <c r="AV65" s="600"/>
      <c r="AW65" s="600"/>
    </row>
    <row r="66" spans="1:51">
      <c r="A66" s="282"/>
      <c r="AT66" s="283"/>
      <c r="AV66" s="600"/>
      <c r="AW66" s="600"/>
    </row>
    <row r="67" spans="1:51">
      <c r="A67" s="282"/>
      <c r="AT67" s="283"/>
      <c r="AV67" s="600"/>
      <c r="AW67" s="600"/>
    </row>
    <row r="68" spans="1:51">
      <c r="A68" s="282"/>
      <c r="B68" s="296" t="s">
        <v>791</v>
      </c>
      <c r="C68" s="296" t="s">
        <v>792</v>
      </c>
      <c r="D68" s="613">
        <f>VLOOKUP(B65,[14]Progress!$B$9:$D$310,3,FALSE)</f>
        <v>416</v>
      </c>
      <c r="E68" s="614"/>
      <c r="F68" s="296" t="s">
        <v>791</v>
      </c>
      <c r="G68" s="296" t="s">
        <v>792</v>
      </c>
      <c r="H68" s="613">
        <f>VLOOKUP(F65,[14]Progress!$B$9:$D$310,3,FALSE)</f>
        <v>400</v>
      </c>
      <c r="I68" s="614"/>
      <c r="J68" s="296" t="s">
        <v>791</v>
      </c>
      <c r="K68" s="296" t="s">
        <v>792</v>
      </c>
      <c r="L68" s="613">
        <f>VLOOKUP(J65,[14]Progress!$B$9:$D$310,3,FALSE)</f>
        <v>367</v>
      </c>
      <c r="M68" s="614"/>
      <c r="N68" s="296" t="s">
        <v>791</v>
      </c>
      <c r="O68" s="296" t="s">
        <v>792</v>
      </c>
      <c r="P68" s="613">
        <f>VLOOKUP(N65,[14]Progress!$B$9:$D$310,3,FALSE)</f>
        <v>420</v>
      </c>
      <c r="Q68" s="614"/>
      <c r="R68" s="296" t="s">
        <v>791</v>
      </c>
      <c r="S68" s="296" t="s">
        <v>792</v>
      </c>
      <c r="T68" s="609">
        <f>VLOOKUP(R65,[14]Progress!$B$9:$D$310,3,FALSE)</f>
        <v>413.71600000000001</v>
      </c>
      <c r="U68" s="610"/>
      <c r="V68" s="314" t="s">
        <v>791</v>
      </c>
      <c r="W68" s="314" t="s">
        <v>792</v>
      </c>
      <c r="X68" s="607">
        <f>VLOOKUP(V65,[14]Progress!$B$9:$D$310,3,FALSE)</f>
        <v>223.61</v>
      </c>
      <c r="Y68" s="608"/>
      <c r="Z68" s="314" t="s">
        <v>791</v>
      </c>
      <c r="AA68" s="314" t="s">
        <v>792</v>
      </c>
      <c r="AB68" s="609">
        <f>VLOOKUP(Z65,[14]Progress!$B$9:$D$310,3,FALSE)</f>
        <v>341</v>
      </c>
      <c r="AC68" s="610"/>
      <c r="AD68" s="314" t="s">
        <v>791</v>
      </c>
      <c r="AE68" s="314" t="s">
        <v>792</v>
      </c>
      <c r="AF68" s="609">
        <f>VLOOKUP(AD65,[14]Progress!$B$9:$D$310,3,FALSE)</f>
        <v>332</v>
      </c>
      <c r="AG68" s="610"/>
      <c r="AH68" s="314" t="s">
        <v>791</v>
      </c>
      <c r="AI68" s="314" t="s">
        <v>792</v>
      </c>
      <c r="AJ68" s="609">
        <f>VLOOKUP(AH65,[14]Progress!$B$9:$D$310,3,FALSE)</f>
        <v>292.52600000000001</v>
      </c>
      <c r="AK68" s="610"/>
      <c r="AL68" s="314" t="s">
        <v>791</v>
      </c>
      <c r="AM68" s="314" t="s">
        <v>792</v>
      </c>
      <c r="AN68" s="609">
        <f>VLOOKUP(AL65,[14]Progress!$B$9:$D$310,3,FALSE)</f>
        <v>426.18599999999998</v>
      </c>
      <c r="AO68" s="610"/>
      <c r="AP68" s="296" t="s">
        <v>791</v>
      </c>
      <c r="AQ68" s="296" t="s">
        <v>792</v>
      </c>
      <c r="AR68" s="613">
        <f>VLOOKUP(AP65,[14]Progress!$B$9:$D$310,3,FALSE)</f>
        <v>373</v>
      </c>
      <c r="AS68" s="600"/>
      <c r="AT68" s="283"/>
      <c r="AV68" s="600">
        <f>D68+H68+L68+P68+T68+X68+AB68+AF68+AJ68+AN68+AR68</f>
        <v>4005.038</v>
      </c>
      <c r="AW68" s="600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600"/>
      <c r="AW69" s="600"/>
    </row>
    <row r="70" spans="1:51" ht="10.5" customHeight="1">
      <c r="A70" s="282"/>
      <c r="B70" s="605"/>
      <c r="C70" s="605"/>
      <c r="F70" s="605"/>
      <c r="G70" s="605"/>
      <c r="J70" s="605"/>
      <c r="K70" s="605"/>
      <c r="N70" s="605"/>
      <c r="O70" s="605"/>
      <c r="R70" s="605"/>
      <c r="S70" s="605"/>
      <c r="V70" s="605"/>
      <c r="W70" s="605"/>
      <c r="Z70" s="605"/>
      <c r="AA70" s="605"/>
      <c r="AD70" s="638"/>
      <c r="AE70" s="638"/>
      <c r="AH70" s="605"/>
      <c r="AI70" s="605"/>
      <c r="AL70" s="605"/>
      <c r="AM70" s="605"/>
      <c r="AP70" s="605"/>
      <c r="AQ70" s="605"/>
      <c r="AT70" s="283"/>
      <c r="AV70" s="600"/>
      <c r="AW70" s="600"/>
    </row>
    <row r="71" spans="1:51">
      <c r="A71" s="282"/>
      <c r="B71" s="602" t="str">
        <f>VLOOKUP(+B65,'[14]Twr Schedule'!$B$9:$C$611,2,FALSE)</f>
        <v>DB2+0</v>
      </c>
      <c r="C71" s="602"/>
      <c r="F71" s="602" t="str">
        <f>VLOOKUP(+F65,'[14]Twr Schedule'!$B$9:$C$611,2,FALSE)</f>
        <v>DA+3</v>
      </c>
      <c r="G71" s="602"/>
      <c r="J71" s="602" t="str">
        <f>VLOOKUP(+J65,'[14]Twr Schedule'!$B$9:$C$611,2,FALSE)</f>
        <v>DA+0</v>
      </c>
      <c r="K71" s="602"/>
      <c r="N71" s="602" t="str">
        <f>VLOOKUP(+N65,'[14]Twr Schedule'!$B$9:$C$611,2,FALSE)</f>
        <v>DA-3</v>
      </c>
      <c r="O71" s="602"/>
      <c r="R71" s="602" t="str">
        <f>VLOOKUP(+R65,'[14]Twr Schedule'!$B$9:$C$611,2,FALSE)</f>
        <v>DA+9</v>
      </c>
      <c r="S71" s="602"/>
      <c r="V71" s="602" t="str">
        <f>VLOOKUP(+V65,'[14]Twr Schedule'!$B$9:$C$611,2,FALSE)</f>
        <v>DD60+0</v>
      </c>
      <c r="W71" s="602"/>
      <c r="Z71" s="602" t="str">
        <f>VLOOKUP(+Z65,'[14]Twr Schedule'!$B$9:$C$611,2,FALSE)</f>
        <v>DD60+0</v>
      </c>
      <c r="AA71" s="602"/>
      <c r="AD71" s="602" t="str">
        <f>VLOOKUP(+AD65,'[14]Twr Schedule'!$B$9:$C$611,2,FALSE)</f>
        <v>DA-3</v>
      </c>
      <c r="AE71" s="602"/>
      <c r="AH71" s="602" t="str">
        <f>VLOOKUP(+AH65,'[14]Twr Schedule'!$B$9:$C$611,2,FALSE)</f>
        <v>DA-3</v>
      </c>
      <c r="AI71" s="602"/>
      <c r="AL71" s="602" t="str">
        <f>VLOOKUP(+AL65,'[14]Twr Schedule'!$B$9:$C$611,2,FALSE)</f>
        <v>DA+3</v>
      </c>
      <c r="AM71" s="602"/>
      <c r="AP71" s="602" t="str">
        <f>VLOOKUP(+AP65,'[14]Twr Schedule'!$B$9:$C$611,2,FALSE)</f>
        <v>DA+6</v>
      </c>
      <c r="AQ71" s="602"/>
      <c r="AT71" s="283"/>
      <c r="AV71" s="600"/>
      <c r="AW71" s="600"/>
    </row>
    <row r="72" spans="1:51">
      <c r="A72" s="282"/>
      <c r="W72" t="s">
        <v>816</v>
      </c>
      <c r="AT72" s="283"/>
      <c r="AV72" s="600"/>
      <c r="AW72" s="600"/>
    </row>
    <row r="73" spans="1:51">
      <c r="A73" s="586" t="s">
        <v>815</v>
      </c>
      <c r="B73" s="587"/>
      <c r="C73" s="587"/>
      <c r="D73" s="587"/>
      <c r="E73" s="587"/>
      <c r="F73" s="587"/>
      <c r="G73" s="587"/>
      <c r="H73" s="587"/>
      <c r="I73" s="587"/>
      <c r="J73" s="587"/>
      <c r="K73" s="587"/>
      <c r="L73" s="587"/>
      <c r="M73" s="587"/>
      <c r="N73" s="587"/>
      <c r="O73" s="587"/>
      <c r="P73" s="587"/>
      <c r="Q73" s="587"/>
      <c r="R73" s="587"/>
      <c r="S73" s="587"/>
      <c r="T73" s="587"/>
      <c r="U73" s="587"/>
      <c r="V73" s="588"/>
      <c r="W73" s="586" t="s">
        <v>817</v>
      </c>
      <c r="X73" s="587"/>
      <c r="Y73" s="587"/>
      <c r="Z73" s="587"/>
      <c r="AA73" s="587"/>
      <c r="AB73" s="587"/>
      <c r="AC73" s="587"/>
      <c r="AD73" s="587"/>
      <c r="AE73" s="587"/>
      <c r="AF73" s="587"/>
      <c r="AG73" s="587"/>
      <c r="AH73" s="587"/>
      <c r="AI73" s="587"/>
      <c r="AJ73" s="587"/>
      <c r="AK73" s="587"/>
      <c r="AL73" s="587"/>
      <c r="AM73" s="587"/>
      <c r="AN73" s="587"/>
      <c r="AO73" s="587"/>
      <c r="AP73" s="587"/>
      <c r="AQ73" s="587"/>
      <c r="AR73" s="588"/>
      <c r="AT73" s="283"/>
      <c r="AV73" s="600"/>
      <c r="AW73" s="600"/>
    </row>
    <row r="74" spans="1:51">
      <c r="A74" s="282"/>
      <c r="AT74" s="283"/>
      <c r="AV74" s="600"/>
      <c r="AW74" s="600"/>
    </row>
    <row r="75" spans="1:51">
      <c r="A75" s="282"/>
      <c r="B75" s="600" t="s">
        <v>544</v>
      </c>
      <c r="C75" s="600"/>
      <c r="F75" s="600" t="s">
        <v>550</v>
      </c>
      <c r="G75" s="600"/>
      <c r="J75" s="600" t="s">
        <v>572</v>
      </c>
      <c r="K75" s="600"/>
      <c r="N75" s="600" t="s">
        <v>558</v>
      </c>
      <c r="O75" s="600"/>
      <c r="R75" s="600" t="s">
        <v>651</v>
      </c>
      <c r="S75" s="600"/>
      <c r="V75" s="600" t="s">
        <v>646</v>
      </c>
      <c r="W75" s="600"/>
      <c r="Z75" s="600" t="s">
        <v>585</v>
      </c>
      <c r="AA75" s="600"/>
      <c r="AD75" s="600" t="s">
        <v>489</v>
      </c>
      <c r="AE75" s="600"/>
      <c r="AH75" s="600" t="s">
        <v>495</v>
      </c>
      <c r="AI75" s="600"/>
      <c r="AL75" s="600" t="s">
        <v>500</v>
      </c>
      <c r="AM75" s="600"/>
      <c r="AP75" s="600" t="s">
        <v>504</v>
      </c>
      <c r="AQ75" s="600"/>
      <c r="AT75" s="283"/>
      <c r="AV75" s="600"/>
      <c r="AW75" s="600"/>
    </row>
    <row r="76" spans="1:51">
      <c r="A76" s="282"/>
      <c r="AT76" s="283"/>
      <c r="AV76" s="600"/>
      <c r="AW76" s="600"/>
    </row>
    <row r="77" spans="1:51">
      <c r="A77" s="282"/>
      <c r="AT77" s="283"/>
      <c r="AV77" s="600"/>
      <c r="AW77" s="600"/>
    </row>
    <row r="78" spans="1:51">
      <c r="A78" s="282"/>
      <c r="B78" s="296" t="s">
        <v>791</v>
      </c>
      <c r="C78" s="296" t="s">
        <v>792</v>
      </c>
      <c r="D78" s="609">
        <f>VLOOKUP(B75,[14]Progress!$B$9:$D$310,3,FALSE)</f>
        <v>461.51</v>
      </c>
      <c r="E78" s="610"/>
      <c r="F78" s="314" t="s">
        <v>791</v>
      </c>
      <c r="G78" s="314" t="s">
        <v>792</v>
      </c>
      <c r="H78" s="607">
        <f>VLOOKUP(F75,[14]Progress!$B$9:$D$310,3,FALSE)</f>
        <v>283.43099999999998</v>
      </c>
      <c r="I78" s="608"/>
      <c r="J78" s="314" t="s">
        <v>791</v>
      </c>
      <c r="K78" s="314" t="s">
        <v>792</v>
      </c>
      <c r="L78" s="609">
        <f>VLOOKUP(J75,[14]Progress!$B$9:$D$310,3,FALSE)</f>
        <v>426</v>
      </c>
      <c r="M78" s="610"/>
      <c r="N78" s="314" t="s">
        <v>791</v>
      </c>
      <c r="O78" s="314" t="s">
        <v>792</v>
      </c>
      <c r="P78" s="609">
        <f>VLOOKUP(N75,[14]Progress!$B$9:$D$310,3,FALSE)</f>
        <v>396.09199999999998</v>
      </c>
      <c r="Q78" s="610"/>
      <c r="R78" s="314" t="s">
        <v>791</v>
      </c>
      <c r="S78" s="314" t="s">
        <v>792</v>
      </c>
      <c r="T78" s="607">
        <f>VLOOKUP(R75,[14]Progress!$B$9:$D$310,3,FALSE)</f>
        <v>312.87900000000002</v>
      </c>
      <c r="U78" s="608"/>
      <c r="V78" s="314" t="s">
        <v>791</v>
      </c>
      <c r="W78" s="314" t="s">
        <v>792</v>
      </c>
      <c r="X78" s="609">
        <f>VLOOKUP(V75,[14]Progress!$B$9:$D$310,3,FALSE)</f>
        <v>418.99900000000002</v>
      </c>
      <c r="Y78" s="610"/>
      <c r="Z78" s="314" t="s">
        <v>791</v>
      </c>
      <c r="AA78" s="314" t="s">
        <v>792</v>
      </c>
      <c r="AB78" s="609">
        <f>VLOOKUP(Z75,[14]Progress!$B$9:$D$310,3,FALSE)</f>
        <v>370.19900000000001</v>
      </c>
      <c r="AC78" s="610"/>
      <c r="AD78" s="314" t="s">
        <v>791</v>
      </c>
      <c r="AE78" s="314" t="s">
        <v>792</v>
      </c>
      <c r="AF78" s="609">
        <f>VLOOKUP(AD75,[14]Progress!$B$9:$D$310,3,FALSE)</f>
        <v>424.99599999999998</v>
      </c>
      <c r="AG78" s="610"/>
      <c r="AH78" s="314" t="s">
        <v>791</v>
      </c>
      <c r="AI78" s="314" t="s">
        <v>792</v>
      </c>
      <c r="AJ78" s="609">
        <f>VLOOKUP(AH75,[14]Progress!$B$9:$D$310,3,FALSE)</f>
        <v>404</v>
      </c>
      <c r="AK78" s="610"/>
      <c r="AL78" s="314" t="s">
        <v>791</v>
      </c>
      <c r="AM78" s="314" t="s">
        <v>792</v>
      </c>
      <c r="AN78" s="609">
        <f>VLOOKUP(AL75,[14]Progress!$B$9:$D$310,3,FALSE)</f>
        <v>428</v>
      </c>
      <c r="AO78" s="610"/>
      <c r="AP78" s="314" t="s">
        <v>791</v>
      </c>
      <c r="AQ78" s="314" t="s">
        <v>792</v>
      </c>
      <c r="AR78" s="609">
        <f>VLOOKUP(AP75,[14]Progress!$B$9:$D$310,3,FALSE)</f>
        <v>395</v>
      </c>
      <c r="AS78" s="611"/>
      <c r="AT78" s="283"/>
      <c r="AV78" s="600">
        <f>D78+H78+L78+P78+T78+X78+AB78+AF78+AJ78+AN78+AR78</f>
        <v>4321.1059999999998</v>
      </c>
      <c r="AW78" s="600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600"/>
      <c r="AW79" s="600"/>
    </row>
    <row r="80" spans="1:51" ht="10.5" customHeight="1">
      <c r="A80" s="282"/>
      <c r="B80" s="605"/>
      <c r="C80" s="605"/>
      <c r="F80" s="605"/>
      <c r="G80" s="605"/>
      <c r="J80" s="605"/>
      <c r="K80" s="605"/>
      <c r="N80" s="605"/>
      <c r="O80" s="605"/>
      <c r="R80" s="605"/>
      <c r="S80" s="605"/>
      <c r="V80" s="603"/>
      <c r="W80" s="604"/>
      <c r="Z80" s="605"/>
      <c r="AA80" s="605"/>
      <c r="AD80" s="605"/>
      <c r="AE80" s="605"/>
      <c r="AH80" s="605"/>
      <c r="AI80" s="605"/>
      <c r="AL80" s="605"/>
      <c r="AM80" s="605"/>
      <c r="AP80" s="605"/>
      <c r="AQ80" s="605"/>
      <c r="AT80" s="283"/>
      <c r="AV80" s="600"/>
      <c r="AW80" s="600"/>
    </row>
    <row r="81" spans="1:51">
      <c r="A81" s="282"/>
      <c r="B81" s="602" t="str">
        <f>VLOOKUP(+B75,'[14]Twr Schedule'!$B$9:$C$611,2,FALSE)</f>
        <v>DA+6</v>
      </c>
      <c r="C81" s="602"/>
      <c r="F81" s="602" t="str">
        <f>VLOOKUP(+F75,'[14]Twr Schedule'!$B$9:$C$611,2,FALSE)</f>
        <v>DB2+6</v>
      </c>
      <c r="G81" s="602"/>
      <c r="J81" s="602" t="str">
        <f>VLOOKUP(+J75,'[14]Twr Schedule'!$B$9:$C$611,2,FALSE)</f>
        <v>DB1+9</v>
      </c>
      <c r="K81" s="602"/>
      <c r="N81" s="602" t="str">
        <f>VLOOKUP(+N75,'[14]Twr Schedule'!$B$9:$C$611,2,FALSE)</f>
        <v>DA-3</v>
      </c>
      <c r="O81" s="602"/>
      <c r="R81" s="602" t="str">
        <f>VLOOKUP(+R75,'[14]Twr Schedule'!$B$9:$C$611,2,FALSE)</f>
        <v>DB1+18</v>
      </c>
      <c r="S81" s="602"/>
      <c r="V81" s="602" t="str">
        <f>VLOOKUP(+V75,'[14]Twr Schedule'!$B$9:$C$611,2,FALSE)</f>
        <v>DB2+18</v>
      </c>
      <c r="W81" s="602"/>
      <c r="Z81" s="602" t="str">
        <f>VLOOKUP(+Z75,'[14]Twr Schedule'!$B$9:$C$611,2,FALSE)</f>
        <v>DA-3</v>
      </c>
      <c r="AA81" s="602"/>
      <c r="AD81" s="602" t="str">
        <f>VLOOKUP(+AD75,'[14]Twr Schedule'!$B$9:$C$611,2,FALSE)</f>
        <v>DA+3</v>
      </c>
      <c r="AE81" s="602"/>
      <c r="AH81" s="602" t="str">
        <f>VLOOKUP(+AH75,'[14]Twr Schedule'!$B$9:$C$611,2,FALSE)</f>
        <v>DA+3</v>
      </c>
      <c r="AI81" s="602"/>
      <c r="AL81" s="602" t="str">
        <f>VLOOKUP(+AL75,'[14]Twr Schedule'!$B$9:$C$611,2,FALSE)</f>
        <v>DA+3</v>
      </c>
      <c r="AM81" s="602"/>
      <c r="AP81" s="602" t="str">
        <f>VLOOKUP(+AP75,'[14]Twr Schedule'!$B$9:$C$611,2,FALSE)</f>
        <v>DA+3</v>
      </c>
      <c r="AQ81" s="602"/>
      <c r="AT81" s="283"/>
      <c r="AV81" s="600"/>
      <c r="AW81" s="600"/>
    </row>
    <row r="82" spans="1:51">
      <c r="A82" s="282"/>
      <c r="G82" t="s">
        <v>818</v>
      </c>
      <c r="S82" t="s">
        <v>819</v>
      </c>
      <c r="AT82" s="283"/>
      <c r="AV82" s="600"/>
      <c r="AW82" s="600"/>
    </row>
    <row r="83" spans="1:51">
      <c r="A83" s="282"/>
      <c r="S83" t="s">
        <v>820</v>
      </c>
      <c r="AT83" s="283"/>
      <c r="AV83" s="600"/>
      <c r="AW83" s="600"/>
    </row>
    <row r="84" spans="1:51">
      <c r="A84" s="586" t="s">
        <v>817</v>
      </c>
      <c r="B84" s="587"/>
      <c r="C84" s="587"/>
      <c r="D84" s="587"/>
      <c r="E84" s="587"/>
      <c r="F84" s="587"/>
      <c r="G84" s="587"/>
      <c r="H84" s="587"/>
      <c r="I84" s="587"/>
      <c r="J84" s="587"/>
      <c r="K84" s="587"/>
      <c r="L84" s="587"/>
      <c r="M84" s="587"/>
      <c r="N84" s="587"/>
      <c r="O84" s="587"/>
      <c r="P84" s="587"/>
      <c r="Q84" s="587"/>
      <c r="R84" s="587"/>
      <c r="S84" s="587"/>
      <c r="T84" s="587"/>
      <c r="U84" s="587"/>
      <c r="V84" s="588"/>
      <c r="W84" s="586" t="s">
        <v>821</v>
      </c>
      <c r="X84" s="587"/>
      <c r="Y84" s="587"/>
      <c r="Z84" s="587"/>
      <c r="AA84" s="587"/>
      <c r="AB84" s="587"/>
      <c r="AC84" s="587"/>
      <c r="AD84" s="587"/>
      <c r="AE84" s="587"/>
      <c r="AF84" s="587"/>
      <c r="AG84" s="587"/>
      <c r="AH84" s="587"/>
      <c r="AI84" s="587"/>
      <c r="AJ84" s="587"/>
      <c r="AK84" s="587"/>
      <c r="AL84" s="587"/>
      <c r="AM84" s="587"/>
      <c r="AN84" s="587"/>
      <c r="AO84" s="587"/>
      <c r="AP84" s="587"/>
      <c r="AQ84" s="587"/>
      <c r="AR84" s="588"/>
      <c r="AT84" s="283"/>
      <c r="AV84" s="600"/>
      <c r="AW84" s="600"/>
    </row>
    <row r="85" spans="1:51">
      <c r="A85" s="282"/>
      <c r="B85" s="600" t="s">
        <v>599</v>
      </c>
      <c r="C85" s="600"/>
      <c r="F85" s="600" t="s">
        <v>631</v>
      </c>
      <c r="G85" s="600"/>
      <c r="J85" s="600" t="s">
        <v>610</v>
      </c>
      <c r="K85" s="600"/>
      <c r="N85" s="600" t="s">
        <v>510</v>
      </c>
      <c r="O85" s="600"/>
      <c r="R85" s="600" t="s">
        <v>641</v>
      </c>
      <c r="S85" s="600"/>
      <c r="V85" s="600" t="s">
        <v>634</v>
      </c>
      <c r="W85" s="600"/>
      <c r="Z85" s="600" t="s">
        <v>476</v>
      </c>
      <c r="AA85" s="600"/>
      <c r="AD85" s="600" t="s">
        <v>473</v>
      </c>
      <c r="AE85" s="600"/>
      <c r="AH85" s="600" t="s">
        <v>468</v>
      </c>
      <c r="AI85" s="600"/>
      <c r="AL85" s="600" t="s">
        <v>456</v>
      </c>
      <c r="AM85" s="600"/>
      <c r="AP85" s="600" t="s">
        <v>455</v>
      </c>
      <c r="AQ85" s="600"/>
      <c r="AT85" s="283"/>
      <c r="AV85" s="600"/>
      <c r="AW85" s="600"/>
    </row>
    <row r="86" spans="1:51">
      <c r="A86" s="282"/>
      <c r="AT86" s="283"/>
      <c r="AV86" s="600"/>
      <c r="AW86" s="600"/>
    </row>
    <row r="87" spans="1:51">
      <c r="A87" s="282"/>
      <c r="AT87" s="283"/>
      <c r="AV87" s="600"/>
      <c r="AW87" s="600"/>
    </row>
    <row r="88" spans="1:51">
      <c r="A88" s="282"/>
      <c r="B88" s="296" t="s">
        <v>791</v>
      </c>
      <c r="C88" s="296" t="s">
        <v>792</v>
      </c>
      <c r="D88" s="613">
        <f>VLOOKUP(B85,[14]Progress!$B$9:$D$310,3,FALSE)</f>
        <v>318</v>
      </c>
      <c r="E88" s="614"/>
      <c r="F88" s="296" t="s">
        <v>791</v>
      </c>
      <c r="G88" s="296" t="s">
        <v>792</v>
      </c>
      <c r="H88" s="613">
        <f>VLOOKUP(F85,[14]Progress!$B$9:$D$310,3,FALSE)</f>
        <v>357</v>
      </c>
      <c r="I88" s="614"/>
      <c r="J88" s="296" t="s">
        <v>791</v>
      </c>
      <c r="K88" s="296" t="s">
        <v>792</v>
      </c>
      <c r="L88" s="613">
        <f>VLOOKUP(J85,[14]Progress!$B$9:$D$310,3,FALSE)</f>
        <v>385</v>
      </c>
      <c r="M88" s="614"/>
      <c r="N88" s="296" t="s">
        <v>791</v>
      </c>
      <c r="O88" s="296" t="s">
        <v>792</v>
      </c>
      <c r="P88" s="609">
        <f>VLOOKUP(N85,[14]Progress!$B$9:$D$310,3,FALSE)</f>
        <v>418.77600000000001</v>
      </c>
      <c r="Q88" s="610"/>
      <c r="R88" s="314" t="s">
        <v>791</v>
      </c>
      <c r="S88" s="314" t="s">
        <v>792</v>
      </c>
      <c r="T88" s="607">
        <f>VLOOKUP(R85,[14]Progress!$B$9:$D$310,3,FALSE)</f>
        <v>319.13299999999998</v>
      </c>
      <c r="U88" s="608"/>
      <c r="V88" s="314" t="s">
        <v>791</v>
      </c>
      <c r="W88" s="314" t="s">
        <v>792</v>
      </c>
      <c r="X88" s="609">
        <f>VLOOKUP(V85,[14]Progress!$B$9:$D$310,3,FALSE)</f>
        <v>436</v>
      </c>
      <c r="Y88" s="610"/>
      <c r="Z88" s="314" t="s">
        <v>791</v>
      </c>
      <c r="AA88" s="314" t="s">
        <v>792</v>
      </c>
      <c r="AB88" s="609">
        <f>VLOOKUP(Z85,[14]Progress!$B$9:$D$310,3,FALSE)</f>
        <v>395</v>
      </c>
      <c r="AC88" s="610"/>
      <c r="AD88" s="314" t="s">
        <v>791</v>
      </c>
      <c r="AE88" s="314" t="s">
        <v>792</v>
      </c>
      <c r="AF88" s="609">
        <f>VLOOKUP(AD85,[14]Progress!$B$9:$D$310,3,FALSE)</f>
        <v>306</v>
      </c>
      <c r="AG88" s="610"/>
      <c r="AH88" s="296" t="s">
        <v>791</v>
      </c>
      <c r="AI88" s="296" t="s">
        <v>792</v>
      </c>
      <c r="AJ88" s="613">
        <f>VLOOKUP(AH85,[14]Progress!$B$9:$D$310,3,FALSE)</f>
        <v>412</v>
      </c>
      <c r="AK88" s="614"/>
      <c r="AL88" s="296" t="s">
        <v>791</v>
      </c>
      <c r="AM88" s="296" t="s">
        <v>792</v>
      </c>
      <c r="AN88" s="613">
        <f>VLOOKUP(AL85,[14]Progress!$B$9:$D$310,3,FALSE)</f>
        <v>414</v>
      </c>
      <c r="AO88" s="614"/>
      <c r="AP88" s="296" t="s">
        <v>791</v>
      </c>
      <c r="AQ88" s="296" t="s">
        <v>792</v>
      </c>
      <c r="AR88" s="613">
        <f>VLOOKUP(AP85,[14]Progress!$B$9:$D$310,3,FALSE)</f>
        <v>420</v>
      </c>
      <c r="AS88" s="600"/>
      <c r="AT88" s="283"/>
      <c r="AV88" s="600">
        <f>D88+H88+L88+P88+T88+X88+AB88+AF88+AJ88+AN88+AR88</f>
        <v>4180.9089999999997</v>
      </c>
      <c r="AW88" s="600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600"/>
      <c r="AW89" s="600"/>
    </row>
    <row r="90" spans="1:51" ht="10.5" customHeight="1">
      <c r="A90" s="282"/>
      <c r="B90" s="605"/>
      <c r="C90" s="605"/>
      <c r="F90" s="605"/>
      <c r="G90" s="605"/>
      <c r="J90" s="605"/>
      <c r="K90" s="605"/>
      <c r="N90" s="605"/>
      <c r="O90" s="605"/>
      <c r="R90" s="605"/>
      <c r="S90" s="605"/>
      <c r="V90" s="605"/>
      <c r="W90" s="605"/>
      <c r="Z90" s="605"/>
      <c r="AA90" s="605"/>
      <c r="AD90" s="605"/>
      <c r="AE90" s="605"/>
      <c r="AH90" s="605"/>
      <c r="AI90" s="605"/>
      <c r="AL90" s="605"/>
      <c r="AM90" s="605"/>
      <c r="AP90" s="605"/>
      <c r="AQ90" s="605"/>
      <c r="AT90" s="283"/>
      <c r="AV90" s="600"/>
      <c r="AW90" s="600"/>
    </row>
    <row r="91" spans="1:51">
      <c r="A91" s="282"/>
      <c r="B91" s="602" t="str">
        <f>VLOOKUP(+B85,'[14]Twr Schedule'!$B$9:$C$611,2,FALSE)</f>
        <v>DA-3</v>
      </c>
      <c r="C91" s="602"/>
      <c r="F91" s="602" t="str">
        <f>VLOOKUP(+F85,'[14]Twr Schedule'!$B$9:$C$611,2,FALSE)</f>
        <v>DA-3</v>
      </c>
      <c r="G91" s="602"/>
      <c r="J91" s="602" t="str">
        <f>VLOOKUP(+J85,'[14]Twr Schedule'!$B$9:$C$611,2,FALSE)</f>
        <v>DA-3</v>
      </c>
      <c r="K91" s="602"/>
      <c r="N91" s="602" t="str">
        <f>VLOOKUP(+N85,'[14]Twr Schedule'!$B$9:$C$611,2,FALSE)</f>
        <v>DA+3</v>
      </c>
      <c r="O91" s="602"/>
      <c r="R91" s="612" t="str">
        <f>VLOOKUP(+R85,'[14]Twr Schedule'!$B$9:$C$611,2,FALSE)</f>
        <v>DD60+30</v>
      </c>
      <c r="S91" s="612"/>
      <c r="T91" s="315"/>
      <c r="U91" s="315"/>
      <c r="V91" s="612" t="str">
        <f>VLOOKUP(+V85,'[14]Twr Schedule'!$B$9:$C$611,2,FALSE)</f>
        <v>DD60+30</v>
      </c>
      <c r="W91" s="612"/>
      <c r="Z91" s="602" t="str">
        <f>VLOOKUP(+Z85,'[14]Twr Schedule'!$B$9:$C$611,2,FALSE)</f>
        <v>DA+0</v>
      </c>
      <c r="AA91" s="602"/>
      <c r="AD91" s="602" t="str">
        <f>VLOOKUP(+AD85,'[14]Twr Schedule'!$B$9:$C$611,2,FALSE)</f>
        <v>DA+0</v>
      </c>
      <c r="AE91" s="602"/>
      <c r="AH91" s="602" t="str">
        <f>VLOOKUP(+AH85,'[14]Twr Schedule'!$B$9:$C$611,2,FALSE)</f>
        <v>DA+0</v>
      </c>
      <c r="AI91" s="602"/>
      <c r="AL91" s="602" t="str">
        <f>VLOOKUP(+AL85,'[14]Twr Schedule'!$B$9:$C$611,2,FALSE)</f>
        <v>DA+3</v>
      </c>
      <c r="AM91" s="602"/>
      <c r="AP91" s="602" t="str">
        <f>VLOOKUP(+AP85,'[14]Twr Schedule'!$B$9:$C$611,2,FALSE)</f>
        <v>DA+3</v>
      </c>
      <c r="AQ91" s="602"/>
      <c r="AT91" s="283"/>
      <c r="AV91" s="600"/>
      <c r="AW91" s="600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0"/>
      <c r="AW92" s="600"/>
    </row>
    <row r="93" spans="1:51">
      <c r="A93" s="586" t="s">
        <v>821</v>
      </c>
      <c r="B93" s="587"/>
      <c r="C93" s="587"/>
      <c r="D93" s="587"/>
      <c r="E93" s="587"/>
      <c r="F93" s="587"/>
      <c r="G93" s="587"/>
      <c r="H93" s="587"/>
      <c r="I93" s="587"/>
      <c r="J93" s="587"/>
      <c r="K93" s="587"/>
      <c r="L93" s="587"/>
      <c r="M93" s="587"/>
      <c r="N93" s="587"/>
      <c r="O93" s="587"/>
      <c r="P93" s="587"/>
      <c r="Q93" s="587"/>
      <c r="R93" s="587"/>
      <c r="S93" s="587"/>
      <c r="T93" s="587"/>
      <c r="U93" s="587"/>
      <c r="V93" s="588"/>
      <c r="W93" s="586" t="s">
        <v>823</v>
      </c>
      <c r="X93" s="587"/>
      <c r="Y93" s="587"/>
      <c r="Z93" s="587"/>
      <c r="AA93" s="587"/>
      <c r="AB93" s="587"/>
      <c r="AC93" s="587"/>
      <c r="AD93" s="587"/>
      <c r="AE93" s="587"/>
      <c r="AF93" s="587"/>
      <c r="AG93" s="587"/>
      <c r="AH93" s="587"/>
      <c r="AI93" s="587"/>
      <c r="AJ93" s="587"/>
      <c r="AK93" s="587"/>
      <c r="AL93" s="587"/>
      <c r="AM93" s="587"/>
      <c r="AN93" s="587"/>
      <c r="AO93" s="587"/>
      <c r="AP93" s="587"/>
      <c r="AQ93" s="587"/>
      <c r="AR93" s="588"/>
      <c r="AT93" s="283"/>
      <c r="AV93" s="600"/>
      <c r="AW93" s="600"/>
    </row>
    <row r="94" spans="1:51">
      <c r="A94" s="282"/>
      <c r="AT94" s="283"/>
      <c r="AV94" s="600"/>
      <c r="AW94" s="600"/>
    </row>
    <row r="95" spans="1:51">
      <c r="A95" s="282"/>
      <c r="B95" s="600" t="s">
        <v>453</v>
      </c>
      <c r="C95" s="600"/>
      <c r="F95" s="600" t="s">
        <v>464</v>
      </c>
      <c r="G95" s="600"/>
      <c r="J95" s="600" t="s">
        <v>461</v>
      </c>
      <c r="K95" s="600"/>
      <c r="N95" s="600" t="s">
        <v>603</v>
      </c>
      <c r="O95" s="600"/>
      <c r="R95" s="600" t="s">
        <v>649</v>
      </c>
      <c r="S95" s="600"/>
      <c r="V95" s="600" t="s">
        <v>661</v>
      </c>
      <c r="W95" s="600"/>
      <c r="Z95" s="600" t="s">
        <v>482</v>
      </c>
      <c r="AA95" s="600"/>
      <c r="AD95" s="600" t="s">
        <v>497</v>
      </c>
      <c r="AE95" s="600"/>
      <c r="AH95" s="600" t="s">
        <v>493</v>
      </c>
      <c r="AI95" s="600"/>
      <c r="AL95" s="600" t="s">
        <v>487</v>
      </c>
      <c r="AM95" s="600"/>
      <c r="AP95" s="600" t="s">
        <v>502</v>
      </c>
      <c r="AQ95" s="600"/>
      <c r="AT95" s="283"/>
      <c r="AV95" s="600"/>
      <c r="AW95" s="600"/>
    </row>
    <row r="96" spans="1:51">
      <c r="A96" s="282"/>
      <c r="AT96" s="283"/>
      <c r="AV96" s="600"/>
      <c r="AW96" s="600"/>
    </row>
    <row r="97" spans="1:51">
      <c r="A97" s="282"/>
      <c r="AT97" s="283"/>
      <c r="AV97" s="600"/>
      <c r="AW97" s="600"/>
    </row>
    <row r="98" spans="1:51">
      <c r="A98" s="282"/>
      <c r="B98" s="296" t="s">
        <v>791</v>
      </c>
      <c r="C98" s="296" t="s">
        <v>792</v>
      </c>
      <c r="D98" s="613">
        <f>VLOOKUP(B95,[14]Progress!$B$9:$D$310,3,FALSE)</f>
        <v>410</v>
      </c>
      <c r="E98" s="614"/>
      <c r="F98" s="296" t="s">
        <v>791</v>
      </c>
      <c r="G98" s="296" t="s">
        <v>792</v>
      </c>
      <c r="H98" s="613">
        <f>VLOOKUP(F95,[14]Progress!$B$9:$D$310,3,FALSE)</f>
        <v>410</v>
      </c>
      <c r="I98" s="614"/>
      <c r="J98" s="296" t="s">
        <v>791</v>
      </c>
      <c r="K98" s="296" t="s">
        <v>792</v>
      </c>
      <c r="L98" s="613">
        <f>VLOOKUP(J95,[14]Progress!$B$9:$D$310,3,FALSE)</f>
        <v>407.995</v>
      </c>
      <c r="M98" s="614"/>
      <c r="N98" s="296" t="s">
        <v>791</v>
      </c>
      <c r="O98" s="296" t="s">
        <v>792</v>
      </c>
      <c r="P98" s="607">
        <f>VLOOKUP(N95,[14]Progress!$B$9:$D$310,3,FALSE)</f>
        <v>464.74200000000002</v>
      </c>
      <c r="Q98" s="608"/>
      <c r="R98" s="296" t="s">
        <v>791</v>
      </c>
      <c r="S98" s="296" t="s">
        <v>792</v>
      </c>
      <c r="T98" s="607">
        <f>VLOOKUP(R95,[14]Progress!$B$9:$D$310,3,FALSE)</f>
        <v>264.68700000000001</v>
      </c>
      <c r="U98" s="608"/>
      <c r="V98" s="296" t="s">
        <v>791</v>
      </c>
      <c r="W98" s="296" t="s">
        <v>792</v>
      </c>
      <c r="X98" s="613">
        <f>VLOOKUP(V95,[14]Progress!$B$9:$D$310,3,FALSE)</f>
        <v>400</v>
      </c>
      <c r="Y98" s="614"/>
      <c r="Z98" s="296" t="s">
        <v>791</v>
      </c>
      <c r="AA98" s="296" t="s">
        <v>792</v>
      </c>
      <c r="AB98" s="613">
        <f>VLOOKUP(Z95,[14]Progress!$B$9:$D$310,3,FALSE)</f>
        <v>310</v>
      </c>
      <c r="AC98" s="614"/>
      <c r="AD98" s="296" t="s">
        <v>791</v>
      </c>
      <c r="AE98" s="296" t="s">
        <v>792</v>
      </c>
      <c r="AF98" s="613">
        <f>VLOOKUP(AD95,[14]Progress!$B$9:$D$310,3,FALSE)</f>
        <v>361.49700000000001</v>
      </c>
      <c r="AG98" s="614"/>
      <c r="AH98" s="296" t="s">
        <v>791</v>
      </c>
      <c r="AI98" s="296" t="s">
        <v>792</v>
      </c>
      <c r="AJ98" s="613">
        <f>VLOOKUP(AH95,[14]Progress!$B$9:$D$310,3,FALSE)</f>
        <v>366.00200000000001</v>
      </c>
      <c r="AK98" s="614"/>
      <c r="AL98" s="296" t="s">
        <v>791</v>
      </c>
      <c r="AM98" s="296" t="s">
        <v>792</v>
      </c>
      <c r="AN98" s="613">
        <f>VLOOKUP(AL95,[14]Progress!$B$9:$D$310,3,FALSE)</f>
        <v>436.99900000000002</v>
      </c>
      <c r="AO98" s="614"/>
      <c r="AP98" s="296" t="s">
        <v>791</v>
      </c>
      <c r="AQ98" s="296" t="s">
        <v>792</v>
      </c>
      <c r="AR98" s="613">
        <f>VLOOKUP(AP95,[14]Progress!$B$9:$D$310,3,FALSE)</f>
        <v>389.99900000000002</v>
      </c>
      <c r="AS98" s="600"/>
      <c r="AT98" s="283"/>
      <c r="AV98" s="600">
        <f>D98+H98+L98+P98+T98+X98+AB98+AF98+AJ98+AN98+AR98</f>
        <v>4221.9209999999994</v>
      </c>
      <c r="AW98" s="600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600"/>
      <c r="AW99" s="600"/>
    </row>
    <row r="100" spans="1:51" ht="10.5" customHeight="1">
      <c r="A100" s="282"/>
      <c r="B100" s="605"/>
      <c r="C100" s="605"/>
      <c r="F100" s="605"/>
      <c r="G100" s="605"/>
      <c r="J100" s="605"/>
      <c r="K100" s="605"/>
      <c r="N100" s="605"/>
      <c r="O100" s="605"/>
      <c r="R100" s="605"/>
      <c r="S100" s="605"/>
      <c r="V100" s="605"/>
      <c r="W100" s="605"/>
      <c r="Z100" s="605"/>
      <c r="AA100" s="605"/>
      <c r="AD100" s="605"/>
      <c r="AE100" s="605"/>
      <c r="AH100" s="605"/>
      <c r="AI100" s="605"/>
      <c r="AL100" s="605"/>
      <c r="AM100" s="605"/>
      <c r="AP100" s="605"/>
      <c r="AQ100" s="605"/>
      <c r="AT100" s="283"/>
      <c r="AV100" s="600"/>
      <c r="AW100" s="600"/>
    </row>
    <row r="101" spans="1:51">
      <c r="A101" s="282"/>
      <c r="B101" s="602" t="str">
        <f>VLOOKUP(+B95,'[14]Twr Schedule'!$B$9:$C$611,2,FALSE)</f>
        <v>DA+3</v>
      </c>
      <c r="C101" s="602"/>
      <c r="F101" s="602" t="str">
        <f>VLOOKUP(+F95,'[14]Twr Schedule'!$B$9:$C$611,2,FALSE)</f>
        <v>DA+0</v>
      </c>
      <c r="G101" s="602"/>
      <c r="J101" s="602" t="str">
        <f>VLOOKUP(+J95,'[14]Twr Schedule'!$B$9:$C$611,2,FALSE)</f>
        <v>DA+3</v>
      </c>
      <c r="K101" s="602"/>
      <c r="N101" s="602" t="str">
        <f>VLOOKUP(+N95,'[14]Twr Schedule'!$B$9:$C$611,2,FALSE)</f>
        <v>DC2+3</v>
      </c>
      <c r="O101" s="602"/>
      <c r="R101" s="602" t="str">
        <f>VLOOKUP(+R95,'[14]Twr Schedule'!$B$9:$C$611,2,FALSE)</f>
        <v>DB2+25</v>
      </c>
      <c r="S101" s="602"/>
      <c r="V101" s="602" t="str">
        <f>VLOOKUP(+V95,'[14]Twr Schedule'!$B$9:$C$611,2,FALSE)</f>
        <v>DB2+6</v>
      </c>
      <c r="W101" s="602"/>
      <c r="Z101" s="602" t="str">
        <f>VLOOKUP(+Z95,'[14]Twr Schedule'!$B$9:$C$611,2,FALSE)</f>
        <v>DA-3</v>
      </c>
      <c r="AA101" s="602"/>
      <c r="AD101" s="602" t="str">
        <f>VLOOKUP(+AD95,'[14]Twr Schedule'!$B$9:$C$611,2,FALSE)</f>
        <v>DA+0</v>
      </c>
      <c r="AE101" s="602"/>
      <c r="AH101" s="602" t="str">
        <f>VLOOKUP(+AH95,'[14]Twr Schedule'!$B$9:$C$611,2,FALSE)</f>
        <v>DA+0</v>
      </c>
      <c r="AI101" s="602"/>
      <c r="AL101" s="602" t="str">
        <f>VLOOKUP(+AL95,'[14]Twr Schedule'!$B$9:$C$611,2,FALSE)</f>
        <v>DA+3</v>
      </c>
      <c r="AM101" s="602"/>
      <c r="AP101" s="602" t="str">
        <f>VLOOKUP(+AP95,'[14]Twr Schedule'!$B$9:$C$611,2,FALSE)</f>
        <v>DA+3</v>
      </c>
      <c r="AQ101" s="602"/>
      <c r="AT101" s="283"/>
      <c r="AV101" s="600"/>
      <c r="AW101" s="600"/>
    </row>
    <row r="102" spans="1:51">
      <c r="A102" s="282"/>
      <c r="R102" s="316" t="s">
        <v>824</v>
      </c>
      <c r="T102" t="s">
        <v>825</v>
      </c>
      <c r="AT102" s="283"/>
      <c r="AV102" s="600"/>
      <c r="AW102" s="600"/>
    </row>
    <row r="103" spans="1:51">
      <c r="A103" s="282"/>
      <c r="N103" t="s">
        <v>826</v>
      </c>
      <c r="AT103" s="283"/>
      <c r="AV103" s="600"/>
      <c r="AW103" s="600"/>
    </row>
    <row r="104" spans="1:51">
      <c r="A104" s="586" t="s">
        <v>823</v>
      </c>
      <c r="B104" s="587"/>
      <c r="C104" s="587"/>
      <c r="D104" s="587"/>
      <c r="E104" s="587"/>
      <c r="F104" s="587"/>
      <c r="G104" s="587"/>
      <c r="H104" s="587"/>
      <c r="I104" s="587"/>
      <c r="J104" s="587"/>
      <c r="K104" s="587"/>
      <c r="L104" s="587"/>
      <c r="M104" s="587"/>
      <c r="N104" s="587"/>
      <c r="O104" s="587"/>
      <c r="P104" s="587"/>
      <c r="Q104" s="587"/>
      <c r="R104" s="588"/>
      <c r="S104" s="586" t="s">
        <v>827</v>
      </c>
      <c r="T104" s="587"/>
      <c r="U104" s="587"/>
      <c r="V104" s="587"/>
      <c r="W104" s="587"/>
      <c r="X104" s="587"/>
      <c r="Y104" s="587"/>
      <c r="Z104" s="587"/>
      <c r="AA104" s="587"/>
      <c r="AB104" s="587"/>
      <c r="AC104" s="587"/>
      <c r="AD104" s="587"/>
      <c r="AE104" s="587"/>
      <c r="AF104" s="587"/>
      <c r="AG104" s="587"/>
      <c r="AH104" s="587"/>
      <c r="AI104" s="587"/>
      <c r="AJ104" s="587"/>
      <c r="AK104" s="587"/>
      <c r="AL104" s="587"/>
      <c r="AM104" s="587"/>
      <c r="AN104" s="587"/>
      <c r="AO104" s="587"/>
      <c r="AP104" s="587"/>
      <c r="AQ104" s="587"/>
      <c r="AR104" s="588"/>
      <c r="AT104" s="283"/>
      <c r="AV104" s="600"/>
      <c r="AW104" s="600"/>
    </row>
    <row r="105" spans="1:51">
      <c r="A105" s="282"/>
      <c r="B105" s="600" t="s">
        <v>658</v>
      </c>
      <c r="C105" s="600"/>
      <c r="F105" s="600" t="s">
        <v>506</v>
      </c>
      <c r="G105" s="600"/>
      <c r="J105" s="600" t="s">
        <v>591</v>
      </c>
      <c r="K105" s="600"/>
      <c r="N105" s="600" t="s">
        <v>645</v>
      </c>
      <c r="O105" s="600"/>
      <c r="R105" s="600" t="s">
        <v>659</v>
      </c>
      <c r="S105" s="600"/>
      <c r="V105" s="600" t="s">
        <v>474</v>
      </c>
      <c r="W105" s="600"/>
      <c r="Z105" s="600" t="s">
        <v>463</v>
      </c>
      <c r="AA105" s="600"/>
      <c r="AD105" s="600" t="s">
        <v>458</v>
      </c>
      <c r="AE105" s="600"/>
      <c r="AH105" s="600" t="s">
        <v>470</v>
      </c>
      <c r="AI105" s="600"/>
      <c r="AL105" s="600" t="s">
        <v>478</v>
      </c>
      <c r="AM105" s="600"/>
      <c r="AP105" s="600" t="s">
        <v>486</v>
      </c>
      <c r="AQ105" s="600"/>
      <c r="AT105" s="283"/>
      <c r="AV105" s="600"/>
      <c r="AW105" s="600"/>
    </row>
    <row r="106" spans="1:51">
      <c r="A106" s="282"/>
      <c r="AT106" s="283"/>
      <c r="AV106" s="600"/>
      <c r="AW106" s="600"/>
    </row>
    <row r="107" spans="1:51">
      <c r="A107" s="282"/>
      <c r="AT107" s="283"/>
      <c r="AV107" s="600"/>
      <c r="AW107" s="600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613">
        <f>VLOOKUP(F105,[14]Progress!$B$9:$D$310,3,FALSE)</f>
        <v>391.99900000000002</v>
      </c>
      <c r="I108" s="614"/>
      <c r="J108" s="296" t="s">
        <v>791</v>
      </c>
      <c r="K108" s="296" t="s">
        <v>792</v>
      </c>
      <c r="L108" s="609">
        <f>VLOOKUP(J105,[14]Progress!$B$9:$D$310,3,FALSE)</f>
        <v>374.07</v>
      </c>
      <c r="M108" s="610"/>
      <c r="N108" s="296" t="s">
        <v>791</v>
      </c>
      <c r="O108" s="296" t="s">
        <v>792</v>
      </c>
      <c r="P108" s="607">
        <f>VLOOKUP(N105,[14]Progress!$B$9:$D$310,3,FALSE)</f>
        <v>323.02999999999997</v>
      </c>
      <c r="Q108" s="608"/>
      <c r="R108" s="296" t="s">
        <v>791</v>
      </c>
      <c r="S108" s="296" t="s">
        <v>792</v>
      </c>
      <c r="T108" s="613">
        <f>VLOOKUP(R105,[14]Progress!$B$9:$D$310,3,FALSE)</f>
        <v>343.13</v>
      </c>
      <c r="U108" s="614"/>
      <c r="V108" s="296" t="s">
        <v>791</v>
      </c>
      <c r="W108" s="296" t="s">
        <v>792</v>
      </c>
      <c r="X108" s="613">
        <f>VLOOKUP(V105,[14]Progress!$B$9:$D$310,3,FALSE)</f>
        <v>392</v>
      </c>
      <c r="Y108" s="614"/>
      <c r="Z108" s="296" t="s">
        <v>791</v>
      </c>
      <c r="AA108" s="296" t="s">
        <v>792</v>
      </c>
      <c r="AB108" s="613">
        <f>VLOOKUP(Z105,[14]Progress!$B$9:$D$310,3,FALSE)</f>
        <v>407</v>
      </c>
      <c r="AC108" s="614"/>
      <c r="AD108" s="296" t="s">
        <v>791</v>
      </c>
      <c r="AE108" s="296" t="s">
        <v>792</v>
      </c>
      <c r="AF108" s="613">
        <f>VLOOKUP(AD105,[14]Progress!$B$9:$D$310,3,FALSE)</f>
        <v>412</v>
      </c>
      <c r="AG108" s="614"/>
      <c r="AH108" s="296" t="s">
        <v>791</v>
      </c>
      <c r="AI108" s="296" t="s">
        <v>792</v>
      </c>
      <c r="AJ108" s="613">
        <f>VLOOKUP(AH105,[14]Progress!$B$9:$D$310,3,FALSE)</f>
        <v>371</v>
      </c>
      <c r="AK108" s="614"/>
      <c r="AL108" s="296" t="s">
        <v>791</v>
      </c>
      <c r="AM108" s="296" t="s">
        <v>792</v>
      </c>
      <c r="AN108" s="613">
        <f>VLOOKUP(AL105,[14]Progress!$B$9:$D$310,3,FALSE)</f>
        <v>376</v>
      </c>
      <c r="AO108" s="614"/>
      <c r="AP108" s="296" t="s">
        <v>791</v>
      </c>
      <c r="AQ108" s="296" t="s">
        <v>792</v>
      </c>
      <c r="AR108" s="613">
        <f>VLOOKUP(AP105,[14]Progress!$B$9:$D$310,3,FALSE)</f>
        <v>421</v>
      </c>
      <c r="AS108" s="600"/>
      <c r="AT108" s="283"/>
      <c r="AV108" s="600">
        <f>D108+H108+L108+P108+T108+X108+AB108+AF108+AJ108+AN108+AR108</f>
        <v>4212.2280000000001</v>
      </c>
      <c r="AW108" s="600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600"/>
      <c r="AW109" s="600"/>
    </row>
    <row r="110" spans="1:51" ht="10.5" customHeight="1">
      <c r="A110" s="282"/>
      <c r="B110" s="605"/>
      <c r="C110" s="605"/>
      <c r="F110" s="605"/>
      <c r="G110" s="605"/>
      <c r="J110" s="605"/>
      <c r="K110" s="605"/>
      <c r="N110" s="605"/>
      <c r="O110" s="605"/>
      <c r="R110" s="605"/>
      <c r="S110" s="605"/>
      <c r="V110" s="605"/>
      <c r="W110" s="605"/>
      <c r="Z110" s="605"/>
      <c r="AA110" s="605"/>
      <c r="AD110" s="605"/>
      <c r="AE110" s="605"/>
      <c r="AH110" s="605"/>
      <c r="AI110" s="605"/>
      <c r="AL110" s="605"/>
      <c r="AM110" s="605"/>
      <c r="AP110" s="605"/>
      <c r="AQ110" s="605"/>
      <c r="AT110" s="283"/>
      <c r="AV110" s="600"/>
      <c r="AW110" s="600"/>
    </row>
    <row r="111" spans="1:51">
      <c r="A111" s="282"/>
      <c r="B111" s="602" t="str">
        <f>VLOOKUP(+B105,'[14]Twr Schedule'!$B$9:$C$611,2,FALSE)</f>
        <v>DA-3</v>
      </c>
      <c r="C111" s="602"/>
      <c r="F111" s="602" t="str">
        <f>VLOOKUP(+F105,'[14]Twr Schedule'!$B$9:$C$611,2,FALSE)</f>
        <v>DA+3</v>
      </c>
      <c r="G111" s="602"/>
      <c r="J111" s="602" t="str">
        <f>VLOOKUP(+J105,'[14]Twr Schedule'!$B$9:$C$611,2,FALSE)</f>
        <v>DA-3</v>
      </c>
      <c r="K111" s="602"/>
      <c r="N111" s="602" t="str">
        <f>VLOOKUP(+N105,'[14]Twr Schedule'!$B$9:$C$611,2,FALSE)</f>
        <v>DB1+6</v>
      </c>
      <c r="O111" s="602"/>
      <c r="R111" s="602" t="str">
        <f>VLOOKUP(+R105,'[14]Twr Schedule'!$B$9:$C$611,2,FALSE)</f>
        <v>DC2+6</v>
      </c>
      <c r="S111" s="602"/>
      <c r="V111" s="602" t="str">
        <f>VLOOKUP(+V105,'[14]Twr Schedule'!$B$9:$C$611,2,FALSE)</f>
        <v>DA+0</v>
      </c>
      <c r="W111" s="602"/>
      <c r="Z111" s="602" t="str">
        <f>VLOOKUP(+Z105,'[14]Twr Schedule'!$B$9:$C$611,2,FALSE)</f>
        <v>DA+0</v>
      </c>
      <c r="AA111" s="602"/>
      <c r="AD111" s="602" t="str">
        <f>VLOOKUP(+AD105,'[14]Twr Schedule'!$B$9:$C$611,2,FALSE)</f>
        <v>DA+3</v>
      </c>
      <c r="AE111" s="602"/>
      <c r="AH111" s="602" t="str">
        <f>VLOOKUP(+AH105,'[14]Twr Schedule'!$B$9:$C$611,2,FALSE)</f>
        <v>DA+0</v>
      </c>
      <c r="AI111" s="602"/>
      <c r="AL111" s="602" t="str">
        <f>VLOOKUP(+AL105,'[14]Twr Schedule'!$B$9:$C$611,2,FALSE)</f>
        <v>DA-3</v>
      </c>
      <c r="AM111" s="602"/>
      <c r="AP111" s="602" t="str">
        <f>VLOOKUP(+AP105,'[14]Twr Schedule'!$B$9:$C$611,2,FALSE)</f>
        <v>DA+0</v>
      </c>
      <c r="AQ111" s="602"/>
      <c r="AT111" s="283"/>
      <c r="AV111" s="600"/>
      <c r="AW111" s="600"/>
    </row>
    <row r="112" spans="1:51">
      <c r="A112" s="282"/>
      <c r="O112" t="s">
        <v>828</v>
      </c>
      <c r="AT112" s="283"/>
      <c r="AV112" s="600"/>
      <c r="AW112" s="600"/>
    </row>
    <row r="113" spans="1:51">
      <c r="A113" s="586" t="s">
        <v>827</v>
      </c>
      <c r="B113" s="587"/>
      <c r="C113" s="587"/>
      <c r="D113" s="587"/>
      <c r="E113" s="587"/>
      <c r="F113" s="587"/>
      <c r="G113" s="587"/>
      <c r="H113" s="587"/>
      <c r="I113" s="587"/>
      <c r="J113" s="587"/>
      <c r="K113" s="587"/>
      <c r="L113" s="587"/>
      <c r="M113" s="587"/>
      <c r="N113" s="587"/>
      <c r="O113" s="587"/>
      <c r="P113" s="587"/>
      <c r="Q113" s="587"/>
      <c r="R113" s="587"/>
      <c r="S113" s="587"/>
      <c r="T113" s="587"/>
      <c r="U113" s="587"/>
      <c r="V113" s="587"/>
      <c r="W113" s="587"/>
      <c r="X113" s="587"/>
      <c r="Y113" s="587"/>
      <c r="Z113" s="588"/>
      <c r="AA113" s="586" t="s">
        <v>829</v>
      </c>
      <c r="AB113" s="587"/>
      <c r="AC113" s="587"/>
      <c r="AD113" s="587"/>
      <c r="AE113" s="587"/>
      <c r="AF113" s="587"/>
      <c r="AG113" s="587"/>
      <c r="AH113" s="587"/>
      <c r="AI113" s="587"/>
      <c r="AJ113" s="587"/>
      <c r="AK113" s="587"/>
      <c r="AL113" s="587"/>
      <c r="AM113" s="587"/>
      <c r="AN113" s="587"/>
      <c r="AO113" s="587"/>
      <c r="AP113" s="587"/>
      <c r="AQ113" s="587"/>
      <c r="AR113" s="588"/>
      <c r="AT113" s="283"/>
      <c r="AV113" s="600"/>
      <c r="AW113" s="600"/>
    </row>
    <row r="114" spans="1:51">
      <c r="A114" s="282"/>
      <c r="Z114" s="623"/>
      <c r="AA114" s="623"/>
      <c r="AB114" s="623"/>
      <c r="AC114" s="623"/>
      <c r="AD114" s="623"/>
      <c r="AE114" s="623"/>
      <c r="AF114" s="623"/>
      <c r="AG114" s="623"/>
      <c r="AH114" s="623"/>
      <c r="AI114" s="623"/>
      <c r="AJ114" s="623"/>
      <c r="AK114" s="623"/>
      <c r="AL114" s="623"/>
      <c r="AM114" s="623"/>
      <c r="AN114" s="623"/>
      <c r="AO114" s="623"/>
      <c r="AP114" s="623"/>
      <c r="AQ114" s="623"/>
      <c r="AR114" s="623"/>
      <c r="AS114" s="623"/>
      <c r="AT114" s="283"/>
      <c r="AV114" s="600"/>
      <c r="AW114" s="600"/>
    </row>
    <row r="115" spans="1:51">
      <c r="A115" s="282"/>
      <c r="B115" s="600" t="s">
        <v>492</v>
      </c>
      <c r="C115" s="600"/>
      <c r="F115" s="600" t="s">
        <v>584</v>
      </c>
      <c r="G115" s="600"/>
      <c r="J115" s="600" t="s">
        <v>501</v>
      </c>
      <c r="K115" s="600"/>
      <c r="N115" s="600" t="s">
        <v>580</v>
      </c>
      <c r="O115" s="600"/>
      <c r="R115" s="600" t="s">
        <v>577</v>
      </c>
      <c r="S115" s="600"/>
      <c r="V115" s="600" t="s">
        <v>569</v>
      </c>
      <c r="W115" s="600"/>
      <c r="Z115" s="600" t="s">
        <v>507</v>
      </c>
      <c r="AA115" s="600"/>
      <c r="AD115" s="600" t="s">
        <v>565</v>
      </c>
      <c r="AE115" s="600"/>
      <c r="AH115" s="600" t="s">
        <v>515</v>
      </c>
      <c r="AI115" s="600"/>
      <c r="AL115" s="600" t="s">
        <v>518</v>
      </c>
      <c r="AM115" s="600"/>
      <c r="AP115" s="600" t="s">
        <v>522</v>
      </c>
      <c r="AQ115" s="600"/>
      <c r="AT115" s="283"/>
      <c r="AV115" s="600"/>
      <c r="AW115" s="600"/>
    </row>
    <row r="116" spans="1:51">
      <c r="A116" s="282"/>
      <c r="AT116" s="283"/>
      <c r="AV116" s="600"/>
      <c r="AW116" s="600"/>
    </row>
    <row r="117" spans="1:51">
      <c r="A117" s="282"/>
      <c r="AT117" s="283"/>
      <c r="AV117" s="600"/>
      <c r="AW117" s="600"/>
    </row>
    <row r="118" spans="1:51">
      <c r="A118" s="282"/>
      <c r="B118" s="296" t="s">
        <v>791</v>
      </c>
      <c r="C118" s="296" t="s">
        <v>792</v>
      </c>
      <c r="D118" s="613">
        <f>VLOOKUP(B115,[14]Progress!$B$9:$D$310,3,FALSE)</f>
        <v>387</v>
      </c>
      <c r="E118" s="614"/>
      <c r="F118" s="296" t="s">
        <v>791</v>
      </c>
      <c r="G118" s="296" t="s">
        <v>792</v>
      </c>
      <c r="H118" s="613">
        <f>VLOOKUP(F115,[14]Progress!$B$9:$D$310,3,FALSE)</f>
        <v>364</v>
      </c>
      <c r="I118" s="614"/>
      <c r="J118" s="296" t="s">
        <v>791</v>
      </c>
      <c r="K118" s="296" t="s">
        <v>792</v>
      </c>
      <c r="L118" s="613">
        <f>VLOOKUP(J115,[14]Progress!$B$9:$D$310,3,FALSE)</f>
        <v>423</v>
      </c>
      <c r="M118" s="614"/>
      <c r="N118" s="296" t="s">
        <v>791</v>
      </c>
      <c r="O118" s="296" t="s">
        <v>792</v>
      </c>
      <c r="P118" s="613">
        <f>VLOOKUP(N115,[14]Progress!$B$9:$D$310,3,FALSE)</f>
        <v>335</v>
      </c>
      <c r="Q118" s="614"/>
      <c r="R118" s="296" t="s">
        <v>791</v>
      </c>
      <c r="S118" s="296" t="s">
        <v>792</v>
      </c>
      <c r="T118" s="613">
        <f>VLOOKUP(R115,[14]Progress!$B$9:$D$310,3,FALSE)</f>
        <v>343</v>
      </c>
      <c r="U118" s="614"/>
      <c r="V118" s="296" t="s">
        <v>791</v>
      </c>
      <c r="W118" s="296" t="s">
        <v>792</v>
      </c>
      <c r="X118" s="609">
        <f>VLOOKUP(V115,[14]Progress!$B$9:$D$310,3,FALSE)</f>
        <v>362.45299999999997</v>
      </c>
      <c r="Y118" s="610"/>
      <c r="Z118" s="314" t="s">
        <v>791</v>
      </c>
      <c r="AA118" s="314" t="s">
        <v>792</v>
      </c>
      <c r="AB118" s="609">
        <f>VLOOKUP(Z115,[14]Progress!$B$9:$D$310,3,FALSE)</f>
        <v>433</v>
      </c>
      <c r="AC118" s="610"/>
      <c r="AD118" s="314" t="s">
        <v>791</v>
      </c>
      <c r="AE118" s="314" t="s">
        <v>792</v>
      </c>
      <c r="AF118" s="609">
        <f>VLOOKUP(AD115,[14]Progress!$B$9:$D$310,3,FALSE)</f>
        <v>393</v>
      </c>
      <c r="AG118" s="610"/>
      <c r="AH118" s="314" t="s">
        <v>791</v>
      </c>
      <c r="AI118" s="314" t="s">
        <v>792</v>
      </c>
      <c r="AJ118" s="609">
        <f>VLOOKUP(AH115,[14]Progress!$B$9:$D$310,3,FALSE)</f>
        <v>400</v>
      </c>
      <c r="AK118" s="610"/>
      <c r="AL118" s="314" t="s">
        <v>791</v>
      </c>
      <c r="AM118" s="314" t="s">
        <v>792</v>
      </c>
      <c r="AN118" s="609">
        <f>VLOOKUP(AL115,[14]Progress!$B$9:$D$310,3,FALSE)</f>
        <v>375.65899999999999</v>
      </c>
      <c r="AO118" s="610"/>
      <c r="AP118" s="314" t="s">
        <v>791</v>
      </c>
      <c r="AQ118" s="314" t="s">
        <v>792</v>
      </c>
      <c r="AR118" s="609">
        <f>VLOOKUP(AP115,[14]Progress!$B$9:$D$310,3,FALSE)</f>
        <v>366.46600000000001</v>
      </c>
      <c r="AS118" s="611"/>
      <c r="AT118" s="283"/>
      <c r="AV118" s="600">
        <f>D118+H118+L118+P118+T118+X118+AB118+AF118+AJ118+AN118+AR118</f>
        <v>4182.5780000000004</v>
      </c>
      <c r="AW118" s="600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600"/>
      <c r="AW119" s="600"/>
    </row>
    <row r="120" spans="1:51" ht="10.5" customHeight="1">
      <c r="A120" s="282"/>
      <c r="B120" s="605"/>
      <c r="C120" s="605"/>
      <c r="F120" s="605"/>
      <c r="G120" s="605"/>
      <c r="J120" s="605"/>
      <c r="K120" s="605"/>
      <c r="N120" s="605"/>
      <c r="O120" s="605"/>
      <c r="R120" s="605"/>
      <c r="S120" s="605"/>
      <c r="V120" s="605"/>
      <c r="W120" s="605"/>
      <c r="Z120" s="605"/>
      <c r="AA120" s="605"/>
      <c r="AD120" s="605"/>
      <c r="AE120" s="605"/>
      <c r="AH120" s="605"/>
      <c r="AI120" s="605"/>
      <c r="AL120" s="605"/>
      <c r="AM120" s="605"/>
      <c r="AP120" s="605"/>
      <c r="AQ120" s="605"/>
      <c r="AT120" s="283"/>
      <c r="AV120" s="600"/>
      <c r="AW120" s="600"/>
    </row>
    <row r="121" spans="1:51">
      <c r="A121" s="282"/>
      <c r="B121" s="602" t="str">
        <f>VLOOKUP(+B115,'[14]Twr Schedule'!$B$9:$C$611,2,FALSE)</f>
        <v>DA+3</v>
      </c>
      <c r="C121" s="602"/>
      <c r="F121" s="602" t="str">
        <f>VLOOKUP(+F115,'[14]Twr Schedule'!$B$9:$C$611,2,FALSE)</f>
        <v>DA-3</v>
      </c>
      <c r="G121" s="602"/>
      <c r="J121" s="602" t="str">
        <f>VLOOKUP(+J115,'[14]Twr Schedule'!$B$9:$C$611,2,FALSE)</f>
        <v>DA+3</v>
      </c>
      <c r="K121" s="602"/>
      <c r="N121" s="602" t="str">
        <f>VLOOKUP(+N115,'[14]Twr Schedule'!$B$9:$C$611,2,FALSE)</f>
        <v>DA+3</v>
      </c>
      <c r="O121" s="602"/>
      <c r="R121" s="602" t="str">
        <f>VLOOKUP(+R115,'[14]Twr Schedule'!$B$9:$C$611,2,FALSE)</f>
        <v>DA-3</v>
      </c>
      <c r="S121" s="602"/>
      <c r="V121" s="602" t="str">
        <f>VLOOKUP(+V115,'[14]Twr Schedule'!$B$9:$C$611,2,FALSE)</f>
        <v>DA-3</v>
      </c>
      <c r="W121" s="602"/>
      <c r="Z121" s="602" t="str">
        <f>VLOOKUP(+Z115,'[14]Twr Schedule'!$B$9:$C$611,2,FALSE)</f>
        <v>DB1+0</v>
      </c>
      <c r="AA121" s="602"/>
      <c r="AD121" s="602" t="str">
        <f>VLOOKUP(+AD115,'[14]Twr Schedule'!$B$9:$C$611,2,FALSE)</f>
        <v>DA+6</v>
      </c>
      <c r="AE121" s="602"/>
      <c r="AH121" s="602" t="str">
        <f>VLOOKUP(+AH115,'[14]Twr Schedule'!$B$9:$C$611,2,FALSE)</f>
        <v>DA+0</v>
      </c>
      <c r="AI121" s="602"/>
      <c r="AL121" s="602" t="str">
        <f>VLOOKUP(+AL115,'[14]Twr Schedule'!$B$9:$C$611,2,FALSE)</f>
        <v>DA+0</v>
      </c>
      <c r="AM121" s="602"/>
      <c r="AP121" s="602" t="str">
        <f>VLOOKUP(+AP115,'[14]Twr Schedule'!$B$9:$C$611,2,FALSE)</f>
        <v>DA-3</v>
      </c>
      <c r="AQ121" s="602"/>
      <c r="AT121" s="283"/>
      <c r="AV121" s="600"/>
      <c r="AW121" s="600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0"/>
      <c r="AW122" s="600"/>
    </row>
    <row r="123" spans="1:51">
      <c r="A123" s="635" t="s">
        <v>829</v>
      </c>
      <c r="B123" s="636"/>
      <c r="C123" s="636"/>
      <c r="D123" s="636"/>
      <c r="E123" s="636"/>
      <c r="F123" s="636"/>
      <c r="G123" s="636"/>
      <c r="H123" s="636"/>
      <c r="I123" s="636"/>
      <c r="J123" s="636"/>
      <c r="K123" s="636"/>
      <c r="L123" s="636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6"/>
      <c r="X123" s="636"/>
      <c r="Y123" s="636"/>
      <c r="Z123" s="636"/>
      <c r="AA123" s="636"/>
      <c r="AB123" s="636"/>
      <c r="AC123" s="636"/>
      <c r="AD123" s="636"/>
      <c r="AE123" s="636"/>
      <c r="AF123" s="636"/>
      <c r="AG123" s="636"/>
      <c r="AH123" s="637"/>
      <c r="AI123" s="606" t="s">
        <v>830</v>
      </c>
      <c r="AJ123" s="606"/>
      <c r="AK123" s="606"/>
      <c r="AL123" s="606"/>
      <c r="AM123" s="606"/>
      <c r="AN123" s="606"/>
      <c r="AO123" s="606"/>
      <c r="AP123" s="606"/>
      <c r="AQ123" s="606"/>
      <c r="AR123" s="606"/>
      <c r="AT123" s="283"/>
      <c r="AV123" s="600"/>
      <c r="AW123" s="600"/>
    </row>
    <row r="124" spans="1:51">
      <c r="A124" s="282"/>
      <c r="AT124" s="283"/>
      <c r="AV124" s="600"/>
      <c r="AW124" s="600"/>
    </row>
    <row r="125" spans="1:51">
      <c r="A125" s="282"/>
      <c r="B125" s="600" t="s">
        <v>449</v>
      </c>
      <c r="C125" s="600"/>
      <c r="F125" s="600" t="s">
        <v>446</v>
      </c>
      <c r="G125" s="600"/>
      <c r="J125" s="600" t="s">
        <v>450</v>
      </c>
      <c r="K125" s="600"/>
      <c r="N125" s="600" t="s">
        <v>444</v>
      </c>
      <c r="O125" s="600"/>
      <c r="R125" s="600" t="s">
        <v>447</v>
      </c>
      <c r="S125" s="600"/>
      <c r="V125" s="600" t="s">
        <v>556</v>
      </c>
      <c r="W125" s="600"/>
      <c r="Z125" s="600" t="s">
        <v>547</v>
      </c>
      <c r="AA125" s="600"/>
      <c r="AD125" s="600" t="s">
        <v>452</v>
      </c>
      <c r="AE125" s="600"/>
      <c r="AH125" s="600" t="s">
        <v>514</v>
      </c>
      <c r="AI125" s="600"/>
      <c r="AL125" s="600" t="s">
        <v>632</v>
      </c>
      <c r="AM125" s="600"/>
      <c r="AP125" s="600" t="s">
        <v>628</v>
      </c>
      <c r="AQ125" s="600"/>
      <c r="AT125" s="283"/>
      <c r="AV125" s="600"/>
      <c r="AW125" s="600"/>
    </row>
    <row r="126" spans="1:51">
      <c r="A126" s="282"/>
      <c r="AT126" s="283"/>
      <c r="AV126" s="600"/>
      <c r="AW126" s="600"/>
    </row>
    <row r="127" spans="1:51">
      <c r="A127" s="282"/>
      <c r="AT127" s="283"/>
      <c r="AV127" s="600"/>
      <c r="AW127" s="600"/>
    </row>
    <row r="128" spans="1:51">
      <c r="A128" s="282"/>
      <c r="B128" s="296" t="s">
        <v>791</v>
      </c>
      <c r="C128" s="296" t="s">
        <v>792</v>
      </c>
      <c r="D128" s="613">
        <f>VLOOKUP(B125,[14]Progress!$B$9:$D$310,3,FALSE)</f>
        <v>408</v>
      </c>
      <c r="E128" s="614"/>
      <c r="F128" s="296" t="s">
        <v>791</v>
      </c>
      <c r="G128" s="296" t="s">
        <v>792</v>
      </c>
      <c r="H128" s="613">
        <f>VLOOKUP(F125,[14]Progress!$B$9:$D$310,3,FALSE)</f>
        <v>372</v>
      </c>
      <c r="I128" s="614"/>
      <c r="J128" s="296" t="s">
        <v>791</v>
      </c>
      <c r="K128" s="296" t="s">
        <v>792</v>
      </c>
      <c r="L128" s="619">
        <f>VLOOKUP(J125,[14]Progress!$B$9:$D$310,3,FALSE)</f>
        <v>370</v>
      </c>
      <c r="M128" s="620"/>
      <c r="N128" s="296" t="s">
        <v>791</v>
      </c>
      <c r="O128" s="296" t="s">
        <v>792</v>
      </c>
      <c r="P128" s="613">
        <f>VLOOKUP(N125,[14]Progress!$B$9:$D$310,3,FALSE)</f>
        <v>400</v>
      </c>
      <c r="Q128" s="614"/>
      <c r="R128" s="296" t="s">
        <v>791</v>
      </c>
      <c r="S128" s="296" t="s">
        <v>792</v>
      </c>
      <c r="T128" s="613">
        <f>VLOOKUP(R125,[14]Progress!$B$9:$D$310,3,FALSE)</f>
        <v>426</v>
      </c>
      <c r="U128" s="614"/>
      <c r="V128" s="296" t="s">
        <v>791</v>
      </c>
      <c r="W128" s="296" t="s">
        <v>792</v>
      </c>
      <c r="X128" s="619">
        <f>VLOOKUP(V125,[14]Progress!$B$9:$D$310,3,FALSE)</f>
        <v>399</v>
      </c>
      <c r="Y128" s="620"/>
      <c r="Z128" s="296" t="s">
        <v>791</v>
      </c>
      <c r="AA128" s="296" t="s">
        <v>792</v>
      </c>
      <c r="AB128" s="613">
        <f>VLOOKUP(Z125,[14]Progress!$B$9:$D$310,3,FALSE)</f>
        <v>358</v>
      </c>
      <c r="AC128" s="614"/>
      <c r="AD128" s="296" t="s">
        <v>791</v>
      </c>
      <c r="AE128" s="296" t="s">
        <v>792</v>
      </c>
      <c r="AF128" s="609">
        <f>VLOOKUP(AD125,[14]Progress!$B$9:$D$310,3,FALSE)</f>
        <v>256.85700000000003</v>
      </c>
      <c r="AG128" s="610"/>
      <c r="AH128" s="296" t="s">
        <v>791</v>
      </c>
      <c r="AI128" s="296" t="s">
        <v>792</v>
      </c>
      <c r="AJ128" s="613">
        <f>VLOOKUP(AH125,[14]Progress!$B$9:$D$310,3,FALSE)</f>
        <v>388</v>
      </c>
      <c r="AK128" s="614"/>
      <c r="AL128" s="296" t="s">
        <v>791</v>
      </c>
      <c r="AM128" s="296" t="s">
        <v>792</v>
      </c>
      <c r="AN128" s="613">
        <f>VLOOKUP(AL125,[14]Progress!$B$9:$D$310,3,FALSE)</f>
        <v>391</v>
      </c>
      <c r="AO128" s="614"/>
      <c r="AP128" s="296" t="s">
        <v>791</v>
      </c>
      <c r="AQ128" s="296" t="s">
        <v>792</v>
      </c>
      <c r="AR128" s="613">
        <f>VLOOKUP(AP125,[14]Progress!$B$9:$D$310,3,FALSE)</f>
        <v>394</v>
      </c>
      <c r="AS128" s="600"/>
      <c r="AT128" s="283"/>
      <c r="AV128" s="600">
        <f>D128+H128+L128+P128+T128+X128+AB128+AF128+AJ128+AN128+AR128</f>
        <v>4162.857</v>
      </c>
      <c r="AW128" s="600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600"/>
      <c r="AW129" s="600"/>
    </row>
    <row r="130" spans="1:51" ht="10.5" customHeight="1">
      <c r="A130" s="282"/>
      <c r="B130" s="605"/>
      <c r="C130" s="605"/>
      <c r="F130" s="605"/>
      <c r="G130" s="605"/>
      <c r="J130" s="605"/>
      <c r="K130" s="605"/>
      <c r="N130" s="605"/>
      <c r="O130" s="605"/>
      <c r="R130" s="605"/>
      <c r="S130" s="605"/>
      <c r="V130" s="605"/>
      <c r="W130" s="605"/>
      <c r="Z130" s="605"/>
      <c r="AA130" s="605"/>
      <c r="AD130" s="605"/>
      <c r="AE130" s="605"/>
      <c r="AH130" s="605"/>
      <c r="AI130" s="605"/>
      <c r="AL130" s="605"/>
      <c r="AM130" s="605"/>
      <c r="AP130" s="605"/>
      <c r="AQ130" s="605"/>
      <c r="AT130" s="283"/>
      <c r="AV130" s="600"/>
      <c r="AW130" s="600"/>
    </row>
    <row r="131" spans="1:51">
      <c r="A131" s="282"/>
      <c r="B131" s="602" t="str">
        <f>VLOOKUP(+B125,'[14]Twr Schedule'!$B$9:$C$611,2,FALSE)</f>
        <v>DA+3</v>
      </c>
      <c r="C131" s="602"/>
      <c r="F131" s="602" t="str">
        <f>VLOOKUP(+F125,'[14]Twr Schedule'!$B$9:$C$611,2,FALSE)</f>
        <v>DA+0</v>
      </c>
      <c r="G131" s="602"/>
      <c r="J131" s="602" t="str">
        <f>VLOOKUP(+J125,'[14]Twr Schedule'!$B$9:$C$611,2,FALSE)</f>
        <v>DA-3</v>
      </c>
      <c r="K131" s="602"/>
      <c r="N131" s="602" t="str">
        <f>VLOOKUP(+N125,'[14]Twr Schedule'!$B$9:$C$611,2,FALSE)</f>
        <v>DA+0</v>
      </c>
      <c r="O131" s="602"/>
      <c r="R131" s="602" t="str">
        <f>VLOOKUP(+R125,'[14]Twr Schedule'!$B$9:$C$611,2,FALSE)</f>
        <v>DA+3</v>
      </c>
      <c r="S131" s="602"/>
      <c r="V131" s="602" t="str">
        <f>VLOOKUP(+V125,'[14]Twr Schedule'!$B$9:$C$611,2,FALSE)</f>
        <v>DA+3</v>
      </c>
      <c r="W131" s="602"/>
      <c r="Z131" s="602" t="str">
        <f>VLOOKUP(+Z125,'[14]Twr Schedule'!$B$9:$C$611,2,FALSE)</f>
        <v>DA-3</v>
      </c>
      <c r="AA131" s="602"/>
      <c r="AD131" s="602" t="str">
        <f>VLOOKUP(+AD125,'[14]Twr Schedule'!$B$9:$C$611,2,FALSE)</f>
        <v>DA-3</v>
      </c>
      <c r="AE131" s="602"/>
      <c r="AH131" s="602" t="str">
        <f>VLOOKUP(+AH125,'[14]Twr Schedule'!$B$9:$C$611,2,FALSE)</f>
        <v>DB1+0</v>
      </c>
      <c r="AI131" s="602"/>
      <c r="AL131" s="602" t="str">
        <f>VLOOKUP(+AL125,'[14]Twr Schedule'!$B$9:$C$611,2,FALSE)</f>
        <v>DA-3</v>
      </c>
      <c r="AM131" s="602"/>
      <c r="AP131" s="602" t="str">
        <f>VLOOKUP(+AP125,'[14]Twr Schedule'!$B$9:$C$611,2,FALSE)</f>
        <v>DA+3</v>
      </c>
      <c r="AQ131" s="602"/>
      <c r="AT131" s="283"/>
      <c r="AV131" s="600"/>
      <c r="AW131" s="600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600"/>
      <c r="AW132" s="600"/>
    </row>
    <row r="133" spans="1:51">
      <c r="A133" s="606" t="s">
        <v>830</v>
      </c>
      <c r="B133" s="606"/>
      <c r="C133" s="606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606"/>
      <c r="Y133" s="606"/>
      <c r="Z133" s="606"/>
      <c r="AA133" s="606"/>
      <c r="AB133" s="606"/>
      <c r="AC133" s="606"/>
      <c r="AD133" s="606"/>
      <c r="AE133" s="606"/>
      <c r="AF133" s="606"/>
      <c r="AG133" s="606"/>
      <c r="AH133" s="606"/>
      <c r="AI133" s="606"/>
      <c r="AJ133" s="606"/>
      <c r="AK133" s="606"/>
      <c r="AL133" s="606"/>
      <c r="AM133" s="606"/>
      <c r="AN133" s="606"/>
      <c r="AO133" s="606"/>
      <c r="AP133" s="606"/>
      <c r="AQ133" s="317" t="s">
        <v>832</v>
      </c>
      <c r="AR133" s="317"/>
      <c r="AT133" s="283"/>
      <c r="AV133" s="600"/>
      <c r="AW133" s="600"/>
    </row>
    <row r="134" spans="1:51">
      <c r="A134" s="282"/>
      <c r="AT134" s="283"/>
      <c r="AV134" s="600"/>
      <c r="AW134" s="600"/>
    </row>
    <row r="135" spans="1:51">
      <c r="A135" s="282"/>
      <c r="B135" s="600" t="s">
        <v>637</v>
      </c>
      <c r="C135" s="600"/>
      <c r="F135" s="600" t="s">
        <v>623</v>
      </c>
      <c r="G135" s="600"/>
      <c r="J135" s="600" t="s">
        <v>421</v>
      </c>
      <c r="K135" s="600"/>
      <c r="N135" s="600" t="s">
        <v>435</v>
      </c>
      <c r="O135" s="600"/>
      <c r="R135" s="600" t="s">
        <v>613</v>
      </c>
      <c r="S135" s="600"/>
      <c r="V135" s="600" t="s">
        <v>617</v>
      </c>
      <c r="W135" s="600"/>
      <c r="Z135" s="600" t="s">
        <v>598</v>
      </c>
      <c r="AA135" s="600"/>
      <c r="AD135" s="600" t="s">
        <v>607</v>
      </c>
      <c r="AE135" s="600"/>
      <c r="AH135" s="600" t="s">
        <v>605</v>
      </c>
      <c r="AI135" s="600"/>
      <c r="AL135" s="600" t="s">
        <v>643</v>
      </c>
      <c r="AM135" s="600"/>
      <c r="AP135" s="600" t="s">
        <v>662</v>
      </c>
      <c r="AQ135" s="600"/>
      <c r="AT135" s="283"/>
      <c r="AV135" s="600"/>
      <c r="AW135" s="600"/>
    </row>
    <row r="136" spans="1:51">
      <c r="A136" s="282"/>
      <c r="AT136" s="283"/>
      <c r="AV136" s="600"/>
      <c r="AW136" s="600"/>
    </row>
    <row r="137" spans="1:51">
      <c r="A137" s="282"/>
      <c r="AT137" s="283"/>
      <c r="AV137" s="600"/>
      <c r="AW137" s="600"/>
    </row>
    <row r="138" spans="1:51">
      <c r="A138" s="282"/>
      <c r="B138" s="296" t="s">
        <v>791</v>
      </c>
      <c r="C138" s="296" t="s">
        <v>792</v>
      </c>
      <c r="D138" s="633">
        <f>VLOOKUP(B135,[14]Progress!$B$9:$D$310,3,FALSE)</f>
        <v>432.89800000000002</v>
      </c>
      <c r="E138" s="634"/>
      <c r="F138" s="296" t="s">
        <v>791</v>
      </c>
      <c r="G138" s="296" t="s">
        <v>792</v>
      </c>
      <c r="H138" s="607">
        <f>VLOOKUP(F135,[14]Progress!$B$9:$D$310,3,FALSE)</f>
        <v>190.94800000000001</v>
      </c>
      <c r="I138" s="608"/>
      <c r="J138" s="296" t="s">
        <v>791</v>
      </c>
      <c r="K138" s="296" t="s">
        <v>792</v>
      </c>
      <c r="L138" s="607">
        <f>VLOOKUP(J135,[14]Progress!$B$9:$D$310,3,FALSE)</f>
        <v>267.423</v>
      </c>
      <c r="M138" s="608"/>
      <c r="N138" s="296" t="s">
        <v>791</v>
      </c>
      <c r="O138" s="296" t="s">
        <v>792</v>
      </c>
      <c r="P138" s="613">
        <f>VLOOKUP(N135,[14]Progress!$B$9:$D$310,3,FALSE)</f>
        <v>371</v>
      </c>
      <c r="Q138" s="614"/>
      <c r="R138" s="296" t="s">
        <v>791</v>
      </c>
      <c r="S138" s="296" t="s">
        <v>792</v>
      </c>
      <c r="T138" s="609">
        <f>VLOOKUP(R135,[14]Progress!$B$9:$D$310,3,FALSE)</f>
        <v>438.91199999999998</v>
      </c>
      <c r="U138" s="610"/>
      <c r="V138" s="296" t="s">
        <v>791</v>
      </c>
      <c r="W138" s="296" t="s">
        <v>792</v>
      </c>
      <c r="X138" s="609">
        <f>VLOOKUP(V135,[14]Progress!$B$9:$D$310,3,FALSE)</f>
        <v>340.13200000000001</v>
      </c>
      <c r="Y138" s="610"/>
      <c r="Z138" s="296" t="s">
        <v>791</v>
      </c>
      <c r="AA138" s="296" t="s">
        <v>792</v>
      </c>
      <c r="AB138" s="613">
        <f>VLOOKUP(Z135,[14]Progress!$B$9:$D$310,3,FALSE)</f>
        <v>283.99599999999998</v>
      </c>
      <c r="AC138" s="614"/>
      <c r="AD138" s="296" t="s">
        <v>791</v>
      </c>
      <c r="AE138" s="296" t="s">
        <v>792</v>
      </c>
      <c r="AF138" s="613">
        <f>VLOOKUP(AD135,[14]Progress!$B$9:$D$310,3,FALSE)</f>
        <v>323</v>
      </c>
      <c r="AG138" s="614"/>
      <c r="AH138" s="296" t="s">
        <v>791</v>
      </c>
      <c r="AI138" s="296" t="s">
        <v>792</v>
      </c>
      <c r="AJ138" s="609">
        <f>VLOOKUP(AH135,[14]Progress!$B$9:$D$310,3,FALSE)</f>
        <v>470.22699999999998</v>
      </c>
      <c r="AK138" s="610"/>
      <c r="AL138" s="296" t="s">
        <v>791</v>
      </c>
      <c r="AM138" s="296" t="s">
        <v>792</v>
      </c>
      <c r="AN138" s="607">
        <f>VLOOKUP(AL135,[14]Progress!$B$9:$D$310,3,FALSE)</f>
        <v>231.53299999999999</v>
      </c>
      <c r="AO138" s="608"/>
      <c r="AP138" s="296" t="s">
        <v>791</v>
      </c>
      <c r="AQ138" s="296" t="s">
        <v>792</v>
      </c>
      <c r="AR138" s="613">
        <f>VLOOKUP(AP135,[14]Progress!$B$9:$D$310,3,FALSE)</f>
        <v>386</v>
      </c>
      <c r="AS138" s="600"/>
      <c r="AT138" s="283"/>
      <c r="AV138" s="600">
        <f>D138+H138+L138+P138+T138+X138+AB138+AF138+AJ138+AN138+AR138</f>
        <v>3736.069</v>
      </c>
      <c r="AW138" s="600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600"/>
      <c r="AW139" s="600"/>
    </row>
    <row r="140" spans="1:51" ht="10.5" customHeight="1">
      <c r="A140" s="282"/>
      <c r="B140" s="605"/>
      <c r="C140" s="605"/>
      <c r="F140" s="605"/>
      <c r="G140" s="605"/>
      <c r="J140" s="605"/>
      <c r="K140" s="605"/>
      <c r="N140" s="605"/>
      <c r="O140" s="605"/>
      <c r="R140" s="605"/>
      <c r="S140" s="605"/>
      <c r="V140" s="605"/>
      <c r="W140" s="605"/>
      <c r="Z140" s="605"/>
      <c r="AA140" s="605"/>
      <c r="AD140" s="605"/>
      <c r="AE140" s="605"/>
      <c r="AH140" s="605"/>
      <c r="AI140" s="605"/>
      <c r="AL140" s="605"/>
      <c r="AM140" s="605"/>
      <c r="AP140" s="605"/>
      <c r="AQ140" s="605"/>
      <c r="AT140" s="283"/>
      <c r="AV140" s="600"/>
      <c r="AW140" s="600"/>
    </row>
    <row r="141" spans="1:51">
      <c r="A141" s="282"/>
      <c r="B141" s="602" t="str">
        <f>VLOOKUP(+B135,'[14]Twr Schedule'!$B$9:$C$611,2,FALSE)</f>
        <v>DA+3</v>
      </c>
      <c r="C141" s="602"/>
      <c r="F141" s="602" t="str">
        <f>VLOOKUP(+F135,'[14]Twr Schedule'!$B$9:$C$611,2,FALSE)</f>
        <v>DB2+3</v>
      </c>
      <c r="G141" s="602"/>
      <c r="J141" s="602" t="str">
        <f>VLOOKUP(+J135,'[14]Twr Schedule'!$B$9:$C$611,2,FALSE)</f>
        <v>DB1+25</v>
      </c>
      <c r="K141" s="602"/>
      <c r="N141" s="602" t="str">
        <f>VLOOKUP(+N135,'[14]Twr Schedule'!$B$9:$C$611,2,FALSE)</f>
        <v>DC2+18</v>
      </c>
      <c r="O141" s="602"/>
      <c r="R141" s="602" t="str">
        <f>VLOOKUP(+R135,'[14]Twr Schedule'!$B$9:$C$611,2,FALSE)</f>
        <v>DA+9</v>
      </c>
      <c r="S141" s="602"/>
      <c r="V141" s="602" t="str">
        <f>VLOOKUP(+V135,'[14]Twr Schedule'!$B$9:$C$611,2,FALSE)</f>
        <v>DA+0</v>
      </c>
      <c r="W141" s="602"/>
      <c r="Z141" s="602" t="str">
        <f>VLOOKUP(+Z135,'[14]Twr Schedule'!$B$9:$C$611,2,FALSE)</f>
        <v>DA-3</v>
      </c>
      <c r="AA141" s="602"/>
      <c r="AD141" s="602" t="str">
        <f>VLOOKUP(+AD135,'[14]Twr Schedule'!$B$9:$C$611,2,FALSE)</f>
        <v>DA-3</v>
      </c>
      <c r="AE141" s="602"/>
      <c r="AH141" s="602" t="str">
        <f>VLOOKUP(+AH135,'[14]Twr Schedule'!$B$9:$C$611,2,FALSE)</f>
        <v>DA-3</v>
      </c>
      <c r="AI141" s="602"/>
      <c r="AL141" s="612" t="str">
        <f>VLOOKUP(+AL135,'[14]Twr Schedule'!$B$9:$C$611,2,FALSE)</f>
        <v>DD60+25</v>
      </c>
      <c r="AM141" s="612"/>
      <c r="AN141" s="315"/>
      <c r="AO141" s="315"/>
      <c r="AP141" s="612" t="str">
        <f>VLOOKUP(+AP135,'[14]Twr Schedule'!$B$9:$C$611,2,FALSE)</f>
        <v>DD60+25</v>
      </c>
      <c r="AQ141" s="612"/>
      <c r="AT141" s="283"/>
      <c r="AV141" s="600"/>
      <c r="AW141" s="600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600"/>
      <c r="AW142" s="600"/>
    </row>
    <row r="143" spans="1:51">
      <c r="A143" s="318" t="s">
        <v>836</v>
      </c>
      <c r="H143" t="s">
        <v>837</v>
      </c>
      <c r="AT143" s="283"/>
      <c r="AV143" s="600"/>
      <c r="AW143" s="600"/>
    </row>
    <row r="144" spans="1:51">
      <c r="A144" s="606" t="s">
        <v>832</v>
      </c>
      <c r="B144" s="606"/>
      <c r="C144" s="606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  <c r="AG144" s="606"/>
      <c r="AH144" s="606"/>
      <c r="AI144" s="606" t="s">
        <v>838</v>
      </c>
      <c r="AJ144" s="606"/>
      <c r="AK144" s="606"/>
      <c r="AL144" s="606"/>
      <c r="AM144" s="606"/>
      <c r="AN144" s="606"/>
      <c r="AO144" s="606"/>
      <c r="AP144" s="606"/>
      <c r="AQ144" s="606"/>
      <c r="AR144" s="606"/>
      <c r="AT144" s="283"/>
      <c r="AV144" s="600"/>
      <c r="AW144" s="600"/>
    </row>
    <row r="145" spans="1:51">
      <c r="A145" s="282"/>
      <c r="B145" s="600" t="str">
        <f>'[14]Twr Schedule'!B273</f>
        <v>25/1</v>
      </c>
      <c r="C145" s="600"/>
      <c r="F145" s="600" t="str">
        <f>'[14]Twr Schedule'!B275</f>
        <v>25/2</v>
      </c>
      <c r="G145" s="600"/>
      <c r="J145" s="600" t="str">
        <f>'[14]Twr Schedule'!B277</f>
        <v>25/3</v>
      </c>
      <c r="K145" s="600"/>
      <c r="N145" s="600" t="str">
        <f>'[14]Twr Schedule'!B279</f>
        <v>26/0</v>
      </c>
      <c r="O145" s="600"/>
      <c r="R145" s="600" t="str">
        <f>'[14]Twr Schedule'!B281</f>
        <v>27/0</v>
      </c>
      <c r="S145" s="600"/>
      <c r="V145" s="600" t="str">
        <f>'[14]Twr Schedule'!B283</f>
        <v>28/0</v>
      </c>
      <c r="W145" s="600"/>
      <c r="Z145" s="600" t="str">
        <f>'[14]Twr Schedule'!B285</f>
        <v>28/1</v>
      </c>
      <c r="AA145" s="600"/>
      <c r="AD145" s="631" t="str">
        <f>'[14]Twr Schedule'!B287</f>
        <v>29/0</v>
      </c>
      <c r="AE145" s="600"/>
      <c r="AH145" s="600" t="str">
        <f>'[14]Twr Schedule'!B289</f>
        <v>30/0</v>
      </c>
      <c r="AI145" s="600"/>
      <c r="AL145" s="600" t="str">
        <f>'[14]Twr Schedule'!B291</f>
        <v>30/1</v>
      </c>
      <c r="AM145" s="600"/>
      <c r="AP145" s="600" t="s">
        <v>595</v>
      </c>
      <c r="AQ145" s="600"/>
      <c r="AT145" s="283"/>
      <c r="AV145" s="600"/>
      <c r="AW145" s="600"/>
    </row>
    <row r="146" spans="1:51">
      <c r="A146" s="282"/>
      <c r="AT146" s="283"/>
      <c r="AV146" s="600"/>
      <c r="AW146" s="600"/>
    </row>
    <row r="147" spans="1:51">
      <c r="A147" s="282"/>
      <c r="AT147" s="283"/>
      <c r="AV147" s="600"/>
      <c r="AW147" s="600"/>
    </row>
    <row r="148" spans="1:51">
      <c r="A148" s="282"/>
      <c r="B148" s="296" t="s">
        <v>791</v>
      </c>
      <c r="C148" s="296" t="s">
        <v>792</v>
      </c>
      <c r="D148" s="613">
        <f>VLOOKUP(B145,[14]Progress!$B$9:$D$310,3,FALSE)</f>
        <v>446</v>
      </c>
      <c r="E148" s="614"/>
      <c r="F148" s="296" t="s">
        <v>791</v>
      </c>
      <c r="G148" s="296" t="s">
        <v>792</v>
      </c>
      <c r="H148" s="613">
        <f>VLOOKUP(F145,[14]Progress!$B$9:$D$310,3,FALSE)</f>
        <v>368</v>
      </c>
      <c r="I148" s="614"/>
      <c r="J148" s="296" t="s">
        <v>791</v>
      </c>
      <c r="K148" s="296" t="s">
        <v>792</v>
      </c>
      <c r="L148" s="609">
        <f>VLOOKUP(J145,[14]Progress!$B$9:$D$310,3,FALSE)</f>
        <v>466.43099999999998</v>
      </c>
      <c r="M148" s="610"/>
      <c r="N148" s="314" t="s">
        <v>791</v>
      </c>
      <c r="O148" s="314" t="s">
        <v>792</v>
      </c>
      <c r="P148" s="609">
        <f>VLOOKUP(N145,[14]Progress!$B$9:$D$310,3,FALSE)</f>
        <v>440.83600000000001</v>
      </c>
      <c r="Q148" s="610"/>
      <c r="R148" s="314" t="s">
        <v>791</v>
      </c>
      <c r="S148" s="314" t="s">
        <v>792</v>
      </c>
      <c r="T148" s="607">
        <f>VLOOKUP(R145,[14]Progress!$B$9:$D$310,3,FALSE)</f>
        <v>299.47300000000001</v>
      </c>
      <c r="U148" s="608"/>
      <c r="V148" s="314" t="s">
        <v>791</v>
      </c>
      <c r="W148" s="314" t="s">
        <v>792</v>
      </c>
      <c r="X148" s="609">
        <f>VLOOKUP(V145,[14]Progress!$B$9:$D$310,3,FALSE)</f>
        <v>233</v>
      </c>
      <c r="Y148" s="610"/>
      <c r="Z148" s="314" t="s">
        <v>791</v>
      </c>
      <c r="AA148" s="314" t="s">
        <v>792</v>
      </c>
      <c r="AB148" s="609">
        <f>VLOOKUP(Z145,[14]Progress!$B$9:$D$310,3,FALSE)</f>
        <v>454.66899999999998</v>
      </c>
      <c r="AC148" s="610"/>
      <c r="AD148" s="314" t="s">
        <v>791</v>
      </c>
      <c r="AE148" s="314" t="s">
        <v>792</v>
      </c>
      <c r="AF148" s="609">
        <f>VLOOKUP(AD145,[14]Progress!$B$9:$D$310,3,FALSE)</f>
        <v>270.08</v>
      </c>
      <c r="AG148" s="610"/>
      <c r="AH148" s="314" t="s">
        <v>791</v>
      </c>
      <c r="AI148" s="314" t="s">
        <v>792</v>
      </c>
      <c r="AJ148" s="609">
        <f>VLOOKUP(AH145,[14]Progress!$B$9:$D$310,3,FALSE)</f>
        <v>435</v>
      </c>
      <c r="AK148" s="610"/>
      <c r="AL148" s="296" t="s">
        <v>791</v>
      </c>
      <c r="AM148" s="296" t="s">
        <v>792</v>
      </c>
      <c r="AN148" s="613">
        <f>VLOOKUP(AL145,[14]Progress!$B$9:$D$310,3,FALSE)</f>
        <v>347</v>
      </c>
      <c r="AO148" s="614"/>
      <c r="AP148" s="296" t="s">
        <v>791</v>
      </c>
      <c r="AQ148" s="296" t="s">
        <v>792</v>
      </c>
      <c r="AR148" s="613">
        <f>VLOOKUP(AP145,[14]Progress!$B$9:$D$310,3,FALSE)</f>
        <v>396</v>
      </c>
      <c r="AS148" s="600"/>
      <c r="AT148" s="283"/>
      <c r="AV148" s="600">
        <f>D148+H148+L148+P148+T148+X148+AB148+AF148+AJ148+AN148+AR148</f>
        <v>4156.4889999999996</v>
      </c>
      <c r="AW148" s="600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600"/>
      <c r="AW149" s="600"/>
    </row>
    <row r="150" spans="1:51" ht="10.5" customHeight="1">
      <c r="A150" s="282"/>
      <c r="B150" s="605"/>
      <c r="C150" s="605"/>
      <c r="F150" s="605"/>
      <c r="G150" s="605"/>
      <c r="J150" s="605"/>
      <c r="K150" s="605"/>
      <c r="N150" s="605"/>
      <c r="O150" s="605"/>
      <c r="R150" s="605"/>
      <c r="S150" s="605"/>
      <c r="V150" s="605"/>
      <c r="W150" s="605"/>
      <c r="Z150" s="605"/>
      <c r="AA150" s="605"/>
      <c r="AD150" s="605"/>
      <c r="AE150" s="605"/>
      <c r="AH150" s="605"/>
      <c r="AI150" s="605"/>
      <c r="AL150" s="605"/>
      <c r="AM150" s="605"/>
      <c r="AP150" s="605"/>
      <c r="AQ150" s="605"/>
      <c r="AT150" s="283"/>
      <c r="AV150" s="600"/>
      <c r="AW150" s="600"/>
    </row>
    <row r="151" spans="1:51">
      <c r="A151" s="282"/>
      <c r="B151" s="602" t="str">
        <f>VLOOKUP(+B145,'[14]Twr Schedule'!$B$9:$C$611,2,FALSE)</f>
        <v>DA+9</v>
      </c>
      <c r="C151" s="602"/>
      <c r="F151" s="602" t="str">
        <f>VLOOKUP(+F145,'[14]Twr Schedule'!$B$9:$C$611,2,FALSE)</f>
        <v>DA+0</v>
      </c>
      <c r="G151" s="602"/>
      <c r="J151" s="602" t="str">
        <f>VLOOKUP(+J145,'[14]Twr Schedule'!$B$9:$C$611,2,FALSE)</f>
        <v>DA+3</v>
      </c>
      <c r="K151" s="602"/>
      <c r="N151" s="602" t="str">
        <f>VLOOKUP(+N145,'[14]Twr Schedule'!$B$9:$C$611,2,FALSE)</f>
        <v>DB2+9</v>
      </c>
      <c r="O151" s="602"/>
      <c r="R151" s="602" t="str">
        <f>VLOOKUP(+R145,'[14]Twr Schedule'!$B$9:$C$611,2,FALSE)</f>
        <v>DD60+3</v>
      </c>
      <c r="S151" s="602"/>
      <c r="V151" s="602" t="str">
        <f>VLOOKUP(+V145,'[14]Twr Schedule'!$B$9:$C$611,2,FALSE)</f>
        <v>DD60+0</v>
      </c>
      <c r="W151" s="602"/>
      <c r="Z151" s="602" t="str">
        <f>VLOOKUP(+Z145,'[14]Twr Schedule'!$B$9:$C$611,2,FALSE)</f>
        <v>DA+3</v>
      </c>
      <c r="AA151" s="602"/>
      <c r="AD151" s="612" t="str">
        <f>VLOOKUP(+AD145,'[14]Twr Schedule'!$B$9:$C$611,2,FALSE)</f>
        <v>DD60+25</v>
      </c>
      <c r="AE151" s="612"/>
      <c r="AF151" s="315"/>
      <c r="AG151" s="315"/>
      <c r="AH151" s="612" t="str">
        <f>VLOOKUP(+AH145,'[14]Twr Schedule'!$B$9:$C$611,2,FALSE)</f>
        <v>DD60+18</v>
      </c>
      <c r="AI151" s="612"/>
      <c r="AL151" s="602" t="str">
        <f>VLOOKUP(+AL145,'[14]Twr Schedule'!$B$9:$C$611,2,FALSE)</f>
        <v>DA-3</v>
      </c>
      <c r="AM151" s="602"/>
      <c r="AP151" s="602" t="str">
        <f>VLOOKUP(+AP145,'[14]Twr Schedule'!$B$9:$C$611,2,FALSE)</f>
        <v>DA-3</v>
      </c>
      <c r="AQ151" s="602"/>
      <c r="AT151" s="283"/>
      <c r="AV151" s="600"/>
      <c r="AW151" s="600"/>
    </row>
    <row r="152" spans="1:51">
      <c r="A152" s="282"/>
      <c r="U152" s="2" t="s">
        <v>839</v>
      </c>
      <c r="AF152" s="2" t="s">
        <v>840</v>
      </c>
      <c r="AT152" s="283"/>
      <c r="AV152" s="600"/>
      <c r="AW152" s="600"/>
    </row>
    <row r="153" spans="1:51">
      <c r="A153" s="586" t="s">
        <v>838</v>
      </c>
      <c r="B153" s="587"/>
      <c r="C153" s="587"/>
      <c r="D153" s="587"/>
      <c r="E153" s="587"/>
      <c r="F153" s="587"/>
      <c r="G153" s="587"/>
      <c r="H153" s="587"/>
      <c r="I153" s="587"/>
      <c r="J153" s="587"/>
      <c r="K153" s="587"/>
      <c r="L153" s="587"/>
      <c r="M153" s="587"/>
      <c r="N153" s="587"/>
      <c r="O153" s="587"/>
      <c r="P153" s="587"/>
      <c r="Q153" s="587"/>
      <c r="R153" s="588"/>
      <c r="S153" s="632" t="s">
        <v>841</v>
      </c>
      <c r="T153" s="632"/>
      <c r="U153" s="632"/>
      <c r="V153" s="632"/>
      <c r="W153" s="632"/>
      <c r="X153" s="632"/>
      <c r="Y153" s="632"/>
      <c r="Z153" s="632"/>
      <c r="AA153" s="632"/>
      <c r="AB153" s="632"/>
      <c r="AC153" s="632"/>
      <c r="AD153" s="632"/>
      <c r="AE153" s="632"/>
      <c r="AF153" s="632"/>
      <c r="AG153" s="632"/>
      <c r="AH153" s="632"/>
      <c r="AI153" s="632"/>
      <c r="AJ153" s="632"/>
      <c r="AK153" s="632"/>
      <c r="AL153" s="632"/>
      <c r="AM153" s="632"/>
      <c r="AN153" s="632"/>
      <c r="AO153" s="632"/>
      <c r="AP153" s="632"/>
      <c r="AQ153" s="632"/>
      <c r="AR153" s="632"/>
      <c r="AT153" s="283"/>
      <c r="AV153" s="600"/>
      <c r="AW153" s="600"/>
    </row>
    <row r="154" spans="1:51">
      <c r="A154" s="282"/>
      <c r="R154" s="623"/>
      <c r="S154" s="623"/>
      <c r="T154" s="623"/>
      <c r="U154" s="623"/>
      <c r="V154" s="623"/>
      <c r="W154" s="623"/>
      <c r="X154" s="623"/>
      <c r="Y154" s="623"/>
      <c r="Z154" s="623"/>
      <c r="AA154" s="623"/>
      <c r="AB154" s="623"/>
      <c r="AC154" s="623"/>
      <c r="AD154" s="623"/>
      <c r="AE154" s="623"/>
      <c r="AF154" s="623"/>
      <c r="AG154" s="623"/>
      <c r="AH154" s="623"/>
      <c r="AI154" s="623"/>
      <c r="AJ154" s="623"/>
      <c r="AK154" s="623"/>
      <c r="AL154" s="623"/>
      <c r="AM154" s="623"/>
      <c r="AN154" s="623"/>
      <c r="AO154" s="623"/>
      <c r="AP154" s="623"/>
      <c r="AQ154" s="623"/>
      <c r="AR154" s="623"/>
      <c r="AS154" s="623"/>
      <c r="AT154" s="283"/>
      <c r="AV154" s="600"/>
      <c r="AW154" s="600"/>
    </row>
    <row r="155" spans="1:51">
      <c r="A155" s="282"/>
      <c r="B155" s="631" t="s">
        <v>581</v>
      </c>
      <c r="C155" s="600"/>
      <c r="F155" s="630" t="s">
        <v>530</v>
      </c>
      <c r="G155" s="600"/>
      <c r="J155" s="631" t="str">
        <f>'[14]Twr Schedule'!B299</f>
        <v>30/5</v>
      </c>
      <c r="K155" s="600"/>
      <c r="N155" s="631" t="str">
        <f>'[14]Twr Schedule'!B301</f>
        <v>30/6</v>
      </c>
      <c r="O155" s="600"/>
      <c r="R155" s="630" t="str">
        <f>'[14]Twr Schedule'!B303</f>
        <v>31/0</v>
      </c>
      <c r="S155" s="600"/>
      <c r="V155" s="630" t="str">
        <f>'[14]Twr Schedule'!B305</f>
        <v>31/1</v>
      </c>
      <c r="W155" s="600"/>
      <c r="Z155" s="630" t="str">
        <f>'[14]Twr Schedule'!B307</f>
        <v>31/2</v>
      </c>
      <c r="AA155" s="600"/>
      <c r="AD155" s="630" t="str">
        <f>'[14]Twr Schedule'!B309</f>
        <v>31/3</v>
      </c>
      <c r="AE155" s="600"/>
      <c r="AH155" s="630" t="str">
        <f>'[14]Twr Schedule'!B311</f>
        <v>31/4</v>
      </c>
      <c r="AI155" s="600"/>
      <c r="AL155" s="630" t="str">
        <f>'[14]Twr Schedule'!B313</f>
        <v>31/5</v>
      </c>
      <c r="AM155" s="600"/>
      <c r="AP155" s="630" t="str">
        <f>'[14]Twr Schedule'!B315</f>
        <v>31/6</v>
      </c>
      <c r="AQ155" s="600"/>
      <c r="AT155" s="283"/>
      <c r="AV155" s="600"/>
      <c r="AW155" s="600"/>
    </row>
    <row r="156" spans="1:51">
      <c r="A156" s="282"/>
      <c r="AT156" s="283"/>
      <c r="AV156" s="600"/>
      <c r="AW156" s="600"/>
    </row>
    <row r="157" spans="1:51">
      <c r="A157" s="282"/>
      <c r="AT157" s="283"/>
      <c r="AV157" s="600"/>
      <c r="AW157" s="600"/>
    </row>
    <row r="158" spans="1:51">
      <c r="A158" s="282"/>
      <c r="B158" s="296" t="s">
        <v>791</v>
      </c>
      <c r="C158" s="296" t="s">
        <v>792</v>
      </c>
      <c r="D158" s="613">
        <f>VLOOKUP(B155,[14]Progress!$B$9:$D$310,3,FALSE)</f>
        <v>410</v>
      </c>
      <c r="E158" s="614"/>
      <c r="F158" s="319" t="s">
        <v>791</v>
      </c>
      <c r="G158" s="296" t="s">
        <v>792</v>
      </c>
      <c r="H158" s="613">
        <f>VLOOKUP(F155,[14]Progress!$B$9:$D$310,3,FALSE)</f>
        <v>424</v>
      </c>
      <c r="I158" s="614"/>
      <c r="J158" s="296" t="s">
        <v>791</v>
      </c>
      <c r="K158" s="296" t="s">
        <v>792</v>
      </c>
      <c r="L158" s="613">
        <f>VLOOKUP(J155,[14]Progress!$B$9:$D$310,3,FALSE)</f>
        <v>373</v>
      </c>
      <c r="M158" s="614"/>
      <c r="N158" s="296" t="s">
        <v>791</v>
      </c>
      <c r="O158" s="296" t="s">
        <v>792</v>
      </c>
      <c r="P158" s="609">
        <f>VLOOKUP(N155,[14]Progress!$B$9:$D$310,3,FALSE)</f>
        <v>365.46100000000001</v>
      </c>
      <c r="Q158" s="610"/>
      <c r="R158" s="314" t="s">
        <v>791</v>
      </c>
      <c r="S158" s="314" t="s">
        <v>792</v>
      </c>
      <c r="T158" s="609">
        <f>VLOOKUP(R155,[14]Progress!$B$9:$D$310,3,FALSE)</f>
        <v>376</v>
      </c>
      <c r="U158" s="610"/>
      <c r="V158" s="314" t="s">
        <v>791</v>
      </c>
      <c r="W158" s="314" t="s">
        <v>792</v>
      </c>
      <c r="X158" s="609">
        <f>VLOOKUP(V155,[14]Progress!$B$9:$D$310,3,FALSE)</f>
        <v>403</v>
      </c>
      <c r="Y158" s="610"/>
      <c r="Z158" s="314" t="s">
        <v>791</v>
      </c>
      <c r="AA158" s="314" t="s">
        <v>792</v>
      </c>
      <c r="AB158" s="609">
        <f>VLOOKUP(Z155,[14]Progress!$B$9:$D$310,3,FALSE)</f>
        <v>399</v>
      </c>
      <c r="AC158" s="610"/>
      <c r="AD158" s="314" t="s">
        <v>791</v>
      </c>
      <c r="AE158" s="314" t="s">
        <v>792</v>
      </c>
      <c r="AF158" s="609">
        <f>VLOOKUP(AD155,[14]Progress!$B$9:$D$310,3,FALSE)</f>
        <v>404</v>
      </c>
      <c r="AG158" s="610"/>
      <c r="AH158" s="314" t="s">
        <v>791</v>
      </c>
      <c r="AI158" s="314" t="s">
        <v>792</v>
      </c>
      <c r="AJ158" s="609">
        <f>VLOOKUP(AH155,[14]Progress!$B$9:$D$310,3,FALSE)</f>
        <v>358</v>
      </c>
      <c r="AK158" s="610"/>
      <c r="AL158" s="314" t="s">
        <v>791</v>
      </c>
      <c r="AM158" s="314" t="s">
        <v>792</v>
      </c>
      <c r="AN158" s="609">
        <f>VLOOKUP(AL155,[14]Progress!$B$9:$D$310,3,FALSE)</f>
        <v>363</v>
      </c>
      <c r="AO158" s="610"/>
      <c r="AP158" s="314" t="s">
        <v>791</v>
      </c>
      <c r="AQ158" s="314" t="s">
        <v>792</v>
      </c>
      <c r="AR158" s="609">
        <f>VLOOKUP(AP155,[14]Progress!$B$9:$D$310,3,FALSE)</f>
        <v>407</v>
      </c>
      <c r="AS158" s="611"/>
      <c r="AT158" s="283"/>
      <c r="AV158" s="600">
        <f>D158+H158+L158+P158+T158+X158+AB158+AF158+AJ158+AN158+AR158</f>
        <v>4282.4610000000002</v>
      </c>
      <c r="AW158" s="600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600"/>
      <c r="AW159" s="600"/>
    </row>
    <row r="160" spans="1:51" ht="10.5" customHeight="1">
      <c r="A160" s="282"/>
      <c r="B160" s="605"/>
      <c r="C160" s="605"/>
      <c r="F160" s="605"/>
      <c r="G160" s="605"/>
      <c r="J160" s="605"/>
      <c r="K160" s="605"/>
      <c r="N160" s="605"/>
      <c r="O160" s="605"/>
      <c r="R160" s="605"/>
      <c r="S160" s="605"/>
      <c r="V160" s="605"/>
      <c r="W160" s="605"/>
      <c r="Z160" s="605"/>
      <c r="AA160" s="605"/>
      <c r="AD160" s="605"/>
      <c r="AE160" s="605"/>
      <c r="AH160" s="605"/>
      <c r="AI160" s="605"/>
      <c r="AL160" s="605"/>
      <c r="AM160" s="605"/>
      <c r="AP160" s="605"/>
      <c r="AQ160" s="605"/>
      <c r="AT160" s="283"/>
      <c r="AV160" s="600"/>
      <c r="AW160" s="600"/>
    </row>
    <row r="161" spans="1:51">
      <c r="A161" s="282"/>
      <c r="B161" s="602" t="str">
        <f>VLOOKUP(+B155,'[14]Twr Schedule'!$B$9:$C$611,2,FALSE)</f>
        <v>DA+0</v>
      </c>
      <c r="C161" s="602"/>
      <c r="F161" s="602" t="str">
        <f>VLOOKUP(+F155,'[14]Twr Schedule'!$B$9:$C$611,2,FALSE)</f>
        <v>DA+3</v>
      </c>
      <c r="G161" s="602"/>
      <c r="J161" s="602" t="str">
        <f>VLOOKUP(+J155,'[14]Twr Schedule'!$B$9:$C$611,2,FALSE)</f>
        <v>DA+0</v>
      </c>
      <c r="K161" s="602"/>
      <c r="N161" s="602" t="str">
        <f>VLOOKUP(+N155,'[14]Twr Schedule'!$B$9:$C$611,2,FALSE)</f>
        <v>DA-3</v>
      </c>
      <c r="O161" s="602"/>
      <c r="R161" s="602" t="str">
        <f>VLOOKUP(+R155,'[14]Twr Schedule'!$B$9:$C$611,2,FALSE)</f>
        <v>DB2+0</v>
      </c>
      <c r="S161" s="602"/>
      <c r="V161" s="602" t="str">
        <f>VLOOKUP(+V155,'[14]Twr Schedule'!$B$9:$C$611,2,FALSE)</f>
        <v>DA+0</v>
      </c>
      <c r="W161" s="602"/>
      <c r="Z161" s="602" t="str">
        <f>VLOOKUP(+Z155,'[14]Twr Schedule'!$B$9:$C$611,2,FALSE)</f>
        <v>DA+0</v>
      </c>
      <c r="AA161" s="602"/>
      <c r="AD161" s="602" t="str">
        <f>VLOOKUP(+AD155,'[14]Twr Schedule'!$B$9:$C$611,2,FALSE)</f>
        <v>DA+3</v>
      </c>
      <c r="AE161" s="602"/>
      <c r="AH161" s="602" t="str">
        <f>VLOOKUP(+AH155,'[14]Twr Schedule'!$B$9:$C$611,2,FALSE)</f>
        <v>DA-3</v>
      </c>
      <c r="AI161" s="602"/>
      <c r="AL161" s="602" t="str">
        <f>VLOOKUP(+AL155,'[14]Twr Schedule'!$B$9:$C$611,2,FALSE)</f>
        <v>DA-3</v>
      </c>
      <c r="AM161" s="602"/>
      <c r="AP161" s="602" t="str">
        <f>VLOOKUP(+AP155,'[14]Twr Schedule'!$B$9:$C$611,2,FALSE)</f>
        <v>DA+3</v>
      </c>
      <c r="AQ161" s="602"/>
      <c r="AT161" s="283"/>
      <c r="AV161" s="600"/>
      <c r="AW161" s="600"/>
    </row>
    <row r="162" spans="1:51">
      <c r="A162" s="282"/>
      <c r="AT162" s="283"/>
      <c r="AV162" s="600"/>
      <c r="AW162" s="600"/>
    </row>
    <row r="163" spans="1:51">
      <c r="A163" s="624" t="s">
        <v>841</v>
      </c>
      <c r="B163" s="625"/>
      <c r="C163" s="625"/>
      <c r="D163" s="625"/>
      <c r="E163" s="625"/>
      <c r="F163" s="625"/>
      <c r="G163" s="625"/>
      <c r="H163" s="625"/>
      <c r="I163" s="625"/>
      <c r="J163" s="625"/>
      <c r="K163" s="625"/>
      <c r="L163" s="625"/>
      <c r="M163" s="625"/>
      <c r="N163" s="625"/>
      <c r="O163" s="625"/>
      <c r="P163" s="625"/>
      <c r="Q163" s="625"/>
      <c r="R163" s="625"/>
      <c r="S163" s="625"/>
      <c r="T163" s="625"/>
      <c r="U163" s="625"/>
      <c r="V163" s="626"/>
      <c r="W163" s="627" t="s">
        <v>842</v>
      </c>
      <c r="X163" s="628"/>
      <c r="Y163" s="628"/>
      <c r="Z163" s="628"/>
      <c r="AA163" s="628"/>
      <c r="AB163" s="628"/>
      <c r="AC163" s="628"/>
      <c r="AD163" s="628"/>
      <c r="AE163" s="628"/>
      <c r="AF163" s="628"/>
      <c r="AG163" s="628"/>
      <c r="AH163" s="628"/>
      <c r="AI163" s="628"/>
      <c r="AJ163" s="628"/>
      <c r="AK163" s="628"/>
      <c r="AL163" s="628"/>
      <c r="AM163" s="628"/>
      <c r="AN163" s="628"/>
      <c r="AO163" s="628"/>
      <c r="AP163" s="628"/>
      <c r="AQ163" s="628"/>
      <c r="AR163" s="629"/>
      <c r="AT163" s="283"/>
      <c r="AV163" s="600"/>
      <c r="AW163" s="600"/>
    </row>
    <row r="164" spans="1:51">
      <c r="A164" s="282"/>
      <c r="B164" s="623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3"/>
      <c r="P164" s="623"/>
      <c r="Q164" s="623"/>
      <c r="R164" s="623"/>
      <c r="S164" s="623"/>
      <c r="V164" s="623"/>
      <c r="W164" s="623"/>
      <c r="X164" s="623"/>
      <c r="Y164" s="623"/>
      <c r="Z164" s="623"/>
      <c r="AA164" s="623"/>
      <c r="AB164" s="623"/>
      <c r="AC164" s="623"/>
      <c r="AD164" s="623"/>
      <c r="AE164" s="623"/>
      <c r="AF164" s="623"/>
      <c r="AG164" s="623"/>
      <c r="AH164" s="623"/>
      <c r="AI164" s="623"/>
      <c r="AJ164" s="623"/>
      <c r="AK164" s="623"/>
      <c r="AL164" s="623"/>
      <c r="AM164" s="623"/>
      <c r="AN164" s="623"/>
      <c r="AO164" s="623"/>
      <c r="AP164" s="623"/>
      <c r="AQ164" s="623"/>
      <c r="AR164" s="623"/>
      <c r="AS164" s="623"/>
      <c r="AT164" s="283"/>
      <c r="AV164" s="600"/>
      <c r="AW164" s="600"/>
    </row>
    <row r="165" spans="1:51">
      <c r="A165" s="282"/>
      <c r="B165" s="600" t="str">
        <f>'[14]Twr Schedule'!B317</f>
        <v>31/7</v>
      </c>
      <c r="C165" s="600"/>
      <c r="F165" s="600" t="str">
        <f>'[14]Twr Schedule'!B319</f>
        <v>31/8</v>
      </c>
      <c r="G165" s="600"/>
      <c r="J165" s="600" t="str">
        <f>'[14]Twr Schedule'!B321</f>
        <v>31/9</v>
      </c>
      <c r="K165" s="600"/>
      <c r="N165" s="600" t="str">
        <f>'[14]Twr Schedule'!B323</f>
        <v>31/10</v>
      </c>
      <c r="O165" s="600"/>
      <c r="R165" s="600" t="str">
        <f>'[14]Twr Schedule'!B325</f>
        <v>32/0</v>
      </c>
      <c r="S165" s="600"/>
      <c r="V165" s="600" t="str">
        <f>'[14]Twr Schedule'!B327</f>
        <v>33/0</v>
      </c>
      <c r="W165" s="600"/>
      <c r="Z165" s="600" t="str">
        <f>'[14]Twr Schedule'!B329</f>
        <v>33/1</v>
      </c>
      <c r="AA165" s="600"/>
      <c r="AD165" s="600" t="str">
        <f>'[14]Twr Schedule'!B331</f>
        <v>33/2</v>
      </c>
      <c r="AE165" s="600"/>
      <c r="AH165" s="600" t="str">
        <f>'[14]Twr Schedule'!B333</f>
        <v>33/3</v>
      </c>
      <c r="AI165" s="600"/>
      <c r="AL165" s="600" t="str">
        <f>'[14]Twr Schedule'!B335</f>
        <v>33/4</v>
      </c>
      <c r="AM165" s="600"/>
      <c r="AP165" s="600" t="str">
        <f>'[14]Twr Schedule'!B337</f>
        <v>33/5</v>
      </c>
      <c r="AQ165" s="600"/>
      <c r="AT165" s="283"/>
      <c r="AV165" s="600"/>
      <c r="AW165" s="600"/>
    </row>
    <row r="166" spans="1:51">
      <c r="A166" s="282"/>
      <c r="AT166" s="283"/>
      <c r="AV166" s="600"/>
      <c r="AW166" s="600"/>
    </row>
    <row r="167" spans="1:51">
      <c r="A167" s="282"/>
      <c r="AT167" s="283"/>
      <c r="AV167" s="600"/>
      <c r="AW167" s="600"/>
    </row>
    <row r="168" spans="1:51">
      <c r="A168" s="282"/>
      <c r="B168" s="296" t="s">
        <v>791</v>
      </c>
      <c r="C168" s="296" t="s">
        <v>792</v>
      </c>
      <c r="D168" s="613">
        <f>VLOOKUP(B165,[14]Progress!$B$9:$D$310,3,FALSE)</f>
        <v>384</v>
      </c>
      <c r="E168" s="614"/>
      <c r="F168" s="296" t="s">
        <v>791</v>
      </c>
      <c r="G168" s="296" t="s">
        <v>792</v>
      </c>
      <c r="H168" s="613">
        <f>VLOOKUP(F165,[14]Progress!$B$9:$D$310,3,FALSE)</f>
        <v>386</v>
      </c>
      <c r="I168" s="614"/>
      <c r="J168" s="296" t="s">
        <v>791</v>
      </c>
      <c r="K168" s="296" t="s">
        <v>792</v>
      </c>
      <c r="L168" s="613">
        <f>VLOOKUP(J165,[14]Progress!$B$9:$D$310,3,FALSE)</f>
        <v>394</v>
      </c>
      <c r="M168" s="614"/>
      <c r="N168" s="296" t="s">
        <v>791</v>
      </c>
      <c r="O168" s="296" t="s">
        <v>792</v>
      </c>
      <c r="P168" s="609">
        <f>VLOOKUP(N165,[14]Progress!$B$9:$D$310,3,FALSE)</f>
        <v>409.666</v>
      </c>
      <c r="Q168" s="610"/>
      <c r="R168" s="314" t="s">
        <v>791</v>
      </c>
      <c r="S168" s="314" t="s">
        <v>792</v>
      </c>
      <c r="T168" s="609">
        <f>VLOOKUP(R165,[14]Progress!$B$9:$D$310,3,FALSE)</f>
        <v>407.17</v>
      </c>
      <c r="U168" s="610"/>
      <c r="V168" s="314" t="s">
        <v>791</v>
      </c>
      <c r="W168" s="314" t="s">
        <v>792</v>
      </c>
      <c r="X168" s="609">
        <f>VLOOKUP(V165,[14]Progress!$B$9:$D$310,3,FALSE)</f>
        <v>365</v>
      </c>
      <c r="Y168" s="610"/>
      <c r="Z168" s="314" t="s">
        <v>791</v>
      </c>
      <c r="AA168" s="314" t="s">
        <v>792</v>
      </c>
      <c r="AB168" s="609">
        <f>VLOOKUP(Z165,[14]Progress!$B$9:$D$310,3,FALSE)</f>
        <v>365</v>
      </c>
      <c r="AC168" s="610"/>
      <c r="AD168" s="314" t="s">
        <v>791</v>
      </c>
      <c r="AE168" s="314" t="s">
        <v>792</v>
      </c>
      <c r="AF168" s="609">
        <f>VLOOKUP(AD165,[14]Progress!$B$9:$D$310,3,FALSE)</f>
        <v>406</v>
      </c>
      <c r="AG168" s="610"/>
      <c r="AH168" s="314" t="s">
        <v>791</v>
      </c>
      <c r="AI168" s="314" t="s">
        <v>792</v>
      </c>
      <c r="AJ168" s="609">
        <f>VLOOKUP(AH165,[14]Progress!$B$9:$D$310,3,FALSE)</f>
        <v>389</v>
      </c>
      <c r="AK168" s="610"/>
      <c r="AL168" s="314" t="s">
        <v>791</v>
      </c>
      <c r="AM168" s="314" t="s">
        <v>792</v>
      </c>
      <c r="AN168" s="609">
        <f>VLOOKUP(AL165,[14]Progress!$B$9:$D$310,3,FALSE)</f>
        <v>395</v>
      </c>
      <c r="AO168" s="610"/>
      <c r="AP168" s="314" t="s">
        <v>791</v>
      </c>
      <c r="AQ168" s="314" t="s">
        <v>792</v>
      </c>
      <c r="AR168" s="609">
        <f>VLOOKUP(AP165,[14]Progress!$B$9:$D$310,3,FALSE)</f>
        <v>430</v>
      </c>
      <c r="AS168" s="611"/>
      <c r="AT168" s="283"/>
      <c r="AV168" s="600">
        <f>D168+H168+L168+P168+T168+X168+AB168+AF168+AJ168+AN168+AR168</f>
        <v>4330.8360000000002</v>
      </c>
      <c r="AW168" s="600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600"/>
      <c r="AW169" s="600"/>
    </row>
    <row r="170" spans="1:51" ht="10.5" customHeight="1">
      <c r="A170" s="282"/>
      <c r="B170" s="605"/>
      <c r="C170" s="605"/>
      <c r="F170" s="605"/>
      <c r="G170" s="605"/>
      <c r="J170" s="605"/>
      <c r="K170" s="605"/>
      <c r="N170" s="605"/>
      <c r="O170" s="605"/>
      <c r="R170" s="605"/>
      <c r="S170" s="605"/>
      <c r="V170" s="605"/>
      <c r="W170" s="605"/>
      <c r="Z170" s="605"/>
      <c r="AA170" s="605"/>
      <c r="AD170" s="605"/>
      <c r="AE170" s="605"/>
      <c r="AH170" s="605"/>
      <c r="AI170" s="605"/>
      <c r="AL170" s="605"/>
      <c r="AM170" s="605"/>
      <c r="AP170" s="605"/>
      <c r="AQ170" s="605"/>
      <c r="AT170" s="283"/>
      <c r="AV170" s="600"/>
      <c r="AW170" s="600"/>
    </row>
    <row r="171" spans="1:51">
      <c r="A171" s="282"/>
      <c r="B171" s="602" t="str">
        <f>VLOOKUP(+B165,'[14]Twr Schedule'!$B$9:$C$611,2,FALSE)</f>
        <v>DA+0</v>
      </c>
      <c r="C171" s="602"/>
      <c r="F171" s="602" t="str">
        <f>VLOOKUP(+F165,'[14]Twr Schedule'!$B$9:$C$611,2,FALSE)</f>
        <v>DA-3</v>
      </c>
      <c r="G171" s="602"/>
      <c r="J171" s="602" t="str">
        <f>VLOOKUP(+J165,'[14]Twr Schedule'!$B$9:$C$611,2,FALSE)</f>
        <v>DA+3</v>
      </c>
      <c r="K171" s="602"/>
      <c r="N171" s="602" t="str">
        <f>VLOOKUP(+N165,'[14]Twr Schedule'!$B$9:$C$611,2,FALSE)</f>
        <v>DA-3</v>
      </c>
      <c r="O171" s="602"/>
      <c r="R171" s="602" t="str">
        <f>VLOOKUP(+R165,'[14]Twr Schedule'!$B$9:$C$611,2,FALSE)</f>
        <v>DC1+6</v>
      </c>
      <c r="S171" s="602"/>
      <c r="V171" s="602" t="str">
        <f>VLOOKUP(+V165,'[14]Twr Schedule'!$B$9:$C$611,2,FALSE)</f>
        <v>DC2+6</v>
      </c>
      <c r="W171" s="602"/>
      <c r="Z171" s="602" t="str">
        <f>VLOOKUP(+Z165,'[14]Twr Schedule'!$B$9:$C$611,2,FALSE)</f>
        <v>DA-3</v>
      </c>
      <c r="AA171" s="602"/>
      <c r="AD171" s="602" t="str">
        <f>VLOOKUP(+AD165,'[14]Twr Schedule'!$B$9:$C$611,2,FALSE)</f>
        <v>DA-3</v>
      </c>
      <c r="AE171" s="602"/>
      <c r="AH171" s="602" t="str">
        <f>VLOOKUP(+AH165,'[14]Twr Schedule'!$B$9:$C$611,2,FALSE)</f>
        <v>DA+3</v>
      </c>
      <c r="AI171" s="602"/>
      <c r="AL171" s="602" t="str">
        <f>VLOOKUP(+AL165,'[14]Twr Schedule'!$B$9:$C$611,2,FALSE)</f>
        <v>DA-3</v>
      </c>
      <c r="AM171" s="602"/>
      <c r="AP171" s="602" t="str">
        <f>VLOOKUP(+AP165,'[14]Twr Schedule'!$B$9:$C$611,2,FALSE)</f>
        <v>DA+3</v>
      </c>
      <c r="AQ171" s="602"/>
      <c r="AT171" s="283"/>
      <c r="AV171" s="600"/>
      <c r="AW171" s="600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0"/>
      <c r="AW172" s="600"/>
    </row>
    <row r="173" spans="1:51">
      <c r="A173" s="622" t="s">
        <v>842</v>
      </c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  <c r="Y173" s="622"/>
      <c r="Z173" s="622"/>
      <c r="AA173" s="621" t="s">
        <v>843</v>
      </c>
      <c r="AB173" s="621"/>
      <c r="AC173" s="621"/>
      <c r="AD173" s="621"/>
      <c r="AE173" s="621"/>
      <c r="AF173" s="621"/>
      <c r="AG173" s="621"/>
      <c r="AH173" s="621"/>
      <c r="AI173" s="621"/>
      <c r="AJ173" s="621"/>
      <c r="AK173" s="621"/>
      <c r="AL173" s="621"/>
      <c r="AM173" s="621"/>
      <c r="AN173" s="621"/>
      <c r="AO173" s="621"/>
      <c r="AP173" s="621"/>
      <c r="AQ173" s="621"/>
      <c r="AR173" s="621"/>
      <c r="AT173" s="283"/>
      <c r="AV173" s="600"/>
      <c r="AW173" s="600"/>
    </row>
    <row r="174" spans="1:51">
      <c r="A174" s="282"/>
      <c r="B174" s="623"/>
      <c r="C174" s="623"/>
      <c r="D174" s="623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3"/>
      <c r="P174" s="623"/>
      <c r="Q174" s="623"/>
      <c r="R174" s="623"/>
      <c r="S174" s="623"/>
      <c r="T174" s="623"/>
      <c r="U174" s="623"/>
      <c r="V174" s="623"/>
      <c r="W174" s="623"/>
      <c r="X174" s="623"/>
      <c r="Y174" s="623"/>
      <c r="Z174" s="623"/>
      <c r="AA174" s="623"/>
      <c r="AT174" s="283"/>
      <c r="AV174" s="600"/>
      <c r="AW174" s="600"/>
    </row>
    <row r="175" spans="1:51">
      <c r="A175" s="282"/>
      <c r="B175" s="600" t="str">
        <f>'[14]Twr Schedule'!B339</f>
        <v>33/6</v>
      </c>
      <c r="C175" s="600"/>
      <c r="F175" s="600" t="str">
        <f>'[14]Twr Schedule'!B341</f>
        <v>33/7</v>
      </c>
      <c r="G175" s="600"/>
      <c r="J175" s="600" t="str">
        <f>'[14]Twr Schedule'!B343</f>
        <v>33/8</v>
      </c>
      <c r="K175" s="600"/>
      <c r="N175" s="600" t="str">
        <f>'[14]Twr Schedule'!B345</f>
        <v>33/9</v>
      </c>
      <c r="O175" s="600"/>
      <c r="R175" s="600" t="str">
        <f>'[14]Twr Schedule'!B347</f>
        <v>33/10</v>
      </c>
      <c r="S175" s="600"/>
      <c r="V175" s="600" t="str">
        <f>'[14]Twr Schedule'!B349</f>
        <v>33/11</v>
      </c>
      <c r="W175" s="600"/>
      <c r="Z175" s="600" t="str">
        <f>'[14]Twr Schedule'!B351</f>
        <v>34/0</v>
      </c>
      <c r="AA175" s="600"/>
      <c r="AD175" s="600" t="str">
        <f>'[14]Twr Schedule'!B353</f>
        <v>34/1</v>
      </c>
      <c r="AE175" s="600"/>
      <c r="AH175" s="600" t="str">
        <f>'[14]Twr Schedule'!B355</f>
        <v>34/2</v>
      </c>
      <c r="AI175" s="600"/>
      <c r="AL175" s="600" t="str">
        <f>'[14]Twr Schedule'!B357</f>
        <v>34/3</v>
      </c>
      <c r="AM175" s="600"/>
      <c r="AP175" s="600" t="str">
        <f>'[14]Twr Schedule'!B359</f>
        <v>34/4</v>
      </c>
      <c r="AQ175" s="600"/>
      <c r="AT175" s="283"/>
      <c r="AV175" s="600"/>
      <c r="AW175" s="600"/>
    </row>
    <row r="176" spans="1:51">
      <c r="A176" s="282"/>
      <c r="AT176" s="283"/>
      <c r="AV176" s="600"/>
      <c r="AW176" s="600"/>
    </row>
    <row r="177" spans="1:51">
      <c r="A177" s="282"/>
      <c r="AT177" s="283"/>
      <c r="AV177" s="600"/>
      <c r="AW177" s="600"/>
    </row>
    <row r="178" spans="1:51">
      <c r="A178" s="282"/>
      <c r="B178" s="296" t="s">
        <v>791</v>
      </c>
      <c r="C178" s="296" t="s">
        <v>792</v>
      </c>
      <c r="D178" s="613">
        <f>VLOOKUP(B175,[14]Progress!$B$9:$D$310,3,FALSE)</f>
        <v>394</v>
      </c>
      <c r="E178" s="614"/>
      <c r="F178" s="296" t="s">
        <v>791</v>
      </c>
      <c r="G178" s="296" t="s">
        <v>792</v>
      </c>
      <c r="H178" s="609">
        <f>VLOOKUP(F175,[14]Progress!$B$9:$D$310,3,FALSE)</f>
        <v>439.95</v>
      </c>
      <c r="I178" s="610"/>
      <c r="J178" s="314" t="s">
        <v>791</v>
      </c>
      <c r="K178" s="314" t="s">
        <v>792</v>
      </c>
      <c r="L178" s="609">
        <f>VLOOKUP(J175,[14]Progress!$B$9:$D$310,3,FALSE)</f>
        <v>355.05</v>
      </c>
      <c r="M178" s="610"/>
      <c r="N178" s="314" t="s">
        <v>791</v>
      </c>
      <c r="O178" s="314" t="s">
        <v>792</v>
      </c>
      <c r="P178" s="609">
        <f>VLOOKUP(N175,[14]Progress!$B$9:$D$310,3,FALSE)</f>
        <v>410</v>
      </c>
      <c r="Q178" s="610"/>
      <c r="R178" s="314" t="s">
        <v>791</v>
      </c>
      <c r="S178" s="314" t="s">
        <v>792</v>
      </c>
      <c r="T178" s="609">
        <f>VLOOKUP(R175,[14]Progress!$B$9:$D$310,3,FALSE)</f>
        <v>410</v>
      </c>
      <c r="U178" s="610"/>
      <c r="V178" s="314" t="s">
        <v>791</v>
      </c>
      <c r="W178" s="314" t="s">
        <v>792</v>
      </c>
      <c r="X178" s="609">
        <f>VLOOKUP(V175,[14]Progress!$B$9:$D$310,3,FALSE)</f>
        <v>421.49599999999998</v>
      </c>
      <c r="Y178" s="610"/>
      <c r="Z178" s="314" t="s">
        <v>791</v>
      </c>
      <c r="AA178" s="314" t="s">
        <v>792</v>
      </c>
      <c r="AB178" s="609">
        <f>VLOOKUP(Z175,[14]Progress!$B$9:$D$310,3,FALSE)</f>
        <v>418</v>
      </c>
      <c r="AC178" s="610"/>
      <c r="AD178" s="314" t="s">
        <v>791</v>
      </c>
      <c r="AE178" s="314" t="s">
        <v>792</v>
      </c>
      <c r="AF178" s="609">
        <f>VLOOKUP(AD175,[14]Progress!$B$9:$D$310,3,FALSE)</f>
        <v>378</v>
      </c>
      <c r="AG178" s="610"/>
      <c r="AH178" s="314" t="s">
        <v>791</v>
      </c>
      <c r="AI178" s="314" t="s">
        <v>792</v>
      </c>
      <c r="AJ178" s="609">
        <f>VLOOKUP(AH175,[14]Progress!$B$9:$D$310,3,FALSE)</f>
        <v>417</v>
      </c>
      <c r="AK178" s="610"/>
      <c r="AL178" s="314" t="s">
        <v>791</v>
      </c>
      <c r="AM178" s="314" t="s">
        <v>792</v>
      </c>
      <c r="AN178" s="609">
        <f>VLOOKUP(AL175,[14]Progress!$B$9:$D$310,3,FALSE)</f>
        <v>395</v>
      </c>
      <c r="AO178" s="610"/>
      <c r="AP178" s="314" t="s">
        <v>791</v>
      </c>
      <c r="AQ178" s="314" t="s">
        <v>792</v>
      </c>
      <c r="AR178" s="609">
        <f>VLOOKUP(AP175,[14]Progress!$B$9:$D$310,3,FALSE)</f>
        <v>364</v>
      </c>
      <c r="AS178" s="611"/>
      <c r="AT178" s="283"/>
      <c r="AV178" s="600">
        <f>D178+H178+L178+P178+T178+X178+AB178+AF178+AJ178+AN178+AR178</f>
        <v>4402.4960000000001</v>
      </c>
      <c r="AW178" s="600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600"/>
      <c r="AW179" s="600"/>
    </row>
    <row r="180" spans="1:51" ht="10.5" customHeight="1">
      <c r="A180" s="282"/>
      <c r="B180" s="605"/>
      <c r="C180" s="605"/>
      <c r="F180" s="605"/>
      <c r="G180" s="605"/>
      <c r="J180" s="605"/>
      <c r="K180" s="605"/>
      <c r="N180" s="605"/>
      <c r="O180" s="605"/>
      <c r="R180" s="605"/>
      <c r="S180" s="605"/>
      <c r="V180" s="605"/>
      <c r="W180" s="605"/>
      <c r="Z180" s="605"/>
      <c r="AA180" s="605"/>
      <c r="AD180" s="605"/>
      <c r="AE180" s="605"/>
      <c r="AH180" s="605"/>
      <c r="AI180" s="605"/>
      <c r="AL180" s="605"/>
      <c r="AM180" s="605"/>
      <c r="AP180" s="605"/>
      <c r="AQ180" s="605"/>
      <c r="AT180" s="283"/>
      <c r="AV180" s="600"/>
      <c r="AW180" s="600"/>
    </row>
    <row r="181" spans="1:51">
      <c r="A181" s="282"/>
      <c r="B181" s="602" t="str">
        <f>VLOOKUP(+B175,'[14]Twr Schedule'!$B$9:$C$611,2,FALSE)</f>
        <v>DA+3</v>
      </c>
      <c r="C181" s="602"/>
      <c r="F181" s="602" t="str">
        <f>VLOOKUP(+F175,'[14]Twr Schedule'!$B$9:$C$611,2,FALSE)</f>
        <v>DA+3</v>
      </c>
      <c r="G181" s="602"/>
      <c r="J181" s="602" t="str">
        <f>VLOOKUP(+J175,'[14]Twr Schedule'!$B$9:$C$611,2,FALSE)</f>
        <v>DA+3</v>
      </c>
      <c r="K181" s="602"/>
      <c r="N181" s="602" t="str">
        <f>VLOOKUP(+N175,'[14]Twr Schedule'!$B$9:$C$611,2,FALSE)</f>
        <v>DA+0</v>
      </c>
      <c r="O181" s="602"/>
      <c r="R181" s="602" t="str">
        <f>VLOOKUP(+R175,'[14]Twr Schedule'!$B$9:$C$611,2,FALSE)</f>
        <v>DA+3</v>
      </c>
      <c r="S181" s="602"/>
      <c r="V181" s="602" t="str">
        <f>VLOOKUP(+V175,'[14]Twr Schedule'!$B$9:$C$611,2,FALSE)</f>
        <v>DA+3</v>
      </c>
      <c r="W181" s="602"/>
      <c r="Z181" s="602" t="str">
        <f>VLOOKUP(+Z175,'[14]Twr Schedule'!$B$9:$C$611,2,FALSE)</f>
        <v>DB1+0</v>
      </c>
      <c r="AA181" s="602"/>
      <c r="AD181" s="602" t="str">
        <f>VLOOKUP(+AD175,'[14]Twr Schedule'!$B$9:$C$611,2,FALSE)</f>
        <v>DA+3</v>
      </c>
      <c r="AE181" s="602"/>
      <c r="AH181" s="602" t="str">
        <f>VLOOKUP(+AH175,'[14]Twr Schedule'!$B$9:$C$611,2,FALSE)</f>
        <v>DA+3</v>
      </c>
      <c r="AI181" s="602"/>
      <c r="AL181" s="602" t="str">
        <f>VLOOKUP(+AL175,'[14]Twr Schedule'!$B$9:$C$611,2,FALSE)</f>
        <v>DA+3</v>
      </c>
      <c r="AM181" s="602"/>
      <c r="AP181" s="602" t="str">
        <f>VLOOKUP(+AP175,'[14]Twr Schedule'!$B$9:$C$611,2,FALSE)</f>
        <v>DA-3</v>
      </c>
      <c r="AQ181" s="602"/>
      <c r="AT181" s="283"/>
      <c r="AV181" s="600"/>
      <c r="AW181" s="600"/>
    </row>
    <row r="182" spans="1:51">
      <c r="A182" s="282"/>
      <c r="AT182" s="283"/>
      <c r="AV182" s="600"/>
      <c r="AW182" s="600"/>
    </row>
    <row r="183" spans="1:51">
      <c r="A183" s="621" t="s">
        <v>843</v>
      </c>
      <c r="B183" s="621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16" t="s">
        <v>844</v>
      </c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17"/>
      <c r="AB183" s="617"/>
      <c r="AC183" s="617"/>
      <c r="AD183" s="617"/>
      <c r="AE183" s="617"/>
      <c r="AF183" s="617"/>
      <c r="AG183" s="617"/>
      <c r="AH183" s="617"/>
      <c r="AI183" s="617"/>
      <c r="AJ183" s="617"/>
      <c r="AK183" s="617"/>
      <c r="AL183" s="617"/>
      <c r="AM183" s="617"/>
      <c r="AN183" s="617"/>
      <c r="AO183" s="617"/>
      <c r="AP183" s="617"/>
      <c r="AQ183" s="617"/>
      <c r="AR183" s="618"/>
      <c r="AT183" s="283"/>
      <c r="AV183" s="600"/>
      <c r="AW183" s="600"/>
    </row>
    <row r="184" spans="1:51">
      <c r="A184" s="282"/>
      <c r="AT184" s="283"/>
      <c r="AV184" s="600"/>
      <c r="AW184" s="600"/>
    </row>
    <row r="185" spans="1:51">
      <c r="A185" s="282"/>
      <c r="B185" s="600" t="str">
        <f>'[14]Twr Schedule'!B361</f>
        <v>34/5</v>
      </c>
      <c r="C185" s="600"/>
      <c r="F185" s="600" t="str">
        <f>'[14]Twr Schedule'!B363</f>
        <v>34/6</v>
      </c>
      <c r="G185" s="600"/>
      <c r="J185" s="600" t="str">
        <f>'[14]Twr Schedule'!B365</f>
        <v>34/7</v>
      </c>
      <c r="K185" s="600"/>
      <c r="N185" s="600" t="str">
        <f>'[14]Twr Schedule'!B367</f>
        <v>35/0</v>
      </c>
      <c r="O185" s="600"/>
      <c r="R185" s="600" t="str">
        <f>'[14]Twr Schedule'!B369</f>
        <v>35/1</v>
      </c>
      <c r="S185" s="600"/>
      <c r="V185" s="600" t="str">
        <f>'[14]Twr Schedule'!B371</f>
        <v>35/2</v>
      </c>
      <c r="W185" s="600"/>
      <c r="Z185" s="600" t="str">
        <f>'[14]Twr Schedule'!B373</f>
        <v>35/3</v>
      </c>
      <c r="AA185" s="600"/>
      <c r="AD185" s="600" t="str">
        <f>'[14]Twr Schedule'!B375</f>
        <v>35/4</v>
      </c>
      <c r="AE185" s="600"/>
      <c r="AH185" s="600" t="str">
        <f>'[14]Twr Schedule'!B377</f>
        <v>35/5</v>
      </c>
      <c r="AI185" s="600"/>
      <c r="AL185" s="600" t="str">
        <f>'[14]Twr Schedule'!B379</f>
        <v>35/6</v>
      </c>
      <c r="AM185" s="600"/>
      <c r="AP185" s="600" t="str">
        <f>'[14]Twr Schedule'!B381</f>
        <v>35/7</v>
      </c>
      <c r="AQ185" s="600"/>
      <c r="AT185" s="283"/>
      <c r="AV185" s="600"/>
      <c r="AW185" s="600"/>
    </row>
    <row r="186" spans="1:51">
      <c r="A186" s="282"/>
      <c r="AT186" s="283"/>
      <c r="AV186" s="600"/>
      <c r="AW186" s="600"/>
    </row>
    <row r="187" spans="1:51">
      <c r="A187" s="282"/>
      <c r="AT187" s="283"/>
      <c r="AV187" s="600"/>
      <c r="AW187" s="600"/>
    </row>
    <row r="188" spans="1:51">
      <c r="A188" s="282"/>
      <c r="B188" s="296" t="s">
        <v>791</v>
      </c>
      <c r="C188" s="296" t="s">
        <v>792</v>
      </c>
      <c r="D188" s="613">
        <f>VLOOKUP(B185,[14]Progress!$B$9:$D$310,3,FALSE)</f>
        <v>397</v>
      </c>
      <c r="E188" s="614"/>
      <c r="F188" s="296" t="s">
        <v>791</v>
      </c>
      <c r="G188" s="296" t="s">
        <v>792</v>
      </c>
      <c r="H188" s="613">
        <f>VLOOKUP(F185,[14]Progress!$B$9:$D$310,3,FALSE)</f>
        <v>419</v>
      </c>
      <c r="I188" s="614"/>
      <c r="J188" s="296" t="s">
        <v>791</v>
      </c>
      <c r="K188" s="296" t="s">
        <v>792</v>
      </c>
      <c r="L188" s="609">
        <f>VLOOKUP(J185,[14]Progress!$B$9:$D$310,3,FALSE)</f>
        <v>405.22800000000001</v>
      </c>
      <c r="M188" s="610"/>
      <c r="N188" s="296" t="s">
        <v>791</v>
      </c>
      <c r="O188" s="296" t="s">
        <v>792</v>
      </c>
      <c r="P188" s="613">
        <f>VLOOKUP(N185,[14]Progress!$B$9:$D$310,3,FALSE)</f>
        <v>383</v>
      </c>
      <c r="Q188" s="614"/>
      <c r="R188" s="296" t="s">
        <v>791</v>
      </c>
      <c r="S188" s="296" t="s">
        <v>792</v>
      </c>
      <c r="T188" s="613">
        <f>VLOOKUP(R185,[14]Progress!$B$9:$D$310,3,FALSE)</f>
        <v>397</v>
      </c>
      <c r="U188" s="614"/>
      <c r="V188" s="296" t="s">
        <v>791</v>
      </c>
      <c r="W188" s="296" t="s">
        <v>792</v>
      </c>
      <c r="X188" s="613">
        <f>VLOOKUP(V185,[14]Progress!$B$9:$D$310,3,FALSE)</f>
        <v>345</v>
      </c>
      <c r="Y188" s="614"/>
      <c r="Z188" s="296" t="s">
        <v>791</v>
      </c>
      <c r="AA188" s="296" t="s">
        <v>792</v>
      </c>
      <c r="AB188" s="619">
        <f>VLOOKUP(Z185,[14]Progress!$B$9:$D$310,3,FALSE)</f>
        <v>389</v>
      </c>
      <c r="AC188" s="620"/>
      <c r="AD188" s="296" t="s">
        <v>791</v>
      </c>
      <c r="AE188" s="296" t="s">
        <v>792</v>
      </c>
      <c r="AF188" s="613">
        <f>VLOOKUP(AD185,[14]Progress!$B$9:$D$310,3,FALSE)</f>
        <v>416</v>
      </c>
      <c r="AG188" s="614"/>
      <c r="AH188" s="296" t="s">
        <v>791</v>
      </c>
      <c r="AI188" s="296" t="s">
        <v>792</v>
      </c>
      <c r="AJ188" s="613">
        <f>VLOOKUP(AH185,[14]Progress!$B$9:$D$310,3,FALSE)</f>
        <v>414</v>
      </c>
      <c r="AK188" s="614"/>
      <c r="AL188" s="296" t="s">
        <v>791</v>
      </c>
      <c r="AM188" s="296" t="s">
        <v>792</v>
      </c>
      <c r="AN188" s="613">
        <f>VLOOKUP(AL185,[14]Progress!$B$9:$D$310,3,FALSE)</f>
        <v>415</v>
      </c>
      <c r="AO188" s="614"/>
      <c r="AP188" s="296" t="s">
        <v>791</v>
      </c>
      <c r="AQ188" s="296" t="s">
        <v>792</v>
      </c>
      <c r="AR188" s="613">
        <f>VLOOKUP(AP185,[14]Progress!$B$9:$D$310,3,FALSE)</f>
        <v>404</v>
      </c>
      <c r="AS188" s="600"/>
      <c r="AT188" s="283"/>
      <c r="AV188" s="600">
        <f>D188+H188+L188+P188+T188+X188+AB188+AF188+AJ188+AN188+AR188</f>
        <v>4384.2280000000001</v>
      </c>
      <c r="AW188" s="600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600"/>
      <c r="AW189" s="600"/>
    </row>
    <row r="190" spans="1:51" ht="10.5" customHeight="1">
      <c r="A190" s="282"/>
      <c r="B190" s="605"/>
      <c r="C190" s="605"/>
      <c r="F190" s="605"/>
      <c r="G190" s="605"/>
      <c r="J190" s="605"/>
      <c r="K190" s="605"/>
      <c r="N190" s="605"/>
      <c r="O190" s="605"/>
      <c r="R190" s="605"/>
      <c r="S190" s="605"/>
      <c r="V190" s="605"/>
      <c r="W190" s="605"/>
      <c r="Z190" s="605"/>
      <c r="AA190" s="605"/>
      <c r="AD190" s="605"/>
      <c r="AE190" s="605"/>
      <c r="AH190" s="605"/>
      <c r="AI190" s="605"/>
      <c r="AL190" s="605"/>
      <c r="AM190" s="605"/>
      <c r="AP190" s="605"/>
      <c r="AQ190" s="605"/>
      <c r="AT190" s="283"/>
      <c r="AV190" s="600"/>
      <c r="AW190" s="600"/>
    </row>
    <row r="191" spans="1:51">
      <c r="A191" s="282"/>
      <c r="B191" s="602" t="str">
        <f>VLOOKUP(+B185,'[14]Twr Schedule'!$B$9:$C$611,2,FALSE)</f>
        <v>DA+0</v>
      </c>
      <c r="C191" s="602"/>
      <c r="F191" s="602" t="str">
        <f>VLOOKUP(+F185,'[14]Twr Schedule'!$B$9:$C$611,2,FALSE)</f>
        <v>DA+0</v>
      </c>
      <c r="G191" s="602"/>
      <c r="J191" s="602" t="str">
        <f>VLOOKUP(+J185,'[14]Twr Schedule'!$B$9:$C$611,2,FALSE)</f>
        <v>DA+3</v>
      </c>
      <c r="K191" s="602"/>
      <c r="N191" s="602" t="str">
        <f>VLOOKUP(+N185,'[14]Twr Schedule'!$B$9:$C$611,2,FALSE)</f>
        <v>DC1+0</v>
      </c>
      <c r="O191" s="602"/>
      <c r="R191" s="602" t="str">
        <f>VLOOKUP(+R185,'[14]Twr Schedule'!$B$9:$C$611,2,FALSE)</f>
        <v>DA+3</v>
      </c>
      <c r="S191" s="602"/>
      <c r="V191" s="602" t="str">
        <f>VLOOKUP(+V185,'[14]Twr Schedule'!$B$9:$C$611,2,FALSE)</f>
        <v>DA-3</v>
      </c>
      <c r="W191" s="602"/>
      <c r="Z191" s="602" t="str">
        <f>VLOOKUP(+Z185,'[14]Twr Schedule'!$B$9:$C$611,2,FALSE)</f>
        <v>DA+0</v>
      </c>
      <c r="AA191" s="602"/>
      <c r="AD191" s="602" t="str">
        <f>VLOOKUP(+AD185,'[14]Twr Schedule'!$B$9:$C$611,2,FALSE)</f>
        <v>DA+0</v>
      </c>
      <c r="AE191" s="602"/>
      <c r="AH191" s="602" t="str">
        <f>VLOOKUP(+AH185,'[14]Twr Schedule'!$B$9:$C$611,2,FALSE)</f>
        <v>DA+3</v>
      </c>
      <c r="AI191" s="602"/>
      <c r="AL191" s="602" t="str">
        <f>VLOOKUP(+AL185,'[14]Twr Schedule'!$B$9:$C$611,2,FALSE)</f>
        <v>DA+0</v>
      </c>
      <c r="AM191" s="602"/>
      <c r="AP191" s="602" t="str">
        <f>VLOOKUP(+AP185,'[14]Twr Schedule'!$B$9:$C$611,2,FALSE)</f>
        <v>DA+3</v>
      </c>
      <c r="AQ191" s="602"/>
      <c r="AT191" s="283"/>
      <c r="AV191" s="600"/>
      <c r="AW191" s="600"/>
    </row>
    <row r="192" spans="1:51">
      <c r="A192" s="282"/>
      <c r="AB192" t="s">
        <v>845</v>
      </c>
      <c r="AL192" s="2"/>
      <c r="AM192" s="2"/>
      <c r="AT192" s="283"/>
      <c r="AV192" s="600"/>
      <c r="AW192" s="600"/>
    </row>
    <row r="193" spans="1:51">
      <c r="A193" s="282"/>
      <c r="AA193" t="s">
        <v>846</v>
      </c>
      <c r="AT193" s="283"/>
      <c r="AV193" s="600"/>
      <c r="AW193" s="600"/>
    </row>
    <row r="194" spans="1:51">
      <c r="A194" s="616" t="s">
        <v>844</v>
      </c>
      <c r="B194" s="617"/>
      <c r="C194" s="617"/>
      <c r="D194" s="617"/>
      <c r="E194" s="617"/>
      <c r="F194" s="617"/>
      <c r="G194" s="617"/>
      <c r="H194" s="617"/>
      <c r="I194" s="617"/>
      <c r="J194" s="618"/>
      <c r="K194" s="606" t="s">
        <v>847</v>
      </c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  <c r="AG194" s="606"/>
      <c r="AH194" s="606"/>
      <c r="AI194" s="606"/>
      <c r="AJ194" s="606"/>
      <c r="AK194" s="606"/>
      <c r="AL194" s="606"/>
      <c r="AM194" s="606"/>
      <c r="AN194" s="606"/>
      <c r="AO194" s="606"/>
      <c r="AP194" s="606"/>
      <c r="AQ194" s="606"/>
      <c r="AR194" s="606"/>
      <c r="AT194" s="283"/>
      <c r="AV194" s="600"/>
      <c r="AW194" s="600"/>
    </row>
    <row r="195" spans="1:51">
      <c r="A195" s="282"/>
      <c r="B195" s="600" t="str">
        <f>'[14]Twr Schedule'!B383</f>
        <v>35/8</v>
      </c>
      <c r="C195" s="600"/>
      <c r="F195" s="600" t="str">
        <f>'[14]Twr Schedule'!B385</f>
        <v>35/9</v>
      </c>
      <c r="G195" s="600"/>
      <c r="J195" s="600" t="str">
        <f>'[14]Twr Schedule'!B387</f>
        <v>36/0</v>
      </c>
      <c r="K195" s="600"/>
      <c r="N195" s="600" t="str">
        <f>'[14]Twr Schedule'!B389</f>
        <v>36/1</v>
      </c>
      <c r="O195" s="600"/>
      <c r="R195" s="600" t="str">
        <f>'[14]Twr Schedule'!B391</f>
        <v>36/2</v>
      </c>
      <c r="S195" s="600"/>
      <c r="V195" s="600" t="str">
        <f>'[14]Twr Schedule'!B393</f>
        <v>36/3</v>
      </c>
      <c r="W195" s="600"/>
      <c r="Z195" s="600" t="str">
        <f>'[14]Twr Schedule'!B395</f>
        <v>36/4</v>
      </c>
      <c r="AA195" s="600"/>
      <c r="AD195" s="600" t="str">
        <f>'[14]Twr Schedule'!B397</f>
        <v>36/5</v>
      </c>
      <c r="AE195" s="600"/>
      <c r="AH195" s="600" t="str">
        <f>'[14]Twr Schedule'!B399</f>
        <v>36/6</v>
      </c>
      <c r="AI195" s="600"/>
      <c r="AL195" s="600" t="str">
        <f>'[14]Twr Schedule'!B401</f>
        <v>36/7</v>
      </c>
      <c r="AM195" s="600"/>
      <c r="AP195" s="600" t="str">
        <f>'[14]Twr Schedule'!B403</f>
        <v>36/8</v>
      </c>
      <c r="AQ195" s="600"/>
      <c r="AT195" s="283"/>
      <c r="AV195" s="600"/>
      <c r="AW195" s="600"/>
    </row>
    <row r="196" spans="1:51">
      <c r="A196" s="282"/>
      <c r="AT196" s="283"/>
      <c r="AV196" s="600"/>
      <c r="AW196" s="600"/>
    </row>
    <row r="197" spans="1:51">
      <c r="A197" s="282"/>
      <c r="AT197" s="283"/>
      <c r="AV197" s="600"/>
      <c r="AW197" s="600"/>
    </row>
    <row r="198" spans="1:51">
      <c r="A198" s="282"/>
      <c r="B198" s="296" t="s">
        <v>791</v>
      </c>
      <c r="C198" s="296" t="s">
        <v>792</v>
      </c>
      <c r="D198" s="613">
        <f>VLOOKUP(B195,[14]Progress!$B$9:$D$310,3,FALSE)</f>
        <v>373</v>
      </c>
      <c r="E198" s="614"/>
      <c r="F198" s="296" t="s">
        <v>791</v>
      </c>
      <c r="G198" s="296" t="s">
        <v>792</v>
      </c>
      <c r="H198" s="609">
        <f>VLOOKUP(F195,[14]Progress!$B$9:$D$310,3,FALSE)</f>
        <v>421.04899999999998</v>
      </c>
      <c r="I198" s="610"/>
      <c r="J198" s="314" t="s">
        <v>791</v>
      </c>
      <c r="K198" s="314" t="s">
        <v>792</v>
      </c>
      <c r="L198" s="609">
        <f>VLOOKUP(J195,[14]Progress!$B$9:$D$310,3,FALSE)</f>
        <v>401</v>
      </c>
      <c r="M198" s="610"/>
      <c r="N198" s="314" t="s">
        <v>791</v>
      </c>
      <c r="O198" s="314" t="s">
        <v>792</v>
      </c>
      <c r="P198" s="609">
        <f>VLOOKUP(N195,[14]Progress!$B$9:$D$310,3,FALSE)</f>
        <v>412</v>
      </c>
      <c r="Q198" s="610"/>
      <c r="R198" s="314" t="s">
        <v>791</v>
      </c>
      <c r="S198" s="314" t="s">
        <v>792</v>
      </c>
      <c r="T198" s="609">
        <f>VLOOKUP(R195,[14]Progress!$B$9:$D$310,3,FALSE)</f>
        <v>415</v>
      </c>
      <c r="U198" s="610"/>
      <c r="V198" s="314" t="s">
        <v>791</v>
      </c>
      <c r="W198" s="314" t="s">
        <v>792</v>
      </c>
      <c r="X198" s="609">
        <f>VLOOKUP(V195,[14]Progress!$B$9:$D$310,3,FALSE)</f>
        <v>411</v>
      </c>
      <c r="Y198" s="610"/>
      <c r="Z198" s="314" t="s">
        <v>791</v>
      </c>
      <c r="AA198" s="314" t="s">
        <v>792</v>
      </c>
      <c r="AB198" s="609">
        <f>VLOOKUP(Z195,[14]Progress!$B$9:$D$310,3,FALSE)</f>
        <v>395</v>
      </c>
      <c r="AC198" s="610"/>
      <c r="AD198" s="314" t="s">
        <v>791</v>
      </c>
      <c r="AE198" s="314" t="s">
        <v>792</v>
      </c>
      <c r="AF198" s="609">
        <f>VLOOKUP(AD195,[14]Progress!$B$9:$D$310,3,FALSE)</f>
        <v>402</v>
      </c>
      <c r="AG198" s="610"/>
      <c r="AH198" s="314" t="s">
        <v>791</v>
      </c>
      <c r="AI198" s="314" t="s">
        <v>792</v>
      </c>
      <c r="AJ198" s="609">
        <f>VLOOKUP(AH195,[14]Progress!$B$9:$D$310,3,FALSE)</f>
        <v>432</v>
      </c>
      <c r="AK198" s="610"/>
      <c r="AL198" s="314" t="s">
        <v>791</v>
      </c>
      <c r="AM198" s="314" t="s">
        <v>792</v>
      </c>
      <c r="AN198" s="609">
        <f>VLOOKUP(AL195,[14]Progress!$B$9:$D$310,3,FALSE)</f>
        <v>392.01100000000002</v>
      </c>
      <c r="AO198" s="610"/>
      <c r="AP198" s="314" t="s">
        <v>791</v>
      </c>
      <c r="AQ198" s="314" t="s">
        <v>792</v>
      </c>
      <c r="AR198" s="609">
        <f>VLOOKUP(AP195,[14]Progress!$B$9:$D$310,3,FALSE)</f>
        <v>352.98899999999998</v>
      </c>
      <c r="AS198" s="611"/>
      <c r="AT198" s="283"/>
      <c r="AV198" s="600">
        <f>D198+H198+L198+P198+T198+X198+AB198+AF198+AJ198+AN198+AR198</f>
        <v>4407.049</v>
      </c>
      <c r="AW198" s="600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600"/>
      <c r="AW199" s="600"/>
    </row>
    <row r="200" spans="1:51" ht="10.5" customHeight="1">
      <c r="A200" s="282"/>
      <c r="B200" s="605"/>
      <c r="C200" s="605"/>
      <c r="F200" s="605"/>
      <c r="G200" s="605"/>
      <c r="J200" s="605"/>
      <c r="K200" s="605"/>
      <c r="N200" s="605"/>
      <c r="O200" s="605"/>
      <c r="R200" s="605"/>
      <c r="S200" s="605"/>
      <c r="V200" s="605"/>
      <c r="W200" s="605"/>
      <c r="Z200" s="605"/>
      <c r="AA200" s="605"/>
      <c r="AD200" s="605"/>
      <c r="AE200" s="605"/>
      <c r="AH200" s="605"/>
      <c r="AI200" s="605"/>
      <c r="AL200" s="605"/>
      <c r="AM200" s="605"/>
      <c r="AP200" s="605"/>
      <c r="AQ200" s="605"/>
      <c r="AT200" s="283"/>
      <c r="AV200" s="600"/>
      <c r="AW200" s="600"/>
    </row>
    <row r="201" spans="1:51">
      <c r="A201" s="282"/>
      <c r="B201" s="602" t="str">
        <f>VLOOKUP(+B195,'[14]Twr Schedule'!$B$9:$C$611,2,FALSE)</f>
        <v>DA-3</v>
      </c>
      <c r="C201" s="602"/>
      <c r="F201" s="602" t="str">
        <f>VLOOKUP(+F195,'[14]Twr Schedule'!$B$9:$C$611,2,FALSE)</f>
        <v>DA+3</v>
      </c>
      <c r="G201" s="602"/>
      <c r="J201" s="602" t="str">
        <f>VLOOKUP(+J195,'[14]Twr Schedule'!$B$9:$C$611,2,FALSE)</f>
        <v>DB2+0</v>
      </c>
      <c r="K201" s="602"/>
      <c r="N201" s="602" t="str">
        <f>VLOOKUP(+N195,'[14]Twr Schedule'!$B$9:$C$611,2,FALSE)</f>
        <v>DA+3</v>
      </c>
      <c r="O201" s="602"/>
      <c r="R201" s="602" t="str">
        <f>VLOOKUP(+R195,'[14]Twr Schedule'!$B$9:$C$611,2,FALSE)</f>
        <v>DA+0</v>
      </c>
      <c r="S201" s="602"/>
      <c r="V201" s="602" t="str">
        <f>VLOOKUP(+V195,'[14]Twr Schedule'!$B$9:$C$611,2,FALSE)</f>
        <v>DA+3</v>
      </c>
      <c r="W201" s="602"/>
      <c r="Z201" s="602" t="str">
        <f>VLOOKUP(+Z195,'[14]Twr Schedule'!$B$9:$C$611,2,FALSE)</f>
        <v>DA+0</v>
      </c>
      <c r="AA201" s="602"/>
      <c r="AD201" s="602" t="str">
        <f>VLOOKUP(+AD195,'[14]Twr Schedule'!$B$9:$C$611,2,FALSE)</f>
        <v>DA+0</v>
      </c>
      <c r="AE201" s="602"/>
      <c r="AH201" s="602" t="str">
        <f>VLOOKUP(+AH195,'[14]Twr Schedule'!$B$9:$C$611,2,FALSE)</f>
        <v>DA+3</v>
      </c>
      <c r="AI201" s="602"/>
      <c r="AL201" s="602" t="str">
        <f>VLOOKUP(+AL195,'[14]Twr Schedule'!$B$9:$C$611,2,FALSE)</f>
        <v>DA+3</v>
      </c>
      <c r="AM201" s="602"/>
      <c r="AP201" s="602" t="str">
        <f>VLOOKUP(+AP195,'[14]Twr Schedule'!$B$9:$C$611,2,FALSE)</f>
        <v>DA-3</v>
      </c>
      <c r="AQ201" s="602"/>
      <c r="AT201" s="283"/>
      <c r="AV201" s="600"/>
      <c r="AW201" s="600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0"/>
      <c r="AW202" s="600"/>
    </row>
    <row r="203" spans="1:51">
      <c r="A203" s="586" t="s">
        <v>847</v>
      </c>
      <c r="B203" s="587"/>
      <c r="C203" s="587"/>
      <c r="D203" s="587"/>
      <c r="E203" s="587"/>
      <c r="F203" s="587"/>
      <c r="G203" s="587"/>
      <c r="H203" s="587"/>
      <c r="I203" s="587"/>
      <c r="J203" s="587"/>
      <c r="K203" s="587"/>
      <c r="L203" s="587"/>
      <c r="M203" s="587"/>
      <c r="N203" s="587"/>
      <c r="O203" s="587"/>
      <c r="P203" s="587"/>
      <c r="Q203" s="587"/>
      <c r="R203" s="588"/>
      <c r="S203" s="606" t="s">
        <v>848</v>
      </c>
      <c r="T203" s="606"/>
      <c r="U203" s="606"/>
      <c r="V203" s="606"/>
      <c r="W203" s="606"/>
      <c r="X203" s="606"/>
      <c r="Y203" s="606"/>
      <c r="Z203" s="606"/>
      <c r="AA203" s="606"/>
      <c r="AB203" s="606"/>
      <c r="AC203" s="606"/>
      <c r="AD203" s="606"/>
      <c r="AE203" s="606"/>
      <c r="AF203" s="606"/>
      <c r="AG203" s="606"/>
      <c r="AH203" s="606"/>
      <c r="AI203" s="606"/>
      <c r="AJ203" s="606"/>
      <c r="AK203" s="606"/>
      <c r="AL203" s="606"/>
      <c r="AM203" s="606"/>
      <c r="AN203" s="606"/>
      <c r="AO203" s="606"/>
      <c r="AP203" s="606"/>
      <c r="AQ203" s="606"/>
      <c r="AR203" s="606"/>
      <c r="AT203" s="283"/>
      <c r="AV203" s="600"/>
      <c r="AW203" s="600"/>
    </row>
    <row r="204" spans="1:51">
      <c r="A204" s="282"/>
      <c r="AT204" s="283"/>
      <c r="AV204" s="600"/>
      <c r="AW204" s="600"/>
    </row>
    <row r="205" spans="1:51">
      <c r="A205" s="282"/>
      <c r="B205" s="600" t="str">
        <f>'[14]Twr Schedule'!B405</f>
        <v>36/9</v>
      </c>
      <c r="C205" s="600"/>
      <c r="F205" s="600" t="str">
        <f>'[14]Twr Schedule'!B407</f>
        <v>36/10</v>
      </c>
      <c r="G205" s="600"/>
      <c r="J205" s="600" t="str">
        <f>'[14]Twr Schedule'!B409</f>
        <v>36/11</v>
      </c>
      <c r="K205" s="600"/>
      <c r="N205" s="600" t="str">
        <f>'[14]Twr Schedule'!B411</f>
        <v>36/12</v>
      </c>
      <c r="O205" s="600"/>
      <c r="R205" s="600" t="str">
        <f>'[14]Twr Schedule'!B413</f>
        <v>37/0</v>
      </c>
      <c r="S205" s="600"/>
      <c r="V205" s="600" t="str">
        <f>'[14]Twr Schedule'!B415</f>
        <v>38/0</v>
      </c>
      <c r="W205" s="600"/>
      <c r="Z205" s="600" t="str">
        <f>'[14]Twr Schedule'!B417</f>
        <v>38/1</v>
      </c>
      <c r="AA205" s="600"/>
      <c r="AD205" s="600" t="str">
        <f>'[14]Twr Schedule'!B419</f>
        <v>38/2</v>
      </c>
      <c r="AE205" s="600"/>
      <c r="AH205" s="600" t="str">
        <f>'[14]Twr Schedule'!B421</f>
        <v>38/3</v>
      </c>
      <c r="AI205" s="600"/>
      <c r="AL205" s="600" t="str">
        <f>'[14]Twr Schedule'!B423</f>
        <v>38/4</v>
      </c>
      <c r="AM205" s="600"/>
      <c r="AP205" s="600" t="str">
        <f>'[14]Twr Schedule'!B425</f>
        <v>38/5</v>
      </c>
      <c r="AQ205" s="600"/>
      <c r="AT205" s="283"/>
      <c r="AV205" s="600"/>
      <c r="AW205" s="600"/>
    </row>
    <row r="206" spans="1:51">
      <c r="A206" s="282"/>
      <c r="AT206" s="283"/>
      <c r="AV206" s="600"/>
      <c r="AW206" s="600"/>
    </row>
    <row r="207" spans="1:51">
      <c r="A207" s="282"/>
      <c r="AT207" s="283"/>
      <c r="AV207" s="600"/>
      <c r="AW207" s="600"/>
    </row>
    <row r="208" spans="1:51">
      <c r="A208" s="282"/>
      <c r="B208" s="296" t="s">
        <v>791</v>
      </c>
      <c r="C208" s="296" t="s">
        <v>792</v>
      </c>
      <c r="D208" s="613">
        <f>VLOOKUP(B205,[14]Progress!$B$9:$D$310,3,FALSE)</f>
        <v>361</v>
      </c>
      <c r="E208" s="614"/>
      <c r="F208" s="296" t="s">
        <v>791</v>
      </c>
      <c r="G208" s="296" t="s">
        <v>792</v>
      </c>
      <c r="H208" s="613">
        <f>VLOOKUP(F205,[14]Progress!$B$9:$D$310,3,FALSE)</f>
        <v>302</v>
      </c>
      <c r="I208" s="614"/>
      <c r="J208" s="296" t="s">
        <v>791</v>
      </c>
      <c r="K208" s="296" t="s">
        <v>792</v>
      </c>
      <c r="L208" s="613">
        <f>VLOOKUP(J205,[14]Progress!$B$9:$D$310,3,FALSE)</f>
        <v>310</v>
      </c>
      <c r="M208" s="614"/>
      <c r="N208" s="296" t="s">
        <v>791</v>
      </c>
      <c r="O208" s="296" t="s">
        <v>792</v>
      </c>
      <c r="P208" s="609">
        <f>VLOOKUP(N205,[14]Progress!$B$9:$D$310,3,FALSE)</f>
        <v>361.31</v>
      </c>
      <c r="Q208" s="610"/>
      <c r="R208" s="314" t="s">
        <v>791</v>
      </c>
      <c r="S208" s="314" t="s">
        <v>792</v>
      </c>
      <c r="T208" s="607">
        <f>VLOOKUP(R205,[14]Progress!$B$9:$D$310,3,FALSE)</f>
        <v>475.95100000000002</v>
      </c>
      <c r="U208" s="608"/>
      <c r="V208" s="314" t="s">
        <v>791</v>
      </c>
      <c r="W208" s="314" t="s">
        <v>792</v>
      </c>
      <c r="X208" s="609">
        <f>VLOOKUP(V205,[14]Progress!$B$9:$D$310,3,FALSE)</f>
        <v>399</v>
      </c>
      <c r="Y208" s="610"/>
      <c r="Z208" s="314" t="s">
        <v>791</v>
      </c>
      <c r="AA208" s="314" t="s">
        <v>792</v>
      </c>
      <c r="AB208" s="609">
        <f>VLOOKUP(Z205,[14]Progress!$B$9:$D$310,3,FALSE)</f>
        <v>426</v>
      </c>
      <c r="AC208" s="610"/>
      <c r="AD208" s="314" t="s">
        <v>791</v>
      </c>
      <c r="AE208" s="314" t="s">
        <v>792</v>
      </c>
      <c r="AF208" s="609">
        <f>VLOOKUP(AD205,[14]Progress!$B$9:$D$310,3,FALSE)</f>
        <v>408</v>
      </c>
      <c r="AG208" s="610"/>
      <c r="AH208" s="314" t="s">
        <v>791</v>
      </c>
      <c r="AI208" s="314" t="s">
        <v>792</v>
      </c>
      <c r="AJ208" s="609">
        <f>VLOOKUP(AH205,[14]Progress!$B$9:$D$310,3,FALSE)</f>
        <v>419</v>
      </c>
      <c r="AK208" s="610"/>
      <c r="AL208" s="314" t="s">
        <v>791</v>
      </c>
      <c r="AM208" s="314" t="s">
        <v>792</v>
      </c>
      <c r="AN208" s="609">
        <f>VLOOKUP(AL205,[14]Progress!$B$9:$D$310,3,FALSE)</f>
        <v>415</v>
      </c>
      <c r="AO208" s="610"/>
      <c r="AP208" s="314" t="s">
        <v>791</v>
      </c>
      <c r="AQ208" s="314" t="s">
        <v>792</v>
      </c>
      <c r="AR208" s="609">
        <f>VLOOKUP(AP205,[14]Progress!$B$9:$D$310,3,FALSE)</f>
        <v>415.11799999999999</v>
      </c>
      <c r="AS208" s="611"/>
      <c r="AT208" s="283"/>
      <c r="AV208" s="600">
        <f>D208+H208+L208+P208+T208+X208+AB208+AF208+AJ208+AN208+AR208</f>
        <v>4292.3789999999999</v>
      </c>
      <c r="AW208" s="600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600"/>
      <c r="AW209" s="600"/>
    </row>
    <row r="210" spans="1:51" ht="10.5" customHeight="1">
      <c r="A210" s="282"/>
      <c r="B210" s="605"/>
      <c r="C210" s="605"/>
      <c r="F210" s="605"/>
      <c r="G210" s="605"/>
      <c r="J210" s="605"/>
      <c r="K210" s="605"/>
      <c r="N210" s="605"/>
      <c r="O210" s="605"/>
      <c r="R210" s="605"/>
      <c r="S210" s="605"/>
      <c r="V210" s="605"/>
      <c r="W210" s="605"/>
      <c r="Z210" s="605"/>
      <c r="AA210" s="605"/>
      <c r="AD210" s="605"/>
      <c r="AE210" s="605"/>
      <c r="AH210" s="605"/>
      <c r="AI210" s="605"/>
      <c r="AL210" s="605"/>
      <c r="AM210" s="605"/>
      <c r="AP210" s="605"/>
      <c r="AQ210" s="605"/>
      <c r="AT210" s="283"/>
      <c r="AV210" s="600"/>
      <c r="AW210" s="600"/>
    </row>
    <row r="211" spans="1:51">
      <c r="A211" s="282"/>
      <c r="B211" s="602" t="str">
        <f>VLOOKUP(+B205,'[14]Twr Schedule'!$B$9:$C$611,2,FALSE)</f>
        <v>DA-3</v>
      </c>
      <c r="C211" s="602"/>
      <c r="F211" s="602" t="str">
        <f>VLOOKUP(+F205,'[14]Twr Schedule'!$B$9:$C$611,2,FALSE)</f>
        <v>DA-3</v>
      </c>
      <c r="G211" s="602"/>
      <c r="J211" s="602" t="str">
        <f>VLOOKUP(+J205,'[14]Twr Schedule'!$B$9:$C$611,2,FALSE)</f>
        <v>DA-3</v>
      </c>
      <c r="K211" s="602"/>
      <c r="N211" s="602" t="str">
        <f>VLOOKUP(+N205,'[14]Twr Schedule'!$B$9:$C$611,2,FALSE)</f>
        <v>DA+0</v>
      </c>
      <c r="O211" s="602"/>
      <c r="R211" s="602" t="str">
        <f>VLOOKUP(+R205,'[14]Twr Schedule'!$B$9:$C$611,2,FALSE)</f>
        <v>DC2+18</v>
      </c>
      <c r="S211" s="602"/>
      <c r="V211" s="602" t="str">
        <f>VLOOKUP(+V205,'[14]Twr Schedule'!$B$9:$C$611,2,FALSE)</f>
        <v>DC2+18</v>
      </c>
      <c r="W211" s="602"/>
      <c r="Z211" s="602" t="str">
        <f>VLOOKUP(+Z205,'[14]Twr Schedule'!$B$9:$C$611,2,FALSE)</f>
        <v>DA+3</v>
      </c>
      <c r="AA211" s="602"/>
      <c r="AD211" s="602" t="str">
        <f>VLOOKUP(+AD205,'[14]Twr Schedule'!$B$9:$C$611,2,FALSE)</f>
        <v>DA+3</v>
      </c>
      <c r="AE211" s="602"/>
      <c r="AH211" s="602" t="str">
        <f>VLOOKUP(+AH205,'[14]Twr Schedule'!$B$9:$C$611,2,FALSE)</f>
        <v>DA+3</v>
      </c>
      <c r="AI211" s="602"/>
      <c r="AL211" s="602" t="str">
        <f>VLOOKUP(+AL205,'[14]Twr Schedule'!$B$9:$C$611,2,FALSE)</f>
        <v>DA+3</v>
      </c>
      <c r="AM211" s="602"/>
      <c r="AP211" s="602" t="str">
        <f>VLOOKUP(+AP205,'[14]Twr Schedule'!$B$9:$C$611,2,FALSE)</f>
        <v>DA+3</v>
      </c>
      <c r="AQ211" s="602"/>
      <c r="AT211" s="283"/>
      <c r="AV211" s="600"/>
      <c r="AW211" s="600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600"/>
      <c r="AW212" s="600"/>
    </row>
    <row r="213" spans="1:51">
      <c r="A213" s="282"/>
      <c r="R213" t="s">
        <v>850</v>
      </c>
      <c r="AT213" s="283"/>
      <c r="AV213" s="600"/>
      <c r="AW213" s="600"/>
    </row>
    <row r="214" spans="1:51">
      <c r="A214" s="606" t="s">
        <v>848</v>
      </c>
      <c r="B214" s="606"/>
      <c r="C214" s="606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586" t="s">
        <v>851</v>
      </c>
      <c r="X214" s="587"/>
      <c r="Y214" s="587"/>
      <c r="Z214" s="587"/>
      <c r="AA214" s="587"/>
      <c r="AB214" s="587"/>
      <c r="AC214" s="587"/>
      <c r="AD214" s="587"/>
      <c r="AE214" s="587"/>
      <c r="AF214" s="587"/>
      <c r="AG214" s="587"/>
      <c r="AH214" s="587"/>
      <c r="AI214" s="587"/>
      <c r="AJ214" s="587"/>
      <c r="AK214" s="587"/>
      <c r="AL214" s="587"/>
      <c r="AM214" s="587"/>
      <c r="AN214" s="587"/>
      <c r="AO214" s="587"/>
      <c r="AP214" s="587"/>
      <c r="AQ214" s="587"/>
      <c r="AR214" s="588"/>
      <c r="AT214" s="283"/>
      <c r="AV214" s="600"/>
      <c r="AW214" s="600"/>
    </row>
    <row r="215" spans="1:51">
      <c r="A215" s="282"/>
      <c r="B215" s="600" t="str">
        <f>'[14]Twr Schedule'!B427</f>
        <v>38/6</v>
      </c>
      <c r="C215" s="600"/>
      <c r="F215" s="600" t="str">
        <f>'[14]Twr Schedule'!B429</f>
        <v>38/7</v>
      </c>
      <c r="G215" s="600"/>
      <c r="J215" s="600" t="str">
        <f>'[14]Twr Schedule'!B431</f>
        <v>38/8</v>
      </c>
      <c r="K215" s="600"/>
      <c r="N215" s="600" t="str">
        <f>'[14]Twr Schedule'!B433</f>
        <v>38/9</v>
      </c>
      <c r="O215" s="600"/>
      <c r="R215" s="600" t="str">
        <f>'[14]Twr Schedule'!B435</f>
        <v>38/10</v>
      </c>
      <c r="S215" s="600"/>
      <c r="V215" s="600" t="str">
        <f>'[14]Twr Schedule'!B437</f>
        <v>38/11</v>
      </c>
      <c r="W215" s="600"/>
      <c r="Z215" s="600" t="str">
        <f>'[14]Twr Schedule'!B439</f>
        <v>39/0</v>
      </c>
      <c r="AA215" s="600"/>
      <c r="AD215" s="600" t="str">
        <f>'[14]Twr Schedule'!B441</f>
        <v>39/1</v>
      </c>
      <c r="AE215" s="600"/>
      <c r="AH215" s="600" t="str">
        <f>'[14]Twr Schedule'!B443</f>
        <v>39/2</v>
      </c>
      <c r="AI215" s="600"/>
      <c r="AL215" s="600" t="str">
        <f>'[14]Twr Schedule'!B445</f>
        <v>39/3</v>
      </c>
      <c r="AM215" s="600"/>
      <c r="AP215" s="600" t="str">
        <f>'[14]Twr Schedule'!B447</f>
        <v>39/4</v>
      </c>
      <c r="AQ215" s="600"/>
      <c r="AT215" s="283"/>
      <c r="AV215" s="600"/>
      <c r="AW215" s="600"/>
    </row>
    <row r="216" spans="1:51">
      <c r="A216" s="282"/>
      <c r="AT216" s="283"/>
      <c r="AV216" s="600"/>
      <c r="AW216" s="600"/>
    </row>
    <row r="217" spans="1:51">
      <c r="A217" s="282"/>
      <c r="AT217" s="283"/>
      <c r="AV217" s="600"/>
      <c r="AW217" s="600"/>
    </row>
    <row r="218" spans="1:51">
      <c r="A218" s="282"/>
      <c r="B218" s="296" t="s">
        <v>791</v>
      </c>
      <c r="C218" s="296" t="s">
        <v>792</v>
      </c>
      <c r="D218" s="613">
        <f>VLOOKUP(B215,[14]Progress!$B$9:$D$310,3,FALSE)</f>
        <v>400</v>
      </c>
      <c r="E218" s="614"/>
      <c r="F218" s="296" t="s">
        <v>791</v>
      </c>
      <c r="G218" s="296" t="s">
        <v>792</v>
      </c>
      <c r="H218" s="613">
        <f>VLOOKUP(F215,[14]Progress!$B$9:$D$310,3,FALSE)</f>
        <v>408.00200000000001</v>
      </c>
      <c r="I218" s="614"/>
      <c r="J218" s="296" t="s">
        <v>791</v>
      </c>
      <c r="K218" s="296" t="s">
        <v>792</v>
      </c>
      <c r="L218" s="613">
        <f>VLOOKUP(J215,[14]Progress!$B$9:$D$310,3,FALSE)</f>
        <v>393</v>
      </c>
      <c r="M218" s="614"/>
      <c r="N218" s="296" t="s">
        <v>791</v>
      </c>
      <c r="O218" s="296" t="s">
        <v>792</v>
      </c>
      <c r="P218" s="613">
        <f>VLOOKUP(N215,[14]Progress!$B$9:$D$310,3,FALSE)</f>
        <v>353</v>
      </c>
      <c r="Q218" s="614"/>
      <c r="R218" s="296" t="s">
        <v>791</v>
      </c>
      <c r="S218" s="296" t="s">
        <v>792</v>
      </c>
      <c r="T218" s="613">
        <f>VLOOKUP(R215,[14]Progress!$B$9:$D$310,3,FALSE)</f>
        <v>383</v>
      </c>
      <c r="U218" s="614"/>
      <c r="V218" s="314" t="s">
        <v>791</v>
      </c>
      <c r="W218" s="314" t="s">
        <v>792</v>
      </c>
      <c r="X218" s="609">
        <f>VLOOKUP(V215,[14]Progress!$B$9:$D$310,3,FALSE)</f>
        <v>403.72300000000001</v>
      </c>
      <c r="Y218" s="610"/>
      <c r="Z218" s="314" t="s">
        <v>791</v>
      </c>
      <c r="AA218" s="314" t="s">
        <v>792</v>
      </c>
      <c r="AB218" s="609">
        <f>VLOOKUP(Z215,[14]Progress!$B$9:$D$310,3,FALSE)</f>
        <v>398</v>
      </c>
      <c r="AC218" s="610"/>
      <c r="AD218" s="314" t="s">
        <v>791</v>
      </c>
      <c r="AE218" s="314" t="s">
        <v>792</v>
      </c>
      <c r="AF218" s="609">
        <f>VLOOKUP(AD215,[14]Progress!$B$9:$D$310,3,FALSE)</f>
        <v>402</v>
      </c>
      <c r="AG218" s="610"/>
      <c r="AH218" s="314" t="s">
        <v>791</v>
      </c>
      <c r="AI218" s="314" t="s">
        <v>792</v>
      </c>
      <c r="AJ218" s="609">
        <f>VLOOKUP(AH215,[14]Progress!$B$9:$D$310,3,FALSE)</f>
        <v>393.00299999999999</v>
      </c>
      <c r="AK218" s="610"/>
      <c r="AL218" s="314" t="s">
        <v>791</v>
      </c>
      <c r="AM218" s="314" t="s">
        <v>792</v>
      </c>
      <c r="AN218" s="609">
        <f>VLOOKUP(AL215,[14]Progress!$B$9:$D$310,3,FALSE)</f>
        <v>436.59699999999998</v>
      </c>
      <c r="AO218" s="610"/>
      <c r="AP218" s="314" t="s">
        <v>791</v>
      </c>
      <c r="AQ218" s="314" t="s">
        <v>792</v>
      </c>
      <c r="AR218" s="609">
        <f>VLOOKUP(AP215,[14]Progress!$B$9:$D$310,3,FALSE)</f>
        <v>376.01100000000002</v>
      </c>
      <c r="AS218" s="611"/>
      <c r="AT218" s="283"/>
      <c r="AV218" s="600">
        <f>D218+H218+L218+P218+T218+X218+AB218+AF218+AJ218+AN218+AR218</f>
        <v>4346.3360000000002</v>
      </c>
      <c r="AW218" s="600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600"/>
      <c r="AW219" s="600"/>
    </row>
    <row r="220" spans="1:51" ht="10.5" customHeight="1">
      <c r="A220" s="282"/>
      <c r="B220" s="605"/>
      <c r="C220" s="605"/>
      <c r="F220" s="605"/>
      <c r="G220" s="605"/>
      <c r="J220" s="605"/>
      <c r="K220" s="605"/>
      <c r="N220" s="605"/>
      <c r="O220" s="605"/>
      <c r="R220" s="605"/>
      <c r="S220" s="605"/>
      <c r="V220" s="605"/>
      <c r="W220" s="605"/>
      <c r="Z220" s="605"/>
      <c r="AA220" s="605"/>
      <c r="AD220" s="605"/>
      <c r="AE220" s="605"/>
      <c r="AH220" s="605"/>
      <c r="AI220" s="605"/>
      <c r="AL220" s="605"/>
      <c r="AM220" s="605"/>
      <c r="AP220" s="605"/>
      <c r="AQ220" s="605"/>
      <c r="AT220" s="283"/>
      <c r="AV220" s="600"/>
      <c r="AW220" s="600"/>
    </row>
    <row r="221" spans="1:51">
      <c r="A221" s="282"/>
      <c r="B221" s="602" t="str">
        <f>VLOOKUP(+B215,'[14]Twr Schedule'!$B$9:$C$611,2,FALSE)</f>
        <v>DA+3</v>
      </c>
      <c r="C221" s="602"/>
      <c r="F221" s="602" t="str">
        <f>VLOOKUP(+F215,'[14]Twr Schedule'!$B$9:$C$611,2,FALSE)</f>
        <v>DA-3</v>
      </c>
      <c r="G221" s="602"/>
      <c r="J221" s="602" t="str">
        <f>VLOOKUP(+J215,'[14]Twr Schedule'!$B$9:$C$611,2,FALSE)</f>
        <v>DA+3</v>
      </c>
      <c r="K221" s="602"/>
      <c r="N221" s="602" t="str">
        <f>VLOOKUP(+N215,'[14]Twr Schedule'!$B$9:$C$611,2,FALSE)</f>
        <v>DA-3</v>
      </c>
      <c r="O221" s="602"/>
      <c r="R221" s="602" t="str">
        <f>VLOOKUP(+R215,'[14]Twr Schedule'!$B$9:$C$611,2,FALSE)</f>
        <v>DA-3</v>
      </c>
      <c r="S221" s="602"/>
      <c r="V221" s="602" t="str">
        <f>VLOOKUP(+V215,'[14]Twr Schedule'!$B$9:$C$611,2,FALSE)</f>
        <v>DA+3</v>
      </c>
      <c r="W221" s="602"/>
      <c r="Z221" s="602" t="str">
        <f>VLOOKUP(+Z215,'[14]Twr Schedule'!$B$9:$C$611,2,FALSE)</f>
        <v>DB2+0</v>
      </c>
      <c r="AA221" s="602"/>
      <c r="AD221" s="602" t="str">
        <f>VLOOKUP(+AD215,'[14]Twr Schedule'!$B$9:$C$611,2,FALSE)</f>
        <v>DA+3</v>
      </c>
      <c r="AE221" s="602"/>
      <c r="AH221" s="602" t="str">
        <f>VLOOKUP(+AH215,'[14]Twr Schedule'!$B$9:$C$611,2,FALSE)</f>
        <v>DA-3</v>
      </c>
      <c r="AI221" s="602"/>
      <c r="AL221" s="602" t="str">
        <f>VLOOKUP(+AL215,'[14]Twr Schedule'!$B$9:$C$611,2,FALSE)</f>
        <v>DA+3</v>
      </c>
      <c r="AM221" s="602"/>
      <c r="AP221" s="602" t="str">
        <f>VLOOKUP(+AP215,'[14]Twr Schedule'!$B$9:$C$611,2,FALSE)</f>
        <v>DA+3</v>
      </c>
      <c r="AQ221" s="602"/>
      <c r="AT221" s="283"/>
      <c r="AV221" s="600"/>
      <c r="AW221" s="600"/>
    </row>
    <row r="222" spans="1:51">
      <c r="A222" s="282"/>
      <c r="AT222" s="283"/>
      <c r="AV222" s="600"/>
      <c r="AW222" s="600"/>
    </row>
    <row r="223" spans="1:51">
      <c r="A223" s="586" t="s">
        <v>851</v>
      </c>
      <c r="B223" s="587"/>
      <c r="C223" s="587"/>
      <c r="D223" s="587"/>
      <c r="E223" s="587"/>
      <c r="F223" s="587"/>
      <c r="G223" s="587"/>
      <c r="H223" s="587"/>
      <c r="I223" s="587"/>
      <c r="J223" s="587"/>
      <c r="K223" s="587"/>
      <c r="L223" s="587"/>
      <c r="M223" s="587"/>
      <c r="N223" s="587"/>
      <c r="O223" s="587"/>
      <c r="P223" s="587"/>
      <c r="Q223" s="587"/>
      <c r="R223" s="587"/>
      <c r="S223" s="587"/>
      <c r="T223" s="587"/>
      <c r="U223" s="587"/>
      <c r="V223" s="587"/>
      <c r="W223" s="587"/>
      <c r="X223" s="587"/>
      <c r="Y223" s="587"/>
      <c r="Z223" s="588"/>
      <c r="AA223" s="606" t="s">
        <v>852</v>
      </c>
      <c r="AB223" s="606"/>
      <c r="AC223" s="606"/>
      <c r="AD223" s="606"/>
      <c r="AE223" s="606"/>
      <c r="AF223" s="606"/>
      <c r="AG223" s="606"/>
      <c r="AH223" s="606"/>
      <c r="AI223" s="606"/>
      <c r="AJ223" s="606"/>
      <c r="AK223" s="606"/>
      <c r="AL223" s="606"/>
      <c r="AM223" s="606"/>
      <c r="AN223" s="606"/>
      <c r="AO223" s="606"/>
      <c r="AP223" s="606"/>
      <c r="AQ223" s="606"/>
      <c r="AR223" s="606"/>
      <c r="AT223" s="283"/>
      <c r="AV223" s="600"/>
      <c r="AW223" s="600"/>
    </row>
    <row r="224" spans="1:51">
      <c r="A224" s="282"/>
      <c r="AT224" s="283"/>
      <c r="AV224" s="600"/>
      <c r="AW224" s="600"/>
    </row>
    <row r="225" spans="1:51">
      <c r="A225" s="282"/>
      <c r="B225" s="600" t="str">
        <f>'[14]Twr Schedule'!B449</f>
        <v>39/5</v>
      </c>
      <c r="C225" s="600"/>
      <c r="F225" s="600" t="str">
        <f>'[14]Twr Schedule'!B451</f>
        <v>39/6</v>
      </c>
      <c r="G225" s="600"/>
      <c r="J225" s="600" t="str">
        <f>'[14]Twr Schedule'!B453</f>
        <v>39/7</v>
      </c>
      <c r="K225" s="600"/>
      <c r="N225" s="600" t="str">
        <f>'[14]Twr Schedule'!B455</f>
        <v>39/8</v>
      </c>
      <c r="O225" s="600"/>
      <c r="R225" s="600" t="str">
        <f>'[14]Twr Schedule'!B457</f>
        <v>39/9</v>
      </c>
      <c r="S225" s="600"/>
      <c r="V225" s="600" t="str">
        <f>'[14]Twr Schedule'!B459</f>
        <v>39/10</v>
      </c>
      <c r="W225" s="600"/>
      <c r="Z225" s="600" t="str">
        <f>'[14]Twr Schedule'!B461</f>
        <v>40/0</v>
      </c>
      <c r="AA225" s="600"/>
      <c r="AD225" s="600" t="str">
        <f>'[14]Twr Schedule'!B463</f>
        <v>41/0</v>
      </c>
      <c r="AE225" s="600"/>
      <c r="AH225" s="600" t="str">
        <f>'[14]Twr Schedule'!B465</f>
        <v>41/1</v>
      </c>
      <c r="AI225" s="600"/>
      <c r="AL225" s="600" t="str">
        <f>'[14]Twr Schedule'!B467</f>
        <v>41/2</v>
      </c>
      <c r="AM225" s="600"/>
      <c r="AP225" s="600" t="str">
        <f>'[14]Twr Schedule'!B469</f>
        <v>42/0</v>
      </c>
      <c r="AQ225" s="600"/>
      <c r="AT225" s="283"/>
      <c r="AV225" s="600"/>
      <c r="AW225" s="600"/>
    </row>
    <row r="226" spans="1:51">
      <c r="A226" s="282"/>
      <c r="AT226" s="283"/>
      <c r="AV226" s="600"/>
      <c r="AW226" s="600"/>
    </row>
    <row r="227" spans="1:51">
      <c r="A227" s="282"/>
      <c r="AT227" s="283"/>
      <c r="AV227" s="600"/>
      <c r="AW227" s="600"/>
    </row>
    <row r="228" spans="1:51">
      <c r="A228" s="282"/>
      <c r="B228" s="296" t="s">
        <v>791</v>
      </c>
      <c r="C228" s="296" t="s">
        <v>792</v>
      </c>
      <c r="D228" s="609">
        <f>VLOOKUP(B225,[14]Progress!$B$9:$D$310,3,FALSE)</f>
        <v>374.38900000000001</v>
      </c>
      <c r="E228" s="610"/>
      <c r="F228" s="314" t="s">
        <v>791</v>
      </c>
      <c r="G228" s="314" t="s">
        <v>792</v>
      </c>
      <c r="H228" s="609">
        <f>VLOOKUP(F225,[14]Progress!$B$9:$D$310,3,FALSE)</f>
        <v>420.39800000000002</v>
      </c>
      <c r="I228" s="610"/>
      <c r="J228" s="314" t="s">
        <v>791</v>
      </c>
      <c r="K228" s="314" t="s">
        <v>792</v>
      </c>
      <c r="L228" s="609">
        <f>VLOOKUP(J225,[14]Progress!$B$9:$D$310,3,FALSE)</f>
        <v>414.00200000000001</v>
      </c>
      <c r="M228" s="610"/>
      <c r="N228" s="314" t="s">
        <v>791</v>
      </c>
      <c r="O228" s="314" t="s">
        <v>792</v>
      </c>
      <c r="P228" s="609">
        <f>VLOOKUP(N225,[14]Progress!$B$9:$D$310,3,FALSE)</f>
        <v>416.00099999999998</v>
      </c>
      <c r="Q228" s="610"/>
      <c r="R228" s="314" t="s">
        <v>791</v>
      </c>
      <c r="S228" s="314" t="s">
        <v>792</v>
      </c>
      <c r="T228" s="609">
        <f>VLOOKUP(R225,[14]Progress!$B$9:$D$310,3,FALSE)</f>
        <v>408.00200000000001</v>
      </c>
      <c r="U228" s="610"/>
      <c r="V228" s="314" t="s">
        <v>791</v>
      </c>
      <c r="W228" s="314" t="s">
        <v>792</v>
      </c>
      <c r="X228" s="609">
        <f>VLOOKUP(V225,[14]Progress!$B$9:$D$310,3,FALSE)</f>
        <v>422.12400000000002</v>
      </c>
      <c r="Y228" s="610"/>
      <c r="Z228" s="314" t="s">
        <v>791</v>
      </c>
      <c r="AA228" s="314" t="s">
        <v>792</v>
      </c>
      <c r="AB228" s="609">
        <f>VLOOKUP(Z225,[14]Progress!$B$9:$D$310,3,FALSE)</f>
        <v>239.30199999999999</v>
      </c>
      <c r="AC228" s="610"/>
      <c r="AD228" s="314" t="s">
        <v>791</v>
      </c>
      <c r="AE228" s="314" t="s">
        <v>792</v>
      </c>
      <c r="AF228" s="609">
        <f>VLOOKUP(AD225,[14]Progress!$B$9:$D$310,3,FALSE)</f>
        <v>425</v>
      </c>
      <c r="AG228" s="610"/>
      <c r="AH228" s="314" t="s">
        <v>791</v>
      </c>
      <c r="AI228" s="314" t="s">
        <v>792</v>
      </c>
      <c r="AJ228" s="609">
        <f>VLOOKUP(AH225,[14]Progress!$B$9:$D$310,3,FALSE)</f>
        <v>370</v>
      </c>
      <c r="AK228" s="610"/>
      <c r="AL228" s="314" t="s">
        <v>791</v>
      </c>
      <c r="AM228" s="314" t="s">
        <v>792</v>
      </c>
      <c r="AN228" s="609">
        <f>VLOOKUP(AL225,[14]Progress!$B$9:$D$310,3,FALSE)</f>
        <v>346.55599999999998</v>
      </c>
      <c r="AO228" s="610"/>
      <c r="AP228" s="314" t="s">
        <v>791</v>
      </c>
      <c r="AQ228" s="314" t="s">
        <v>792</v>
      </c>
      <c r="AR228" s="607">
        <f>VLOOKUP(AP225,[14]Progress!$B$9:$D$310,3,FALSE)</f>
        <v>309.23</v>
      </c>
      <c r="AS228" s="615"/>
      <c r="AT228" s="283"/>
      <c r="AV228" s="600">
        <f>D228+H228+L228+P228+T228+X228+AB228+AF228+AJ228+AN228+AR228</f>
        <v>4145.0040000000008</v>
      </c>
      <c r="AW228" s="600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600"/>
      <c r="AW229" s="600"/>
    </row>
    <row r="230" spans="1:51" ht="10.5" customHeight="1">
      <c r="A230" s="282"/>
      <c r="B230" s="605"/>
      <c r="C230" s="605"/>
      <c r="F230" s="605"/>
      <c r="G230" s="605"/>
      <c r="J230" s="605"/>
      <c r="K230" s="605"/>
      <c r="N230" s="605"/>
      <c r="O230" s="605"/>
      <c r="R230" s="605"/>
      <c r="S230" s="605"/>
      <c r="V230" s="605"/>
      <c r="W230" s="605"/>
      <c r="Z230" s="605"/>
      <c r="AA230" s="605"/>
      <c r="AD230" s="605"/>
      <c r="AE230" s="605"/>
      <c r="AH230" s="605"/>
      <c r="AI230" s="605"/>
      <c r="AL230" s="605"/>
      <c r="AM230" s="605"/>
      <c r="AP230" s="605"/>
      <c r="AQ230" s="605"/>
      <c r="AT230" s="283"/>
      <c r="AV230" s="600"/>
      <c r="AW230" s="600"/>
    </row>
    <row r="231" spans="1:51">
      <c r="A231" s="282"/>
      <c r="B231" s="602" t="str">
        <f>VLOOKUP(+B225,'[14]Twr Schedule'!$B$9:$C$611,2,FALSE)</f>
        <v>DA-3</v>
      </c>
      <c r="C231" s="602"/>
      <c r="F231" s="602" t="str">
        <f>VLOOKUP(+F225,'[14]Twr Schedule'!$B$9:$C$611,2,FALSE)</f>
        <v>DA+3</v>
      </c>
      <c r="G231" s="602"/>
      <c r="J231" s="602" t="str">
        <f>VLOOKUP(+J225,'[14]Twr Schedule'!$B$9:$C$611,2,FALSE)</f>
        <v>DA+3</v>
      </c>
      <c r="K231" s="602"/>
      <c r="N231" s="602" t="str">
        <f>VLOOKUP(+N225,'[14]Twr Schedule'!$B$9:$C$611,2,FALSE)</f>
        <v>DA+0</v>
      </c>
      <c r="O231" s="602"/>
      <c r="R231" s="602" t="str">
        <f>VLOOKUP(+R225,'[14]Twr Schedule'!$B$9:$C$611,2,FALSE)</f>
        <v>DA+3</v>
      </c>
      <c r="S231" s="602"/>
      <c r="V231" s="602" t="str">
        <f>VLOOKUP(+V225,'[14]Twr Schedule'!$B$9:$C$611,2,FALSE)</f>
        <v>DA+0</v>
      </c>
      <c r="W231" s="602"/>
      <c r="Z231" s="612" t="str">
        <f>VLOOKUP(+Z225,'[14]Twr Schedule'!$B$9:$C$611,2,FALSE)</f>
        <v>DD60+25</v>
      </c>
      <c r="AA231" s="612"/>
      <c r="AB231" s="315"/>
      <c r="AC231" s="315"/>
      <c r="AD231" s="612" t="str">
        <f>VLOOKUP(+AD225,'[14]Twr Schedule'!$B$9:$C$611,2,FALSE)</f>
        <v>DD60+18</v>
      </c>
      <c r="AE231" s="612"/>
      <c r="AH231" s="602" t="str">
        <f>VLOOKUP(+AH225,'[14]Twr Schedule'!$B$9:$C$611,2,FALSE)</f>
        <v>DA+0</v>
      </c>
      <c r="AI231" s="602"/>
      <c r="AL231" s="602" t="str">
        <f>VLOOKUP(+AL225,'[14]Twr Schedule'!$B$9:$C$611,2,FALSE)</f>
        <v>DA+3</v>
      </c>
      <c r="AM231" s="602"/>
      <c r="AP231" s="601" t="str">
        <f>VLOOKUP(+AP225,'[14]Twr Schedule'!$B$9:$C$611,2,FALSE)</f>
        <v>DD60+18</v>
      </c>
      <c r="AQ231" s="601"/>
      <c r="AT231" s="283"/>
      <c r="AV231" s="600"/>
      <c r="AW231" s="600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600"/>
      <c r="AW232" s="600"/>
    </row>
    <row r="233" spans="1:51">
      <c r="A233" s="282"/>
      <c r="Z233" t="s">
        <v>855</v>
      </c>
      <c r="AP233" s="2" t="s">
        <v>856</v>
      </c>
      <c r="AT233" s="283"/>
      <c r="AV233" s="600"/>
      <c r="AW233" s="600"/>
    </row>
    <row r="234" spans="1:51">
      <c r="A234" s="586" t="s">
        <v>852</v>
      </c>
      <c r="B234" s="587"/>
      <c r="C234" s="587"/>
      <c r="D234" s="587"/>
      <c r="E234" s="587"/>
      <c r="F234" s="587"/>
      <c r="G234" s="587"/>
      <c r="H234" s="587"/>
      <c r="I234" s="587"/>
      <c r="J234" s="587"/>
      <c r="K234" s="587"/>
      <c r="L234" s="587"/>
      <c r="M234" s="587"/>
      <c r="N234" s="587"/>
      <c r="O234" s="587"/>
      <c r="P234" s="587"/>
      <c r="Q234" s="587"/>
      <c r="R234" s="587"/>
      <c r="S234" s="587"/>
      <c r="T234" s="587"/>
      <c r="U234" s="587"/>
      <c r="V234" s="587"/>
      <c r="W234" s="587"/>
      <c r="X234" s="587"/>
      <c r="Y234" s="587"/>
      <c r="Z234" s="587"/>
      <c r="AA234" s="587"/>
      <c r="AB234" s="587"/>
      <c r="AC234" s="587"/>
      <c r="AD234" s="587"/>
      <c r="AE234" s="587"/>
      <c r="AF234" s="587"/>
      <c r="AG234" s="587"/>
      <c r="AH234" s="587"/>
      <c r="AI234" s="587"/>
      <c r="AJ234" s="587"/>
      <c r="AK234" s="587"/>
      <c r="AL234" s="588"/>
      <c r="AM234" s="606" t="s">
        <v>857</v>
      </c>
      <c r="AN234" s="606"/>
      <c r="AO234" s="606"/>
      <c r="AP234" s="606"/>
      <c r="AQ234" s="606"/>
      <c r="AR234" s="606"/>
      <c r="AT234" s="283"/>
      <c r="AV234" s="600"/>
      <c r="AW234" s="600"/>
    </row>
    <row r="235" spans="1:51">
      <c r="A235" s="282"/>
      <c r="B235" s="600" t="str">
        <f>'[14]Twr Schedule'!B471</f>
        <v>43/0</v>
      </c>
      <c r="C235" s="600"/>
      <c r="F235" s="600" t="str">
        <f>'[14]Twr Schedule'!B473</f>
        <v>44/0</v>
      </c>
      <c r="G235" s="600"/>
      <c r="J235" s="600" t="str">
        <f>'[14]Twr Schedule'!B475</f>
        <v>45/0</v>
      </c>
      <c r="K235" s="600"/>
      <c r="N235" s="600" t="str">
        <f>'[14]Twr Schedule'!B477</f>
        <v>45/1</v>
      </c>
      <c r="O235" s="600"/>
      <c r="R235" s="600" t="str">
        <f>'[14]Twr Schedule'!B479</f>
        <v>45/2</v>
      </c>
      <c r="S235" s="600"/>
      <c r="V235" s="600" t="str">
        <f>'[14]Twr Schedule'!B481</f>
        <v>45/3</v>
      </c>
      <c r="W235" s="600"/>
      <c r="Z235" s="600" t="str">
        <f>'[14]Twr Schedule'!B483</f>
        <v>46/0</v>
      </c>
      <c r="AA235" s="600"/>
      <c r="AD235" s="600" t="str">
        <f>'[14]Twr Schedule'!B485</f>
        <v>46/1</v>
      </c>
      <c r="AE235" s="600"/>
      <c r="AH235" s="600" t="str">
        <f>'[14]Twr Schedule'!B487</f>
        <v>46/2</v>
      </c>
      <c r="AI235" s="600"/>
      <c r="AL235" s="600" t="str">
        <f>'[14]Twr Schedule'!B489</f>
        <v>47/0</v>
      </c>
      <c r="AM235" s="600"/>
      <c r="AP235" s="600" t="str">
        <f>'[14]Twr Schedule'!B491</f>
        <v>48/0</v>
      </c>
      <c r="AQ235" s="600"/>
      <c r="AT235" s="283"/>
      <c r="AV235" s="600"/>
      <c r="AW235" s="600"/>
    </row>
    <row r="236" spans="1:51">
      <c r="A236" s="282"/>
      <c r="AT236" s="283"/>
      <c r="AV236" s="600"/>
      <c r="AW236" s="600"/>
    </row>
    <row r="237" spans="1:51">
      <c r="A237" s="282"/>
      <c r="AT237" s="283"/>
      <c r="AV237" s="600"/>
      <c r="AW237" s="600"/>
    </row>
    <row r="238" spans="1:51">
      <c r="A238" s="282"/>
      <c r="B238" s="296" t="s">
        <v>791</v>
      </c>
      <c r="C238" s="296" t="s">
        <v>792</v>
      </c>
      <c r="D238" s="609">
        <f>VLOOKUP(B235,[14]Progress!$B$9:$D$310,3,FALSE)</f>
        <v>459.66899999999998</v>
      </c>
      <c r="E238" s="610"/>
      <c r="F238" s="314" t="s">
        <v>791</v>
      </c>
      <c r="G238" s="314" t="s">
        <v>792</v>
      </c>
      <c r="H238" s="607">
        <f>VLOOKUP(F235,[14]Progress!$B$9:$D$310,3,FALSE)</f>
        <v>300.00099999999998</v>
      </c>
      <c r="I238" s="608"/>
      <c r="J238" s="314" t="s">
        <v>791</v>
      </c>
      <c r="K238" s="314" t="s">
        <v>792</v>
      </c>
      <c r="L238" s="609">
        <f>VLOOKUP(J235,[14]Progress!$B$9:$D$310,3,FALSE)</f>
        <v>331</v>
      </c>
      <c r="M238" s="610"/>
      <c r="N238" s="314" t="s">
        <v>791</v>
      </c>
      <c r="O238" s="314" t="s">
        <v>792</v>
      </c>
      <c r="P238" s="609">
        <f>VLOOKUP(N235,[14]Progress!$B$9:$D$310,3,FALSE)</f>
        <v>422</v>
      </c>
      <c r="Q238" s="610"/>
      <c r="R238" s="314" t="s">
        <v>791</v>
      </c>
      <c r="S238" s="314" t="s">
        <v>792</v>
      </c>
      <c r="T238" s="609">
        <f>VLOOKUP(R235,[14]Progress!$B$9:$D$310,3,FALSE)</f>
        <v>395</v>
      </c>
      <c r="U238" s="610"/>
      <c r="V238" s="314" t="s">
        <v>791</v>
      </c>
      <c r="W238" s="314" t="s">
        <v>792</v>
      </c>
      <c r="X238" s="609">
        <f>VLOOKUP(V235,[14]Progress!$B$9:$D$310,3,FALSE)</f>
        <v>309.88099999999997</v>
      </c>
      <c r="Y238" s="610"/>
      <c r="Z238" s="314" t="s">
        <v>791</v>
      </c>
      <c r="AA238" s="314" t="s">
        <v>792</v>
      </c>
      <c r="AB238" s="609">
        <f>VLOOKUP(Z235,[14]Progress!$B$9:$D$310,3,FALSE)</f>
        <v>331</v>
      </c>
      <c r="AC238" s="610"/>
      <c r="AD238" s="314" t="s">
        <v>791</v>
      </c>
      <c r="AE238" s="314" t="s">
        <v>792</v>
      </c>
      <c r="AF238" s="609">
        <f>VLOOKUP(AD235,[14]Progress!$B$9:$D$310,3,FALSE)</f>
        <v>421</v>
      </c>
      <c r="AG238" s="610"/>
      <c r="AH238" s="314" t="s">
        <v>791</v>
      </c>
      <c r="AI238" s="314" t="s">
        <v>792</v>
      </c>
      <c r="AJ238" s="609">
        <f>VLOOKUP(AH235,[14]Progress!$B$9:$D$310,3,FALSE)</f>
        <v>403.60599999999999</v>
      </c>
      <c r="AK238" s="610"/>
      <c r="AL238" s="314" t="s">
        <v>791</v>
      </c>
      <c r="AM238" s="314" t="s">
        <v>792</v>
      </c>
      <c r="AN238" s="607">
        <f>VLOOKUP(AL235,[14]Progress!$B$9:$D$310,3,FALSE)</f>
        <v>358.62599999999998</v>
      </c>
      <c r="AO238" s="608"/>
      <c r="AP238" s="314" t="s">
        <v>791</v>
      </c>
      <c r="AQ238" s="314" t="s">
        <v>792</v>
      </c>
      <c r="AR238" s="609">
        <f>VLOOKUP(AP235,[14]Progress!$B$9:$D$310,3,FALSE)</f>
        <v>388</v>
      </c>
      <c r="AS238" s="611"/>
      <c r="AT238" s="283"/>
      <c r="AV238" s="600">
        <f>D238+H238+L238+P238+T238+X238+AB238+AF238+AJ238+AN238+AR238</f>
        <v>4119.7830000000004</v>
      </c>
      <c r="AW238" s="600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600"/>
      <c r="AW239" s="600"/>
    </row>
    <row r="240" spans="1:51" ht="10.5" customHeight="1">
      <c r="A240" s="282"/>
      <c r="B240" s="605"/>
      <c r="C240" s="605"/>
      <c r="F240" s="605"/>
      <c r="G240" s="605"/>
      <c r="J240" s="605"/>
      <c r="K240" s="605"/>
      <c r="N240" s="605"/>
      <c r="O240" s="605"/>
      <c r="R240" s="605"/>
      <c r="S240" s="605"/>
      <c r="V240" s="605"/>
      <c r="W240" s="605"/>
      <c r="Z240" s="605"/>
      <c r="AA240" s="605"/>
      <c r="AD240" s="605"/>
      <c r="AE240" s="605"/>
      <c r="AH240" s="605"/>
      <c r="AI240" s="605"/>
      <c r="AL240" s="605"/>
      <c r="AM240" s="605"/>
      <c r="AP240" s="605"/>
      <c r="AQ240" s="605"/>
      <c r="AT240" s="283"/>
      <c r="AV240" s="600"/>
      <c r="AW240" s="600"/>
    </row>
    <row r="241" spans="1:51">
      <c r="A241" s="282"/>
      <c r="B241" s="602" t="str">
        <f>VLOOKUP(+B235,'[14]Twr Schedule'!$B$9:$C$611,2,FALSE)</f>
        <v>DD60+9</v>
      </c>
      <c r="C241" s="602"/>
      <c r="F241" s="602" t="str">
        <f>VLOOKUP(+F235,'[14]Twr Schedule'!$B$9:$C$611,2,FALSE)</f>
        <v>DD60+3</v>
      </c>
      <c r="G241" s="602"/>
      <c r="J241" s="602" t="str">
        <f>VLOOKUP(+J235,'[14]Twr Schedule'!$B$9:$C$611,2,FALSE)</f>
        <v>DD60+0</v>
      </c>
      <c r="K241" s="602"/>
      <c r="N241" s="602" t="str">
        <f>VLOOKUP(+N235,'[14]Twr Schedule'!$B$9:$C$611,2,FALSE)</f>
        <v>DA+3</v>
      </c>
      <c r="O241" s="602"/>
      <c r="R241" s="602" t="str">
        <f>VLOOKUP(+R235,'[14]Twr Schedule'!$B$9:$C$611,2,FALSE)</f>
        <v>DA+3</v>
      </c>
      <c r="S241" s="602"/>
      <c r="V241" s="602" t="str">
        <f>VLOOKUP(+V235,'[14]Twr Schedule'!$B$9:$C$611,2,FALSE)</f>
        <v>DA-3</v>
      </c>
      <c r="W241" s="602"/>
      <c r="Z241" s="602" t="str">
        <f>VLOOKUP(+Z235,'[14]Twr Schedule'!$B$9:$C$611,2,FALSE)</f>
        <v>DB2+0</v>
      </c>
      <c r="AA241" s="602"/>
      <c r="AD241" s="602" t="str">
        <f>VLOOKUP(+AD235,'[14]Twr Schedule'!$B$9:$C$611,2,FALSE)</f>
        <v>DA+0</v>
      </c>
      <c r="AE241" s="602"/>
      <c r="AH241" s="602" t="str">
        <f>VLOOKUP(+AH235,'[14]Twr Schedule'!$B$9:$C$611,2,FALSE)</f>
        <v>DA+3</v>
      </c>
      <c r="AI241" s="602"/>
      <c r="AL241" s="602" t="str">
        <f>VLOOKUP(+AL235,'[14]Twr Schedule'!$B$9:$C$611,2,FALSE)</f>
        <v>DC2+9</v>
      </c>
      <c r="AM241" s="602"/>
      <c r="AP241" s="602" t="str">
        <f>VLOOKUP(+AP235,'[14]Twr Schedule'!$B$9:$C$611,2,FALSE)</f>
        <v>DD45+9</v>
      </c>
      <c r="AQ241" s="602"/>
      <c r="AT241" s="283"/>
      <c r="AV241" s="600"/>
      <c r="AW241" s="600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600"/>
      <c r="AW242" s="600"/>
    </row>
    <row r="243" spans="1:51">
      <c r="A243" s="606" t="s">
        <v>857</v>
      </c>
      <c r="B243" s="606"/>
      <c r="C243" s="606"/>
      <c r="D243" s="606"/>
      <c r="E243" s="606"/>
      <c r="F243" s="606"/>
      <c r="G243" s="606"/>
      <c r="H243" s="606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 t="s">
        <v>860</v>
      </c>
      <c r="AB243" s="606"/>
      <c r="AC243" s="606"/>
      <c r="AD243" s="606"/>
      <c r="AE243" s="606"/>
      <c r="AF243" s="606"/>
      <c r="AG243" s="606"/>
      <c r="AH243" s="606"/>
      <c r="AI243" s="606"/>
      <c r="AJ243" s="606"/>
      <c r="AK243" s="606"/>
      <c r="AL243" s="606"/>
      <c r="AM243" s="606"/>
      <c r="AN243" s="606"/>
      <c r="AO243" s="606"/>
      <c r="AP243" s="606"/>
      <c r="AQ243" s="606"/>
      <c r="AR243" s="606"/>
      <c r="AT243" s="283"/>
      <c r="AV243" s="600"/>
      <c r="AW243" s="600"/>
    </row>
    <row r="244" spans="1:51">
      <c r="A244" s="282"/>
      <c r="AT244" s="283"/>
      <c r="AV244" s="600"/>
      <c r="AW244" s="600"/>
    </row>
    <row r="245" spans="1:51">
      <c r="A245" s="282"/>
      <c r="B245" s="600" t="str">
        <f>'[14]Twr Schedule'!B493</f>
        <v>48/1</v>
      </c>
      <c r="C245" s="600"/>
      <c r="F245" s="600" t="str">
        <f>'[14]Twr Schedule'!B495</f>
        <v>49/0</v>
      </c>
      <c r="G245" s="600"/>
      <c r="J245" s="600" t="str">
        <f>'[14]Twr Schedule'!B497</f>
        <v>50/0</v>
      </c>
      <c r="K245" s="600"/>
      <c r="N245" s="600" t="str">
        <f>'[14]Twr Schedule'!B499</f>
        <v>50/1</v>
      </c>
      <c r="O245" s="600"/>
      <c r="R245" s="600" t="str">
        <f>'[14]Twr Schedule'!B501</f>
        <v>51/0</v>
      </c>
      <c r="S245" s="600"/>
      <c r="V245" s="600" t="str">
        <f>'[14]Twr Schedule'!B503</f>
        <v>52/0</v>
      </c>
      <c r="W245" s="600"/>
      <c r="Z245" s="600" t="str">
        <f>'[14]Twr Schedule'!B505</f>
        <v>52/1</v>
      </c>
      <c r="AA245" s="600"/>
      <c r="AD245" s="600" t="str">
        <f>'[14]Twr Schedule'!B507</f>
        <v>52/2</v>
      </c>
      <c r="AE245" s="600"/>
      <c r="AH245" s="600" t="str">
        <f>'[14]Twr Schedule'!B509</f>
        <v>52/3</v>
      </c>
      <c r="AI245" s="600"/>
      <c r="AL245" s="600" t="str">
        <f>'[14]Twr Schedule'!B511</f>
        <v>52/4</v>
      </c>
      <c r="AM245" s="600"/>
      <c r="AP245" s="600" t="str">
        <f>'[14]Twr Schedule'!B513</f>
        <v>52/5</v>
      </c>
      <c r="AQ245" s="600"/>
      <c r="AT245" s="283"/>
      <c r="AV245" s="600"/>
      <c r="AW245" s="600"/>
    </row>
    <row r="246" spans="1:51">
      <c r="A246" s="282"/>
      <c r="AT246" s="283"/>
      <c r="AV246" s="600"/>
      <c r="AW246" s="600"/>
    </row>
    <row r="247" spans="1:51">
      <c r="A247" s="282"/>
      <c r="AT247" s="283"/>
      <c r="AV247" s="600"/>
      <c r="AW247" s="600"/>
    </row>
    <row r="248" spans="1:51">
      <c r="A248" s="282"/>
      <c r="B248" s="296" t="s">
        <v>791</v>
      </c>
      <c r="C248" s="296" t="s">
        <v>792</v>
      </c>
      <c r="D248" s="609">
        <f>VLOOKUP(B245,[14]Progress!$B$9:$D$310,3,FALSE)</f>
        <v>387.94299999999998</v>
      </c>
      <c r="E248" s="610"/>
      <c r="F248" s="314" t="s">
        <v>791</v>
      </c>
      <c r="G248" s="314" t="s">
        <v>792</v>
      </c>
      <c r="H248" s="607">
        <f>VLOOKUP(F245,[14]Progress!$B$9:$D$310,3,FALSE)</f>
        <v>372.02600000000001</v>
      </c>
      <c r="I248" s="608"/>
      <c r="J248" s="314" t="s">
        <v>791</v>
      </c>
      <c r="K248" s="314" t="s">
        <v>792</v>
      </c>
      <c r="L248" s="609">
        <f>VLOOKUP(J245,[14]Progress!$B$9:$D$310,3,FALSE)</f>
        <v>435</v>
      </c>
      <c r="M248" s="610"/>
      <c r="N248" s="314" t="s">
        <v>791</v>
      </c>
      <c r="O248" s="314" t="s">
        <v>792</v>
      </c>
      <c r="P248" s="609">
        <f>VLOOKUP(N245,[14]Progress!$B$9:$D$310,3,FALSE)</f>
        <v>242.99600000000001</v>
      </c>
      <c r="Q248" s="610"/>
      <c r="R248" s="314" t="s">
        <v>791</v>
      </c>
      <c r="S248" s="314" t="s">
        <v>792</v>
      </c>
      <c r="T248" s="607">
        <f>VLOOKUP(R245,[14]Progress!$B$9:$D$310,3,FALSE)</f>
        <v>238.92599999999999</v>
      </c>
      <c r="U248" s="608"/>
      <c r="V248" s="314" t="s">
        <v>791</v>
      </c>
      <c r="W248" s="314" t="s">
        <v>792</v>
      </c>
      <c r="X248" s="609">
        <f>VLOOKUP(V245,[14]Progress!$B$9:$D$310,3,FALSE)</f>
        <v>461</v>
      </c>
      <c r="Y248" s="610"/>
      <c r="Z248" s="314" t="s">
        <v>791</v>
      </c>
      <c r="AA248" s="314" t="s">
        <v>792</v>
      </c>
      <c r="AB248" s="609">
        <f>VLOOKUP(Z245,[14]Progress!$B$9:$D$310,3,FALSE)</f>
        <v>421</v>
      </c>
      <c r="AC248" s="610"/>
      <c r="AD248" s="314" t="s">
        <v>791</v>
      </c>
      <c r="AE248" s="314" t="s">
        <v>792</v>
      </c>
      <c r="AF248" s="609">
        <f>VLOOKUP(AD245,[14]Progress!$B$9:$D$310,3,FALSE)</f>
        <v>375</v>
      </c>
      <c r="AG248" s="610"/>
      <c r="AH248" s="314" t="s">
        <v>791</v>
      </c>
      <c r="AI248" s="314" t="s">
        <v>792</v>
      </c>
      <c r="AJ248" s="609">
        <f>VLOOKUP(AH245,[14]Progress!$B$9:$D$310,3,FALSE)</f>
        <v>346</v>
      </c>
      <c r="AK248" s="610"/>
      <c r="AL248" s="314" t="s">
        <v>791</v>
      </c>
      <c r="AM248" s="314" t="s">
        <v>792</v>
      </c>
      <c r="AN248" s="609">
        <f>VLOOKUP(AL245,[14]Progress!$B$9:$D$310,3,FALSE)</f>
        <v>348</v>
      </c>
      <c r="AO248" s="610"/>
      <c r="AP248" s="314" t="s">
        <v>791</v>
      </c>
      <c r="AQ248" s="314" t="s">
        <v>792</v>
      </c>
      <c r="AR248" s="609">
        <f>VLOOKUP(AP245,[14]Progress!$B$9:$D$310,3,FALSE)</f>
        <v>357</v>
      </c>
      <c r="AS248" s="611"/>
      <c r="AT248" s="283"/>
      <c r="AV248" s="600">
        <f>D248+H248+L248+P248+T248+X248+AB248+AF248+AJ248+AN248+AR248</f>
        <v>3984.8910000000001</v>
      </c>
      <c r="AW248" s="600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600"/>
      <c r="AW249" s="600"/>
    </row>
    <row r="250" spans="1:51" ht="10.5" customHeight="1">
      <c r="A250" s="282"/>
      <c r="B250" s="605"/>
      <c r="C250" s="605"/>
      <c r="F250" s="605"/>
      <c r="G250" s="605"/>
      <c r="J250" s="605"/>
      <c r="K250" s="605"/>
      <c r="N250" s="605"/>
      <c r="O250" s="605"/>
      <c r="R250" s="605"/>
      <c r="S250" s="605"/>
      <c r="V250" s="605"/>
      <c r="W250" s="605"/>
      <c r="Z250" s="605"/>
      <c r="AA250" s="605"/>
      <c r="AD250" s="605"/>
      <c r="AE250" s="605"/>
      <c r="AH250" s="605"/>
      <c r="AI250" s="605"/>
      <c r="AL250" s="605"/>
      <c r="AM250" s="605"/>
      <c r="AP250" s="605"/>
      <c r="AQ250" s="605"/>
      <c r="AT250" s="283"/>
      <c r="AV250" s="600"/>
      <c r="AW250" s="600"/>
    </row>
    <row r="251" spans="1:51">
      <c r="A251" s="282"/>
      <c r="B251" s="602" t="str">
        <f>VLOOKUP(+B245,'[14]Twr Schedule'!$B$9:$C$611,2,FALSE)</f>
        <v>DA-3</v>
      </c>
      <c r="C251" s="602"/>
      <c r="F251" s="602" t="str">
        <f>VLOOKUP(+F245,'[14]Twr Schedule'!$B$9:$C$611,2,FALSE)</f>
        <v>DC2+9</v>
      </c>
      <c r="G251" s="602"/>
      <c r="J251" s="602" t="str">
        <f>VLOOKUP(+J245,'[14]Twr Schedule'!$B$9:$C$611,2,FALSE)</f>
        <v>DC1+18</v>
      </c>
      <c r="K251" s="602"/>
      <c r="N251" s="602" t="str">
        <f>VLOOKUP(+N245,'[14]Twr Schedule'!$B$9:$C$611,2,FALSE)</f>
        <v>DA+0</v>
      </c>
      <c r="O251" s="602"/>
      <c r="R251" s="602" t="str">
        <f>VLOOKUP(+R245,'[14]Twr Schedule'!$B$9:$C$611,2,FALSE)</f>
        <v>DD60+0</v>
      </c>
      <c r="S251" s="602"/>
      <c r="V251" s="602" t="str">
        <f>VLOOKUP(+V245,'[14]Twr Schedule'!$B$9:$C$611,2,FALSE)</f>
        <v>DC2+9</v>
      </c>
      <c r="W251" s="602"/>
      <c r="Z251" s="602" t="str">
        <f>VLOOKUP(+Z245,'[14]Twr Schedule'!$B$9:$C$611,2,FALSE)</f>
        <v>DB1+6</v>
      </c>
      <c r="AA251" s="602"/>
      <c r="AD251" s="602" t="str">
        <f>VLOOKUP(+AD245,'[14]Twr Schedule'!$B$9:$C$611,2,FALSE)</f>
        <v>DA+3</v>
      </c>
      <c r="AE251" s="602"/>
      <c r="AH251" s="602" t="str">
        <f>VLOOKUP(+AH245,'[14]Twr Schedule'!$B$9:$C$611,2,FALSE)</f>
        <v>DA-3</v>
      </c>
      <c r="AI251" s="602"/>
      <c r="AL251" s="602" t="str">
        <f>VLOOKUP(+AL245,'[14]Twr Schedule'!$B$9:$C$611,2,FALSE)</f>
        <v>DA-3</v>
      </c>
      <c r="AM251" s="602"/>
      <c r="AP251" s="602" t="str">
        <f>VLOOKUP(+AP245,'[14]Twr Schedule'!$B$9:$C$611,2,FALSE)</f>
        <v>DA-3</v>
      </c>
      <c r="AQ251" s="602"/>
      <c r="AT251" s="283"/>
      <c r="AV251" s="600"/>
      <c r="AW251" s="600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0"/>
      <c r="AW252" s="600"/>
    </row>
    <row r="253" spans="1:51">
      <c r="A253" s="586" t="s">
        <v>860</v>
      </c>
      <c r="B253" s="587"/>
      <c r="C253" s="587"/>
      <c r="D253" s="587"/>
      <c r="E253" s="587"/>
      <c r="F253" s="587"/>
      <c r="G253" s="587"/>
      <c r="H253" s="587"/>
      <c r="I253" s="587"/>
      <c r="J253" s="587"/>
      <c r="K253" s="587"/>
      <c r="L253" s="587"/>
      <c r="M253" s="587"/>
      <c r="N253" s="587"/>
      <c r="O253" s="587"/>
      <c r="P253" s="587"/>
      <c r="Q253" s="587"/>
      <c r="R253" s="587"/>
      <c r="S253" s="587"/>
      <c r="T253" s="587"/>
      <c r="U253" s="587"/>
      <c r="V253" s="588"/>
      <c r="W253" s="606" t="s">
        <v>863</v>
      </c>
      <c r="X253" s="606"/>
      <c r="Y253" s="606"/>
      <c r="Z253" s="606"/>
      <c r="AA253" s="606"/>
      <c r="AB253" s="606"/>
      <c r="AC253" s="606"/>
      <c r="AD253" s="606"/>
      <c r="AE253" s="606"/>
      <c r="AF253" s="606"/>
      <c r="AG253" s="606"/>
      <c r="AH253" s="606"/>
      <c r="AI253" s="606"/>
      <c r="AJ253" s="606"/>
      <c r="AK253" s="606"/>
      <c r="AL253" s="606"/>
      <c r="AM253" s="606"/>
      <c r="AN253" s="606"/>
      <c r="AO253" s="606"/>
      <c r="AP253" s="606"/>
      <c r="AQ253" s="606"/>
      <c r="AR253" s="606"/>
      <c r="AT253" s="283"/>
      <c r="AV253" s="600"/>
      <c r="AW253" s="600"/>
    </row>
    <row r="254" spans="1:51">
      <c r="A254" s="282"/>
      <c r="AT254" s="283"/>
      <c r="AV254" s="600"/>
      <c r="AW254" s="600"/>
    </row>
    <row r="255" spans="1:51">
      <c r="A255" s="282"/>
      <c r="B255" s="600" t="str">
        <f>'[14]Twr Schedule'!B515</f>
        <v>52/6</v>
      </c>
      <c r="C255" s="600"/>
      <c r="F255" s="600" t="str">
        <f>'[14]Twr Schedule'!B517</f>
        <v>52/7</v>
      </c>
      <c r="G255" s="600"/>
      <c r="J255" s="600" t="str">
        <f>'[14]Twr Schedule'!B519</f>
        <v>52/8</v>
      </c>
      <c r="K255" s="600"/>
      <c r="N255" s="600" t="str">
        <f>'[14]Twr Schedule'!B521</f>
        <v>52/9</v>
      </c>
      <c r="O255" s="600"/>
      <c r="R255" s="600" t="str">
        <f>'[14]Twr Schedule'!B523</f>
        <v>52/10</v>
      </c>
      <c r="S255" s="600"/>
      <c r="V255" s="600" t="str">
        <f>'[14]Twr Schedule'!B525</f>
        <v>53/0</v>
      </c>
      <c r="W255" s="600"/>
      <c r="Z255" s="600" t="str">
        <f>'[14]Twr Schedule'!B527</f>
        <v>53/1</v>
      </c>
      <c r="AA255" s="600"/>
      <c r="AD255" s="600" t="str">
        <f>'[14]Twr Schedule'!B529</f>
        <v>53A/0</v>
      </c>
      <c r="AE255" s="600"/>
      <c r="AH255" s="600" t="str">
        <f>'[14]Twr Schedule'!B531</f>
        <v>53A/1</v>
      </c>
      <c r="AI255" s="600"/>
      <c r="AL255" s="600" t="str">
        <f>'[14]Twr Schedule'!B533</f>
        <v>53A/2</v>
      </c>
      <c r="AM255" s="600"/>
      <c r="AP255" s="600" t="str">
        <f>'[14]Twr Schedule'!B535</f>
        <v>53A/3</v>
      </c>
      <c r="AQ255" s="600"/>
      <c r="AT255" s="283"/>
      <c r="AV255" s="600"/>
      <c r="AW255" s="600"/>
    </row>
    <row r="256" spans="1:51">
      <c r="A256" s="282"/>
      <c r="AT256" s="283"/>
      <c r="AV256" s="600"/>
      <c r="AW256" s="600"/>
    </row>
    <row r="257" spans="1:51">
      <c r="A257" s="282"/>
      <c r="AT257" s="283"/>
      <c r="AV257" s="600"/>
      <c r="AW257" s="600"/>
    </row>
    <row r="258" spans="1:51">
      <c r="A258" s="282"/>
      <c r="B258" s="296" t="s">
        <v>791</v>
      </c>
      <c r="C258" s="296" t="s">
        <v>792</v>
      </c>
      <c r="D258" s="613">
        <f>VLOOKUP(B255,[14]Progress!$B$9:$D$310,3,FALSE)</f>
        <v>439</v>
      </c>
      <c r="E258" s="614"/>
      <c r="F258" s="296" t="s">
        <v>791</v>
      </c>
      <c r="G258" s="296" t="s">
        <v>792</v>
      </c>
      <c r="H258" s="613">
        <f>VLOOKUP(F255,[14]Progress!$B$9:$D$310,3,FALSE)</f>
        <v>378</v>
      </c>
      <c r="I258" s="614"/>
      <c r="J258" s="296" t="s">
        <v>791</v>
      </c>
      <c r="K258" s="296" t="s">
        <v>792</v>
      </c>
      <c r="L258" s="613">
        <f>VLOOKUP(J255,[14]Progress!$B$9:$D$310,3,FALSE)</f>
        <v>349</v>
      </c>
      <c r="M258" s="614"/>
      <c r="N258" s="296" t="s">
        <v>791</v>
      </c>
      <c r="O258" s="296" t="s">
        <v>792</v>
      </c>
      <c r="P258" s="613">
        <f>VLOOKUP(N255,[14]Progress!$B$9:$D$310,3,FALSE)</f>
        <v>392</v>
      </c>
      <c r="Q258" s="614"/>
      <c r="R258" s="296" t="s">
        <v>791</v>
      </c>
      <c r="S258" s="296" t="s">
        <v>792</v>
      </c>
      <c r="T258" s="609">
        <f>VLOOKUP(R255,[14]Progress!$B$9:$D$310,3,FALSE)</f>
        <v>409.43</v>
      </c>
      <c r="U258" s="610"/>
      <c r="V258" s="314" t="s">
        <v>791</v>
      </c>
      <c r="W258" s="314" t="s">
        <v>792</v>
      </c>
      <c r="X258" s="609">
        <f>VLOOKUP(V255,[14]Progress!$B$9:$D$310,3,FALSE)</f>
        <v>428</v>
      </c>
      <c r="Y258" s="610"/>
      <c r="Z258" s="314" t="s">
        <v>791</v>
      </c>
      <c r="AA258" s="314" t="s">
        <v>792</v>
      </c>
      <c r="AB258" s="609">
        <f>VLOOKUP(Z255,[14]Progress!$B$9:$D$310,3,FALSE)</f>
        <v>403.77800000000002</v>
      </c>
      <c r="AC258" s="610"/>
      <c r="AD258" s="314" t="s">
        <v>791</v>
      </c>
      <c r="AE258" s="314" t="s">
        <v>792</v>
      </c>
      <c r="AF258" s="609">
        <f>VLOOKUP(AD255,[14]Progress!$B$9:$D$310,3,FALSE)</f>
        <v>370</v>
      </c>
      <c r="AG258" s="610"/>
      <c r="AH258" s="314" t="s">
        <v>791</v>
      </c>
      <c r="AI258" s="314" t="s">
        <v>792</v>
      </c>
      <c r="AJ258" s="609">
        <f>VLOOKUP(AH255,[14]Progress!$B$9:$D$310,3,FALSE)</f>
        <v>441</v>
      </c>
      <c r="AK258" s="610"/>
      <c r="AL258" s="314" t="s">
        <v>791</v>
      </c>
      <c r="AM258" s="314" t="s">
        <v>792</v>
      </c>
      <c r="AN258" s="609">
        <f>VLOOKUP(AL255,[14]Progress!$B$9:$D$310,3,FALSE)</f>
        <v>375</v>
      </c>
      <c r="AO258" s="610"/>
      <c r="AP258" s="314" t="s">
        <v>791</v>
      </c>
      <c r="AQ258" s="314" t="s">
        <v>792</v>
      </c>
      <c r="AR258" s="609">
        <f>VLOOKUP(AP255,[14]Progress!$B$9:$D$310,3,FALSE)</f>
        <v>399</v>
      </c>
      <c r="AS258" s="611"/>
      <c r="AT258" s="283"/>
      <c r="AV258" s="600">
        <f>D258+H258+L258+P258+T258+X258+AB258+AF258+AJ258+AN258+AR258</f>
        <v>4384.2080000000005</v>
      </c>
      <c r="AW258" s="600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600"/>
      <c r="AW259" s="600"/>
    </row>
    <row r="260" spans="1:51" ht="10.5" customHeight="1">
      <c r="A260" s="282"/>
      <c r="B260" s="605"/>
      <c r="C260" s="605"/>
      <c r="F260" s="605"/>
      <c r="G260" s="605"/>
      <c r="J260" s="605"/>
      <c r="K260" s="605"/>
      <c r="N260" s="605"/>
      <c r="O260" s="605"/>
      <c r="R260" s="605"/>
      <c r="S260" s="605"/>
      <c r="V260" s="605"/>
      <c r="W260" s="605"/>
      <c r="Z260" s="605"/>
      <c r="AA260" s="605"/>
      <c r="AD260" s="605"/>
      <c r="AE260" s="605"/>
      <c r="AH260" s="605"/>
      <c r="AI260" s="605"/>
      <c r="AL260" s="605"/>
      <c r="AM260" s="605"/>
      <c r="AP260" s="605"/>
      <c r="AQ260" s="605"/>
      <c r="AT260" s="283"/>
      <c r="AV260" s="600"/>
      <c r="AW260" s="600"/>
    </row>
    <row r="261" spans="1:51">
      <c r="A261" s="282"/>
      <c r="B261" s="602" t="str">
        <f>VLOOKUP(+B255,'[14]Twr Schedule'!$B$9:$C$611,2,FALSE)</f>
        <v>DA+3</v>
      </c>
      <c r="C261" s="602"/>
      <c r="F261" s="602" t="str">
        <f>VLOOKUP(+F255,'[14]Twr Schedule'!$B$9:$C$611,2,FALSE)</f>
        <v>DA+6</v>
      </c>
      <c r="G261" s="602"/>
      <c r="J261" s="602" t="str">
        <f>VLOOKUP(+J255,'[14]Twr Schedule'!$B$9:$C$611,2,FALSE)</f>
        <v>DA-3</v>
      </c>
      <c r="K261" s="602"/>
      <c r="N261" s="602" t="str">
        <f>VLOOKUP(+N255,'[14]Twr Schedule'!$B$9:$C$611,2,FALSE)</f>
        <v>DA-3</v>
      </c>
      <c r="O261" s="602"/>
      <c r="R261" s="602" t="str">
        <f>VLOOKUP(+R255,'[14]Twr Schedule'!$B$9:$C$611,2,FALSE)</f>
        <v>DA+3</v>
      </c>
      <c r="S261" s="602"/>
      <c r="V261" s="602" t="str">
        <f>VLOOKUP(+V255,'[14]Twr Schedule'!$B$9:$C$611,2,FALSE)</f>
        <v>DC1+0</v>
      </c>
      <c r="W261" s="602"/>
      <c r="Z261" s="602" t="str">
        <f>VLOOKUP(+Z255,'[14]Twr Schedule'!$B$9:$C$611,2,FALSE)</f>
        <v>DA+6</v>
      </c>
      <c r="AA261" s="602"/>
      <c r="AD261" s="602" t="str">
        <f>VLOOKUP(+AD255,'[14]Twr Schedule'!$B$9:$C$611,2,FALSE)</f>
        <v>DB2+0</v>
      </c>
      <c r="AE261" s="602"/>
      <c r="AH261" s="602" t="str">
        <f>VLOOKUP(+AH255,'[14]Twr Schedule'!$B$9:$C$611,2,FALSE)</f>
        <v>DA+6</v>
      </c>
      <c r="AI261" s="602"/>
      <c r="AL261" s="602" t="str">
        <f>VLOOKUP(+AL255,'[14]Twr Schedule'!$B$9:$C$611,2,FALSE)</f>
        <v>DA+3</v>
      </c>
      <c r="AM261" s="602"/>
      <c r="AP261" s="602" t="str">
        <f>VLOOKUP(+AP255,'[14]Twr Schedule'!$B$9:$C$611,2,FALSE)</f>
        <v>DA-3</v>
      </c>
      <c r="AQ261" s="602"/>
      <c r="AT261" s="283"/>
      <c r="AV261" s="600"/>
      <c r="AW261" s="600"/>
    </row>
    <row r="262" spans="1:51">
      <c r="A262" s="282"/>
      <c r="AT262" s="283"/>
      <c r="AV262" s="600"/>
      <c r="AW262" s="600"/>
    </row>
    <row r="263" spans="1:51">
      <c r="A263" s="586" t="s">
        <v>863</v>
      </c>
      <c r="B263" s="587"/>
      <c r="C263" s="587"/>
      <c r="D263" s="587"/>
      <c r="E263" s="587"/>
      <c r="F263" s="587"/>
      <c r="G263" s="587"/>
      <c r="H263" s="587"/>
      <c r="I263" s="587"/>
      <c r="J263" s="587"/>
      <c r="K263" s="587"/>
      <c r="L263" s="587"/>
      <c r="M263" s="587"/>
      <c r="N263" s="587"/>
      <c r="O263" s="587"/>
      <c r="P263" s="587"/>
      <c r="Q263" s="587"/>
      <c r="R263" s="588"/>
      <c r="S263" s="606" t="s">
        <v>864</v>
      </c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  <c r="AG263" s="606"/>
      <c r="AH263" s="606"/>
      <c r="AI263" s="606"/>
      <c r="AJ263" s="606"/>
      <c r="AK263" s="606"/>
      <c r="AL263" s="606"/>
      <c r="AM263" s="606"/>
      <c r="AN263" s="606"/>
      <c r="AO263" s="606"/>
      <c r="AP263" s="606"/>
      <c r="AQ263" s="606"/>
      <c r="AR263" s="606"/>
      <c r="AT263" s="283"/>
      <c r="AV263" s="600"/>
      <c r="AW263" s="600"/>
    </row>
    <row r="264" spans="1:51">
      <c r="A264" s="282"/>
      <c r="AT264" s="283"/>
      <c r="AV264" s="600"/>
      <c r="AW264" s="600"/>
    </row>
    <row r="265" spans="1:51">
      <c r="A265" s="282"/>
      <c r="B265" s="600" t="str">
        <f>'[14]Twr Schedule'!B537</f>
        <v>53A/4</v>
      </c>
      <c r="C265" s="600"/>
      <c r="F265" s="600" t="str">
        <f>'[14]Twr Schedule'!B539</f>
        <v>53A/5</v>
      </c>
      <c r="G265" s="600"/>
      <c r="J265" s="600" t="str">
        <f>'[14]Twr Schedule'!B541</f>
        <v>53A/6</v>
      </c>
      <c r="K265" s="600"/>
      <c r="N265" s="600" t="str">
        <f>'[14]Twr Schedule'!B543</f>
        <v>53A/7</v>
      </c>
      <c r="O265" s="600"/>
      <c r="R265" s="600" t="str">
        <f>'[14]Twr Schedule'!B545</f>
        <v>54/0</v>
      </c>
      <c r="S265" s="600"/>
      <c r="V265" s="600" t="str">
        <f>'[14]Twr Schedule'!B547</f>
        <v>54/1</v>
      </c>
      <c r="W265" s="600"/>
      <c r="Z265" s="600" t="str">
        <f>'[14]Twr Schedule'!B549</f>
        <v>54/2</v>
      </c>
      <c r="AA265" s="600"/>
      <c r="AD265" s="600" t="str">
        <f>'[14]Twr Schedule'!B551</f>
        <v>55/0</v>
      </c>
      <c r="AE265" s="600"/>
      <c r="AH265" s="600" t="str">
        <f>'[14]Twr Schedule'!B553</f>
        <v>55/1</v>
      </c>
      <c r="AI265" s="600"/>
      <c r="AL265" s="600" t="str">
        <f>'[14]Twr Schedule'!B555</f>
        <v>56/0</v>
      </c>
      <c r="AM265" s="600"/>
      <c r="AP265" s="600" t="str">
        <f>'[14]Twr Schedule'!B557</f>
        <v>56/1</v>
      </c>
      <c r="AQ265" s="600"/>
      <c r="AT265" s="283"/>
      <c r="AV265" s="600"/>
      <c r="AW265" s="600"/>
    </row>
    <row r="266" spans="1:51">
      <c r="A266" s="282"/>
      <c r="AT266" s="283"/>
      <c r="AV266" s="600"/>
      <c r="AW266" s="600"/>
    </row>
    <row r="267" spans="1:51">
      <c r="A267" s="282"/>
      <c r="AT267" s="283"/>
      <c r="AV267" s="600"/>
      <c r="AW267" s="600"/>
    </row>
    <row r="268" spans="1:51">
      <c r="A268" s="282"/>
      <c r="B268" s="296" t="s">
        <v>791</v>
      </c>
      <c r="C268" s="296" t="s">
        <v>792</v>
      </c>
      <c r="D268" s="613">
        <f>VLOOKUP(B265,[14]Progress!$B$9:$D$310,3,FALSE)</f>
        <v>391</v>
      </c>
      <c r="E268" s="614"/>
      <c r="F268" s="296" t="s">
        <v>791</v>
      </c>
      <c r="G268" s="296" t="s">
        <v>792</v>
      </c>
      <c r="H268" s="613">
        <f>VLOOKUP(F265,[14]Progress!$B$9:$D$310,3,FALSE)</f>
        <v>392</v>
      </c>
      <c r="I268" s="614"/>
      <c r="J268" s="296" t="s">
        <v>791</v>
      </c>
      <c r="K268" s="296" t="s">
        <v>792</v>
      </c>
      <c r="L268" s="613">
        <f>VLOOKUP(J265,[14]Progress!$B$9:$D$310,3,FALSE)</f>
        <v>412</v>
      </c>
      <c r="M268" s="614"/>
      <c r="N268" s="296" t="s">
        <v>791</v>
      </c>
      <c r="O268" s="296" t="s">
        <v>792</v>
      </c>
      <c r="P268" s="609">
        <f>VLOOKUP(N265,[14]Progress!$B$9:$D$310,3,FALSE)</f>
        <v>385.995</v>
      </c>
      <c r="Q268" s="610"/>
      <c r="R268" s="314" t="s">
        <v>791</v>
      </c>
      <c r="S268" s="314" t="s">
        <v>792</v>
      </c>
      <c r="T268" s="609">
        <f>VLOOKUP(R265,[14]Progress!$B$9:$D$310,3,FALSE)</f>
        <v>460</v>
      </c>
      <c r="U268" s="610"/>
      <c r="V268" s="314" t="s">
        <v>791</v>
      </c>
      <c r="W268" s="314" t="s">
        <v>792</v>
      </c>
      <c r="X268" s="609">
        <f>VLOOKUP(V265,[14]Progress!$B$9:$D$310,3,FALSE)</f>
        <v>360</v>
      </c>
      <c r="Y268" s="610"/>
      <c r="Z268" s="314" t="s">
        <v>791</v>
      </c>
      <c r="AA268" s="314" t="s">
        <v>792</v>
      </c>
      <c r="AB268" s="609">
        <f>VLOOKUP(Z265,[14]Progress!$B$9:$D$310,3,FALSE)</f>
        <v>366.15699999999998</v>
      </c>
      <c r="AC268" s="610"/>
      <c r="AD268" s="314" t="s">
        <v>791</v>
      </c>
      <c r="AE268" s="314" t="s">
        <v>792</v>
      </c>
      <c r="AF268" s="609">
        <f>VLOOKUP(AD265,[14]Progress!$B$9:$D$310,3,FALSE)</f>
        <v>300</v>
      </c>
      <c r="AG268" s="610"/>
      <c r="AH268" s="314" t="s">
        <v>791</v>
      </c>
      <c r="AI268" s="314" t="s">
        <v>792</v>
      </c>
      <c r="AJ268" s="609">
        <f>VLOOKUP(AH265,[14]Progress!$B$9:$D$310,3,FALSE)</f>
        <v>307.20499999999998</v>
      </c>
      <c r="AK268" s="610"/>
      <c r="AL268" s="314" t="s">
        <v>791</v>
      </c>
      <c r="AM268" s="296" t="s">
        <v>792</v>
      </c>
      <c r="AN268" s="613">
        <f>VLOOKUP(AL265,[14]Progress!$B$9:$D$310,3,FALSE)</f>
        <v>336</v>
      </c>
      <c r="AO268" s="614"/>
      <c r="AP268" s="296" t="s">
        <v>791</v>
      </c>
      <c r="AQ268" s="296" t="s">
        <v>792</v>
      </c>
      <c r="AR268" s="613">
        <f>VLOOKUP(AP265,[14]Progress!$B$9:$D$310,3,FALSE)</f>
        <v>409</v>
      </c>
      <c r="AS268" s="600"/>
      <c r="AT268" s="283"/>
      <c r="AV268" s="600">
        <f>D268+H268+L268+P268+T268+X268+AB268+AF268+AJ268+AN268+AR268</f>
        <v>4119.357</v>
      </c>
      <c r="AW268" s="600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600"/>
      <c r="AW269" s="600"/>
    </row>
    <row r="270" spans="1:51" ht="10.5" customHeight="1">
      <c r="A270" s="282"/>
      <c r="B270" s="605"/>
      <c r="C270" s="605"/>
      <c r="F270" s="605"/>
      <c r="G270" s="605"/>
      <c r="J270" s="605"/>
      <c r="K270" s="605"/>
      <c r="N270" s="605"/>
      <c r="O270" s="605"/>
      <c r="R270" s="605"/>
      <c r="S270" s="605"/>
      <c r="V270" s="605"/>
      <c r="W270" s="605"/>
      <c r="Z270" s="605"/>
      <c r="AA270" s="605"/>
      <c r="AD270" s="605"/>
      <c r="AE270" s="605"/>
      <c r="AH270" s="605"/>
      <c r="AI270" s="605"/>
      <c r="AL270" s="605"/>
      <c r="AM270" s="605"/>
      <c r="AP270" s="605"/>
      <c r="AQ270" s="605"/>
      <c r="AT270" s="283"/>
      <c r="AV270" s="600"/>
      <c r="AW270" s="600"/>
    </row>
    <row r="271" spans="1:51">
      <c r="A271" s="282"/>
      <c r="B271" s="602" t="str">
        <f>VLOOKUP(+B265,'[14]Twr Schedule'!$B$9:$C$611,2,FALSE)</f>
        <v>DA+3</v>
      </c>
      <c r="C271" s="602"/>
      <c r="F271" s="602" t="str">
        <f>VLOOKUP(+F265,'[14]Twr Schedule'!$B$9:$C$611,2,FALSE)</f>
        <v>DA-3</v>
      </c>
      <c r="G271" s="602"/>
      <c r="J271" s="602" t="str">
        <f>VLOOKUP(+J265,'[14]Twr Schedule'!$B$9:$C$611,2,FALSE)</f>
        <v>DA+3</v>
      </c>
      <c r="K271" s="602"/>
      <c r="N271" s="602" t="str">
        <f>VLOOKUP(+N265,'[14]Twr Schedule'!$B$9:$C$611,2,FALSE)</f>
        <v>DA+0</v>
      </c>
      <c r="O271" s="602"/>
      <c r="R271" s="602" t="str">
        <f>VLOOKUP(+R265,'[14]Twr Schedule'!$B$9:$C$611,2,FALSE)</f>
        <v>DB1+3</v>
      </c>
      <c r="S271" s="602"/>
      <c r="V271" s="602" t="str">
        <f>VLOOKUP(+V265,'[14]Twr Schedule'!$B$9:$C$611,2,FALSE)</f>
        <v>DA+9</v>
      </c>
      <c r="W271" s="602"/>
      <c r="Z271" s="602" t="str">
        <f>VLOOKUP(+Z265,'[14]Twr Schedule'!$B$9:$C$611,2,FALSE)</f>
        <v>DA-3</v>
      </c>
      <c r="AA271" s="602"/>
      <c r="AD271" s="602" t="str">
        <f>VLOOKUP(+AD265,'[14]Twr Schedule'!$B$9:$C$611,2,FALSE)</f>
        <v>DC1+0</v>
      </c>
      <c r="AE271" s="602"/>
      <c r="AH271" s="602" t="str">
        <f>VLOOKUP(+AH265,'[14]Twr Schedule'!$B$9:$C$611,2,FALSE)</f>
        <v>DA-3</v>
      </c>
      <c r="AI271" s="602"/>
      <c r="AL271" s="602" t="str">
        <f>VLOOKUP(+AL265,'[14]Twr Schedule'!$B$9:$C$611,2,FALSE)</f>
        <v>DD45+0</v>
      </c>
      <c r="AM271" s="602"/>
      <c r="AP271" s="602" t="str">
        <f>VLOOKUP(+AP265,'[14]Twr Schedule'!$B$9:$C$611,2,FALSE)</f>
        <v>DA+0</v>
      </c>
      <c r="AQ271" s="602"/>
      <c r="AT271" s="283"/>
      <c r="AV271" s="600"/>
      <c r="AW271" s="600"/>
    </row>
    <row r="272" spans="1:51">
      <c r="A272" s="282"/>
      <c r="AT272" s="283"/>
      <c r="AV272" s="600"/>
      <c r="AW272" s="600"/>
    </row>
    <row r="273" spans="1:51">
      <c r="A273" s="586" t="s">
        <v>864</v>
      </c>
      <c r="B273" s="587"/>
      <c r="C273" s="587"/>
      <c r="D273" s="587"/>
      <c r="E273" s="587"/>
      <c r="F273" s="587"/>
      <c r="G273" s="587"/>
      <c r="H273" s="587"/>
      <c r="I273" s="587"/>
      <c r="J273" s="587"/>
      <c r="K273" s="587"/>
      <c r="L273" s="587"/>
      <c r="M273" s="587"/>
      <c r="N273" s="587"/>
      <c r="O273" s="587"/>
      <c r="P273" s="587"/>
      <c r="Q273" s="587"/>
      <c r="R273" s="588"/>
      <c r="S273" s="606" t="s">
        <v>865</v>
      </c>
      <c r="T273" s="606"/>
      <c r="U273" s="606"/>
      <c r="V273" s="606"/>
      <c r="W273" s="606"/>
      <c r="X273" s="606"/>
      <c r="Y273" s="606"/>
      <c r="Z273" s="606"/>
      <c r="AA273" s="606"/>
      <c r="AB273" s="606"/>
      <c r="AC273" s="606"/>
      <c r="AD273" s="606"/>
      <c r="AE273" s="606"/>
      <c r="AF273" s="606"/>
      <c r="AG273" s="606"/>
      <c r="AH273" s="606"/>
      <c r="AI273" s="606"/>
      <c r="AJ273" s="606"/>
      <c r="AK273" s="606"/>
      <c r="AL273" s="606"/>
      <c r="AM273" s="606"/>
      <c r="AN273" s="606"/>
      <c r="AO273" s="606"/>
      <c r="AP273" s="606"/>
      <c r="AQ273" s="606"/>
      <c r="AR273" s="606"/>
      <c r="AT273" s="283"/>
      <c r="AV273" s="600"/>
      <c r="AW273" s="600"/>
    </row>
    <row r="274" spans="1:51">
      <c r="A274" s="282"/>
      <c r="AT274" s="283"/>
      <c r="AV274" s="600"/>
      <c r="AW274" s="600"/>
    </row>
    <row r="275" spans="1:51">
      <c r="A275" s="282"/>
      <c r="B275" s="600" t="str">
        <f>'[14]Twr Schedule'!B559</f>
        <v>56/2</v>
      </c>
      <c r="C275" s="600"/>
      <c r="F275" s="600" t="str">
        <f>'[14]Twr Schedule'!B561</f>
        <v>56/3</v>
      </c>
      <c r="G275" s="600"/>
      <c r="J275" s="600" t="str">
        <f>'[14]Twr Schedule'!B563</f>
        <v>56/4</v>
      </c>
      <c r="K275" s="600"/>
      <c r="N275" s="600" t="str">
        <f>'[14]Twr Schedule'!B565</f>
        <v>56/5</v>
      </c>
      <c r="O275" s="600"/>
      <c r="R275" s="600" t="str">
        <f>'[14]Twr Schedule'!B567</f>
        <v>56/6</v>
      </c>
      <c r="S275" s="600"/>
      <c r="V275" s="600" t="str">
        <f>'[14]Twr Schedule'!B569</f>
        <v>56/7</v>
      </c>
      <c r="W275" s="600"/>
      <c r="Z275" s="600" t="str">
        <f>'[14]Twr Schedule'!B571</f>
        <v>56/8</v>
      </c>
      <c r="AA275" s="600"/>
      <c r="AD275" s="600" t="str">
        <f>'[14]Twr Schedule'!B573</f>
        <v>57/0</v>
      </c>
      <c r="AE275" s="600"/>
      <c r="AH275" s="600" t="str">
        <f>'[14]Twr Schedule'!B575</f>
        <v>57/1</v>
      </c>
      <c r="AI275" s="600"/>
      <c r="AL275" s="600" t="str">
        <f>'[14]Twr Schedule'!B577</f>
        <v>58/0</v>
      </c>
      <c r="AM275" s="600"/>
      <c r="AP275" s="600" t="str">
        <f>'[14]Twr Schedule'!B579</f>
        <v>59/0</v>
      </c>
      <c r="AQ275" s="600"/>
      <c r="AT275" s="283"/>
      <c r="AV275" s="600"/>
      <c r="AW275" s="600"/>
    </row>
    <row r="276" spans="1:51">
      <c r="A276" s="282"/>
      <c r="AT276" s="283"/>
      <c r="AV276" s="600"/>
      <c r="AW276" s="600"/>
    </row>
    <row r="277" spans="1:51">
      <c r="A277" s="282"/>
      <c r="AT277" s="283"/>
      <c r="AV277" s="600"/>
      <c r="AW277" s="600"/>
    </row>
    <row r="278" spans="1:51">
      <c r="A278" s="282"/>
      <c r="B278" s="296" t="s">
        <v>791</v>
      </c>
      <c r="C278" s="296" t="s">
        <v>792</v>
      </c>
      <c r="D278" s="613">
        <f>VLOOKUP(B275,[14]Progress!$B$9:$D$310,3,FALSE)</f>
        <v>374</v>
      </c>
      <c r="E278" s="614"/>
      <c r="F278" s="296" t="s">
        <v>791</v>
      </c>
      <c r="G278" s="296" t="s">
        <v>792</v>
      </c>
      <c r="H278" s="613">
        <f>VLOOKUP(F275,[14]Progress!$B$9:$D$310,3,FALSE)</f>
        <v>351</v>
      </c>
      <c r="I278" s="614"/>
      <c r="J278" s="296" t="s">
        <v>791</v>
      </c>
      <c r="K278" s="296" t="s">
        <v>792</v>
      </c>
      <c r="L278" s="613">
        <f>VLOOKUP(J275,[14]Progress!$B$9:$D$310,3,FALSE)</f>
        <v>345</v>
      </c>
      <c r="M278" s="614"/>
      <c r="N278" s="296" t="s">
        <v>791</v>
      </c>
      <c r="O278" s="296" t="s">
        <v>792</v>
      </c>
      <c r="P278" s="613">
        <f>VLOOKUP(N275,[14]Progress!$B$9:$D$310,3,FALSE)</f>
        <v>380.05799999999999</v>
      </c>
      <c r="Q278" s="614"/>
      <c r="R278" s="296" t="s">
        <v>791</v>
      </c>
      <c r="S278" s="296" t="s">
        <v>792</v>
      </c>
      <c r="T278" s="613">
        <f>VLOOKUP(R275,[14]Progress!$B$9:$D$310,3,FALSE)</f>
        <v>422</v>
      </c>
      <c r="U278" s="614"/>
      <c r="V278" s="296" t="s">
        <v>791</v>
      </c>
      <c r="W278" s="296" t="s">
        <v>792</v>
      </c>
      <c r="X278" s="613">
        <f>VLOOKUP(V275,[14]Progress!$B$9:$D$310,3,FALSE)</f>
        <v>387.54</v>
      </c>
      <c r="Y278" s="614"/>
      <c r="Z278" s="296" t="s">
        <v>791</v>
      </c>
      <c r="AA278" s="314" t="s">
        <v>792</v>
      </c>
      <c r="AB278" s="609">
        <f>VLOOKUP(Z275,[14]Progress!$B$9:$D$310,3,FALSE)</f>
        <v>369</v>
      </c>
      <c r="AC278" s="610"/>
      <c r="AD278" s="314" t="s">
        <v>791</v>
      </c>
      <c r="AE278" s="314" t="s">
        <v>792</v>
      </c>
      <c r="AF278" s="609">
        <f>VLOOKUP(AD275,[14]Progress!$B$9:$D$310,3,FALSE)</f>
        <v>291</v>
      </c>
      <c r="AG278" s="610"/>
      <c r="AH278" s="314" t="s">
        <v>791</v>
      </c>
      <c r="AI278" s="314" t="s">
        <v>792</v>
      </c>
      <c r="AJ278" s="609">
        <f>VLOOKUP(AH275,[14]Progress!$B$9:$D$310,3,FALSE)</f>
        <v>386.28</v>
      </c>
      <c r="AK278" s="610"/>
      <c r="AL278" s="314" t="s">
        <v>791</v>
      </c>
      <c r="AM278" s="314" t="s">
        <v>792</v>
      </c>
      <c r="AN278" s="609">
        <f>VLOOKUP(AL275,[14]Progress!$B$9:$D$310,3,FALSE)</f>
        <v>281.56099999999998</v>
      </c>
      <c r="AO278" s="610"/>
      <c r="AP278" s="296" t="s">
        <v>791</v>
      </c>
      <c r="AQ278" s="296" t="s">
        <v>792</v>
      </c>
      <c r="AR278" s="613">
        <f>VLOOKUP(AP275,[14]Progress!$B$9:$D$310,3,FALSE)</f>
        <v>418.00099999999998</v>
      </c>
      <c r="AS278" s="600"/>
      <c r="AT278" s="283"/>
      <c r="AV278" s="600">
        <f>D278+H278+L278+P278+T278+X278+AB278+AF278+AJ278+AN278+AR278</f>
        <v>4005.4399999999996</v>
      </c>
      <c r="AW278" s="600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600"/>
      <c r="AW279" s="600"/>
    </row>
    <row r="280" spans="1:51" ht="10.5" customHeight="1">
      <c r="A280" s="282"/>
      <c r="B280" s="605"/>
      <c r="C280" s="605"/>
      <c r="F280" s="605"/>
      <c r="G280" s="605"/>
      <c r="J280" s="605"/>
      <c r="K280" s="605"/>
      <c r="N280" s="605"/>
      <c r="O280" s="605"/>
      <c r="R280" s="605"/>
      <c r="S280" s="605"/>
      <c r="V280" s="605"/>
      <c r="W280" s="605"/>
      <c r="Z280" s="605"/>
      <c r="AA280" s="605"/>
      <c r="AD280" s="605"/>
      <c r="AE280" s="605"/>
      <c r="AH280" s="605"/>
      <c r="AI280" s="605"/>
      <c r="AL280" s="605"/>
      <c r="AM280" s="605"/>
      <c r="AP280" s="605"/>
      <c r="AQ280" s="605"/>
      <c r="AT280" s="283"/>
      <c r="AV280" s="600"/>
      <c r="AW280" s="600"/>
    </row>
    <row r="281" spans="1:51">
      <c r="A281" s="282"/>
      <c r="B281" s="602" t="str">
        <f>VLOOKUP(+B275,'[14]Twr Schedule'!$B$9:$C$611,2,FALSE)</f>
        <v>DA+3</v>
      </c>
      <c r="C281" s="602"/>
      <c r="F281" s="602" t="str">
        <f>VLOOKUP(+F275,'[14]Twr Schedule'!$B$9:$C$611,2,FALSE)</f>
        <v>DA-3</v>
      </c>
      <c r="G281" s="602"/>
      <c r="J281" s="602" t="str">
        <f>VLOOKUP(+J275,'[14]Twr Schedule'!$B$9:$C$611,2,FALSE)</f>
        <v>DA-3</v>
      </c>
      <c r="K281" s="602"/>
      <c r="N281" s="602" t="str">
        <f>VLOOKUP(+N275,'[14]Twr Schedule'!$B$9:$C$611,2,FALSE)</f>
        <v>DA-3</v>
      </c>
      <c r="O281" s="602"/>
      <c r="R281" s="602" t="str">
        <f>VLOOKUP(+R275,'[14]Twr Schedule'!$B$9:$C$611,2,FALSE)</f>
        <v>DA+0</v>
      </c>
      <c r="S281" s="602"/>
      <c r="V281" s="602" t="str">
        <f>VLOOKUP(+V275,'[14]Twr Schedule'!$B$9:$C$611,2,FALSE)</f>
        <v>DA+6</v>
      </c>
      <c r="W281" s="602"/>
      <c r="Z281" s="602" t="str">
        <f>VLOOKUP(+Z275,'[14]Twr Schedule'!$B$9:$C$611,2,FALSE)</f>
        <v>DA-3</v>
      </c>
      <c r="AA281" s="602"/>
      <c r="AD281" s="602" t="str">
        <f>VLOOKUP(+AD275,'[14]Twr Schedule'!$B$9:$C$611,2,FALSE)</f>
        <v>DB2+0</v>
      </c>
      <c r="AE281" s="602"/>
      <c r="AH281" s="602" t="str">
        <f>VLOOKUP(+AH275,'[14]Twr Schedule'!$B$9:$C$611,2,FALSE)</f>
        <v>DA-3</v>
      </c>
      <c r="AI281" s="602"/>
      <c r="AL281" s="612" t="str">
        <f>VLOOKUP(+AL275,'[14]Twr Schedule'!$B$9:$C$611,2,FALSE)</f>
        <v>DD60+18</v>
      </c>
      <c r="AM281" s="612"/>
      <c r="AN281" s="315"/>
      <c r="AO281" s="315"/>
      <c r="AP281" s="612" t="str">
        <f>VLOOKUP(+AP275,'[14]Twr Schedule'!$B$9:$C$611,2,FALSE)</f>
        <v>DD60+6</v>
      </c>
      <c r="AQ281" s="612"/>
      <c r="AT281" s="283"/>
      <c r="AV281" s="600"/>
      <c r="AW281" s="600"/>
    </row>
    <row r="282" spans="1:51">
      <c r="A282" s="282"/>
      <c r="AL282" t="s">
        <v>866</v>
      </c>
      <c r="AT282" s="283"/>
      <c r="AV282" s="600"/>
      <c r="AW282" s="600"/>
    </row>
    <row r="283" spans="1:51">
      <c r="A283" s="606" t="s">
        <v>865</v>
      </c>
      <c r="B283" s="606"/>
      <c r="C283" s="606"/>
      <c r="D283" s="606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 t="s">
        <v>867</v>
      </c>
      <c r="T283" s="606"/>
      <c r="U283" s="606"/>
      <c r="V283" s="606"/>
      <c r="W283" s="606"/>
      <c r="X283" s="606"/>
      <c r="Y283" s="606"/>
      <c r="Z283" s="606"/>
      <c r="AA283" s="606"/>
      <c r="AB283" s="606"/>
      <c r="AC283" s="606"/>
      <c r="AD283" s="606"/>
      <c r="AE283" s="606"/>
      <c r="AF283" s="606"/>
      <c r="AG283" s="606"/>
      <c r="AH283" s="606"/>
      <c r="AI283" s="606"/>
      <c r="AJ283" s="606"/>
      <c r="AK283" s="606"/>
      <c r="AL283" s="606"/>
      <c r="AM283" s="606"/>
      <c r="AN283" s="606"/>
      <c r="AO283" s="606"/>
      <c r="AP283" s="606"/>
      <c r="AQ283" s="606"/>
      <c r="AR283" s="606"/>
      <c r="AT283" s="283"/>
      <c r="AV283" s="600"/>
      <c r="AW283" s="600"/>
    </row>
    <row r="284" spans="1:51" ht="27" customHeight="1">
      <c r="A284" s="282"/>
      <c r="AT284" s="283"/>
      <c r="AV284" s="600"/>
      <c r="AW284" s="600"/>
    </row>
    <row r="285" spans="1:51">
      <c r="A285" s="282"/>
      <c r="B285" s="600" t="str">
        <f>'[14]Twr Schedule'!B581</f>
        <v>60/0</v>
      </c>
      <c r="C285" s="600"/>
      <c r="F285" s="600" t="str">
        <f>'[14]Twr Schedule'!B583</f>
        <v>61/0</v>
      </c>
      <c r="G285" s="600"/>
      <c r="J285" s="600" t="str">
        <f>'[14]Twr Schedule'!B585</f>
        <v>62/0</v>
      </c>
      <c r="K285" s="600"/>
      <c r="N285" s="600" t="str">
        <f>'[14]Twr Schedule'!B587</f>
        <v>63/0</v>
      </c>
      <c r="O285" s="600"/>
      <c r="R285" s="600" t="str">
        <f>'[14]Twr Schedule'!B589</f>
        <v>64/0</v>
      </c>
      <c r="S285" s="600"/>
      <c r="V285" s="600" t="str">
        <f>'[14]Twr Schedule'!B591</f>
        <v>64/1</v>
      </c>
      <c r="W285" s="600"/>
      <c r="Z285" s="600" t="str">
        <f>'[14]Twr Schedule'!B593</f>
        <v>64/2</v>
      </c>
      <c r="AA285" s="600"/>
      <c r="AD285" s="600" t="str">
        <f>'[14]Twr Schedule'!B595</f>
        <v>64/3</v>
      </c>
      <c r="AE285" s="600"/>
      <c r="AH285" s="600" t="str">
        <f>'[14]Twr Schedule'!B597</f>
        <v>65/0</v>
      </c>
      <c r="AI285" s="600"/>
      <c r="AL285" s="600" t="str">
        <f>'[14]Twr Schedule'!B599</f>
        <v>66/0</v>
      </c>
      <c r="AM285" s="600"/>
      <c r="AP285" s="600" t="str">
        <f>'[14]Twr Schedule'!B601</f>
        <v>66/1</v>
      </c>
      <c r="AQ285" s="600"/>
      <c r="AT285" s="283"/>
      <c r="AV285" s="600"/>
      <c r="AW285" s="600"/>
    </row>
    <row r="286" spans="1:51">
      <c r="A286" s="282"/>
      <c r="AT286" s="283"/>
      <c r="AV286" s="600"/>
      <c r="AW286" s="600"/>
    </row>
    <row r="287" spans="1:51">
      <c r="A287" s="282"/>
      <c r="AT287" s="283"/>
      <c r="AV287" s="600"/>
      <c r="AW287" s="600"/>
    </row>
    <row r="288" spans="1:51">
      <c r="A288" s="282"/>
      <c r="B288" s="296" t="s">
        <v>791</v>
      </c>
      <c r="C288" s="296" t="s">
        <v>792</v>
      </c>
      <c r="D288" s="609">
        <f>VLOOKUP(B285,[14]Progress!$B$9:$D$310,3,FALSE)</f>
        <v>467.85700000000003</v>
      </c>
      <c r="E288" s="610"/>
      <c r="F288" s="314" t="s">
        <v>791</v>
      </c>
      <c r="G288" s="314" t="s">
        <v>792</v>
      </c>
      <c r="H288" s="607">
        <f>VLOOKUP(F285,[14]Progress!$B$9:$D$310,3,FALSE)</f>
        <v>478.06700000000001</v>
      </c>
      <c r="I288" s="608"/>
      <c r="J288" s="314" t="s">
        <v>791</v>
      </c>
      <c r="K288" s="314" t="s">
        <v>792</v>
      </c>
      <c r="L288" s="607">
        <f>VLOOKUP(J285,[14]Progress!$B$9:$D$310,3,FALSE)</f>
        <v>349.18900000000002</v>
      </c>
      <c r="M288" s="608"/>
      <c r="N288" s="314" t="s">
        <v>791</v>
      </c>
      <c r="O288" s="314" t="s">
        <v>792</v>
      </c>
      <c r="P288" s="609">
        <f>VLOOKUP(N285,[14]Progress!$B$9:$D$310,3,FALSE)</f>
        <v>285.97800000000001</v>
      </c>
      <c r="Q288" s="610"/>
      <c r="R288" s="314" t="s">
        <v>791</v>
      </c>
      <c r="S288" s="314" t="s">
        <v>792</v>
      </c>
      <c r="T288" s="609">
        <f>VLOOKUP(R285,[14]Progress!$B$9:$D$310,3,FALSE)</f>
        <v>395</v>
      </c>
      <c r="U288" s="610"/>
      <c r="V288" s="314" t="s">
        <v>791</v>
      </c>
      <c r="W288" s="314" t="s">
        <v>792</v>
      </c>
      <c r="X288" s="609">
        <f>VLOOKUP(V285,[14]Progress!$B$9:$D$310,3,FALSE)</f>
        <v>384</v>
      </c>
      <c r="Y288" s="610"/>
      <c r="Z288" s="314" t="s">
        <v>791</v>
      </c>
      <c r="AA288" s="314" t="s">
        <v>792</v>
      </c>
      <c r="AB288" s="609">
        <f>VLOOKUP(Z285,[14]Progress!$B$9:$D$310,3,FALSE)</f>
        <v>409</v>
      </c>
      <c r="AC288" s="610"/>
      <c r="AD288" s="314" t="s">
        <v>791</v>
      </c>
      <c r="AE288" s="314" t="s">
        <v>792</v>
      </c>
      <c r="AF288" s="609">
        <f>VLOOKUP(AD285,[14]Progress!$B$9:$D$310,3,FALSE)</f>
        <v>363.017</v>
      </c>
      <c r="AG288" s="610"/>
      <c r="AH288" s="314" t="s">
        <v>791</v>
      </c>
      <c r="AI288" s="314" t="s">
        <v>792</v>
      </c>
      <c r="AJ288" s="607">
        <f>VLOOKUP(AH285,[14]Progress!$B$9:$D$310,3,FALSE)</f>
        <v>298.04199999999997</v>
      </c>
      <c r="AK288" s="608"/>
      <c r="AL288" s="314" t="s">
        <v>791</v>
      </c>
      <c r="AM288" s="314" t="s">
        <v>792</v>
      </c>
      <c r="AN288" s="609">
        <f>VLOOKUP(AL285,[14]Progress!$B$9:$D$310,3,FALSE)</f>
        <v>387</v>
      </c>
      <c r="AO288" s="610"/>
      <c r="AP288" s="314" t="s">
        <v>791</v>
      </c>
      <c r="AQ288" s="314" t="s">
        <v>792</v>
      </c>
      <c r="AR288" s="609">
        <f>VLOOKUP(AP285,[14]Progress!$B$9:$D$310,3,FALSE)</f>
        <v>425.35899999999998</v>
      </c>
      <c r="AS288" s="611"/>
      <c r="AT288" s="283"/>
      <c r="AV288" s="600">
        <f>D288+H288+L288+P288+T288+X288+AB288+AF288+AJ288+AN288+AR288</f>
        <v>4242.509</v>
      </c>
      <c r="AW288" s="600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600"/>
      <c r="AW289" s="600"/>
    </row>
    <row r="290" spans="1:51" ht="10.5" customHeight="1">
      <c r="A290" s="282"/>
      <c r="B290" s="603"/>
      <c r="C290" s="604"/>
      <c r="F290" s="603"/>
      <c r="G290" s="604"/>
      <c r="J290" s="603"/>
      <c r="K290" s="604"/>
      <c r="N290" s="603"/>
      <c r="O290" s="604"/>
      <c r="R290" s="603"/>
      <c r="S290" s="604"/>
      <c r="V290" s="603"/>
      <c r="W290" s="604"/>
      <c r="Z290" s="603"/>
      <c r="AA290" s="604"/>
      <c r="AD290" s="603"/>
      <c r="AE290" s="604"/>
      <c r="AH290" s="603"/>
      <c r="AI290" s="604"/>
      <c r="AL290" s="603"/>
      <c r="AM290" s="604"/>
      <c r="AP290" s="603"/>
      <c r="AQ290" s="604"/>
      <c r="AT290" s="283"/>
      <c r="AV290" s="600"/>
      <c r="AW290" s="600"/>
    </row>
    <row r="291" spans="1:51">
      <c r="A291" s="282"/>
      <c r="B291" s="602" t="str">
        <f>VLOOKUP(+B285,'[14]Twr Schedule'!$B$9:$C$611,2,FALSE)</f>
        <v>DD45+6</v>
      </c>
      <c r="C291" s="602"/>
      <c r="F291" s="602" t="str">
        <f>VLOOKUP(+F285,'[14]Twr Schedule'!$B$9:$C$611,2,FALSE)</f>
        <v>DD60+30</v>
      </c>
      <c r="G291" s="602"/>
      <c r="J291" s="602" t="str">
        <f>VLOOKUP(+J285,'[14]Twr Schedule'!$B$9:$C$611,2,FALSE)</f>
        <v>DC1+25</v>
      </c>
      <c r="K291" s="602"/>
      <c r="N291" s="602" t="str">
        <f>VLOOKUP(+N285,'[14]Twr Schedule'!$B$9:$C$611,2,FALSE)</f>
        <v>DC1+3</v>
      </c>
      <c r="O291" s="602"/>
      <c r="R291" s="602" t="str">
        <f>VLOOKUP(+R285,'[14]Twr Schedule'!$B$9:$C$611,2,FALSE)</f>
        <v>DC1+0</v>
      </c>
      <c r="S291" s="602"/>
      <c r="V291" s="602" t="str">
        <f>VLOOKUP(+V285,'[14]Twr Schedule'!$B$9:$C$611,2,FALSE)</f>
        <v>DA+0</v>
      </c>
      <c r="W291" s="602"/>
      <c r="Z291" s="602" t="str">
        <f>VLOOKUP(+Z285,'[14]Twr Schedule'!$B$9:$C$611,2,FALSE)</f>
        <v>DA+3</v>
      </c>
      <c r="AA291" s="602"/>
      <c r="AD291" s="602" t="str">
        <f>VLOOKUP(+AD285,'[14]Twr Schedule'!$B$9:$C$611,2,FALSE)</f>
        <v>DA-3</v>
      </c>
      <c r="AE291" s="602"/>
      <c r="AH291" s="602" t="str">
        <f>VLOOKUP(+AH285,'[14]Twr Schedule'!$B$9:$C$611,2,FALSE)</f>
        <v>DD60+0</v>
      </c>
      <c r="AI291" s="602"/>
      <c r="AL291" s="602" t="str">
        <f>VLOOKUP(+AL285,'[14]Twr Schedule'!$B$9:$C$611,2,FALSE)</f>
        <v>DD60+0</v>
      </c>
      <c r="AM291" s="602"/>
      <c r="AP291" s="602" t="str">
        <f>VLOOKUP(+AP285,'[14]Twr Schedule'!$B$9:$C$611,2,FALSE)</f>
        <v>DA+0</v>
      </c>
      <c r="AQ291" s="602"/>
      <c r="AT291" s="283"/>
      <c r="AV291" s="600"/>
      <c r="AW291" s="600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600"/>
      <c r="AW292" s="600"/>
    </row>
    <row r="293" spans="1:51">
      <c r="A293" s="606" t="s">
        <v>867</v>
      </c>
      <c r="B293" s="606"/>
      <c r="C293" s="606"/>
      <c r="D293" s="606"/>
      <c r="E293" s="606"/>
      <c r="F293" s="606"/>
      <c r="G293" s="606"/>
      <c r="H293" s="606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AI293" t="s">
        <v>871</v>
      </c>
      <c r="AT293" s="283"/>
      <c r="AV293" s="600"/>
      <c r="AW293" s="600"/>
    </row>
    <row r="294" spans="1:51">
      <c r="A294" s="282"/>
      <c r="V294" s="600" t="s">
        <v>872</v>
      </c>
      <c r="W294" s="600"/>
      <c r="AT294" s="283"/>
      <c r="AV294" s="600"/>
      <c r="AW294" s="600"/>
    </row>
    <row r="295" spans="1:51">
      <c r="A295" s="282"/>
      <c r="B295" s="600" t="str">
        <f>'[14]Twr Schedule'!B603</f>
        <v>67/0</v>
      </c>
      <c r="C295" s="600"/>
      <c r="F295" s="600" t="str">
        <f>'[14]Twr Schedule'!B605</f>
        <v>68/0</v>
      </c>
      <c r="G295" s="600"/>
      <c r="J295" s="600" t="str">
        <f>'[14]Twr Schedule'!B607</f>
        <v>69/0</v>
      </c>
      <c r="K295" s="600"/>
      <c r="N295" s="600" t="str">
        <f>'[14]Twr Schedule'!B609</f>
        <v>69A/0</v>
      </c>
      <c r="O295" s="600"/>
      <c r="R295" s="600" t="str">
        <f>'[14]Twr Schedule'!B611</f>
        <v>70/0</v>
      </c>
      <c r="S295" s="600"/>
      <c r="V295" s="600" t="str">
        <f>'[14]Twr Schedule'!B613</f>
        <v>Gantry</v>
      </c>
      <c r="W295" s="600"/>
      <c r="Z295" s="600"/>
      <c r="AA295" s="600"/>
      <c r="AD295" s="600"/>
      <c r="AE295" s="600"/>
      <c r="AP295" s="600"/>
      <c r="AQ295" s="600"/>
      <c r="AT295" s="283"/>
      <c r="AV295" s="600"/>
      <c r="AW295" s="600"/>
    </row>
    <row r="296" spans="1:51">
      <c r="A296" s="282"/>
      <c r="AT296" s="283"/>
      <c r="AV296" s="600"/>
      <c r="AW296" s="600"/>
    </row>
    <row r="297" spans="1:51">
      <c r="A297" s="282"/>
      <c r="AT297" s="283"/>
      <c r="AV297" s="600"/>
      <c r="AW297" s="600"/>
    </row>
    <row r="298" spans="1:51">
      <c r="A298" s="282"/>
      <c r="B298" s="296" t="s">
        <v>791</v>
      </c>
      <c r="C298" s="296" t="s">
        <v>792</v>
      </c>
      <c r="D298" s="607">
        <f>VLOOKUP(B295,[14]Progress!$B$9:$D$310,3,FALSE)</f>
        <v>318.40499999999997</v>
      </c>
      <c r="E298" s="608"/>
      <c r="F298" s="314" t="s">
        <v>791</v>
      </c>
      <c r="G298" s="314" t="s">
        <v>792</v>
      </c>
      <c r="H298" s="609">
        <f>VLOOKUP(F295,[14]Progress!$B$9:$D$310,3,FALSE)</f>
        <v>303.77</v>
      </c>
      <c r="I298" s="610"/>
      <c r="J298" s="314" t="s">
        <v>791</v>
      </c>
      <c r="K298" s="314" t="s">
        <v>792</v>
      </c>
      <c r="L298" s="609">
        <f>VLOOKUP(J295,[14]Progress!$B$9:$D$310,3,FALSE)</f>
        <v>232.6</v>
      </c>
      <c r="M298" s="610"/>
      <c r="N298" s="314" t="s">
        <v>791</v>
      </c>
      <c r="O298" s="314" t="s">
        <v>792</v>
      </c>
      <c r="P298" s="609">
        <f>VLOOKUP(N295,[14]Progress!$B$9:$D$310,3,FALSE)</f>
        <v>202.46</v>
      </c>
      <c r="Q298" s="610"/>
      <c r="R298" s="314" t="s">
        <v>791</v>
      </c>
      <c r="S298" s="314" t="s">
        <v>792</v>
      </c>
      <c r="T298" s="609">
        <f>VLOOKUP(R295,[14]Progress!$B$9:$D$310,3,FALSE)</f>
        <v>127</v>
      </c>
      <c r="U298" s="610"/>
      <c r="V298" s="322"/>
      <c r="W298" s="322"/>
      <c r="X298" s="600"/>
      <c r="Y298" s="600"/>
      <c r="Z298" s="2"/>
      <c r="AA298" s="2"/>
      <c r="AB298" s="600"/>
      <c r="AC298" s="600"/>
      <c r="AD298" s="2"/>
      <c r="AE298" s="2"/>
      <c r="AF298" s="600"/>
      <c r="AG298" s="600"/>
      <c r="AH298" s="2"/>
      <c r="AI298" s="2"/>
      <c r="AM298" s="2"/>
      <c r="AP298" s="2"/>
      <c r="AQ298" s="2"/>
      <c r="AR298" s="600"/>
      <c r="AS298" s="600"/>
      <c r="AT298" s="283"/>
      <c r="AV298" s="600">
        <f>D298+H298+L298+P298+T298+X298+AB298+AF298+AJ298+AN298+AR298</f>
        <v>1184.2349999999999</v>
      </c>
      <c r="AW298" s="600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0"/>
      <c r="AW299" s="600"/>
    </row>
    <row r="300" spans="1:51" ht="10.5" customHeight="1">
      <c r="A300" s="282"/>
      <c r="B300" s="603"/>
      <c r="C300" s="604"/>
      <c r="F300" s="603"/>
      <c r="G300" s="604"/>
      <c r="J300" s="603"/>
      <c r="K300" s="604"/>
      <c r="N300" s="603"/>
      <c r="O300" s="604"/>
      <c r="R300" s="605"/>
      <c r="S300" s="605"/>
      <c r="V300" s="606"/>
      <c r="W300" s="606"/>
      <c r="Z300" s="600"/>
      <c r="AA300" s="600"/>
      <c r="AD300" s="600"/>
      <c r="AE300" s="600"/>
      <c r="AP300" s="600"/>
      <c r="AQ300" s="600"/>
      <c r="AT300" s="283"/>
      <c r="AV300" s="600"/>
      <c r="AW300" s="600"/>
    </row>
    <row r="301" spans="1:51">
      <c r="A301" s="282"/>
      <c r="B301" s="601" t="str">
        <f>VLOOKUP(+B295,'[14]Twr Schedule'!$B$9:$C$611,2,FALSE)</f>
        <v>DD60+30</v>
      </c>
      <c r="C301" s="601"/>
      <c r="F301" s="601" t="str">
        <f>VLOOKUP(+F295,'[14]Twr Schedule'!$B$9:$C$611,2,FALSE)</f>
        <v>DD60+30</v>
      </c>
      <c r="G301" s="601"/>
      <c r="J301" s="602" t="str">
        <f>VLOOKUP(+J295,'[14]Twr Schedule'!$B$9:$C$611,2,FALSE)</f>
        <v>DC2+0</v>
      </c>
      <c r="K301" s="602"/>
      <c r="N301" s="602" t="str">
        <f>VLOOKUP(+N295,'[14]Twr Schedule'!$B$9:$C$611,2,FALSE)</f>
        <v>DD60+0</v>
      </c>
      <c r="O301" s="602"/>
      <c r="R301" s="602" t="str">
        <f>VLOOKUP(+R295,'[14]Twr Schedule'!$B$9:$C$611,2,FALSE)</f>
        <v>DD60+0</v>
      </c>
      <c r="S301" s="602"/>
      <c r="V301" s="600" t="s">
        <v>873</v>
      </c>
      <c r="W301" s="600"/>
      <c r="Z301" s="600"/>
      <c r="AA301" s="600"/>
      <c r="AD301" s="600"/>
      <c r="AE301" s="600"/>
      <c r="AH301" s="600"/>
      <c r="AI301" s="600"/>
      <c r="AL301" s="600"/>
      <c r="AM301" s="600"/>
      <c r="AP301" s="600"/>
      <c r="AQ301" s="600"/>
      <c r="AT301" s="283"/>
      <c r="AV301" s="600"/>
      <c r="AW301" s="600"/>
    </row>
    <row r="302" spans="1:51">
      <c r="A302" s="282"/>
      <c r="C302" t="s">
        <v>874</v>
      </c>
      <c r="AT302" s="283"/>
    </row>
    <row r="303" spans="1:51" ht="1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796875" defaultRowHeight="15.5"/>
  <cols>
    <col min="1" max="1" width="6.1796875" style="12" customWidth="1"/>
    <col min="2" max="5" width="21" style="139" customWidth="1"/>
    <col min="6" max="7" width="21" style="12" customWidth="1"/>
    <col min="8" max="8" width="32.81640625" style="12" customWidth="1"/>
    <col min="9" max="9" width="7.1796875" style="12" customWidth="1"/>
    <col min="10" max="10" width="15.81640625" style="12" customWidth="1"/>
    <col min="11" max="11" width="12.1796875" style="12" customWidth="1"/>
    <col min="12" max="12" width="15.453125" style="12" customWidth="1"/>
    <col min="13" max="13" width="14.453125" style="12" customWidth="1"/>
    <col min="14" max="15" width="17.81640625" style="12" customWidth="1"/>
    <col min="16" max="16" width="15.1796875" style="12" customWidth="1"/>
    <col min="17" max="16384" width="9.1796875" style="12"/>
  </cols>
  <sheetData>
    <row r="1" spans="1:8" ht="24.75" customHeight="1">
      <c r="A1" s="727" t="s">
        <v>876</v>
      </c>
      <c r="B1" s="728"/>
      <c r="C1" s="728"/>
      <c r="D1" s="728"/>
      <c r="E1" s="728"/>
      <c r="F1" s="728"/>
      <c r="G1" s="728"/>
      <c r="H1" s="728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49999999999999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49999999999999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49999999999999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49999999999999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49999999999999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49999999999999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49999999999999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49999999999999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49999999999999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49999999999999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49999999999999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49999999999999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3"/>
  <sheetViews>
    <sheetView workbookViewId="0">
      <selection activeCell="K17" sqref="K17"/>
    </sheetView>
  </sheetViews>
  <sheetFormatPr defaultRowHeight="14.5"/>
  <cols>
    <col min="3" max="3" width="14.1796875" customWidth="1"/>
    <col min="4" max="5" width="17.81640625" customWidth="1"/>
    <col min="6" max="6" width="15.1796875" customWidth="1"/>
    <col min="7" max="7" width="21.54296875" customWidth="1"/>
  </cols>
  <sheetData>
    <row r="4" spans="1:7" ht="15.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434</v>
      </c>
      <c r="C6" s="328" t="s">
        <v>195</v>
      </c>
      <c r="D6" s="278" t="s">
        <v>55</v>
      </c>
      <c r="E6" s="191" t="s">
        <v>1023</v>
      </c>
      <c r="F6" s="207"/>
      <c r="G6" s="208"/>
    </row>
    <row r="7" spans="1:7">
      <c r="A7" s="10">
        <f>A6+1</f>
        <v>2</v>
      </c>
      <c r="B7" s="328" t="s">
        <v>421</v>
      </c>
      <c r="C7" s="328" t="s">
        <v>709</v>
      </c>
      <c r="D7" s="278" t="s">
        <v>55</v>
      </c>
      <c r="E7" s="191"/>
      <c r="F7" s="326"/>
      <c r="G7" s="326"/>
    </row>
    <row r="8" spans="1:7">
      <c r="A8" s="10">
        <f t="shared" ref="A8:A31" si="0">A7+1</f>
        <v>3</v>
      </c>
      <c r="B8" s="328" t="s">
        <v>435</v>
      </c>
      <c r="C8" s="328" t="s">
        <v>716</v>
      </c>
      <c r="D8" s="278" t="s">
        <v>55</v>
      </c>
      <c r="E8" s="191"/>
      <c r="F8" s="207"/>
      <c r="G8" s="208"/>
    </row>
    <row r="9" spans="1:7">
      <c r="A9" s="10">
        <f t="shared" si="0"/>
        <v>4</v>
      </c>
      <c r="B9" s="75" t="s">
        <v>327</v>
      </c>
      <c r="C9" s="75" t="s">
        <v>704</v>
      </c>
      <c r="D9" s="278" t="s">
        <v>55</v>
      </c>
      <c r="E9" s="191" t="s">
        <v>1023</v>
      </c>
      <c r="F9" s="326"/>
      <c r="G9" s="326"/>
    </row>
    <row r="10" spans="1:7">
      <c r="A10" s="10">
        <f t="shared" si="0"/>
        <v>5</v>
      </c>
      <c r="B10" s="75" t="s">
        <v>438</v>
      </c>
      <c r="C10" s="75" t="s">
        <v>226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75" t="s">
        <v>437</v>
      </c>
      <c r="C11" s="75" t="s">
        <v>318</v>
      </c>
      <c r="D11" s="278" t="s">
        <v>55</v>
      </c>
      <c r="E11" s="191" t="s">
        <v>1023</v>
      </c>
      <c r="F11" s="207"/>
      <c r="G11" s="208"/>
    </row>
    <row r="12" spans="1:7">
      <c r="A12" s="10">
        <f t="shared" si="0"/>
        <v>7</v>
      </c>
      <c r="B12" s="75" t="s">
        <v>692</v>
      </c>
      <c r="C12" s="75" t="s">
        <v>195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75" t="s">
        <v>134</v>
      </c>
      <c r="C13" s="75" t="s">
        <v>225</v>
      </c>
      <c r="D13" s="278" t="s">
        <v>55</v>
      </c>
      <c r="E13" s="191" t="s">
        <v>1023</v>
      </c>
      <c r="F13" s="207"/>
      <c r="G13" s="208"/>
    </row>
    <row r="14" spans="1:7">
      <c r="A14" s="10">
        <f t="shared" si="0"/>
        <v>9</v>
      </c>
      <c r="B14" s="75" t="s">
        <v>431</v>
      </c>
      <c r="C14" s="75" t="s">
        <v>195</v>
      </c>
      <c r="D14" s="278" t="s">
        <v>55</v>
      </c>
      <c r="E14" s="191" t="s">
        <v>1023</v>
      </c>
      <c r="F14" s="207"/>
      <c r="G14" s="208"/>
    </row>
    <row r="15" spans="1:7">
      <c r="A15" s="10">
        <f t="shared" si="0"/>
        <v>10</v>
      </c>
      <c r="B15" s="75" t="s">
        <v>439</v>
      </c>
      <c r="C15" s="75" t="s">
        <v>226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328" t="s">
        <v>289</v>
      </c>
      <c r="C16" s="328" t="s">
        <v>318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75" t="s">
        <v>143</v>
      </c>
      <c r="C17" s="75" t="s">
        <v>225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290</v>
      </c>
      <c r="C18" s="75" t="s">
        <v>626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292</v>
      </c>
      <c r="C19" s="75" t="s">
        <v>360</v>
      </c>
      <c r="D19" s="278" t="s">
        <v>55</v>
      </c>
      <c r="E19" s="191"/>
      <c r="F19" s="207"/>
      <c r="G19" s="208"/>
    </row>
    <row r="20" spans="1:7">
      <c r="A20" s="10">
        <f t="shared" si="0"/>
        <v>15</v>
      </c>
      <c r="B20" s="75" t="s">
        <v>294</v>
      </c>
      <c r="C20" s="75" t="s">
        <v>717</v>
      </c>
      <c r="D20" s="278" t="s">
        <v>55</v>
      </c>
      <c r="E20" s="191" t="s">
        <v>1023</v>
      </c>
      <c r="F20" s="326"/>
      <c r="G20" s="208"/>
    </row>
    <row r="21" spans="1:7">
      <c r="A21" s="10">
        <f t="shared" si="0"/>
        <v>16</v>
      </c>
      <c r="B21" s="75" t="s">
        <v>299</v>
      </c>
      <c r="C21" s="75" t="s">
        <v>635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328</v>
      </c>
      <c r="C22" s="75" t="s">
        <v>719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690</v>
      </c>
      <c r="C23" s="75" t="s">
        <v>195</v>
      </c>
      <c r="D23" s="278" t="s">
        <v>55</v>
      </c>
      <c r="E23" s="191" t="s">
        <v>1023</v>
      </c>
      <c r="F23" s="207"/>
      <c r="G23" s="208"/>
    </row>
    <row r="24" spans="1:7">
      <c r="A24" s="10">
        <f t="shared" si="0"/>
        <v>19</v>
      </c>
      <c r="B24" s="75" t="s">
        <v>691</v>
      </c>
      <c r="C24" s="75" t="s">
        <v>224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875</v>
      </c>
      <c r="C25" s="75" t="s">
        <v>380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436</v>
      </c>
      <c r="C26" s="75" t="s">
        <v>195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693</v>
      </c>
      <c r="C27" s="75" t="s">
        <v>635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696</v>
      </c>
      <c r="C28" s="75" t="s">
        <v>635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698</v>
      </c>
      <c r="C29" s="75" t="s">
        <v>357</v>
      </c>
      <c r="D29" s="278" t="s">
        <v>55</v>
      </c>
      <c r="E29" s="191"/>
      <c r="F29" s="207"/>
      <c r="G29" s="208"/>
    </row>
    <row r="30" spans="1:7">
      <c r="A30" s="10">
        <f t="shared" si="0"/>
        <v>25</v>
      </c>
      <c r="B30" s="75" t="s">
        <v>440</v>
      </c>
      <c r="C30" s="75" t="s">
        <v>380</v>
      </c>
      <c r="D30" s="278" t="s">
        <v>55</v>
      </c>
      <c r="E30" s="191"/>
      <c r="F30" s="207"/>
      <c r="G30" s="208"/>
    </row>
    <row r="31" spans="1:7">
      <c r="A31" s="10">
        <f t="shared" si="0"/>
        <v>26</v>
      </c>
      <c r="B31" s="75" t="s">
        <v>697</v>
      </c>
      <c r="C31" s="75" t="s">
        <v>380</v>
      </c>
      <c r="D31" s="278" t="s">
        <v>55</v>
      </c>
      <c r="E31" s="191"/>
      <c r="F31" s="207"/>
      <c r="G31" s="208"/>
    </row>
    <row r="32" spans="1:7">
      <c r="A32" s="10"/>
      <c r="B32" s="75"/>
      <c r="C32" s="75"/>
      <c r="D32" s="278"/>
      <c r="E32" s="191"/>
      <c r="F32" s="207"/>
      <c r="G32" s="208"/>
    </row>
    <row r="33" spans="1:7">
      <c r="A33" s="10"/>
      <c r="B33" s="75"/>
      <c r="C33" s="75"/>
      <c r="D33" s="278"/>
      <c r="E33" s="191"/>
      <c r="F33" s="207"/>
      <c r="G33" s="208"/>
    </row>
  </sheetData>
  <autoFilter ref="A5:G33" xr:uid="{00000000-0009-0000-0000-000004000000}"/>
  <conditionalFormatting sqref="B6:B7">
    <cfRule type="duplicateValues" dxfId="15" priority="6675"/>
  </conditionalFormatting>
  <conditionalFormatting sqref="B8 B16:B18">
    <cfRule type="duplicateValues" dxfId="14" priority="5"/>
  </conditionalFormatting>
  <conditionalFormatting sqref="B8">
    <cfRule type="duplicateValues" dxfId="13" priority="1"/>
  </conditionalFormatting>
  <conditionalFormatting sqref="B16:B18">
    <cfRule type="duplicateValues" dxfId="12" priority="3"/>
    <cfRule type="duplicateValues" dxfId="11" priority="4"/>
  </conditionalFormatting>
  <conditionalFormatting sqref="E6:E33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33">
    <cfRule type="containsText" dxfId="6" priority="86" operator="containsText" text="Pending">
      <formula>NOT(ISERROR(SEARCH("Pending",G4)))</formula>
    </cfRule>
  </conditionalFormatting>
  <conditionalFormatting sqref="G6 G8 G11:G20 G23:G33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5"/>
  <cols>
    <col min="1" max="1" width="7.81640625" style="98" customWidth="1"/>
    <col min="2" max="4" width="10.453125" style="99" customWidth="1"/>
    <col min="5" max="5" width="12.54296875" style="100" customWidth="1"/>
    <col min="6" max="7" width="12.54296875" style="99" customWidth="1"/>
    <col min="8" max="10" width="12.54296875" style="139" customWidth="1"/>
  </cols>
  <sheetData>
    <row r="1" spans="1:12" ht="8.15" customHeight="1" thickBot="1"/>
    <row r="2" spans="1:12" s="7" customFormat="1" ht="15" customHeight="1">
      <c r="A2" s="731" t="s">
        <v>877</v>
      </c>
      <c r="B2" s="732"/>
      <c r="C2" s="732"/>
      <c r="D2" s="732"/>
      <c r="E2" s="732"/>
      <c r="F2" s="732"/>
      <c r="G2" s="732"/>
      <c r="H2" s="732"/>
      <c r="I2" s="732"/>
      <c r="J2" s="733"/>
    </row>
    <row r="3" spans="1:12" ht="15.5">
      <c r="A3" s="738" t="s">
        <v>283</v>
      </c>
      <c r="B3" s="734" t="s">
        <v>284</v>
      </c>
      <c r="C3" s="734"/>
      <c r="D3" s="729" t="s">
        <v>323</v>
      </c>
      <c r="E3" s="729" t="s">
        <v>324</v>
      </c>
      <c r="F3" s="729" t="s">
        <v>325</v>
      </c>
      <c r="G3" s="729" t="s">
        <v>326</v>
      </c>
      <c r="H3" s="734" t="s">
        <v>69</v>
      </c>
      <c r="I3" s="734" t="s">
        <v>273</v>
      </c>
      <c r="J3" s="735" t="s">
        <v>285</v>
      </c>
    </row>
    <row r="4" spans="1:12" ht="26.5" customHeight="1">
      <c r="A4" s="738"/>
      <c r="B4" s="101" t="s">
        <v>286</v>
      </c>
      <c r="C4" s="101" t="s">
        <v>287</v>
      </c>
      <c r="D4" s="730"/>
      <c r="E4" s="730"/>
      <c r="F4" s="730"/>
      <c r="G4" s="730"/>
      <c r="H4" s="734"/>
      <c r="I4" s="734"/>
      <c r="J4" s="735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" thickBot="1">
      <c r="A44" s="736" t="s">
        <v>56</v>
      </c>
      <c r="B44" s="737"/>
      <c r="C44" s="737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4.5"/>
  <cols>
    <col min="1" max="1" width="35" customWidth="1"/>
    <col min="2" max="2" width="30" customWidth="1"/>
    <col min="3" max="3" width="14.54296875" customWidth="1"/>
    <col min="4" max="4" width="16.453125" hidden="1" customWidth="1"/>
    <col min="5" max="5" width="20.81640625" customWidth="1"/>
    <col min="6" max="6" width="14.7265625" customWidth="1"/>
    <col min="7" max="8" width="15.26953125" customWidth="1"/>
    <col min="9" max="9" width="16.81640625" customWidth="1"/>
    <col min="10" max="10" width="12.26953125" customWidth="1"/>
    <col min="11" max="11" width="26.1796875" customWidth="1"/>
  </cols>
  <sheetData>
    <row r="1" spans="1:12" ht="18.5">
      <c r="A1" s="749" t="s">
        <v>878</v>
      </c>
      <c r="B1" s="749"/>
      <c r="C1" s="749"/>
      <c r="D1" s="749"/>
      <c r="E1" s="749"/>
      <c r="F1" s="749"/>
      <c r="G1" s="749"/>
      <c r="H1" s="749"/>
      <c r="I1" s="749"/>
      <c r="J1" s="329"/>
      <c r="K1" s="329"/>
      <c r="L1" s="329"/>
    </row>
    <row r="2" spans="1:12">
      <c r="A2" s="750" t="s">
        <v>879</v>
      </c>
      <c r="B2" s="750"/>
      <c r="C2" s="750"/>
      <c r="D2" s="750"/>
      <c r="E2" s="750"/>
      <c r="F2" s="750"/>
      <c r="G2" s="750"/>
      <c r="H2" s="750"/>
      <c r="I2" s="750"/>
      <c r="J2" s="330"/>
      <c r="K2" s="330"/>
      <c r="L2" s="330"/>
    </row>
    <row r="3" spans="1:12">
      <c r="A3" s="750" t="s">
        <v>880</v>
      </c>
      <c r="B3" s="750"/>
      <c r="C3" s="750"/>
      <c r="D3" s="750"/>
      <c r="E3" s="750"/>
      <c r="F3" s="750"/>
      <c r="G3" s="750"/>
      <c r="H3" s="750"/>
      <c r="I3" s="750"/>
      <c r="J3" s="330"/>
      <c r="K3" s="330"/>
      <c r="L3" s="330"/>
    </row>
    <row r="4" spans="1:12" ht="36.75" customHeight="1">
      <c r="A4" s="751" t="s">
        <v>881</v>
      </c>
      <c r="B4" s="751"/>
      <c r="C4" s="751"/>
      <c r="D4" s="751"/>
      <c r="E4" s="751"/>
      <c r="F4" s="751"/>
      <c r="G4" s="751"/>
      <c r="H4" s="751"/>
      <c r="I4" s="751"/>
      <c r="J4" s="331"/>
      <c r="K4" s="331"/>
      <c r="L4" s="331"/>
    </row>
    <row r="5" spans="1:12" ht="15.5">
      <c r="A5" s="752" t="s">
        <v>882</v>
      </c>
      <c r="B5" s="752"/>
      <c r="C5" s="752"/>
      <c r="D5" s="752"/>
      <c r="E5" s="752"/>
      <c r="F5" s="752"/>
      <c r="G5" s="752"/>
      <c r="H5" s="752"/>
      <c r="I5" s="752"/>
    </row>
    <row r="6" spans="1:12" ht="18.5">
      <c r="A6" s="332" t="s">
        <v>883</v>
      </c>
      <c r="G6" s="333"/>
      <c r="I6" s="333">
        <v>45930</v>
      </c>
    </row>
    <row r="7" spans="1:12" ht="48" customHeight="1">
      <c r="A7" s="334" t="s">
        <v>884</v>
      </c>
      <c r="B7" s="334" t="s">
        <v>885</v>
      </c>
      <c r="C7" s="334" t="s">
        <v>886</v>
      </c>
      <c r="D7" s="334" t="s">
        <v>887</v>
      </c>
      <c r="E7" s="334" t="s">
        <v>888</v>
      </c>
      <c r="F7" s="335" t="s">
        <v>889</v>
      </c>
      <c r="G7" s="336" t="s">
        <v>71</v>
      </c>
      <c r="H7" s="337" t="s">
        <v>890</v>
      </c>
      <c r="I7" s="336" t="s">
        <v>194</v>
      </c>
    </row>
    <row r="8" spans="1:12" ht="15.5">
      <c r="A8" s="338" t="s">
        <v>891</v>
      </c>
      <c r="B8" s="339" t="s">
        <v>892</v>
      </c>
      <c r="C8" s="340" t="s">
        <v>893</v>
      </c>
      <c r="D8" s="340"/>
      <c r="E8" s="340" t="s">
        <v>894</v>
      </c>
      <c r="F8" s="341">
        <v>45411</v>
      </c>
      <c r="G8" s="342" t="s">
        <v>895</v>
      </c>
      <c r="H8" s="343">
        <v>45492</v>
      </c>
      <c r="I8" s="344"/>
    </row>
    <row r="9" spans="1:12" ht="15.5">
      <c r="A9" s="345" t="s">
        <v>896</v>
      </c>
      <c r="B9" s="339" t="s">
        <v>897</v>
      </c>
      <c r="C9" s="340" t="s">
        <v>893</v>
      </c>
      <c r="D9" s="340"/>
      <c r="E9" s="340" t="s">
        <v>898</v>
      </c>
      <c r="F9" s="341">
        <v>45419</v>
      </c>
      <c r="G9" s="342" t="s">
        <v>895</v>
      </c>
      <c r="H9" s="343">
        <v>45491</v>
      </c>
      <c r="I9" s="344"/>
    </row>
    <row r="10" spans="1:12" ht="31">
      <c r="A10" s="345" t="s">
        <v>899</v>
      </c>
      <c r="B10" s="339" t="s">
        <v>900</v>
      </c>
      <c r="C10" s="340" t="s">
        <v>893</v>
      </c>
      <c r="D10" s="340"/>
      <c r="E10" s="346" t="s">
        <v>901</v>
      </c>
      <c r="F10" s="341">
        <v>45419</v>
      </c>
      <c r="G10" s="342" t="s">
        <v>895</v>
      </c>
      <c r="H10" s="343">
        <v>45492</v>
      </c>
      <c r="I10" s="344"/>
    </row>
    <row r="11" spans="1:12" ht="31">
      <c r="A11" s="345" t="s">
        <v>822</v>
      </c>
      <c r="B11" s="339" t="s">
        <v>902</v>
      </c>
      <c r="C11" s="340" t="s">
        <v>402</v>
      </c>
      <c r="D11" s="340"/>
      <c r="E11" s="346" t="s">
        <v>903</v>
      </c>
      <c r="F11" s="341">
        <v>45419</v>
      </c>
      <c r="G11" s="342" t="s">
        <v>895</v>
      </c>
      <c r="H11" s="343">
        <v>45492</v>
      </c>
      <c r="I11" s="347"/>
    </row>
    <row r="12" spans="1:12" ht="15.5">
      <c r="A12" s="345" t="s">
        <v>904</v>
      </c>
      <c r="B12" s="339" t="s">
        <v>900</v>
      </c>
      <c r="C12" s="340" t="s">
        <v>893</v>
      </c>
      <c r="D12" s="340"/>
      <c r="E12" s="346" t="s">
        <v>905</v>
      </c>
      <c r="F12" s="341">
        <v>45419</v>
      </c>
      <c r="G12" s="342" t="s">
        <v>895</v>
      </c>
      <c r="H12" s="343">
        <v>45565</v>
      </c>
      <c r="I12" s="344"/>
    </row>
    <row r="13" spans="1:12" ht="31">
      <c r="A13" s="345" t="s">
        <v>906</v>
      </c>
      <c r="B13" s="339" t="s">
        <v>907</v>
      </c>
      <c r="C13" s="340" t="s">
        <v>893</v>
      </c>
      <c r="D13" s="340"/>
      <c r="E13" s="346" t="s">
        <v>908</v>
      </c>
      <c r="F13" s="341">
        <v>45411</v>
      </c>
      <c r="G13" s="342" t="s">
        <v>895</v>
      </c>
      <c r="H13" s="343">
        <v>45680</v>
      </c>
      <c r="I13" s="344"/>
    </row>
    <row r="14" spans="1:12" ht="15.5">
      <c r="A14" s="345" t="s">
        <v>909</v>
      </c>
      <c r="B14" s="339" t="s">
        <v>910</v>
      </c>
      <c r="C14" s="340" t="s">
        <v>893</v>
      </c>
      <c r="D14" s="340"/>
      <c r="E14" s="346" t="s">
        <v>911</v>
      </c>
      <c r="F14" s="341">
        <v>45411</v>
      </c>
      <c r="G14" s="342" t="s">
        <v>895</v>
      </c>
      <c r="H14" s="343">
        <v>45545</v>
      </c>
      <c r="I14" s="344"/>
    </row>
    <row r="15" spans="1:12" ht="15.5">
      <c r="A15" s="345" t="s">
        <v>912</v>
      </c>
      <c r="B15" s="339" t="s">
        <v>913</v>
      </c>
      <c r="C15" s="340" t="s">
        <v>402</v>
      </c>
      <c r="D15" s="340"/>
      <c r="E15" s="346" t="s">
        <v>914</v>
      </c>
      <c r="F15" s="341">
        <v>45411</v>
      </c>
      <c r="G15" s="342" t="s">
        <v>895</v>
      </c>
      <c r="H15" s="343">
        <v>45491</v>
      </c>
      <c r="I15" s="344"/>
    </row>
    <row r="16" spans="1:12" ht="15.5">
      <c r="A16" s="345" t="s">
        <v>915</v>
      </c>
      <c r="B16" s="339" t="s">
        <v>913</v>
      </c>
      <c r="C16" s="340" t="s">
        <v>402</v>
      </c>
      <c r="D16" s="340"/>
      <c r="E16" s="346" t="s">
        <v>916</v>
      </c>
      <c r="F16" s="341">
        <v>45411</v>
      </c>
      <c r="G16" s="342" t="s">
        <v>895</v>
      </c>
      <c r="H16" s="343">
        <v>45491</v>
      </c>
      <c r="I16" s="344"/>
    </row>
    <row r="17" spans="1:10" ht="15.5">
      <c r="A17" s="345" t="s">
        <v>917</v>
      </c>
      <c r="B17" s="339" t="s">
        <v>902</v>
      </c>
      <c r="C17" s="340"/>
      <c r="D17" s="340"/>
      <c r="E17" s="346" t="s">
        <v>918</v>
      </c>
      <c r="F17" s="341">
        <v>45511</v>
      </c>
      <c r="G17" s="342" t="s">
        <v>895</v>
      </c>
      <c r="H17" s="343">
        <v>45609</v>
      </c>
      <c r="I17" s="344"/>
    </row>
    <row r="18" spans="1:10" ht="31">
      <c r="A18" s="345" t="s">
        <v>919</v>
      </c>
      <c r="B18" s="339" t="s">
        <v>920</v>
      </c>
      <c r="C18" s="340" t="s">
        <v>921</v>
      </c>
      <c r="D18" s="340"/>
      <c r="E18" s="346" t="s">
        <v>922</v>
      </c>
      <c r="F18" s="341">
        <v>45502</v>
      </c>
      <c r="G18" s="342" t="s">
        <v>895</v>
      </c>
      <c r="H18" s="343">
        <v>45563</v>
      </c>
      <c r="I18" s="344"/>
    </row>
    <row r="19" spans="1:10" ht="15.5">
      <c r="A19" s="345" t="s">
        <v>923</v>
      </c>
      <c r="B19" s="339" t="s">
        <v>897</v>
      </c>
      <c r="C19" s="340" t="s">
        <v>893</v>
      </c>
      <c r="D19" s="340"/>
      <c r="E19" s="346" t="s">
        <v>924</v>
      </c>
      <c r="F19" s="341">
        <v>45511</v>
      </c>
      <c r="G19" s="342" t="s">
        <v>895</v>
      </c>
      <c r="H19" s="343">
        <v>45563</v>
      </c>
      <c r="I19" s="344"/>
    </row>
    <row r="20" spans="1:10" ht="15.5">
      <c r="A20" s="345" t="s">
        <v>923</v>
      </c>
      <c r="B20" s="339" t="s">
        <v>900</v>
      </c>
      <c r="C20" s="340" t="s">
        <v>893</v>
      </c>
      <c r="D20" s="340"/>
      <c r="E20" s="346" t="s">
        <v>925</v>
      </c>
      <c r="F20" s="341">
        <v>45502</v>
      </c>
      <c r="G20" s="342" t="s">
        <v>895</v>
      </c>
      <c r="H20" s="343">
        <v>45563</v>
      </c>
      <c r="I20" s="344"/>
    </row>
    <row r="21" spans="1:10" ht="15.5">
      <c r="A21" s="345" t="s">
        <v>926</v>
      </c>
      <c r="B21" s="339" t="s">
        <v>900</v>
      </c>
      <c r="C21" s="340" t="s">
        <v>893</v>
      </c>
      <c r="D21" s="340"/>
      <c r="E21" s="346" t="s">
        <v>927</v>
      </c>
      <c r="F21" s="341">
        <v>45490</v>
      </c>
      <c r="G21" s="342" t="s">
        <v>895</v>
      </c>
      <c r="H21" s="343">
        <v>45563</v>
      </c>
      <c r="I21" s="344"/>
    </row>
    <row r="22" spans="1:10" ht="15.5">
      <c r="A22" s="345" t="s">
        <v>928</v>
      </c>
      <c r="B22" s="339" t="s">
        <v>929</v>
      </c>
      <c r="C22" s="340" t="s">
        <v>402</v>
      </c>
      <c r="D22" s="340"/>
      <c r="E22" s="346" t="s">
        <v>930</v>
      </c>
      <c r="F22" s="341">
        <v>45490</v>
      </c>
      <c r="G22" s="342" t="s">
        <v>895</v>
      </c>
      <c r="H22" s="343">
        <v>45563</v>
      </c>
      <c r="I22" s="347"/>
    </row>
    <row r="23" spans="1:10" ht="15.5">
      <c r="A23" s="345" t="s">
        <v>931</v>
      </c>
      <c r="B23" s="339" t="s">
        <v>910</v>
      </c>
      <c r="C23" s="340" t="s">
        <v>893</v>
      </c>
      <c r="D23" s="340"/>
      <c r="E23" s="346" t="s">
        <v>932</v>
      </c>
      <c r="F23" s="341">
        <v>45490</v>
      </c>
      <c r="G23" s="342" t="s">
        <v>895</v>
      </c>
      <c r="H23" s="343">
        <v>45563</v>
      </c>
      <c r="I23" s="344"/>
    </row>
    <row r="24" spans="1:10" ht="15.5">
      <c r="A24" s="345" t="s">
        <v>931</v>
      </c>
      <c r="B24" s="339" t="s">
        <v>910</v>
      </c>
      <c r="C24" s="340" t="s">
        <v>893</v>
      </c>
      <c r="D24" s="340"/>
      <c r="E24" s="346" t="s">
        <v>933</v>
      </c>
      <c r="F24" s="341">
        <v>45490</v>
      </c>
      <c r="G24" s="342" t="s">
        <v>895</v>
      </c>
      <c r="H24" s="343">
        <v>45563</v>
      </c>
      <c r="I24" s="344"/>
    </row>
    <row r="25" spans="1:10" ht="15.5">
      <c r="A25" s="345" t="s">
        <v>934</v>
      </c>
      <c r="B25" s="339" t="s">
        <v>902</v>
      </c>
      <c r="C25" s="340" t="s">
        <v>402</v>
      </c>
      <c r="D25" s="340"/>
      <c r="E25" s="346" t="s">
        <v>935</v>
      </c>
      <c r="F25" s="341">
        <v>45490</v>
      </c>
      <c r="G25" s="342" t="s">
        <v>895</v>
      </c>
      <c r="H25" s="343">
        <v>45563</v>
      </c>
      <c r="I25" s="344"/>
    </row>
    <row r="26" spans="1:10" ht="22.5" customHeight="1">
      <c r="A26" s="348" t="s">
        <v>936</v>
      </c>
      <c r="B26" s="349"/>
      <c r="C26" s="349"/>
      <c r="D26" s="349"/>
      <c r="E26" s="349"/>
      <c r="F26" s="349"/>
      <c r="G26" s="350"/>
      <c r="H26" s="350"/>
      <c r="I26" s="351"/>
    </row>
    <row r="27" spans="1:10" ht="49.5" customHeight="1">
      <c r="A27" s="352" t="s">
        <v>937</v>
      </c>
      <c r="B27" s="352" t="s">
        <v>938</v>
      </c>
      <c r="C27" s="352" t="s">
        <v>939</v>
      </c>
      <c r="D27" s="352" t="s">
        <v>940</v>
      </c>
      <c r="E27" s="352" t="s">
        <v>941</v>
      </c>
      <c r="F27" s="353" t="s">
        <v>942</v>
      </c>
      <c r="G27" s="354" t="s">
        <v>71</v>
      </c>
      <c r="H27" s="355"/>
      <c r="I27" s="356"/>
    </row>
    <row r="28" spans="1:10" ht="25.5" customHeight="1">
      <c r="A28" s="357"/>
      <c r="B28" s="358" t="s">
        <v>943</v>
      </c>
      <c r="C28" s="358" t="s">
        <v>944</v>
      </c>
      <c r="D28" s="358" t="s">
        <v>945</v>
      </c>
      <c r="E28" s="359" t="s">
        <v>946</v>
      </c>
      <c r="F28" s="341" t="s">
        <v>947</v>
      </c>
      <c r="G28" s="360" t="s">
        <v>948</v>
      </c>
      <c r="H28" s="361" t="s">
        <v>949</v>
      </c>
      <c r="I28" s="362">
        <v>45663</v>
      </c>
    </row>
    <row r="29" spans="1:10" ht="37.5">
      <c r="A29" s="357"/>
      <c r="B29" s="358" t="s">
        <v>943</v>
      </c>
      <c r="C29" s="358" t="s">
        <v>950</v>
      </c>
      <c r="D29" s="358"/>
      <c r="E29" s="359" t="s">
        <v>951</v>
      </c>
      <c r="F29" s="363" t="s">
        <v>952</v>
      </c>
      <c r="G29" s="360" t="s">
        <v>953</v>
      </c>
      <c r="H29" s="361" t="s">
        <v>949</v>
      </c>
      <c r="I29" s="362">
        <v>45663</v>
      </c>
    </row>
    <row r="30" spans="1:10" ht="37.5">
      <c r="A30" s="357"/>
      <c r="B30" s="358" t="s">
        <v>943</v>
      </c>
      <c r="C30" s="358" t="s">
        <v>944</v>
      </c>
      <c r="D30" s="358" t="s">
        <v>954</v>
      </c>
      <c r="E30" s="359" t="s">
        <v>955</v>
      </c>
      <c r="F30" s="363" t="s">
        <v>956</v>
      </c>
      <c r="G30" s="360" t="s">
        <v>953</v>
      </c>
      <c r="H30" s="361" t="s">
        <v>949</v>
      </c>
      <c r="I30" s="362">
        <v>45695</v>
      </c>
    </row>
    <row r="31" spans="1:10" s="7" customFormat="1" ht="15.5">
      <c r="A31" s="364" t="s">
        <v>957</v>
      </c>
      <c r="B31" s="365"/>
      <c r="C31" s="365"/>
      <c r="D31" s="366"/>
      <c r="E31" s="366"/>
      <c r="F31" s="365"/>
      <c r="G31" s="365"/>
      <c r="H31" s="367"/>
      <c r="I31" s="368"/>
    </row>
    <row r="32" spans="1:10" ht="31.5" thickBot="1">
      <c r="A32" s="352" t="s">
        <v>958</v>
      </c>
      <c r="B32" s="352" t="s">
        <v>959</v>
      </c>
      <c r="C32" s="352" t="s">
        <v>960</v>
      </c>
      <c r="D32" s="352" t="s">
        <v>961</v>
      </c>
      <c r="E32" s="352" t="s">
        <v>941</v>
      </c>
      <c r="F32" s="352" t="s">
        <v>942</v>
      </c>
      <c r="G32" s="369" t="s">
        <v>71</v>
      </c>
      <c r="H32" s="344"/>
      <c r="I32" s="370"/>
      <c r="J32" s="98"/>
    </row>
    <row r="33" spans="1:11" ht="42">
      <c r="A33" s="371"/>
      <c r="B33" s="372" t="s">
        <v>962</v>
      </c>
      <c r="C33" s="373" t="s">
        <v>963</v>
      </c>
      <c r="D33" s="373" t="s">
        <v>964</v>
      </c>
      <c r="E33" s="372" t="s">
        <v>965</v>
      </c>
      <c r="F33" s="374" t="s">
        <v>966</v>
      </c>
      <c r="G33" s="342" t="s">
        <v>895</v>
      </c>
      <c r="H33" s="375">
        <v>45751</v>
      </c>
      <c r="I33" s="376"/>
    </row>
    <row r="34" spans="1:11" ht="42">
      <c r="A34" s="357"/>
      <c r="B34" s="359" t="s">
        <v>967</v>
      </c>
      <c r="C34" s="358" t="s">
        <v>968</v>
      </c>
      <c r="D34" s="358" t="s">
        <v>969</v>
      </c>
      <c r="E34" s="359" t="s">
        <v>970</v>
      </c>
      <c r="F34" s="377" t="s">
        <v>971</v>
      </c>
      <c r="G34" s="342" t="s">
        <v>895</v>
      </c>
      <c r="H34" s="378">
        <v>45498</v>
      </c>
      <c r="I34" s="347"/>
    </row>
    <row r="35" spans="1:11" ht="42">
      <c r="A35" s="357"/>
      <c r="B35" s="359" t="s">
        <v>828</v>
      </c>
      <c r="C35" s="358"/>
      <c r="D35" s="358" t="s">
        <v>972</v>
      </c>
      <c r="E35" s="359" t="s">
        <v>973</v>
      </c>
      <c r="F35" s="379" t="s">
        <v>974</v>
      </c>
      <c r="G35" s="342" t="s">
        <v>895</v>
      </c>
      <c r="H35" s="378">
        <v>45723</v>
      </c>
      <c r="I35" s="344"/>
    </row>
    <row r="36" spans="1:11" ht="29">
      <c r="A36" s="76"/>
      <c r="B36" s="359" t="s">
        <v>975</v>
      </c>
      <c r="C36" s="380" t="s">
        <v>976</v>
      </c>
      <c r="D36" s="76"/>
      <c r="E36" s="359" t="s">
        <v>977</v>
      </c>
      <c r="F36" s="379" t="s">
        <v>330</v>
      </c>
      <c r="G36" s="245" t="s">
        <v>895</v>
      </c>
      <c r="H36" s="378">
        <v>45498</v>
      </c>
      <c r="I36" s="76"/>
    </row>
    <row r="37" spans="1:11" ht="28">
      <c r="A37" s="76"/>
      <c r="B37" s="359" t="s">
        <v>845</v>
      </c>
      <c r="C37" s="76"/>
      <c r="D37" s="76"/>
      <c r="E37" s="359" t="s">
        <v>978</v>
      </c>
      <c r="F37" s="359" t="s">
        <v>979</v>
      </c>
      <c r="G37" s="245" t="s">
        <v>895</v>
      </c>
      <c r="H37" s="381">
        <v>45544</v>
      </c>
      <c r="I37" s="76"/>
    </row>
    <row r="38" spans="1:11" ht="29">
      <c r="A38" s="76"/>
      <c r="B38" s="359" t="s">
        <v>980</v>
      </c>
      <c r="C38" s="76"/>
      <c r="D38" s="76"/>
      <c r="E38" s="359" t="s">
        <v>951</v>
      </c>
      <c r="F38" s="382" t="s">
        <v>981</v>
      </c>
      <c r="G38" s="342" t="s">
        <v>895</v>
      </c>
      <c r="H38" s="383">
        <v>45741</v>
      </c>
      <c r="I38" s="76"/>
    </row>
    <row r="39" spans="1:11" ht="28.5" thickBot="1">
      <c r="A39" s="76"/>
      <c r="B39" s="384" t="s">
        <v>982</v>
      </c>
      <c r="C39" s="76"/>
      <c r="D39" s="76"/>
      <c r="E39" s="359" t="s">
        <v>955</v>
      </c>
      <c r="F39" s="359" t="s">
        <v>983</v>
      </c>
      <c r="G39" s="245" t="s">
        <v>895</v>
      </c>
      <c r="H39" s="381">
        <v>45583</v>
      </c>
      <c r="I39" s="76"/>
    </row>
    <row r="41" spans="1:11" ht="15" thickBot="1">
      <c r="A41" s="385" t="s">
        <v>984</v>
      </c>
      <c r="B41" s="386"/>
      <c r="C41" s="386"/>
      <c r="D41" s="386"/>
      <c r="E41" s="386"/>
      <c r="F41" s="386"/>
      <c r="G41" s="386"/>
      <c r="H41" s="386"/>
      <c r="I41" s="386"/>
      <c r="J41" s="386"/>
      <c r="K41" s="386"/>
    </row>
    <row r="42" spans="1:11" ht="84.5" thickBot="1">
      <c r="A42" s="387" t="s">
        <v>985</v>
      </c>
      <c r="B42" s="388" t="s">
        <v>986</v>
      </c>
      <c r="C42" s="388" t="s">
        <v>987</v>
      </c>
      <c r="D42" s="388" t="s">
        <v>988</v>
      </c>
      <c r="E42" s="388" t="s">
        <v>989</v>
      </c>
      <c r="F42" s="388" t="s">
        <v>990</v>
      </c>
      <c r="G42" s="388" t="s">
        <v>991</v>
      </c>
      <c r="H42" s="388" t="s">
        <v>992</v>
      </c>
      <c r="I42" s="388" t="s">
        <v>993</v>
      </c>
      <c r="J42" s="388" t="s">
        <v>994</v>
      </c>
      <c r="K42" s="389" t="s">
        <v>194</v>
      </c>
    </row>
    <row r="43" spans="1:11" ht="28">
      <c r="A43" s="390">
        <v>1</v>
      </c>
      <c r="B43" s="391" t="s">
        <v>995</v>
      </c>
      <c r="C43" s="392">
        <v>0.17419999999999999</v>
      </c>
      <c r="D43" s="372" t="s">
        <v>996</v>
      </c>
      <c r="E43" s="372" t="s">
        <v>997</v>
      </c>
      <c r="F43" s="372" t="s">
        <v>55</v>
      </c>
      <c r="G43" s="377" t="s">
        <v>998</v>
      </c>
      <c r="H43" s="377"/>
      <c r="I43" s="377"/>
      <c r="J43" s="377"/>
      <c r="K43" s="393" t="s">
        <v>999</v>
      </c>
    </row>
    <row r="44" spans="1:11" ht="28">
      <c r="A44" s="394">
        <v>2</v>
      </c>
      <c r="B44" s="395" t="s">
        <v>1000</v>
      </c>
      <c r="C44" s="396">
        <v>0.25940000000000002</v>
      </c>
      <c r="D44" s="359" t="s">
        <v>996</v>
      </c>
      <c r="E44" s="359" t="s">
        <v>997</v>
      </c>
      <c r="F44" s="359" t="s">
        <v>55</v>
      </c>
      <c r="G44" s="377" t="s">
        <v>998</v>
      </c>
      <c r="H44" s="379"/>
      <c r="I44" s="379"/>
      <c r="J44" s="379"/>
      <c r="K44" s="393" t="s">
        <v>1001</v>
      </c>
    </row>
    <row r="45" spans="1:11" ht="28">
      <c r="A45" s="394">
        <v>3</v>
      </c>
      <c r="B45" s="395" t="s">
        <v>1002</v>
      </c>
      <c r="C45" s="396">
        <f>0.1593+0.0017</f>
        <v>0.161</v>
      </c>
      <c r="D45" s="359" t="s">
        <v>996</v>
      </c>
      <c r="E45" s="359" t="s">
        <v>997</v>
      </c>
      <c r="F45" s="359" t="s">
        <v>55</v>
      </c>
      <c r="G45" s="377" t="s">
        <v>998</v>
      </c>
      <c r="H45" s="379"/>
      <c r="I45" s="379"/>
      <c r="J45" s="379"/>
      <c r="K45" s="739" t="s">
        <v>1003</v>
      </c>
    </row>
    <row r="46" spans="1:11" ht="28">
      <c r="A46" s="394">
        <v>4</v>
      </c>
      <c r="B46" s="395" t="s">
        <v>1004</v>
      </c>
      <c r="C46" s="396">
        <v>0.1245</v>
      </c>
      <c r="D46" s="359" t="s">
        <v>996</v>
      </c>
      <c r="E46" s="359" t="s">
        <v>997</v>
      </c>
      <c r="F46" s="359" t="s">
        <v>55</v>
      </c>
      <c r="G46" s="377" t="s">
        <v>998</v>
      </c>
      <c r="H46" s="379"/>
      <c r="I46" s="379"/>
      <c r="J46" s="379"/>
      <c r="K46" s="740"/>
    </row>
    <row r="47" spans="1:11" ht="28.5" thickBot="1">
      <c r="A47" s="397">
        <v>5</v>
      </c>
      <c r="B47" s="398" t="s">
        <v>1005</v>
      </c>
      <c r="C47" s="399">
        <v>0.1038</v>
      </c>
      <c r="D47" s="359" t="s">
        <v>996</v>
      </c>
      <c r="E47" s="400" t="s">
        <v>997</v>
      </c>
      <c r="F47" s="400" t="s">
        <v>55</v>
      </c>
      <c r="G47" s="377" t="s">
        <v>998</v>
      </c>
      <c r="H47" s="401"/>
      <c r="I47" s="401"/>
      <c r="J47" s="401"/>
      <c r="K47" s="741"/>
    </row>
    <row r="48" spans="1:11" ht="15" thickBot="1">
      <c r="A48" s="742" t="s">
        <v>1006</v>
      </c>
      <c r="B48" s="743"/>
      <c r="C48" s="402">
        <f>SUM(C43:C47)</f>
        <v>0.82290000000000008</v>
      </c>
      <c r="D48" s="388"/>
      <c r="E48" s="388"/>
      <c r="F48" s="388"/>
      <c r="G48" s="403"/>
      <c r="H48" s="403"/>
      <c r="I48" s="403"/>
      <c r="J48" s="403"/>
      <c r="K48" s="389"/>
    </row>
    <row r="49" spans="1:10" ht="15" thickBot="1"/>
    <row r="50" spans="1:10" ht="15" thickBot="1">
      <c r="A50" s="744" t="s">
        <v>1007</v>
      </c>
      <c r="B50" s="745"/>
      <c r="C50" s="745"/>
      <c r="D50" s="745"/>
      <c r="E50" s="745"/>
      <c r="F50" s="745"/>
      <c r="G50" s="746"/>
      <c r="H50" s="330"/>
      <c r="I50" s="330"/>
      <c r="J50" s="330"/>
    </row>
    <row r="51" spans="1:10" ht="52">
      <c r="A51" s="404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5" t="s">
        <v>1012</v>
      </c>
      <c r="I51" s="177" t="s">
        <v>1013</v>
      </c>
      <c r="J51" s="406" t="s">
        <v>194</v>
      </c>
    </row>
    <row r="52" spans="1:10">
      <c r="A52" s="407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8">
        <v>45512</v>
      </c>
      <c r="G52" s="747" t="s">
        <v>1014</v>
      </c>
      <c r="H52" s="408">
        <v>45684</v>
      </c>
      <c r="I52" s="409" t="s">
        <v>1015</v>
      </c>
      <c r="J52" s="393" t="s">
        <v>1016</v>
      </c>
    </row>
    <row r="53" spans="1:10" ht="15" thickBot="1">
      <c r="A53" s="410">
        <v>2</v>
      </c>
      <c r="B53" s="411" t="s">
        <v>556</v>
      </c>
      <c r="C53" s="412" t="s">
        <v>224</v>
      </c>
      <c r="D53" s="411" t="s">
        <v>547</v>
      </c>
      <c r="E53" s="412" t="s">
        <v>225</v>
      </c>
      <c r="F53" s="413">
        <v>45503</v>
      </c>
      <c r="G53" s="748"/>
      <c r="H53" s="413">
        <v>45782</v>
      </c>
      <c r="I53" s="414" t="s">
        <v>1017</v>
      </c>
      <c r="J53" s="415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6" t="s">
        <v>159</v>
      </c>
      <c r="B6" s="756"/>
      <c r="C6" s="756"/>
      <c r="D6" s="756"/>
      <c r="E6" s="756"/>
      <c r="F6" s="756"/>
    </row>
    <row r="7" spans="1:27" ht="15" thickBot="1"/>
    <row r="8" spans="1:27" ht="15" customHeight="1">
      <c r="A8" s="757" t="s">
        <v>12</v>
      </c>
      <c r="B8" s="759" t="s">
        <v>13</v>
      </c>
      <c r="C8" s="761" t="s">
        <v>14</v>
      </c>
      <c r="D8" s="763" t="s">
        <v>15</v>
      </c>
    </row>
    <row r="9" spans="1:27" ht="15" thickBot="1">
      <c r="A9" s="758"/>
      <c r="B9" s="760"/>
      <c r="C9" s="762"/>
      <c r="D9" s="764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3"/>
      <c r="G10" s="753"/>
      <c r="H10" s="753"/>
      <c r="I10" s="753"/>
      <c r="J10" s="753"/>
      <c r="K10" s="754"/>
      <c r="L10" s="754"/>
      <c r="M10" s="754"/>
      <c r="N10" s="754"/>
      <c r="O10" s="754"/>
      <c r="P10" s="754"/>
      <c r="Q10" s="754"/>
      <c r="R10" s="754"/>
      <c r="S10" s="755"/>
    </row>
    <row r="11" spans="1:27" ht="19.399999999999999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 ht="15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 ht="15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120">
        <v>335</v>
      </c>
      <c r="F26" s="753"/>
      <c r="G26" s="753"/>
      <c r="H26" s="753"/>
      <c r="I26" s="753"/>
      <c r="J26" s="753"/>
      <c r="K26" s="754"/>
      <c r="L26" s="754"/>
      <c r="M26" s="754"/>
      <c r="N26" s="754"/>
      <c r="O26" s="754"/>
      <c r="P26" s="754"/>
      <c r="Q26" s="754"/>
      <c r="R26" s="754"/>
      <c r="S26" s="755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 ht="15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 ht="15">
      <c r="A42" s="1">
        <v>17</v>
      </c>
      <c r="B42" s="14" t="s">
        <v>17</v>
      </c>
      <c r="C42" s="46" t="s">
        <v>229</v>
      </c>
      <c r="D42" s="119">
        <v>382</v>
      </c>
    </row>
    <row r="43" spans="1:27" ht="15">
      <c r="A43" s="1"/>
      <c r="B43" s="14"/>
      <c r="C43" s="46"/>
      <c r="D43" s="119"/>
    </row>
    <row r="44" spans="1:27" ht="15">
      <c r="A44" s="1">
        <v>18</v>
      </c>
      <c r="B44" s="14" t="s">
        <v>18</v>
      </c>
      <c r="C44" s="46" t="s">
        <v>229</v>
      </c>
      <c r="D44" s="119">
        <v>405</v>
      </c>
    </row>
    <row r="45" spans="1:27" ht="15">
      <c r="A45" s="1"/>
      <c r="B45" s="14"/>
      <c r="C45" s="46"/>
      <c r="D45" s="119"/>
    </row>
    <row r="46" spans="1:27" ht="15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 ht="15">
      <c r="A47" s="1"/>
      <c r="B47" s="14"/>
      <c r="C47" s="46"/>
      <c r="D47" s="119"/>
    </row>
    <row r="48" spans="1:27" ht="15">
      <c r="A48" s="1">
        <v>20</v>
      </c>
      <c r="B48" s="15" t="s">
        <v>26</v>
      </c>
      <c r="C48" s="46" t="s">
        <v>228</v>
      </c>
      <c r="D48" s="119">
        <v>405</v>
      </c>
    </row>
    <row r="49" spans="1:4" ht="15">
      <c r="A49" s="1"/>
      <c r="B49" s="14"/>
      <c r="C49" s="46"/>
      <c r="D49" s="119"/>
    </row>
    <row r="50" spans="1:4" ht="15">
      <c r="A50" s="1">
        <v>21</v>
      </c>
      <c r="B50" s="14" t="s">
        <v>87</v>
      </c>
      <c r="C50" s="46" t="s">
        <v>230</v>
      </c>
      <c r="D50" s="119">
        <v>360</v>
      </c>
    </row>
    <row r="51" spans="1:4" ht="15">
      <c r="A51" s="1"/>
      <c r="B51" s="14"/>
      <c r="C51" s="46"/>
      <c r="D51" s="119"/>
    </row>
    <row r="52" spans="1:4" ht="15">
      <c r="A52" s="1">
        <v>22</v>
      </c>
      <c r="B52" s="14" t="s">
        <v>88</v>
      </c>
      <c r="C52" s="46" t="s">
        <v>230</v>
      </c>
      <c r="D52" s="119">
        <v>390</v>
      </c>
    </row>
    <row r="53" spans="1:4" ht="15">
      <c r="A53" s="1"/>
      <c r="B53" s="14"/>
      <c r="C53" s="46"/>
      <c r="D53" s="119"/>
    </row>
    <row r="54" spans="1:4" ht="15">
      <c r="A54" s="1">
        <v>23</v>
      </c>
      <c r="B54" s="14" t="s">
        <v>89</v>
      </c>
      <c r="C54" s="46" t="s">
        <v>231</v>
      </c>
      <c r="D54" s="119">
        <v>325</v>
      </c>
    </row>
    <row r="55" spans="1:4" ht="15">
      <c r="A55" s="1"/>
      <c r="B55" s="14"/>
      <c r="C55" s="46"/>
      <c r="D55" s="119"/>
    </row>
    <row r="56" spans="1:4" ht="15">
      <c r="A56" s="1">
        <v>24</v>
      </c>
      <c r="B56" s="14" t="s">
        <v>90</v>
      </c>
      <c r="C56" s="46" t="s">
        <v>229</v>
      </c>
      <c r="D56" s="119">
        <v>430</v>
      </c>
    </row>
    <row r="57" spans="1:4" ht="15">
      <c r="A57" s="1"/>
      <c r="B57" s="14"/>
      <c r="C57" s="46"/>
      <c r="D57" s="119"/>
    </row>
    <row r="58" spans="1:4" ht="15">
      <c r="A58" s="1">
        <v>25</v>
      </c>
      <c r="B58" s="14" t="s">
        <v>91</v>
      </c>
      <c r="C58" s="46" t="s">
        <v>229</v>
      </c>
      <c r="D58" s="119">
        <v>298</v>
      </c>
    </row>
    <row r="59" spans="1:4" ht="15">
      <c r="A59" s="1"/>
      <c r="B59" s="14"/>
      <c r="C59" s="46"/>
      <c r="D59" s="119"/>
    </row>
    <row r="60" spans="1:4" ht="15">
      <c r="A60" s="1">
        <v>26</v>
      </c>
      <c r="B60" s="14" t="s">
        <v>92</v>
      </c>
      <c r="C60" s="46" t="s">
        <v>229</v>
      </c>
      <c r="D60" s="119">
        <v>422</v>
      </c>
    </row>
    <row r="61" spans="1:4" ht="15">
      <c r="A61" s="1"/>
      <c r="B61" s="14"/>
      <c r="C61" s="46"/>
      <c r="D61" s="119"/>
    </row>
    <row r="62" spans="1:4" ht="15">
      <c r="A62" s="1">
        <v>27</v>
      </c>
      <c r="B62" s="14" t="s">
        <v>93</v>
      </c>
      <c r="C62" s="46" t="s">
        <v>232</v>
      </c>
      <c r="D62" s="119">
        <v>345</v>
      </c>
    </row>
    <row r="63" spans="1:4" ht="15">
      <c r="A63" s="1"/>
      <c r="B63" s="14"/>
      <c r="C63" s="46"/>
      <c r="D63" s="119"/>
    </row>
    <row r="64" spans="1:4" ht="15">
      <c r="A64" s="1">
        <v>28</v>
      </c>
      <c r="B64" s="14" t="s">
        <v>94</v>
      </c>
      <c r="C64" s="46" t="s">
        <v>230</v>
      </c>
      <c r="D64" s="119">
        <v>370</v>
      </c>
    </row>
    <row r="65" spans="1:4" ht="15">
      <c r="A65" s="1"/>
      <c r="B65" s="14"/>
      <c r="C65" s="46"/>
      <c r="D65" s="119"/>
    </row>
    <row r="66" spans="1:4" ht="15">
      <c r="A66" s="1">
        <v>29</v>
      </c>
      <c r="B66" s="14" t="s">
        <v>95</v>
      </c>
      <c r="C66" s="46" t="s">
        <v>232</v>
      </c>
      <c r="D66" s="119">
        <v>320</v>
      </c>
    </row>
    <row r="67" spans="1:4" ht="15">
      <c r="A67" s="1"/>
      <c r="B67" s="14"/>
      <c r="C67" s="46"/>
      <c r="D67" s="119"/>
    </row>
    <row r="68" spans="1:4" ht="15">
      <c r="A68" s="1">
        <v>30</v>
      </c>
      <c r="B68" s="14" t="s">
        <v>96</v>
      </c>
      <c r="C68" s="46" t="s">
        <v>232</v>
      </c>
      <c r="D68" s="119">
        <v>390</v>
      </c>
    </row>
    <row r="69" spans="1:4" ht="15">
      <c r="A69" s="1"/>
      <c r="B69" s="14"/>
      <c r="C69" s="46"/>
      <c r="D69" s="119"/>
    </row>
    <row r="70" spans="1:4" ht="15">
      <c r="A70" s="1">
        <v>31</v>
      </c>
      <c r="B70" s="14" t="s">
        <v>97</v>
      </c>
      <c r="C70" s="46" t="s">
        <v>230</v>
      </c>
      <c r="D70" s="119">
        <v>425.02</v>
      </c>
    </row>
    <row r="71" spans="1:4" ht="15">
      <c r="A71" s="1"/>
      <c r="B71" s="14"/>
      <c r="C71" s="46"/>
      <c r="D71" s="119"/>
    </row>
    <row r="72" spans="1:4" ht="15">
      <c r="A72" s="1">
        <v>32</v>
      </c>
      <c r="B72" s="15" t="s">
        <v>27</v>
      </c>
      <c r="C72" s="46" t="s">
        <v>233</v>
      </c>
      <c r="D72" s="119">
        <v>480</v>
      </c>
    </row>
    <row r="73" spans="1:4" ht="15">
      <c r="A73" s="1"/>
      <c r="B73" s="14"/>
      <c r="C73" s="46"/>
      <c r="D73" s="119"/>
    </row>
    <row r="74" spans="1:4" ht="15">
      <c r="A74" s="1">
        <v>33</v>
      </c>
      <c r="B74" s="14" t="s">
        <v>19</v>
      </c>
      <c r="C74" s="46" t="s">
        <v>234</v>
      </c>
      <c r="D74" s="119">
        <v>297.315</v>
      </c>
    </row>
    <row r="75" spans="1:4" ht="15">
      <c r="A75" s="1"/>
      <c r="B75" s="14"/>
      <c r="C75" s="46"/>
      <c r="D75" s="119"/>
    </row>
    <row r="76" spans="1:4" ht="15">
      <c r="A76" s="1">
        <v>34</v>
      </c>
      <c r="B76" s="15" t="s">
        <v>28</v>
      </c>
      <c r="C76" s="46" t="s">
        <v>240</v>
      </c>
      <c r="D76" s="119">
        <v>417</v>
      </c>
    </row>
    <row r="77" spans="1:4" ht="15">
      <c r="A77" s="1"/>
      <c r="B77" s="14"/>
      <c r="C77" s="46"/>
      <c r="D77" s="119"/>
    </row>
    <row r="78" spans="1:4" ht="15">
      <c r="A78" s="1">
        <v>35</v>
      </c>
      <c r="B78" s="14" t="s">
        <v>20</v>
      </c>
      <c r="C78" s="46" t="s">
        <v>230</v>
      </c>
      <c r="D78" s="119">
        <v>409</v>
      </c>
    </row>
    <row r="79" spans="1:4" ht="15">
      <c r="A79" s="1"/>
      <c r="B79" s="14"/>
      <c r="C79" s="46"/>
      <c r="D79" s="119"/>
    </row>
    <row r="80" spans="1:4" ht="15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 ht="15">
      <c r="A81" s="1"/>
      <c r="B81" s="14"/>
      <c r="C81" s="46"/>
      <c r="D81" s="119"/>
    </row>
    <row r="82" spans="1:4" ht="15">
      <c r="A82" s="117">
        <v>37</v>
      </c>
      <c r="B82" s="14" t="s">
        <v>22</v>
      </c>
      <c r="C82" s="46" t="s">
        <v>291</v>
      </c>
      <c r="D82" s="119">
        <v>469</v>
      </c>
    </row>
    <row r="83" spans="1:4" ht="15">
      <c r="A83" s="117"/>
      <c r="B83" s="14"/>
      <c r="C83" s="46"/>
      <c r="D83" s="119"/>
    </row>
    <row r="84" spans="1:4" ht="15">
      <c r="A84" s="117">
        <v>38</v>
      </c>
      <c r="B84" s="15" t="s">
        <v>99</v>
      </c>
      <c r="C84" s="46" t="s">
        <v>232</v>
      </c>
      <c r="D84" s="119">
        <v>387</v>
      </c>
    </row>
    <row r="85" spans="1:4" ht="15">
      <c r="A85" s="117"/>
      <c r="B85" s="14"/>
      <c r="C85" s="46"/>
      <c r="D85" s="119"/>
    </row>
    <row r="86" spans="1:4" ht="15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 ht="15">
      <c r="A87" s="1"/>
      <c r="B87" s="14"/>
      <c r="C87" s="46"/>
      <c r="D87" s="119"/>
    </row>
    <row r="88" spans="1:4" ht="15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 ht="15">
      <c r="A89" s="1"/>
      <c r="B89" s="14"/>
      <c r="C89" s="46"/>
      <c r="D89" s="119"/>
    </row>
    <row r="90" spans="1:4" ht="15">
      <c r="A90" s="1">
        <v>41</v>
      </c>
      <c r="B90" s="15" t="s">
        <v>30</v>
      </c>
      <c r="C90" s="46" t="s">
        <v>238</v>
      </c>
      <c r="D90" s="119">
        <v>430</v>
      </c>
    </row>
    <row r="91" spans="1:4" ht="15">
      <c r="A91" s="1"/>
      <c r="B91" s="14"/>
      <c r="C91" s="46"/>
      <c r="D91" s="119"/>
    </row>
    <row r="92" spans="1:4" ht="15">
      <c r="A92" s="1">
        <v>42</v>
      </c>
      <c r="B92" s="14" t="s">
        <v>2</v>
      </c>
      <c r="C92" s="46" t="s">
        <v>229</v>
      </c>
      <c r="D92" s="119">
        <v>400</v>
      </c>
    </row>
    <row r="93" spans="1:4" ht="15">
      <c r="A93" s="1"/>
      <c r="B93" s="14"/>
      <c r="C93" s="46"/>
      <c r="D93" s="119"/>
    </row>
    <row r="94" spans="1:4" ht="15">
      <c r="A94" s="1">
        <v>43</v>
      </c>
      <c r="B94" s="14" t="s">
        <v>49</v>
      </c>
      <c r="C94" s="46" t="s">
        <v>229</v>
      </c>
      <c r="D94" s="119">
        <v>410</v>
      </c>
    </row>
    <row r="95" spans="1:4" ht="15">
      <c r="A95" s="1"/>
      <c r="B95" s="14"/>
      <c r="C95" s="46"/>
      <c r="D95" s="119"/>
    </row>
    <row r="96" spans="1:4" ht="15">
      <c r="A96" s="1">
        <v>44</v>
      </c>
      <c r="B96" s="14" t="s">
        <v>50</v>
      </c>
      <c r="C96" s="46" t="s">
        <v>230</v>
      </c>
      <c r="D96" s="119">
        <v>435</v>
      </c>
    </row>
    <row r="97" spans="1:4" ht="15">
      <c r="A97" s="1"/>
      <c r="B97" s="14"/>
      <c r="C97" s="46"/>
      <c r="D97" s="119"/>
    </row>
    <row r="98" spans="1:4" ht="15">
      <c r="A98" s="1">
        <v>45</v>
      </c>
      <c r="B98" s="14" t="s">
        <v>100</v>
      </c>
      <c r="C98" s="46" t="s">
        <v>229</v>
      </c>
      <c r="D98" s="119">
        <v>360</v>
      </c>
    </row>
    <row r="99" spans="1:4" ht="15">
      <c r="A99" s="1"/>
      <c r="B99" s="14"/>
      <c r="C99" s="46"/>
      <c r="D99" s="119"/>
    </row>
    <row r="100" spans="1:4" ht="15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 ht="15">
      <c r="A101" s="1"/>
      <c r="B101" s="14"/>
      <c r="C101" s="46"/>
      <c r="D101" s="119"/>
    </row>
    <row r="102" spans="1:4" ht="15">
      <c r="A102" s="1">
        <v>47</v>
      </c>
      <c r="B102" s="15" t="s">
        <v>31</v>
      </c>
      <c r="C102" s="46" t="s">
        <v>228</v>
      </c>
      <c r="D102" s="119">
        <v>380</v>
      </c>
    </row>
    <row r="103" spans="1:4" ht="15">
      <c r="A103" s="1"/>
      <c r="B103" s="14"/>
      <c r="C103" s="46"/>
      <c r="D103" s="119"/>
    </row>
    <row r="104" spans="1:4" ht="15">
      <c r="A104" s="1">
        <v>48</v>
      </c>
      <c r="B104" s="14" t="s">
        <v>102</v>
      </c>
      <c r="C104" s="46" t="s">
        <v>239</v>
      </c>
      <c r="D104" s="119">
        <v>475</v>
      </c>
    </row>
    <row r="105" spans="1:4" ht="15">
      <c r="A105" s="1"/>
      <c r="B105" s="14"/>
      <c r="C105" s="46"/>
      <c r="D105" s="119"/>
    </row>
    <row r="106" spans="1:4" ht="15">
      <c r="A106" s="1">
        <v>49</v>
      </c>
      <c r="B106" s="14" t="s">
        <v>103</v>
      </c>
      <c r="C106" s="46" t="s">
        <v>230</v>
      </c>
      <c r="D106" s="119">
        <v>380</v>
      </c>
    </row>
    <row r="107" spans="1:4" ht="15">
      <c r="A107" s="1"/>
      <c r="B107" s="14"/>
      <c r="C107" s="46"/>
      <c r="D107" s="119"/>
    </row>
    <row r="108" spans="1:4" ht="15">
      <c r="A108" s="1">
        <v>50</v>
      </c>
      <c r="B108" s="14" t="s">
        <v>104</v>
      </c>
      <c r="C108" s="46" t="s">
        <v>229</v>
      </c>
      <c r="D108" s="119">
        <v>390</v>
      </c>
    </row>
    <row r="109" spans="1:4" ht="15">
      <c r="A109" s="1"/>
      <c r="B109" s="14"/>
      <c r="C109" s="46"/>
      <c r="D109" s="119"/>
    </row>
    <row r="110" spans="1:4" ht="15">
      <c r="A110" s="1">
        <v>51</v>
      </c>
      <c r="B110" s="14" t="s">
        <v>105</v>
      </c>
      <c r="C110" s="46" t="s">
        <v>230</v>
      </c>
      <c r="D110" s="119">
        <v>465</v>
      </c>
    </row>
    <row r="111" spans="1:4" ht="15">
      <c r="A111" s="1"/>
      <c r="B111" s="14"/>
      <c r="C111" s="46"/>
      <c r="D111" s="119"/>
    </row>
    <row r="112" spans="1:4" ht="15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 ht="15">
      <c r="A113" s="1"/>
      <c r="B113" s="14"/>
      <c r="C113" s="46"/>
      <c r="D113" s="119"/>
    </row>
    <row r="114" spans="1:4" ht="15">
      <c r="A114" s="1">
        <v>53</v>
      </c>
      <c r="B114" s="15" t="s">
        <v>32</v>
      </c>
      <c r="C114" s="46" t="s">
        <v>240</v>
      </c>
      <c r="D114" s="119">
        <v>380</v>
      </c>
    </row>
    <row r="115" spans="1:4" ht="15">
      <c r="A115" s="1"/>
      <c r="B115" s="14"/>
      <c r="C115" s="46"/>
      <c r="D115" s="119"/>
    </row>
    <row r="116" spans="1:4" ht="15">
      <c r="A116" s="1">
        <v>54</v>
      </c>
      <c r="B116" s="14" t="s">
        <v>51</v>
      </c>
      <c r="C116" s="46" t="s">
        <v>229</v>
      </c>
      <c r="D116" s="119">
        <v>348</v>
      </c>
    </row>
    <row r="117" spans="1:4" ht="15">
      <c r="A117" s="1"/>
      <c r="B117" s="14"/>
      <c r="C117" s="46"/>
      <c r="D117" s="119"/>
    </row>
    <row r="118" spans="1:4" ht="15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 ht="15">
      <c r="A119" s="1"/>
      <c r="B119" s="14"/>
      <c r="C119" s="46"/>
      <c r="D119" s="119"/>
    </row>
    <row r="120" spans="1:4" ht="15">
      <c r="A120" s="1">
        <v>56</v>
      </c>
      <c r="B120" s="15" t="s">
        <v>33</v>
      </c>
      <c r="C120" s="46" t="s">
        <v>228</v>
      </c>
      <c r="D120" s="119">
        <v>410</v>
      </c>
    </row>
    <row r="121" spans="1:4" ht="15">
      <c r="A121" s="1"/>
      <c r="B121" s="14"/>
      <c r="C121" s="46"/>
      <c r="D121" s="119"/>
    </row>
    <row r="122" spans="1:4" ht="15">
      <c r="A122" s="1">
        <v>57</v>
      </c>
      <c r="B122" s="14" t="s">
        <v>107</v>
      </c>
      <c r="C122" s="46" t="s">
        <v>229</v>
      </c>
      <c r="D122" s="119">
        <v>380</v>
      </c>
    </row>
    <row r="123" spans="1:4" ht="15">
      <c r="A123" s="1"/>
      <c r="B123" s="14"/>
      <c r="C123" s="46"/>
      <c r="D123" s="119"/>
    </row>
    <row r="124" spans="1:4" ht="15">
      <c r="A124" s="1">
        <v>58</v>
      </c>
      <c r="B124" s="14" t="s">
        <v>108</v>
      </c>
      <c r="C124" s="46" t="s">
        <v>229</v>
      </c>
      <c r="D124" s="119">
        <v>325</v>
      </c>
    </row>
    <row r="125" spans="1:4" ht="15">
      <c r="A125" s="1"/>
      <c r="B125" s="14"/>
      <c r="C125" s="46"/>
      <c r="D125" s="119"/>
    </row>
    <row r="126" spans="1:4" ht="15">
      <c r="A126" s="1">
        <v>59</v>
      </c>
      <c r="B126" s="14" t="s">
        <v>109</v>
      </c>
      <c r="C126" s="46" t="s">
        <v>231</v>
      </c>
      <c r="D126" s="119">
        <v>329.8</v>
      </c>
    </row>
    <row r="127" spans="1:4" ht="15">
      <c r="A127" s="1"/>
      <c r="B127" s="14"/>
      <c r="C127" s="46"/>
      <c r="D127" s="119"/>
    </row>
    <row r="128" spans="1:4" ht="15">
      <c r="A128" s="1">
        <v>60</v>
      </c>
      <c r="B128" s="15" t="s">
        <v>34</v>
      </c>
      <c r="C128" s="46" t="s">
        <v>241</v>
      </c>
      <c r="D128" s="119">
        <v>385</v>
      </c>
    </row>
    <row r="129" spans="1:4" ht="15">
      <c r="A129" s="1"/>
      <c r="B129" s="14"/>
      <c r="C129" s="46"/>
      <c r="D129" s="119"/>
    </row>
    <row r="130" spans="1:4" ht="15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 ht="15">
      <c r="A131" s="1"/>
      <c r="B131" s="14"/>
      <c r="C131" s="46"/>
      <c r="D131" s="119"/>
    </row>
    <row r="132" spans="1:4" ht="15">
      <c r="A132" s="1">
        <v>62</v>
      </c>
      <c r="B132" s="15" t="s">
        <v>35</v>
      </c>
      <c r="C132" s="46" t="s">
        <v>242</v>
      </c>
      <c r="D132" s="119">
        <v>242</v>
      </c>
    </row>
    <row r="133" spans="1:4" ht="15">
      <c r="A133" s="1"/>
      <c r="B133" s="14"/>
      <c r="C133" s="46"/>
      <c r="D133" s="119"/>
    </row>
    <row r="134" spans="1:4" ht="15">
      <c r="A134" s="1">
        <v>63</v>
      </c>
      <c r="B134" s="14" t="s">
        <v>4</v>
      </c>
      <c r="C134" s="46" t="s">
        <v>237</v>
      </c>
      <c r="D134" s="119">
        <v>464</v>
      </c>
    </row>
    <row r="135" spans="1:4" ht="15">
      <c r="A135" s="1"/>
      <c r="B135" s="14"/>
      <c r="C135" s="46"/>
      <c r="D135" s="119"/>
    </row>
    <row r="136" spans="1:4" ht="15">
      <c r="A136" s="1">
        <v>64</v>
      </c>
      <c r="B136" s="14" t="s">
        <v>5</v>
      </c>
      <c r="C136" s="47" t="s">
        <v>229</v>
      </c>
      <c r="D136" s="119">
        <v>391</v>
      </c>
    </row>
    <row r="137" spans="1:4" ht="15">
      <c r="A137" s="1"/>
      <c r="B137" s="14"/>
      <c r="C137" s="46"/>
      <c r="D137" s="119"/>
    </row>
    <row r="138" spans="1:4" ht="15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 ht="15">
      <c r="A139" s="1"/>
      <c r="B139" s="14"/>
      <c r="C139" s="46"/>
      <c r="D139" s="120"/>
    </row>
    <row r="140" spans="1:4" ht="15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 ht="15">
      <c r="A142" s="1">
        <v>67</v>
      </c>
      <c r="B142" s="14" t="s">
        <v>6</v>
      </c>
      <c r="C142" s="46" t="s">
        <v>231</v>
      </c>
      <c r="D142" s="121">
        <v>375</v>
      </c>
    </row>
    <row r="143" spans="1:4" ht="15">
      <c r="A143" s="1"/>
      <c r="B143" s="14"/>
      <c r="C143" s="46"/>
      <c r="D143" s="121"/>
    </row>
    <row r="144" spans="1:4" ht="15">
      <c r="A144" s="1">
        <v>68</v>
      </c>
      <c r="B144" s="14" t="s">
        <v>37</v>
      </c>
      <c r="C144" s="46" t="s">
        <v>229</v>
      </c>
      <c r="D144" s="121">
        <v>416</v>
      </c>
    </row>
    <row r="145" spans="1:4" ht="15">
      <c r="A145" s="1"/>
      <c r="B145" s="14"/>
      <c r="C145" s="46"/>
      <c r="D145" s="121"/>
    </row>
    <row r="146" spans="1:4" ht="15">
      <c r="A146" s="1">
        <v>69</v>
      </c>
      <c r="B146" s="14" t="s">
        <v>112</v>
      </c>
      <c r="C146" s="46" t="s">
        <v>229</v>
      </c>
      <c r="D146" s="121">
        <v>422</v>
      </c>
    </row>
    <row r="147" spans="1:4" ht="15">
      <c r="A147" s="1"/>
      <c r="B147" s="14"/>
      <c r="C147" s="46"/>
      <c r="D147" s="121"/>
    </row>
    <row r="148" spans="1:4" ht="15">
      <c r="A148" s="1">
        <v>70</v>
      </c>
      <c r="B148" s="14" t="s">
        <v>113</v>
      </c>
      <c r="C148" s="46" t="s">
        <v>229</v>
      </c>
      <c r="D148" s="121">
        <v>388</v>
      </c>
    </row>
    <row r="149" spans="1:4" ht="15">
      <c r="A149" s="1"/>
      <c r="B149" s="14"/>
      <c r="C149" s="46"/>
      <c r="D149" s="121"/>
    </row>
    <row r="150" spans="1:4" ht="15">
      <c r="A150" s="1">
        <v>71</v>
      </c>
      <c r="B150" s="14" t="s">
        <v>114</v>
      </c>
      <c r="C150" s="46" t="s">
        <v>239</v>
      </c>
      <c r="D150" s="121">
        <v>409</v>
      </c>
    </row>
    <row r="151" spans="1:4" ht="15">
      <c r="A151" s="1"/>
      <c r="B151" s="14"/>
      <c r="C151" s="46"/>
      <c r="D151" s="121"/>
    </row>
    <row r="152" spans="1:4" ht="15">
      <c r="A152" s="1">
        <v>72</v>
      </c>
      <c r="B152" s="14" t="s">
        <v>115</v>
      </c>
      <c r="C152" s="46" t="s">
        <v>229</v>
      </c>
      <c r="D152" s="121">
        <v>420</v>
      </c>
    </row>
    <row r="153" spans="1:4" ht="15">
      <c r="A153" s="1"/>
      <c r="B153" s="14"/>
      <c r="C153" s="46"/>
      <c r="D153" s="121"/>
    </row>
    <row r="154" spans="1:4" ht="15">
      <c r="A154" s="1">
        <v>73</v>
      </c>
      <c r="B154" s="14" t="s">
        <v>116</v>
      </c>
      <c r="C154" s="46" t="s">
        <v>228</v>
      </c>
      <c r="D154" s="121">
        <v>399</v>
      </c>
    </row>
    <row r="155" spans="1:4" ht="15">
      <c r="A155" s="1"/>
      <c r="B155" s="14"/>
      <c r="C155" s="46"/>
      <c r="D155" s="121"/>
    </row>
    <row r="156" spans="1:4" ht="15">
      <c r="A156" s="1">
        <v>74</v>
      </c>
      <c r="B156" s="14" t="s">
        <v>117</v>
      </c>
      <c r="C156" s="46" t="s">
        <v>230</v>
      </c>
      <c r="D156" s="121">
        <v>381</v>
      </c>
    </row>
    <row r="157" spans="1:4" ht="15">
      <c r="A157" s="1"/>
      <c r="B157" s="14"/>
      <c r="C157" s="46"/>
      <c r="D157" s="121"/>
    </row>
    <row r="158" spans="1:4" ht="15">
      <c r="A158" s="1">
        <v>75</v>
      </c>
      <c r="B158" s="14" t="s">
        <v>118</v>
      </c>
      <c r="C158" s="46" t="s">
        <v>229</v>
      </c>
      <c r="D158" s="121">
        <v>382</v>
      </c>
    </row>
    <row r="159" spans="1:4" ht="15">
      <c r="A159" s="1"/>
      <c r="B159" s="14"/>
      <c r="C159" s="46"/>
      <c r="D159" s="121"/>
    </row>
    <row r="160" spans="1:4" ht="15">
      <c r="A160" s="1">
        <v>76</v>
      </c>
      <c r="B160" s="14" t="s">
        <v>119</v>
      </c>
      <c r="C160" s="46" t="s">
        <v>229</v>
      </c>
      <c r="D160" s="121">
        <v>391</v>
      </c>
    </row>
    <row r="161" spans="1:4" ht="15">
      <c r="A161" s="1"/>
      <c r="B161" s="14"/>
      <c r="C161" s="46"/>
      <c r="D161" s="121"/>
    </row>
    <row r="162" spans="1:4" ht="15">
      <c r="A162" s="1">
        <v>77</v>
      </c>
      <c r="B162" s="14" t="s">
        <v>120</v>
      </c>
      <c r="C162" s="46" t="s">
        <v>278</v>
      </c>
      <c r="D162" s="121">
        <v>433</v>
      </c>
    </row>
    <row r="163" spans="1:4" ht="15">
      <c r="A163" s="1"/>
      <c r="B163" s="14"/>
      <c r="C163" s="46"/>
      <c r="D163" s="121"/>
    </row>
    <row r="164" spans="1:4" ht="15">
      <c r="A164" s="1">
        <v>78</v>
      </c>
      <c r="B164" s="14" t="s">
        <v>121</v>
      </c>
      <c r="C164" s="46" t="s">
        <v>229</v>
      </c>
      <c r="D164" s="121">
        <v>415</v>
      </c>
    </row>
    <row r="165" spans="1:4" ht="15">
      <c r="A165" s="1"/>
      <c r="B165" s="14"/>
      <c r="C165" s="46"/>
      <c r="D165" s="121"/>
    </row>
    <row r="166" spans="1:4" ht="15">
      <c r="A166" s="1">
        <v>79</v>
      </c>
      <c r="B166" s="14" t="s">
        <v>122</v>
      </c>
      <c r="C166" s="46" t="s">
        <v>229</v>
      </c>
      <c r="D166" s="121">
        <v>430</v>
      </c>
    </row>
    <row r="167" spans="1:4" ht="15">
      <c r="A167" s="1"/>
      <c r="B167" s="14"/>
      <c r="C167" s="46"/>
      <c r="D167" s="121"/>
    </row>
    <row r="168" spans="1:4" ht="15">
      <c r="A168" s="1">
        <v>80</v>
      </c>
      <c r="B168" s="14" t="s">
        <v>123</v>
      </c>
      <c r="C168" s="46" t="s">
        <v>229</v>
      </c>
      <c r="D168" s="121">
        <v>314</v>
      </c>
    </row>
    <row r="169" spans="1:4" ht="15">
      <c r="A169" s="1"/>
      <c r="B169" s="14"/>
      <c r="C169" s="46"/>
      <c r="D169" s="121"/>
    </row>
    <row r="170" spans="1:4" ht="15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 ht="15">
      <c r="A171" s="1"/>
      <c r="B171" s="14"/>
      <c r="C171" s="46"/>
      <c r="D171" s="122"/>
    </row>
    <row r="172" spans="1:4" ht="15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 ht="15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 ht="15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 ht="15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 ht="15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 ht="15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 ht="15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 ht="15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 ht="15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 ht="15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 ht="15">
      <c r="A255" s="75"/>
      <c r="B255" s="57"/>
      <c r="C255" s="57"/>
      <c r="D255" s="124"/>
    </row>
    <row r="256" spans="1:18" ht="15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 ht="15">
      <c r="A257" s="75"/>
      <c r="B257" s="57"/>
      <c r="C257" s="57"/>
      <c r="D257" s="124"/>
    </row>
    <row r="258" spans="1:4" ht="15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">
      <c r="A261" s="75"/>
      <c r="B261" s="78"/>
      <c r="C261" s="79"/>
      <c r="D261" s="125"/>
    </row>
    <row r="262" spans="1:4" ht="18.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6" t="s">
        <v>159</v>
      </c>
      <c r="B6" s="756"/>
      <c r="C6" s="756"/>
      <c r="D6" s="756"/>
      <c r="E6" s="756"/>
      <c r="F6" s="756"/>
    </row>
    <row r="7" spans="1:27" ht="15" thickBot="1"/>
    <row r="8" spans="1:27" ht="15" customHeight="1">
      <c r="A8" s="757" t="s">
        <v>12</v>
      </c>
      <c r="B8" s="759" t="s">
        <v>13</v>
      </c>
      <c r="C8" s="761" t="s">
        <v>14</v>
      </c>
      <c r="D8" s="763" t="s">
        <v>15</v>
      </c>
    </row>
    <row r="9" spans="1:27" ht="15" thickBot="1">
      <c r="A9" s="758"/>
      <c r="B9" s="760"/>
      <c r="C9" s="762"/>
      <c r="D9" s="764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5"/>
      <c r="G10" s="753"/>
      <c r="H10" s="753"/>
      <c r="I10" s="753"/>
      <c r="J10" s="753"/>
      <c r="K10" s="754"/>
      <c r="L10" s="754"/>
      <c r="M10" s="754"/>
      <c r="N10" s="754"/>
      <c r="O10" s="754"/>
      <c r="P10" s="754"/>
      <c r="Q10" s="754"/>
      <c r="R10" s="754"/>
      <c r="S10" s="755"/>
    </row>
    <row r="11" spans="1:27" ht="19.399999999999999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3"/>
      <c r="G26" s="753"/>
      <c r="H26" s="753"/>
      <c r="I26" s="753"/>
      <c r="J26" s="753"/>
      <c r="K26" s="754"/>
      <c r="L26" s="754"/>
      <c r="M26" s="754"/>
      <c r="N26" s="754"/>
      <c r="O26" s="754"/>
      <c r="P26" s="754"/>
      <c r="Q26" s="754"/>
      <c r="R26" s="754"/>
      <c r="S26" s="755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5">
      <c r="A43" s="1"/>
      <c r="B43" s="14"/>
      <c r="C43" s="46"/>
      <c r="D43" s="54"/>
      <c r="E43" s="80"/>
    </row>
    <row r="44" spans="1:27" ht="15.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5">
      <c r="A45" s="1"/>
      <c r="B45" s="14"/>
      <c r="C45" s="46"/>
      <c r="D45" s="54"/>
      <c r="E45" s="80"/>
    </row>
    <row r="46" spans="1:27" ht="15.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5">
      <c r="A47" s="1"/>
      <c r="B47" s="14"/>
      <c r="C47" s="46"/>
      <c r="D47" s="54"/>
      <c r="E47" s="80"/>
    </row>
    <row r="48" spans="1:27" ht="15.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5">
      <c r="A49" s="1"/>
      <c r="B49" s="14"/>
      <c r="C49" s="46"/>
      <c r="D49" s="54"/>
      <c r="E49" s="80"/>
    </row>
    <row r="50" spans="1:5" ht="15.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5">
      <c r="A51" s="1"/>
      <c r="B51" s="14"/>
      <c r="C51" s="46"/>
      <c r="D51" s="54"/>
      <c r="E51" s="80"/>
    </row>
    <row r="52" spans="1:5" ht="15.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5">
      <c r="A53" s="1"/>
      <c r="B53" s="14"/>
      <c r="C53" s="46"/>
      <c r="D53" s="54"/>
      <c r="E53" s="80"/>
    </row>
    <row r="54" spans="1:5" ht="15.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5">
      <c r="A55" s="1"/>
      <c r="B55" s="14"/>
      <c r="C55" s="46"/>
      <c r="D55" s="54"/>
      <c r="E55" s="80"/>
    </row>
    <row r="56" spans="1:5" ht="15.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5">
      <c r="A57" s="1"/>
      <c r="B57" s="14"/>
      <c r="C57" s="46"/>
      <c r="D57" s="54"/>
      <c r="E57" s="80"/>
    </row>
    <row r="58" spans="1:5" ht="15.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5">
      <c r="A59" s="1"/>
      <c r="B59" s="14"/>
      <c r="C59" s="46"/>
      <c r="D59" s="54"/>
      <c r="E59" s="80"/>
    </row>
    <row r="60" spans="1:5" ht="15.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5">
      <c r="A61" s="1"/>
      <c r="B61" s="14"/>
      <c r="C61" s="46"/>
      <c r="D61" s="54"/>
      <c r="E61" s="80"/>
    </row>
    <row r="62" spans="1:5" ht="15.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5">
      <c r="A63" s="1"/>
      <c r="B63" s="14"/>
      <c r="C63" s="46"/>
      <c r="D63" s="54"/>
      <c r="E63" s="80"/>
    </row>
    <row r="64" spans="1:5" ht="15.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5">
      <c r="A65" s="1"/>
      <c r="B65" s="14"/>
      <c r="C65" s="46"/>
      <c r="D65" s="54"/>
      <c r="E65" s="80"/>
    </row>
    <row r="66" spans="1:5" ht="15.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5">
      <c r="A67" s="1"/>
      <c r="B67" s="14"/>
      <c r="C67" s="46"/>
      <c r="D67" s="54"/>
      <c r="E67" s="80"/>
    </row>
    <row r="68" spans="1:5" ht="15.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5">
      <c r="A69" s="1"/>
      <c r="B69" s="14"/>
      <c r="C69" s="46"/>
      <c r="D69" s="54"/>
      <c r="E69" s="80"/>
    </row>
    <row r="70" spans="1:5" ht="15.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5">
      <c r="A71" s="1"/>
      <c r="B71" s="14"/>
      <c r="C71" s="46"/>
      <c r="D71" s="54"/>
      <c r="E71" s="80"/>
    </row>
    <row r="72" spans="1:5" ht="15.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5">
      <c r="A73" s="1"/>
      <c r="B73" s="14"/>
      <c r="C73" s="46"/>
      <c r="D73" s="54"/>
      <c r="E73" s="80"/>
    </row>
    <row r="74" spans="1:5" ht="15.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5">
      <c r="A75" s="1"/>
      <c r="B75" s="14"/>
      <c r="C75" s="46"/>
      <c r="D75" s="54"/>
      <c r="E75" s="80"/>
    </row>
    <row r="76" spans="1:5" ht="15.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5">
      <c r="A77" s="1"/>
      <c r="B77" s="14"/>
      <c r="C77" s="46"/>
      <c r="D77" s="54"/>
      <c r="E77" s="80"/>
    </row>
    <row r="78" spans="1:5" ht="15.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5">
      <c r="A79" s="1"/>
      <c r="B79" s="14"/>
      <c r="C79" s="46"/>
      <c r="D79" s="54"/>
      <c r="E79" s="80"/>
    </row>
    <row r="80" spans="1:5" ht="15.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5">
      <c r="A81" s="1"/>
      <c r="B81" s="14"/>
      <c r="C81" s="46"/>
      <c r="D81" s="54"/>
      <c r="E81" s="80"/>
    </row>
    <row r="82" spans="1:5" ht="15.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5">
      <c r="A83" s="1"/>
      <c r="B83" s="14"/>
      <c r="C83" s="46"/>
      <c r="D83" s="54"/>
      <c r="E83" s="80"/>
    </row>
    <row r="84" spans="1:5" ht="15.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5">
      <c r="A85" s="1"/>
      <c r="B85" s="14"/>
      <c r="C85" s="46"/>
      <c r="D85" s="54"/>
      <c r="E85" s="80"/>
    </row>
    <row r="86" spans="1:5" ht="15.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 ht="15">
      <c r="A87" s="1"/>
      <c r="B87" s="14"/>
      <c r="C87" s="46"/>
      <c r="D87" s="54"/>
    </row>
    <row r="88" spans="1:5" ht="1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 ht="15">
      <c r="A89" s="1"/>
      <c r="B89" s="14"/>
      <c r="C89" s="46"/>
      <c r="D89" s="54"/>
    </row>
    <row r="90" spans="1:5" ht="15">
      <c r="A90" s="1">
        <v>41</v>
      </c>
      <c r="B90" s="15" t="s">
        <v>30</v>
      </c>
      <c r="C90" s="46" t="s">
        <v>238</v>
      </c>
      <c r="D90" s="54">
        <v>430</v>
      </c>
    </row>
    <row r="91" spans="1:5" ht="15">
      <c r="A91" s="1"/>
      <c r="B91" s="14"/>
      <c r="C91" s="46"/>
      <c r="D91" s="54"/>
    </row>
    <row r="92" spans="1:5" ht="15">
      <c r="A92" s="1">
        <v>42</v>
      </c>
      <c r="B92" s="14" t="s">
        <v>2</v>
      </c>
      <c r="C92" s="46" t="s">
        <v>229</v>
      </c>
      <c r="D92" s="54">
        <v>400</v>
      </c>
    </row>
    <row r="93" spans="1:5" ht="15">
      <c r="A93" s="1"/>
      <c r="B93" s="14"/>
      <c r="C93" s="46"/>
      <c r="D93" s="54"/>
    </row>
    <row r="94" spans="1:5" ht="15">
      <c r="A94" s="1">
        <v>43</v>
      </c>
      <c r="B94" s="14" t="s">
        <v>49</v>
      </c>
      <c r="C94" s="46" t="s">
        <v>229</v>
      </c>
      <c r="D94" s="54">
        <v>410</v>
      </c>
    </row>
    <row r="95" spans="1:5" ht="15">
      <c r="A95" s="1"/>
      <c r="B95" s="14"/>
      <c r="C95" s="46"/>
      <c r="D95" s="54"/>
    </row>
    <row r="96" spans="1:5" ht="15">
      <c r="A96" s="1">
        <v>44</v>
      </c>
      <c r="B96" s="14" t="s">
        <v>50</v>
      </c>
      <c r="C96" s="46" t="s">
        <v>230</v>
      </c>
      <c r="D96" s="54">
        <v>435</v>
      </c>
    </row>
    <row r="97" spans="1:4" ht="15">
      <c r="A97" s="1"/>
      <c r="B97" s="14"/>
      <c r="C97" s="46"/>
      <c r="D97" s="54"/>
    </row>
    <row r="98" spans="1:4" ht="15">
      <c r="A98" s="1">
        <v>45</v>
      </c>
      <c r="B98" s="14" t="s">
        <v>100</v>
      </c>
      <c r="C98" s="46" t="s">
        <v>229</v>
      </c>
      <c r="D98" s="54">
        <v>360</v>
      </c>
    </row>
    <row r="99" spans="1:4" ht="15">
      <c r="A99" s="1"/>
      <c r="B99" s="14"/>
      <c r="C99" s="46"/>
      <c r="D99" s="54"/>
    </row>
    <row r="100" spans="1:4" ht="15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 ht="15">
      <c r="A101" s="1"/>
      <c r="B101" s="14"/>
      <c r="C101" s="46"/>
      <c r="D101" s="54"/>
    </row>
    <row r="102" spans="1:4" ht="15">
      <c r="A102" s="1">
        <v>47</v>
      </c>
      <c r="B102" s="15" t="s">
        <v>31</v>
      </c>
      <c r="C102" s="46" t="s">
        <v>228</v>
      </c>
      <c r="D102" s="54">
        <v>380</v>
      </c>
    </row>
    <row r="103" spans="1:4" ht="15">
      <c r="A103" s="1"/>
      <c r="B103" s="14"/>
      <c r="C103" s="46"/>
      <c r="D103" s="54"/>
    </row>
    <row r="104" spans="1:4" ht="15">
      <c r="A104" s="1">
        <v>48</v>
      </c>
      <c r="B104" s="14" t="s">
        <v>102</v>
      </c>
      <c r="C104" s="46" t="s">
        <v>239</v>
      </c>
      <c r="D104" s="54">
        <v>475</v>
      </c>
    </row>
    <row r="105" spans="1:4" ht="15">
      <c r="A105" s="1"/>
      <c r="B105" s="14"/>
      <c r="C105" s="46"/>
      <c r="D105" s="54"/>
    </row>
    <row r="106" spans="1:4" ht="15">
      <c r="A106" s="1">
        <v>49</v>
      </c>
      <c r="B106" s="14" t="s">
        <v>103</v>
      </c>
      <c r="C106" s="46" t="s">
        <v>230</v>
      </c>
      <c r="D106" s="54">
        <v>380</v>
      </c>
    </row>
    <row r="107" spans="1:4" ht="15">
      <c r="A107" s="1"/>
      <c r="B107" s="14"/>
      <c r="C107" s="46"/>
      <c r="D107" s="54"/>
    </row>
    <row r="108" spans="1:4" ht="15">
      <c r="A108" s="1">
        <v>50</v>
      </c>
      <c r="B108" s="14" t="s">
        <v>104</v>
      </c>
      <c r="C108" s="46" t="s">
        <v>229</v>
      </c>
      <c r="D108" s="54">
        <v>390</v>
      </c>
    </row>
    <row r="109" spans="1:4" ht="15">
      <c r="A109" s="1"/>
      <c r="B109" s="14"/>
      <c r="C109" s="46"/>
      <c r="D109" s="54"/>
    </row>
    <row r="110" spans="1:4" ht="15">
      <c r="A110" s="1">
        <v>51</v>
      </c>
      <c r="B110" s="14" t="s">
        <v>105</v>
      </c>
      <c r="C110" s="46" t="s">
        <v>230</v>
      </c>
      <c r="D110" s="54">
        <v>465</v>
      </c>
    </row>
    <row r="111" spans="1:4" ht="15">
      <c r="A111" s="1"/>
      <c r="B111" s="14"/>
      <c r="C111" s="46"/>
      <c r="D111" s="54"/>
    </row>
    <row r="112" spans="1:4" ht="15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 ht="15">
      <c r="A113" s="1"/>
      <c r="B113" s="14"/>
      <c r="C113" s="46"/>
      <c r="D113" s="54"/>
    </row>
    <row r="114" spans="1:4" ht="15">
      <c r="A114" s="1">
        <v>53</v>
      </c>
      <c r="B114" s="15" t="s">
        <v>32</v>
      </c>
      <c r="C114" s="46" t="s">
        <v>240</v>
      </c>
      <c r="D114" s="54">
        <v>380</v>
      </c>
    </row>
    <row r="115" spans="1:4" ht="15">
      <c r="A115" s="1"/>
      <c r="B115" s="14"/>
      <c r="C115" s="46"/>
      <c r="D115" s="54"/>
    </row>
    <row r="116" spans="1:4" ht="15">
      <c r="A116" s="1">
        <v>54</v>
      </c>
      <c r="B116" s="14" t="s">
        <v>51</v>
      </c>
      <c r="C116" s="46" t="s">
        <v>229</v>
      </c>
      <c r="D116" s="54">
        <v>348</v>
      </c>
    </row>
    <row r="117" spans="1:4" ht="15">
      <c r="A117" s="1"/>
      <c r="B117" s="14"/>
      <c r="C117" s="46"/>
      <c r="D117" s="54"/>
    </row>
    <row r="118" spans="1:4" ht="15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 ht="15">
      <c r="A119" s="1"/>
      <c r="B119" s="14"/>
      <c r="C119" s="46"/>
      <c r="D119" s="54"/>
    </row>
    <row r="120" spans="1:4" ht="15">
      <c r="A120" s="1">
        <v>56</v>
      </c>
      <c r="B120" s="15" t="s">
        <v>33</v>
      </c>
      <c r="C120" s="46" t="s">
        <v>228</v>
      </c>
      <c r="D120" s="54">
        <v>410</v>
      </c>
    </row>
    <row r="121" spans="1:4" ht="15">
      <c r="A121" s="1"/>
      <c r="B121" s="14"/>
      <c r="C121" s="46"/>
      <c r="D121" s="54"/>
    </row>
    <row r="122" spans="1:4" ht="15">
      <c r="A122" s="1">
        <v>57</v>
      </c>
      <c r="B122" s="14" t="s">
        <v>107</v>
      </c>
      <c r="C122" s="46" t="s">
        <v>229</v>
      </c>
      <c r="D122" s="54">
        <v>380</v>
      </c>
    </row>
    <row r="123" spans="1:4" ht="15">
      <c r="A123" s="1"/>
      <c r="B123" s="14"/>
      <c r="C123" s="46"/>
      <c r="D123" s="54"/>
    </row>
    <row r="124" spans="1:4" ht="15">
      <c r="A124" s="1">
        <v>58</v>
      </c>
      <c r="B124" s="14" t="s">
        <v>108</v>
      </c>
      <c r="C124" s="46" t="s">
        <v>229</v>
      </c>
      <c r="D124" s="54">
        <v>325</v>
      </c>
    </row>
    <row r="125" spans="1:4" ht="15">
      <c r="A125" s="1"/>
      <c r="B125" s="14"/>
      <c r="C125" s="46"/>
      <c r="D125" s="54"/>
    </row>
    <row r="126" spans="1:4" ht="15">
      <c r="A126" s="1">
        <v>59</v>
      </c>
      <c r="B126" s="14" t="s">
        <v>109</v>
      </c>
      <c r="C126" s="46" t="s">
        <v>231</v>
      </c>
      <c r="D126" s="54">
        <v>329.8</v>
      </c>
    </row>
    <row r="127" spans="1:4" ht="15">
      <c r="A127" s="1"/>
      <c r="B127" s="14"/>
      <c r="C127" s="46"/>
      <c r="D127" s="54"/>
    </row>
    <row r="128" spans="1:4" ht="15">
      <c r="A128" s="1">
        <v>60</v>
      </c>
      <c r="B128" s="15" t="s">
        <v>34</v>
      </c>
      <c r="C128" s="46" t="s">
        <v>241</v>
      </c>
      <c r="D128" s="54">
        <v>385</v>
      </c>
    </row>
    <row r="129" spans="1:4" ht="15">
      <c r="A129" s="1"/>
      <c r="B129" s="14"/>
      <c r="C129" s="46"/>
      <c r="D129" s="54"/>
    </row>
    <row r="130" spans="1:4" ht="15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 ht="15">
      <c r="A131" s="1"/>
      <c r="B131" s="14"/>
      <c r="C131" s="46"/>
      <c r="D131" s="54"/>
    </row>
    <row r="132" spans="1:4" ht="15">
      <c r="A132" s="1">
        <v>62</v>
      </c>
      <c r="B132" s="15" t="s">
        <v>35</v>
      </c>
      <c r="C132" s="46" t="s">
        <v>242</v>
      </c>
      <c r="D132" s="55">
        <v>242</v>
      </c>
    </row>
    <row r="133" spans="1:4" ht="15">
      <c r="A133" s="1"/>
      <c r="B133" s="14"/>
      <c r="C133" s="46"/>
      <c r="D133" s="55"/>
    </row>
    <row r="134" spans="1:4" ht="15">
      <c r="A134" s="1">
        <v>63</v>
      </c>
      <c r="B134" s="14" t="s">
        <v>4</v>
      </c>
      <c r="C134" s="46" t="s">
        <v>237</v>
      </c>
      <c r="D134" s="55">
        <v>464</v>
      </c>
    </row>
    <row r="135" spans="1:4" ht="15">
      <c r="A135" s="1"/>
      <c r="B135" s="14"/>
      <c r="C135" s="46"/>
      <c r="D135" s="55"/>
    </row>
    <row r="136" spans="1:4" ht="15">
      <c r="A136" s="1">
        <v>64</v>
      </c>
      <c r="B136" s="14" t="s">
        <v>5</v>
      </c>
      <c r="C136" s="47" t="s">
        <v>229</v>
      </c>
      <c r="D136" s="55">
        <v>391</v>
      </c>
    </row>
    <row r="137" spans="1:4" ht="15">
      <c r="A137" s="1"/>
      <c r="B137" s="14"/>
      <c r="C137" s="46"/>
      <c r="D137" s="55"/>
    </row>
    <row r="138" spans="1:4" ht="15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 ht="15">
      <c r="A139" s="1"/>
      <c r="B139" s="14"/>
      <c r="C139" s="46"/>
      <c r="D139" s="53"/>
    </row>
    <row r="140" spans="1:4" ht="15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 ht="15">
      <c r="A142" s="1">
        <v>67</v>
      </c>
      <c r="B142" s="14" t="s">
        <v>6</v>
      </c>
      <c r="C142" s="46" t="s">
        <v>231</v>
      </c>
      <c r="D142" s="65">
        <v>375</v>
      </c>
    </row>
    <row r="143" spans="1:4" ht="15">
      <c r="A143" s="1"/>
      <c r="B143" s="14"/>
      <c r="C143" s="46"/>
      <c r="D143" s="65"/>
    </row>
    <row r="144" spans="1:4" ht="15">
      <c r="A144" s="1">
        <v>68</v>
      </c>
      <c r="B144" s="14" t="s">
        <v>37</v>
      </c>
      <c r="C144" s="46" t="s">
        <v>229</v>
      </c>
      <c r="D144" s="65">
        <v>416</v>
      </c>
    </row>
    <row r="145" spans="1:4" ht="15">
      <c r="A145" s="1"/>
      <c r="B145" s="14"/>
      <c r="C145" s="46"/>
      <c r="D145" s="65"/>
    </row>
    <row r="146" spans="1:4" ht="15">
      <c r="A146" s="1">
        <v>69</v>
      </c>
      <c r="B146" s="14" t="s">
        <v>112</v>
      </c>
      <c r="C146" s="46" t="s">
        <v>229</v>
      </c>
      <c r="D146" s="65">
        <v>422</v>
      </c>
    </row>
    <row r="147" spans="1:4" ht="15">
      <c r="A147" s="1"/>
      <c r="B147" s="14"/>
      <c r="C147" s="46"/>
      <c r="D147" s="65"/>
    </row>
    <row r="148" spans="1:4" ht="15">
      <c r="A148" s="1">
        <v>70</v>
      </c>
      <c r="B148" s="14" t="s">
        <v>113</v>
      </c>
      <c r="C148" s="46" t="s">
        <v>229</v>
      </c>
      <c r="D148" s="65">
        <v>388</v>
      </c>
    </row>
    <row r="149" spans="1:4" ht="15">
      <c r="A149" s="1"/>
      <c r="B149" s="14"/>
      <c r="C149" s="46"/>
      <c r="D149" s="65"/>
    </row>
    <row r="150" spans="1:4" ht="15">
      <c r="A150" s="1">
        <v>71</v>
      </c>
      <c r="B150" s="14" t="s">
        <v>114</v>
      </c>
      <c r="C150" s="46" t="s">
        <v>239</v>
      </c>
      <c r="D150" s="65">
        <v>409</v>
      </c>
    </row>
    <row r="151" spans="1:4" ht="15">
      <c r="A151" s="1"/>
      <c r="B151" s="14"/>
      <c r="C151" s="46"/>
      <c r="D151" s="65"/>
    </row>
    <row r="152" spans="1:4" ht="15">
      <c r="A152" s="1">
        <v>72</v>
      </c>
      <c r="B152" s="14" t="s">
        <v>115</v>
      </c>
      <c r="C152" s="46" t="s">
        <v>229</v>
      </c>
      <c r="D152" s="65">
        <v>420</v>
      </c>
    </row>
    <row r="153" spans="1:4" ht="15">
      <c r="A153" s="1"/>
      <c r="B153" s="14"/>
      <c r="C153" s="46"/>
      <c r="D153" s="65"/>
    </row>
    <row r="154" spans="1:4" ht="15">
      <c r="A154" s="1">
        <v>73</v>
      </c>
      <c r="B154" s="14" t="s">
        <v>116</v>
      </c>
      <c r="C154" s="46" t="s">
        <v>228</v>
      </c>
      <c r="D154" s="65">
        <v>399</v>
      </c>
    </row>
    <row r="155" spans="1:4" ht="15">
      <c r="A155" s="1"/>
      <c r="B155" s="14"/>
      <c r="C155" s="46"/>
      <c r="D155" s="65"/>
    </row>
    <row r="156" spans="1:4" ht="15">
      <c r="A156" s="1">
        <v>74</v>
      </c>
      <c r="B156" s="14" t="s">
        <v>117</v>
      </c>
      <c r="C156" s="46" t="s">
        <v>230</v>
      </c>
      <c r="D156" s="65">
        <v>381</v>
      </c>
    </row>
    <row r="157" spans="1:4" ht="15">
      <c r="A157" s="1"/>
      <c r="B157" s="14"/>
      <c r="C157" s="46"/>
      <c r="D157" s="65"/>
    </row>
    <row r="158" spans="1:4" ht="15">
      <c r="A158" s="1">
        <v>75</v>
      </c>
      <c r="B158" s="14" t="s">
        <v>118</v>
      </c>
      <c r="C158" s="46" t="s">
        <v>229</v>
      </c>
      <c r="D158" s="65">
        <v>382</v>
      </c>
    </row>
    <row r="159" spans="1:4" ht="15">
      <c r="A159" s="1"/>
      <c r="B159" s="14"/>
      <c r="C159" s="46"/>
      <c r="D159" s="65"/>
    </row>
    <row r="160" spans="1:4" ht="15">
      <c r="A160" s="1">
        <v>76</v>
      </c>
      <c r="B160" s="14" t="s">
        <v>119</v>
      </c>
      <c r="C160" s="46" t="s">
        <v>229</v>
      </c>
      <c r="D160" s="65">
        <v>391</v>
      </c>
    </row>
    <row r="161" spans="1:4" ht="15">
      <c r="A161" s="1"/>
      <c r="B161" s="14"/>
      <c r="C161" s="46"/>
      <c r="D161" s="65"/>
    </row>
    <row r="162" spans="1:4" ht="15">
      <c r="A162" s="1">
        <v>77</v>
      </c>
      <c r="B162" s="14" t="s">
        <v>120</v>
      </c>
      <c r="C162" s="46" t="s">
        <v>278</v>
      </c>
      <c r="D162" s="65">
        <v>433</v>
      </c>
    </row>
    <row r="163" spans="1:4" ht="15">
      <c r="A163" s="1"/>
      <c r="B163" s="14"/>
      <c r="C163" s="46"/>
      <c r="D163" s="65"/>
    </row>
    <row r="164" spans="1:4" ht="15">
      <c r="A164" s="1">
        <v>78</v>
      </c>
      <c r="B164" s="14" t="s">
        <v>121</v>
      </c>
      <c r="C164" s="46" t="s">
        <v>229</v>
      </c>
      <c r="D164" s="65">
        <v>415</v>
      </c>
    </row>
    <row r="165" spans="1:4" ht="15">
      <c r="A165" s="1"/>
      <c r="B165" s="14"/>
      <c r="C165" s="46"/>
      <c r="D165" s="65"/>
    </row>
    <row r="166" spans="1:4" ht="15">
      <c r="A166" s="1">
        <v>79</v>
      </c>
      <c r="B166" s="14" t="s">
        <v>122</v>
      </c>
      <c r="C166" s="46" t="s">
        <v>229</v>
      </c>
      <c r="D166" s="65">
        <v>430</v>
      </c>
    </row>
    <row r="167" spans="1:4" ht="15">
      <c r="A167" s="1"/>
      <c r="B167" s="14"/>
      <c r="C167" s="46"/>
      <c r="D167" s="65"/>
    </row>
    <row r="168" spans="1:4" ht="15">
      <c r="A168" s="1">
        <v>80</v>
      </c>
      <c r="B168" s="14" t="s">
        <v>123</v>
      </c>
      <c r="C168" s="46" t="s">
        <v>229</v>
      </c>
      <c r="D168" s="65">
        <v>314</v>
      </c>
    </row>
    <row r="169" spans="1:4" ht="15">
      <c r="A169" s="1"/>
      <c r="B169" s="14"/>
      <c r="C169" s="46"/>
      <c r="D169" s="65"/>
    </row>
    <row r="170" spans="1:4" ht="15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 ht="15">
      <c r="A171" s="1"/>
      <c r="B171" s="14"/>
      <c r="C171" s="46"/>
      <c r="D171" s="62"/>
    </row>
    <row r="172" spans="1:4" ht="15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 ht="15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 ht="15">
      <c r="A255" s="75"/>
      <c r="B255" s="57"/>
      <c r="C255" s="57"/>
      <c r="D255" s="67"/>
    </row>
    <row r="256" spans="1:18" ht="15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 ht="15">
      <c r="A257" s="75"/>
      <c r="B257" s="57"/>
      <c r="C257" s="57"/>
      <c r="D257" s="67"/>
    </row>
    <row r="258" spans="1:4" ht="15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">
      <c r="A261" s="75"/>
      <c r="B261" s="78"/>
      <c r="C261" s="79"/>
      <c r="D261" s="76"/>
    </row>
    <row r="262" spans="1:4" ht="18.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2025-09-15T04:21:31Z</cp:lastPrinted>
  <dcterms:created xsi:type="dcterms:W3CDTF">2016-07-05T06:15:08Z</dcterms:created>
  <dcterms:modified xsi:type="dcterms:W3CDTF">2025-11-12T05:36:26Z</dcterms:modified>
</cp:coreProperties>
</file>