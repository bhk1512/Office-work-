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rpgnet-my.sharepoint.com/personal/vaishnavj_kecrpg_com/Documents/KEC T&amp;D/AOTL 765 kv Project/Progress Report/DPR/DPR AOTL/"/>
    </mc:Choice>
  </mc:AlternateContent>
  <xr:revisionPtr revIDLastSave="89" documentId="14_{9FA55210-43DE-4DA2-97A9-69128F749094}" xr6:coauthVersionLast="47" xr6:coauthVersionMax="47" xr10:uidLastSave="{8C691F9D-9D05-42E0-BA19-8E189B00AFC8}"/>
  <bookViews>
    <workbookView xWindow="-110" yWindow="-110" windowWidth="19420" windowHeight="10300" tabRatio="888" firstSheet="1" activeTab="1" xr2:uid="{00000000-000D-0000-FFFF-FFFF00000000}"/>
  </bookViews>
  <sheets>
    <sheet name="765KV TA 414 VNTL" sheetId="57" state="hidden" r:id="rId1"/>
    <sheet name="765KV ASOTL" sheetId="64" r:id="rId2"/>
    <sheet name="Project Details" sheetId="54" r:id="rId3"/>
    <sheet name="Sheet5" sheetId="56" state="hidden" r:id="rId4"/>
    <sheet name="Sheet3" sheetId="53" state="hidden" r:id="rId5"/>
    <sheet name="Sheet1" sheetId="51" state="hidden" r:id="rId6"/>
    <sheet name="AOTL - KEC" sheetId="6" r:id="rId7"/>
    <sheet name="DPR Sheet" sheetId="7" r:id="rId8"/>
    <sheet name="Survey Anx" sheetId="38" r:id="rId9"/>
    <sheet name="Survey" sheetId="19" r:id="rId10"/>
    <sheet name="Soil Inv." sheetId="69" r:id="rId11"/>
    <sheet name="FDN" sheetId="30" r:id="rId12"/>
    <sheet name="Erection " sheetId="70" r:id="rId13"/>
    <sheet name="Visual chart 1 " sheetId="61" r:id="rId14"/>
    <sheet name="Pile Foundation" sheetId="66" r:id="rId15"/>
    <sheet name="Sheet6" sheetId="60" state="hidden" r:id="rId16"/>
    <sheet name="Sheet4" sheetId="55" state="hidden" r:id="rId17"/>
    <sheet name="Sheet7" sheetId="62" state="hidden" r:id="rId18"/>
    <sheet name="Stringing Compiled" sheetId="58" r:id="rId19"/>
    <sheet name="String" sheetId="46" r:id="rId20"/>
    <sheet name="Crossing" sheetId="50" r:id="rId21"/>
    <sheet name="Tree Enumeration" sheetId="65" r:id="rId22"/>
    <sheet name="Sheet2" sheetId="52" state="hidden" r:id="rId23"/>
  </sheets>
  <definedNames>
    <definedName name="\A" localSheetId="0">#REF!</definedName>
    <definedName name="\A" localSheetId="18">#REF!</definedName>
    <definedName name="\A">#REF!</definedName>
    <definedName name="\aa" localSheetId="0">#REF!</definedName>
    <definedName name="\aa" localSheetId="18">#REF!</definedName>
    <definedName name="\aa">#REF!</definedName>
    <definedName name="\B" localSheetId="0">#REF!</definedName>
    <definedName name="\B" localSheetId="18">#REF!</definedName>
    <definedName name="\B">#REF!</definedName>
    <definedName name="\C" localSheetId="0">#REF!</definedName>
    <definedName name="\C" localSheetId="18">#REF!</definedName>
    <definedName name="\C">#REF!</definedName>
    <definedName name="\DFC" localSheetId="0">#REF!</definedName>
    <definedName name="\DFC" localSheetId="18">#REF!</definedName>
    <definedName name="\DFC">#REF!</definedName>
    <definedName name="\E" localSheetId="0">#REF!</definedName>
    <definedName name="\E" localSheetId="18">#REF!</definedName>
    <definedName name="\E">#REF!</definedName>
    <definedName name="\H" localSheetId="0">#REF!</definedName>
    <definedName name="\H" localSheetId="18">#REF!</definedName>
    <definedName name="\H">#REF!</definedName>
    <definedName name="\jmns" localSheetId="0">#REF!</definedName>
    <definedName name="\jmns" localSheetId="18">#REF!</definedName>
    <definedName name="\jmns">#REF!</definedName>
    <definedName name="\L" localSheetId="0">#REF!</definedName>
    <definedName name="\L" localSheetId="18">#REF!</definedName>
    <definedName name="\L">#REF!</definedName>
    <definedName name="\LK" localSheetId="0">#REF!</definedName>
    <definedName name="\LK" localSheetId="18">#REF!</definedName>
    <definedName name="\LK">#REF!</definedName>
    <definedName name="\LKM" localSheetId="0">#REF!</definedName>
    <definedName name="\LKM" localSheetId="18">#REF!</definedName>
    <definedName name="\LKM">#REF!</definedName>
    <definedName name="\M" localSheetId="0">#REF!</definedName>
    <definedName name="\M" localSheetId="18">#REF!</definedName>
    <definedName name="\M">#REF!</definedName>
    <definedName name="\N" localSheetId="0">#REF!</definedName>
    <definedName name="\N" localSheetId="18">#REF!</definedName>
    <definedName name="\N">#REF!</definedName>
    <definedName name="\P" localSheetId="0">#REF!</definedName>
    <definedName name="\P" localSheetId="18">#REF!</definedName>
    <definedName name="\P">#REF!</definedName>
    <definedName name="\Q" localSheetId="0">#REF!</definedName>
    <definedName name="\Q" localSheetId="18">#REF!</definedName>
    <definedName name="\Q">#REF!</definedName>
    <definedName name="\R" localSheetId="0">#REF!</definedName>
    <definedName name="\R" localSheetId="18">#REF!</definedName>
    <definedName name="\R">#REF!</definedName>
    <definedName name="\S" localSheetId="0">#REF!</definedName>
    <definedName name="\S" localSheetId="18">#REF!</definedName>
    <definedName name="\S">#REF!</definedName>
    <definedName name="\Sv" localSheetId="0">#REF!</definedName>
    <definedName name="\Sv" localSheetId="18">#REF!</definedName>
    <definedName name="\Sv">#REF!</definedName>
    <definedName name="\U" localSheetId="0">#REF!</definedName>
    <definedName name="\U" localSheetId="18">#REF!</definedName>
    <definedName name="\U">#REF!</definedName>
    <definedName name="\V" localSheetId="0">#REF!</definedName>
    <definedName name="\V" localSheetId="18">#REF!</definedName>
    <definedName name="\V">#REF!</definedName>
    <definedName name="\x" localSheetId="0">#REF!</definedName>
    <definedName name="\x" localSheetId="18">#REF!</definedName>
    <definedName name="\x">#REF!</definedName>
    <definedName name="\z" localSheetId="0">#REF!</definedName>
    <definedName name="\z" localSheetId="18">#REF!</definedName>
    <definedName name="\z">#REF!</definedName>
    <definedName name="_" localSheetId="0">#REF!</definedName>
    <definedName name="_" localSheetId="18">#REF!</definedName>
    <definedName name="_">#REF!</definedName>
    <definedName name="_______xlnm.Print_Titles_2">(#REF!,#REF!)</definedName>
    <definedName name="_______xlnm.Print_Titles_3" localSheetId="0">(#REF!,#REF!)</definedName>
    <definedName name="_______xlnm.Print_Titles_3" localSheetId="18">(#REF!,#REF!)</definedName>
    <definedName name="_______xlnm.Print_Titles_3">(#REF!,#REF!)</definedName>
    <definedName name="______xlnm.Print_Titles_2">(#REF!,#REF!)</definedName>
    <definedName name="______xlnm.Print_Titles_3" localSheetId="0">(#REF!,#REF!)</definedName>
    <definedName name="______xlnm.Print_Titles_3" localSheetId="18">(#REF!,#REF!)</definedName>
    <definedName name="______xlnm.Print_Titles_3">(#REF!,#REF!)</definedName>
    <definedName name="_____xlnm.Print_Titles_2">(#REF!,#REF!)</definedName>
    <definedName name="_____xlnm.Print_Titles_3" localSheetId="0">(#REF!,#REF!)</definedName>
    <definedName name="_____xlnm.Print_Titles_3" localSheetId="18">(#REF!,#REF!)</definedName>
    <definedName name="_____xlnm.Print_Titles_3">(#REF!,#REF!)</definedName>
    <definedName name="____a1" localSheetId="0">#REF!</definedName>
    <definedName name="____a1" localSheetId="18">#REF!</definedName>
    <definedName name="____a1">#REF!</definedName>
    <definedName name="____Ki1" localSheetId="0">#REF!</definedName>
    <definedName name="____Ki1" localSheetId="18">#REF!</definedName>
    <definedName name="____Ki1">#REF!</definedName>
    <definedName name="____Ki2" localSheetId="0">#REF!</definedName>
    <definedName name="____Ki2" localSheetId="18">#REF!</definedName>
    <definedName name="____Ki2">#REF!</definedName>
    <definedName name="____Re1" localSheetId="0">#REF!</definedName>
    <definedName name="____Re1" localSheetId="18">#REF!</definedName>
    <definedName name="____Re1">#REF!</definedName>
    <definedName name="____Rs1" localSheetId="0">#REF!</definedName>
    <definedName name="____Rs1" localSheetId="18">#REF!</definedName>
    <definedName name="____Rs1">#REF!</definedName>
    <definedName name="____xlnm.Print_Titles_2">(#REF!,#REF!)</definedName>
    <definedName name="____xlnm.Print_Titles_3" localSheetId="0">(#REF!,#REF!)</definedName>
    <definedName name="____xlnm.Print_Titles_3" localSheetId="18">(#REF!,#REF!)</definedName>
    <definedName name="____xlnm.Print_Titles_3">(#REF!,#REF!)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0">#REF!</definedName>
    <definedName name="___a1" localSheetId="18">#REF!</definedName>
    <definedName name="___a1">#REF!</definedName>
    <definedName name="___aba2" localSheetId="0">#REF!</definedName>
    <definedName name="___aba2" localSheetId="18">#REF!</definedName>
    <definedName name="___aba2">#REF!</definedName>
    <definedName name="___adj1" localSheetId="0">#REF!</definedName>
    <definedName name="___adj1" localSheetId="18">#REF!</definedName>
    <definedName name="___adj1">#REF!</definedName>
    <definedName name="___ahu1">#REF!</definedName>
    <definedName name="___ahu2">#REF!</definedName>
    <definedName name="___bom1" localSheetId="0">#REF!</definedName>
    <definedName name="___bom1" localSheetId="18">#REF!</definedName>
    <definedName name="___bom1">#REF!</definedName>
    <definedName name="___CFB1" localSheetId="0">#REF!</definedName>
    <definedName name="___CFB1" localSheetId="18">#REF!</definedName>
    <definedName name="___CFB1">#REF!</definedName>
    <definedName name="___CFB2" localSheetId="0">#REF!</definedName>
    <definedName name="___CFB2" localSheetId="18">#REF!</definedName>
    <definedName name="___CFB2">#REF!</definedName>
    <definedName name="___CFB3" localSheetId="0">#REF!</definedName>
    <definedName name="___CFB3" localSheetId="18">#REF!</definedName>
    <definedName name="___CFB3">#REF!</definedName>
    <definedName name="___DAT1" localSheetId="0">#REF!</definedName>
    <definedName name="___DAT1" localSheetId="18">#REF!</definedName>
    <definedName name="___DAT1">#REF!</definedName>
    <definedName name="___DAT10" localSheetId="0">#REF!</definedName>
    <definedName name="___DAT10" localSheetId="18">#REF!</definedName>
    <definedName name="___DAT10">#REF!</definedName>
    <definedName name="___DAT11" localSheetId="0">#REF!</definedName>
    <definedName name="___DAT11" localSheetId="18">#REF!</definedName>
    <definedName name="___DAT11">#REF!</definedName>
    <definedName name="___DAT12" localSheetId="0">#REF!</definedName>
    <definedName name="___DAT12" localSheetId="18">#REF!</definedName>
    <definedName name="___DAT12">#REF!</definedName>
    <definedName name="___DAT13" localSheetId="0">#REF!</definedName>
    <definedName name="___DAT13" localSheetId="18">#REF!</definedName>
    <definedName name="___DAT13">#REF!</definedName>
    <definedName name="___DAT14" localSheetId="0">#REF!</definedName>
    <definedName name="___DAT14" localSheetId="18">#REF!</definedName>
    <definedName name="___DAT14">#REF!</definedName>
    <definedName name="___DAT15" localSheetId="0">#REF!</definedName>
    <definedName name="___DAT15" localSheetId="18">#REF!</definedName>
    <definedName name="___DAT15">#REF!</definedName>
    <definedName name="___DAT16" localSheetId="0">#REF!</definedName>
    <definedName name="___DAT16" localSheetId="18">#REF!</definedName>
    <definedName name="___DAT16">#REF!</definedName>
    <definedName name="___DAT17" localSheetId="18">#REF!</definedName>
    <definedName name="___DAT17">#REF!</definedName>
    <definedName name="___DAT18" localSheetId="18">#REF!</definedName>
    <definedName name="___DAT18">#REF!</definedName>
    <definedName name="___DAT2" localSheetId="0">#REF!</definedName>
    <definedName name="___DAT2" localSheetId="18">#REF!</definedName>
    <definedName name="___DAT2">#REF!</definedName>
    <definedName name="___DAT3" localSheetId="0">#REF!</definedName>
    <definedName name="___DAT3" localSheetId="18">#REF!</definedName>
    <definedName name="___DAT3">#REF!</definedName>
    <definedName name="___DAT4" localSheetId="0">#REF!</definedName>
    <definedName name="___DAT4" localSheetId="18">#REF!</definedName>
    <definedName name="___DAT4">#REF!</definedName>
    <definedName name="___DAT5" localSheetId="0">#REF!</definedName>
    <definedName name="___DAT5" localSheetId="18">#REF!</definedName>
    <definedName name="___DAT5">#REF!</definedName>
    <definedName name="___DAT6" localSheetId="0">#REF!</definedName>
    <definedName name="___DAT6" localSheetId="18">#REF!</definedName>
    <definedName name="___DAT6">#REF!</definedName>
    <definedName name="___DAT7" localSheetId="0">#REF!</definedName>
    <definedName name="___DAT7" localSheetId="18">#REF!</definedName>
    <definedName name="___DAT7">#REF!</definedName>
    <definedName name="___DAT8" localSheetId="0">#REF!</definedName>
    <definedName name="___DAT8" localSheetId="18">#REF!</definedName>
    <definedName name="___DAT8">#REF!</definedName>
    <definedName name="___DAT9" localSheetId="0">#REF!</definedName>
    <definedName name="___DAT9" localSheetId="18">#REF!</definedName>
    <definedName name="___DAT9">#REF!</definedName>
    <definedName name="___DET1" localSheetId="0">#REF!</definedName>
    <definedName name="___DET1" localSheetId="18">#REF!</definedName>
    <definedName name="___DET1">#REF!</definedName>
    <definedName name="___DET2" localSheetId="0">#REF!</definedName>
    <definedName name="___DET2" localSheetId="18">#REF!</definedName>
    <definedName name="___DET2">#REF!</definedName>
    <definedName name="___DET3" localSheetId="0">#REF!</definedName>
    <definedName name="___DET3" localSheetId="18">#REF!</definedName>
    <definedName name="___DET3">#REF!</definedName>
    <definedName name="___DET4" localSheetId="0">#REF!</definedName>
    <definedName name="___DET4" localSheetId="18">#REF!</definedName>
    <definedName name="___DET4">#REF!</definedName>
    <definedName name="___DET5" localSheetId="0">#REF!</definedName>
    <definedName name="___DET5" localSheetId="18">#REF!</definedName>
    <definedName name="___DET5">#REF!</definedName>
    <definedName name="___DET6" localSheetId="0">#REF!</definedName>
    <definedName name="___DET6" localSheetId="18">#REF!</definedName>
    <definedName name="___DET6">#REF!</definedName>
    <definedName name="___dol11">#REF!</definedName>
    <definedName name="___drg1" localSheetId="0">#REF!</definedName>
    <definedName name="___drg1" localSheetId="18">#REF!</definedName>
    <definedName name="___drg1">#REF!</definedName>
    <definedName name="___drg2" localSheetId="0">#REF!</definedName>
    <definedName name="___drg2" localSheetId="18">#REF!</definedName>
    <definedName name="___drg2">#REF!</definedName>
    <definedName name="___fac1" localSheetId="0">#REF!</definedName>
    <definedName name="___fac1" localSheetId="18">#REF!</definedName>
    <definedName name="___fac1">#REF!</definedName>
    <definedName name="___fac2" localSheetId="0">#REF!</definedName>
    <definedName name="___fac2" localSheetId="18">#REF!</definedName>
    <definedName name="___fac2">#REF!</definedName>
    <definedName name="___fac3" localSheetId="0">#REF!</definedName>
    <definedName name="___fac3" localSheetId="18">#REF!</definedName>
    <definedName name="___fac3">#REF!</definedName>
    <definedName name="___Ki1" localSheetId="0">#REF!</definedName>
    <definedName name="___Ki1" localSheetId="18">#REF!</definedName>
    <definedName name="___Ki1">#REF!</definedName>
    <definedName name="___Ki2" localSheetId="0">#REF!</definedName>
    <definedName name="___Ki2" localSheetId="18">#REF!</definedName>
    <definedName name="___Ki2">#REF!</definedName>
    <definedName name="___mcc1">#REF!</definedName>
    <definedName name="___mcc2">#REF!</definedName>
    <definedName name="___mp1">#REF!</definedName>
    <definedName name="___out2" localSheetId="0">#REF!</definedName>
    <definedName name="___out2" localSheetId="18">#REF!</definedName>
    <definedName name="___out2">#REF!</definedName>
    <definedName name="___pdp1">#REF!</definedName>
    <definedName name="___pdp2">#REF!</definedName>
    <definedName name="___pdp3">#REF!</definedName>
    <definedName name="___pep99" localSheetId="0">#REF!</definedName>
    <definedName name="___pep99" localSheetId="18">#REF!</definedName>
    <definedName name="___pep99">#REF!</definedName>
    <definedName name="___ps1" localSheetId="0">#REF!</definedName>
    <definedName name="___ps1" localSheetId="18">#REF!</definedName>
    <definedName name="___ps1">#REF!</definedName>
    <definedName name="___Re1" localSheetId="0">#REF!</definedName>
    <definedName name="___Re1" localSheetId="18">#REF!</definedName>
    <definedName name="___Re1">#REF!</definedName>
    <definedName name="___row1">#REF!</definedName>
    <definedName name="___Rs1" localSheetId="0">#REF!</definedName>
    <definedName name="___Rs1" localSheetId="18">#REF!</definedName>
    <definedName name="___Rs1">#REF!</definedName>
    <definedName name="___SAP1" localSheetId="0">#REF!</definedName>
    <definedName name="___SAP1" localSheetId="18">#REF!</definedName>
    <definedName name="___SAP1">#REF!</definedName>
    <definedName name="___SAP10" localSheetId="0">#REF!</definedName>
    <definedName name="___SAP10" localSheetId="18">#REF!</definedName>
    <definedName name="___SAP10">#REF!</definedName>
    <definedName name="___SAP11" localSheetId="0">#REF!</definedName>
    <definedName name="___SAP11" localSheetId="18">#REF!</definedName>
    <definedName name="___SAP11">#REF!</definedName>
    <definedName name="___SAP2" localSheetId="0">#REF!</definedName>
    <definedName name="___SAP2" localSheetId="18">#REF!</definedName>
    <definedName name="___SAP2">#REF!</definedName>
    <definedName name="___SAP3" localSheetId="0">#REF!</definedName>
    <definedName name="___SAP3" localSheetId="18">#REF!</definedName>
    <definedName name="___SAP3">#REF!</definedName>
    <definedName name="___SAP4" localSheetId="0">#REF!</definedName>
    <definedName name="___SAP4" localSheetId="18">#REF!</definedName>
    <definedName name="___SAP4">#REF!</definedName>
    <definedName name="___SAP5" localSheetId="0">#REF!</definedName>
    <definedName name="___SAP5" localSheetId="18">#REF!</definedName>
    <definedName name="___SAP5">#REF!</definedName>
    <definedName name="___SAP6" localSheetId="0">#REF!</definedName>
    <definedName name="___SAP6" localSheetId="18">#REF!</definedName>
    <definedName name="___SAP6">#REF!</definedName>
    <definedName name="___SAP7" localSheetId="0">#REF!</definedName>
    <definedName name="___SAP7" localSheetId="18">#REF!</definedName>
    <definedName name="___SAP7">#REF!</definedName>
    <definedName name="___SAP8" localSheetId="0">#REF!</definedName>
    <definedName name="___SAP8" localSheetId="18">#REF!</definedName>
    <definedName name="___SAP8">#REF!</definedName>
    <definedName name="___SAP9" localSheetId="0">#REF!</definedName>
    <definedName name="___SAP9" localSheetId="18">#REF!</definedName>
    <definedName name="___SAP9">#REF!</definedName>
    <definedName name="___sch2" localSheetId="0">#REF!</definedName>
    <definedName name="___sch2" localSheetId="18">#REF!</definedName>
    <definedName name="___sch2">#REF!</definedName>
    <definedName name="___sch9" localSheetId="0">#REF!</definedName>
    <definedName name="___sch9" localSheetId="18">#REF!</definedName>
    <definedName name="___sch9">#REF!</definedName>
    <definedName name="_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0">#REF!</definedName>
    <definedName name="___SS402" localSheetId="18">#REF!</definedName>
    <definedName name="___SS402">#REF!</definedName>
    <definedName name="___SS403" localSheetId="0">#REF!</definedName>
    <definedName name="___SS403" localSheetId="18">#REF!</definedName>
    <definedName name="___SS403">#REF!</definedName>
    <definedName name="___SS404" localSheetId="0">#REF!</definedName>
    <definedName name="___SS404" localSheetId="18">#REF!</definedName>
    <definedName name="___SS404">#REF!</definedName>
    <definedName name="___SS405" localSheetId="0">#REF!</definedName>
    <definedName name="___SS405" localSheetId="18">#REF!</definedName>
    <definedName name="___SS405">#REF!</definedName>
    <definedName name="___SS406" localSheetId="0">#REF!</definedName>
    <definedName name="___SS406" localSheetId="18">#REF!</definedName>
    <definedName name="___SS406">#REF!</definedName>
    <definedName name="___SS407" localSheetId="0">#REF!</definedName>
    <definedName name="___SS407" localSheetId="18">#REF!</definedName>
    <definedName name="___SS407">#REF!</definedName>
    <definedName name="___SS408" localSheetId="0">#REF!</definedName>
    <definedName name="___SS408" localSheetId="18">#REF!</definedName>
    <definedName name="___SS408">#REF!</definedName>
    <definedName name="___SS409" localSheetId="0">#REF!</definedName>
    <definedName name="___SS409" localSheetId="18">#REF!</definedName>
    <definedName name="___SS409">#REF!</definedName>
    <definedName name="___SS423" localSheetId="0">#REF!</definedName>
    <definedName name="___SS423" localSheetId="18">#REF!</definedName>
    <definedName name="___SS423">#REF!</definedName>
    <definedName name="___SS424" localSheetId="0">#REF!</definedName>
    <definedName name="___SS424" localSheetId="18">#REF!</definedName>
    <definedName name="___SS424">#REF!</definedName>
    <definedName name="___thinkcellREMAAAAAAAAAAAAAvHkPvCRC7kWH6_CDEWVaQA" localSheetId="0" hidden="1">#REF!</definedName>
    <definedName name="___thinkcellREMAAAAAAAAAAAAAvHkPvCRC7kWH6_CDEWVaQA" localSheetId="18" hidden="1">#REF!</definedName>
    <definedName name="___thinkcellREMAAAAAAAAAAAAAvHkPvCRC7kWH6_CDEWVaQA" hidden="1">#REF!</definedName>
    <definedName name="___try1">#REF!</definedName>
    <definedName name="___xlnm.Print_Titles_2">(#REF!,#REF!)</definedName>
    <definedName name="___xlnm.Print_Titles_3" localSheetId="0">(#REF!,#REF!)</definedName>
    <definedName name="___xlnm.Print_Titles_3" localSheetId="18">(#REF!,#REF!)</definedName>
    <definedName name="___xlnm.Print_Titles_3">(#REF!,#REF!)</definedName>
    <definedName name="__1__123Graph_ACHART_1" hidden="1">#REF!</definedName>
    <definedName name="__123Graph_B" localSheetId="0" hidden="1">#REF!</definedName>
    <definedName name="__123Graph_B" localSheetId="18" hidden="1">#REF!</definedName>
    <definedName name="__123Graph_B" hidden="1">#REF!</definedName>
    <definedName name="__123Graph_C" localSheetId="0" hidden="1">#REF!</definedName>
    <definedName name="__123Graph_C" localSheetId="18" hidden="1">#REF!</definedName>
    <definedName name="__123Graph_C" hidden="1">#REF!</definedName>
    <definedName name="__123Graph_X" localSheetId="0" hidden="1">#REF!</definedName>
    <definedName name="__123Graph_X" localSheetId="18" hidden="1">#REF!</definedName>
    <definedName name="__123Graph_X" hidden="1">#REF!</definedName>
    <definedName name="__2__123Graph_BCHART_1" hidden="1">#REF!</definedName>
    <definedName name="__3__123Graph_CCHART_1" hidden="1">#REF!</definedName>
    <definedName name="__a1" localSheetId="0">#REF!</definedName>
    <definedName name="__a1" localSheetId="18">#REF!</definedName>
    <definedName name="__a1">#REF!</definedName>
    <definedName name="__aba2" localSheetId="0">#REF!</definedName>
    <definedName name="__aba2" localSheetId="18">#REF!</definedName>
    <definedName name="__aba2">#REF!</definedName>
    <definedName name="__adj1" localSheetId="0">#REF!</definedName>
    <definedName name="__adj1" localSheetId="18">#REF!</definedName>
    <definedName name="__adj1">#REF!</definedName>
    <definedName name="__ahu1">#REF!</definedName>
    <definedName name="__ahu2">#REF!</definedName>
    <definedName name="__bom1" localSheetId="0">#REF!</definedName>
    <definedName name="__bom1" localSheetId="18">#REF!</definedName>
    <definedName name="__bom1">#REF!</definedName>
    <definedName name="__CFB1" localSheetId="0">#REF!</definedName>
    <definedName name="__CFB1" localSheetId="18">#REF!</definedName>
    <definedName name="__CFB1">#REF!</definedName>
    <definedName name="__CFB2" localSheetId="0">#REF!</definedName>
    <definedName name="__CFB2" localSheetId="18">#REF!</definedName>
    <definedName name="__CFB2">#REF!</definedName>
    <definedName name="__CFB3" localSheetId="0">#REF!</definedName>
    <definedName name="__CFB3" localSheetId="18">#REF!</definedName>
    <definedName name="__CFB3">#REF!</definedName>
    <definedName name="__DAT1" localSheetId="0">#REF!</definedName>
    <definedName name="__DAT1" localSheetId="18">#REF!</definedName>
    <definedName name="__DAT1">#REF!</definedName>
    <definedName name="__DAT10" localSheetId="0">#REF!</definedName>
    <definedName name="__DAT10" localSheetId="18">#REF!</definedName>
    <definedName name="__DAT10">#REF!</definedName>
    <definedName name="__DAT11" localSheetId="0">#REF!</definedName>
    <definedName name="__DAT11" localSheetId="18">#REF!</definedName>
    <definedName name="__DAT11">#REF!</definedName>
    <definedName name="__DAT12" localSheetId="0">#REF!</definedName>
    <definedName name="__DAT12" localSheetId="18">#REF!</definedName>
    <definedName name="__DAT12">#REF!</definedName>
    <definedName name="__DAT13" localSheetId="0">#REF!</definedName>
    <definedName name="__DAT13" localSheetId="18">#REF!</definedName>
    <definedName name="__DAT13">#REF!</definedName>
    <definedName name="__DAT14" localSheetId="0">#REF!</definedName>
    <definedName name="__DAT14" localSheetId="18">#REF!</definedName>
    <definedName name="__DAT14">#REF!</definedName>
    <definedName name="__DAT15" localSheetId="0">#REF!</definedName>
    <definedName name="__DAT15" localSheetId="18">#REF!</definedName>
    <definedName name="__DAT15">#REF!</definedName>
    <definedName name="__DAT16" localSheetId="0">#REF!</definedName>
    <definedName name="__DAT16" localSheetId="18">#REF!</definedName>
    <definedName name="__DAT16">#REF!</definedName>
    <definedName name="__DAT17" localSheetId="18">#REF!</definedName>
    <definedName name="__DAT17">#REF!</definedName>
    <definedName name="__DAT18" localSheetId="18">#REF!</definedName>
    <definedName name="__DAT18">#REF!</definedName>
    <definedName name="__DAT2" localSheetId="0">#REF!</definedName>
    <definedName name="__DAT2" localSheetId="18">#REF!</definedName>
    <definedName name="__DAT2">#REF!</definedName>
    <definedName name="__DAT3" localSheetId="0">#REF!</definedName>
    <definedName name="__DAT3" localSheetId="18">#REF!</definedName>
    <definedName name="__DAT3">#REF!</definedName>
    <definedName name="__DAT4" localSheetId="0">#REF!</definedName>
    <definedName name="__DAT4" localSheetId="18">#REF!</definedName>
    <definedName name="__DAT4">#REF!</definedName>
    <definedName name="__DAT5" localSheetId="0">#REF!</definedName>
    <definedName name="__DAT5" localSheetId="18">#REF!</definedName>
    <definedName name="__DAT5">#REF!</definedName>
    <definedName name="__DAT6" localSheetId="0">#REF!</definedName>
    <definedName name="__DAT6" localSheetId="18">#REF!</definedName>
    <definedName name="__DAT6">#REF!</definedName>
    <definedName name="__DAT7" localSheetId="0">#REF!</definedName>
    <definedName name="__DAT7" localSheetId="18">#REF!</definedName>
    <definedName name="__DAT7">#REF!</definedName>
    <definedName name="__DAT8" localSheetId="0">#REF!</definedName>
    <definedName name="__DAT8" localSheetId="18">#REF!</definedName>
    <definedName name="__DAT8">#REF!</definedName>
    <definedName name="__DAT9" localSheetId="0">#REF!</definedName>
    <definedName name="__DAT9" localSheetId="18">#REF!</definedName>
    <definedName name="__DAT9">#REF!</definedName>
    <definedName name="__DET1" localSheetId="0">#REF!</definedName>
    <definedName name="__DET1" localSheetId="18">#REF!</definedName>
    <definedName name="__DET1">#REF!</definedName>
    <definedName name="__DET2" localSheetId="0">#REF!</definedName>
    <definedName name="__DET2" localSheetId="18">#REF!</definedName>
    <definedName name="__DET2">#REF!</definedName>
    <definedName name="__DET3" localSheetId="0">#REF!</definedName>
    <definedName name="__DET3" localSheetId="18">#REF!</definedName>
    <definedName name="__DET3">#REF!</definedName>
    <definedName name="__DET4" localSheetId="0">#REF!</definedName>
    <definedName name="__DET4" localSheetId="18">#REF!</definedName>
    <definedName name="__DET4">#REF!</definedName>
    <definedName name="__DET5" localSheetId="0">#REF!</definedName>
    <definedName name="__DET5" localSheetId="18">#REF!</definedName>
    <definedName name="__DET5">#REF!</definedName>
    <definedName name="__DET6" localSheetId="0">#REF!</definedName>
    <definedName name="__DET6" localSheetId="18">#REF!</definedName>
    <definedName name="__DET6">#REF!</definedName>
    <definedName name="__dol11">#REF!</definedName>
    <definedName name="__drg1" localSheetId="0">#REF!</definedName>
    <definedName name="__drg1" localSheetId="18">#REF!</definedName>
    <definedName name="__drg1">#REF!</definedName>
    <definedName name="__drg2" localSheetId="0">#REF!</definedName>
    <definedName name="__drg2" localSheetId="18">#REF!</definedName>
    <definedName name="__drg2">#REF!</definedName>
    <definedName name="__EdFJsKAA" localSheetId="18">#REF!</definedName>
    <definedName name="__EdFJsKAA">#REF!</definedName>
    <definedName name="__fac1" localSheetId="0">#REF!</definedName>
    <definedName name="__fac1" localSheetId="18">#REF!</definedName>
    <definedName name="__fac1">#REF!</definedName>
    <definedName name="__fac2" localSheetId="0">#REF!</definedName>
    <definedName name="__fac2" localSheetId="18">#REF!</definedName>
    <definedName name="__fac2">#REF!</definedName>
    <definedName name="__fac3" localSheetId="0">#REF!</definedName>
    <definedName name="__fac3" localSheetId="18">#REF!</definedName>
    <definedName name="__fac3">#REF!</definedName>
    <definedName name="__Ki1" localSheetId="0">#REF!</definedName>
    <definedName name="__Ki1" localSheetId="18">#REF!</definedName>
    <definedName name="__Ki1">#REF!</definedName>
    <definedName name="__Ki2" localSheetId="0">#REF!</definedName>
    <definedName name="__Ki2" localSheetId="18">#REF!</definedName>
    <definedName name="__Ki2">#REF!</definedName>
    <definedName name="__mcc1">#REF!</definedName>
    <definedName name="__mcc2">#REF!</definedName>
    <definedName name="__mp1">#REF!</definedName>
    <definedName name="__out2" localSheetId="0">#REF!</definedName>
    <definedName name="__out2" localSheetId="18">#REF!</definedName>
    <definedName name="__out2">#REF!</definedName>
    <definedName name="__pdp1">#REF!</definedName>
    <definedName name="__pdp2">#REF!</definedName>
    <definedName name="__pdp3">#REF!</definedName>
    <definedName name="__pep99" localSheetId="0">#REF!</definedName>
    <definedName name="__pep99" localSheetId="18">#REF!</definedName>
    <definedName name="__pep99">#REF!</definedName>
    <definedName name="__ps1" localSheetId="0">#REF!</definedName>
    <definedName name="__ps1" localSheetId="18">#REF!</definedName>
    <definedName name="__ps1">#REF!</definedName>
    <definedName name="__Re1" localSheetId="0">#REF!</definedName>
    <definedName name="__Re1" localSheetId="18">#REF!</definedName>
    <definedName name="__Re1">#REF!</definedName>
    <definedName name="__row1">#REF!</definedName>
    <definedName name="__Rs1" localSheetId="0">#REF!</definedName>
    <definedName name="__Rs1" localSheetId="18">#REF!</definedName>
    <definedName name="__Rs1">#REF!</definedName>
    <definedName name="__SAP1" localSheetId="0">#REF!</definedName>
    <definedName name="__SAP1" localSheetId="18">#REF!</definedName>
    <definedName name="__SAP1">#REF!</definedName>
    <definedName name="__SAP10" localSheetId="0">#REF!</definedName>
    <definedName name="__SAP10" localSheetId="18">#REF!</definedName>
    <definedName name="__SAP10">#REF!</definedName>
    <definedName name="__SAP11" localSheetId="0">#REF!</definedName>
    <definedName name="__SAP11" localSheetId="18">#REF!</definedName>
    <definedName name="__SAP11">#REF!</definedName>
    <definedName name="__SAP2" localSheetId="0">#REF!</definedName>
    <definedName name="__SAP2" localSheetId="18">#REF!</definedName>
    <definedName name="__SAP2">#REF!</definedName>
    <definedName name="__SAP3" localSheetId="0">#REF!</definedName>
    <definedName name="__SAP3" localSheetId="18">#REF!</definedName>
    <definedName name="__SAP3">#REF!</definedName>
    <definedName name="__SAP4" localSheetId="0">#REF!</definedName>
    <definedName name="__SAP4" localSheetId="18">#REF!</definedName>
    <definedName name="__SAP4">#REF!</definedName>
    <definedName name="__SAP5" localSheetId="0">#REF!</definedName>
    <definedName name="__SAP5" localSheetId="18">#REF!</definedName>
    <definedName name="__SAP5">#REF!</definedName>
    <definedName name="__SAP6" localSheetId="0">#REF!</definedName>
    <definedName name="__SAP6" localSheetId="18">#REF!</definedName>
    <definedName name="__SAP6">#REF!</definedName>
    <definedName name="__SAP7" localSheetId="0">#REF!</definedName>
    <definedName name="__SAP7" localSheetId="18">#REF!</definedName>
    <definedName name="__SAP7">#REF!</definedName>
    <definedName name="__SAP8" localSheetId="0">#REF!</definedName>
    <definedName name="__SAP8" localSheetId="18">#REF!</definedName>
    <definedName name="__SAP8">#REF!</definedName>
    <definedName name="__SAP9" localSheetId="0">#REF!</definedName>
    <definedName name="__SAP9" localSheetId="18">#REF!</definedName>
    <definedName name="__SAP9">#REF!</definedName>
    <definedName name="__sch2" localSheetId="0">#REF!</definedName>
    <definedName name="__sch2" localSheetId="18">#REF!</definedName>
    <definedName name="__sch2">#REF!</definedName>
    <definedName name="__sch9" localSheetId="0">#REF!</definedName>
    <definedName name="__sch9" localSheetId="18">#REF!</definedName>
    <definedName name="__sch9">#REF!</definedName>
    <definedName name="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0">#REF!</definedName>
    <definedName name="__SS402" localSheetId="18">#REF!</definedName>
    <definedName name="__SS402">#REF!</definedName>
    <definedName name="__SS403" localSheetId="0">#REF!</definedName>
    <definedName name="__SS403" localSheetId="18">#REF!</definedName>
    <definedName name="__SS403">#REF!</definedName>
    <definedName name="__SS404" localSheetId="0">#REF!</definedName>
    <definedName name="__SS404" localSheetId="18">#REF!</definedName>
    <definedName name="__SS404">#REF!</definedName>
    <definedName name="__SS405" localSheetId="0">#REF!</definedName>
    <definedName name="__SS405" localSheetId="18">#REF!</definedName>
    <definedName name="__SS405">#REF!</definedName>
    <definedName name="__SS406" localSheetId="0">#REF!</definedName>
    <definedName name="__SS406" localSheetId="18">#REF!</definedName>
    <definedName name="__SS406">#REF!</definedName>
    <definedName name="__SS407" localSheetId="0">#REF!</definedName>
    <definedName name="__SS407" localSheetId="18">#REF!</definedName>
    <definedName name="__SS407">#REF!</definedName>
    <definedName name="__SS408" localSheetId="0">#REF!</definedName>
    <definedName name="__SS408" localSheetId="18">#REF!</definedName>
    <definedName name="__SS408">#REF!</definedName>
    <definedName name="__SS409" localSheetId="0">#REF!</definedName>
    <definedName name="__SS409" localSheetId="18">#REF!</definedName>
    <definedName name="__SS409">#REF!</definedName>
    <definedName name="__SS423" localSheetId="0">#REF!</definedName>
    <definedName name="__SS423" localSheetId="18">#REF!</definedName>
    <definedName name="__SS423">#REF!</definedName>
    <definedName name="__SS424" localSheetId="0">#REF!</definedName>
    <definedName name="__SS424" localSheetId="18">#REF!</definedName>
    <definedName name="__SS424">#REF!</definedName>
    <definedName name="__try1">#REF!</definedName>
    <definedName name="__xlnm.Print_Titles_2">(#REF!,#REF!)</definedName>
    <definedName name="__xlnm.Print_Titles_3" localSheetId="0">(#REF!,#REF!)</definedName>
    <definedName name="__xlnm.Print_Titles_3" localSheetId="18">(#REF!,#REF!)</definedName>
    <definedName name="__xlnm.Print_Titles_3">(#REF!,#REF!)</definedName>
    <definedName name="_00" localSheetId="0">#REF!</definedName>
    <definedName name="_00" localSheetId="18">#REF!</definedName>
    <definedName name="_00">#REF!</definedName>
    <definedName name="_01" localSheetId="0">#REF!</definedName>
    <definedName name="_01" localSheetId="18">#REF!</definedName>
    <definedName name="_01">#REF!</definedName>
    <definedName name="_02">#N/A</definedName>
    <definedName name="_03">#N/A</definedName>
    <definedName name="_04">#N/A</definedName>
    <definedName name="_04_DIPL___TITEL" localSheetId="0">#REF!</definedName>
    <definedName name="_04_DIPL___TITEL" localSheetId="18">#REF!</definedName>
    <definedName name="_04_DIPL___TITEL">#REF!</definedName>
    <definedName name="_05" localSheetId="0">#REF!</definedName>
    <definedName name="_05" localSheetId="18">#REF!</definedName>
    <definedName name="_05">#REF!</definedName>
    <definedName name="_06">#N/A</definedName>
    <definedName name="_09_cost" localSheetId="0">#REF!</definedName>
    <definedName name="_09_cost" localSheetId="18">#REF!</definedName>
    <definedName name="_09_cost">#REF!</definedName>
    <definedName name="_09_cost_2">#REF!</definedName>
    <definedName name="_09_IBR_marketing_manpower_cost" localSheetId="0">#REF!</definedName>
    <definedName name="_09_IBR_marketing_manpower_cost" localSheetId="18">#REF!</definedName>
    <definedName name="_09_IBR_marketing_manpower_cost">#REF!</definedName>
    <definedName name="_09_IBR_marketing_manpower_cost_1" localSheetId="0">#REF!</definedName>
    <definedName name="_09_IBR_marketing_manpower_cost_1" localSheetId="18">#REF!</definedName>
    <definedName name="_09_IBR_marketing_manpower_cost_1">#REF!</definedName>
    <definedName name="_09_IBR_marketing_sales_cost" localSheetId="0">#REF!</definedName>
    <definedName name="_09_IBR_marketing_sales_cost" localSheetId="18">#REF!</definedName>
    <definedName name="_09_IBR_marketing_sales_cost">#REF!</definedName>
    <definedName name="_09_IBR_reps" localSheetId="0">#REF!</definedName>
    <definedName name="_09_IBR_reps" localSheetId="18">#REF!</definedName>
    <definedName name="_09_IBR_reps">#REF!</definedName>
    <definedName name="_1">#N/A</definedName>
    <definedName name="_1__123Graph_ACHART_1" hidden="1">#REF!</definedName>
    <definedName name="_2">#N/A</definedName>
    <definedName name="_2__123Graph_BCHART_1" hidden="1">#REF!</definedName>
    <definedName name="_3">#N/A</definedName>
    <definedName name="_3__123Graph_CCHART_1" hidden="1">#REF!</definedName>
    <definedName name="_4">#N/A</definedName>
    <definedName name="_5">#N/A</definedName>
    <definedName name="_6">#N/A</definedName>
    <definedName name="_7">#N/A</definedName>
    <definedName name="_8">#N/A</definedName>
    <definedName name="_a1" localSheetId="0">#REF!</definedName>
    <definedName name="_a1" localSheetId="18">#REF!</definedName>
    <definedName name="_a1">#REF!</definedName>
    <definedName name="_a655601">#REF!</definedName>
    <definedName name="_aba2" localSheetId="0">#REF!</definedName>
    <definedName name="_aba2" localSheetId="18">#REF!</definedName>
    <definedName name="_aba2">#REF!</definedName>
    <definedName name="_adj1" localSheetId="0">#REF!</definedName>
    <definedName name="_adj1" localSheetId="18">#REF!</definedName>
    <definedName name="_adj1">#REF!</definedName>
    <definedName name="_ahu1">#REF!</definedName>
    <definedName name="_ahu2">#REF!</definedName>
    <definedName name="_Ast1" localSheetId="0">#REF!</definedName>
    <definedName name="_Ast1" localSheetId="18">#REF!</definedName>
    <definedName name="_Ast1">#REF!</definedName>
    <definedName name="_Ast2" localSheetId="0">#REF!</definedName>
    <definedName name="_Ast2" localSheetId="18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om1" localSheetId="0">#REF!</definedName>
    <definedName name="_bom1" localSheetId="18">#REF!</definedName>
    <definedName name="_bom1">#REF!</definedName>
    <definedName name="_CE1">#REF!</definedName>
    <definedName name="_CFB1" localSheetId="0">#REF!</definedName>
    <definedName name="_CFB1" localSheetId="18">#REF!</definedName>
    <definedName name="_CFB1">#REF!</definedName>
    <definedName name="_CFB2" localSheetId="0">#REF!</definedName>
    <definedName name="_CFB2" localSheetId="18">#REF!</definedName>
    <definedName name="_CFB2">#REF!</definedName>
    <definedName name="_CFB3" localSheetId="0">#REF!</definedName>
    <definedName name="_CFB3" localSheetId="18">#REF!</definedName>
    <definedName name="_CFB3">#REF!</definedName>
    <definedName name="_DAT1" localSheetId="0">#REF!</definedName>
    <definedName name="_DAT1" localSheetId="18">#REF!</definedName>
    <definedName name="_DAT1">#REF!</definedName>
    <definedName name="_DAT10" localSheetId="0">#REF!</definedName>
    <definedName name="_DAT10" localSheetId="18">#REF!</definedName>
    <definedName name="_DAT10">#REF!</definedName>
    <definedName name="_DAT11" localSheetId="0">#REF!</definedName>
    <definedName name="_DAT11" localSheetId="18">#REF!</definedName>
    <definedName name="_DAT11">#REF!</definedName>
    <definedName name="_DAT12" localSheetId="0">#REF!</definedName>
    <definedName name="_DAT12" localSheetId="18">#REF!</definedName>
    <definedName name="_DAT12">#REF!</definedName>
    <definedName name="_DAT13" localSheetId="0">#REF!</definedName>
    <definedName name="_DAT13" localSheetId="18">#REF!</definedName>
    <definedName name="_DAT13">#REF!</definedName>
    <definedName name="_DAT14" localSheetId="0">#REF!</definedName>
    <definedName name="_DAT14" localSheetId="18">#REF!</definedName>
    <definedName name="_DAT14">#REF!</definedName>
    <definedName name="_DAT15" localSheetId="0">#REF!</definedName>
    <definedName name="_DAT15" localSheetId="18">#REF!</definedName>
    <definedName name="_DAT15">#REF!</definedName>
    <definedName name="_DAT16" localSheetId="0">#REF!</definedName>
    <definedName name="_DAT16" localSheetId="18">#REF!</definedName>
    <definedName name="_DAT16">#REF!</definedName>
    <definedName name="_DAT17" localSheetId="18">#REF!</definedName>
    <definedName name="_DAT17">#REF!</definedName>
    <definedName name="_DAT18" localSheetId="18">#REF!</definedName>
    <definedName name="_DAT18">#REF!</definedName>
    <definedName name="_DAT2" localSheetId="0">#REF!</definedName>
    <definedName name="_DAT2" localSheetId="18">#REF!</definedName>
    <definedName name="_DAT2">#REF!</definedName>
    <definedName name="_DAT3" localSheetId="0">#REF!</definedName>
    <definedName name="_DAT3" localSheetId="18">#REF!</definedName>
    <definedName name="_DAT3">#REF!</definedName>
    <definedName name="_DAT4" localSheetId="0">#REF!</definedName>
    <definedName name="_DAT4" localSheetId="18">#REF!</definedName>
    <definedName name="_DAT4">#REF!</definedName>
    <definedName name="_DAT5" localSheetId="0">#REF!</definedName>
    <definedName name="_DAT5" localSheetId="18">#REF!</definedName>
    <definedName name="_DAT5">#REF!</definedName>
    <definedName name="_DAT6" localSheetId="0">#REF!</definedName>
    <definedName name="_DAT6" localSheetId="18">#REF!</definedName>
    <definedName name="_DAT6">#REF!</definedName>
    <definedName name="_DAT7" localSheetId="0">#REF!</definedName>
    <definedName name="_DAT7" localSheetId="18">#REF!</definedName>
    <definedName name="_DAT7">#REF!</definedName>
    <definedName name="_DAT8" localSheetId="0">#REF!</definedName>
    <definedName name="_DAT8" localSheetId="18">#REF!</definedName>
    <definedName name="_DAT8">#REF!</definedName>
    <definedName name="_DAT9" localSheetId="0">#REF!</definedName>
    <definedName name="_DAT9" localSheetId="18">#REF!</definedName>
    <definedName name="_DAT9">#REF!</definedName>
    <definedName name="_DET1" localSheetId="0">#REF!</definedName>
    <definedName name="_DET1" localSheetId="18">#REF!</definedName>
    <definedName name="_DET1">#REF!</definedName>
    <definedName name="_DET2" localSheetId="0">#REF!</definedName>
    <definedName name="_DET2" localSheetId="18">#REF!</definedName>
    <definedName name="_DET2">#REF!</definedName>
    <definedName name="_DET3" localSheetId="0">#REF!</definedName>
    <definedName name="_DET3" localSheetId="18">#REF!</definedName>
    <definedName name="_DET3">#REF!</definedName>
    <definedName name="_DET4" localSheetId="0">#REF!</definedName>
    <definedName name="_DET4" localSheetId="18">#REF!</definedName>
    <definedName name="_DET4">#REF!</definedName>
    <definedName name="_DET5" localSheetId="0">#REF!</definedName>
    <definedName name="_DET5" localSheetId="18">#REF!</definedName>
    <definedName name="_DET5">#REF!</definedName>
    <definedName name="_DET6" localSheetId="0">#REF!</definedName>
    <definedName name="_DET6" localSheetId="18">#REF!</definedName>
    <definedName name="_DET6">#REF!</definedName>
    <definedName name="_dol11">#REF!</definedName>
    <definedName name="_DPS1" localSheetId="0">#REF!</definedName>
    <definedName name="_DPS1" localSheetId="18">#REF!</definedName>
    <definedName name="_DPS1">#REF!</definedName>
    <definedName name="_DPS2" localSheetId="0">#REF!</definedName>
    <definedName name="_DPS2" localSheetId="18">#REF!</definedName>
    <definedName name="_DPS2">#REF!</definedName>
    <definedName name="_drg1" localSheetId="0">#REF!</definedName>
    <definedName name="_drg1" localSheetId="18">#REF!</definedName>
    <definedName name="_drg1">#REF!</definedName>
    <definedName name="_drg2" localSheetId="0">#REF!</definedName>
    <definedName name="_drg2" localSheetId="18">#REF!</definedName>
    <definedName name="_drg2">#REF!</definedName>
    <definedName name="_fac1" localSheetId="0">#REF!</definedName>
    <definedName name="_fac1" localSheetId="18">#REF!</definedName>
    <definedName name="_fac1">#REF!</definedName>
    <definedName name="_fac2" localSheetId="0">#REF!</definedName>
    <definedName name="_fac2" localSheetId="18">#REF!</definedName>
    <definedName name="_fac2">#REF!</definedName>
    <definedName name="_fac3" localSheetId="0">#REF!</definedName>
    <definedName name="_fac3" localSheetId="18">#REF!</definedName>
    <definedName name="_fac3">#REF!</definedName>
    <definedName name="_Fill" hidden="1">#REF!</definedName>
    <definedName name="_xlnm._FilterDatabase" localSheetId="20" hidden="1">Crossing!$A$2:$P$49</definedName>
    <definedName name="_xlnm._FilterDatabase" localSheetId="12" hidden="1">'Erection '!$A$3:$P$187</definedName>
    <definedName name="_xlnm._FilterDatabase" localSheetId="11" hidden="1">FDN!$A$2:$N$308</definedName>
    <definedName name="_xlnm._FilterDatabase" localSheetId="4" hidden="1">Sheet3!$A$1:$A$26</definedName>
    <definedName name="_xlnm._FilterDatabase" localSheetId="16" hidden="1">Sheet4!$A$10:$MO$361</definedName>
    <definedName name="_xlnm._FilterDatabase" localSheetId="15" hidden="1">Sheet6!$B$2:$E$47</definedName>
    <definedName name="_xlnm._FilterDatabase" localSheetId="17" hidden="1">Sheet7!$B$3:$B$265</definedName>
    <definedName name="_xlnm._FilterDatabase" localSheetId="10" hidden="1">'Soil Inv.'!$A$2:$I$35</definedName>
    <definedName name="_xlnm._FilterDatabase" localSheetId="19" hidden="1">String!$A$3:$Q$10</definedName>
    <definedName name="_xlnm._FilterDatabase" localSheetId="18" hidden="1">'Stringing Compiled'!$A$3:$XEN$6</definedName>
    <definedName name="_xlnm._FilterDatabase" hidden="1">#REF!</definedName>
    <definedName name="_in18900" localSheetId="0">#REF!</definedName>
    <definedName name="_in18900" localSheetId="18">#REF!</definedName>
    <definedName name="_in18900">#REF!</definedName>
    <definedName name="_iv19000" localSheetId="0">#REF!</definedName>
    <definedName name="_iv19000" localSheetId="18">#REF!</definedName>
    <definedName name="_iv19000">#REF!</definedName>
    <definedName name="_Key1" localSheetId="0" hidden="1">#REF!</definedName>
    <definedName name="_Key1" localSheetId="18" hidden="1">#REF!</definedName>
    <definedName name="_Key1" hidden="1">#REF!</definedName>
    <definedName name="_Key2" localSheetId="0" hidden="1">#REF!</definedName>
    <definedName name="_Key2" localSheetId="18" hidden="1">#REF!</definedName>
    <definedName name="_Key2" hidden="1">#REF!</definedName>
    <definedName name="_Ki1" localSheetId="0">#REF!</definedName>
    <definedName name="_Ki1" localSheetId="18">#REF!</definedName>
    <definedName name="_Ki1">#REF!</definedName>
    <definedName name="_Ki2" localSheetId="0">#REF!</definedName>
    <definedName name="_Ki2" localSheetId="18">#REF!</definedName>
    <definedName name="_Ki2">#REF!</definedName>
    <definedName name="_mcc1">#REF!</definedName>
    <definedName name="_mcc2">#REF!</definedName>
    <definedName name="_mp1">#REF!</definedName>
    <definedName name="_Order1" hidden="1">255</definedName>
    <definedName name="_Order2" hidden="1">255</definedName>
    <definedName name="_out2" localSheetId="0">#REF!</definedName>
    <definedName name="_out2" localSheetId="18">#REF!</definedName>
    <definedName name="_out2">#REF!</definedName>
    <definedName name="_pdp1">#REF!</definedName>
    <definedName name="_pdp2">#REF!</definedName>
    <definedName name="_pdp3">#REF!</definedName>
    <definedName name="_pep99" localSheetId="0">#REF!</definedName>
    <definedName name="_pep99" localSheetId="18">#REF!</definedName>
    <definedName name="_pep99">#REF!</definedName>
    <definedName name="_ps1" localSheetId="0">#REF!</definedName>
    <definedName name="_ps1" localSheetId="18">#REF!</definedName>
    <definedName name="_ps1">#REF!</definedName>
    <definedName name="_Re1" localSheetId="0">#REF!</definedName>
    <definedName name="_Re1" localSheetId="18">#REF!</definedName>
    <definedName name="_Re1">#REF!</definedName>
    <definedName name="_row1">#REF!</definedName>
    <definedName name="_Rs1" localSheetId="0">#REF!</definedName>
    <definedName name="_Rs1" localSheetId="18">#REF!</definedName>
    <definedName name="_Rs1">#REF!</definedName>
    <definedName name="_SAP1" localSheetId="0">#REF!</definedName>
    <definedName name="_SAP1" localSheetId="18">#REF!</definedName>
    <definedName name="_SAP1">#REF!</definedName>
    <definedName name="_SAP10" localSheetId="0">#REF!</definedName>
    <definedName name="_SAP10" localSheetId="18">#REF!</definedName>
    <definedName name="_SAP10">#REF!</definedName>
    <definedName name="_SAP11" localSheetId="0">#REF!</definedName>
    <definedName name="_SAP11" localSheetId="18">#REF!</definedName>
    <definedName name="_SAP11">#REF!</definedName>
    <definedName name="_SAP2" localSheetId="0">#REF!</definedName>
    <definedName name="_SAP2" localSheetId="18">#REF!</definedName>
    <definedName name="_SAP2">#REF!</definedName>
    <definedName name="_SAP3" localSheetId="0">#REF!</definedName>
    <definedName name="_SAP3" localSheetId="18">#REF!</definedName>
    <definedName name="_SAP3">#REF!</definedName>
    <definedName name="_SAP4" localSheetId="0">#REF!</definedName>
    <definedName name="_SAP4" localSheetId="18">#REF!</definedName>
    <definedName name="_SAP4">#REF!</definedName>
    <definedName name="_SAP5" localSheetId="0">#REF!</definedName>
    <definedName name="_SAP5" localSheetId="18">#REF!</definedName>
    <definedName name="_SAP5">#REF!</definedName>
    <definedName name="_SAP6" localSheetId="0">#REF!</definedName>
    <definedName name="_SAP6" localSheetId="18">#REF!</definedName>
    <definedName name="_SAP6">#REF!</definedName>
    <definedName name="_SAP7" localSheetId="0">#REF!</definedName>
    <definedName name="_SAP7" localSheetId="18">#REF!</definedName>
    <definedName name="_SAP7">#REF!</definedName>
    <definedName name="_SAP8" localSheetId="0">#REF!</definedName>
    <definedName name="_SAP8" localSheetId="18">#REF!</definedName>
    <definedName name="_SAP8">#REF!</definedName>
    <definedName name="_SAP9" localSheetId="0">#REF!</definedName>
    <definedName name="_SAP9" localSheetId="18">#REF!</definedName>
    <definedName name="_SAP9">#REF!</definedName>
    <definedName name="_sch2" localSheetId="0">#REF!</definedName>
    <definedName name="_sch2" localSheetId="18">#REF!</definedName>
    <definedName name="_sch2">#REF!</definedName>
    <definedName name="_sch9" localSheetId="0">#REF!</definedName>
    <definedName name="_sch9" localSheetId="18">#REF!</definedName>
    <definedName name="_sch9">#REF!</definedName>
    <definedName name="_Sort" localSheetId="0" hidden="1">#REF!</definedName>
    <definedName name="_Sort" localSheetId="18" hidden="1">#REF!</definedName>
    <definedName name="_Sort" hidden="1">#REF!</definedName>
    <definedName name="_sp1" localSheetId="0">#REF!</definedName>
    <definedName name="_sp1" localSheetId="18">#REF!</definedName>
    <definedName name="_sp1">#REF!</definedName>
    <definedName name="_sp10" localSheetId="0">#REF!</definedName>
    <definedName name="_sp10" localSheetId="18">#REF!</definedName>
    <definedName name="_sp10">#REF!</definedName>
    <definedName name="_sp11" localSheetId="0">#REF!</definedName>
    <definedName name="_sp11" localSheetId="18">#REF!</definedName>
    <definedName name="_sp11">#REF!</definedName>
    <definedName name="_sp12" localSheetId="0">#REF!</definedName>
    <definedName name="_sp12" localSheetId="18">#REF!</definedName>
    <definedName name="_sp12">#REF!</definedName>
    <definedName name="_sp13" localSheetId="0">#REF!</definedName>
    <definedName name="_sp13" localSheetId="18">#REF!</definedName>
    <definedName name="_sp13">#REF!</definedName>
    <definedName name="_sp14" localSheetId="0">#REF!</definedName>
    <definedName name="_sp14" localSheetId="18">#REF!</definedName>
    <definedName name="_sp14">#REF!</definedName>
    <definedName name="_sp15" localSheetId="0">#REF!</definedName>
    <definedName name="_sp15" localSheetId="18">#REF!</definedName>
    <definedName name="_sp15">#REF!</definedName>
    <definedName name="_sp2" localSheetId="0">#REF!</definedName>
    <definedName name="_sp2" localSheetId="18">#REF!</definedName>
    <definedName name="_sp2">#REF!</definedName>
    <definedName name="_sp3" localSheetId="0">#REF!</definedName>
    <definedName name="_sp3" localSheetId="18">#REF!</definedName>
    <definedName name="_sp3">#REF!</definedName>
    <definedName name="_sp4" localSheetId="0">#REF!</definedName>
    <definedName name="_sp4" localSheetId="18">#REF!</definedName>
    <definedName name="_sp4">#REF!</definedName>
    <definedName name="_sp5" localSheetId="0">#REF!</definedName>
    <definedName name="_sp5" localSheetId="18">#REF!</definedName>
    <definedName name="_sp5">#REF!</definedName>
    <definedName name="_sp6" localSheetId="0">#REF!</definedName>
    <definedName name="_sp6" localSheetId="18">#REF!</definedName>
    <definedName name="_sp6">#REF!</definedName>
    <definedName name="_sp7" localSheetId="0">#REF!</definedName>
    <definedName name="_sp7" localSheetId="18">#REF!</definedName>
    <definedName name="_sp7">#REF!</definedName>
    <definedName name="_sp8" localSheetId="0">#REF!</definedName>
    <definedName name="_sp8" localSheetId="18">#REF!</definedName>
    <definedName name="_sp8">#REF!</definedName>
    <definedName name="_sp9" localSheetId="0">#REF!</definedName>
    <definedName name="_sp9" localSheetId="18">#REF!</definedName>
    <definedName name="_sp9">#REF!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0">#REF!</definedName>
    <definedName name="_SS402" localSheetId="18">#REF!</definedName>
    <definedName name="_SS402">#REF!</definedName>
    <definedName name="_SS403" localSheetId="0">#REF!</definedName>
    <definedName name="_SS403" localSheetId="18">#REF!</definedName>
    <definedName name="_SS403">#REF!</definedName>
    <definedName name="_SS404" localSheetId="0">#REF!</definedName>
    <definedName name="_SS404" localSheetId="18">#REF!</definedName>
    <definedName name="_SS404">#REF!</definedName>
    <definedName name="_SS405" localSheetId="0">#REF!</definedName>
    <definedName name="_SS405" localSheetId="18">#REF!</definedName>
    <definedName name="_SS405">#REF!</definedName>
    <definedName name="_SS406" localSheetId="0">#REF!</definedName>
    <definedName name="_SS406" localSheetId="18">#REF!</definedName>
    <definedName name="_SS406">#REF!</definedName>
    <definedName name="_SS407" localSheetId="0">#REF!</definedName>
    <definedName name="_SS407" localSheetId="18">#REF!</definedName>
    <definedName name="_SS407">#REF!</definedName>
    <definedName name="_SS408" localSheetId="0">#REF!</definedName>
    <definedName name="_SS408" localSheetId="18">#REF!</definedName>
    <definedName name="_SS408">#REF!</definedName>
    <definedName name="_SS409" localSheetId="0">#REF!</definedName>
    <definedName name="_SS409" localSheetId="18">#REF!</definedName>
    <definedName name="_SS409">#REF!</definedName>
    <definedName name="_SS423" localSheetId="0">#REF!</definedName>
    <definedName name="_SS423" localSheetId="18">#REF!</definedName>
    <definedName name="_SS423">#REF!</definedName>
    <definedName name="_SS424" localSheetId="0">#REF!</definedName>
    <definedName name="_SS424" localSheetId="18">#REF!</definedName>
    <definedName name="_SS424">#REF!</definedName>
    <definedName name="_TAB1">#REF!</definedName>
    <definedName name="_tab3" localSheetId="0">#REF!</definedName>
    <definedName name="_tab3" localSheetId="18">#REF!</definedName>
    <definedName name="_tab3">#REF!</definedName>
    <definedName name="_tab8" localSheetId="0">#REF!</definedName>
    <definedName name="_tab8" localSheetId="18">#REF!</definedName>
    <definedName name="_tab8">#REF!</definedName>
    <definedName name="_try1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0">#REF!</definedName>
    <definedName name="a" localSheetId="18">#REF!</definedName>
    <definedName name="a">#REF!</definedName>
    <definedName name="a0">#REF!</definedName>
    <definedName name="A1_" localSheetId="0">#REF!</definedName>
    <definedName name="A1_" localSheetId="18">#REF!</definedName>
    <definedName name="A1_">#REF!</definedName>
    <definedName name="A10_" localSheetId="0">#REF!</definedName>
    <definedName name="A10_" localSheetId="18">#REF!</definedName>
    <definedName name="A10_">#REF!</definedName>
    <definedName name="A13_" localSheetId="0">#REF!</definedName>
    <definedName name="A13_" localSheetId="18">#REF!</definedName>
    <definedName name="A13_">#REF!</definedName>
    <definedName name="A1HELLO">#REF!</definedName>
    <definedName name="A2_" localSheetId="0">#REF!</definedName>
    <definedName name="A2_" localSheetId="18">#REF!</definedName>
    <definedName name="A2_">#REF!</definedName>
    <definedName name="A2hello">#REF!</definedName>
    <definedName name="A3_" localSheetId="0">#REF!</definedName>
    <definedName name="A3_" localSheetId="18">#REF!</definedName>
    <definedName name="A3_">#REF!</definedName>
    <definedName name="A4_" localSheetId="0">#REF!</definedName>
    <definedName name="A4_" localSheetId="18">#REF!</definedName>
    <definedName name="A4_">#REF!</definedName>
    <definedName name="A5_" localSheetId="0">#REF!</definedName>
    <definedName name="A5_" localSheetId="18">#REF!</definedName>
    <definedName name="A5_">#REF!</definedName>
    <definedName name="A6_" localSheetId="0">#REF!</definedName>
    <definedName name="A6_" localSheetId="18">#REF!</definedName>
    <definedName name="A6_">#REF!</definedName>
    <definedName name="A65379A10" localSheetId="0">#REF!</definedName>
    <definedName name="A65379A10" localSheetId="18">#REF!</definedName>
    <definedName name="A65379A10">#REF!</definedName>
    <definedName name="A7_" localSheetId="0">#REF!</definedName>
    <definedName name="A7_" localSheetId="18">#REF!</definedName>
    <definedName name="A7_">#REF!</definedName>
    <definedName name="A8_" localSheetId="0">#REF!</definedName>
    <definedName name="A8_" localSheetId="18">#REF!</definedName>
    <definedName name="A8_">#REF!</definedName>
    <definedName name="A9_" localSheetId="0">#REF!</definedName>
    <definedName name="A9_" localSheetId="18">#REF!</definedName>
    <definedName name="A9_">#REF!</definedName>
    <definedName name="AA" localSheetId="0">#REF!</definedName>
    <definedName name="AA" localSheetId="18">#REF!</definedName>
    <definedName name="AA">#REF!</definedName>
    <definedName name="aaa" localSheetId="0">#REF!</definedName>
    <definedName name="aaa" localSheetId="18">#REF!</definedName>
    <definedName name="aaa">#REF!</definedName>
    <definedName name="AAAA">#REF!</definedName>
    <definedName name="AABC" localSheetId="0">#REF!</definedName>
    <definedName name="AABC" localSheetId="18">#REF!</definedName>
    <definedName name="AABC">#REF!</definedName>
    <definedName name="ab" localSheetId="0">#REF!</definedName>
    <definedName name="ab" localSheetId="18">#REF!</definedName>
    <definedName name="ab">#REF!</definedName>
    <definedName name="ABACUS" localSheetId="0">#REF!</definedName>
    <definedName name="ABACUS" localSheetId="18">#REF!</definedName>
    <definedName name="ABACUS">#REF!</definedName>
    <definedName name="abc" localSheetId="0">#REF!</definedName>
    <definedName name="abc" localSheetId="18">#REF!</definedName>
    <definedName name="abc">#REF!</definedName>
    <definedName name="ABCd">#REF!</definedName>
    <definedName name="AboveAvgGrowth" localSheetId="0">#REF!</definedName>
    <definedName name="AboveAvgGrowth" localSheetId="18">#REF!</definedName>
    <definedName name="AboveAvgGrowth">#REF!</definedName>
    <definedName name="AC" localSheetId="0">#REF!</definedName>
    <definedName name="AC" localSheetId="18">#REF!</definedName>
    <definedName name="AC">#REF!</definedName>
    <definedName name="AC_disc" localSheetId="0">#REF!</definedName>
    <definedName name="AC_disc" localSheetId="18">#REF!</definedName>
    <definedName name="AC_disc">#REF!</definedName>
    <definedName name="acc" localSheetId="0">#REF!</definedName>
    <definedName name="acc" localSheetId="18">#REF!</definedName>
    <definedName name="acc">#REF!</definedName>
    <definedName name="ACCABLESNOTINSY" localSheetId="0">#REF!</definedName>
    <definedName name="ACCABLESNOTINSY" localSheetId="18">#REF!</definedName>
    <definedName name="ACCABLESNOTINSY">#REF!</definedName>
    <definedName name="accp">#REF!</definedName>
    <definedName name="Act_Gp">#REF!</definedName>
    <definedName name="ADFD" localSheetId="0">#REF!</definedName>
    <definedName name="ADFD" localSheetId="18">#REF!</definedName>
    <definedName name="ADFD">#REF!</definedName>
    <definedName name="adj" localSheetId="0">#REF!</definedName>
    <definedName name="adj" localSheetId="18">#REF!</definedName>
    <definedName name="adj">#REF!</definedName>
    <definedName name="ADosCountries" localSheetId="18">#REF!</definedName>
    <definedName name="ADosCountries">#REF!</definedName>
    <definedName name="ADVIK">#REF!</definedName>
    <definedName name="AF_00" localSheetId="0">#REF!</definedName>
    <definedName name="AF_00" localSheetId="18">#REF!</definedName>
    <definedName name="AF_00">#REF!</definedName>
    <definedName name="AF_01" localSheetId="0">#REF!</definedName>
    <definedName name="AF_01" localSheetId="18">#REF!</definedName>
    <definedName name="AF_01">#REF!</definedName>
    <definedName name="AF_02" localSheetId="0">#REF!</definedName>
    <definedName name="AF_02" localSheetId="18">#REF!</definedName>
    <definedName name="AF_02">#REF!</definedName>
    <definedName name="AF_98" localSheetId="0">#REF!</definedName>
    <definedName name="AF_98" localSheetId="18">#REF!</definedName>
    <definedName name="AF_98">#REF!</definedName>
    <definedName name="AF_99" localSheetId="0">#REF!</definedName>
    <definedName name="AF_99" localSheetId="18">#REF!</definedName>
    <definedName name="AF_99">#REF!</definedName>
    <definedName name="AF_M_98">#REF!</definedName>
    <definedName name="AF_M_99">#REF!</definedName>
    <definedName name="Ag" localSheetId="0">#REF!</definedName>
    <definedName name="Ag" localSheetId="18">#REF!</definedName>
    <definedName name="Ag">#REF!</definedName>
    <definedName name="agra" localSheetId="0">#REF!</definedName>
    <definedName name="agra" localSheetId="18">#REF!</definedName>
    <definedName name="agra">#REF!</definedName>
    <definedName name="AICC_Serv" localSheetId="0">#REF!</definedName>
    <definedName name="AICC_Serv" localSheetId="18">#REF!</definedName>
    <definedName name="AICC_Serv">#REF!</definedName>
    <definedName name="AirConditioning" localSheetId="0">#REF!</definedName>
    <definedName name="AirConditioning" localSheetId="18">#REF!</definedName>
    <definedName name="AirConditioning">#REF!</definedName>
    <definedName name="ak" localSheetId="0">#REF!</definedName>
    <definedName name="ak" localSheetId="18">#REF!</definedName>
    <definedName name="ak">#REF!</definedName>
    <definedName name="alarms" localSheetId="0">#REF!</definedName>
    <definedName name="alarms" localSheetId="18">#REF!</definedName>
    <definedName name="alarms">#REF!</definedName>
    <definedName name="alpha">#REF!</definedName>
    <definedName name="alpha_disc" localSheetId="0">#REF!</definedName>
    <definedName name="alpha_disc" localSheetId="18">#REF!</definedName>
    <definedName name="alpha_disc">#REF!</definedName>
    <definedName name="alpha_ed" localSheetId="0">#REF!</definedName>
    <definedName name="alpha_ed" localSheetId="18">#REF!</definedName>
    <definedName name="alpha_ed">#REF!</definedName>
    <definedName name="Alw" localSheetId="0">#REF!</definedName>
    <definedName name="Alw" localSheetId="18">#REF!</definedName>
    <definedName name="Alw">#REF!</definedName>
    <definedName name="AMACountries" localSheetId="18">#REF!</definedName>
    <definedName name="AMACountries">#REF!</definedName>
    <definedName name="Amit" localSheetId="0">#REF!</definedName>
    <definedName name="Amit" localSheetId="18">#REF!</definedName>
    <definedName name="Amit">#REF!</definedName>
    <definedName name="AMN" localSheetId="0">#REF!</definedName>
    <definedName name="AMN" localSheetId="18">#REF!</definedName>
    <definedName name="AMN">#REF!</definedName>
    <definedName name="analysis">#REF!</definedName>
    <definedName name="angle_bracket1">#REF!</definedName>
    <definedName name="ANNEX" localSheetId="0">#REF!</definedName>
    <definedName name="ANNEX" localSheetId="18">#REF!</definedName>
    <definedName name="ANNEX">#REF!</definedName>
    <definedName name="ANNEX1">#REF!</definedName>
    <definedName name="ANNEX4" localSheetId="0">#REF!</definedName>
    <definedName name="ANNEX4" localSheetId="18">#REF!</definedName>
    <definedName name="ANNEX4">#REF!</definedName>
    <definedName name="annex4.1" localSheetId="0">#REF!</definedName>
    <definedName name="annex4.1" localSheetId="18">#REF!</definedName>
    <definedName name="annex4.1">#REF!</definedName>
    <definedName name="annex4.1a" localSheetId="0">#REF!</definedName>
    <definedName name="annex4.1a" localSheetId="18">#REF!</definedName>
    <definedName name="annex4.1a">#REF!</definedName>
    <definedName name="ANNEX4A" localSheetId="0">#REF!</definedName>
    <definedName name="ANNEX4A" localSheetId="18">#REF!</definedName>
    <definedName name="ANNEX4A">#REF!</definedName>
    <definedName name="ANNEX5" localSheetId="0">#REF!</definedName>
    <definedName name="ANNEX5" localSheetId="18">#REF!</definedName>
    <definedName name="ANNEX5">#REF!</definedName>
    <definedName name="annex6">#REF!</definedName>
    <definedName name="annexure_A" localSheetId="0">#REF!</definedName>
    <definedName name="annexure_A" localSheetId="18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0">#REF!</definedName>
    <definedName name="ANNEXURE4A" localSheetId="18">#REF!</definedName>
    <definedName name="ANNEXURE4A">#REF!</definedName>
    <definedName name="anscount" hidden="1">1</definedName>
    <definedName name="app">#REF!</definedName>
    <definedName name="Approach">#REF!</definedName>
    <definedName name="arch">#REF!</definedName>
    <definedName name="as" localSheetId="0">#REF!</definedName>
    <definedName name="as" localSheetId="18">#REF!</definedName>
    <definedName name="as">#REF!</definedName>
    <definedName name="AS_disc" localSheetId="0">#REF!</definedName>
    <definedName name="AS_disc" localSheetId="18">#REF!</definedName>
    <definedName name="AS_disc">#REF!</definedName>
    <definedName name="As_percentage" localSheetId="0">#REF!</definedName>
    <definedName name="As_percentage" localSheetId="18">#REF!</definedName>
    <definedName name="As_percentage">#REF!</definedName>
    <definedName name="Asc" localSheetId="0">#REF!</definedName>
    <definedName name="Asc" localSheetId="18">#REF!</definedName>
    <definedName name="Asc">#REF!</definedName>
    <definedName name="asdfd" localSheetId="0">#REF!</definedName>
    <definedName name="asdfd" localSheetId="18">#REF!</definedName>
    <definedName name="asdfd">#REF!</definedName>
    <definedName name="asdsad" localSheetId="0">#REF!</definedName>
    <definedName name="asdsad" localSheetId="18">#REF!</definedName>
    <definedName name="asdsad">#REF!</definedName>
    <definedName name="Assetno" localSheetId="0">#REF!</definedName>
    <definedName name="Assetno" localSheetId="18">#REF!</definedName>
    <definedName name="Assetno">#REF!</definedName>
    <definedName name="assets" localSheetId="0">#REF!</definedName>
    <definedName name="assets" localSheetId="18">#REF!</definedName>
    <definedName name="assets">#REF!</definedName>
    <definedName name="Ast" localSheetId="0">#REF!</definedName>
    <definedName name="Ast" localSheetId="18">#REF!</definedName>
    <definedName name="Ast">#REF!</definedName>
    <definedName name="Ast_prv">#REF!</definedName>
    <definedName name="AUD" localSheetId="0">#REF!</definedName>
    <definedName name="AUD" localSheetId="18">#REF!</definedName>
    <definedName name="AUD">#REF!</definedName>
    <definedName name="AurobindoDossier" localSheetId="18">#REF!</definedName>
    <definedName name="AurobindoDossier">#REF!</definedName>
    <definedName name="AurobindoMA" localSheetId="18">#REF!</definedName>
    <definedName name="AurobindoMA">#REF!</definedName>
    <definedName name="Aux.items" localSheetId="0">#REF!</definedName>
    <definedName name="Aux.items" localSheetId="18">#REF!</definedName>
    <definedName name="Aux.items">#REF!</definedName>
    <definedName name="Avg_Strike_Size">#REF!</definedName>
    <definedName name="AvgGrowth" localSheetId="0">#REF!</definedName>
    <definedName name="AvgGrowth" localSheetId="18">#REF!</definedName>
    <definedName name="AvgGrowth">#REF!</definedName>
    <definedName name="ax">#REF!</definedName>
    <definedName name="ay">#REF!</definedName>
    <definedName name="azsa" localSheetId="0" hidden="1">{"'PROFITABILITY'!$A$1:$F$45"}</definedName>
    <definedName name="azsa" localSheetId="12" hidden="1">{"'PROFITABILITY'!$A$1:$F$45"}</definedName>
    <definedName name="azsa" localSheetId="10" hidden="1">{"'PROFITABILITY'!$A$1:$F$45"}</definedName>
    <definedName name="azsa" localSheetId="18" hidden="1">{"'PROFITABILITY'!$A$1:$F$45"}</definedName>
    <definedName name="azsa" localSheetId="13" hidden="1">{"'PROFITABILITY'!$A$1:$F$45"}</definedName>
    <definedName name="azsa" hidden="1">{"'PROFITABILITY'!$A$1:$F$45"}</definedName>
    <definedName name="B" localSheetId="0">#REF!</definedName>
    <definedName name="B" localSheetId="18">#REF!</definedName>
    <definedName name="B">#REF!</definedName>
    <definedName name="base_dep" localSheetId="0">#REF!</definedName>
    <definedName name="base_dep" localSheetId="18">#REF!</definedName>
    <definedName name="base_dep">#REF!</definedName>
    <definedName name="base_len" localSheetId="0">#REF!</definedName>
    <definedName name="base_len" localSheetId="18">#REF!</definedName>
    <definedName name="base_len">#REF!</definedName>
    <definedName name="base_wid" localSheetId="0">#REF!</definedName>
    <definedName name="base_wid" localSheetId="18">#REF!</definedName>
    <definedName name="base_wid">#REF!</definedName>
    <definedName name="Baseline" localSheetId="0">#REF!</definedName>
    <definedName name="Baseline" localSheetId="18">#REF!</definedName>
    <definedName name="Baseline">#REF!</definedName>
    <definedName name="basic_rtu" localSheetId="0">#REF!</definedName>
    <definedName name="basic_rtu" localSheetId="18">#REF!</definedName>
    <definedName name="basic_rtu">#REF!</definedName>
    <definedName name="bb">#REF!</definedName>
    <definedName name="bc" localSheetId="0">#REF!</definedName>
    <definedName name="bc" localSheetId="18">#REF!</definedName>
    <definedName name="bc">#REF!</definedName>
    <definedName name="Benefits" localSheetId="0">#REF!</definedName>
    <definedName name="Benefits" localSheetId="18">#REF!</definedName>
    <definedName name="Benefits">#REF!</definedName>
    <definedName name="beta" localSheetId="0">#REF!</definedName>
    <definedName name="beta" localSheetId="18">#REF!</definedName>
    <definedName name="beta">#REF!</definedName>
    <definedName name="Bf">#REF!</definedName>
    <definedName name="BG" localSheetId="0">#REF!</definedName>
    <definedName name="BG" localSheetId="18">#REF!</definedName>
    <definedName name="BG">#REF!</definedName>
    <definedName name="BG_CHGS" localSheetId="0">#REF!</definedName>
    <definedName name="BG_CHGS" localSheetId="18">#REF!</definedName>
    <definedName name="BG_CHGS">#REF!</definedName>
    <definedName name="BG_RATE" localSheetId="0">#REF!</definedName>
    <definedName name="BG_RATE" localSheetId="18">#REF!</definedName>
    <definedName name="BG_RATE">#REF!</definedName>
    <definedName name="bhbhb" localSheetId="0">#REF!</definedName>
    <definedName name="bhbhb" localSheetId="18">#REF!</definedName>
    <definedName name="bhbhb">#REF!</definedName>
    <definedName name="bhdbdhd" localSheetId="18">#REF!</definedName>
    <definedName name="bhdbdhd">#REF!</definedName>
    <definedName name="biddername" localSheetId="0">#REF!</definedName>
    <definedName name="biddername" localSheetId="18">#REF!</definedName>
    <definedName name="biddername">#REF!</definedName>
    <definedName name="Bilu" localSheetId="0">#REF!</definedName>
    <definedName name="Bilu" localSheetId="18">#REF!</definedName>
    <definedName name="Bilu">#REF!</definedName>
    <definedName name="Bilu2" localSheetId="0">#REF!</definedName>
    <definedName name="Bilu2" localSheetId="18">#REF!</definedName>
    <definedName name="Bilu2">#REF!</definedName>
    <definedName name="Bilu3" localSheetId="0">#REF!</definedName>
    <definedName name="Bilu3" localSheetId="18">#REF!</definedName>
    <definedName name="Bilu3">#REF!</definedName>
    <definedName name="BKS" localSheetId="0">#REF!</definedName>
    <definedName name="BKS" localSheetId="18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0">#REF!</definedName>
    <definedName name="BNLM" localSheetId="18">#REF!</definedName>
    <definedName name="BNLM">#REF!</definedName>
    <definedName name="boisar">#REF!</definedName>
    <definedName name="BOISAR_BAYWISE" localSheetId="0">#REF!</definedName>
    <definedName name="BOISAR_BAYWISE" localSheetId="18">#REF!</definedName>
    <definedName name="BOISAR_BAYWISE">#REF!</definedName>
    <definedName name="bom" localSheetId="0">#REF!</definedName>
    <definedName name="bom" localSheetId="18">#REF!</definedName>
    <definedName name="bom">#REF!</definedName>
    <definedName name="BOMBAY">#REF!</definedName>
    <definedName name="BONPSCHE" localSheetId="18">#REF!</definedName>
    <definedName name="BONPSCHE">#REF!</definedName>
    <definedName name="botn">#REF!</definedName>
    <definedName name="bps" localSheetId="0">#REF!</definedName>
    <definedName name="bps" localSheetId="18">#REF!</definedName>
    <definedName name="bps">#REF!</definedName>
    <definedName name="BR_Resou">#REF!</definedName>
    <definedName name="bs" localSheetId="0">#REF!</definedName>
    <definedName name="bs" localSheetId="18">#REF!</definedName>
    <definedName name="bs">#REF!</definedName>
    <definedName name="BSS">#REF!</definedName>
    <definedName name="btb_musd">#REF!</definedName>
    <definedName name="bua">#REF!</definedName>
    <definedName name="building">#REF!</definedName>
    <definedName name="BULIST">#REF!</definedName>
    <definedName name="Bx" localSheetId="0">#REF!</definedName>
    <definedName name="Bx" localSheetId="18">#REF!</definedName>
    <definedName name="Bx">#REF!</definedName>
    <definedName name="C_" localSheetId="0">#REF!</definedName>
    <definedName name="C_" localSheetId="18">#REF!</definedName>
    <definedName name="C_">#REF!</definedName>
    <definedName name="cA" localSheetId="0">#REF!</definedName>
    <definedName name="cA" localSheetId="18">#REF!</definedName>
    <definedName name="cA">#REF!</definedName>
    <definedName name="CABLE" localSheetId="0">#REF!</definedName>
    <definedName name="CABLE" localSheetId="18">#REF!</definedName>
    <definedName name="CABLE">#REF!</definedName>
    <definedName name="camber">#REF!</definedName>
    <definedName name="camber_sides">#REF!</definedName>
    <definedName name="cant">#REF!</definedName>
    <definedName name="Cap" localSheetId="0">#REF!</definedName>
    <definedName name="Cap" localSheetId="18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rpet" localSheetId="0">#REF!</definedName>
    <definedName name="carpet" localSheetId="18">#REF!</definedName>
    <definedName name="carpet">#REF!</definedName>
    <definedName name="Case" localSheetId="0">#REF!</definedName>
    <definedName name="Case" localSheetId="18">#REF!</definedName>
    <definedName name="Case">#REF!</definedName>
    <definedName name="CBISO" localSheetId="0">#REF!</definedName>
    <definedName name="CBISO" localSheetId="18">#REF!</definedName>
    <definedName name="CBISO">#REF!</definedName>
    <definedName name="CBISO145" localSheetId="0">#REF!</definedName>
    <definedName name="CBISO145" localSheetId="18">#REF!</definedName>
    <definedName name="CBISO145">#REF!</definedName>
    <definedName name="CBISO245" localSheetId="0">#REF!</definedName>
    <definedName name="CBISO245" localSheetId="18">#REF!</definedName>
    <definedName name="CBISO245">#REF!</definedName>
    <definedName name="cc" localSheetId="0">#REF!</definedName>
    <definedName name="cc" localSheetId="18">#REF!</definedName>
    <definedName name="cc">#REF!</definedName>
    <definedName name="CCC" localSheetId="0">#REF!</definedName>
    <definedName name="CCC" localSheetId="18">#REF!</definedName>
    <definedName name="CCC">#REF!</definedName>
    <definedName name="Ccu" localSheetId="0">#REF!</definedName>
    <definedName name="Ccu" localSheetId="18">#REF!</definedName>
    <definedName name="Ccu">#REF!</definedName>
    <definedName name="cd" localSheetId="0">#REF!</definedName>
    <definedName name="cd" localSheetId="18">#REF!</definedName>
    <definedName name="cd">#REF!</definedName>
    <definedName name="CD_HW" localSheetId="0">#REF!</definedName>
    <definedName name="CD_HW" localSheetId="18">#REF!</definedName>
    <definedName name="CD_HW">#REF!</definedName>
    <definedName name="CD_SPLADL" localSheetId="0">#REF!</definedName>
    <definedName name="CD_SPLADL" localSheetId="18">#REF!</definedName>
    <definedName name="CD_SPLADL">#REF!</definedName>
    <definedName name="CD_SW" localSheetId="0">#REF!</definedName>
    <definedName name="CD_SW" localSheetId="18">#REF!</definedName>
    <definedName name="CD_SW">#REF!</definedName>
    <definedName name="ce" localSheetId="0">#REF!</definedName>
    <definedName name="ce" localSheetId="18">#REF!</definedName>
    <definedName name="ce">#REF!</definedName>
    <definedName name="ced">#REF!</definedName>
    <definedName name="CED_BOHW" localSheetId="0">#REF!</definedName>
    <definedName name="CED_BOHW" localSheetId="18">#REF!</definedName>
    <definedName name="CED_BOHW">#REF!</definedName>
    <definedName name="CED_BOSW" localSheetId="0">#REF!</definedName>
    <definedName name="CED_BOSW" localSheetId="18">#REF!</definedName>
    <definedName name="CED_BOSW">#REF!</definedName>
    <definedName name="CED_IDTOHW" localSheetId="0">#REF!</definedName>
    <definedName name="CED_IDTOHW" localSheetId="18">#REF!</definedName>
    <definedName name="CED_IDTOHW">#REF!</definedName>
    <definedName name="CED_IDTOSW" localSheetId="0">#REF!</definedName>
    <definedName name="CED_IDTOSW" localSheetId="18">#REF!</definedName>
    <definedName name="CED_IDTOSW">#REF!</definedName>
    <definedName name="ced_own" localSheetId="0">#REF!</definedName>
    <definedName name="ced_own" localSheetId="18">#REF!</definedName>
    <definedName name="ced_own">#REF!</definedName>
    <definedName name="CED_OWNHW" localSheetId="0">#REF!</definedName>
    <definedName name="CED_OWNHW" localSheetId="18">#REF!</definedName>
    <definedName name="CED_OWNHW">#REF!</definedName>
    <definedName name="CED_OWNSW" localSheetId="0">#REF!</definedName>
    <definedName name="CED_OWNSW" localSheetId="18">#REF!</definedName>
    <definedName name="CED_OWNSW">#REF!</definedName>
    <definedName name="CED_pc" localSheetId="0">#REF!</definedName>
    <definedName name="CED_pc" localSheetId="18">#REF!</definedName>
    <definedName name="CED_pc">#REF!</definedName>
    <definedName name="CED_SW" localSheetId="0">#REF!</definedName>
    <definedName name="CED_SW" localSheetId="18">#REF!</definedName>
    <definedName name="CED_SW">#REF!</definedName>
    <definedName name="ced_tr" localSheetId="0">#REF!</definedName>
    <definedName name="ced_tr" localSheetId="18">#REF!</definedName>
    <definedName name="ced_tr">#REF!</definedName>
    <definedName name="CED_TRHW" localSheetId="0">#REF!</definedName>
    <definedName name="CED_TRHW" localSheetId="18">#REF!</definedName>
    <definedName name="CED_TRHW">#REF!</definedName>
    <definedName name="CED_TRSW" localSheetId="0">#REF!</definedName>
    <definedName name="CED_TRSW" localSheetId="18">#REF!</definedName>
    <definedName name="CED_TRSW">#REF!</definedName>
    <definedName name="cf_musd">#REF!</definedName>
    <definedName name="ch_area1">#REF!</definedName>
    <definedName name="ch_area2">#REF!</definedName>
    <definedName name="ch_area3">#REF!</definedName>
    <definedName name="ch_area4">#REF!</definedName>
    <definedName name="CheckDate" localSheetId="0">#REF!</definedName>
    <definedName name="CheckDate" localSheetId="18">#REF!</definedName>
    <definedName name="CheckDate">#REF!</definedName>
    <definedName name="chf" localSheetId="0">#REF!</definedName>
    <definedName name="chf" localSheetId="18">#REF!</definedName>
    <definedName name="chf">#REF!</definedName>
    <definedName name="chk" localSheetId="0">#REF!</definedName>
    <definedName name="chk" localSheetId="18">#REF!</definedName>
    <definedName name="chk">#REF!</definedName>
    <definedName name="CIF_ABB_Imp" localSheetId="0">#REF!</definedName>
    <definedName name="CIF_ABB_Imp" localSheetId="18">#REF!</definedName>
    <definedName name="CIF_ABB_Imp">#REF!</definedName>
    <definedName name="CIF_ABB_local" localSheetId="0">#REF!</definedName>
    <definedName name="CIF_ABB_local" localSheetId="18">#REF!</definedName>
    <definedName name="CIF_ABB_local">#REF!</definedName>
    <definedName name="CIF_ABB_peenya" localSheetId="0">#REF!</definedName>
    <definedName name="CIF_ABB_peenya" localSheetId="18">#REF!</definedName>
    <definedName name="CIF_ABB_peenya">#REF!</definedName>
    <definedName name="CIF_AIC_Imp" localSheetId="0">#REF!</definedName>
    <definedName name="CIF_AIC_Imp" localSheetId="18">#REF!</definedName>
    <definedName name="CIF_AIC_Imp">#REF!</definedName>
    <definedName name="CIF_AIC_local" localSheetId="0">#REF!</definedName>
    <definedName name="CIF_AIC_local" localSheetId="18">#REF!</definedName>
    <definedName name="CIF_AIC_local">#REF!</definedName>
    <definedName name="CIF_NonABB_Imp" localSheetId="0">#REF!</definedName>
    <definedName name="CIF_NonABB_Imp" localSheetId="18">#REF!</definedName>
    <definedName name="CIF_NonABB_Imp">#REF!</definedName>
    <definedName name="CIF_NonABB_local" localSheetId="0">#REF!</definedName>
    <definedName name="CIF_NonABB_local" localSheetId="18">#REF!</definedName>
    <definedName name="CIF_NonABB_local">#REF!</definedName>
    <definedName name="civil" localSheetId="0">#REF!</definedName>
    <definedName name="civil" localSheetId="18">#REF!</definedName>
    <definedName name="civil">#REF!</definedName>
    <definedName name="Cl" localSheetId="0">#REF!</definedName>
    <definedName name="Cl" localSheetId="18">#REF!</definedName>
    <definedName name="Cl">#REF!</definedName>
    <definedName name="Clear" localSheetId="18">#REF!</definedName>
    <definedName name="Clear">#REF!</definedName>
    <definedName name="Clearance">#REF!</definedName>
    <definedName name="Clusters" localSheetId="0">#REF!</definedName>
    <definedName name="Clusters" localSheetId="18">#REF!</definedName>
    <definedName name="Clusters">#REF!</definedName>
    <definedName name="CODE">#REF!</definedName>
    <definedName name="COE" localSheetId="18">#REF!</definedName>
    <definedName name="COE">#REF!</definedName>
    <definedName name="COGSTYPE">#REF!</definedName>
    <definedName name="col" localSheetId="0">#REF!</definedName>
    <definedName name="col" localSheetId="18">#REF!</definedName>
    <definedName name="col">#REF!</definedName>
    <definedName name="collection" localSheetId="0">#REF!</definedName>
    <definedName name="collection" localSheetId="18">#REF!</definedName>
    <definedName name="collection">#REF!</definedName>
    <definedName name="COLLSTATUS" localSheetId="0">#REF!</definedName>
    <definedName name="COLLSTATUS" localSheetId="18">#REF!</definedName>
    <definedName name="COLLSTATUS">#REF!</definedName>
    <definedName name="collstatuspage1" localSheetId="0">#REF!</definedName>
    <definedName name="collstatuspage1" localSheetId="18">#REF!</definedName>
    <definedName name="collstatuspage1">#REF!</definedName>
    <definedName name="collstatuspage2" localSheetId="0">#REF!</definedName>
    <definedName name="collstatuspage2" localSheetId="18">#REF!</definedName>
    <definedName name="collstatuspage2">#REF!</definedName>
    <definedName name="COMMERCIALDISCOUNT" localSheetId="0">#REF!</definedName>
    <definedName name="COMMERCIALDISCOUNT" localSheetId="18">#REF!</definedName>
    <definedName name="COMMERCIALDISCOUNT">#REF!</definedName>
    <definedName name="commn">#REF!</definedName>
    <definedName name="comp" localSheetId="0">#REF!</definedName>
    <definedName name="comp" localSheetId="18">#REF!</definedName>
    <definedName name="comp">#REF!</definedName>
    <definedName name="company" localSheetId="0">#REF!</definedName>
    <definedName name="company" localSheetId="18">#REF!</definedName>
    <definedName name="company">#REF!</definedName>
    <definedName name="Compression" localSheetId="0">#REF!</definedName>
    <definedName name="Compression" localSheetId="18">#REF!</definedName>
    <definedName name="Compression">#REF!</definedName>
    <definedName name="concretegrade" localSheetId="0">#REF!</definedName>
    <definedName name="concretegrade" localSheetId="18">#REF!</definedName>
    <definedName name="concretegrade">#REF!</definedName>
    <definedName name="consultant_consultant_referrals">#REF!,#REF!,#REF!</definedName>
    <definedName name="CONTENTS" localSheetId="0">#REF!</definedName>
    <definedName name="CONTENTS" localSheetId="18">#REF!</definedName>
    <definedName name="CONTENTS">#REF!</definedName>
    <definedName name="COO">#REF!</definedName>
    <definedName name="cookie" localSheetId="0">#REF!</definedName>
    <definedName name="cookie" localSheetId="20">#REF!</definedName>
    <definedName name="cookie" localSheetId="18">#REF!</definedName>
    <definedName name="cookie" localSheetId="8">#REF!</definedName>
    <definedName name="cookie">#REF!</definedName>
    <definedName name="cookie1" localSheetId="0">#REF!</definedName>
    <definedName name="cookie1" localSheetId="20">#REF!</definedName>
    <definedName name="cookie1" localSheetId="18">#REF!</definedName>
    <definedName name="cookie1" localSheetId="8">#REF!</definedName>
    <definedName name="cookie1">#REF!</definedName>
    <definedName name="COPY_OUTPUT" localSheetId="0">#REF!</definedName>
    <definedName name="COPY_OUTPUT" localSheetId="18">#REF!</definedName>
    <definedName name="COPY_OUTPUT">#REF!</definedName>
    <definedName name="cost" localSheetId="0">'765KV TA 414 VNTL'!cost</definedName>
    <definedName name="cost" localSheetId="12">#N/A</definedName>
    <definedName name="cost" localSheetId="10">#N/A</definedName>
    <definedName name="cost" localSheetId="18">'Stringing Compiled'!cost</definedName>
    <definedName name="cost" localSheetId="13">#N/A</definedName>
    <definedName name="cost">'765KV TA 414 VNTL'!cost</definedName>
    <definedName name="Cost__Ex_Works">#REF!</definedName>
    <definedName name="COSTVARIANCE" hidden="1">#REF!</definedName>
    <definedName name="COU" localSheetId="0">#REF!</definedName>
    <definedName name="COU" localSheetId="18">#REF!</definedName>
    <definedName name="COU">#REF!</definedName>
    <definedName name="countries" localSheetId="18">#REF!</definedName>
    <definedName name="countries">#REF!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 localSheetId="0">#REF!</definedName>
    <definedName name="CPRP" localSheetId="18">#REF!</definedName>
    <definedName name="CPRP">#REF!</definedName>
    <definedName name="cprp_lucknow" localSheetId="0">#REF!</definedName>
    <definedName name="cprp_lucknow" localSheetId="18">#REF!</definedName>
    <definedName name="cprp_lucknow">#REF!</definedName>
    <definedName name="cprp_mandola" localSheetId="0">#REF!</definedName>
    <definedName name="cprp_mandola" localSheetId="18">#REF!</definedName>
    <definedName name="cprp_mandola">#REF!</definedName>
    <definedName name="cr">#REF!</definedName>
    <definedName name="CRB" localSheetId="0">#REF!</definedName>
    <definedName name="CRB" localSheetId="18">#REF!</definedName>
    <definedName name="CRB">#REF!</definedName>
    <definedName name="CRP_Barelliey" localSheetId="0">#REF!</definedName>
    <definedName name="CRP_Barelliey" localSheetId="18">#REF!</definedName>
    <definedName name="CRP_Barelliey">#REF!</definedName>
    <definedName name="CRP_Unnao" localSheetId="0">#REF!</definedName>
    <definedName name="CRP_Unnao" localSheetId="18">#REF!</definedName>
    <definedName name="CRP_Unnao">#REF!</definedName>
    <definedName name="CRRSEP" localSheetId="0">#REF!</definedName>
    <definedName name="CRRSEP" localSheetId="18">#REF!</definedName>
    <definedName name="CRRSEP">#REF!</definedName>
    <definedName name="Crude_Oil_Price">#REF!</definedName>
    <definedName name="CS">#REF!</definedName>
    <definedName name="cst" localSheetId="0">#REF!</definedName>
    <definedName name="cst" localSheetId="18">#REF!</definedName>
    <definedName name="cst">#REF!</definedName>
    <definedName name="CST_BO" localSheetId="0">#REF!</definedName>
    <definedName name="CST_BO" localSheetId="18">#REF!</definedName>
    <definedName name="CST_BO">#REF!</definedName>
    <definedName name="CST_IDTO" localSheetId="0">#REF!</definedName>
    <definedName name="CST_IDTO" localSheetId="18">#REF!</definedName>
    <definedName name="CST_IDTO">#REF!</definedName>
    <definedName name="CST_OWN" localSheetId="0">#REF!</definedName>
    <definedName name="CST_OWN" localSheetId="18">#REF!</definedName>
    <definedName name="CST_OWN">#REF!</definedName>
    <definedName name="CST_TR" localSheetId="0">#REF!</definedName>
    <definedName name="CST_TR" localSheetId="18">#REF!</definedName>
    <definedName name="CST_TR">#REF!</definedName>
    <definedName name="current1" localSheetId="0">#REF!</definedName>
    <definedName name="current1" localSheetId="18">#REF!</definedName>
    <definedName name="current1">#REF!</definedName>
    <definedName name="current2" localSheetId="0">#REF!</definedName>
    <definedName name="current2" localSheetId="18">#REF!</definedName>
    <definedName name="current2">#REF!</definedName>
    <definedName name="current3" localSheetId="0">#REF!</definedName>
    <definedName name="current3" localSheetId="18">#REF!</definedName>
    <definedName name="current3">#REF!</definedName>
    <definedName name="current4" localSheetId="0">#REF!</definedName>
    <definedName name="current4" localSheetId="18">#REF!</definedName>
    <definedName name="current4">#REF!</definedName>
    <definedName name="current5" localSheetId="0">#REF!</definedName>
    <definedName name="current5" localSheetId="18">#REF!</definedName>
    <definedName name="current5">#REF!</definedName>
    <definedName name="cust" localSheetId="0">#REF!</definedName>
    <definedName name="cust" localSheetId="18">#REF!</definedName>
    <definedName name="cust">#REF!</definedName>
    <definedName name="cvd" localSheetId="0">#REF!</definedName>
    <definedName name="cvd" localSheetId="18">#REF!</definedName>
    <definedName name="cvd">#REF!</definedName>
    <definedName name="CVD_HW" localSheetId="0">#REF!</definedName>
    <definedName name="CVD_HW" localSheetId="18">#REF!</definedName>
    <definedName name="CVD_HW">#REF!</definedName>
    <definedName name="CVD_SW" localSheetId="0">#REF!</definedName>
    <definedName name="CVD_SW" localSheetId="18">#REF!</definedName>
    <definedName name="CVD_SW">#REF!</definedName>
    <definedName name="D" localSheetId="0">#REF!</definedName>
    <definedName name="D" localSheetId="18">#REF!</definedName>
    <definedName name="D">#REF!</definedName>
    <definedName name="D1__m" localSheetId="0">#REF!</definedName>
    <definedName name="D1__m" localSheetId="18">#REF!</definedName>
    <definedName name="D1__m">#REF!</definedName>
    <definedName name="D10__m" localSheetId="0">#REF!</definedName>
    <definedName name="D10__m" localSheetId="18">#REF!</definedName>
    <definedName name="D10__m">#REF!</definedName>
    <definedName name="D11__m" localSheetId="0">#REF!</definedName>
    <definedName name="D11__m" localSheetId="18">#REF!</definedName>
    <definedName name="D11__m">#REF!</definedName>
    <definedName name="D12__m" localSheetId="0">#REF!</definedName>
    <definedName name="D12__m" localSheetId="18">#REF!</definedName>
    <definedName name="D12__m">#REF!</definedName>
    <definedName name="D2__m" localSheetId="0">#REF!</definedName>
    <definedName name="D2__m" localSheetId="18">#REF!</definedName>
    <definedName name="D2__m">#REF!</definedName>
    <definedName name="D3__m" localSheetId="0">#REF!</definedName>
    <definedName name="D3__m" localSheetId="18">#REF!</definedName>
    <definedName name="D3__m">#REF!</definedName>
    <definedName name="D4__m" localSheetId="0">#REF!</definedName>
    <definedName name="D4__m" localSheetId="18">#REF!</definedName>
    <definedName name="D4__m">#REF!</definedName>
    <definedName name="D5__m" localSheetId="0">#REF!</definedName>
    <definedName name="D5__m" localSheetId="18">#REF!</definedName>
    <definedName name="D5__m">#REF!</definedName>
    <definedName name="D6__m" localSheetId="0">#REF!</definedName>
    <definedName name="D6__m" localSheetId="18">#REF!</definedName>
    <definedName name="D6__m">#REF!</definedName>
    <definedName name="D7__m" localSheetId="0">#REF!</definedName>
    <definedName name="D7__m" localSheetId="18">#REF!</definedName>
    <definedName name="D7__m">#REF!</definedName>
    <definedName name="D8__m" localSheetId="0">#REF!</definedName>
    <definedName name="D8__m" localSheetId="18">#REF!</definedName>
    <definedName name="D8__m">#REF!</definedName>
    <definedName name="D8Data" localSheetId="0">#REF!</definedName>
    <definedName name="D8Data" localSheetId="18">#REF!</definedName>
    <definedName name="D8Data">#REF!</definedName>
    <definedName name="D9__m" localSheetId="0">#REF!</definedName>
    <definedName name="D9__m" localSheetId="18">#REF!</definedName>
    <definedName name="D9__m">#REF!</definedName>
    <definedName name="Dampers" localSheetId="0" hidden="1">{"'PROFITABILITY'!$A$1:$F$45"}</definedName>
    <definedName name="Dampers" localSheetId="12" hidden="1">{"'PROFITABILITY'!$A$1:$F$45"}</definedName>
    <definedName name="Dampers" localSheetId="10" hidden="1">{"'PROFITABILITY'!$A$1:$F$45"}</definedName>
    <definedName name="Dampers" localSheetId="18" hidden="1">{"'PROFITABILITY'!$A$1:$F$45"}</definedName>
    <definedName name="Dampers" localSheetId="13" hidden="1">{"'PROFITABILITY'!$A$1:$F$45"}</definedName>
    <definedName name="Dampers" hidden="1">{"'PROFITABILITY'!$A$1:$F$45"}</definedName>
    <definedName name="dat" localSheetId="0">#REF!</definedName>
    <definedName name="dat" localSheetId="18">#REF!</definedName>
    <definedName name="dat">#REF!</definedName>
    <definedName name="DATA1" localSheetId="0">#REF!</definedName>
    <definedName name="DATA1" localSheetId="18">#REF!</definedName>
    <definedName name="DATA1">#REF!</definedName>
    <definedName name="DATA10" localSheetId="0">#REF!</definedName>
    <definedName name="DATA10" localSheetId="18">#REF!</definedName>
    <definedName name="DATA10">#REF!</definedName>
    <definedName name="DATA15" localSheetId="18">#REF!</definedName>
    <definedName name="DATA15">#REF!</definedName>
    <definedName name="DATA16" localSheetId="18">#REF!</definedName>
    <definedName name="DATA16">#REF!</definedName>
    <definedName name="DATA17" localSheetId="18">#REF!</definedName>
    <definedName name="DATA17">#REF!</definedName>
    <definedName name="DATA18" localSheetId="0">#REF!</definedName>
    <definedName name="DATA18" localSheetId="18">#REF!</definedName>
    <definedName name="DATA18">#REF!</definedName>
    <definedName name="DATA19" localSheetId="0">#REF!</definedName>
    <definedName name="DATA19" localSheetId="18">#REF!</definedName>
    <definedName name="DATA19">#REF!</definedName>
    <definedName name="DATA2" localSheetId="0">#REF!</definedName>
    <definedName name="DATA2" localSheetId="18">#REF!</definedName>
    <definedName name="DATA2">#REF!</definedName>
    <definedName name="DATA3" localSheetId="0">#REF!</definedName>
    <definedName name="DATA3" localSheetId="18">#REF!</definedName>
    <definedName name="DATA3">#REF!</definedName>
    <definedName name="DATA4" localSheetId="0">#REF!</definedName>
    <definedName name="DATA4" localSheetId="18">#REF!</definedName>
    <definedName name="DATA4">#REF!</definedName>
    <definedName name="DATA5" localSheetId="0">#REF!</definedName>
    <definedName name="DATA5" localSheetId="18">#REF!</definedName>
    <definedName name="DATA5">#REF!</definedName>
    <definedName name="DATA6" localSheetId="0">#REF!</definedName>
    <definedName name="DATA6" localSheetId="18">#REF!</definedName>
    <definedName name="DATA6">#REF!</definedName>
    <definedName name="DATA7" localSheetId="0">#REF!</definedName>
    <definedName name="DATA7" localSheetId="18">#REF!</definedName>
    <definedName name="DATA7">#REF!</definedName>
    <definedName name="DATA8" localSheetId="0">#REF!</definedName>
    <definedName name="DATA8" localSheetId="18">#REF!</definedName>
    <definedName name="DATA8">#REF!</definedName>
    <definedName name="DATA9" localSheetId="0">#REF!</definedName>
    <definedName name="DATA9" localSheetId="18">#REF!</definedName>
    <definedName name="DATA9">#REF!</definedName>
    <definedName name="_xlnm.Database" localSheetId="0">#REF!</definedName>
    <definedName name="_xlnm.Database" localSheetId="18">#REF!</definedName>
    <definedName name="_xlnm.Database">#REF!</definedName>
    <definedName name="date" localSheetId="0">#REF!</definedName>
    <definedName name="date" localSheetId="18">#REF!</definedName>
    <definedName name="date">#REF!</definedName>
    <definedName name="Dates" localSheetId="0">#REF!</definedName>
    <definedName name="Dates" localSheetId="18">#REF!</definedName>
    <definedName name="Dates">#REF!</definedName>
    <definedName name="DAY_ENGR" localSheetId="0">#REF!</definedName>
    <definedName name="DAY_ENGR" localSheetId="18">#REF!</definedName>
    <definedName name="DAY_ENGR">#REF!</definedName>
    <definedName name="DAY_TCHN" localSheetId="0">#REF!</definedName>
    <definedName name="DAY_TCHN" localSheetId="18">#REF!</definedName>
    <definedName name="DAY_TCHN">#REF!</definedName>
    <definedName name="days_in_year">#REF!</definedName>
    <definedName name="db" localSheetId="0">#REF!</definedName>
    <definedName name="db" localSheetId="18">#REF!</definedName>
    <definedName name="db">#REF!</definedName>
    <definedName name="dc" localSheetId="0">#REF!</definedName>
    <definedName name="dc" localSheetId="18">#REF!</definedName>
    <definedName name="dc">#REF!</definedName>
    <definedName name="dccables" localSheetId="0">#REF!</definedName>
    <definedName name="dccables" localSheetId="18">#REF!</definedName>
    <definedName name="dccables">#REF!</definedName>
    <definedName name="dcdeff" localSheetId="0">#REF!</definedName>
    <definedName name="dcdeff" localSheetId="18">#REF!</definedName>
    <definedName name="dcdeff">#REF!</definedName>
    <definedName name="DCP_start_T" localSheetId="0">#REF!</definedName>
    <definedName name="DCP_start_T" localSheetId="18">#REF!</definedName>
    <definedName name="DCP_start_T">#REF!</definedName>
    <definedName name="dd" localSheetId="0" hidden="1">{"'PROFITABILITY'!$A$1:$F$45"}</definedName>
    <definedName name="dd" localSheetId="12" hidden="1">{"'PROFITABILITY'!$A$1:$F$45"}</definedName>
    <definedName name="dd" localSheetId="10" hidden="1">{"'PROFITABILITY'!$A$1:$F$45"}</definedName>
    <definedName name="dd" localSheetId="18" hidden="1">{"'PROFITABILITY'!$A$1:$F$45"}</definedName>
    <definedName name="dd" localSheetId="13" hidden="1">{"'PROFITABILITY'!$A$1:$F$45"}</definedName>
    <definedName name="dd" hidden="1">{"'PROFITABILITY'!$A$1:$F$45"}</definedName>
    <definedName name="DDD" localSheetId="0">#REF!</definedName>
    <definedName name="DDD" localSheetId="18">#REF!</definedName>
    <definedName name="DDD">#REF!</definedName>
    <definedName name="dddddddd" localSheetId="0">#REF!</definedName>
    <definedName name="dddddddd" localSheetId="18">#REF!</definedName>
    <definedName name="dddddddd">#REF!</definedName>
    <definedName name="de_cost">#REF!</definedName>
    <definedName name="DEBTORS" localSheetId="0">#REF!</definedName>
    <definedName name="DEBTORS" localSheetId="18">#REF!</definedName>
    <definedName name="DEBTORS">#REF!</definedName>
    <definedName name="DEED" localSheetId="0">#REF!</definedName>
    <definedName name="DEED" localSheetId="18">#REF!</definedName>
    <definedName name="DEED">#REF!</definedName>
    <definedName name="deff">#REF!</definedName>
    <definedName name="DEHRI" localSheetId="0">#REF!</definedName>
    <definedName name="DEHRI" localSheetId="18">#REF!</definedName>
    <definedName name="DEHRI">#REF!</definedName>
    <definedName name="DELTA20" localSheetId="0">#REF!</definedName>
    <definedName name="DELTA20" localSheetId="18">#REF!</definedName>
    <definedName name="DELTA20">#REF!</definedName>
    <definedName name="DEM" localSheetId="0">#REF!</definedName>
    <definedName name="DEM" localSheetId="18">#REF!</definedName>
    <definedName name="DEM">#REF!</definedName>
    <definedName name="DeNovoAvail" localSheetId="18">#REF!</definedName>
    <definedName name="DeNovoAvail">#REF!</definedName>
    <definedName name="Depth" localSheetId="0">#REF!</definedName>
    <definedName name="Depth" localSheetId="18">#REF!</definedName>
    <definedName name="Depth">#REF!</definedName>
    <definedName name="DEst_Price" localSheetId="0">#REF!</definedName>
    <definedName name="DEst_Price" localSheetId="18">#REF!</definedName>
    <definedName name="DEst_Price">#REF!</definedName>
    <definedName name="det_act_plan" localSheetId="0">#REF!</definedName>
    <definedName name="det_act_plan" localSheetId="18">#REF!</definedName>
    <definedName name="det_act_plan">#REF!</definedName>
    <definedName name="Detailed">#REF!</definedName>
    <definedName name="dev">#REF!</definedName>
    <definedName name="Df">#REF!</definedName>
    <definedName name="DFDF" localSheetId="0">#REF!</definedName>
    <definedName name="DFDF" localSheetId="18">#REF!</definedName>
    <definedName name="DFDF">#REF!</definedName>
    <definedName name="DG" localSheetId="0">#REF!</definedName>
    <definedName name="DG" localSheetId="18">#REF!</definedName>
    <definedName name="DG">#REF!</definedName>
    <definedName name="DG_Total" localSheetId="0">#REF!</definedName>
    <definedName name="DG_Total" localSheetId="18">#REF!</definedName>
    <definedName name="DG_Total">#REF!</definedName>
    <definedName name="dgp">#REF!</definedName>
    <definedName name="Di" localSheetId="0">#REF!</definedName>
    <definedName name="Di" localSheetId="18">#REF!</definedName>
    <definedName name="Di">#REF!</definedName>
    <definedName name="diff">#REF!</definedName>
    <definedName name="diff1">#REF!</definedName>
    <definedName name="DIns">#REF!</definedName>
    <definedName name="Disc" localSheetId="0">#REF!</definedName>
    <definedName name="Disc" localSheetId="18">#REF!</definedName>
    <definedName name="Disc">#REF!</definedName>
    <definedName name="Discount1">#REF!</definedName>
    <definedName name="Distrib" localSheetId="18">#REF!</definedName>
    <definedName name="Distrib">#REF!</definedName>
    <definedName name="Distribution">#REF!</definedName>
    <definedName name="DIV">1000000</definedName>
    <definedName name="dl" localSheetId="0">#REF!</definedName>
    <definedName name="dl" localSheetId="18">#REF!</definedName>
    <definedName name="dl">#REF!</definedName>
    <definedName name="DM">#REF!</definedName>
    <definedName name="Do" localSheetId="0">#REF!</definedName>
    <definedName name="Do" localSheetId="18">#REF!</definedName>
    <definedName name="Do">#REF!</definedName>
    <definedName name="dol7.5">#REF!</definedName>
    <definedName name="Dome1">#REF!</definedName>
    <definedName name="DossierConsolidation" localSheetId="18">#REF!</definedName>
    <definedName name="DossierConsolidation">#REF!</definedName>
    <definedName name="DossierConsolidationCountries" localSheetId="18">#REF!</definedName>
    <definedName name="DossierConsolidationCountries">#REF!</definedName>
    <definedName name="DossierConsolidationMols" localSheetId="18">#REF!</definedName>
    <definedName name="DossierConsolidationMols">#REF!</definedName>
    <definedName name="DossierConversion" localSheetId="18">#REF!</definedName>
    <definedName name="DossierConversion">#REF!</definedName>
    <definedName name="Dq" localSheetId="0">#REF!</definedName>
    <definedName name="Dq" localSheetId="18">#REF!</definedName>
    <definedName name="Dq">#REF!</definedName>
    <definedName name="Ds" localSheetId="0">#REF!</definedName>
    <definedName name="Ds" localSheetId="18">#REF!</definedName>
    <definedName name="Ds">#REF!</definedName>
    <definedName name="dsat" localSheetId="0">#REF!</definedName>
    <definedName name="dsat" localSheetId="18">#REF!</definedName>
    <definedName name="dsat">#REF!</definedName>
    <definedName name="dsd">#REF!</definedName>
    <definedName name="dsda" localSheetId="0">#REF!</definedName>
    <definedName name="dsda" localSheetId="18">#REF!</definedName>
    <definedName name="dsda">#REF!</definedName>
    <definedName name="dsdb" localSheetId="0">#REF!</definedName>
    <definedName name="dsdb" localSheetId="18">#REF!</definedName>
    <definedName name="dsdb">#REF!</definedName>
    <definedName name="dsdsdls" localSheetId="0">#REF!</definedName>
    <definedName name="dsdsdls" localSheetId="18">#REF!</definedName>
    <definedName name="dsdsdls">#REF!</definedName>
    <definedName name="dsm" localSheetId="0">#REF!</definedName>
    <definedName name="dsm" localSheetId="18">#REF!</definedName>
    <definedName name="dsm">#REF!</definedName>
    <definedName name="dt" localSheetId="0">#REF!</definedName>
    <definedName name="dt" localSheetId="18">#REF!</definedName>
    <definedName name="dt">#REF!</definedName>
    <definedName name="E" localSheetId="0">#REF!</definedName>
    <definedName name="E" localSheetId="18">#REF!</definedName>
    <definedName name="E">#REF!</definedName>
    <definedName name="EARTH">#REF!</definedName>
    <definedName name="Earthing" localSheetId="0">#REF!</definedName>
    <definedName name="Earthing" localSheetId="18">#REF!</definedName>
    <definedName name="Earthing" localSheetId="8">#REF!</definedName>
    <definedName name="Earthing">#REF!</definedName>
    <definedName name="EB_Total" localSheetId="0">#REF!</definedName>
    <definedName name="EB_Total" localSheetId="18">#REF!</definedName>
    <definedName name="EB_Total">#REF!</definedName>
    <definedName name="ec_charges" localSheetId="0">#REF!</definedName>
    <definedName name="ec_charges" localSheetId="18">#REF!</definedName>
    <definedName name="ec_charges">#REF!</definedName>
    <definedName name="ecfact" localSheetId="0">#REF!</definedName>
    <definedName name="ecfact" localSheetId="18">#REF!</definedName>
    <definedName name="ecfact">#REF!</definedName>
    <definedName name="ED" localSheetId="0">#REF!</definedName>
    <definedName name="ED" localSheetId="18">#REF!</definedName>
    <definedName name="ED">#REF!</definedName>
    <definedName name="ED_RTU" localSheetId="0">#REF!</definedName>
    <definedName name="ED_RTU" localSheetId="18">#REF!</definedName>
    <definedName name="ED_RTU">#REF!</definedName>
    <definedName name="ED_TRDR" localSheetId="0">#REF!</definedName>
    <definedName name="ED_TRDR" localSheetId="18">#REF!</definedName>
    <definedName name="ED_TRDR">#REF!</definedName>
    <definedName name="ee" localSheetId="0">#REF!</definedName>
    <definedName name="ee" localSheetId="18">#REF!</definedName>
    <definedName name="ee">#REF!</definedName>
    <definedName name="Effective_Tax">#REF!</definedName>
    <definedName name="egr">#REF!</definedName>
    <definedName name="Em" localSheetId="0">#REF!</definedName>
    <definedName name="Em" localSheetId="18">#REF!</definedName>
    <definedName name="Em">#REF!</definedName>
    <definedName name="ENG" localSheetId="0">#REF!</definedName>
    <definedName name="ENG" localSheetId="18">#REF!</definedName>
    <definedName name="ENG">#REF!</definedName>
    <definedName name="ENGG" localSheetId="0">#REF!</definedName>
    <definedName name="ENGG" localSheetId="18">#REF!</definedName>
    <definedName name="ENGG">#REF!</definedName>
    <definedName name="Engg_charges" localSheetId="0">#REF!</definedName>
    <definedName name="Engg_charges" localSheetId="18">#REF!</definedName>
    <definedName name="Engg_charges">#REF!</definedName>
    <definedName name="EQUIPCOM" localSheetId="0">#REF!</definedName>
    <definedName name="EQUIPCOM" localSheetId="18">#REF!</definedName>
    <definedName name="EQUIPCOM">#REF!</definedName>
    <definedName name="ere">#REF!</definedName>
    <definedName name="erec">#REF!</definedName>
    <definedName name="erecps" localSheetId="18">#REF!</definedName>
    <definedName name="erecps">#REF!</definedName>
    <definedName name="Erection" localSheetId="18">#REF!</definedName>
    <definedName name="Erection">#REF!</definedName>
    <definedName name="ert" localSheetId="0">#REF!</definedName>
    <definedName name="ert" localSheetId="18">#REF!</definedName>
    <definedName name="ert">#REF!</definedName>
    <definedName name="ERV" localSheetId="0">#REF!</definedName>
    <definedName name="ERV" localSheetId="18">#REF!</definedName>
    <definedName name="ERV">#REF!</definedName>
    <definedName name="Es" localSheetId="0">#REF!</definedName>
    <definedName name="Es" localSheetId="18">#REF!</definedName>
    <definedName name="Es">#REF!</definedName>
    <definedName name="ESC_BOHW" localSheetId="0">#REF!</definedName>
    <definedName name="ESC_BOHW" localSheetId="18">#REF!</definedName>
    <definedName name="ESC_BOHW">#REF!</definedName>
    <definedName name="ESC_BOSW" localSheetId="0">#REF!</definedName>
    <definedName name="ESC_BOSW" localSheetId="18">#REF!</definedName>
    <definedName name="ESC_BOSW">#REF!</definedName>
    <definedName name="ESC_IDTOHW" localSheetId="0">#REF!</definedName>
    <definedName name="ESC_IDTOHW" localSheetId="18">#REF!</definedName>
    <definedName name="ESC_IDTOHW">#REF!</definedName>
    <definedName name="ESC_IDTOSW" localSheetId="0">#REF!</definedName>
    <definedName name="ESC_IDTOSW" localSheetId="18">#REF!</definedName>
    <definedName name="ESC_IDTOSW">#REF!</definedName>
    <definedName name="ESC_IMPHW" localSheetId="0">#REF!</definedName>
    <definedName name="ESC_IMPHW" localSheetId="18">#REF!</definedName>
    <definedName name="ESC_IMPHW">#REF!</definedName>
    <definedName name="ESC_IMPSW" localSheetId="0">#REF!</definedName>
    <definedName name="ESC_IMPSW" localSheetId="18">#REF!</definedName>
    <definedName name="ESC_IMPSW">#REF!</definedName>
    <definedName name="ESC_SER" localSheetId="0">#REF!</definedName>
    <definedName name="ESC_SER" localSheetId="18">#REF!</definedName>
    <definedName name="ESC_SER">#REF!</definedName>
    <definedName name="ESC_TRHW" localSheetId="0">#REF!</definedName>
    <definedName name="ESC_TRHW" localSheetId="18">#REF!</definedName>
    <definedName name="ESC_TRHW">#REF!</definedName>
    <definedName name="ESC_TRSW" localSheetId="0">#REF!</definedName>
    <definedName name="ESC_TRSW" localSheetId="18">#REF!</definedName>
    <definedName name="ESC_TRSW">#REF!</definedName>
    <definedName name="ESCPRD_BOHW" localSheetId="0">#REF!</definedName>
    <definedName name="ESCPRD_BOHW" localSheetId="18">#REF!</definedName>
    <definedName name="ESCPRD_BOHW">#REF!</definedName>
    <definedName name="ESCPRD_BOSW" localSheetId="0">#REF!</definedName>
    <definedName name="ESCPRD_BOSW" localSheetId="18">#REF!</definedName>
    <definedName name="ESCPRD_BOSW">#REF!</definedName>
    <definedName name="ESCPRD_IDTOHW" localSheetId="0">#REF!</definedName>
    <definedName name="ESCPRD_IDTOHW" localSheetId="18">#REF!</definedName>
    <definedName name="ESCPRD_IDTOHW">#REF!</definedName>
    <definedName name="ESCPRD_IDTOSW" localSheetId="0">#REF!</definedName>
    <definedName name="ESCPRD_IDTOSW" localSheetId="18">#REF!</definedName>
    <definedName name="ESCPRD_IDTOSW">#REF!</definedName>
    <definedName name="ESCPRD_IMPHW" localSheetId="0">#REF!</definedName>
    <definedName name="ESCPRD_IMPHW" localSheetId="18">#REF!</definedName>
    <definedName name="ESCPRD_IMPHW">#REF!</definedName>
    <definedName name="ESCPRD_IMPSW" localSheetId="0">#REF!</definedName>
    <definedName name="ESCPRD_IMPSW" localSheetId="18">#REF!</definedName>
    <definedName name="ESCPRD_IMPSW">#REF!</definedName>
    <definedName name="ESCPRD_TRHW" localSheetId="0">#REF!</definedName>
    <definedName name="ESCPRD_TRHW" localSheetId="18">#REF!</definedName>
    <definedName name="ESCPRD_TRHW">#REF!</definedName>
    <definedName name="ESCPRD_TRSW" localSheetId="0">#REF!</definedName>
    <definedName name="ESCPRD_TRSW" localSheetId="18">#REF!</definedName>
    <definedName name="ESCPRD_TRSW">#REF!</definedName>
    <definedName name="Et" localSheetId="0">#REF!</definedName>
    <definedName name="Et" localSheetId="18">#REF!</definedName>
    <definedName name="Et">#REF!</definedName>
    <definedName name="euro" localSheetId="0">#REF!</definedName>
    <definedName name="euro" localSheetId="18">#REF!</definedName>
    <definedName name="euro">#REF!</definedName>
    <definedName name="ewer" localSheetId="0" hidden="1">{"'PROFITABILITY'!$A$1:$F$45"}</definedName>
    <definedName name="ewer" localSheetId="12" hidden="1">{"'PROFITABILITY'!$A$1:$F$45"}</definedName>
    <definedName name="ewer" localSheetId="10" hidden="1">{"'PROFITABILITY'!$A$1:$F$45"}</definedName>
    <definedName name="ewer" localSheetId="18" hidden="1">{"'PROFITABILITY'!$A$1:$F$45"}</definedName>
    <definedName name="ewer" localSheetId="13" hidden="1">{"'PROFITABILITY'!$A$1:$F$45"}</definedName>
    <definedName name="ewer" hidden="1">{"'PROFITABILITY'!$A$1:$F$45"}</definedName>
    <definedName name="Excel_BuiltIn__FilterDatabase_1">#REF!</definedName>
    <definedName name="Excel_BuiltIn_Print_Area_1" localSheetId="0">#REF!</definedName>
    <definedName name="Excel_BuiltIn_Print_Area_1" localSheetId="18">#REF!</definedName>
    <definedName name="Excel_BuiltIn_Print_Area_1">#REF!</definedName>
    <definedName name="Excel_BuiltIn_Print_Area_1_1" localSheetId="0">#REF!</definedName>
    <definedName name="Excel_BuiltIn_Print_Area_1_1" localSheetId="18">#REF!</definedName>
    <definedName name="Excel_BuiltIn_Print_Area_1_1">#REF!</definedName>
    <definedName name="Excel_BuiltIn_Print_Area_1_1_1" localSheetId="0">#REF!</definedName>
    <definedName name="Excel_BuiltIn_Print_Area_1_1_1" localSheetId="18">#REF!</definedName>
    <definedName name="Excel_BuiltIn_Print_Area_1_1_1">#REF!</definedName>
    <definedName name="Excel_BuiltIn_Print_Area_1_1_1_1" localSheetId="0">#REF!</definedName>
    <definedName name="Excel_BuiltIn_Print_Area_1_1_1_1" localSheetId="18">#REF!</definedName>
    <definedName name="Excel_BuiltIn_Print_Area_1_1_1_1">#REF!</definedName>
    <definedName name="Excel_BuiltIn_Print_Area_2" localSheetId="0">#REF!</definedName>
    <definedName name="Excel_BuiltIn_Print_Area_2" localSheetId="18">#REF!</definedName>
    <definedName name="Excel_BuiltIn_Print_Area_2">#REF!</definedName>
    <definedName name="Excel_BuiltIn_Print_Area_2_1" localSheetId="0">#REF!</definedName>
    <definedName name="Excel_BuiltIn_Print_Area_2_1" localSheetId="18">#REF!</definedName>
    <definedName name="Excel_BuiltIn_Print_Area_2_1">#REF!</definedName>
    <definedName name="Excel_BuiltIn_Print_Area_4_1" localSheetId="0">#REF!</definedName>
    <definedName name="Excel_BuiltIn_Print_Area_4_1" localSheetId="18">#REF!</definedName>
    <definedName name="Excel_BuiltIn_Print_Area_4_1">#REF!</definedName>
    <definedName name="Excel_BuiltIn_Print_Area_4_1_1" localSheetId="0">#REF!</definedName>
    <definedName name="Excel_BuiltIn_Print_Area_4_1_1" localSheetId="18">#REF!</definedName>
    <definedName name="Excel_BuiltIn_Print_Area_4_1_1">#REF!</definedName>
    <definedName name="Excel_BuiltIn_Print_Area_4_1_1_1" localSheetId="0">#REF!</definedName>
    <definedName name="Excel_BuiltIn_Print_Area_4_1_1_1" localSheetId="18">#REF!</definedName>
    <definedName name="Excel_BuiltIn_Print_Area_4_1_1_1">#REF!</definedName>
    <definedName name="Excel_BuiltIn_Print_Area_4_1_1_1_1" localSheetId="0">#REF!</definedName>
    <definedName name="Excel_BuiltIn_Print_Area_4_1_1_1_1" localSheetId="18">#REF!</definedName>
    <definedName name="Excel_BuiltIn_Print_Area_4_1_1_1_1">#REF!</definedName>
    <definedName name="Excel_BuiltIn_Print_Area_4_1_1_1_1_1" localSheetId="0">#REF!</definedName>
    <definedName name="Excel_BuiltIn_Print_Area_4_1_1_1_1_1" localSheetId="18">#REF!</definedName>
    <definedName name="Excel_BuiltIn_Print_Area_4_1_1_1_1_1">#REF!</definedName>
    <definedName name="Excel_BuiltIn_Print_Area_4_1_1_1_1_1_1" localSheetId="0">#REF!</definedName>
    <definedName name="Excel_BuiltIn_Print_Area_4_1_1_1_1_1_1" localSheetId="18">#REF!</definedName>
    <definedName name="Excel_BuiltIn_Print_Area_4_1_1_1_1_1_1">#REF!</definedName>
    <definedName name="Excel_BuiltIn_Print_Area_4_1_1_1_1_1_1_1" localSheetId="0">#REF!</definedName>
    <definedName name="Excel_BuiltIn_Print_Area_4_1_1_1_1_1_1_1" localSheetId="18">#REF!</definedName>
    <definedName name="Excel_BuiltIn_Print_Area_4_1_1_1_1_1_1_1">#REF!</definedName>
    <definedName name="Excel_BuiltIn_Print_Area_4_1_1_1_1_1_1_1_1" localSheetId="0">#REF!</definedName>
    <definedName name="Excel_BuiltIn_Print_Area_4_1_1_1_1_1_1_1_1" localSheetId="18">#REF!</definedName>
    <definedName name="Excel_BuiltIn_Print_Area_4_1_1_1_1_1_1_1_1">#REF!</definedName>
    <definedName name="Excel_BuiltIn_Print_Area_4_1_1_1_1_1_1_1_1_1" localSheetId="0">#REF!</definedName>
    <definedName name="Excel_BuiltIn_Print_Area_4_1_1_1_1_1_1_1_1_1" localSheetId="18">#REF!</definedName>
    <definedName name="Excel_BuiltIn_Print_Area_4_1_1_1_1_1_1_1_1_1">#REF!</definedName>
    <definedName name="Excel_BuiltIn_Print_Area_4_1_1_1_1_1_1_1_1_1_1" localSheetId="0">#REF!</definedName>
    <definedName name="Excel_BuiltIn_Print_Area_4_1_1_1_1_1_1_1_1_1_1" localSheetId="18">#REF!</definedName>
    <definedName name="Excel_BuiltIn_Print_Area_4_1_1_1_1_1_1_1_1_1_1">#REF!</definedName>
    <definedName name="Excel_BuiltIn_Print_Area_4_1_1_1_1_1_1_1_1_1_1_1" localSheetId="0">#REF!</definedName>
    <definedName name="Excel_BuiltIn_Print_Area_4_1_1_1_1_1_1_1_1_1_1_1" localSheetId="18">#REF!</definedName>
    <definedName name="Excel_BuiltIn_Print_Area_4_1_1_1_1_1_1_1_1_1_1_1">#REF!</definedName>
    <definedName name="Excel_BuiltIn_Print_Area_4_1_1_1_1_1_1_1_1_1_1_1_1" localSheetId="0">#REF!</definedName>
    <definedName name="Excel_BuiltIn_Print_Area_4_1_1_1_1_1_1_1_1_1_1_1_1" localSheetId="18">#REF!</definedName>
    <definedName name="Excel_BuiltIn_Print_Area_4_1_1_1_1_1_1_1_1_1_1_1_1">#REF!</definedName>
    <definedName name="Excel_BuiltIn_Print_Titles_1" localSheetId="0">#REF!</definedName>
    <definedName name="Excel_BuiltIn_Print_Titles_1" localSheetId="18">#REF!</definedName>
    <definedName name="Excel_BuiltIn_Print_Titles_1">#REF!</definedName>
    <definedName name="Excel_BuiltIn_Print_Titles_2_1">(#REF!,#REF!)</definedName>
    <definedName name="Excel_BuiltIn_Print_Titles_4_1" localSheetId="18">#REF!</definedName>
    <definedName name="Excel_BuiltIn_Print_Titles_4_1">#REF!</definedName>
    <definedName name="ExclusiveSupplier" localSheetId="18">#REF!</definedName>
    <definedName name="ExclusiveSupplier">#REF!</definedName>
    <definedName name="exp_ch">#REF!</definedName>
    <definedName name="Exp_Success_Rate">#REF!</definedName>
    <definedName name="Exp_Success_Rate_Core_Basin">#REF!</definedName>
    <definedName name="EXPHEADS" localSheetId="0">#REF!</definedName>
    <definedName name="EXPHEADS" localSheetId="18">#REF!</definedName>
    <definedName name="EXPHEADS">#REF!</definedName>
    <definedName name="external" localSheetId="0">#REF!</definedName>
    <definedName name="external" localSheetId="18">#REF!</definedName>
    <definedName name="external">#REF!</definedName>
    <definedName name="exwks" localSheetId="0">#REF!</definedName>
    <definedName name="exwks" localSheetId="18">#REF!</definedName>
    <definedName name="exwks">#REF!</definedName>
    <definedName name="f" localSheetId="0" hidden="1">{"'PROFITABILITY'!$A$1:$F$45"}</definedName>
    <definedName name="f" localSheetId="12" hidden="1">{"'PROFITABILITY'!$A$1:$F$45"}</definedName>
    <definedName name="f" localSheetId="10" hidden="1">{"'PROFITABILITY'!$A$1:$F$45"}</definedName>
    <definedName name="f" localSheetId="18" hidden="1">{"'PROFITABILITY'!$A$1:$F$45"}</definedName>
    <definedName name="f" localSheetId="13" hidden="1">{"'PROFITABILITY'!$A$1:$F$45"}</definedName>
    <definedName name="f" hidden="1">{"'PROFITABILITY'!$A$1:$F$45"}</definedName>
    <definedName name="fac">0.825</definedName>
    <definedName name="facplc" localSheetId="0">#REF!</definedName>
    <definedName name="facplc" localSheetId="18">#REF!</definedName>
    <definedName name="facplc">#REF!</definedName>
    <definedName name="fact" localSheetId="0">#REF!</definedName>
    <definedName name="fact" localSheetId="18">#REF!</definedName>
    <definedName name="fact">#REF!</definedName>
    <definedName name="FACT1" localSheetId="0">#REF!</definedName>
    <definedName name="FACT1" localSheetId="18">#REF!</definedName>
    <definedName name="FACT1">#REF!</definedName>
    <definedName name="Factor">#REF!</definedName>
    <definedName name="Fb" localSheetId="0">#REF!</definedName>
    <definedName name="Fb" localSheetId="18">#REF!</definedName>
    <definedName name="Fb">#REF!</definedName>
    <definedName name="fck" localSheetId="0">#REF!</definedName>
    <definedName name="fck" localSheetId="18">#REF!</definedName>
    <definedName name="fck">#REF!</definedName>
    <definedName name="FDN_Data">#REF!</definedName>
    <definedName name="FebMarLaunch" localSheetId="18">#REF!</definedName>
    <definedName name="FebMarLaunch">#REF!</definedName>
    <definedName name="ff" hidden="1">#REF!</definedName>
    <definedName name="FFR" localSheetId="0">#REF!</definedName>
    <definedName name="FFR" localSheetId="18">#REF!</definedName>
    <definedName name="FFR">#REF!</definedName>
    <definedName name="fgdfgg" localSheetId="0">#REF!</definedName>
    <definedName name="fgdfgg" localSheetId="18">#REF!</definedName>
    <definedName name="fgdfgg">#REF!</definedName>
    <definedName name="fgdt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h" localSheetId="0">#REF!</definedName>
    <definedName name="Fh" localSheetId="18">#REF!</definedName>
    <definedName name="Fh">#REF!</definedName>
    <definedName name="Fhwl" localSheetId="0">#REF!</definedName>
    <definedName name="Fhwl" localSheetId="18">#REF!</definedName>
    <definedName name="Fhwl">#REF!</definedName>
    <definedName name="FI" localSheetId="0">#REF!</definedName>
    <definedName name="FI" localSheetId="18">#REF!</definedName>
    <definedName name="FI">#REF!</definedName>
    <definedName name="FI_AIRHW" localSheetId="0">#REF!</definedName>
    <definedName name="FI_AIRHW" localSheetId="18">#REF!</definedName>
    <definedName name="FI_AIRHW">#REF!</definedName>
    <definedName name="FI_AIRSW" localSheetId="0">#REF!</definedName>
    <definedName name="FI_AIRSW" localSheetId="18">#REF!</definedName>
    <definedName name="FI_AIRSW">#REF!</definedName>
    <definedName name="FI_BOHW" localSheetId="0">#REF!</definedName>
    <definedName name="FI_BOHW" localSheetId="18">#REF!</definedName>
    <definedName name="FI_BOHW">#REF!</definedName>
    <definedName name="FI_BOSW" localSheetId="0">#REF!</definedName>
    <definedName name="FI_BOSW" localSheetId="18">#REF!</definedName>
    <definedName name="FI_BOSW">#REF!</definedName>
    <definedName name="FI_IDTOHW" localSheetId="0">#REF!</definedName>
    <definedName name="FI_IDTOHW" localSheetId="18">#REF!</definedName>
    <definedName name="FI_IDTOHW">#REF!</definedName>
    <definedName name="FI_IDTOSW" localSheetId="0">#REF!</definedName>
    <definedName name="FI_IDTOSW" localSheetId="18">#REF!</definedName>
    <definedName name="FI_IDTOSW">#REF!</definedName>
    <definedName name="FI_SITEHW" localSheetId="0">#REF!</definedName>
    <definedName name="FI_SITEHW" localSheetId="18">#REF!</definedName>
    <definedName name="FI_SITEHW">#REF!</definedName>
    <definedName name="FI_SITESW" localSheetId="0">#REF!</definedName>
    <definedName name="FI_SITESW" localSheetId="18">#REF!</definedName>
    <definedName name="FI_SITESW">#REF!</definedName>
    <definedName name="fiI">#REF!</definedName>
    <definedName name="FilingDate">#REF!</definedName>
    <definedName name="FIM" localSheetId="0">#REF!</definedName>
    <definedName name="FIM" localSheetId="18">#REF!</definedName>
    <definedName name="FIM">#REF!</definedName>
    <definedName name="Fin_charges" localSheetId="0">#REF!</definedName>
    <definedName name="Fin_charges" localSheetId="18">#REF!</definedName>
    <definedName name="Fin_charges">#REF!</definedName>
    <definedName name="FireFighting" localSheetId="0">#REF!</definedName>
    <definedName name="FireFighting" localSheetId="18">#REF!</definedName>
    <definedName name="FireFighting">#REF!</definedName>
    <definedName name="FIT" localSheetId="0">#REF!</definedName>
    <definedName name="FIT" localSheetId="18">#REF!</definedName>
    <definedName name="FIT">#REF!</definedName>
    <definedName name="Floor" localSheetId="0">#REF!</definedName>
    <definedName name="Floor" localSheetId="18">#REF!</definedName>
    <definedName name="Floor">#REF!</definedName>
    <definedName name="fo" localSheetId="0">#REF!</definedName>
    <definedName name="fo" localSheetId="18">#REF!</definedName>
    <definedName name="fo">#REF!</definedName>
    <definedName name="for_typ" localSheetId="0">#REF!</definedName>
    <definedName name="for_typ" localSheetId="18">#REF!</definedName>
    <definedName name="for_typ">#REF!</definedName>
    <definedName name="Forecast" localSheetId="0">#REF!</definedName>
    <definedName name="Forecast" localSheetId="18">#REF!</definedName>
    <definedName name="Forecast">#REF!</definedName>
    <definedName name="Forecast_Receivables" localSheetId="18">#REF!</definedName>
    <definedName name="Forecast_Receivables">#REF!</definedName>
    <definedName name="forex" localSheetId="0">#REF!</definedName>
    <definedName name="forex" localSheetId="18">#REF!</definedName>
    <definedName name="forex">#REF!</definedName>
    <definedName name="forthemonth" localSheetId="0">#REF!</definedName>
    <definedName name="forthemonth" localSheetId="18">#REF!</definedName>
    <definedName name="forthemonth">#REF!</definedName>
    <definedName name="Foundation" localSheetId="18">#REF!</definedName>
    <definedName name="Foundation">#REF!</definedName>
    <definedName name="fourhundred">#REF!</definedName>
    <definedName name="Fp">#REF!</definedName>
    <definedName name="Fr" localSheetId="0" hidden="1">{"'PROFITABILITY'!$A$1:$F$45"}</definedName>
    <definedName name="Fr" localSheetId="12" hidden="1">{"'PROFITABILITY'!$A$1:$F$45"}</definedName>
    <definedName name="Fr" localSheetId="10" hidden="1">{"'PROFITABILITY'!$A$1:$F$45"}</definedName>
    <definedName name="Fr" localSheetId="18" hidden="1">{"'PROFITABILITY'!$A$1:$F$45"}</definedName>
    <definedName name="Fr" localSheetId="13" hidden="1">{"'PROFITABILITY'!$A$1:$F$45"}</definedName>
    <definedName name="Fr" hidden="1">{"'PROFITABILITY'!$A$1:$F$45"}</definedName>
    <definedName name="Fr_charges" localSheetId="0">#REF!</definedName>
    <definedName name="Fr_charges" localSheetId="18">#REF!</definedName>
    <definedName name="Fr_charges">#REF!</definedName>
    <definedName name="frierect" localSheetId="0">#REF!</definedName>
    <definedName name="frierect" localSheetId="18">#REF!</definedName>
    <definedName name="frierect">#REF!</definedName>
    <definedName name="frnorms" localSheetId="0">#REF!</definedName>
    <definedName name="frnorms" localSheetId="18">#REF!</definedName>
    <definedName name="frnorms">#REF!</definedName>
    <definedName name="fromDCP" localSheetId="18">#REF!</definedName>
    <definedName name="fromDCP">#REF!</definedName>
    <definedName name="Fs">#REF!</definedName>
    <definedName name="Fsc" localSheetId="0">#REF!</definedName>
    <definedName name="Fsc" localSheetId="18">#REF!</definedName>
    <definedName name="Fsc">#REF!</definedName>
    <definedName name="Fv" localSheetId="0">#REF!</definedName>
    <definedName name="Fv" localSheetId="18">#REF!</definedName>
    <definedName name="Fv">#REF!</definedName>
    <definedName name="fym" localSheetId="0">#REF!</definedName>
    <definedName name="fym" localSheetId="18">#REF!</definedName>
    <definedName name="fym">#REF!</definedName>
    <definedName name="fys" localSheetId="0">#REF!</definedName>
    <definedName name="fys" localSheetId="18">#REF!</definedName>
    <definedName name="fys">#REF!</definedName>
    <definedName name="g">#REF!</definedName>
    <definedName name="GA">#REF!</definedName>
    <definedName name="gama" localSheetId="0">#REF!</definedName>
    <definedName name="gama" localSheetId="18">#REF!</definedName>
    <definedName name="gama">#REF!</definedName>
    <definedName name="gamah" localSheetId="0">#REF!</definedName>
    <definedName name="gamah" localSheetId="18">#REF!</definedName>
    <definedName name="gamah">#REF!</definedName>
    <definedName name="gamma" localSheetId="0">#REF!</definedName>
    <definedName name="gamma" localSheetId="18">#REF!</definedName>
    <definedName name="gamma">#REF!</definedName>
    <definedName name="Gas_Price">#REF!</definedName>
    <definedName name="GATE" localSheetId="0">#REF!</definedName>
    <definedName name="GATE" localSheetId="18">#REF!</definedName>
    <definedName name="GATE">#REF!</definedName>
    <definedName name="Gcc" localSheetId="0">#REF!</definedName>
    <definedName name="Gcc" localSheetId="18">#REF!</definedName>
    <definedName name="Gcc">#REF!</definedName>
    <definedName name="Gcm" localSheetId="0">#REF!</definedName>
    <definedName name="Gcm" localSheetId="18">#REF!</definedName>
    <definedName name="Gcm">#REF!</definedName>
    <definedName name="Gcr" localSheetId="0">#REF!</definedName>
    <definedName name="Gcr" localSheetId="18">#REF!</definedName>
    <definedName name="Gcr">#REF!</definedName>
    <definedName name="Gen" localSheetId="0">'765KV TA 414 VNTL'!Gen</definedName>
    <definedName name="Gen" localSheetId="12">#N/A</definedName>
    <definedName name="Gen" localSheetId="10">#N/A</definedName>
    <definedName name="Gen" localSheetId="18">'Stringing Compiled'!Gen</definedName>
    <definedName name="Gen" localSheetId="13">#N/A</definedName>
    <definedName name="Gen">'765KV TA 414 VNTL'!Gen</definedName>
    <definedName name="GeneralInformation" localSheetId="0">'765KV TA 414 VNTL'!GeneralInformation</definedName>
    <definedName name="GeneralInformation" localSheetId="12">#N/A</definedName>
    <definedName name="GeneralInformation" localSheetId="10">#N/A</definedName>
    <definedName name="GeneralInformation" localSheetId="18">'Stringing Compiled'!GeneralInformation</definedName>
    <definedName name="GeneralInformation" localSheetId="13">#N/A</definedName>
    <definedName name="GeneralInformation">'765KV TA 414 VNTL'!GeneralInformation</definedName>
    <definedName name="gg">#REF!</definedName>
    <definedName name="GI" localSheetId="0">'765KV TA 414 VNTL'!GI</definedName>
    <definedName name="GI" localSheetId="12">#N/A</definedName>
    <definedName name="GI" localSheetId="10">#N/A</definedName>
    <definedName name="GI" localSheetId="18">'Stringing Compiled'!GI</definedName>
    <definedName name="GI" localSheetId="13">#N/A</definedName>
    <definedName name="GI">'765KV TA 414 VNTL'!GI</definedName>
    <definedName name="GInfo" localSheetId="0">'765KV TA 414 VNTL'!GInfo</definedName>
    <definedName name="GInfo" localSheetId="12">#N/A</definedName>
    <definedName name="GInfo" localSheetId="10">#N/A</definedName>
    <definedName name="GInfo" localSheetId="18">'Stringing Compiled'!GInfo</definedName>
    <definedName name="GInfo" localSheetId="13">#N/A</definedName>
    <definedName name="GInfo">'765KV TA 414 VNTL'!GInfo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P" localSheetId="0">#REF!</definedName>
    <definedName name="GP" localSheetId="18">#REF!</definedName>
    <definedName name="GP">#REF!</definedName>
    <definedName name="GPs" localSheetId="0">#REF!</definedName>
    <definedName name="GPs" localSheetId="18">#REF!</definedName>
    <definedName name="GPs">#REF!</definedName>
    <definedName name="grg" localSheetId="0">#REF!</definedName>
    <definedName name="grg" localSheetId="18">#REF!</definedName>
    <definedName name="grg">#REF!</definedName>
    <definedName name="gross" localSheetId="0">#REF!</definedName>
    <definedName name="gross" localSheetId="18">#REF!</definedName>
    <definedName name="gross">#REF!</definedName>
    <definedName name="Groundinga" localSheetId="0" hidden="1">{"'PROFITABILITY'!$A$1:$F$45"}</definedName>
    <definedName name="Groundinga" localSheetId="12" hidden="1">{"'PROFITABILITY'!$A$1:$F$45"}</definedName>
    <definedName name="Groundinga" localSheetId="10" hidden="1">{"'PROFITABILITY'!$A$1:$F$45"}</definedName>
    <definedName name="Groundinga" localSheetId="18" hidden="1">{"'PROFITABILITY'!$A$1:$F$45"}</definedName>
    <definedName name="Groundinga" localSheetId="13" hidden="1">{"'PROFITABILITY'!$A$1:$F$45"}</definedName>
    <definedName name="Groundinga" hidden="1">{"'PROFITABILITY'!$A$1:$F$45"}</definedName>
    <definedName name="Growth" localSheetId="0">#REF!</definedName>
    <definedName name="Growth" localSheetId="18">#REF!</definedName>
    <definedName name="Growth">#REF!</definedName>
    <definedName name="GRR" localSheetId="0">#REF!</definedName>
    <definedName name="GRR" localSheetId="18">#REF!</definedName>
    <definedName name="GRR">#REF!</definedName>
    <definedName name="gtst" localSheetId="0">#REF!</definedName>
    <definedName name="gtst" localSheetId="18">#REF!</definedName>
    <definedName name="gtst">#REF!</definedName>
    <definedName name="Gw" localSheetId="0">#REF!</definedName>
    <definedName name="Gw" localSheetId="18">#REF!</definedName>
    <definedName name="Gw">#REF!</definedName>
    <definedName name="H" localSheetId="0">#REF!</definedName>
    <definedName name="H" localSheetId="18">#REF!</definedName>
    <definedName name="H">#REF!</definedName>
    <definedName name="H0" localSheetId="0">#REF!</definedName>
    <definedName name="H0" localSheetId="18">#REF!</definedName>
    <definedName name="H0">#REF!</definedName>
    <definedName name="HALag" localSheetId="18">#REF!</definedName>
    <definedName name="HALag">#REF!</definedName>
    <definedName name="HANDL" localSheetId="0">#REF!</definedName>
    <definedName name="HANDL" localSheetId="18">#REF!</definedName>
    <definedName name="HANDL">#REF!</definedName>
    <definedName name="HFL">#REF!</definedName>
    <definedName name="hh" localSheetId="0">#REF!</definedName>
    <definedName name="hh" localSheetId="18">#REF!</definedName>
    <definedName name="hh">#REF!</definedName>
    <definedName name="hhs" localSheetId="0">#REF!</definedName>
    <definedName name="hhs" localSheetId="18">#REF!</definedName>
    <definedName name="hhs">#REF!</definedName>
    <definedName name="hi">#REF!</definedName>
    <definedName name="HINDI" localSheetId="0">#REF!</definedName>
    <definedName name="HINDI" localSheetId="18">#REF!</definedName>
    <definedName name="HINDI">#REF!</definedName>
    <definedName name="HIns">#REF!</definedName>
    <definedName name="HNDCLR_CHGS" localSheetId="0">#REF!</definedName>
    <definedName name="HNDCLR_CHGS" localSheetId="18">#REF!</definedName>
    <definedName name="HNDCLR_CHGS">#REF!</definedName>
    <definedName name="ho" localSheetId="0">#REF!</definedName>
    <definedName name="ho" localSheetId="18">#REF!</definedName>
    <definedName name="ho">#REF!</definedName>
    <definedName name="hoi">#REF!</definedName>
    <definedName name="Hosp_Disc" localSheetId="18">#REF!</definedName>
    <definedName name="Hosp_Disc">#REF!</definedName>
    <definedName name="Hospital_Intervention_Team">#REF!,#REF!,#REF!</definedName>
    <definedName name="hS" localSheetId="0">#REF!</definedName>
    <definedName name="hS" localSheetId="18">#REF!</definedName>
    <definedName name="hS">#REF!</definedName>
    <definedName name="html" localSheetId="0" hidden="1">{"'PROFITABILITY'!$A$1:$F$45"}</definedName>
    <definedName name="html" localSheetId="12" hidden="1">{"'PROFITABILITY'!$A$1:$F$45"}</definedName>
    <definedName name="html" localSheetId="10" hidden="1">{"'PROFITABILITY'!$A$1:$F$45"}</definedName>
    <definedName name="html" localSheetId="18" hidden="1">{"'PROFITABILITY'!$A$1:$F$45"}</definedName>
    <definedName name="html" localSheetId="13" hidden="1">{"'PROFITABILITY'!$A$1:$F$45"}</definedName>
    <definedName name="html" hidden="1">{"'PROFITABILITY'!$A$1:$F$45"}</definedName>
    <definedName name="HTML_CodePage" hidden="1">1252</definedName>
    <definedName name="HTML_Control" localSheetId="0" hidden="1">{"'PROFITABILITY'!$A$1:$F$45"}</definedName>
    <definedName name="HTML_Control" localSheetId="12" hidden="1">{"'PROFITABILITY'!$A$1:$F$45"}</definedName>
    <definedName name="HTML_Control" localSheetId="10" hidden="1">{"'PROFITABILITY'!$A$1:$F$45"}</definedName>
    <definedName name="HTML_Control" localSheetId="18" hidden="1">{"'PROFITABILITY'!$A$1:$F$45"}</definedName>
    <definedName name="HTML_Control" localSheetId="13" hidden="1">{"'PROFITABILITY'!$A$1:$F$45"}</definedName>
    <definedName name="HTML_Control" hidden="1">{"'PROFITABILITY'!$A$1:$F$45"}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u" localSheetId="0">#REF!</definedName>
    <definedName name="Hu" localSheetId="18">#REF!</definedName>
    <definedName name="Hu">#REF!</definedName>
    <definedName name="hxb">#REF!</definedName>
    <definedName name="hxi">#REF!</definedName>
    <definedName name="i" localSheetId="0" hidden="1">{"'PROFITABILITY'!$A$1:$F$45"}</definedName>
    <definedName name="i" localSheetId="12" hidden="1">{"'PROFITABILITY'!$A$1:$F$45"}</definedName>
    <definedName name="i" localSheetId="10" hidden="1">{"'PROFITABILITY'!$A$1:$F$45"}</definedName>
    <definedName name="i" localSheetId="18" hidden="1">{"'PROFITABILITY'!$A$1:$F$45"}</definedName>
    <definedName name="i" localSheetId="13" hidden="1">{"'PROFITABILITY'!$A$1:$F$45"}</definedName>
    <definedName name="i" hidden="1">{"'PROFITABILITY'!$A$1:$F$45"}</definedName>
    <definedName name="ICS_DISCUSSION_C_ISSUES_List" localSheetId="0">#REF!</definedName>
    <definedName name="ICS_DISCUSSION_C_ISSUES_List" localSheetId="18">#REF!</definedName>
    <definedName name="ICS_DISCUSSION_C_ISSUES_List">#REF!</definedName>
    <definedName name="IDosCountries" localSheetId="18">#REF!</definedName>
    <definedName name="IDosCountries">#REF!</definedName>
    <definedName name="idto" localSheetId="0">#REF!</definedName>
    <definedName name="idto" localSheetId="18">#REF!</definedName>
    <definedName name="idto">#REF!</definedName>
    <definedName name="If" localSheetId="0">#REF!</definedName>
    <definedName name="If" localSheetId="18">#REF!</definedName>
    <definedName name="If">#REF!</definedName>
    <definedName name="IF_J_1_RUN__PROG1" localSheetId="0">#REF!</definedName>
    <definedName name="IF_J_1_RUN__PROG1" localSheetId="18">#REF!</definedName>
    <definedName name="IF_J_1_RUN__PROG1">#REF!</definedName>
    <definedName name="Ig" localSheetId="0">#REF!</definedName>
    <definedName name="Ig" localSheetId="18">#REF!</definedName>
    <definedName name="Ig">#REF!</definedName>
    <definedName name="IGP_M" localSheetId="0">#REF!</definedName>
    <definedName name="IGP_M" localSheetId="18">#REF!</definedName>
    <definedName name="IGP_M">#REF!</definedName>
    <definedName name="II" localSheetId="0">#REF!</definedName>
    <definedName name="II" localSheetId="18">#REF!</definedName>
    <definedName name="II">#REF!</definedName>
    <definedName name="iii" localSheetId="0">#REF!</definedName>
    <definedName name="iii" localSheetId="18">#REF!</definedName>
    <definedName name="iii">#REF!</definedName>
    <definedName name="ik" localSheetId="0">#REF!</definedName>
    <definedName name="ik" localSheetId="18">#REF!</definedName>
    <definedName name="ik">#REF!</definedName>
    <definedName name="Illumination" localSheetId="0">#REF!</definedName>
    <definedName name="Illumination" localSheetId="18">#REF!</definedName>
    <definedName name="Illumination">#REF!</definedName>
    <definedName name="IMACountries" localSheetId="18">#REF!</definedName>
    <definedName name="IMACountries">#REF!</definedName>
    <definedName name="Increase" localSheetId="0">#REF!</definedName>
    <definedName name="Increase" localSheetId="18">#REF!</definedName>
    <definedName name="Increase">#REF!</definedName>
    <definedName name="Indra" localSheetId="0">#REF!</definedName>
    <definedName name="Indra" localSheetId="18">#REF!</definedName>
    <definedName name="Indra">#REF!</definedName>
    <definedName name="INNCAGRS" localSheetId="0">#REF!</definedName>
    <definedName name="INNCAGRS" localSheetId="18">#REF!</definedName>
    <definedName name="INNCAGRS">#REF!</definedName>
    <definedName name="INOUT" localSheetId="18">#REF!</definedName>
    <definedName name="INOUT">#REF!</definedName>
    <definedName name="Insurance" localSheetId="0">#REF!</definedName>
    <definedName name="Insurance" localSheetId="18">#REF!</definedName>
    <definedName name="Insurance">#REF!</definedName>
    <definedName name="INT_CHGS" localSheetId="0">#REF!</definedName>
    <definedName name="INT_CHGS" localSheetId="18">#REF!</definedName>
    <definedName name="INT_CHGS">#REF!</definedName>
    <definedName name="IntasDossier" localSheetId="18">#REF!</definedName>
    <definedName name="IntasDossier">#REF!</definedName>
    <definedName name="IntasMA" localSheetId="18">#REF!</definedName>
    <definedName name="IntasMA">#REF!</definedName>
    <definedName name="internaluse" localSheetId="0">#REF!</definedName>
    <definedName name="internaluse" localSheetId="18">#REF!</definedName>
    <definedName name="internaluse">#REF!</definedName>
    <definedName name="IPRestrictions" localSheetId="0">#REF!</definedName>
    <definedName name="IPRestrictions" localSheetId="18">#REF!</definedName>
    <definedName name="IPRestrictions">#REF!</definedName>
    <definedName name="ipu" localSheetId="0">#REF!</definedName>
    <definedName name="ipu" localSheetId="18">#REF!</definedName>
    <definedName name="ipu">#REF!</definedName>
    <definedName name="Is" localSheetId="0">#REF!</definedName>
    <definedName name="Is" localSheetId="18">#REF!</definedName>
    <definedName name="Is">#REF!</definedName>
    <definedName name="ITEMCODE">#REF!</definedName>
    <definedName name="Ix" localSheetId="0">#REF!</definedName>
    <definedName name="Ix" localSheetId="18">#REF!</definedName>
    <definedName name="Ix">#REF!</definedName>
    <definedName name="Iy" localSheetId="0">#REF!</definedName>
    <definedName name="Iy" localSheetId="18">#REF!</definedName>
    <definedName name="Iy">#REF!</definedName>
    <definedName name="J" localSheetId="0">#REF!</definedName>
    <definedName name="J" localSheetId="18">#REF!</definedName>
    <definedName name="J">#REF!</definedName>
    <definedName name="JEERATE" localSheetId="18">#REF!</definedName>
    <definedName name="JEERATE">#REF!</definedName>
    <definedName name="JEJS" localSheetId="0">#REF!</definedName>
    <definedName name="JEJS" localSheetId="18">#REF!</definedName>
    <definedName name="JEJS">#REF!</definedName>
    <definedName name="JJKL">#REF!</definedName>
    <definedName name="jkbuj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>#REF!</definedName>
    <definedName name="k" localSheetId="0" hidden="1">{"'PROFITABILITY'!$A$1:$F$45"}</definedName>
    <definedName name="k" localSheetId="12" hidden="1">{"'PROFITABILITY'!$A$1:$F$45"}</definedName>
    <definedName name="k" localSheetId="10" hidden="1">{"'PROFITABILITY'!$A$1:$F$45"}</definedName>
    <definedName name="k" localSheetId="18" hidden="1">{"'PROFITABILITY'!$A$1:$F$45"}</definedName>
    <definedName name="k" localSheetId="13" hidden="1">{"'PROFITABILITY'!$A$1:$F$45"}</definedName>
    <definedName name="k" hidden="1">{"'PROFITABILITY'!$A$1:$F$45"}</definedName>
    <definedName name="k1s" localSheetId="0">#REF!</definedName>
    <definedName name="k1s" localSheetId="18">#REF!</definedName>
    <definedName name="k1s">#REF!</definedName>
    <definedName name="k2s" localSheetId="0">#REF!</definedName>
    <definedName name="k2s" localSheetId="18">#REF!</definedName>
    <definedName name="k2s">#REF!</definedName>
    <definedName name="ka" localSheetId="0">#REF!</definedName>
    <definedName name="ka" localSheetId="18">#REF!</definedName>
    <definedName name="ka">#REF!</definedName>
    <definedName name="kb" localSheetId="0">#REF!</definedName>
    <definedName name="kb" localSheetId="18">#REF!</definedName>
    <definedName name="kb">#REF!</definedName>
    <definedName name="kc" localSheetId="0">#REF!</definedName>
    <definedName name="kc" localSheetId="18">#REF!</definedName>
    <definedName name="kc">#REF!</definedName>
    <definedName name="kec" localSheetId="0" hidden="1">{"'PROFITABILITY'!$A$1:$F$45"}</definedName>
    <definedName name="kec" localSheetId="12" hidden="1">{"'PROFITABILITY'!$A$1:$F$45"}</definedName>
    <definedName name="kec" localSheetId="10" hidden="1">{"'PROFITABILITY'!$A$1:$F$45"}</definedName>
    <definedName name="kec" localSheetId="18" hidden="1">{"'PROFITABILITY'!$A$1:$F$45"}</definedName>
    <definedName name="kec" localSheetId="13" hidden="1">{"'PROFITABILITY'!$A$1:$F$45"}</definedName>
    <definedName name="kec" hidden="1">{"'PROFITABILITY'!$A$1:$F$45"}</definedName>
    <definedName name="KEL" localSheetId="0">#REF!</definedName>
    <definedName name="KEL" localSheetId="18">#REF!</definedName>
    <definedName name="KEL">#REF!</definedName>
    <definedName name="KET" localSheetId="0">#REF!</definedName>
    <definedName name="KET" localSheetId="18">#REF!</definedName>
    <definedName name="KET">#REF!</definedName>
    <definedName name="Kh" localSheetId="0">#REF!</definedName>
    <definedName name="Kh" localSheetId="18">#REF!</definedName>
    <definedName name="Kh">#REF!</definedName>
    <definedName name="Ki" localSheetId="0">#REF!</definedName>
    <definedName name="Ki" localSheetId="18">#REF!</definedName>
    <definedName name="Ki">#REF!</definedName>
    <definedName name="Kii" localSheetId="0">#REF!</definedName>
    <definedName name="Kii" localSheetId="18">#REF!</definedName>
    <definedName name="Kii">#REF!</definedName>
    <definedName name="kllkl">#REF!</definedName>
    <definedName name="KLM" localSheetId="0">#REF!</definedName>
    <definedName name="KLM" localSheetId="18">#REF!</definedName>
    <definedName name="KLM">#REF!</definedName>
    <definedName name="Km" localSheetId="0">#REF!</definedName>
    <definedName name="Km" localSheetId="18">#REF!</definedName>
    <definedName name="Km">#REF!</definedName>
    <definedName name="knlkk">#REF!</definedName>
    <definedName name="kptl" localSheetId="0">#REF!</definedName>
    <definedName name="kptl" localSheetId="18">#REF!</definedName>
    <definedName name="kptl">#REF!</definedName>
    <definedName name="Ks" localSheetId="0">#REF!</definedName>
    <definedName name="Ks" localSheetId="18">#REF!</definedName>
    <definedName name="Ks">#REF!</definedName>
    <definedName name="KST" localSheetId="0">#REF!</definedName>
    <definedName name="KST" localSheetId="18">#REF!</definedName>
    <definedName name="KST">#REF!</definedName>
    <definedName name="kst_4.20" localSheetId="0">#REF!</definedName>
    <definedName name="kst_4.20" localSheetId="18">#REF!</definedName>
    <definedName name="kst_4.20">#REF!</definedName>
    <definedName name="L" localSheetId="0" hidden="1">#REF!</definedName>
    <definedName name="L" localSheetId="18" hidden="1">#REF!</definedName>
    <definedName name="L" hidden="1">#REF!</definedName>
    <definedName name="L__m" localSheetId="0">#REF!</definedName>
    <definedName name="L__m" localSheetId="18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1__m" localSheetId="0">#REF!</definedName>
    <definedName name="L1__m" localSheetId="18">#REF!</definedName>
    <definedName name="L1__m">#REF!</definedName>
    <definedName name="L2__m" localSheetId="0">#REF!</definedName>
    <definedName name="L2__m" localSheetId="18">#REF!</definedName>
    <definedName name="L2__m">#REF!</definedName>
    <definedName name="La" localSheetId="0">#REF!</definedName>
    <definedName name="La" localSheetId="18">#REF!</definedName>
    <definedName name="La">#REF!</definedName>
    <definedName name="lakh">#REF!</definedName>
    <definedName name="LAMP" localSheetId="0">#REF!</definedName>
    <definedName name="LAMP" localSheetId="18">#REF!</definedName>
    <definedName name="LAMP">#REF!</definedName>
    <definedName name="lane_width" localSheetId="0">#REF!</definedName>
    <definedName name="lane_width" localSheetId="18">#REF!</definedName>
    <definedName name="lane_width">#REF!</definedName>
    <definedName name="LanguageComment" localSheetId="0">#REF!</definedName>
    <definedName name="LanguageComment" localSheetId="18">#REF!</definedName>
    <definedName name="LanguageComment">#REF!</definedName>
    <definedName name="Lb" localSheetId="0">#REF!</definedName>
    <definedName name="Lb" localSheetId="18">#REF!</definedName>
    <definedName name="Lb">#REF!</definedName>
    <definedName name="lc" localSheetId="0">#REF!</definedName>
    <definedName name="lc" localSheetId="18">#REF!</definedName>
    <definedName name="lc">#REF!</definedName>
    <definedName name="LC_CHGS" localSheetId="0">#REF!</definedName>
    <definedName name="LC_CHGS" localSheetId="18">#REF!</definedName>
    <definedName name="LC_CHGS">#REF!</definedName>
    <definedName name="lc1i4f" localSheetId="0">#REF!</definedName>
    <definedName name="lc1i4f" localSheetId="18">#REF!</definedName>
    <definedName name="lc1i4f">#REF!</definedName>
    <definedName name="lc1i5f" localSheetId="0">#REF!</definedName>
    <definedName name="lc1i5f" localSheetId="18">#REF!</definedName>
    <definedName name="lc1i5f">#REF!</definedName>
    <definedName name="lc2i1bc8f" localSheetId="0">#REF!</definedName>
    <definedName name="lc2i1bc8f" localSheetId="18">#REF!</definedName>
    <definedName name="lc2i1bc8f">#REF!</definedName>
    <definedName name="lc350mcbc" localSheetId="0">#REF!</definedName>
    <definedName name="lc350mcbc" localSheetId="18">#REF!</definedName>
    <definedName name="lc350mcbc">#REF!</definedName>
    <definedName name="lc350mcfdr" localSheetId="0">#REF!</definedName>
    <definedName name="lc350mcfdr" localSheetId="18">#REF!</definedName>
    <definedName name="lc350mcfdr">#REF!</definedName>
    <definedName name="lc350mcic" localSheetId="0">#REF!</definedName>
    <definedName name="lc350mcic" localSheetId="18">#REF!</definedName>
    <definedName name="lc350mcic">#REF!</definedName>
    <definedName name="lc350pcfdr" localSheetId="0">#REF!</definedName>
    <definedName name="lc350pcfdr" localSheetId="18">#REF!</definedName>
    <definedName name="lc350pcfdr">#REF!</definedName>
    <definedName name="lc350pcic" localSheetId="0">#REF!</definedName>
    <definedName name="lc350pcic" localSheetId="18">#REF!</definedName>
    <definedName name="lc350pcic">#REF!</definedName>
    <definedName name="lc500mcbc" localSheetId="0">#REF!</definedName>
    <definedName name="lc500mcbc" localSheetId="18">#REF!</definedName>
    <definedName name="lc500mcbc">#REF!</definedName>
    <definedName name="lc500mcfdr" localSheetId="0">#REF!</definedName>
    <definedName name="lc500mcfdr" localSheetId="18">#REF!</definedName>
    <definedName name="lc500mcfdr">#REF!</definedName>
    <definedName name="lc500mcic" localSheetId="0">#REF!</definedName>
    <definedName name="lc500mcic" localSheetId="18">#REF!</definedName>
    <definedName name="lc500mcic">#REF!</definedName>
    <definedName name="lcabbbc" localSheetId="0">#REF!</definedName>
    <definedName name="lcabbbc" localSheetId="18">#REF!</definedName>
    <definedName name="lcabbbc">#REF!</definedName>
    <definedName name="lcabbfdr" localSheetId="0">#REF!</definedName>
    <definedName name="lcabbfdr" localSheetId="18">#REF!</definedName>
    <definedName name="lcabbfdr">#REF!</definedName>
    <definedName name="lcabbic" localSheetId="0">#REF!</definedName>
    <definedName name="lcabbic" localSheetId="18">#REF!</definedName>
    <definedName name="lcabbic">#REF!</definedName>
    <definedName name="lcs" localSheetId="0">#REF!</definedName>
    <definedName name="lcs" localSheetId="18">#REF!</definedName>
    <definedName name="lcs">#REF!</definedName>
    <definedName name="LD_Analysis" localSheetId="0">#REF!</definedName>
    <definedName name="LD_Analysis" localSheetId="18">#REF!</definedName>
    <definedName name="LD_Analysis">#REF!</definedName>
    <definedName name="le" localSheetId="0">#REF!</definedName>
    <definedName name="le" localSheetId="18">#REF!</definedName>
    <definedName name="le">#REF!</definedName>
    <definedName name="least" localSheetId="0">#REF!</definedName>
    <definedName name="least" localSheetId="18">#REF!</definedName>
    <definedName name="least">#REF!</definedName>
    <definedName name="len" localSheetId="0">#REF!</definedName>
    <definedName name="len" localSheetId="18">#REF!</definedName>
    <definedName name="len">#REF!</definedName>
    <definedName name="length" localSheetId="0">#REF!</definedName>
    <definedName name="length" localSheetId="18">#REF!</definedName>
    <definedName name="length">#REF!</definedName>
    <definedName name="limcount" hidden="1">1</definedName>
    <definedName name="line" localSheetId="0">#REF!</definedName>
    <definedName name="line" localSheetId="18">#REF!</definedName>
    <definedName name="line">#REF!</definedName>
    <definedName name="Lm" localSheetId="0">#REF!</definedName>
    <definedName name="Lm" localSheetId="18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ND_CHGS" localSheetId="0">#REF!</definedName>
    <definedName name="LND_CHGS" localSheetId="18">#REF!</definedName>
    <definedName name="LND_CHGS">#REF!</definedName>
    <definedName name="load">#REF!</definedName>
    <definedName name="Location" localSheetId="0">#REF!</definedName>
    <definedName name="Location" localSheetId="18">#REF!</definedName>
    <definedName name="Location">#REF!</definedName>
    <definedName name="logo1">"Picture 7"</definedName>
    <definedName name="logoa" localSheetId="0">#REF!</definedName>
    <definedName name="logoa" localSheetId="18">#REF!</definedName>
    <definedName name="logoa">#REF!</definedName>
    <definedName name="Lr" localSheetId="0">#REF!</definedName>
    <definedName name="Lr" localSheetId="18">#REF!</definedName>
    <definedName name="Lr">#REF!</definedName>
    <definedName name="ls" localSheetId="0">#REF!</definedName>
    <definedName name="ls" localSheetId="18">#REF!</definedName>
    <definedName name="ls">#REF!</definedName>
    <definedName name="LTswitchgear" localSheetId="0">#REF!</definedName>
    <definedName name="LTswitchgear" localSheetId="18">#REF!</definedName>
    <definedName name="LTswitchgear">#REF!</definedName>
    <definedName name="LTTrafo">#REF!</definedName>
    <definedName name="Ltwo400">#REF!</definedName>
    <definedName name="Ltwo765">#REF!</definedName>
    <definedName name="LUMEN" localSheetId="0">#REF!</definedName>
    <definedName name="LUMEN" localSheetId="18">#REF!</definedName>
    <definedName name="LUMEN">#REF!</definedName>
    <definedName name="LUX" localSheetId="0">#REF!</definedName>
    <definedName name="LUX" localSheetId="18">#REF!</definedName>
    <definedName name="LUX">#REF!</definedName>
    <definedName name="LWL">#REF!</definedName>
    <definedName name="Lx" localSheetId="0">#REF!</definedName>
    <definedName name="Lx" localSheetId="18">#REF!</definedName>
    <definedName name="Lx">#REF!</definedName>
    <definedName name="M" localSheetId="0">#REF!</definedName>
    <definedName name="M" localSheetId="18">#REF!</definedName>
    <definedName name="M">#REF!</definedName>
    <definedName name="M_Aggregate_10">#REF!</definedName>
    <definedName name="M_Aggregate_20">#REF!</definedName>
    <definedName name="M_Aggregate_40">#REF!</definedName>
    <definedName name="M_BindingWire">#REF!</definedName>
    <definedName name="M_Cement">#REF!</definedName>
    <definedName name="M_RCCPipeNP4_1000mm">#REF!</definedName>
    <definedName name="M_Sand_Coarse">#REF!</definedName>
    <definedName name="MA_incountry" localSheetId="18">#REF!</definedName>
    <definedName name="MA_incountry">#REF!</definedName>
    <definedName name="MA_incountry_T" localSheetId="18">#REF!</definedName>
    <definedName name="MA_incountry_T">#REF!</definedName>
    <definedName name="MA_intercountry" localSheetId="18">#REF!</definedName>
    <definedName name="MA_intercountry">#REF!</definedName>
    <definedName name="MA_intercountry_T" localSheetId="18">#REF!</definedName>
    <definedName name="MA_intercountry_T">#REF!</definedName>
    <definedName name="MAConsolidation" localSheetId="18">#REF!</definedName>
    <definedName name="MAConsolidation">#REF!</definedName>
    <definedName name="MAConsolidationCountries" localSheetId="18">#REF!</definedName>
    <definedName name="MAConsolidationCountries">#REF!</definedName>
    <definedName name="MAConsolidationMols" localSheetId="18">#REF!</definedName>
    <definedName name="MAConsolidationMols">#REF!</definedName>
    <definedName name="Main" localSheetId="18">#REF!</definedName>
    <definedName name="Main">#REF!</definedName>
    <definedName name="major" localSheetId="18">#REF!</definedName>
    <definedName name="major">#REF!</definedName>
    <definedName name="majord" localSheetId="0">#REF!</definedName>
    <definedName name="majord" localSheetId="18">#REF!</definedName>
    <definedName name="majord">#REF!</definedName>
    <definedName name="majororders" localSheetId="0">#REF!</definedName>
    <definedName name="majororders" localSheetId="18">#REF!</definedName>
    <definedName name="majororders">#REF!</definedName>
    <definedName name="man" localSheetId="0">#REF!</definedName>
    <definedName name="man" localSheetId="18">#REF!</definedName>
    <definedName name="man">#REF!</definedName>
    <definedName name="Mandatory" localSheetId="0">'765KV TA 414 VNTL'!Mandatory</definedName>
    <definedName name="Mandatory" localSheetId="12">#N/A</definedName>
    <definedName name="Mandatory" localSheetId="10">#N/A</definedName>
    <definedName name="Mandatory" localSheetId="18">'Stringing Compiled'!Mandatory</definedName>
    <definedName name="Mandatory" localSheetId="13">#N/A</definedName>
    <definedName name="Mandatory">'765KV TA 414 VNTL'!Mandatory</definedName>
    <definedName name="Manday_Rate" localSheetId="0">#REF!</definedName>
    <definedName name="Manday_Rate" localSheetId="18">#REF!</definedName>
    <definedName name="Manday_Rate">#REF!</definedName>
    <definedName name="manday1" localSheetId="0">#REF!</definedName>
    <definedName name="manday1" localSheetId="18">#REF!</definedName>
    <definedName name="manday1">#REF!</definedName>
    <definedName name="manpower" localSheetId="0">#REF!</definedName>
    <definedName name="manpower" localSheetId="18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ginalCosts" localSheetId="0">#REF!</definedName>
    <definedName name="MarginalCosts" localSheetId="18">#REF!</definedName>
    <definedName name="MarginalCosts">#REF!</definedName>
    <definedName name="MarginalCostsSM" localSheetId="0">#REF!</definedName>
    <definedName name="MarginalCostsSM" localSheetId="18">#REF!</definedName>
    <definedName name="MarginalCostsSM">#REF!</definedName>
    <definedName name="MARKETSHAREPYHIGH" localSheetId="0">#REF!</definedName>
    <definedName name="MARKETSHAREPYHIGH" localSheetId="18">#REF!</definedName>
    <definedName name="MARKETSHAREPYHIGH">#REF!</definedName>
    <definedName name="MARKETSHAREPYLOW" localSheetId="0">#REF!</definedName>
    <definedName name="MARKETSHAREPYLOW" localSheetId="18">#REF!</definedName>
    <definedName name="MARKETSHAREPYLOW">#REF!</definedName>
    <definedName name="MAS" localSheetId="0">#REF!</definedName>
    <definedName name="MAS" localSheetId="18">#REF!</definedName>
    <definedName name="MAS">#REF!</definedName>
    <definedName name="MasterMolDoseList">#REF!</definedName>
    <definedName name="Masterpreisliste_Access_ohne_CHAR_10_" localSheetId="0">#REF!</definedName>
    <definedName name="Masterpreisliste_Access_ohne_CHAR_10_" localSheetId="18">#REF!</definedName>
    <definedName name="Masterpreisliste_Access_ohne_CHAR_10_">#REF!</definedName>
    <definedName name="MATHS" localSheetId="0">#REF!</definedName>
    <definedName name="MATHS" localSheetId="18">#REF!</definedName>
    <definedName name="MATHS">#REF!</definedName>
    <definedName name="Mb" localSheetId="0">#REF!</definedName>
    <definedName name="Mb" localSheetId="18">#REF!</definedName>
    <definedName name="Mb">#REF!</definedName>
    <definedName name="Mc" localSheetId="0">#REF!</definedName>
    <definedName name="Mc" localSheetId="18">#REF!</definedName>
    <definedName name="Mc">#REF!</definedName>
    <definedName name="MC_ABB_Imp" localSheetId="0">#REF!</definedName>
    <definedName name="MC_ABB_Imp" localSheetId="18">#REF!</definedName>
    <definedName name="MC_ABB_Imp">#REF!</definedName>
    <definedName name="MC_ABB_local" localSheetId="0">#REF!</definedName>
    <definedName name="MC_ABB_local" localSheetId="18">#REF!</definedName>
    <definedName name="MC_ABB_local">#REF!</definedName>
    <definedName name="MC_ABB_peenya" localSheetId="0">#REF!</definedName>
    <definedName name="MC_ABB_peenya" localSheetId="18">#REF!</definedName>
    <definedName name="MC_ABB_peenya">#REF!</definedName>
    <definedName name="MC_AIC_Imp" localSheetId="0">#REF!</definedName>
    <definedName name="MC_AIC_Imp" localSheetId="18">#REF!</definedName>
    <definedName name="MC_AIC_Imp">#REF!</definedName>
    <definedName name="MC_AIC_local" localSheetId="0">#REF!</definedName>
    <definedName name="MC_AIC_local" localSheetId="18">#REF!</definedName>
    <definedName name="MC_AIC_local">#REF!</definedName>
    <definedName name="MC_DEMHW" localSheetId="0">#REF!</definedName>
    <definedName name="MC_DEMHW" localSheetId="18">#REF!</definedName>
    <definedName name="MC_DEMHW">#REF!</definedName>
    <definedName name="MC_DEMSW" localSheetId="0">#REF!</definedName>
    <definedName name="MC_DEMSW" localSheetId="18">#REF!</definedName>
    <definedName name="MC_DEMSW">#REF!</definedName>
    <definedName name="MC_FFRHW" localSheetId="0">#REF!</definedName>
    <definedName name="MC_FFRHW" localSheetId="18">#REF!</definedName>
    <definedName name="MC_FFRHW">#REF!</definedName>
    <definedName name="MC_FFRSW" localSheetId="0">#REF!</definedName>
    <definedName name="MC_FFRSW" localSheetId="18">#REF!</definedName>
    <definedName name="MC_FFRSW">#REF!</definedName>
    <definedName name="MC_FIMHW" localSheetId="0">#REF!</definedName>
    <definedName name="MC_FIMHW" localSheetId="18">#REF!</definedName>
    <definedName name="MC_FIMHW">#REF!</definedName>
    <definedName name="MC_FIMSW" localSheetId="0">#REF!</definedName>
    <definedName name="MC_FIMSW" localSheetId="18">#REF!</definedName>
    <definedName name="MC_FIMSW">#REF!</definedName>
    <definedName name="MC_NOKHW" localSheetId="0">#REF!</definedName>
    <definedName name="MC_NOKHW" localSheetId="18">#REF!</definedName>
    <definedName name="MC_NOKHW">#REF!</definedName>
    <definedName name="MC_NOKSW" localSheetId="0">#REF!</definedName>
    <definedName name="MC_NOKSW" localSheetId="18">#REF!</definedName>
    <definedName name="MC_NOKSW">#REF!</definedName>
    <definedName name="MC_NonABB_Imp" localSheetId="0">#REF!</definedName>
    <definedName name="MC_NonABB_Imp" localSheetId="18">#REF!</definedName>
    <definedName name="MC_NonABB_Imp">#REF!</definedName>
    <definedName name="MC_NonABB_local" localSheetId="0">#REF!</definedName>
    <definedName name="MC_NonABB_local" localSheetId="18">#REF!</definedName>
    <definedName name="MC_NonABB_local">#REF!</definedName>
    <definedName name="MC_SEKHW" localSheetId="0">#REF!</definedName>
    <definedName name="MC_SEKHW" localSheetId="18">#REF!</definedName>
    <definedName name="MC_SEKHW">#REF!</definedName>
    <definedName name="MC_SEKSW" localSheetId="0">#REF!</definedName>
    <definedName name="MC_SEKSW" localSheetId="18">#REF!</definedName>
    <definedName name="MC_SEKSW">#REF!</definedName>
    <definedName name="MC_SFRHW" localSheetId="0">#REF!</definedName>
    <definedName name="MC_SFRHW" localSheetId="18">#REF!</definedName>
    <definedName name="MC_SFRHW">#REF!</definedName>
    <definedName name="MC_SFRSW" localSheetId="0">#REF!</definedName>
    <definedName name="MC_SFRSW" localSheetId="18">#REF!</definedName>
    <definedName name="MC_SFRSW">#REF!</definedName>
    <definedName name="MC_UKPHW" localSheetId="0">#REF!</definedName>
    <definedName name="MC_UKPHW" localSheetId="18">#REF!</definedName>
    <definedName name="MC_UKPHW">#REF!</definedName>
    <definedName name="MC_UKPSW" localSheetId="0">#REF!</definedName>
    <definedName name="MC_UKPSW" localSheetId="18">#REF!</definedName>
    <definedName name="MC_UKPSW">#REF!</definedName>
    <definedName name="MC_USDHW" localSheetId="0">#REF!</definedName>
    <definedName name="MC_USDHW" localSheetId="18">#REF!</definedName>
    <definedName name="MC_USDHW">#REF!</definedName>
    <definedName name="MC_USDSW" localSheetId="0">#REF!</definedName>
    <definedName name="MC_USDSW" localSheetId="18">#REF!</definedName>
    <definedName name="MC_USDSW">#REF!</definedName>
    <definedName name="MC_YENHW" localSheetId="0">#REF!</definedName>
    <definedName name="MC_YENHW" localSheetId="18">#REF!</definedName>
    <definedName name="MC_YENHW">#REF!</definedName>
    <definedName name="MC_YENSW" localSheetId="0">#REF!</definedName>
    <definedName name="MC_YENSW" localSheetId="18">#REF!</definedName>
    <definedName name="MC_YENSW">#REF!</definedName>
    <definedName name="mcabb3501i5f" localSheetId="0">#REF!</definedName>
    <definedName name="mcabb3501i5f" localSheetId="18">#REF!</definedName>
    <definedName name="mcabb3501i5f">#REF!</definedName>
    <definedName name="mcabb3502i1bc8f" localSheetId="0">#REF!</definedName>
    <definedName name="mcabb3502i1bc8f" localSheetId="18">#REF!</definedName>
    <definedName name="mcabb3502i1bc8f">#REF!</definedName>
    <definedName name="mcabb5002i1bc8f" localSheetId="0">#REF!</definedName>
    <definedName name="mcabb5002i1bc8f" localSheetId="18">#REF!</definedName>
    <definedName name="mcabb5002i1bc8f">#REF!</definedName>
    <definedName name="MCi">#REF!</definedName>
    <definedName name="mcmc1i5f" localSheetId="0">#REF!</definedName>
    <definedName name="mcmc1i5f" localSheetId="18">#REF!</definedName>
    <definedName name="mcmc1i5f">#REF!</definedName>
    <definedName name="mcmc3502i1bc8f" localSheetId="0">#REF!</definedName>
    <definedName name="mcmc3502i1bc8f" localSheetId="18">#REF!</definedName>
    <definedName name="mcmc3502i1bc8f">#REF!</definedName>
    <definedName name="mcmc5002i1bc8f" localSheetId="0">#REF!</definedName>
    <definedName name="mcmc5002i1bc8f" localSheetId="18">#REF!</definedName>
    <definedName name="mcmc5002i1bc8f">#REF!</definedName>
    <definedName name="mcpc1i4f" localSheetId="0">#REF!</definedName>
    <definedName name="mcpc1i4f" localSheetId="18">#REF!</definedName>
    <definedName name="mcpc1i4f">#REF!</definedName>
    <definedName name="mcvr">#REF!</definedName>
    <definedName name="mdp">#REF!</definedName>
    <definedName name="MDVT_ABSP" localSheetId="0">#REF!</definedName>
    <definedName name="MDVT_ABSP" localSheetId="18">#REF!</definedName>
    <definedName name="MDVT_ABSP">#REF!</definedName>
    <definedName name="Med" localSheetId="0">#REF!</definedName>
    <definedName name="Med" localSheetId="18">#REF!</definedName>
    <definedName name="Med">#REF!</definedName>
    <definedName name="method">#REF!</definedName>
    <definedName name="mf" localSheetId="0" hidden="1">{"'PROFITABILITY'!$A$1:$F$45"}</definedName>
    <definedName name="mf" localSheetId="12" hidden="1">{"'PROFITABILITY'!$A$1:$F$45"}</definedName>
    <definedName name="mf" localSheetId="10" hidden="1">{"'PROFITABILITY'!$A$1:$F$45"}</definedName>
    <definedName name="mf" localSheetId="18" hidden="1">{"'PROFITABILITY'!$A$1:$F$45"}</definedName>
    <definedName name="mf" localSheetId="13" hidden="1">{"'PROFITABILITY'!$A$1:$F$45"}</definedName>
    <definedName name="mf" hidden="1">{"'PROFITABILITY'!$A$1:$F$45"}</definedName>
    <definedName name="MF_ABB_local" localSheetId="0">#REF!</definedName>
    <definedName name="MF_ABB_local" localSheetId="18">#REF!</definedName>
    <definedName name="MF_ABB_local">#REF!</definedName>
    <definedName name="MF_ABB_peenya" localSheetId="0">#REF!</definedName>
    <definedName name="MF_ABB_peenya" localSheetId="18">#REF!</definedName>
    <definedName name="MF_ABB_peenya">#REF!</definedName>
    <definedName name="MF_AIC_Imp" localSheetId="0">#REF!</definedName>
    <definedName name="MF_AIC_Imp" localSheetId="18">#REF!</definedName>
    <definedName name="MF_AIC_Imp">#REF!</definedName>
    <definedName name="MF_AIC_local" localSheetId="0">#REF!</definedName>
    <definedName name="MF_AIC_local" localSheetId="18">#REF!</definedName>
    <definedName name="MF_AIC_local">#REF!</definedName>
    <definedName name="MF_AUTImp_ABB" localSheetId="0">#REF!</definedName>
    <definedName name="MF_AUTImp_ABB" localSheetId="18">#REF!</definedName>
    <definedName name="MF_AUTImp_ABB">#REF!</definedName>
    <definedName name="MF_AUTImp_NonABB" localSheetId="0">#REF!</definedName>
    <definedName name="MF_AUTImp_NonABB" localSheetId="18">#REF!</definedName>
    <definedName name="MF_AUTImp_NonABB">#REF!</definedName>
    <definedName name="MF_NonABB_local" localSheetId="0">#REF!</definedName>
    <definedName name="MF_NonABB_local" localSheetId="18">#REF!</definedName>
    <definedName name="MF_NonABB_local">#REF!</definedName>
    <definedName name="Min_Exp_Well">#REF!</definedName>
    <definedName name="minor" localSheetId="18">#REF!</definedName>
    <definedName name="minor">#REF!</definedName>
    <definedName name="Misc_charges" localSheetId="0">#REF!</definedName>
    <definedName name="Misc_charges" localSheetId="18">#REF!</definedName>
    <definedName name="Misc_charges">#REF!</definedName>
    <definedName name="mm" localSheetId="0" hidden="1">#REF!</definedName>
    <definedName name="mm" localSheetId="18" hidden="1">#REF!</definedName>
    <definedName name="mm" hidden="1">#REF!</definedName>
    <definedName name="mmm" localSheetId="18">#REF!</definedName>
    <definedName name="mmm">#REF!</definedName>
    <definedName name="Model_Comparison" localSheetId="0">#REF!</definedName>
    <definedName name="Model_Comparison" localSheetId="18">#REF!</definedName>
    <definedName name="Model_Comparison">#REF!</definedName>
    <definedName name="modvat" localSheetId="0">#REF!</definedName>
    <definedName name="modvat" localSheetId="18">#REF!</definedName>
    <definedName name="modvat">#REF!</definedName>
    <definedName name="molecules" localSheetId="18">#REF!</definedName>
    <definedName name="molecules">#REF!</definedName>
    <definedName name="Month">#REF!</definedName>
    <definedName name="MonthYear">#REF!</definedName>
    <definedName name="MQAKAM" localSheetId="0">#REF!</definedName>
    <definedName name="MQAKAM" localSheetId="18">#REF!</definedName>
    <definedName name="MQAKAM">#REF!</definedName>
    <definedName name="Ms" localSheetId="0">#REF!</definedName>
    <definedName name="Ms" localSheetId="18">#REF!</definedName>
    <definedName name="Ms">#REF!</definedName>
    <definedName name="MS_Royalty" localSheetId="0">#REF!</definedName>
    <definedName name="MS_Royalty" localSheetId="18">#REF!</definedName>
    <definedName name="MS_Royalty">#REF!</definedName>
    <definedName name="mujj" localSheetId="0">#REF!</definedName>
    <definedName name="mujj" localSheetId="18">#REF!</definedName>
    <definedName name="mujj">#REF!</definedName>
    <definedName name="Mulimit" localSheetId="0">#REF!</definedName>
    <definedName name="Mulimit" localSheetId="18">#REF!</definedName>
    <definedName name="Mulimit">#REF!</definedName>
    <definedName name="Musculoskeletal_Interface_clinic">#REF!,#REF!,#REF!</definedName>
    <definedName name="MVP_Total" localSheetId="0">#REF!</definedName>
    <definedName name="MVP_Total" localSheetId="18">#REF!</definedName>
    <definedName name="MVP_Total">#REF!</definedName>
    <definedName name="MyPBRScenario" localSheetId="0">#REF!</definedName>
    <definedName name="MyPBRScenario" localSheetId="18">#REF!</definedName>
    <definedName name="MyPBRScenario">#REF!</definedName>
    <definedName name="N" localSheetId="0">#REF!</definedName>
    <definedName name="N" localSheetId="18">#REF!</definedName>
    <definedName name="N">#REF!</definedName>
    <definedName name="Nature">#REF!</definedName>
    <definedName name="Nc" localSheetId="0">#REF!</definedName>
    <definedName name="Nc" localSheetId="18">#REF!</definedName>
    <definedName name="Nc">#REF!</definedName>
    <definedName name="NcIS" localSheetId="0">#REF!</definedName>
    <definedName name="NcIS" localSheetId="18">#REF!</definedName>
    <definedName name="NcIS">#REF!</definedName>
    <definedName name="NIL" localSheetId="0">#REF!</definedName>
    <definedName name="NIL" localSheetId="18">#REF!</definedName>
    <definedName name="NIL">#REF!</definedName>
    <definedName name="NJPE" localSheetId="18">#REF!</definedName>
    <definedName name="NJPE">#REF!</definedName>
    <definedName name="njspsche" localSheetId="18">#REF!</definedName>
    <definedName name="njspsche">#REF!</definedName>
    <definedName name="nlg_cd" localSheetId="0">#REF!</definedName>
    <definedName name="nlg_cd" localSheetId="18">#REF!</definedName>
    <definedName name="nlg_cd">#REF!</definedName>
    <definedName name="nlg_er" localSheetId="0">#REF!</definedName>
    <definedName name="nlg_er" localSheetId="18">#REF!</definedName>
    <definedName name="nlg_er">#REF!</definedName>
    <definedName name="nlg_fi" localSheetId="0">#REF!</definedName>
    <definedName name="nlg_fi" localSheetId="18">#REF!</definedName>
    <definedName name="nlg_fi">#REF!</definedName>
    <definedName name="NN" localSheetId="0">#REF!</definedName>
    <definedName name="NN" localSheetId="18">#REF!</definedName>
    <definedName name="NN">#REF!</definedName>
    <definedName name="no_name" localSheetId="0">#REF!</definedName>
    <definedName name="no_name" localSheetId="18">#REF!</definedName>
    <definedName name="no_name">#REF!</definedName>
    <definedName name="NOK" localSheetId="0">#REF!</definedName>
    <definedName name="NOK" localSheetId="18">#REF!</definedName>
    <definedName name="NOK">#REF!</definedName>
    <definedName name="NONSOR">#REF!</definedName>
    <definedName name="Nos" localSheetId="0">#REF!</definedName>
    <definedName name="Nos" localSheetId="18">#REF!</definedName>
    <definedName name="Nos">#REF!</definedName>
    <definedName name="NPV_Risk" localSheetId="0">#REF!</definedName>
    <definedName name="NPV_Risk" localSheetId="18">#REF!</definedName>
    <definedName name="NPV_Risk">#REF!</definedName>
    <definedName name="NqIS" localSheetId="0">#REF!</definedName>
    <definedName name="NqIS" localSheetId="18">#REF!</definedName>
    <definedName name="NqIS">#REF!</definedName>
    <definedName name="NrIS" localSheetId="0">#REF!</definedName>
    <definedName name="NrIS" localSheetId="18">#REF!</definedName>
    <definedName name="NrIS">#REF!</definedName>
    <definedName name="Nsd">#REF!</definedName>
    <definedName name="Nsda" localSheetId="0">#REF!</definedName>
    <definedName name="Nsda" localSheetId="18">#REF!</definedName>
    <definedName name="Nsda">#REF!</definedName>
    <definedName name="Nsdb" localSheetId="0">#REF!</definedName>
    <definedName name="Nsdb" localSheetId="18">#REF!</definedName>
    <definedName name="Nsdb">#REF!</definedName>
    <definedName name="Nsm" localSheetId="0">#REF!</definedName>
    <definedName name="Nsm" localSheetId="18">#REF!</definedName>
    <definedName name="Nsm">#REF!</definedName>
    <definedName name="Nt" localSheetId="0">#REF!</definedName>
    <definedName name="Nt" localSheetId="18">#REF!</definedName>
    <definedName name="Nt">#REF!</definedName>
    <definedName name="num2text">#REF!</definedName>
    <definedName name="Nur" localSheetId="0">#REF!</definedName>
    <definedName name="Nur" localSheetId="18">#REF!</definedName>
    <definedName name="Nur">#REF!</definedName>
    <definedName name="Nx" localSheetId="0">#REF!</definedName>
    <definedName name="Nx" localSheetId="18">#REF!</definedName>
    <definedName name="Nx">#REF!</definedName>
    <definedName name="nxs" localSheetId="0">#REF!</definedName>
    <definedName name="nxs" localSheetId="18">#REF!</definedName>
    <definedName name="nxs">#REF!</definedName>
    <definedName name="Ny" localSheetId="0">#REF!</definedName>
    <definedName name="Ny" localSheetId="18">#REF!</definedName>
    <definedName name="Ny">#REF!</definedName>
    <definedName name="nys" localSheetId="0">#REF!</definedName>
    <definedName name="nys" localSheetId="18">#REF!</definedName>
    <definedName name="nys">#REF!</definedName>
    <definedName name="O" localSheetId="0">#REF!</definedName>
    <definedName name="O" localSheetId="18">#REF!</definedName>
    <definedName name="O">#REF!</definedName>
    <definedName name="OCTROI" localSheetId="0">#REF!</definedName>
    <definedName name="OCTROI" localSheetId="18">#REF!</definedName>
    <definedName name="OCTROI">#REF!</definedName>
    <definedName name="OCTROI_HW" localSheetId="0">#REF!</definedName>
    <definedName name="OCTROI_HW" localSheetId="18">#REF!</definedName>
    <definedName name="OCTROI_HW">#REF!</definedName>
    <definedName name="OCTROI_SW" localSheetId="0">#REF!</definedName>
    <definedName name="OCTROI_SW" localSheetId="18">#REF!</definedName>
    <definedName name="OCTROI_SW">#REF!</definedName>
    <definedName name="OFFICE_LIGHTING" localSheetId="0">#REF!</definedName>
    <definedName name="OFFICE_LIGHTING" localSheetId="18">#REF!</definedName>
    <definedName name="OFFICE_LIGHTING">#REF!</definedName>
    <definedName name="oh" localSheetId="0">#REF!</definedName>
    <definedName name="oh" localSheetId="18">#REF!</definedName>
    <definedName name="oh">#REF!</definedName>
    <definedName name="ohe" localSheetId="0">#REF!</definedName>
    <definedName name="ohe" localSheetId="18">#REF!</definedName>
    <definedName name="ohe">#REF!</definedName>
    <definedName name="ok" localSheetId="0">#REF!</definedName>
    <definedName name="ok" localSheetId="18">#REF!</definedName>
    <definedName name="ok">#REF!</definedName>
    <definedName name="OldLaunch" localSheetId="18">#REF!</definedName>
    <definedName name="OldLaunch">#REF!</definedName>
    <definedName name="ongoingDCP" localSheetId="18">#REF!</definedName>
    <definedName name="ongoingDCP">#REF!</definedName>
    <definedName name="ooc" localSheetId="0">#REF!</definedName>
    <definedName name="ooc" localSheetId="18">#REF!</definedName>
    <definedName name="ooc">#REF!</definedName>
    <definedName name="ord_musd">#REF!</definedName>
    <definedName name="orderbacklog" localSheetId="0">#REF!</definedName>
    <definedName name="orderbacklog" localSheetId="18">#REF!</definedName>
    <definedName name="orderbacklog">#REF!</definedName>
    <definedName name="orderbooked98">#REF!</definedName>
    <definedName name="ORDERSTATUS" localSheetId="0">#REF!</definedName>
    <definedName name="ORDERSTATUS" localSheetId="18">#REF!</definedName>
    <definedName name="ORDERSTATUS">#REF!</definedName>
    <definedName name="ORDREVCOLL" localSheetId="0">#REF!</definedName>
    <definedName name="ORDREVCOLL" localSheetId="18">#REF!</definedName>
    <definedName name="ORDREVCOLL">#REF!</definedName>
    <definedName name="Org_Codes">#REF!</definedName>
    <definedName name="P" localSheetId="0" hidden="1">{"'PROFITABILITY'!$A$1:$F$45"}</definedName>
    <definedName name="P" localSheetId="12" hidden="1">{"'PROFITABILITY'!$A$1:$F$45"}</definedName>
    <definedName name="P" localSheetId="10" hidden="1">{"'PROFITABILITY'!$A$1:$F$45"}</definedName>
    <definedName name="P" localSheetId="18" hidden="1">{"'PROFITABILITY'!$A$1:$F$45"}</definedName>
    <definedName name="P" localSheetId="13" hidden="1">{"'PROFITABILITY'!$A$1:$F$45"}</definedName>
    <definedName name="P" hidden="1">{"'PROFITABILITY'!$A$1:$F$45"}</definedName>
    <definedName name="p.s" localSheetId="0">#REF!</definedName>
    <definedName name="p.s" localSheetId="18">#REF!</definedName>
    <definedName name="p.s">#REF!</definedName>
    <definedName name="P_1">#REF!</definedName>
    <definedName name="P_3">#REF!</definedName>
    <definedName name="P_4">#REF!</definedName>
    <definedName name="P_5">#REF!</definedName>
    <definedName name="P_6DSO" localSheetId="0">#REF!</definedName>
    <definedName name="P_6DSO" localSheetId="18">#REF!</definedName>
    <definedName name="P_6DSO">#REF!</definedName>
    <definedName name="P_7DPO">#REF!</definedName>
    <definedName name="p11i4f" localSheetId="0">#REF!</definedName>
    <definedName name="p11i4f" localSheetId="18">#REF!</definedName>
    <definedName name="p11i4f">#REF!</definedName>
    <definedName name="p11i5f" localSheetId="0">#REF!</definedName>
    <definedName name="p11i5f" localSheetId="18">#REF!</definedName>
    <definedName name="p11i5f">#REF!</definedName>
    <definedName name="p12i1bc8f" localSheetId="0">#REF!</definedName>
    <definedName name="p12i1bc8f" localSheetId="18">#REF!</definedName>
    <definedName name="p12i1bc8f">#REF!</definedName>
    <definedName name="p1350mcbc" localSheetId="0">#REF!</definedName>
    <definedName name="p1350mcbc" localSheetId="18">#REF!</definedName>
    <definedName name="p1350mcbc">#REF!</definedName>
    <definedName name="p1350mcfdr" localSheetId="0">#REF!</definedName>
    <definedName name="p1350mcfdr" localSheetId="18">#REF!</definedName>
    <definedName name="p1350mcfdr">#REF!</definedName>
    <definedName name="p1350mcic" localSheetId="0">#REF!</definedName>
    <definedName name="p1350mcic" localSheetId="18">#REF!</definedName>
    <definedName name="p1350mcic">#REF!</definedName>
    <definedName name="p1350pcfdr" localSheetId="0">#REF!</definedName>
    <definedName name="p1350pcfdr" localSheetId="18">#REF!</definedName>
    <definedName name="p1350pcfdr">#REF!</definedName>
    <definedName name="p1350pcic" localSheetId="0">#REF!</definedName>
    <definedName name="p1350pcic" localSheetId="18">#REF!</definedName>
    <definedName name="p1350pcic">#REF!</definedName>
    <definedName name="p1500mcbc" localSheetId="0">#REF!</definedName>
    <definedName name="p1500mcbc" localSheetId="18">#REF!</definedName>
    <definedName name="p1500mcbc">#REF!</definedName>
    <definedName name="p1500mcfdr" localSheetId="0">#REF!</definedName>
    <definedName name="p1500mcfdr" localSheetId="18">#REF!</definedName>
    <definedName name="p1500mcfdr">#REF!</definedName>
    <definedName name="p1500mcic" localSheetId="0">#REF!</definedName>
    <definedName name="p1500mcic" localSheetId="18">#REF!</definedName>
    <definedName name="p1500mcic">#REF!</definedName>
    <definedName name="p1abbbc" localSheetId="0">#REF!</definedName>
    <definedName name="p1abbbc" localSheetId="18">#REF!</definedName>
    <definedName name="p1abbbc">#REF!</definedName>
    <definedName name="p1abbfdr" localSheetId="0">#REF!</definedName>
    <definedName name="p1abbfdr" localSheetId="18">#REF!</definedName>
    <definedName name="p1abbfdr">#REF!</definedName>
    <definedName name="p1abbic" localSheetId="0">#REF!</definedName>
    <definedName name="p1abbic" localSheetId="18">#REF!</definedName>
    <definedName name="p1abbic">#REF!</definedName>
    <definedName name="p1accp" localSheetId="0">#REF!</definedName>
    <definedName name="p1accp" localSheetId="18">#REF!</definedName>
    <definedName name="p1accp">#REF!</definedName>
    <definedName name="p1acdb1" localSheetId="0">#REF!</definedName>
    <definedName name="p1acdb1" localSheetId="18">#REF!</definedName>
    <definedName name="p1acdb1">#REF!</definedName>
    <definedName name="p1acdb2" localSheetId="0">#REF!</definedName>
    <definedName name="p1acdb2" localSheetId="18">#REF!</definedName>
    <definedName name="p1acdb2">#REF!</definedName>
    <definedName name="p1acdb3" localSheetId="0">#REF!</definedName>
    <definedName name="p1acdb3" localSheetId="18">#REF!</definedName>
    <definedName name="p1acdb3">#REF!</definedName>
    <definedName name="p1amf">#REF!</definedName>
    <definedName name="p1apcc1" localSheetId="0">#REF!</definedName>
    <definedName name="p1apcc1" localSheetId="18">#REF!</definedName>
    <definedName name="p1apcc1">#REF!</definedName>
    <definedName name="p1apcc2" localSheetId="0">#REF!</definedName>
    <definedName name="p1apcc2" localSheetId="18">#REF!</definedName>
    <definedName name="p1apcc2">#REF!</definedName>
    <definedName name="p1apcc3" localSheetId="0">#REF!</definedName>
    <definedName name="p1apcc3" localSheetId="18">#REF!</definedName>
    <definedName name="p1apcc3">#REF!</definedName>
    <definedName name="p1clp" localSheetId="0">#REF!</definedName>
    <definedName name="p1clp" localSheetId="18">#REF!</definedName>
    <definedName name="p1clp">#REF!</definedName>
    <definedName name="p1csp">#REF!</definedName>
    <definedName name="p1db">#REF!</definedName>
    <definedName name="p1ht" localSheetId="0">#REF!</definedName>
    <definedName name="p1ht" localSheetId="18">#REF!</definedName>
    <definedName name="p1ht">#REF!</definedName>
    <definedName name="p1ksk">#REF!</definedName>
    <definedName name="p1ldb" localSheetId="0">#REF!</definedName>
    <definedName name="p1ldb" localSheetId="18">#REF!</definedName>
    <definedName name="p1ldb">#REF!</definedName>
    <definedName name="p1lift" localSheetId="0">#REF!</definedName>
    <definedName name="p1lift" localSheetId="18">#REF!</definedName>
    <definedName name="p1lift">#REF!</definedName>
    <definedName name="p1ltsba1" localSheetId="0">#REF!</definedName>
    <definedName name="p1ltsba1" localSheetId="18">#REF!</definedName>
    <definedName name="p1ltsba1">#REF!</definedName>
    <definedName name="p1ltsba2" localSheetId="0">#REF!</definedName>
    <definedName name="p1ltsba2" localSheetId="18">#REF!</definedName>
    <definedName name="p1ltsba2">#REF!</definedName>
    <definedName name="p1ltsbb1" localSheetId="0">#REF!</definedName>
    <definedName name="p1ltsbb1" localSheetId="18">#REF!</definedName>
    <definedName name="p1ltsbb1">#REF!</definedName>
    <definedName name="p1ltsbb2" localSheetId="0">#REF!</definedName>
    <definedName name="p1ltsbb2" localSheetId="18">#REF!</definedName>
    <definedName name="p1ltsbb2">#REF!</definedName>
    <definedName name="p1mcc1" localSheetId="0">#REF!</definedName>
    <definedName name="p1mcc1" localSheetId="18">#REF!</definedName>
    <definedName name="p1mcc1">#REF!</definedName>
    <definedName name="p1mcc10" localSheetId="0">#REF!</definedName>
    <definedName name="p1mcc10" localSheetId="18">#REF!</definedName>
    <definedName name="p1mcc10">#REF!</definedName>
    <definedName name="p1mcc11" localSheetId="0">#REF!</definedName>
    <definedName name="p1mcc11" localSheetId="18">#REF!</definedName>
    <definedName name="p1mcc11">#REF!</definedName>
    <definedName name="p1mcc12" localSheetId="0">#REF!</definedName>
    <definedName name="p1mcc12" localSheetId="18">#REF!</definedName>
    <definedName name="p1mcc12">#REF!</definedName>
    <definedName name="p1mcc13" localSheetId="0">#REF!</definedName>
    <definedName name="p1mcc13" localSheetId="18">#REF!</definedName>
    <definedName name="p1mcc13">#REF!</definedName>
    <definedName name="p1mcc14" localSheetId="0">#REF!</definedName>
    <definedName name="p1mcc14" localSheetId="18">#REF!</definedName>
    <definedName name="p1mcc14">#REF!</definedName>
    <definedName name="p1mcc15" localSheetId="0">#REF!</definedName>
    <definedName name="p1mcc15" localSheetId="18">#REF!</definedName>
    <definedName name="p1mcc15">#REF!</definedName>
    <definedName name="p1mcc17" localSheetId="0">#REF!</definedName>
    <definedName name="p1mcc17" localSheetId="18">#REF!</definedName>
    <definedName name="p1mcc17">#REF!</definedName>
    <definedName name="p1mcc2" localSheetId="0">#REF!</definedName>
    <definedName name="p1mcc2" localSheetId="18">#REF!</definedName>
    <definedName name="p1mcc2">#REF!</definedName>
    <definedName name="p1mcc3" localSheetId="0">#REF!</definedName>
    <definedName name="p1mcc3" localSheetId="18">#REF!</definedName>
    <definedName name="p1mcc3">#REF!</definedName>
    <definedName name="p1mcc4" localSheetId="0">#REF!</definedName>
    <definedName name="p1mcc4" localSheetId="18">#REF!</definedName>
    <definedName name="p1mcc4">#REF!</definedName>
    <definedName name="p1mcc5" localSheetId="0">#REF!</definedName>
    <definedName name="p1mcc5" localSheetId="18">#REF!</definedName>
    <definedName name="p1mcc5">#REF!</definedName>
    <definedName name="p1mcc6" localSheetId="0">#REF!</definedName>
    <definedName name="p1mcc6" localSheetId="18">#REF!</definedName>
    <definedName name="p1mcc6">#REF!</definedName>
    <definedName name="p1mcc7" localSheetId="0">#REF!</definedName>
    <definedName name="p1mcc7" localSheetId="18">#REF!</definedName>
    <definedName name="p1mcc7">#REF!</definedName>
    <definedName name="p1mcc8" localSheetId="0">#REF!</definedName>
    <definedName name="p1mcc8" localSheetId="18">#REF!</definedName>
    <definedName name="p1mcc8">#REF!</definedName>
    <definedName name="p1mcc9" localSheetId="0">#REF!</definedName>
    <definedName name="p1mcc9" localSheetId="18">#REF!</definedName>
    <definedName name="p1mcc9">#REF!</definedName>
    <definedName name="p1mldb" localSheetId="0">#REF!</definedName>
    <definedName name="p1mldb" localSheetId="18">#REF!</definedName>
    <definedName name="p1mldb">#REF!</definedName>
    <definedName name="p1mlp" localSheetId="0">#REF!</definedName>
    <definedName name="p1mlp" localSheetId="18">#REF!</definedName>
    <definedName name="p1mlp">#REF!</definedName>
    <definedName name="p1mltp">#REF!</definedName>
    <definedName name="p1mpcc" localSheetId="0">#REF!</definedName>
    <definedName name="p1mpcc" localSheetId="18">#REF!</definedName>
    <definedName name="p1mpcc">#REF!</definedName>
    <definedName name="p1mpdb" localSheetId="0">#REF!</definedName>
    <definedName name="p1mpdb" localSheetId="18">#REF!</definedName>
    <definedName name="p1mpdb">#REF!</definedName>
    <definedName name="p1mpdp" localSheetId="0">#REF!</definedName>
    <definedName name="p1mpdp" localSheetId="18">#REF!</definedName>
    <definedName name="p1mpdp">#REF!</definedName>
    <definedName name="p1mrlp" localSheetId="0">#REF!</definedName>
    <definedName name="p1mrlp" localSheetId="18">#REF!</definedName>
    <definedName name="p1mrlp">#REF!</definedName>
    <definedName name="p1pcc" localSheetId="0">#REF!</definedName>
    <definedName name="p1pcc" localSheetId="18">#REF!</definedName>
    <definedName name="p1pcc">#REF!</definedName>
    <definedName name="p1pccm" localSheetId="0">#REF!</definedName>
    <definedName name="p1pccm" localSheetId="18">#REF!</definedName>
    <definedName name="p1pccm">#REF!</definedName>
    <definedName name="p1pdb" localSheetId="0">#REF!</definedName>
    <definedName name="p1pdb" localSheetId="18">#REF!</definedName>
    <definedName name="p1pdb">#REF!</definedName>
    <definedName name="p1ssb1">#REF!</definedName>
    <definedName name="p1ssb2">#REF!</definedName>
    <definedName name="p1upsdb">#REF!</definedName>
    <definedName name="p1upsip" localSheetId="0">#REF!</definedName>
    <definedName name="p1upsip" localSheetId="18">#REF!</definedName>
    <definedName name="p1upsip">#REF!</definedName>
    <definedName name="p1upsmdb" localSheetId="0">#REF!</definedName>
    <definedName name="p1upsmdb" localSheetId="18">#REF!</definedName>
    <definedName name="p1upsmdb">#REF!</definedName>
    <definedName name="p1upsop" localSheetId="0">#REF!</definedName>
    <definedName name="p1upsop" localSheetId="18">#REF!</definedName>
    <definedName name="p1upsop">#REF!</definedName>
    <definedName name="pa" localSheetId="0">#REF!</definedName>
    <definedName name="pa" localSheetId="18">#REF!</definedName>
    <definedName name="pa">#REF!</definedName>
    <definedName name="pad_baywise" localSheetId="0">#REF!</definedName>
    <definedName name="pad_baywise" localSheetId="18">#REF!</definedName>
    <definedName name="pad_baywise">#REF!</definedName>
    <definedName name="Page1" localSheetId="0">#REF!</definedName>
    <definedName name="Page1" localSheetId="18">#REF!</definedName>
    <definedName name="Page1">#REF!</definedName>
    <definedName name="PAGE10" localSheetId="0">#REF!</definedName>
    <definedName name="PAGE10" localSheetId="18">#REF!</definedName>
    <definedName name="PAGE10">#REF!</definedName>
    <definedName name="PAGE11" localSheetId="0">#REF!</definedName>
    <definedName name="PAGE11" localSheetId="18">#REF!</definedName>
    <definedName name="PAGE11">#REF!</definedName>
    <definedName name="PAGE2" localSheetId="0">#REF!</definedName>
    <definedName name="PAGE2" localSheetId="18">#REF!</definedName>
    <definedName name="PAGE2">#REF!</definedName>
    <definedName name="PAGE3" localSheetId="0">#REF!</definedName>
    <definedName name="PAGE3" localSheetId="18">#REF!</definedName>
    <definedName name="PAGE3">#REF!</definedName>
    <definedName name="PAGE4" localSheetId="0">#REF!</definedName>
    <definedName name="PAGE4" localSheetId="18">#REF!</definedName>
    <definedName name="PAGE4">#REF!</definedName>
    <definedName name="PAGE5" localSheetId="0">#REF!</definedName>
    <definedName name="PAGE5" localSheetId="18">#REF!</definedName>
    <definedName name="PAGE5">#REF!</definedName>
    <definedName name="PAGE6" localSheetId="0">#REF!</definedName>
    <definedName name="PAGE6" localSheetId="18">#REF!</definedName>
    <definedName name="PAGE6">#REF!</definedName>
    <definedName name="PAGE7" localSheetId="0">#REF!</definedName>
    <definedName name="PAGE7" localSheetId="18">#REF!</definedName>
    <definedName name="PAGE7">#REF!</definedName>
    <definedName name="PAGE8" localSheetId="0">#REF!</definedName>
    <definedName name="PAGE8" localSheetId="18">#REF!</definedName>
    <definedName name="PAGE8">#REF!</definedName>
    <definedName name="PAGE9" localSheetId="0">#REF!</definedName>
    <definedName name="PAGE9" localSheetId="18">#REF!</definedName>
    <definedName name="PAGE9">#REF!</definedName>
    <definedName name="Pal_Workbook_GUID" hidden="1">"I4MQBSQIYS7ZIKLGDAQFMW49"</definedName>
    <definedName name="Pancham" localSheetId="0">#REF!</definedName>
    <definedName name="Pancham" localSheetId="18">#REF!</definedName>
    <definedName name="Pancham">#REF!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0">#REF!</definedName>
    <definedName name="pb" localSheetId="18">#REF!</definedName>
    <definedName name="pb">#REF!</definedName>
    <definedName name="PbRScenario" localSheetId="0">#REF!</definedName>
    <definedName name="PbRScenario" localSheetId="18">#REF!</definedName>
    <definedName name="PbRScenario">#REF!</definedName>
    <definedName name="pc" localSheetId="0">#REF!</definedName>
    <definedName name="pc" localSheetId="18">#REF!</definedName>
    <definedName name="pc">#REF!</definedName>
    <definedName name="PC_ED" localSheetId="0">#REF!</definedName>
    <definedName name="PC_ED" localSheetId="18">#REF!</definedName>
    <definedName name="PC_ED">#REF!</definedName>
    <definedName name="pctacutescore" localSheetId="0">#REF!</definedName>
    <definedName name="pctacutescore" localSheetId="18">#REF!</definedName>
    <definedName name="pctacutescore">#REF!</definedName>
    <definedName name="pctformatted" localSheetId="0">#REF!</definedName>
    <definedName name="pctformatted" localSheetId="18">#REF!</definedName>
    <definedName name="pctformatted">#REF!</definedName>
    <definedName name="PCTs" localSheetId="0">#REF!</definedName>
    <definedName name="PCTs" localSheetId="18">#REF!</definedName>
    <definedName name="PCTs">#REF!</definedName>
    <definedName name="PER" localSheetId="0">#REF!</definedName>
    <definedName name="PER" localSheetId="18">#REF!</definedName>
    <definedName name="PER">#REF!</definedName>
    <definedName name="PerIncrease" localSheetId="0">#REF!</definedName>
    <definedName name="PerIncrease" localSheetId="18">#REF!</definedName>
    <definedName name="PerIncrease">#REF!</definedName>
    <definedName name="PERSONAL_TRANSPORT" localSheetId="0">#REF!</definedName>
    <definedName name="PERSONAL_TRANSPORT" localSheetId="18">#REF!</definedName>
    <definedName name="PERSONAL_TRANSPORT">#REF!</definedName>
    <definedName name="pge" localSheetId="0">#REF!</definedName>
    <definedName name="pge" localSheetId="18">#REF!</definedName>
    <definedName name="pge">#REF!</definedName>
    <definedName name="pH" localSheetId="0">#REF!</definedName>
    <definedName name="pH" localSheetId="18">#REF!</definedName>
    <definedName name="pH">#REF!</definedName>
    <definedName name="PHYSICAL_STATUS_OF_CONDUCTOR_AS_ON_DATE">#REF!</definedName>
    <definedName name="pIaccp" localSheetId="0">#REF!</definedName>
    <definedName name="pIaccp" localSheetId="18">#REF!</definedName>
    <definedName name="pIaccp">#REF!</definedName>
    <definedName name="picture_1">"Picture 1"</definedName>
    <definedName name="pIecp" localSheetId="0">#REF!</definedName>
    <definedName name="pIecp" localSheetId="18">#REF!</definedName>
    <definedName name="pIecp">#REF!</definedName>
    <definedName name="PILLTYPE">#REF!</definedName>
    <definedName name="pImcc.1" localSheetId="0">#REF!</definedName>
    <definedName name="pImcc.1" localSheetId="18">#REF!</definedName>
    <definedName name="pImcc.1">#REF!</definedName>
    <definedName name="pImcc.2" localSheetId="0">#REF!</definedName>
    <definedName name="pImcc.2" localSheetId="18">#REF!</definedName>
    <definedName name="pImcc.2">#REF!</definedName>
    <definedName name="pImcc.3" localSheetId="0">#REF!</definedName>
    <definedName name="pImcc.3" localSheetId="18">#REF!</definedName>
    <definedName name="pImcc.3">#REF!</definedName>
    <definedName name="pImltsb" localSheetId="0">#REF!</definedName>
    <definedName name="pImltsb" localSheetId="18">#REF!</definedName>
    <definedName name="pImltsb">#REF!</definedName>
    <definedName name="pImsb.ups" localSheetId="0">#REF!</definedName>
    <definedName name="pImsb.ups" localSheetId="18">#REF!</definedName>
    <definedName name="pImsb.ups">#REF!</definedName>
    <definedName name="pIsmsb.1" localSheetId="0">#REF!</definedName>
    <definedName name="pIsmsb.1" localSheetId="18">#REF!</definedName>
    <definedName name="pIsmsb.1">#REF!</definedName>
    <definedName name="pIsmsb.2" localSheetId="0">#REF!</definedName>
    <definedName name="pIsmsb.2" localSheetId="18">#REF!</definedName>
    <definedName name="pIsmsb.2">#REF!</definedName>
    <definedName name="pIsmsb.3" localSheetId="0">#REF!</definedName>
    <definedName name="pIsmsb.3" localSheetId="18">#REF!</definedName>
    <definedName name="pIsmsb.3">#REF!</definedName>
    <definedName name="pIsmsb.b" localSheetId="0">#REF!</definedName>
    <definedName name="pIsmsb.b" localSheetId="18">#REF!</definedName>
    <definedName name="pIsmsb.b">#REF!</definedName>
    <definedName name="pIsmsb.g" localSheetId="0">#REF!</definedName>
    <definedName name="pIsmsb.g" localSheetId="18">#REF!</definedName>
    <definedName name="pIsmsb.g">#REF!</definedName>
    <definedName name="pIsmsb.lab" localSheetId="0">#REF!</definedName>
    <definedName name="pIsmsb.lab" localSheetId="18">#REF!</definedName>
    <definedName name="pIsmsb.lab">#REF!</definedName>
    <definedName name="pIsmsb.main" localSheetId="0">#REF!</definedName>
    <definedName name="pIsmsb.main" localSheetId="18">#REF!</definedName>
    <definedName name="pIsmsb.main">#REF!</definedName>
    <definedName name="pIsmsb.t" localSheetId="0">#REF!</definedName>
    <definedName name="pIsmsb.t" localSheetId="18">#REF!</definedName>
    <definedName name="pIsmsb.t">#REF!</definedName>
    <definedName name="pIsmsb.ups" localSheetId="0">#REF!</definedName>
    <definedName name="pIsmsb.ups" localSheetId="18">#REF!</definedName>
    <definedName name="pIsmsb.ups">#REF!</definedName>
    <definedName name="pIup.1" localSheetId="0">#REF!</definedName>
    <definedName name="pIup.1" localSheetId="18">#REF!</definedName>
    <definedName name="pIup.1">#REF!</definedName>
    <definedName name="pIup.2" localSheetId="0">#REF!</definedName>
    <definedName name="pIup.2" localSheetId="18">#REF!</definedName>
    <definedName name="pIup.2">#REF!</definedName>
    <definedName name="PKGFRD_HW" localSheetId="0">#REF!</definedName>
    <definedName name="PKGFRD_HW" localSheetId="18">#REF!</definedName>
    <definedName name="PKGFRD_HW">#REF!</definedName>
    <definedName name="PKGFRD_SW" localSheetId="0">#REF!</definedName>
    <definedName name="PKGFRD_SW" localSheetId="18">#REF!</definedName>
    <definedName name="PKGFRD_SW">#REF!</definedName>
    <definedName name="plsdata" localSheetId="0">#REF!</definedName>
    <definedName name="plsdata" localSheetId="18">#REF!</definedName>
    <definedName name="plsdata">#REF!</definedName>
    <definedName name="PM_ConcreteMixer">#REF!</definedName>
    <definedName name="pmsnonacutescore" localSheetId="0">#REF!</definedName>
    <definedName name="pmsnonacutescore" localSheetId="18">#REF!</definedName>
    <definedName name="pmsnonacutescore">#REF!</definedName>
    <definedName name="PmtFreq_PS" localSheetId="0">#REF!</definedName>
    <definedName name="PmtFreq_PS" localSheetId="18">#REF!</definedName>
    <definedName name="PmtFreq_PS">#REF!</definedName>
    <definedName name="pnu_soil" localSheetId="0">#REF!</definedName>
    <definedName name="pnu_soil" localSheetId="18">#REF!</definedName>
    <definedName name="pnu_soil">#REF!</definedName>
    <definedName name="PNum" localSheetId="0">#REF!</definedName>
    <definedName name="PNum" localSheetId="18">#REF!</definedName>
    <definedName name="PNum">#REF!</definedName>
    <definedName name="PONDA" localSheetId="0">#REF!</definedName>
    <definedName name="PONDA" localSheetId="18">#REF!</definedName>
    <definedName name="PONDA">#REF!</definedName>
    <definedName name="POST" localSheetId="0">#REF!</definedName>
    <definedName name="POST" localSheetId="18">#REF!</definedName>
    <definedName name="POST">#REF!</definedName>
    <definedName name="Potential_All" localSheetId="18">#REF!</definedName>
    <definedName name="Potential_All">#REF!</definedName>
    <definedName name="Potential_Brazil" localSheetId="0">#REF!</definedName>
    <definedName name="Potential_Brazil" localSheetId="18">#REF!</definedName>
    <definedName name="Potential_Brazil">#REF!</definedName>
    <definedName name="Potential_EU" localSheetId="0">#REF!</definedName>
    <definedName name="Potential_EU" localSheetId="18">#REF!</definedName>
    <definedName name="Potential_EU">#REF!</definedName>
    <definedName name="Potential_US" localSheetId="0">#REF!</definedName>
    <definedName name="Potential_US" localSheetId="18">#REF!</definedName>
    <definedName name="Potential_US">#REF!</definedName>
    <definedName name="pp">#REF!</definedName>
    <definedName name="PPPPPP" localSheetId="0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10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0">#REF!</definedName>
    <definedName name="PR_BO" localSheetId="18">#REF!</definedName>
    <definedName name="PR_BO">#REF!</definedName>
    <definedName name="PR_IDTO" localSheetId="0">#REF!</definedName>
    <definedName name="PR_IDTO" localSheetId="18">#REF!</definedName>
    <definedName name="PR_IDTO">#REF!</definedName>
    <definedName name="PR_IMP" localSheetId="0">#REF!</definedName>
    <definedName name="PR_IMP" localSheetId="18">#REF!</definedName>
    <definedName name="PR_IMP">#REF!</definedName>
    <definedName name="PR_TR" localSheetId="0">#REF!</definedName>
    <definedName name="PR_TR" localSheetId="18">#REF!</definedName>
    <definedName name="PR_TR">#REF!</definedName>
    <definedName name="prashant" localSheetId="0">#REF!</definedName>
    <definedName name="prashant" localSheetId="18">#REF!</definedName>
    <definedName name="prashant">#REF!</definedName>
    <definedName name="PrepareDate" localSheetId="0">#REF!</definedName>
    <definedName name="PrepareDate" localSheetId="18">#REF!</definedName>
    <definedName name="PrepareDate">#REF!</definedName>
    <definedName name="priced_end">#REF!</definedName>
    <definedName name="PRICEDISCOUNT" localSheetId="0">#REF!</definedName>
    <definedName name="PRICEDISCOUNT" localSheetId="18">#REF!</definedName>
    <definedName name="PRICEDISCOUNT">#REF!</definedName>
    <definedName name="Print" localSheetId="0">#REF!</definedName>
    <definedName name="Print" localSheetId="18">#REF!</definedName>
    <definedName name="Print">#REF!</definedName>
    <definedName name="print_activity_by_Commissioner" localSheetId="0">#REF!</definedName>
    <definedName name="print_activity_by_Commissioner" localSheetId="18">#REF!</definedName>
    <definedName name="print_activity_by_Commissioner">#REF!</definedName>
    <definedName name="_xlnm.Print_Area" localSheetId="0">'765KV TA 414 VNTL'!$A$1:$O$20</definedName>
    <definedName name="_xlnm.Print_Area" localSheetId="6">'AOTL - KEC'!$A$1:$M$19</definedName>
    <definedName name="_xlnm.Print_Area" localSheetId="7">'DPR Sheet'!$A$1:$G$33</definedName>
    <definedName name="_xlnm.Print_Area" localSheetId="12">'Erection '!$A$1:$P$169</definedName>
    <definedName name="_xlnm.Print_Area" localSheetId="11">FDN!$A$1:$N$270</definedName>
    <definedName name="_xlnm.Print_Area" localSheetId="18">'Stringing Compiled'!$A$1:$Q$5</definedName>
    <definedName name="_xlnm.Print_Area" localSheetId="13">'Visual chart 1 '!$A$1:$AF$283</definedName>
    <definedName name="_xlnm.Print_Area">#REF!</definedName>
    <definedName name="Print_Area_MI" localSheetId="0">#REF!</definedName>
    <definedName name="Print_Area_MI" localSheetId="18">#REF!</definedName>
    <definedName name="Print_Area_MI">#REF!</definedName>
    <definedName name="_xlnm.Print_Titles" localSheetId="0">#REF!</definedName>
    <definedName name="_xlnm.Print_Titles" localSheetId="11">FDN!$1:$2</definedName>
    <definedName name="_xlnm.Print_Titles" localSheetId="18">#REF!</definedName>
    <definedName name="_xlnm.Print_Titles">#REF!</definedName>
    <definedName name="PRINT_TITLES_MI" localSheetId="0">#REF!</definedName>
    <definedName name="PRINT_TITLES_MI" localSheetId="18">#REF!</definedName>
    <definedName name="PRINT_TITLES_MI">#REF!</definedName>
    <definedName name="printedname" localSheetId="0">#REF!</definedName>
    <definedName name="printedname" localSheetId="18">#REF!</definedName>
    <definedName name="printedname">#REF!</definedName>
    <definedName name="PRMIL_HW" localSheetId="0">#REF!</definedName>
    <definedName name="PRMIL_HW" localSheetId="18">#REF!</definedName>
    <definedName name="PRMIL_HW">#REF!</definedName>
    <definedName name="PRMIL_SW" localSheetId="0">#REF!</definedName>
    <definedName name="PRMIL_SW" localSheetId="18">#REF!</definedName>
    <definedName name="PRMIL_SW">#REF!</definedName>
    <definedName name="PROBADJUSTMENT" localSheetId="0">#REF!</definedName>
    <definedName name="PROBADJUSTMENT" localSheetId="18">#REF!</definedName>
    <definedName name="PROBADJUSTMENT">#REF!</definedName>
    <definedName name="prod_cost_gas_mmbtu">#REF!</definedName>
    <definedName name="prod_cost_oil">#REF!</definedName>
    <definedName name="Professional___Audit_Fees" localSheetId="0">#REF!</definedName>
    <definedName name="Professional___Audit_Fees" localSheetId="18">#REF!</definedName>
    <definedName name="Professional___Audit_Fees">#REF!</definedName>
    <definedName name="Progress_data">#REF!</definedName>
    <definedName name="project" localSheetId="0">#REF!</definedName>
    <definedName name="project" localSheetId="18">#REF!</definedName>
    <definedName name="project">#REF!</definedName>
    <definedName name="Projects" localSheetId="0">#REF!</definedName>
    <definedName name="Projects" localSheetId="18">#REF!</definedName>
    <definedName name="Projects">#REF!</definedName>
    <definedName name="PROVISIONS" localSheetId="18">#REF!</definedName>
    <definedName name="PROVISIONS">#REF!</definedName>
    <definedName name="PS" localSheetId="0">#REF!</definedName>
    <definedName name="PS" localSheetId="18">#REF!</definedName>
    <definedName name="PS">#REF!</definedName>
    <definedName name="PublicDocuments" localSheetId="0">#REF!</definedName>
    <definedName name="PublicDocuments" localSheetId="18">#REF!</definedName>
    <definedName name="PublicDocuments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0" hidden="1">{"'PROFITABILITY'!$A$1:$F$45"}</definedName>
    <definedName name="q" localSheetId="12" hidden="1">{"'PROFITABILITY'!$A$1:$F$45"}</definedName>
    <definedName name="q" localSheetId="10" hidden="1">{"'PROFITABILITY'!$A$1:$F$45"}</definedName>
    <definedName name="q" localSheetId="18" hidden="1">{"'PROFITABILITY'!$A$1:$F$45"}</definedName>
    <definedName name="q" localSheetId="13" hidden="1">{"'PROFITABILITY'!$A$1:$F$45"}</definedName>
    <definedName name="q" hidden="1">{"'PROFITABILITY'!$A$1:$F$45"}</definedName>
    <definedName name="q_all" localSheetId="0">#REF!</definedName>
    <definedName name="q_all" localSheetId="18">#REF!</definedName>
    <definedName name="q_all">#REF!</definedName>
    <definedName name="qar">#REF!</definedName>
    <definedName name="Qc" localSheetId="0">#REF!</definedName>
    <definedName name="Qc" localSheetId="18">#REF!</definedName>
    <definedName name="Qc">#REF!</definedName>
    <definedName name="QC_Bajaj" localSheetId="0">#REF!</definedName>
    <definedName name="QC_Bajaj" localSheetId="18">#REF!</definedName>
    <definedName name="QC_Bajaj">#REF!</definedName>
    <definedName name="qder" localSheetId="0">#REF!</definedName>
    <definedName name="qder" localSheetId="18">#REF!</definedName>
    <definedName name="qder">#REF!</definedName>
    <definedName name="Qf" localSheetId="0">#REF!</definedName>
    <definedName name="Qf" localSheetId="18">#REF!</definedName>
    <definedName name="Qf">#REF!</definedName>
    <definedName name="qfc" localSheetId="0">#REF!</definedName>
    <definedName name="qfc" localSheetId="18">#REF!</definedName>
    <definedName name="qfc">#REF!</definedName>
    <definedName name="QFC_AUDh" localSheetId="0">#REF!</definedName>
    <definedName name="QFC_AUDh" localSheetId="18">#REF!</definedName>
    <definedName name="QFC_AUDh">#REF!</definedName>
    <definedName name="QFC_AUDs" localSheetId="0">#REF!</definedName>
    <definedName name="QFC_AUDs" localSheetId="18">#REF!</definedName>
    <definedName name="QFC_AUDs">#REF!</definedName>
    <definedName name="QFC_AUDspa" localSheetId="0">#REF!</definedName>
    <definedName name="QFC_AUDspa" localSheetId="18">#REF!</definedName>
    <definedName name="QFC_AUDspa">#REF!</definedName>
    <definedName name="QFC_BO" localSheetId="0">#REF!</definedName>
    <definedName name="QFC_BO" localSheetId="18">#REF!</definedName>
    <definedName name="QFC_BO">#REF!</definedName>
    <definedName name="QFC_DEMh" localSheetId="0">#REF!</definedName>
    <definedName name="QFC_DEMh" localSheetId="18">#REF!</definedName>
    <definedName name="QFC_DEMh">#REF!</definedName>
    <definedName name="QFC_DEMs" localSheetId="0">#REF!</definedName>
    <definedName name="QFC_DEMs" localSheetId="18">#REF!</definedName>
    <definedName name="QFC_DEMs">#REF!</definedName>
    <definedName name="QFC_DEMspa" localSheetId="0">#REF!</definedName>
    <definedName name="QFC_DEMspa" localSheetId="18">#REF!</definedName>
    <definedName name="QFC_DEMspa">#REF!</definedName>
    <definedName name="QFC_FIMh" localSheetId="0">#REF!</definedName>
    <definedName name="QFC_FIMh" localSheetId="18">#REF!</definedName>
    <definedName name="QFC_FIMh">#REF!</definedName>
    <definedName name="QFC_FIMs" localSheetId="0">#REF!</definedName>
    <definedName name="QFC_FIMs" localSheetId="18">#REF!</definedName>
    <definedName name="QFC_FIMs">#REF!</definedName>
    <definedName name="QFC_FIMspa" localSheetId="0">#REF!</definedName>
    <definedName name="QFC_FIMspa" localSheetId="18">#REF!</definedName>
    <definedName name="QFC_FIMspa">#REF!</definedName>
    <definedName name="QFC_FIs" localSheetId="0">#REF!</definedName>
    <definedName name="QFC_FIs" localSheetId="18">#REF!</definedName>
    <definedName name="QFC_FIs">#REF!</definedName>
    <definedName name="QFC_NOKh" localSheetId="0">#REF!</definedName>
    <definedName name="QFC_NOKh" localSheetId="18">#REF!</definedName>
    <definedName name="QFC_NOKh">#REF!</definedName>
    <definedName name="QFC_NOKs" localSheetId="0">#REF!</definedName>
    <definedName name="QFC_NOKs" localSheetId="18">#REF!</definedName>
    <definedName name="QFC_NOKs">#REF!</definedName>
    <definedName name="QFC_NOKspa" localSheetId="0">#REF!</definedName>
    <definedName name="QFC_NOKspa" localSheetId="18">#REF!</definedName>
    <definedName name="QFC_NOKspa">#REF!</definedName>
    <definedName name="QFC_OWN" localSheetId="0">#REF!</definedName>
    <definedName name="QFC_OWN" localSheetId="18">#REF!</definedName>
    <definedName name="QFC_OWN">#REF!</definedName>
    <definedName name="qfc_s00" localSheetId="0">#REF!</definedName>
    <definedName name="qfc_s00" localSheetId="18">#REF!</definedName>
    <definedName name="qfc_s00">#REF!</definedName>
    <definedName name="QFC_S01" localSheetId="0">#REF!</definedName>
    <definedName name="QFC_S01" localSheetId="18">#REF!</definedName>
    <definedName name="QFC_S01">#REF!</definedName>
    <definedName name="QFC_S02" localSheetId="0">#REF!</definedName>
    <definedName name="QFC_S02" localSheetId="18">#REF!</definedName>
    <definedName name="QFC_S02">#REF!</definedName>
    <definedName name="QFC_S03" localSheetId="0">#REF!</definedName>
    <definedName name="QFC_S03" localSheetId="18">#REF!</definedName>
    <definedName name="QFC_S03">#REF!</definedName>
    <definedName name="qfc_s98" localSheetId="0">#REF!</definedName>
    <definedName name="qfc_s98" localSheetId="18">#REF!</definedName>
    <definedName name="qfc_s98">#REF!</definedName>
    <definedName name="qfc_s99" localSheetId="0">#REF!</definedName>
    <definedName name="qfc_s99" localSheetId="18">#REF!</definedName>
    <definedName name="qfc_s99">#REF!</definedName>
    <definedName name="QFC_SEKh" localSheetId="0">#REF!</definedName>
    <definedName name="QFC_SEKh" localSheetId="18">#REF!</definedName>
    <definedName name="QFC_SEKh">#REF!</definedName>
    <definedName name="QFC_SEKs" localSheetId="0">#REF!</definedName>
    <definedName name="QFC_SEKs" localSheetId="18">#REF!</definedName>
    <definedName name="QFC_SEKs">#REF!</definedName>
    <definedName name="QFC_SFRh" localSheetId="0">#REF!</definedName>
    <definedName name="QFC_SFRh" localSheetId="18">#REF!</definedName>
    <definedName name="QFC_SFRh">#REF!</definedName>
    <definedName name="QFC_SFRs" localSheetId="0">#REF!</definedName>
    <definedName name="QFC_SFRs" localSheetId="18">#REF!</definedName>
    <definedName name="QFC_SFRs">#REF!</definedName>
    <definedName name="QFC_SPC" localSheetId="0">#REF!</definedName>
    <definedName name="QFC_SPC" localSheetId="18">#REF!</definedName>
    <definedName name="QFC_SPC">#REF!</definedName>
    <definedName name="QFC_TR" localSheetId="0">#REF!</definedName>
    <definedName name="QFC_TR" localSheetId="18">#REF!</definedName>
    <definedName name="QFC_TR">#REF!</definedName>
    <definedName name="QFC_UKPh" localSheetId="0">#REF!</definedName>
    <definedName name="QFC_UKPh" localSheetId="18">#REF!</definedName>
    <definedName name="QFC_UKPh">#REF!</definedName>
    <definedName name="QFC_UKPs" localSheetId="0">#REF!</definedName>
    <definedName name="QFC_UKPs" localSheetId="18">#REF!</definedName>
    <definedName name="QFC_UKPs">#REF!</definedName>
    <definedName name="QFC_USDh" localSheetId="0">#REF!</definedName>
    <definedName name="QFC_USDh" localSheetId="18">#REF!</definedName>
    <definedName name="QFC_USDh">#REF!</definedName>
    <definedName name="QFC_USDs" localSheetId="0">#REF!</definedName>
    <definedName name="QFC_USDs" localSheetId="18">#REF!</definedName>
    <definedName name="QFC_USDs">#REF!</definedName>
    <definedName name="QFC_USDspa" localSheetId="0">#REF!</definedName>
    <definedName name="QFC_USDspa" localSheetId="18">#REF!</definedName>
    <definedName name="QFC_USDspa">#REF!</definedName>
    <definedName name="Qi" localSheetId="0">#REF!</definedName>
    <definedName name="Qi" localSheetId="18">#REF!</definedName>
    <definedName name="Qi">#REF!</definedName>
    <definedName name="Ql" localSheetId="0">#REF!</definedName>
    <definedName name="Ql" localSheetId="18">#REF!</definedName>
    <definedName name="Ql">#REF!</definedName>
    <definedName name="qryEqptOrdDelyETAProfile_byConstrMgr" localSheetId="0">#REF!</definedName>
    <definedName name="qryEqptOrdDelyETAProfile_byConstrMgr" localSheetId="18">#REF!</definedName>
    <definedName name="qryEqptOrdDelyETAProfile_byConstrMgr">#REF!</definedName>
    <definedName name="qryEqptOrdPODelProfile_ByConstrMgr" localSheetId="0">#REF!</definedName>
    <definedName name="qryEqptOrdPODelProfile_ByConstrMgr" localSheetId="18">#REF!</definedName>
    <definedName name="qryEqptOrdPODelProfile_ByConstrMgr">#REF!</definedName>
    <definedName name="qryMonitorIP_9SpecialByContractToXLS" localSheetId="0">#REF!</definedName>
    <definedName name="qryMonitorIP_9SpecialByContractToXLS" localSheetId="18">#REF!</definedName>
    <definedName name="qryMonitorIP_9SpecialByContractToXLS">#REF!</definedName>
    <definedName name="Qspan" localSheetId="0">#REF!</definedName>
    <definedName name="Qspan" localSheetId="18">#REF!</definedName>
    <definedName name="Qspan">#REF!</definedName>
    <definedName name="qw" localSheetId="0" hidden="1">{"'PROFITABILITY'!$A$1:$F$45"}</definedName>
    <definedName name="qw" localSheetId="12" hidden="1">{"'PROFITABILITY'!$A$1:$F$45"}</definedName>
    <definedName name="qw" localSheetId="10" hidden="1">{"'PROFITABILITY'!$A$1:$F$45"}</definedName>
    <definedName name="qw" localSheetId="18" hidden="1">{"'PROFITABILITY'!$A$1:$F$45"}</definedName>
    <definedName name="qw" localSheetId="13" hidden="1">{"'PROFITABILITY'!$A$1:$F$45"}</definedName>
    <definedName name="qw" hidden="1">{"'PROFITABILITY'!$A$1:$F$45"}</definedName>
    <definedName name="qwer" localSheetId="0">#REF!</definedName>
    <definedName name="qwer" localSheetId="18">#REF!</definedName>
    <definedName name="qwer">#REF!</definedName>
    <definedName name="QWMKS" localSheetId="0">#REF!</definedName>
    <definedName name="QWMKS" localSheetId="18">#REF!</definedName>
    <definedName name="QWMKS">#REF!</definedName>
    <definedName name="r_">#REF!</definedName>
    <definedName name="Radio" localSheetId="0" hidden="1">{"'PROFITABILITY'!$A$1:$F$45"}</definedName>
    <definedName name="Radio" localSheetId="12" hidden="1">{"'PROFITABILITY'!$A$1:$F$45"}</definedName>
    <definedName name="Radio" localSheetId="10" hidden="1">{"'PROFITABILITY'!$A$1:$F$45"}</definedName>
    <definedName name="Radio" localSheetId="18" hidden="1">{"'PROFITABILITY'!$A$1:$F$45"}</definedName>
    <definedName name="Radio" localSheetId="13" hidden="1">{"'PROFITABILITY'!$A$1:$F$45"}</definedName>
    <definedName name="Radio" hidden="1">{"'PROFITABILITY'!$A$1:$F$45"}</definedName>
    <definedName name="raghu" localSheetId="0">#REF!</definedName>
    <definedName name="raghu" localSheetId="18">#REF!</definedName>
    <definedName name="raghu">#REF!</definedName>
    <definedName name="raja" localSheetId="0">#REF!</definedName>
    <definedName name="raja" localSheetId="18">#REF!</definedName>
    <definedName name="raja">#REF!</definedName>
    <definedName name="RbyP">#REF!</definedName>
    <definedName name="Re" localSheetId="0">#REF!</definedName>
    <definedName name="Re" localSheetId="18">#REF!</definedName>
    <definedName name="re">#REF!</definedName>
    <definedName name="Receivables_yearwise" localSheetId="18">#REF!</definedName>
    <definedName name="Receivables_yearwise">#REF!</definedName>
    <definedName name="_xlnm.Recorder" localSheetId="0">#REF!</definedName>
    <definedName name="_xlnm.Recorder" localSheetId="18">#REF!</definedName>
    <definedName name="_xlnm.Recorder">#REF!</definedName>
    <definedName name="Recorder1">#REF!</definedName>
    <definedName name="redmdn" localSheetId="0">#REF!</definedName>
    <definedName name="redmdn" localSheetId="18">#REF!</definedName>
    <definedName name="redmdn">#REF!</definedName>
    <definedName name="Reduction_of_Outpatient_ratios">#REF!,#REF!,#REF!</definedName>
    <definedName name="Ref__EUS_632_FDN_001">#REF!</definedName>
    <definedName name="Ref__EUS_632_FDN_002">#REF!</definedName>
    <definedName name="Regulatory_costs">#REF!</definedName>
    <definedName name="rel">#REF!</definedName>
    <definedName name="RENT" localSheetId="0">#REF!</definedName>
    <definedName name="RENT" localSheetId="18">#REF!</definedName>
    <definedName name="RENT">#REF!</definedName>
    <definedName name="Repairs" localSheetId="0">#REF!</definedName>
    <definedName name="Repairs" localSheetId="18">#REF!</definedName>
    <definedName name="Repairs">#REF!</definedName>
    <definedName name="Retail_Disc" localSheetId="18">#REF!</definedName>
    <definedName name="Retail_Disc">#REF!</definedName>
    <definedName name="Rev" localSheetId="0">#REF!</definedName>
    <definedName name="Rev" localSheetId="18">#REF!</definedName>
    <definedName name="Rev">#REF!</definedName>
    <definedName name="REVENUE_MODEL" localSheetId="0">#REF!</definedName>
    <definedName name="REVENUE_MODEL" localSheetId="18">#REF!</definedName>
    <definedName name="REVENUE_MODEL">#REF!</definedName>
    <definedName name="REVSTATUS" localSheetId="0">#REF!</definedName>
    <definedName name="REVSTATUS" localSheetId="18">#REF!</definedName>
    <definedName name="REVSTATUS">#REF!</definedName>
    <definedName name="revstatuspage1" localSheetId="0">#REF!</definedName>
    <definedName name="revstatuspage1" localSheetId="18">#REF!</definedName>
    <definedName name="revstatuspage1">#REF!</definedName>
    <definedName name="revstatuspage2" localSheetId="0">#REF!</definedName>
    <definedName name="revstatuspage2" localSheetId="18">#REF!</definedName>
    <definedName name="revstatuspage2">#REF!</definedName>
    <definedName name="Rg" localSheetId="0">#REF!</definedName>
    <definedName name="Rg" localSheetId="18">#REF!</definedName>
    <definedName name="Rg">#REF!</definedName>
    <definedName name="rgs" localSheetId="0">#REF!</definedName>
    <definedName name="rgs" localSheetId="18">#REF!</definedName>
    <definedName name="rgs">#REF!</definedName>
    <definedName name="rig">#REF!</definedName>
    <definedName name="rishraetc" localSheetId="0">#REF!</definedName>
    <definedName name="rishraetc" localSheetId="18">#REF!</definedName>
    <definedName name="rishraetc">#REF!</definedName>
    <definedName name="Risk_Table_Complet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l" localSheetId="0">#REF!</definedName>
    <definedName name="Rl" localSheetId="18">#REF!</definedName>
    <definedName name="Rl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LLFCCASHFLOW" localSheetId="0">#REF!</definedName>
    <definedName name="ROLLFCCASHFLOW" localSheetId="18">#REF!</definedName>
    <definedName name="ROLLFCCASHFLOW">#REF!</definedName>
    <definedName name="ROLLFCWKGS" localSheetId="0">#REF!</definedName>
    <definedName name="ROLLFCWKGS" localSheetId="18">#REF!</definedName>
    <definedName name="ROLLFCWKGS">#REF!</definedName>
    <definedName name="ROLLGFC" localSheetId="0">#REF!</definedName>
    <definedName name="ROLLGFC" localSheetId="18">#REF!</definedName>
    <definedName name="ROLLGFC">#REF!</definedName>
    <definedName name="rosid">#REF!</definedName>
    <definedName name="Roxy" localSheetId="0">#REF!</definedName>
    <definedName name="Roxy" localSheetId="18">#REF!</definedName>
    <definedName name="Roxy">#REF!</definedName>
    <definedName name="rqf" localSheetId="0">#REF!</definedName>
    <definedName name="rqf" localSheetId="18">#REF!</definedName>
    <definedName name="rqf">#REF!</definedName>
    <definedName name="rr">#REF!</definedName>
    <definedName name="RRR" hidden="1">#REF!</definedName>
    <definedName name="Rs" localSheetId="0">#REF!</definedName>
    <definedName name="Rs" localSheetId="18">#REF!</definedName>
    <definedName name="Rs">#REF!</definedName>
    <definedName name="rsat" localSheetId="0">#REF!</definedName>
    <definedName name="rsat" localSheetId="18">#REF!</definedName>
    <definedName name="rsat">#REF!</definedName>
    <definedName name="Rse" localSheetId="0">#REF!</definedName>
    <definedName name="Rse" localSheetId="18">#REF!</definedName>
    <definedName name="Rse">#REF!</definedName>
    <definedName name="rttqv" localSheetId="0">#REF!</definedName>
    <definedName name="rttqv" localSheetId="18">#REF!</definedName>
    <definedName name="rttqv">#REF!</definedName>
    <definedName name="RTU1_AI" localSheetId="0">#REF!</definedName>
    <definedName name="RTU1_AI" localSheetId="18">#REF!</definedName>
    <definedName name="RTU1_AI">#REF!</definedName>
    <definedName name="RTU1_DI" localSheetId="0">#REF!</definedName>
    <definedName name="RTU1_DI" localSheetId="18">#REF!</definedName>
    <definedName name="RTU1_DI">#REF!</definedName>
    <definedName name="RTU1_DO" localSheetId="0">#REF!</definedName>
    <definedName name="RTU1_DO" localSheetId="18">#REF!</definedName>
    <definedName name="RTU1_DO">#REF!</definedName>
    <definedName name="RTU1_PC" localSheetId="0">#REF!</definedName>
    <definedName name="RTU1_PC" localSheetId="18">#REF!</definedName>
    <definedName name="RTU1_PC">#REF!</definedName>
    <definedName name="RTU2_AI" localSheetId="0">#REF!</definedName>
    <definedName name="RTU2_AI" localSheetId="18">#REF!</definedName>
    <definedName name="RTU2_AI">#REF!</definedName>
    <definedName name="RTU2_DI" localSheetId="0">#REF!</definedName>
    <definedName name="RTU2_DI" localSheetId="18">#REF!</definedName>
    <definedName name="RTU2_DI">#REF!</definedName>
    <definedName name="RTU2_DO" localSheetId="0">#REF!</definedName>
    <definedName name="RTU2_DO" localSheetId="18">#REF!</definedName>
    <definedName name="RTU2_DO">#REF!</definedName>
    <definedName name="RTU2_PC" localSheetId="0">#REF!</definedName>
    <definedName name="RTU2_PC" localSheetId="18">#REF!</definedName>
    <definedName name="RTU2_PC">#REF!</definedName>
    <definedName name="rty">#REF!</definedName>
    <definedName name="Running_begin" localSheetId="18">#REF!</definedName>
    <definedName name="Running_begin">#REF!</definedName>
    <definedName name="Running_incr" localSheetId="18">#REF!</definedName>
    <definedName name="Running_incr">#REF!</definedName>
    <definedName name="ry" localSheetId="0">#REF!</definedName>
    <definedName name="ry" localSheetId="18">#REF!</definedName>
    <definedName name="ry">#REF!</definedName>
    <definedName name="s" localSheetId="18">#REF!</definedName>
    <definedName name="s">#REF!</definedName>
    <definedName name="s_all" localSheetId="0">#REF!</definedName>
    <definedName name="s_all" localSheetId="18">#REF!</definedName>
    <definedName name="s_all">#REF!</definedName>
    <definedName name="Sa" localSheetId="0">#REF!</definedName>
    <definedName name="Sa" localSheetId="18">#REF!</definedName>
    <definedName name="Sa">#REF!</definedName>
    <definedName name="SALARIES___WAGES" localSheetId="0">#REF!</definedName>
    <definedName name="SALARIES___WAGES" localSheetId="18">#REF!</definedName>
    <definedName name="SALARIES___WAGES">#REF!</definedName>
    <definedName name="SALEFACT" localSheetId="0">#REF!</definedName>
    <definedName name="SALEFACT" localSheetId="18">#REF!</definedName>
    <definedName name="SALEFACT">#REF!</definedName>
    <definedName name="SAP_SUMM" localSheetId="0">#REF!</definedName>
    <definedName name="SAP_SUMM" localSheetId="18">#REF!</definedName>
    <definedName name="SAP_SUMM">#REF!</definedName>
    <definedName name="sarita" localSheetId="0">#REF!</definedName>
    <definedName name="sarita" localSheetId="18">#REF!</definedName>
    <definedName name="sarita">#REF!</definedName>
    <definedName name="sas">#REF!</definedName>
    <definedName name="sasssss">#REF!</definedName>
    <definedName name="saz" localSheetId="0">#REF!</definedName>
    <definedName name="saz" localSheetId="18">#REF!</definedName>
    <definedName name="saz">#REF!</definedName>
    <definedName name="sb" localSheetId="0">#REF!</definedName>
    <definedName name="sb" localSheetId="18">#REF!</definedName>
    <definedName name="sb">#REF!</definedName>
    <definedName name="Sc" localSheetId="0">#REF!</definedName>
    <definedName name="Sc" localSheetId="18">#REF!</definedName>
    <definedName name="Sc">#REF!</definedName>
    <definedName name="Scenario">#REF!</definedName>
    <definedName name="Scenario_table">#REF!</definedName>
    <definedName name="SCIENCE" localSheetId="0">#REF!</definedName>
    <definedName name="SCIENCE" localSheetId="18">#REF!</definedName>
    <definedName name="SCIENCE">#REF!</definedName>
    <definedName name="sd" localSheetId="0">#REF!</definedName>
    <definedName name="sd" localSheetId="18">#REF!</definedName>
    <definedName name="sd">#REF!</definedName>
    <definedName name="sda" localSheetId="0">#REF!</definedName>
    <definedName name="sda" localSheetId="18">#REF!</definedName>
    <definedName name="sda">#REF!</definedName>
    <definedName name="Sdate">#REF!</definedName>
    <definedName name="sdb" localSheetId="0">#REF!</definedName>
    <definedName name="sdb" localSheetId="18">#REF!</definedName>
    <definedName name="sdb">#REF!</definedName>
    <definedName name="sdf" localSheetId="0">#REF!</definedName>
    <definedName name="sdf" localSheetId="18">#REF!</definedName>
    <definedName name="sdf">#REF!</definedName>
    <definedName name="sdfd" localSheetId="0">#REF!</definedName>
    <definedName name="sdfd" localSheetId="18">#REF!</definedName>
    <definedName name="sdfd">#REF!</definedName>
    <definedName name="sdrt">#REF!</definedName>
    <definedName name="sdsdsd" localSheetId="0">#REF!</definedName>
    <definedName name="sdsdsd" localSheetId="18">#REF!</definedName>
    <definedName name="sdsdsd">#REF!</definedName>
    <definedName name="sek" localSheetId="0">#REF!</definedName>
    <definedName name="sek" localSheetId="18">#REF!</definedName>
    <definedName name="sek">#REF!</definedName>
    <definedName name="SEK_C" localSheetId="0">#REF!</definedName>
    <definedName name="SEK_C" localSheetId="18">#REF!</definedName>
    <definedName name="SEK_C">#REF!</definedName>
    <definedName name="Sel_SiteInfra_PS" localSheetId="0">#REF!</definedName>
    <definedName name="Sel_SiteInfra_PS" localSheetId="18">#REF!</definedName>
    <definedName name="Sel_SiteInfra_PS">#REF!</definedName>
    <definedName name="sencount" hidden="1">1</definedName>
    <definedName name="SEQUENCING" localSheetId="0">#REF!</definedName>
    <definedName name="SEQUENCING" localSheetId="18">#REF!</definedName>
    <definedName name="SEQUENCING">#REF!</definedName>
    <definedName name="SER_TAX" localSheetId="0">#REF!</definedName>
    <definedName name="SER_TAX" localSheetId="18">#REF!</definedName>
    <definedName name="SER_TAX">#REF!</definedName>
    <definedName name="SESHA_SAI_CONSTRUCTION">#REF!</definedName>
    <definedName name="SF">#REF!</definedName>
    <definedName name="sff" localSheetId="0">#REF!</definedName>
    <definedName name="sff" localSheetId="18">#REF!</definedName>
    <definedName name="sff">#REF!</definedName>
    <definedName name="SFR" localSheetId="0">#REF!</definedName>
    <definedName name="SFR" localSheetId="18">#REF!</definedName>
    <definedName name="SFR">#REF!</definedName>
    <definedName name="sh_mod" localSheetId="0">#REF!</definedName>
    <definedName name="sh_mod" localSheetId="18">#REF!</definedName>
    <definedName name="sh_mod">#REF!</definedName>
    <definedName name="sheet1">#REF!</definedName>
    <definedName name="SHTA" localSheetId="0">#REF!</definedName>
    <definedName name="SHTA" localSheetId="18">#REF!</definedName>
    <definedName name="SHTA">#REF!</definedName>
    <definedName name="si">#REF!</definedName>
    <definedName name="sigma0.2" localSheetId="0">#REF!</definedName>
    <definedName name="sigma0.2" localSheetId="18">#REF!</definedName>
    <definedName name="sigma0.2">#REF!</definedName>
    <definedName name="sigmab" localSheetId="0">#REF!</definedName>
    <definedName name="sigmab" localSheetId="18">#REF!</definedName>
    <definedName name="sigmab">#REF!</definedName>
    <definedName name="sigmah" localSheetId="0">#REF!</definedName>
    <definedName name="sigmah" localSheetId="18">#REF!</definedName>
    <definedName name="sigmah">#REF!</definedName>
    <definedName name="sigmat" localSheetId="0">#REF!</definedName>
    <definedName name="sigmat" localSheetId="18">#REF!</definedName>
    <definedName name="sigmat">#REF!</definedName>
    <definedName name="sm" localSheetId="0">#REF!</definedName>
    <definedName name="sm" localSheetId="18">#REF!</definedName>
    <definedName name="sm">#REF!</definedName>
    <definedName name="smsb">#REF!</definedName>
    <definedName name="soil_damp" localSheetId="0">#REF!</definedName>
    <definedName name="soil_damp" localSheetId="18">#REF!</definedName>
    <definedName name="soil_damp">#REF!</definedName>
    <definedName name="soil_unitwt" localSheetId="0">#REF!</definedName>
    <definedName name="soil_unitwt" localSheetId="18">#REF!</definedName>
    <definedName name="soil_unitwt">#REF!</definedName>
    <definedName name="SOR">#REF!</definedName>
    <definedName name="SOURCE">#REF!</definedName>
    <definedName name="Source_Price" localSheetId="0">#REF!</definedName>
    <definedName name="Source_Price" localSheetId="18">#REF!</definedName>
    <definedName name="Source_Price">#REF!</definedName>
    <definedName name="SpacerDamper" localSheetId="0" hidden="1">{"'PROFITABILITY'!$A$1:$F$45"}</definedName>
    <definedName name="SpacerDamper" localSheetId="12" hidden="1">{"'PROFITABILITY'!$A$1:$F$45"}</definedName>
    <definedName name="SpacerDamper" localSheetId="10" hidden="1">{"'PROFITABILITY'!$A$1:$F$45"}</definedName>
    <definedName name="SpacerDamper" localSheetId="18" hidden="1">{"'PROFITABILITY'!$A$1:$F$45"}</definedName>
    <definedName name="SpacerDamper" localSheetId="13" hidden="1">{"'PROFITABILITY'!$A$1:$F$45"}</definedName>
    <definedName name="SpacerDamper" hidden="1">{"'PROFITABILITY'!$A$1:$F$45"}</definedName>
    <definedName name="SPAR" localSheetId="0">#REF!</definedName>
    <definedName name="SPAR" localSheetId="18">#REF!</definedName>
    <definedName name="SPAR">#REF!</definedName>
    <definedName name="Spare" localSheetId="0" hidden="1">{"'PROFITABILITY'!$A$1:$F$45"}</definedName>
    <definedName name="Spare" localSheetId="12" hidden="1">{"'PROFITABILITY'!$A$1:$F$45"}</definedName>
    <definedName name="Spare" localSheetId="10" hidden="1">{"'PROFITABILITY'!$A$1:$F$45"}</definedName>
    <definedName name="Spare" localSheetId="18" hidden="1">{"'PROFITABILITY'!$A$1:$F$45"}</definedName>
    <definedName name="Spare" localSheetId="13" hidden="1">{"'PROFITABILITY'!$A$1:$F$45"}</definedName>
    <definedName name="Spare" hidden="1">{"'PROFITABILITY'!$A$1:$F$45"}</definedName>
    <definedName name="spfactor">#REF!</definedName>
    <definedName name="SPTNP">#REF!</definedName>
    <definedName name="Sq" localSheetId="0">#REF!</definedName>
    <definedName name="Sq" localSheetId="18">#REF!</definedName>
    <definedName name="Sq">#REF!</definedName>
    <definedName name="SQRT__1___0.6___1.0" localSheetId="0">#REF!</definedName>
    <definedName name="SQRT__1___0.6___1.0" localSheetId="18">#REF!</definedName>
    <definedName name="SQRT__1___0.6___1.0">#REF!</definedName>
    <definedName name="Sr" localSheetId="0">#REF!</definedName>
    <definedName name="Sr" localSheetId="18">#REF!</definedName>
    <definedName name="Sr">#REF!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0">#REF!</definedName>
    <definedName name="SS" localSheetId="18">#REF!</definedName>
    <definedName name="SS">#REF!</definedName>
    <definedName name="SS400_401" localSheetId="0">#REF!</definedName>
    <definedName name="SS400_401" localSheetId="18">#REF!</definedName>
    <definedName name="SS400_401">#REF!</definedName>
    <definedName name="ss401_404" localSheetId="0">#REF!</definedName>
    <definedName name="ss401_404" localSheetId="18">#REF!</definedName>
    <definedName name="ss401_404">#REF!</definedName>
    <definedName name="ss405_408" localSheetId="0">#REF!</definedName>
    <definedName name="ss405_408" localSheetId="18">#REF!</definedName>
    <definedName name="ss405_408">#REF!</definedName>
    <definedName name="SS421_422" localSheetId="0">#REF!</definedName>
    <definedName name="SS421_422" localSheetId="18">#REF!</definedName>
    <definedName name="SS421_422">#REF!</definedName>
    <definedName name="ss421_424" localSheetId="0">#REF!</definedName>
    <definedName name="ss421_424" localSheetId="18">#REF!</definedName>
    <definedName name="ss421_424">#REF!</definedName>
    <definedName name="ssf" localSheetId="0">#REF!</definedName>
    <definedName name="ssf" localSheetId="18">#REF!</definedName>
    <definedName name="ssf">#REF!</definedName>
    <definedName name="sss" localSheetId="18">#REF!</definedName>
    <definedName name="sss">#REF!</definedName>
    <definedName name="ssss" localSheetId="0">#REF!</definedName>
    <definedName name="ssss" localSheetId="18">#REF!</definedName>
    <definedName name="ssss">#REF!</definedName>
    <definedName name="ST" localSheetId="0">#REF!</definedName>
    <definedName name="ST" localSheetId="18">#REF!</definedName>
    <definedName name="ST">#REF!</definedName>
    <definedName name="STD" localSheetId="0">#REF!</definedName>
    <definedName name="STD" localSheetId="18">#REF!</definedName>
    <definedName name="STD">#REF!</definedName>
    <definedName name="SteelSection" localSheetId="0">#REF!</definedName>
    <definedName name="SteelSection" localSheetId="18">#REF!</definedName>
    <definedName name="SteelSection">#REF!</definedName>
    <definedName name="Stra" localSheetId="0">#REF!</definedName>
    <definedName name="Stra" localSheetId="18">#REF!</definedName>
    <definedName name="Stra">#REF!</definedName>
    <definedName name="Strb" localSheetId="0">#REF!</definedName>
    <definedName name="Strb" localSheetId="18">#REF!</definedName>
    <definedName name="Strb">#REF!</definedName>
    <definedName name="Stretch">#REF!</definedName>
    <definedName name="Stringing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0">#REF!</definedName>
    <definedName name="Strm" localSheetId="18">#REF!</definedName>
    <definedName name="Strm">#REF!</definedName>
    <definedName name="Structure" localSheetId="0">#REF!</definedName>
    <definedName name="Structure" localSheetId="18">#REF!</definedName>
    <definedName name="Structure">#REF!</definedName>
    <definedName name="stub400">#REF!</definedName>
    <definedName name="stubtype">#REF!</definedName>
    <definedName name="stubtype1">#REF!</definedName>
    <definedName name="substation" localSheetId="0">#REF!</definedName>
    <definedName name="substation" localSheetId="18">#REF!</definedName>
    <definedName name="substation">#REF!</definedName>
    <definedName name="SUMMARY" localSheetId="0">#REF!</definedName>
    <definedName name="SUMMARY" localSheetId="18">#REF!</definedName>
    <definedName name="SUMMARY">#REF!</definedName>
    <definedName name="SUMMARY_OTHER_EXPS" localSheetId="0">#REF!</definedName>
    <definedName name="SUMMARY_OTHER_EXPS" localSheetId="18">#REF!</definedName>
    <definedName name="SUMMARY_OTHER_EXPS">#REF!</definedName>
    <definedName name="Supplies" localSheetId="0">#REF!</definedName>
    <definedName name="Supplies" localSheetId="20">#REF!</definedName>
    <definedName name="Supplies" localSheetId="18">#REF!</definedName>
    <definedName name="Supplies" localSheetId="8">#REF!</definedName>
    <definedName name="Supplies">#REF!</definedName>
    <definedName name="Supply">#REF!</definedName>
    <definedName name="supplysch" localSheetId="0">#REF!</definedName>
    <definedName name="supplysch" localSheetId="18">#REF!</definedName>
    <definedName name="supplysch">#REF!</definedName>
    <definedName name="SV" hidden="1">#REF!</definedName>
    <definedName name="swd_Adl_dis" localSheetId="0">#REF!</definedName>
    <definedName name="swd_Adl_dis" localSheetId="18">#REF!</definedName>
    <definedName name="swd_Adl_dis">#REF!</definedName>
    <definedName name="swd_cd" localSheetId="0">#REF!</definedName>
    <definedName name="swd_cd" localSheetId="18">#REF!</definedName>
    <definedName name="swd_cd">#REF!</definedName>
    <definedName name="swd_er" localSheetId="0">#REF!</definedName>
    <definedName name="swd_er" localSheetId="18">#REF!</definedName>
    <definedName name="swd_er">#REF!</definedName>
    <definedName name="swd_fi" localSheetId="0">#REF!</definedName>
    <definedName name="swd_fi" localSheetId="18">#REF!</definedName>
    <definedName name="swd_fi">#REF!</definedName>
    <definedName name="t" localSheetId="18">#REF!</definedName>
    <definedName name="t">#REF!</definedName>
    <definedName name="TaperedGrowth" localSheetId="0">#REF!</definedName>
    <definedName name="TaperedGrowth" localSheetId="18">#REF!</definedName>
    <definedName name="TaperedGrowth">#REF!</definedName>
    <definedName name="Target" localSheetId="0">#REF!</definedName>
    <definedName name="Target" localSheetId="18">#REF!</definedName>
    <definedName name="Target">#REF!</definedName>
    <definedName name="Tax_Rate" localSheetId="18">#REF!</definedName>
    <definedName name="Tax_Rate">#REF!</definedName>
    <definedName name="Tc" localSheetId="0">#REF!</definedName>
    <definedName name="Tc" localSheetId="18">#REF!</definedName>
    <definedName name="Tc">#REF!</definedName>
    <definedName name="td1__m" localSheetId="0">#REF!</definedName>
    <definedName name="td1__m" localSheetId="18">#REF!</definedName>
    <definedName name="td1__m">#REF!</definedName>
    <definedName name="td2__m" localSheetId="0">#REF!</definedName>
    <definedName name="td2__m" localSheetId="18">#REF!</definedName>
    <definedName name="td2__m">#REF!</definedName>
    <definedName name="TDosCountries" localSheetId="18">#REF!</definedName>
    <definedName name="TDosCountries">#REF!</definedName>
    <definedName name="te">#REF!</definedName>
    <definedName name="TEAMS" localSheetId="18">#REF!</definedName>
    <definedName name="TEAMS">#REF!</definedName>
    <definedName name="tel" localSheetId="0">#REF!</definedName>
    <definedName name="tel" localSheetId="18">#REF!</definedName>
    <definedName name="tel">#REF!</definedName>
    <definedName name="TEMP">#REF!</definedName>
    <definedName name="Tension" localSheetId="0">#REF!</definedName>
    <definedName name="Tension" localSheetId="18">#REF!</definedName>
    <definedName name="Tension">#REF!</definedName>
    <definedName name="TEs" localSheetId="0">#REF!</definedName>
    <definedName name="TEs" localSheetId="18">#REF!</definedName>
    <definedName name="TEs">#REF!</definedName>
    <definedName name="TEST" localSheetId="0">#REF!</definedName>
    <definedName name="TEST" localSheetId="18">#REF!</definedName>
    <definedName name="TEST">#REF!</definedName>
    <definedName name="TEST0" localSheetId="0">#REF!</definedName>
    <definedName name="TEST0" localSheetId="18">#REF!</definedName>
    <definedName name="TEST0">#REF!</definedName>
    <definedName name="TEST1" localSheetId="0">#REF!</definedName>
    <definedName name="TEST1" localSheetId="18">#REF!</definedName>
    <definedName name="TEST1">#REF!</definedName>
    <definedName name="TEST10" localSheetId="0">#REF!</definedName>
    <definedName name="TEST10" localSheetId="18">#REF!</definedName>
    <definedName name="TEST10">#REF!</definedName>
    <definedName name="TEST11" localSheetId="0">#REF!</definedName>
    <definedName name="TEST11" localSheetId="18">#REF!</definedName>
    <definedName name="TEST11">#REF!</definedName>
    <definedName name="TEST12" localSheetId="0">#REF!</definedName>
    <definedName name="TEST12" localSheetId="18">#REF!</definedName>
    <definedName name="TEST12">#REF!</definedName>
    <definedName name="TEST13" localSheetId="0">#REF!</definedName>
    <definedName name="TEST13" localSheetId="18">#REF!</definedName>
    <definedName name="TEST13">#REF!</definedName>
    <definedName name="TEST14" localSheetId="0">#REF!</definedName>
    <definedName name="TEST14" localSheetId="18">#REF!</definedName>
    <definedName name="TEST14">#REF!</definedName>
    <definedName name="TEST2" localSheetId="0">#REF!</definedName>
    <definedName name="TEST2" localSheetId="18">#REF!</definedName>
    <definedName name="TEST2">#REF!</definedName>
    <definedName name="TEST3" localSheetId="0">#REF!</definedName>
    <definedName name="TEST3" localSheetId="18">#REF!</definedName>
    <definedName name="TEST3">#REF!</definedName>
    <definedName name="TEST4" localSheetId="0">#REF!</definedName>
    <definedName name="TEST4" localSheetId="18">#REF!</definedName>
    <definedName name="TEST4">#REF!</definedName>
    <definedName name="TEST5" localSheetId="0">#REF!</definedName>
    <definedName name="TEST5" localSheetId="18">#REF!</definedName>
    <definedName name="TEST5">#REF!</definedName>
    <definedName name="TEST6" localSheetId="0">#REF!</definedName>
    <definedName name="TEST6" localSheetId="18">#REF!</definedName>
    <definedName name="TEST6">#REF!</definedName>
    <definedName name="TEST7" localSheetId="0">#REF!</definedName>
    <definedName name="TEST7" localSheetId="18">#REF!</definedName>
    <definedName name="TEST7">#REF!</definedName>
    <definedName name="TEST8" localSheetId="0">#REF!</definedName>
    <definedName name="TEST8" localSheetId="18">#REF!</definedName>
    <definedName name="TEST8">#REF!</definedName>
    <definedName name="TEST9" localSheetId="0">#REF!</definedName>
    <definedName name="TEST9" localSheetId="18">#REF!</definedName>
    <definedName name="TEST9">#REF!</definedName>
    <definedName name="TESTHKEY" localSheetId="0">#REF!</definedName>
    <definedName name="TESTHKEY" localSheetId="18">#REF!</definedName>
    <definedName name="TESTHKEY">#REF!</definedName>
    <definedName name="TESTKEYS" localSheetId="0">#REF!</definedName>
    <definedName name="TESTKEYS" localSheetId="18">#REF!</definedName>
    <definedName name="TESTKEYS">#REF!</definedName>
    <definedName name="TESTVKEY" localSheetId="0">#REF!</definedName>
    <definedName name="TESTVKEY" localSheetId="18">#REF!</definedName>
    <definedName name="TESTVKEY">#REF!</definedName>
    <definedName name="TEt" localSheetId="0">#REF!</definedName>
    <definedName name="TEt" localSheetId="18">#REF!</definedName>
    <definedName name="TEt">#REF!</definedName>
    <definedName name="Tf" localSheetId="0">#REF!</definedName>
    <definedName name="Tf" localSheetId="18">#REF!</definedName>
    <definedName name="Tf">#REF!</definedName>
    <definedName name="theta" localSheetId="0">#REF!</definedName>
    <definedName name="theta" localSheetId="18">#REF!</definedName>
    <definedName name="theta">#REF!</definedName>
    <definedName name="TITLE">#REF!</definedName>
    <definedName name="Title1">#REF!</definedName>
    <definedName name="Title2">#REF!</definedName>
    <definedName name="Tk" localSheetId="0">#REF!</definedName>
    <definedName name="Tk" localSheetId="18">#REF!</definedName>
    <definedName name="Tk">#REF!</definedName>
    <definedName name="TMACountries" localSheetId="18">#REF!</definedName>
    <definedName name="TMACountries">#REF!</definedName>
    <definedName name="TNEBJSR" localSheetId="0">#REF!</definedName>
    <definedName name="TNEBJSR" localSheetId="18">#REF!</definedName>
    <definedName name="TNEBJSR">#REF!</definedName>
    <definedName name="tol">#REF!</definedName>
    <definedName name="top_ser" localSheetId="0">#REF!</definedName>
    <definedName name="top_ser" localSheetId="18">#REF!</definedName>
    <definedName name="top_ser">#REF!</definedName>
    <definedName name="TOP_SUP" localSheetId="0">#REF!</definedName>
    <definedName name="TOP_SUP" localSheetId="18">#REF!</definedName>
    <definedName name="TOP_SUP">#REF!</definedName>
    <definedName name="topl">#REF!</definedName>
    <definedName name="topn">#REF!</definedName>
    <definedName name="TorrentDossier" localSheetId="18">#REF!</definedName>
    <definedName name="TorrentDossier">#REF!</definedName>
    <definedName name="TorrentMA" localSheetId="18">#REF!</definedName>
    <definedName name="TorrentMA">#REF!</definedName>
    <definedName name="tot_wt" localSheetId="0">#REF!</definedName>
    <definedName name="tot_wt" localSheetId="18">#REF!</definedName>
    <definedName name="tot_wt">#REF!</definedName>
    <definedName name="total" localSheetId="0">#REF!</definedName>
    <definedName name="total" localSheetId="18">#REF!</definedName>
    <definedName name="total">#REF!</definedName>
    <definedName name="Total_EB" localSheetId="0">#REF!</definedName>
    <definedName name="Total_EB" localSheetId="18">#REF!</definedName>
    <definedName name="Total_EB">#REF!</definedName>
    <definedName name="totalmc" localSheetId="0">#REF!</definedName>
    <definedName name="totalmc" localSheetId="18">#REF!</definedName>
    <definedName name="totalmc">#REF!</definedName>
    <definedName name="totalmc1" localSheetId="0">#REF!</definedName>
    <definedName name="totalmc1" localSheetId="18">#REF!</definedName>
    <definedName name="totalmc1">#REF!</definedName>
    <definedName name="tower" localSheetId="0" hidden="1">{"'PROFITABILITY'!$A$1:$F$45"}</definedName>
    <definedName name="tower" localSheetId="12" hidden="1">{"'PROFITABILITY'!$A$1:$F$45"}</definedName>
    <definedName name="tower" localSheetId="10" hidden="1">{"'PROFITABILITY'!$A$1:$F$45"}</definedName>
    <definedName name="tower" localSheetId="18" hidden="1">{"'PROFITABILITY'!$A$1:$F$45"}</definedName>
    <definedName name="tower" localSheetId="13" hidden="1">{"'PROFITABILITY'!$A$1:$F$45"}</definedName>
    <definedName name="tower" hidden="1">{"'PROFITABILITY'!$A$1:$F$45"}</definedName>
    <definedName name="tower400">#REF!</definedName>
    <definedName name="towercosting" localSheetId="0" hidden="1">{"'PROFITABILITY'!$A$1:$F$45"}</definedName>
    <definedName name="towercosting" localSheetId="12" hidden="1">{"'PROFITABILITY'!$A$1:$F$45"}</definedName>
    <definedName name="towercosting" localSheetId="10" hidden="1">{"'PROFITABILITY'!$A$1:$F$45"}</definedName>
    <definedName name="towercosting" localSheetId="18" hidden="1">{"'PROFITABILITY'!$A$1:$F$45"}</definedName>
    <definedName name="towercosting" localSheetId="13" hidden="1">{"'PROFITABILITY'!$A$1:$F$45"}</definedName>
    <definedName name="towercosting" hidden="1">{"'PROFITABILITY'!$A$1:$F$45"}</definedName>
    <definedName name="tp" localSheetId="0">#REF!</definedName>
    <definedName name="tp" localSheetId="18">#REF!</definedName>
    <definedName name="tp">#REF!</definedName>
    <definedName name="transformer" localSheetId="0" hidden="1">{"'PROFITABILITY'!$A$1:$F$45"}</definedName>
    <definedName name="transformer" localSheetId="12" hidden="1">{"'PROFITABILITY'!$A$1:$F$45"}</definedName>
    <definedName name="transformer" localSheetId="10" hidden="1">{"'PROFITABILITY'!$A$1:$F$45"}</definedName>
    <definedName name="transformer" localSheetId="18" hidden="1">{"'PROFITABILITY'!$A$1:$F$45"}</definedName>
    <definedName name="transformer" localSheetId="13" hidden="1">{"'PROFITABILITY'!$A$1:$F$45"}</definedName>
    <definedName name="transformer" hidden="1">{"'PROFITABILITY'!$A$1:$F$45"}</definedName>
    <definedName name="Trusts" localSheetId="0">#REF!</definedName>
    <definedName name="Trusts" localSheetId="18">#REF!</definedName>
    <definedName name="Trusts">#REF!</definedName>
    <definedName name="TrustUnderlyingDeficitScenarios" localSheetId="0">#REF!</definedName>
    <definedName name="TrustUnderlyingDeficitScenarios" localSheetId="18">#REF!</definedName>
    <definedName name="TrustUnderlyingDeficitScenarios">#REF!</definedName>
    <definedName name="try">#REF!</definedName>
    <definedName name="tS" localSheetId="0">#REF!</definedName>
    <definedName name="tS" localSheetId="18">#REF!</definedName>
    <definedName name="tS">#REF!</definedName>
    <definedName name="ts1__m" localSheetId="0">#REF!</definedName>
    <definedName name="ts1__m" localSheetId="18">#REF!</definedName>
    <definedName name="ts1__m">#REF!</definedName>
    <definedName name="ts2__m" localSheetId="0">#REF!</definedName>
    <definedName name="ts2__m" localSheetId="18">#REF!</definedName>
    <definedName name="ts2__m">#REF!</definedName>
    <definedName name="tt" localSheetId="0">#REF!</definedName>
    <definedName name="tt" localSheetId="18">#REF!</definedName>
    <definedName name="tt">#REF!</definedName>
    <definedName name="ttt" localSheetId="0">#REF!</definedName>
    <definedName name="ttt" localSheetId="18">#REF!</definedName>
    <definedName name="ttt">#REF!</definedName>
    <definedName name="Tv">#REF!</definedName>
    <definedName name="Tva" localSheetId="0">#REF!</definedName>
    <definedName name="Tva" localSheetId="18">#REF!</definedName>
    <definedName name="Tva">#REF!</definedName>
    <definedName name="Tvb" localSheetId="0">#REF!</definedName>
    <definedName name="Tvb" localSheetId="18">#REF!</definedName>
    <definedName name="Tvb">#REF!</definedName>
    <definedName name="typeofbidder" localSheetId="0">#REF!</definedName>
    <definedName name="typeofbidder" localSheetId="18">#REF!</definedName>
    <definedName name="typeofbidder">#REF!</definedName>
    <definedName name="u">#REF!</definedName>
    <definedName name="UKP" localSheetId="0">#REF!</definedName>
    <definedName name="UKP" localSheetId="18">#REF!</definedName>
    <definedName name="UKP">#REF!</definedName>
    <definedName name="UNIT_PRICE_SCHEDULE" localSheetId="0">#REF!</definedName>
    <definedName name="UNIT_PRICE_SCHEDULE" localSheetId="18">#REF!</definedName>
    <definedName name="UNIT_PRICE_SCHEDULE">#REF!</definedName>
    <definedName name="unitdisc" localSheetId="0">#REF!</definedName>
    <definedName name="unitdisc" localSheetId="18">#REF!</definedName>
    <definedName name="unitdisc">#REF!</definedName>
    <definedName name="UNITS">#REF!</definedName>
    <definedName name="UniversalRestriction" localSheetId="18">#REF!</definedName>
    <definedName name="UniversalRestriction">#REF!</definedName>
    <definedName name="UPTAKECURVE" localSheetId="0">#REF!</definedName>
    <definedName name="UPTAKECURVE" localSheetId="18">#REF!</definedName>
    <definedName name="UPTAKECURVE">#REF!</definedName>
    <definedName name="us_cd" localSheetId="0">#REF!</definedName>
    <definedName name="us_cd" localSheetId="18">#REF!</definedName>
    <definedName name="us_cd">#REF!</definedName>
    <definedName name="us_er" localSheetId="0">#REF!</definedName>
    <definedName name="us_er" localSheetId="18">#REF!</definedName>
    <definedName name="us_er">#REF!</definedName>
    <definedName name="us_fi" localSheetId="0">#REF!</definedName>
    <definedName name="us_fi" localSheetId="18">#REF!</definedName>
    <definedName name="us_fi">#REF!</definedName>
    <definedName name="us_n" localSheetId="0">#REF!</definedName>
    <definedName name="us_n" localSheetId="18">#REF!</definedName>
    <definedName name="us_n">#REF!</definedName>
    <definedName name="USD" localSheetId="0">#REF!</definedName>
    <definedName name="USD" localSheetId="18">#REF!</definedName>
    <definedName name="USD">#REF!</definedName>
    <definedName name="USD_to_INR">#REF!</definedName>
    <definedName name="uuu" localSheetId="0">#REF!</definedName>
    <definedName name="uuu" localSheetId="18">#REF!</definedName>
    <definedName name="uuu">#REF!</definedName>
    <definedName name="v" localSheetId="0">#REF!</definedName>
    <definedName name="v" localSheetId="18">#REF!</definedName>
    <definedName name="v">#REF!</definedName>
    <definedName name="va" localSheetId="0">#REF!</definedName>
    <definedName name="va" localSheetId="18">#REF!</definedName>
    <definedName name="va">#REF!</definedName>
    <definedName name="VALUECAGR" localSheetId="0">#REF!</definedName>
    <definedName name="VALUECAGR" localSheetId="18">#REF!</definedName>
    <definedName name="VALUECAGR">#REF!</definedName>
    <definedName name="Var._IGP_M_Dez_00" localSheetId="0">#REF!</definedName>
    <definedName name="Var._IGP_M_Dez_00" localSheetId="18">#REF!</definedName>
    <definedName name="Var._IGP_M_Dez_00">#REF!</definedName>
    <definedName name="VAT" localSheetId="0">#REF!</definedName>
    <definedName name="VAT" localSheetId="18">#REF!</definedName>
    <definedName name="VAT">#REF!</definedName>
    <definedName name="VB" localSheetId="0">#REF!</definedName>
    <definedName name="VB" localSheetId="18">#REF!</definedName>
    <definedName name="VB">#REF!</definedName>
    <definedName name="vcp" localSheetId="0">#REF!</definedName>
    <definedName name="vcp" localSheetId="18">#REF!</definedName>
    <definedName name="vcp">#REF!</definedName>
    <definedName name="VD" localSheetId="0">#REF!</definedName>
    <definedName name="VD" localSheetId="18">#REF!</definedName>
    <definedName name="VD">#REF!</definedName>
    <definedName name="Vend" localSheetId="0">#REF!</definedName>
    <definedName name="Vend" localSheetId="18">#REF!</definedName>
    <definedName name="Vend">#REF!</definedName>
    <definedName name="Vf" localSheetId="0">#REF!</definedName>
    <definedName name="Vf" localSheetId="18">#REF!</definedName>
    <definedName name="Vf">#REF!</definedName>
    <definedName name="vir" localSheetId="0">#REF!</definedName>
    <definedName name="vir" localSheetId="18">#REF!</definedName>
    <definedName name="vir">#REF!</definedName>
    <definedName name="Vol" localSheetId="0">#REF!</definedName>
    <definedName name="Vol" localSheetId="18">#REF!</definedName>
    <definedName name="Vol">#REF!</definedName>
    <definedName name="VOLUMECAGRS" localSheetId="0">#REF!</definedName>
    <definedName name="VOLUMECAGRS" localSheetId="18">#REF!</definedName>
    <definedName name="VOLUMECAGRS">#REF!</definedName>
    <definedName name="VOLUMEGROWTH" localSheetId="0">#REF!</definedName>
    <definedName name="VOLUMEGROWTH" localSheetId="18">#REF!</definedName>
    <definedName name="VOLUMEGROWTH">#REF!</definedName>
    <definedName name="Vsigma" localSheetId="0">#REF!</definedName>
    <definedName name="Vsigma" localSheetId="18">#REF!</definedName>
    <definedName name="Vsigma">#REF!</definedName>
    <definedName name="vv" localSheetId="0">#REF!</definedName>
    <definedName name="vv" localSheetId="18">#REF!</definedName>
    <definedName name="vv">#REF!</definedName>
    <definedName name="VVA" localSheetId="0">#REF!</definedName>
    <definedName name="VVA" localSheetId="18">#REF!</definedName>
    <definedName name="VVA">#REF!</definedName>
    <definedName name="vvhj" localSheetId="0">#REF!</definedName>
    <definedName name="vvhj" localSheetId="18">#REF!</definedName>
    <definedName name="vvhj">#REF!</definedName>
    <definedName name="Vz" localSheetId="0">#REF!</definedName>
    <definedName name="Vz" localSheetId="18">#REF!</definedName>
    <definedName name="Vz">#REF!</definedName>
    <definedName name="W" localSheetId="0">#REF!</definedName>
    <definedName name="W" localSheetId="18">#REF!</definedName>
    <definedName name="W">#REF!</definedName>
    <definedName name="WACC" localSheetId="18">#REF!</definedName>
    <definedName name="WACC">#REF!</definedName>
    <definedName name="Waiting">"Picture 1"</definedName>
    <definedName name="Waves">#REF!</definedName>
    <definedName name="wcl" localSheetId="18">#REF!</definedName>
    <definedName name="wcl">#REF!</definedName>
    <definedName name="WCT">#REF!</definedName>
    <definedName name="web_end">#REF!</definedName>
    <definedName name="web_mid">#REF!</definedName>
    <definedName name="wertt" localSheetId="0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10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id" localSheetId="0">#REF!</definedName>
    <definedName name="wid" localSheetId="18">#REF!</definedName>
    <definedName name="wid">#REF!</definedName>
    <definedName name="width">#REF!</definedName>
    <definedName name="Winform" localSheetId="0">#REF!</definedName>
    <definedName name="Winform" localSheetId="18">#REF!</definedName>
    <definedName name="Winform">#REF!</definedName>
    <definedName name="WLP">#REF!</definedName>
    <definedName name="wordings" localSheetId="0">#REF!</definedName>
    <definedName name="wordings" localSheetId="18">#REF!</definedName>
    <definedName name="wordings">#REF!</definedName>
    <definedName name="WP" localSheetId="0">#REF!</definedName>
    <definedName name="WP" localSheetId="18">#REF!</definedName>
    <definedName name="WP">#REF!</definedName>
    <definedName name="Wq" localSheetId="0">#REF!</definedName>
    <definedName name="Wq" localSheetId="18">#REF!</definedName>
    <definedName name="Wq">#REF!</definedName>
    <definedName name="Wr" localSheetId="0">#REF!</definedName>
    <definedName name="Wr" localSheetId="18">#REF!</definedName>
    <definedName name="Wr">#REF!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0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0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0">#REF!</definedName>
    <definedName name="WT" localSheetId="18">#REF!</definedName>
    <definedName name="WT">#REF!</definedName>
    <definedName name="ww" localSheetId="0" hidden="1">{"'PROFITABILITY'!$A$1:$F$45"}</definedName>
    <definedName name="ww" localSheetId="12" hidden="1">{"'PROFITABILITY'!$A$1:$F$45"}</definedName>
    <definedName name="ww" localSheetId="10" hidden="1">{"'PROFITABILITY'!$A$1:$F$45"}</definedName>
    <definedName name="ww" localSheetId="18" hidden="1">{"'PROFITABILITY'!$A$1:$F$45"}</definedName>
    <definedName name="ww" localSheetId="13" hidden="1">{"'PROFITABILITY'!$A$1:$F$45"}</definedName>
    <definedName name="ww" hidden="1">{"'PROFITABILITY'!$A$1:$F$45"}</definedName>
    <definedName name="www">#REF!</definedName>
    <definedName name="x" localSheetId="18">#REF!</definedName>
    <definedName name="x">#REF!</definedName>
    <definedName name="Xl" localSheetId="0">#REF!</definedName>
    <definedName name="Xl" localSheetId="18">#REF!</definedName>
    <definedName name="Xl">#REF!</definedName>
    <definedName name="xu" localSheetId="0">#REF!</definedName>
    <definedName name="xu" localSheetId="18">#REF!</definedName>
    <definedName name="xu">#REF!</definedName>
    <definedName name="xulimit" localSheetId="0">#REF!</definedName>
    <definedName name="xulimit" localSheetId="18">#REF!</definedName>
    <definedName name="xulimit">#REF!</definedName>
    <definedName name="xxx" localSheetId="0">'765KV TA 414 VNTL'!xxx</definedName>
    <definedName name="xxx" localSheetId="12">#N/A</definedName>
    <definedName name="xxx" localSheetId="10">#N/A</definedName>
    <definedName name="xxx" localSheetId="18">'Stringing Compiled'!xxx</definedName>
    <definedName name="xxx" localSheetId="13">#N/A</definedName>
    <definedName name="xxx">'765KV TA 414 VNTL'!xxx</definedName>
    <definedName name="year92">#REF!</definedName>
    <definedName name="year93">#REF!</definedName>
    <definedName name="year94">#REF!</definedName>
    <definedName name="year95">#REF!</definedName>
    <definedName name="Yen">#REF!</definedName>
    <definedName name="yf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yy" localSheetId="0">#REF!</definedName>
    <definedName name="yyy" localSheetId="18">#REF!</definedName>
    <definedName name="yyy">#REF!</definedName>
    <definedName name="z" localSheetId="0">#REF!</definedName>
    <definedName name="z" localSheetId="18">#REF!</definedName>
    <definedName name="z">#REF!</definedName>
    <definedName name="zl" localSheetId="0">#REF!</definedName>
    <definedName name="zl" localSheetId="18">#REF!</definedName>
    <definedName name="zl">#REF!</definedName>
    <definedName name="zlpu" localSheetId="0">#REF!</definedName>
    <definedName name="zlpu" localSheetId="18">#REF!</definedName>
    <definedName name="zlpu">#REF!</definedName>
    <definedName name="Zpe" localSheetId="0">#REF!</definedName>
    <definedName name="Zpe" localSheetId="18">#REF!</definedName>
    <definedName name="Zpe">#REF!</definedName>
    <definedName name="zs" localSheetId="0">#REF!</definedName>
    <definedName name="zs" localSheetId="18">#REF!</definedName>
    <definedName name="zs">#REF!</definedName>
    <definedName name="zspu" localSheetId="0">#REF!</definedName>
    <definedName name="zspu" localSheetId="18">#REF!</definedName>
    <definedName name="zspu">#REF!</definedName>
    <definedName name="ZSS" localSheetId="0">#REF!</definedName>
    <definedName name="ZSS" localSheetId="18">#REF!</definedName>
    <definedName name="ZSS">#REF!</definedName>
    <definedName name="ztpu" localSheetId="0">#REF!</definedName>
    <definedName name="ztpu" localSheetId="18">#REF!</definedName>
    <definedName name="ztpu">#REF!</definedName>
    <definedName name="Zxc" localSheetId="0">#REF!</definedName>
    <definedName name="Zxc" localSheetId="18">#REF!</definedName>
    <definedName name="Zxc">#REF!</definedName>
    <definedName name="ZY" localSheetId="0">#REF!</definedName>
    <definedName name="ZY" localSheetId="18">#REF!</definedName>
    <definedName name="ZY">#REF!</definedName>
    <definedName name="전체" localSheetId="0">#REF!</definedName>
    <definedName name="전체" localSheetId="18">#REF!</definedName>
    <definedName name="전체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" i="6" l="1"/>
  <c r="E16" i="6"/>
  <c r="I19" i="64"/>
  <c r="D13" i="19"/>
  <c r="D12" i="19"/>
  <c r="D9" i="19"/>
  <c r="AE5" i="61"/>
  <c r="N1" i="30"/>
  <c r="F9" i="64" l="1"/>
  <c r="H10" i="64" l="1"/>
  <c r="I44" i="38"/>
  <c r="H44" i="38"/>
  <c r="I47" i="64" s="1"/>
  <c r="G10" i="64"/>
  <c r="K10" i="64"/>
  <c r="K9" i="64"/>
  <c r="F42" i="38"/>
  <c r="G26" i="38"/>
  <c r="H26" i="38" s="1"/>
  <c r="D24" i="38"/>
  <c r="E24" i="38" s="1"/>
  <c r="F41" i="38" s="1"/>
  <c r="K39" i="38"/>
  <c r="C23" i="38"/>
  <c r="D23" i="38" s="1"/>
  <c r="E23" i="38" s="1"/>
  <c r="F23" i="38" s="1"/>
  <c r="F26" i="38"/>
  <c r="G3" i="7"/>
  <c r="H23" i="38" l="1"/>
  <c r="I23" i="38" s="1"/>
  <c r="G23" i="38"/>
  <c r="P2" i="70"/>
  <c r="E95" i="30"/>
  <c r="G38" i="38"/>
  <c r="H38" i="38" s="1"/>
  <c r="D25" i="38"/>
  <c r="E25" i="38" s="1"/>
  <c r="F25" i="38" s="1"/>
  <c r="I20" i="38"/>
  <c r="H20" i="38"/>
  <c r="G20" i="38"/>
  <c r="F20" i="38"/>
  <c r="E20" i="38"/>
  <c r="D20" i="38"/>
  <c r="C20" i="38"/>
  <c r="C39" i="38" s="1"/>
  <c r="D7" i="38"/>
  <c r="G6" i="38"/>
  <c r="E91" i="30"/>
  <c r="D39" i="38" l="1"/>
  <c r="E7" i="38"/>
  <c r="H6" i="38"/>
  <c r="E90" i="30"/>
  <c r="E87" i="30"/>
  <c r="E86" i="30"/>
  <c r="E84" i="30"/>
  <c r="E88" i="30"/>
  <c r="E89" i="30"/>
  <c r="E85" i="30"/>
  <c r="E83" i="30"/>
  <c r="F7" i="38" l="1"/>
  <c r="E39" i="38"/>
  <c r="I6" i="38"/>
  <c r="E82" i="30"/>
  <c r="E81" i="30"/>
  <c r="E80" i="30"/>
  <c r="E73" i="30"/>
  <c r="E74" i="30"/>
  <c r="E70" i="30"/>
  <c r="E67" i="30"/>
  <c r="E69" i="30"/>
  <c r="E75" i="30"/>
  <c r="E71" i="30"/>
  <c r="E76" i="30"/>
  <c r="E77" i="30"/>
  <c r="E78" i="30"/>
  <c r="E79" i="30"/>
  <c r="E31" i="30"/>
  <c r="E41" i="30"/>
  <c r="E26" i="30"/>
  <c r="E25" i="30"/>
  <c r="E27" i="30"/>
  <c r="E5" i="30"/>
  <c r="E18" i="30"/>
  <c r="E33" i="30"/>
  <c r="E56" i="30"/>
  <c r="E10" i="30"/>
  <c r="E8" i="30"/>
  <c r="E11" i="30"/>
  <c r="E3" i="30"/>
  <c r="E17" i="30"/>
  <c r="E13" i="30"/>
  <c r="E15" i="30"/>
  <c r="E45" i="30"/>
  <c r="E49" i="30"/>
  <c r="E47" i="30"/>
  <c r="E12" i="30"/>
  <c r="E22" i="30"/>
  <c r="E34" i="30"/>
  <c r="E32" i="30"/>
  <c r="E38" i="30"/>
  <c r="E35" i="30"/>
  <c r="E30" i="30"/>
  <c r="E57" i="30"/>
  <c r="E43" i="30"/>
  <c r="E48" i="30"/>
  <c r="E42" i="30"/>
  <c r="E24" i="30"/>
  <c r="E23" i="30"/>
  <c r="E21" i="30"/>
  <c r="E20" i="30"/>
  <c r="E19" i="30"/>
  <c r="E16" i="30"/>
  <c r="E14" i="30"/>
  <c r="E9" i="30"/>
  <c r="E7" i="30"/>
  <c r="E6" i="30"/>
  <c r="E4" i="30"/>
  <c r="E36" i="30"/>
  <c r="E29" i="30"/>
  <c r="E28" i="30"/>
  <c r="E39" i="30"/>
  <c r="E44" i="30"/>
  <c r="E60" i="30"/>
  <c r="E59" i="30"/>
  <c r="E50" i="30"/>
  <c r="E55" i="30"/>
  <c r="E53" i="30"/>
  <c r="E68" i="30"/>
  <c r="E66" i="30"/>
  <c r="E65" i="30"/>
  <c r="E46" i="30"/>
  <c r="E40" i="30"/>
  <c r="E37" i="30"/>
  <c r="E61" i="30"/>
  <c r="A4" i="69"/>
  <c r="A5" i="69" s="1"/>
  <c r="A6" i="69" s="1"/>
  <c r="A7" i="69" s="1"/>
  <c r="A8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1" i="69" s="1"/>
  <c r="A32" i="69" s="1"/>
  <c r="A33" i="69" s="1"/>
  <c r="A34" i="69" s="1"/>
  <c r="BV230" i="61"/>
  <c r="BM208" i="61"/>
  <c r="BV107" i="61"/>
  <c r="BV61" i="61"/>
  <c r="BV49" i="61"/>
  <c r="BW38" i="61"/>
  <c r="H15" i="61" s="1"/>
  <c r="L11" i="61"/>
  <c r="L12" i="61" s="1"/>
  <c r="L13" i="61" s="1"/>
  <c r="L14" i="61" s="1"/>
  <c r="L15" i="61" s="1"/>
  <c r="L16" i="61" s="1"/>
  <c r="L17" i="61" s="1"/>
  <c r="L18" i="61" s="1"/>
  <c r="L19" i="61" s="1"/>
  <c r="J12" i="61"/>
  <c r="J14" i="61"/>
  <c r="J16" i="61"/>
  <c r="J17" i="61"/>
  <c r="J18" i="61"/>
  <c r="J19" i="61"/>
  <c r="F39" i="38" l="1"/>
  <c r="G7" i="38"/>
  <c r="J15" i="61"/>
  <c r="K15" i="64"/>
  <c r="E72" i="30"/>
  <c r="H7" i="38" l="1"/>
  <c r="G39" i="38"/>
  <c r="F40" i="38"/>
  <c r="H13" i="61"/>
  <c r="J13" i="61" s="1"/>
  <c r="F10" i="6"/>
  <c r="F6" i="6"/>
  <c r="I7" i="38" l="1"/>
  <c r="I39" i="38" s="1"/>
  <c r="I40" i="38" s="1"/>
  <c r="H39" i="38"/>
  <c r="J19" i="64"/>
  <c r="K19" i="64" s="1"/>
  <c r="K18" i="64"/>
  <c r="K17" i="64"/>
  <c r="K16" i="64"/>
  <c r="K14" i="64"/>
  <c r="K8" i="64"/>
  <c r="H8" i="64" s="1"/>
  <c r="I8" i="64"/>
  <c r="G8" i="64"/>
  <c r="E1" i="19" l="1"/>
  <c r="E64" i="30" l="1"/>
  <c r="E63" i="30"/>
  <c r="E62" i="30"/>
  <c r="E58" i="30"/>
  <c r="E54" i="30"/>
  <c r="E52" i="30"/>
  <c r="H11" i="61" l="1"/>
  <c r="J11" i="61" s="1"/>
  <c r="D11" i="19"/>
  <c r="E9" i="64"/>
  <c r="G9" i="64" s="1"/>
  <c r="H10" i="61"/>
  <c r="J10" i="61" s="1"/>
  <c r="D6" i="19"/>
  <c r="AJ135" i="61"/>
  <c r="AI135" i="61"/>
  <c r="AJ134" i="61"/>
  <c r="AI134" i="61"/>
  <c r="AJ87" i="61"/>
  <c r="AI87" i="61"/>
  <c r="AJ68" i="61"/>
  <c r="AL68" i="61" s="1"/>
  <c r="AI68" i="61"/>
  <c r="AN66" i="61"/>
  <c r="AJ66" i="61"/>
  <c r="AL66" i="61" s="1"/>
  <c r="AI66" i="61"/>
  <c r="AJ54" i="61"/>
  <c r="AL54" i="61" s="1"/>
  <c r="AI54" i="61"/>
  <c r="D7" i="6" l="1"/>
  <c r="F7" i="6" s="1"/>
  <c r="D10" i="19"/>
  <c r="E10" i="64"/>
  <c r="C18" i="7"/>
  <c r="D9" i="6"/>
  <c r="F9" i="6" s="1"/>
  <c r="C15" i="7"/>
  <c r="D8" i="19"/>
  <c r="D5" i="19"/>
  <c r="D7" i="19" s="1"/>
  <c r="D8" i="6"/>
  <c r="F8" i="6" s="1"/>
  <c r="H9" i="64" l="1"/>
  <c r="I15" i="57"/>
  <c r="H15" i="57" l="1"/>
  <c r="J15" i="57" s="1"/>
  <c r="G17" i="57" l="1"/>
  <c r="H18" i="57" l="1"/>
  <c r="H359" i="55" l="1"/>
  <c r="H358" i="55"/>
  <c r="H356" i="55"/>
  <c r="H352" i="55"/>
  <c r="H351" i="55"/>
  <c r="H348" i="55"/>
  <c r="H347" i="55"/>
  <c r="H345" i="55"/>
  <c r="H344" i="55"/>
  <c r="H343" i="55"/>
  <c r="H342" i="55"/>
  <c r="H340" i="55"/>
  <c r="H339" i="55"/>
  <c r="H338" i="55"/>
  <c r="H337" i="55"/>
  <c r="H336" i="55"/>
  <c r="H335" i="55"/>
  <c r="H334" i="55"/>
  <c r="H333" i="55"/>
  <c r="H332" i="55"/>
  <c r="H331" i="55"/>
  <c r="H329" i="55"/>
  <c r="H328" i="55"/>
  <c r="H327" i="55"/>
  <c r="H326" i="55"/>
  <c r="H323" i="55"/>
  <c r="H322" i="55"/>
  <c r="H321" i="55"/>
  <c r="H320" i="55"/>
  <c r="H319" i="55"/>
  <c r="H318" i="55"/>
  <c r="H317" i="55"/>
  <c r="H316" i="55"/>
  <c r="H315" i="55"/>
  <c r="H314" i="55"/>
  <c r="H313" i="55"/>
  <c r="H312" i="55"/>
  <c r="H311" i="55"/>
  <c r="H310" i="55"/>
  <c r="H309" i="55"/>
  <c r="H308" i="55"/>
  <c r="H305" i="55"/>
  <c r="H304" i="55"/>
  <c r="H303" i="55"/>
  <c r="H301" i="55"/>
  <c r="H299" i="55"/>
  <c r="H295" i="55"/>
  <c r="H287" i="55"/>
  <c r="H282" i="55"/>
  <c r="H279" i="55"/>
  <c r="H278" i="55"/>
  <c r="H277" i="55"/>
  <c r="H270" i="55"/>
  <c r="H268" i="55"/>
  <c r="H267" i="55"/>
  <c r="H259" i="55"/>
  <c r="H254" i="55"/>
  <c r="H253" i="55"/>
  <c r="H251" i="55"/>
  <c r="H250" i="55"/>
  <c r="H249" i="55"/>
  <c r="H242" i="55"/>
  <c r="H241" i="55"/>
  <c r="H240" i="55"/>
  <c r="H239" i="55"/>
  <c r="H238" i="55"/>
  <c r="H237" i="55"/>
  <c r="H236" i="55"/>
  <c r="H235" i="55"/>
  <c r="H234" i="55"/>
  <c r="H233" i="55"/>
  <c r="H232" i="55"/>
  <c r="H230" i="55"/>
  <c r="H229" i="55"/>
  <c r="H228" i="55"/>
  <c r="H227" i="55"/>
  <c r="H226" i="55"/>
  <c r="H225" i="55"/>
  <c r="H223" i="55"/>
  <c r="H206" i="55"/>
  <c r="H205" i="55"/>
  <c r="H204" i="55"/>
  <c r="H203" i="55"/>
  <c r="H202" i="55"/>
  <c r="H201" i="55"/>
  <c r="H200" i="55"/>
  <c r="H199" i="55"/>
  <c r="H198" i="55"/>
  <c r="H197" i="55"/>
  <c r="H195" i="55"/>
  <c r="H194" i="55"/>
  <c r="H193" i="55"/>
  <c r="H192" i="55"/>
  <c r="H191" i="55"/>
  <c r="H190" i="55"/>
  <c r="H189" i="55"/>
  <c r="H188" i="55"/>
  <c r="H185" i="55"/>
  <c r="H184" i="55"/>
  <c r="H182" i="55"/>
  <c r="H181" i="55"/>
  <c r="H180" i="55"/>
  <c r="H179" i="55"/>
  <c r="H178" i="55"/>
  <c r="H177" i="55"/>
  <c r="H176" i="55"/>
  <c r="H175" i="55"/>
  <c r="H156" i="55"/>
  <c r="H155" i="55"/>
  <c r="H154" i="55"/>
  <c r="H153" i="55"/>
  <c r="H152" i="55"/>
  <c r="H151" i="55"/>
  <c r="H150" i="55"/>
  <c r="H149" i="55"/>
  <c r="H147" i="55"/>
  <c r="H146" i="55"/>
  <c r="H144" i="55"/>
  <c r="H143" i="55"/>
  <c r="H141" i="55"/>
  <c r="H140" i="55"/>
  <c r="H139" i="55"/>
  <c r="H138" i="55"/>
  <c r="H137" i="55"/>
  <c r="H136" i="55"/>
  <c r="H133" i="55"/>
  <c r="H127" i="55"/>
  <c r="H126" i="55"/>
  <c r="H125" i="55"/>
  <c r="H108" i="55"/>
  <c r="H107" i="55"/>
  <c r="H106" i="55"/>
  <c r="H105" i="55"/>
  <c r="H104" i="55"/>
  <c r="H103" i="55"/>
  <c r="H102" i="55"/>
  <c r="H101" i="55"/>
  <c r="H100" i="55"/>
  <c r="H99" i="55"/>
  <c r="H98" i="55"/>
  <c r="H97" i="55"/>
  <c r="H96" i="55"/>
  <c r="H92" i="55"/>
  <c r="H90" i="55"/>
  <c r="H89" i="55"/>
  <c r="H88" i="55"/>
  <c r="H87" i="55"/>
  <c r="H86" i="55"/>
  <c r="H85" i="55"/>
  <c r="H84" i="55"/>
  <c r="H83" i="55"/>
  <c r="H82" i="55"/>
  <c r="H81" i="55"/>
  <c r="H80" i="55"/>
  <c r="H79" i="55"/>
  <c r="H78" i="55"/>
  <c r="H77" i="55"/>
  <c r="H76" i="55"/>
  <c r="H75" i="55"/>
  <c r="H74" i="55"/>
  <c r="H73" i="55"/>
  <c r="H72" i="55"/>
  <c r="H69" i="55"/>
  <c r="H67" i="55"/>
  <c r="H66" i="55"/>
  <c r="H65" i="55"/>
  <c r="H62" i="55"/>
  <c r="H61" i="55"/>
  <c r="H57" i="55"/>
  <c r="H52" i="55"/>
  <c r="H51" i="55"/>
  <c r="H50" i="55"/>
  <c r="H49" i="55"/>
  <c r="H47" i="55"/>
  <c r="H41" i="55"/>
  <c r="H40" i="55"/>
  <c r="H39" i="55"/>
  <c r="H21" i="55"/>
  <c r="H20" i="55"/>
  <c r="H19" i="55"/>
  <c r="H18" i="55"/>
  <c r="H17" i="55"/>
  <c r="H16" i="55"/>
  <c r="H15" i="55"/>
  <c r="H14" i="55"/>
  <c r="H13" i="55"/>
  <c r="H12" i="55"/>
  <c r="H11" i="55"/>
  <c r="H361" i="55"/>
  <c r="H357" i="55"/>
  <c r="H354" i="55"/>
  <c r="H330" i="55"/>
  <c r="H307" i="55"/>
  <c r="H306" i="55"/>
  <c r="H302" i="55"/>
  <c r="H297" i="55"/>
  <c r="H294" i="55"/>
  <c r="H293" i="55"/>
  <c r="H292" i="55"/>
  <c r="H291" i="55"/>
  <c r="H290" i="55"/>
  <c r="H289" i="55"/>
  <c r="H288" i="55"/>
  <c r="H286" i="55"/>
  <c r="H285" i="55"/>
  <c r="H284" i="55"/>
  <c r="H283" i="55"/>
  <c r="H280" i="55"/>
  <c r="H276" i="55"/>
  <c r="H275" i="55"/>
  <c r="H274" i="55"/>
  <c r="H273" i="55"/>
  <c r="H271" i="55"/>
  <c r="H231" i="55"/>
  <c r="H221" i="55"/>
  <c r="H220" i="55"/>
  <c r="H219" i="55"/>
  <c r="H218" i="55"/>
  <c r="H216" i="55"/>
  <c r="H215" i="55"/>
  <c r="H211" i="55"/>
  <c r="H196" i="55"/>
  <c r="H187" i="55"/>
  <c r="H186" i="55"/>
  <c r="H169" i="55"/>
  <c r="H167" i="55"/>
  <c r="H148" i="55"/>
  <c r="H142" i="55"/>
  <c r="H134" i="55"/>
  <c r="H132" i="55"/>
  <c r="H131" i="55"/>
  <c r="H130" i="55"/>
  <c r="H129" i="55"/>
  <c r="H128" i="55"/>
  <c r="H124" i="55"/>
  <c r="H123" i="55"/>
  <c r="H121" i="55"/>
  <c r="H120" i="55"/>
  <c r="H119" i="55"/>
  <c r="H118" i="55"/>
  <c r="H117" i="55"/>
  <c r="H116" i="55"/>
  <c r="H115" i="55"/>
  <c r="H114" i="55"/>
  <c r="H113" i="55"/>
  <c r="H112" i="55"/>
  <c r="H111" i="55"/>
  <c r="H110" i="55"/>
  <c r="H109" i="55"/>
  <c r="H94" i="55"/>
  <c r="H93" i="55"/>
  <c r="H71" i="55"/>
  <c r="H68" i="55"/>
  <c r="H63" i="55"/>
  <c r="H60" i="55"/>
  <c r="H59" i="55"/>
  <c r="H58" i="55"/>
  <c r="H56" i="55"/>
  <c r="H55" i="55"/>
  <c r="H54" i="55"/>
  <c r="H53" i="55"/>
  <c r="H29" i="55"/>
  <c r="L17" i="57" l="1"/>
  <c r="G15" i="57"/>
  <c r="A4" i="60" l="1"/>
  <c r="A5" i="60" s="1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C6" i="60"/>
  <c r="C4" i="60"/>
  <c r="C8" i="60"/>
  <c r="C13" i="60"/>
  <c r="C15" i="60"/>
  <c r="C10" i="60"/>
  <c r="C22" i="60"/>
  <c r="C27" i="60"/>
  <c r="C30" i="60"/>
  <c r="C16" i="60"/>
  <c r="C11" i="60"/>
  <c r="C23" i="60"/>
  <c r="C14" i="60"/>
  <c r="C17" i="60"/>
  <c r="C18" i="60"/>
  <c r="C19" i="60"/>
  <c r="C43" i="60"/>
  <c r="C44" i="60"/>
  <c r="C21" i="60"/>
  <c r="C20" i="60"/>
  <c r="C26" i="60"/>
  <c r="C29" i="60"/>
  <c r="C31" i="60"/>
  <c r="C32" i="60"/>
  <c r="C33" i="60"/>
  <c r="C34" i="60"/>
  <c r="C35" i="60"/>
  <c r="C46" i="60"/>
  <c r="C39" i="60"/>
  <c r="C42" i="60"/>
  <c r="C40" i="60"/>
  <c r="C41" i="60"/>
  <c r="C45" i="60"/>
  <c r="C47" i="60"/>
  <c r="C3" i="60"/>
  <c r="C37" i="60"/>
  <c r="C36" i="60"/>
  <c r="C9" i="60"/>
  <c r="C24" i="60"/>
  <c r="C28" i="60"/>
  <c r="C5" i="60"/>
  <c r="C38" i="60"/>
  <c r="C12" i="60"/>
  <c r="C25" i="60"/>
  <c r="C7" i="60"/>
  <c r="L15" i="57" l="1"/>
  <c r="E6" i="58" l="1"/>
  <c r="H16" i="57" l="1"/>
  <c r="G16" i="57"/>
  <c r="H17" i="57" l="1"/>
  <c r="J17" i="57" s="1"/>
  <c r="K17" i="57" s="1"/>
  <c r="M17" i="57"/>
  <c r="M15" i="57"/>
  <c r="J19" i="57"/>
  <c r="K19" i="57" s="1"/>
  <c r="I19" i="57"/>
  <c r="J18" i="57"/>
  <c r="K18" i="57" s="1"/>
  <c r="I18" i="57"/>
  <c r="I17" i="57"/>
  <c r="J16" i="57"/>
  <c r="K16" i="57" s="1"/>
  <c r="I16" i="57"/>
  <c r="I14" i="57"/>
  <c r="D14" i="57"/>
  <c r="K14" i="57" s="1"/>
  <c r="C9" i="57"/>
  <c r="D9" i="57" s="1"/>
  <c r="E9" i="57" s="1"/>
  <c r="D8" i="57"/>
  <c r="E8" i="57" s="1"/>
  <c r="F8" i="57" s="1"/>
  <c r="K8" i="57" s="1"/>
  <c r="F1" i="57"/>
  <c r="K15" i="57" l="1"/>
  <c r="C10" i="57"/>
  <c r="D10" i="57" s="1"/>
  <c r="E10" i="57" s="1"/>
  <c r="K10" i="57" s="1"/>
  <c r="F9" i="57"/>
  <c r="K9" i="57"/>
  <c r="F10" i="57" l="1"/>
  <c r="D2" i="53" l="1"/>
  <c r="I7" i="6" l="1"/>
  <c r="J7" i="6" s="1"/>
  <c r="I6" i="52" l="1"/>
  <c r="H6" i="52"/>
  <c r="G6" i="52"/>
  <c r="F6" i="52"/>
  <c r="E6" i="52"/>
  <c r="D6" i="52"/>
  <c r="C6" i="52"/>
  <c r="B33" i="7" l="1"/>
  <c r="F33" i="7" s="1"/>
  <c r="B30" i="7"/>
  <c r="F30" i="7" s="1"/>
  <c r="B21" i="7"/>
  <c r="B27" i="7"/>
  <c r="F27" i="7" s="1"/>
  <c r="B24" i="7"/>
  <c r="F24" i="7" s="1"/>
  <c r="E18" i="7"/>
  <c r="B18" i="7"/>
  <c r="D15" i="7"/>
  <c r="E15" i="7" s="1"/>
  <c r="B15" i="7"/>
  <c r="E12" i="7"/>
  <c r="D9" i="7"/>
  <c r="C9" i="7"/>
  <c r="B9" i="7"/>
  <c r="I19" i="6"/>
  <c r="J19" i="6" s="1"/>
  <c r="I18" i="6"/>
  <c r="J18" i="6" s="1"/>
  <c r="I17" i="6"/>
  <c r="J17" i="6" s="1"/>
  <c r="I16" i="6"/>
  <c r="J16" i="6" s="1"/>
  <c r="J15" i="6"/>
  <c r="I9" i="6"/>
  <c r="I8" i="6"/>
  <c r="J8" i="6" s="1"/>
  <c r="I6" i="6"/>
  <c r="E9" i="7" s="1"/>
  <c r="F12" i="7" l="1"/>
  <c r="F21" i="7"/>
  <c r="F15" i="7"/>
  <c r="F18" i="7"/>
  <c r="J6" i="6"/>
  <c r="F9" i="7" s="1"/>
  <c r="J9" i="6"/>
  <c r="J10" i="6"/>
  <c r="J11" i="6"/>
  <c r="J14" i="6"/>
  <c r="J12" i="6"/>
  <c r="J1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KEC</author>
  </authors>
  <commentList>
    <comment ref="C23" authorId="0" shapeId="0" xr:uid="{AB239BEB-E690-49A1-99C3-1724F3CE85D2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162/0-165/0-2.845 &amp; 165/0-167/5-3.405
</t>
        </r>
      </text>
    </comment>
    <comment ref="F30" authorId="0" shapeId="0" xr:uid="{AE473E4D-7EB4-41F5-AB60-25568A285017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184/0-184/5 &amp; 184/10-185/0</t>
        </r>
      </text>
    </comment>
  </commentList>
</comments>
</file>

<file path=xl/sharedStrings.xml><?xml version="1.0" encoding="utf-8"?>
<sst xmlns="http://schemas.openxmlformats.org/spreadsheetml/2006/main" count="5680" uniqueCount="1187">
  <si>
    <t>Project Code</t>
  </si>
  <si>
    <t>TA 414</t>
  </si>
  <si>
    <t>Date</t>
  </si>
  <si>
    <t>President-T&amp;D</t>
  </si>
  <si>
    <t>Mr. Ganesh Srinivasan</t>
  </si>
  <si>
    <t>Project Name</t>
  </si>
  <si>
    <t>765KV D/C HEXA VATAMAN - NAVSARI TL 
(PKG 04)</t>
  </si>
  <si>
    <t>NOA Start Date</t>
  </si>
  <si>
    <t>PCH</t>
  </si>
  <si>
    <t>Mr. Arun Felbin</t>
  </si>
  <si>
    <t>Client Name</t>
  </si>
  <si>
    <t>Powergrid Vataman Transmission Ltd</t>
  </si>
  <si>
    <t>LOA End Date</t>
  </si>
  <si>
    <t>Regional Manager</t>
  </si>
  <si>
    <t>Mr. Nitin Bandale</t>
  </si>
  <si>
    <t>Revised End Date</t>
  </si>
  <si>
    <t>Planning Engineer</t>
  </si>
  <si>
    <t>Nishant Giri</t>
  </si>
  <si>
    <t>Project Manger</t>
  </si>
  <si>
    <t>Mr. Vivek Kumar Gupta</t>
  </si>
  <si>
    <t>\</t>
  </si>
  <si>
    <t>Check Survey</t>
  </si>
  <si>
    <t>Activity</t>
  </si>
  <si>
    <t>Unit</t>
  </si>
  <si>
    <t>Final Est. Qty</t>
  </si>
  <si>
    <t>L2 till Last Month</t>
  </si>
  <si>
    <t>Submitted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</si>
  <si>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</si>
  <si>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</si>
  <si>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</si>
  <si>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</si>
  <si>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</si>
  <si>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</si>
  <si>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</si>
  <si>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Rout Alignment</t>
  </si>
  <si>
    <t>km</t>
  </si>
  <si>
    <t xml:space="preserve">  Completed</t>
  </si>
  <si>
    <t>Detailed Survey</t>
  </si>
  <si>
    <t>Completed</t>
  </si>
  <si>
    <t>Progress Status</t>
  </si>
  <si>
    <t>Final Estimated Quantity</t>
  </si>
  <si>
    <t>Cumulative L2 till Last Month (Jan'26)</t>
  </si>
  <si>
    <t>Cumulative Progress till Last Month(Feb'26)</t>
  </si>
  <si>
    <t>L2 for present Month</t>
  </si>
  <si>
    <t>Plan for the Month</t>
  </si>
  <si>
    <t>Today's Progress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</si>
  <si>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</si>
  <si>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</si>
  <si>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</si>
  <si>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</si>
  <si>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</si>
  <si>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</si>
  <si>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Soil Investigation</t>
  </si>
  <si>
    <t>Completed.</t>
  </si>
  <si>
    <t>Foundation</t>
  </si>
  <si>
    <t>Earthing</t>
  </si>
  <si>
    <t>Tower Erection</t>
  </si>
  <si>
    <t>Tack welding</t>
  </si>
  <si>
    <t>Stringing(Km)</t>
  </si>
  <si>
    <t>TA 510</t>
  </si>
  <si>
    <t>765KV D/C Ahmedabad to South Olpad TL-04</t>
  </si>
  <si>
    <t>PGKTL</t>
  </si>
  <si>
    <t>Mr. Nitin Bendale</t>
  </si>
  <si>
    <t>Mr.Jayant Vaishnav</t>
  </si>
  <si>
    <t>Mr. Subash .S</t>
  </si>
  <si>
    <t>Survey</t>
  </si>
  <si>
    <t>Km</t>
  </si>
  <si>
    <t xml:space="preserve"> </t>
  </si>
  <si>
    <t>Project Manager</t>
  </si>
  <si>
    <t>Section Incharge</t>
  </si>
  <si>
    <t>Supervisor</t>
  </si>
  <si>
    <t xml:space="preserve">765kV D/C Ahmedabad South Olpad TL04
</t>
  </si>
  <si>
    <t>Powergrid South Olpad Transmission Limited</t>
  </si>
  <si>
    <t>Mr.Arun Felbin</t>
  </si>
  <si>
    <t>Mr. Nitin Ashok Bendale</t>
  </si>
  <si>
    <t>Mr. Subash.S</t>
  </si>
  <si>
    <t>Mr.Sahil Khan</t>
  </si>
  <si>
    <t>Mr.B Nagarajan</t>
  </si>
  <si>
    <t>Mr.Praveen Singh Rathore</t>
  </si>
  <si>
    <t>Mr.Vidhya Saker upadya</t>
  </si>
  <si>
    <t>Mr.Mohan Kumar</t>
  </si>
  <si>
    <t>Mr.Mohit Kumar Mahto</t>
  </si>
  <si>
    <t>Mr.Dhananjay Kumar Srivastava</t>
  </si>
  <si>
    <t>Mr.Ajay Mahato</t>
  </si>
  <si>
    <t>Mr.Pramod Singh</t>
  </si>
  <si>
    <t>Mr.Jitender Kumar</t>
  </si>
  <si>
    <t>KEC INTERNATIONAL LIMITED</t>
  </si>
  <si>
    <t xml:space="preserve">Name of Client: </t>
  </si>
  <si>
    <t>Name of Line:</t>
  </si>
  <si>
    <t>TL-04 , 765 kV D/C  Ahmedabad - South Olpad Transmission Line</t>
  </si>
  <si>
    <t xml:space="preserve">NOA Ref. No.: </t>
  </si>
  <si>
    <t xml:space="preserve">CC/T/W-TW/DOM/A10/23/12603/NOA-2/24-114169/01, Dt.26-11-24      </t>
  </si>
  <si>
    <t>Sr No.</t>
  </si>
  <si>
    <t>Estimated Quantity</t>
  </si>
  <si>
    <t>Progress in this month</t>
  </si>
  <si>
    <t>Cumm. Progress till date</t>
  </si>
  <si>
    <t xml:space="preserve">Cumm. Balance  
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</si>
  <si>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</si>
  <si>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</si>
  <si>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</si>
  <si>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</si>
  <si>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</si>
  <si>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</si>
  <si>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</si>
  <si>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</si>
  <si>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</si>
  <si>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</si>
  <si>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</si>
  <si>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</si>
  <si>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</si>
  <si>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</si>
  <si>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</si>
  <si>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</si>
  <si>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</si>
  <si>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</si>
  <si>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</si>
  <si>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 xml:space="preserve">DAILY PROGRESS REPORT : SUBMISSION STATUS AS ON </t>
  </si>
  <si>
    <t>Name of the Project:</t>
  </si>
  <si>
    <t xml:space="preserve">Contract No. &amp; Date : </t>
  </si>
  <si>
    <t xml:space="preserve"> CC/T/W-TW/DOM/A10/23/12603/NOA-2/24-114169/01, Dt.26-11-24       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</si>
  <si>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</si>
  <si>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</si>
  <si>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</si>
  <si>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</si>
  <si>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</si>
  <si>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</si>
  <si>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</si>
  <si>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</si>
  <si>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</si>
  <si>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</si>
  <si>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</si>
  <si>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</si>
  <si>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</si>
  <si>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</si>
  <si>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</si>
  <si>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127/1</t>
  </si>
  <si>
    <t>135/0</t>
  </si>
  <si>
    <t>139/1</t>
  </si>
  <si>
    <t>139/2</t>
  </si>
  <si>
    <t>139/3</t>
  </si>
  <si>
    <t>140/0</t>
  </si>
  <si>
    <t>167/0</t>
  </si>
  <si>
    <t>173/0</t>
  </si>
  <si>
    <t>174/0</t>
  </si>
  <si>
    <t>174/2</t>
  </si>
  <si>
    <t>178/2</t>
  </si>
  <si>
    <t>179/0</t>
  </si>
  <si>
    <t>183/3</t>
  </si>
  <si>
    <t>191/0</t>
  </si>
  <si>
    <t>192/0</t>
  </si>
  <si>
    <t>193/0</t>
  </si>
  <si>
    <t>194/0</t>
  </si>
  <si>
    <t>198/0</t>
  </si>
  <si>
    <t>199/2</t>
  </si>
  <si>
    <t>210/0</t>
  </si>
  <si>
    <t>216/0</t>
  </si>
  <si>
    <t>216/2</t>
  </si>
  <si>
    <t>216/3</t>
  </si>
  <si>
    <t>244/3</t>
  </si>
  <si>
    <t>244/4</t>
  </si>
  <si>
    <t>250/1</t>
  </si>
  <si>
    <t>250A/0</t>
  </si>
  <si>
    <t>255/0</t>
  </si>
  <si>
    <t>256/1</t>
  </si>
  <si>
    <t>211/0</t>
  </si>
  <si>
    <t>162/0</t>
  </si>
  <si>
    <t>199/0</t>
  </si>
  <si>
    <t>128/0</t>
  </si>
  <si>
    <t>141/0</t>
  </si>
  <si>
    <t>149/0</t>
  </si>
  <si>
    <t>241/1</t>
  </si>
  <si>
    <t>244/0</t>
  </si>
  <si>
    <t>A</t>
  </si>
  <si>
    <t>127/2</t>
  </si>
  <si>
    <t>139/0</t>
  </si>
  <si>
    <t>127/2128/0135/0139/0139/2141/1141/2145/5145/6148/3161/0166/0175/1182/0183/0183/1183/3194/0214/3214/6217/4225/3244/0244/2250/2</t>
  </si>
  <si>
    <t>141/1</t>
  </si>
  <si>
    <t>141/2</t>
  </si>
  <si>
    <t>145/5</t>
  </si>
  <si>
    <t>145/6</t>
  </si>
  <si>
    <t>148/3</t>
  </si>
  <si>
    <t>161/0</t>
  </si>
  <si>
    <t>166/0</t>
  </si>
  <si>
    <t>175/1</t>
  </si>
  <si>
    <t>182/0</t>
  </si>
  <si>
    <t>183/0</t>
  </si>
  <si>
    <t>183/1</t>
  </si>
  <si>
    <t>214/3</t>
  </si>
  <si>
    <t>214/6</t>
  </si>
  <si>
    <t>217/4</t>
  </si>
  <si>
    <t>225/3</t>
  </si>
  <si>
    <t>244/2</t>
  </si>
  <si>
    <t>250/2</t>
  </si>
  <si>
    <t>District</t>
  </si>
  <si>
    <t>Till Dec'24</t>
  </si>
  <si>
    <t>Jan'25</t>
  </si>
  <si>
    <t>Feb'25</t>
  </si>
  <si>
    <t>Mar'25</t>
  </si>
  <si>
    <t>Apr'25</t>
  </si>
  <si>
    <t>May'25</t>
  </si>
  <si>
    <t>Bharuch</t>
  </si>
  <si>
    <t>Surat</t>
  </si>
  <si>
    <t>Navsari</t>
  </si>
  <si>
    <t>Section</t>
  </si>
  <si>
    <t>Total</t>
  </si>
  <si>
    <t>Detail Survey</t>
  </si>
  <si>
    <t>Submitted</t>
  </si>
  <si>
    <t>Approved</t>
  </si>
  <si>
    <t>Anand</t>
  </si>
  <si>
    <t>117/0-119/0</t>
  </si>
  <si>
    <t>119/0-124/0</t>
  </si>
  <si>
    <t>124/0-124/3</t>
  </si>
  <si>
    <t>124/3-131/0</t>
  </si>
  <si>
    <t>Vadodara</t>
  </si>
  <si>
    <t>131/0-133/0</t>
  </si>
  <si>
    <t>133/0-135/0</t>
  </si>
  <si>
    <t>135/0-136/0</t>
  </si>
  <si>
    <t>136/0-139/5</t>
  </si>
  <si>
    <t>139/5-144/0</t>
  </si>
  <si>
    <t>144/0-146/0</t>
  </si>
  <si>
    <t>146/0-148/1</t>
  </si>
  <si>
    <t>148/1-148/7</t>
  </si>
  <si>
    <t>148/7-153/0</t>
  </si>
  <si>
    <t>153/0-155/0</t>
  </si>
  <si>
    <t>155/0-155/5</t>
  </si>
  <si>
    <t>155/5-156/0</t>
  </si>
  <si>
    <t>156/0-160/1</t>
  </si>
  <si>
    <t>160/1-160/3</t>
  </si>
  <si>
    <t>160/3-162/0</t>
  </si>
  <si>
    <t>174A/0- 175/0</t>
  </si>
  <si>
    <t>175/0-177/0</t>
  </si>
  <si>
    <t>177/0-179/0</t>
  </si>
  <si>
    <t>179/0-183/0</t>
  </si>
  <si>
    <t>183/0-184/0</t>
  </si>
  <si>
    <t>184/0-185/0</t>
  </si>
  <si>
    <t>185/0-186/0</t>
  </si>
  <si>
    <t>186/0-189/0</t>
  </si>
  <si>
    <t>189/0-190/0</t>
  </si>
  <si>
    <t>190/0-192/1</t>
  </si>
  <si>
    <t>192/1-192/13</t>
  </si>
  <si>
    <t>192/13-194/0</t>
  </si>
  <si>
    <t>194/0-195/0</t>
  </si>
  <si>
    <t>195/0-Gantry</t>
  </si>
  <si>
    <t xml:space="preserve">TA-510 | ASOTL PROJECT | SURVEY STATUS | </t>
  </si>
  <si>
    <t>Sl. No.</t>
  </si>
  <si>
    <t>Particulars</t>
  </si>
  <si>
    <t>UoM</t>
  </si>
  <si>
    <t>Qty.</t>
  </si>
  <si>
    <t>Total Line Length</t>
  </si>
  <si>
    <t>Kms.</t>
  </si>
  <si>
    <t>Detail Survey Submitted</t>
  </si>
  <si>
    <t>AP171/0-175/0 GETCO- SS</t>
  </si>
  <si>
    <t>Detail Survey Approved</t>
  </si>
  <si>
    <t xml:space="preserve">AP175-177 &amp; 184-185 </t>
  </si>
  <si>
    <t>Check Survey Submitted</t>
  </si>
  <si>
    <t>Check Survey Approved</t>
  </si>
  <si>
    <t>Balanceto Submit due to Crossing Section</t>
  </si>
  <si>
    <t>ASOTL PROJECT - SOIL INVESTIGATION LOCATIONS</t>
  </si>
  <si>
    <t>Loc. No.</t>
  </si>
  <si>
    <t>TOT</t>
  </si>
  <si>
    <t>RC</t>
  </si>
  <si>
    <t>Depth In Mtr</t>
  </si>
  <si>
    <t>Status</t>
  </si>
  <si>
    <t>Classification</t>
  </si>
  <si>
    <t>Approval Letter Status</t>
  </si>
  <si>
    <t>Agency</t>
  </si>
  <si>
    <t>PO</t>
  </si>
  <si>
    <t>AP118</t>
  </si>
  <si>
    <t>5DD60+25</t>
  </si>
  <si>
    <t>Sandy Dry</t>
  </si>
  <si>
    <t>Geo Design</t>
  </si>
  <si>
    <t>Done.</t>
  </si>
  <si>
    <t>124/0</t>
  </si>
  <si>
    <t>5DD60+9</t>
  </si>
  <si>
    <t>WET</t>
  </si>
  <si>
    <t xml:space="preserve">Instead of 127/0   </t>
  </si>
  <si>
    <t>To be Done.</t>
  </si>
  <si>
    <t>124/3</t>
  </si>
  <si>
    <t>5DB1+0</t>
  </si>
  <si>
    <t>Sandy Dry/ WET</t>
  </si>
  <si>
    <t xml:space="preserve">New Location      </t>
  </si>
  <si>
    <t>124/7</t>
  </si>
  <si>
    <t>Sandy Dry/ Normal Dry</t>
  </si>
  <si>
    <t xml:space="preserve">Instead of 130/0   </t>
  </si>
  <si>
    <t>124/10</t>
  </si>
  <si>
    <t>5DA+0</t>
  </si>
  <si>
    <t>AP127</t>
  </si>
  <si>
    <t>Eliminated</t>
  </si>
  <si>
    <t>AP130</t>
  </si>
  <si>
    <t>AP131</t>
  </si>
  <si>
    <t>DD60+35(S)</t>
  </si>
  <si>
    <t>AP131/1 (Pile)</t>
  </si>
  <si>
    <t>DD45+9</t>
  </si>
  <si>
    <t>Pile</t>
  </si>
  <si>
    <t>AP131/2 (Pile)</t>
  </si>
  <si>
    <t>DD60+55</t>
  </si>
  <si>
    <t>AP132</t>
  </si>
  <si>
    <t>AP139</t>
  </si>
  <si>
    <t>DD60+0</t>
  </si>
  <si>
    <t>AP142</t>
  </si>
  <si>
    <t>DB2+0</t>
  </si>
  <si>
    <t>AP146</t>
  </si>
  <si>
    <t>DD45+0</t>
  </si>
  <si>
    <t>Black Cotton</t>
  </si>
  <si>
    <t>AP150</t>
  </si>
  <si>
    <t>DD60+6</t>
  </si>
  <si>
    <t>Normal dry/wet</t>
  </si>
  <si>
    <t>AP155</t>
  </si>
  <si>
    <t>AP158</t>
  </si>
  <si>
    <t>DC1+3</t>
  </si>
  <si>
    <t>AP162</t>
  </si>
  <si>
    <t>AP166</t>
  </si>
  <si>
    <t>AP174</t>
  </si>
  <si>
    <t>AP176</t>
  </si>
  <si>
    <t>AP180</t>
  </si>
  <si>
    <t>Approval Awaiting from PGCIL</t>
  </si>
  <si>
    <t xml:space="preserve">Bhoomi </t>
  </si>
  <si>
    <t>AP180/1(Pile)</t>
  </si>
  <si>
    <t>DD45+35(S)</t>
  </si>
  <si>
    <t>AP181 (Pile)</t>
  </si>
  <si>
    <t>DD60+25(S)</t>
  </si>
  <si>
    <t>AP182 (Pile)</t>
  </si>
  <si>
    <t>DB2+6</t>
  </si>
  <si>
    <t>AP183</t>
  </si>
  <si>
    <t>DC1+9</t>
  </si>
  <si>
    <t>AP184</t>
  </si>
  <si>
    <t>DD45+6</t>
  </si>
  <si>
    <t>AP185</t>
  </si>
  <si>
    <t>Interchanged</t>
  </si>
  <si>
    <t>AP186</t>
  </si>
  <si>
    <t>DC1+0</t>
  </si>
  <si>
    <t xml:space="preserve">Instead of 185/0   </t>
  </si>
  <si>
    <t>AP187</t>
  </si>
  <si>
    <t>AP191</t>
  </si>
  <si>
    <t>AP192</t>
  </si>
  <si>
    <t>DB1+0</t>
  </si>
  <si>
    <t xml:space="preserve">ASOTL Foundation </t>
  </si>
  <si>
    <t>`</t>
  </si>
  <si>
    <t>Location No.</t>
  </si>
  <si>
    <t>Tower Type</t>
  </si>
  <si>
    <r>
      <t>Concreting Volume in M</t>
    </r>
    <r>
      <rPr>
        <b/>
        <vertAlign val="superscript"/>
        <sz val="12"/>
        <color theme="1"/>
        <rFont val="Arial"/>
        <family val="2"/>
      </rPr>
      <t>3</t>
    </r>
  </si>
  <si>
    <t>Starting Date</t>
  </si>
  <si>
    <t>Todays Status</t>
  </si>
  <si>
    <t>Cumulative Status</t>
  </si>
  <si>
    <t>Completion Date</t>
  </si>
  <si>
    <t>Gang name</t>
  </si>
  <si>
    <t>Earthing Status</t>
  </si>
  <si>
    <t>Earthing Completion Date</t>
  </si>
  <si>
    <t xml:space="preserve">       </t>
  </si>
  <si>
    <t>155/3</t>
  </si>
  <si>
    <t>DA+0</t>
  </si>
  <si>
    <t>WPS</t>
  </si>
  <si>
    <t>Arya Enterprises</t>
  </si>
  <si>
    <t>Done</t>
  </si>
  <si>
    <t>155/4</t>
  </si>
  <si>
    <t>B.K.Traders</t>
  </si>
  <si>
    <t>155/5</t>
  </si>
  <si>
    <t>DA+3</t>
  </si>
  <si>
    <t>155/1</t>
  </si>
  <si>
    <t>156/2</t>
  </si>
  <si>
    <t>156/1</t>
  </si>
  <si>
    <t>156/0</t>
  </si>
  <si>
    <t>156/3</t>
  </si>
  <si>
    <t>156/4</t>
  </si>
  <si>
    <t>139/5</t>
  </si>
  <si>
    <t>139/4</t>
  </si>
  <si>
    <t>Om Infra</t>
  </si>
  <si>
    <t>138/1</t>
  </si>
  <si>
    <t>137/0</t>
  </si>
  <si>
    <t>138/0</t>
  </si>
  <si>
    <t>136/0</t>
  </si>
  <si>
    <t>148/4</t>
  </si>
  <si>
    <t>134/0</t>
  </si>
  <si>
    <t>DC2+0</t>
  </si>
  <si>
    <t>144/0</t>
  </si>
  <si>
    <t>Jyoti Construction</t>
  </si>
  <si>
    <t>143/1</t>
  </si>
  <si>
    <t>143/2</t>
  </si>
  <si>
    <t>133/2</t>
  </si>
  <si>
    <t>Shakaldev</t>
  </si>
  <si>
    <t>138/2</t>
  </si>
  <si>
    <t>Vihan</t>
  </si>
  <si>
    <t>140/1</t>
  </si>
  <si>
    <t>148/5</t>
  </si>
  <si>
    <t>Not Done</t>
  </si>
  <si>
    <t>148/2</t>
  </si>
  <si>
    <t>148/6</t>
  </si>
  <si>
    <t>148/7</t>
  </si>
  <si>
    <t>145/0</t>
  </si>
  <si>
    <t>DB2+9</t>
  </si>
  <si>
    <t>140/2</t>
  </si>
  <si>
    <t>DB1+6</t>
  </si>
  <si>
    <t>145/1</t>
  </si>
  <si>
    <t>DB1+9</t>
  </si>
  <si>
    <t>MD Hussain</t>
  </si>
  <si>
    <t>138/3</t>
  </si>
  <si>
    <t>DA-3</t>
  </si>
  <si>
    <t>192/11</t>
  </si>
  <si>
    <t>Rudra</t>
  </si>
  <si>
    <t>DA+6</t>
  </si>
  <si>
    <t>143/0</t>
  </si>
  <si>
    <t>Ambani</t>
  </si>
  <si>
    <t>Haji Enterprises</t>
  </si>
  <si>
    <t>192/13</t>
  </si>
  <si>
    <t>145/3</t>
  </si>
  <si>
    <t>146/1</t>
  </si>
  <si>
    <t>146/3</t>
  </si>
  <si>
    <t>145/4</t>
  </si>
  <si>
    <t>192/10</t>
  </si>
  <si>
    <t>Chandrakant Patel</t>
  </si>
  <si>
    <t>147/2</t>
  </si>
  <si>
    <t>146A/0</t>
  </si>
  <si>
    <t>186/1</t>
  </si>
  <si>
    <t>Maa Bhavani</t>
  </si>
  <si>
    <t>192/7</t>
  </si>
  <si>
    <t>192/12</t>
  </si>
  <si>
    <t>FS</t>
  </si>
  <si>
    <t>147/1</t>
  </si>
  <si>
    <t>142/0</t>
  </si>
  <si>
    <t>146/0</t>
  </si>
  <si>
    <t>WBC</t>
  </si>
  <si>
    <t>194/1</t>
  </si>
  <si>
    <t>146A/1</t>
  </si>
  <si>
    <t>148/1</t>
  </si>
  <si>
    <t>ABS Construction</t>
  </si>
  <si>
    <t>148/0</t>
  </si>
  <si>
    <t xml:space="preserve">Vihan </t>
  </si>
  <si>
    <t>157B/0</t>
  </si>
  <si>
    <t>157A/0</t>
  </si>
  <si>
    <t>157/2</t>
  </si>
  <si>
    <t>146/2</t>
  </si>
  <si>
    <t>193/5</t>
  </si>
  <si>
    <t>192/8</t>
  </si>
  <si>
    <t>BLG Infra</t>
  </si>
  <si>
    <t>192/9</t>
  </si>
  <si>
    <t>193/2</t>
  </si>
  <si>
    <t>193/1</t>
  </si>
  <si>
    <t>193/4</t>
  </si>
  <si>
    <t>167/2</t>
  </si>
  <si>
    <t>157B/1</t>
  </si>
  <si>
    <t>JDG Enterprises</t>
  </si>
  <si>
    <t>167/3</t>
  </si>
  <si>
    <t>133/0</t>
  </si>
  <si>
    <t>167/4</t>
  </si>
  <si>
    <t xml:space="preserve">  </t>
  </si>
  <si>
    <t>153/0</t>
  </si>
  <si>
    <t>PS</t>
  </si>
  <si>
    <t>Krishna Constrction</t>
  </si>
  <si>
    <t>133/1</t>
  </si>
  <si>
    <t>167/1</t>
  </si>
  <si>
    <t>155/0</t>
  </si>
  <si>
    <t>Haji Enterprises2</t>
  </si>
  <si>
    <t>150/2</t>
  </si>
  <si>
    <t>153/1</t>
  </si>
  <si>
    <t>150/4</t>
  </si>
  <si>
    <t>154/0</t>
  </si>
  <si>
    <t>155/2</t>
  </si>
  <si>
    <t>Haji Enterprises-1</t>
  </si>
  <si>
    <t>150/3</t>
  </si>
  <si>
    <t>154/1</t>
  </si>
  <si>
    <t>DC1+0 (TP)</t>
  </si>
  <si>
    <t>156/5</t>
  </si>
  <si>
    <t>141/6</t>
  </si>
  <si>
    <t>196/0</t>
  </si>
  <si>
    <t>186/0</t>
  </si>
  <si>
    <t xml:space="preserve">AOTL Tower Erection </t>
  </si>
  <si>
    <t>Location Number</t>
  </si>
  <si>
    <t>Type of Tower</t>
  </si>
  <si>
    <t>Tower Weight (MT)</t>
  </si>
  <si>
    <t>Gang Name</t>
  </si>
  <si>
    <t>Manpower</t>
  </si>
  <si>
    <t>Hindarnce Days</t>
  </si>
  <si>
    <t>Tackweldng Status</t>
  </si>
  <si>
    <t>Tackwelding start date</t>
  </si>
  <si>
    <t>Tackwelding Completion date</t>
  </si>
  <si>
    <t>Sub Contractor name</t>
  </si>
  <si>
    <t>Dhaneshwar Mahato</t>
  </si>
  <si>
    <t>Lalan Mehta</t>
  </si>
  <si>
    <t>Hoque Construction</t>
  </si>
  <si>
    <t>Gauri Shankar</t>
  </si>
  <si>
    <t>Visual Chart</t>
  </si>
  <si>
    <t xml:space="preserve">Name of the Line : </t>
  </si>
  <si>
    <t>TL04 765 kV D/C Ahmedabad - South Olpad Transmission Line</t>
  </si>
  <si>
    <t>Client</t>
  </si>
  <si>
    <t>Power Grid Corporation of India Limited</t>
  </si>
  <si>
    <t>FOUNDATION</t>
  </si>
  <si>
    <t>TOWER ERECTION</t>
  </si>
  <si>
    <t>STR P/O</t>
  </si>
  <si>
    <t>STR F/S</t>
  </si>
  <si>
    <t>OPGW STR</t>
  </si>
  <si>
    <t>KEC International Limited</t>
  </si>
  <si>
    <t>TOTAL</t>
  </si>
  <si>
    <t>COMP.</t>
  </si>
  <si>
    <t>BAL.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</si>
  <si>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</si>
  <si>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</si>
  <si>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</si>
  <si>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</si>
  <si>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</si>
  <si>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</si>
  <si>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</si>
  <si>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Apprd.</t>
  </si>
  <si>
    <t>Bal</t>
  </si>
  <si>
    <t>Kms</t>
  </si>
  <si>
    <t>PL X-ing</t>
  </si>
  <si>
    <t>66 kV</t>
  </si>
  <si>
    <t>Nos.</t>
  </si>
  <si>
    <t>132 kV</t>
  </si>
  <si>
    <t>220 kV</t>
  </si>
  <si>
    <t>400 kV</t>
  </si>
  <si>
    <t>Erection</t>
  </si>
  <si>
    <t>765 kV</t>
  </si>
  <si>
    <t>Tack Welding</t>
  </si>
  <si>
    <t>Stringing (P/O)</t>
  </si>
  <si>
    <t>Stringing (F/S)</t>
  </si>
  <si>
    <t>OPGW Stringing</t>
  </si>
  <si>
    <t>FDN</t>
  </si>
  <si>
    <t>ERC</t>
  </si>
  <si>
    <t>117/0</t>
  </si>
  <si>
    <t>118/0</t>
  </si>
  <si>
    <t>119/0</t>
  </si>
  <si>
    <t>119/1</t>
  </si>
  <si>
    <t>120/0</t>
  </si>
  <si>
    <t>121/0</t>
  </si>
  <si>
    <t>122/0</t>
  </si>
  <si>
    <t>123/0</t>
  </si>
  <si>
    <t>124/1</t>
  </si>
  <si>
    <t>124/2</t>
  </si>
  <si>
    <t>124/4</t>
  </si>
  <si>
    <t>124/5</t>
  </si>
  <si>
    <t>124/6</t>
  </si>
  <si>
    <t>Stub N/A</t>
  </si>
  <si>
    <t>5DB2+3</t>
  </si>
  <si>
    <t>5DB1+9</t>
  </si>
  <si>
    <t>CDDN+55</t>
  </si>
  <si>
    <t>5DD45+9</t>
  </si>
  <si>
    <t>5DA-3</t>
  </si>
  <si>
    <t>124/8</t>
  </si>
  <si>
    <t>124/9</t>
  </si>
  <si>
    <t>124/11</t>
  </si>
  <si>
    <t>124/12</t>
  </si>
  <si>
    <t>131/0</t>
  </si>
  <si>
    <t>131/1</t>
  </si>
  <si>
    <t>131/2</t>
  </si>
  <si>
    <t xml:space="preserve">132/0 </t>
  </si>
  <si>
    <t>132/1</t>
  </si>
  <si>
    <t>5DA+9</t>
  </si>
  <si>
    <t>DB1+18</t>
  </si>
  <si>
    <t>Reserve Forest Approval Pending</t>
  </si>
  <si>
    <t>145/2</t>
  </si>
  <si>
    <t>ROW</t>
  </si>
  <si>
    <t>147/0</t>
  </si>
  <si>
    <t>148A/0</t>
  </si>
  <si>
    <t>148B/0</t>
  </si>
  <si>
    <t>150/0</t>
  </si>
  <si>
    <t>150/1</t>
  </si>
  <si>
    <t>150/5</t>
  </si>
  <si>
    <t>151/0</t>
  </si>
  <si>
    <t>152/0</t>
  </si>
  <si>
    <t>152/1</t>
  </si>
  <si>
    <t>DD60+3</t>
  </si>
  <si>
    <t>DA+9</t>
  </si>
  <si>
    <t>154/2</t>
  </si>
  <si>
    <t>129/0</t>
  </si>
  <si>
    <t>130/0</t>
  </si>
  <si>
    <t>TP</t>
  </si>
  <si>
    <t>156/6</t>
  </si>
  <si>
    <t>157/0</t>
  </si>
  <si>
    <t>157/1</t>
  </si>
  <si>
    <t>157/3</t>
  </si>
  <si>
    <t>158/0</t>
  </si>
  <si>
    <t>158/1</t>
  </si>
  <si>
    <t>158/2</t>
  </si>
  <si>
    <t>159/0</t>
  </si>
  <si>
    <t>159/1</t>
  </si>
  <si>
    <t>159/2</t>
  </si>
  <si>
    <t>DD45+3</t>
  </si>
  <si>
    <t>160/0</t>
  </si>
  <si>
    <t>160/1</t>
  </si>
  <si>
    <t>160/2</t>
  </si>
  <si>
    <t>160/3</t>
  </si>
  <si>
    <t>161/1</t>
  </si>
  <si>
    <t>161A/0</t>
  </si>
  <si>
    <t>161A/1</t>
  </si>
  <si>
    <t>161A/2</t>
  </si>
  <si>
    <t>161A/3</t>
  </si>
  <si>
    <t>161A/4</t>
  </si>
  <si>
    <t>161A/5</t>
  </si>
  <si>
    <t>161A/6</t>
  </si>
  <si>
    <t>161B/0</t>
  </si>
  <si>
    <t>161C/0</t>
  </si>
  <si>
    <t>DC2+3</t>
  </si>
  <si>
    <t>161C/1</t>
  </si>
  <si>
    <t>163/0</t>
  </si>
  <si>
    <t>163/1</t>
  </si>
  <si>
    <t>163/2</t>
  </si>
  <si>
    <t>163/3</t>
  </si>
  <si>
    <t>163/4</t>
  </si>
  <si>
    <t>164/0</t>
  </si>
  <si>
    <t>164/1</t>
  </si>
  <si>
    <t>165/0</t>
  </si>
  <si>
    <t>165/1</t>
  </si>
  <si>
    <t>165/2</t>
  </si>
  <si>
    <t>167/5</t>
  </si>
  <si>
    <t>167/6</t>
  </si>
  <si>
    <t>168/0</t>
  </si>
  <si>
    <t>169/0</t>
  </si>
  <si>
    <t>170/0</t>
  </si>
  <si>
    <t>170/1</t>
  </si>
  <si>
    <t>170/2</t>
  </si>
  <si>
    <t>170/3</t>
  </si>
  <si>
    <t>170/4</t>
  </si>
  <si>
    <t>171/0</t>
  </si>
  <si>
    <t>177/0</t>
  </si>
  <si>
    <t>178/0</t>
  </si>
  <si>
    <t>178/1</t>
  </si>
  <si>
    <t>178/3</t>
  </si>
  <si>
    <t>178A/0</t>
  </si>
  <si>
    <t>178A/1</t>
  </si>
  <si>
    <t>178A/2</t>
  </si>
  <si>
    <t>180/0</t>
  </si>
  <si>
    <t>180/1</t>
  </si>
  <si>
    <t>181/0</t>
  </si>
  <si>
    <t>183/2</t>
  </si>
  <si>
    <t>184/0</t>
  </si>
  <si>
    <t>185/0</t>
  </si>
  <si>
    <t>186/2</t>
  </si>
  <si>
    <t>186/3</t>
  </si>
  <si>
    <t>186/4</t>
  </si>
  <si>
    <t>186/5</t>
  </si>
  <si>
    <t>186/6</t>
  </si>
  <si>
    <t>187/0</t>
  </si>
  <si>
    <t>187/1</t>
  </si>
  <si>
    <t>187/2</t>
  </si>
  <si>
    <t>187/3</t>
  </si>
  <si>
    <t>187/4</t>
  </si>
  <si>
    <t>187/5</t>
  </si>
  <si>
    <t>187/6</t>
  </si>
  <si>
    <t>188/0</t>
  </si>
  <si>
    <t>188/1</t>
  </si>
  <si>
    <t>188/2</t>
  </si>
  <si>
    <t>189/0</t>
  </si>
  <si>
    <t>190/0</t>
  </si>
  <si>
    <t>190/1</t>
  </si>
  <si>
    <t>190/2</t>
  </si>
  <si>
    <t>190/3</t>
  </si>
  <si>
    <t>190/4</t>
  </si>
  <si>
    <t>191/1</t>
  </si>
  <si>
    <t>191/2</t>
  </si>
  <si>
    <t>191/3</t>
  </si>
  <si>
    <t>191/4</t>
  </si>
  <si>
    <t>191/5</t>
  </si>
  <si>
    <t>191/6</t>
  </si>
  <si>
    <t>192/1</t>
  </si>
  <si>
    <t>192/2</t>
  </si>
  <si>
    <t>192/3</t>
  </si>
  <si>
    <t>192/4</t>
  </si>
  <si>
    <t>192/5</t>
  </si>
  <si>
    <t>192/6</t>
  </si>
  <si>
    <t>193/3</t>
  </si>
  <si>
    <t>194/2</t>
  </si>
  <si>
    <t>194/3</t>
  </si>
  <si>
    <t>194/4</t>
  </si>
  <si>
    <t>194/5</t>
  </si>
  <si>
    <t>194/6</t>
  </si>
  <si>
    <t>195/0</t>
  </si>
  <si>
    <t>DB1+3</t>
  </si>
  <si>
    <t>ASOTL Pile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</si>
  <si>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</si>
  <si>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 xml:space="preserve">Pile </t>
  </si>
  <si>
    <t>work hampered due to forest dept. approval pending</t>
  </si>
  <si>
    <t>Chowdhary Const.</t>
  </si>
  <si>
    <t>Location</t>
  </si>
  <si>
    <t>Start</t>
  </si>
  <si>
    <t>End</t>
  </si>
  <si>
    <t>117/1</t>
  </si>
  <si>
    <t>120/4</t>
  </si>
  <si>
    <t>120/7</t>
  </si>
  <si>
    <t>121/2</t>
  </si>
  <si>
    <t>121/3</t>
  </si>
  <si>
    <t>126/1</t>
  </si>
  <si>
    <t>137/1</t>
  </si>
  <si>
    <t>137/2</t>
  </si>
  <si>
    <t>141/3</t>
  </si>
  <si>
    <t>141/5</t>
  </si>
  <si>
    <t>145/7</t>
  </si>
  <si>
    <t>175/0</t>
  </si>
  <si>
    <t>180/3</t>
  </si>
  <si>
    <t>180/4</t>
  </si>
  <si>
    <t>180/6</t>
  </si>
  <si>
    <t>197/2</t>
  </si>
  <si>
    <t>241/2</t>
  </si>
  <si>
    <t>243/1</t>
  </si>
  <si>
    <t>246/0</t>
  </si>
  <si>
    <t>248/1</t>
  </si>
  <si>
    <t>249/3</t>
  </si>
  <si>
    <t>250/3</t>
  </si>
  <si>
    <t>250A/1</t>
  </si>
  <si>
    <t>250A/2</t>
  </si>
  <si>
    <t>252/5</t>
  </si>
  <si>
    <t>117/2</t>
  </si>
  <si>
    <t>119/2</t>
  </si>
  <si>
    <t>119/3</t>
  </si>
  <si>
    <t>120/1</t>
  </si>
  <si>
    <t>120/2</t>
  </si>
  <si>
    <t>120/3</t>
  </si>
  <si>
    <t>120/5</t>
  </si>
  <si>
    <t>120/6</t>
  </si>
  <si>
    <t>121/1</t>
  </si>
  <si>
    <t>121/4</t>
  </si>
  <si>
    <t>121/5</t>
  </si>
  <si>
    <t>121/6</t>
  </si>
  <si>
    <t>121/7</t>
  </si>
  <si>
    <t>121/8</t>
  </si>
  <si>
    <t>121/9</t>
  </si>
  <si>
    <t>121/10</t>
  </si>
  <si>
    <t>121/11</t>
  </si>
  <si>
    <t>125/0</t>
  </si>
  <si>
    <t>125/1</t>
  </si>
  <si>
    <t>125/2</t>
  </si>
  <si>
    <t>126/0</t>
  </si>
  <si>
    <t>126/2</t>
  </si>
  <si>
    <t>126/3</t>
  </si>
  <si>
    <t>127/0</t>
  </si>
  <si>
    <t>131/3</t>
  </si>
  <si>
    <t>131/4</t>
  </si>
  <si>
    <t>131/5</t>
  </si>
  <si>
    <t>132/0</t>
  </si>
  <si>
    <t>132/2</t>
  </si>
  <si>
    <t>132/3</t>
  </si>
  <si>
    <t>133/3</t>
  </si>
  <si>
    <t>133/4</t>
  </si>
  <si>
    <t>136/1</t>
  </si>
  <si>
    <t>141/4</t>
  </si>
  <si>
    <t>151A/0</t>
  </si>
  <si>
    <t>153/2</t>
  </si>
  <si>
    <t>153A/0</t>
  </si>
  <si>
    <t xml:space="preserve">157/0 </t>
  </si>
  <si>
    <t xml:space="preserve">158/0 </t>
  </si>
  <si>
    <t xml:space="preserve">159/0 </t>
  </si>
  <si>
    <t>165/3</t>
  </si>
  <si>
    <t>165/4</t>
  </si>
  <si>
    <t>165/5</t>
  </si>
  <si>
    <t>165/6</t>
  </si>
  <si>
    <t>165/7</t>
  </si>
  <si>
    <t>172/0</t>
  </si>
  <si>
    <t>172/1</t>
  </si>
  <si>
    <t xml:space="preserve">174/0 </t>
  </si>
  <si>
    <t>174/1</t>
  </si>
  <si>
    <t>174/3</t>
  </si>
  <si>
    <t>174/4</t>
  </si>
  <si>
    <t>174/5</t>
  </si>
  <si>
    <t>174/6</t>
  </si>
  <si>
    <t>176/0</t>
  </si>
  <si>
    <t>176/1</t>
  </si>
  <si>
    <t>176/2</t>
  </si>
  <si>
    <t>179/1</t>
  </si>
  <si>
    <t>179/2</t>
  </si>
  <si>
    <t>179/3</t>
  </si>
  <si>
    <t>180/2</t>
  </si>
  <si>
    <t>180/5</t>
  </si>
  <si>
    <t>180/7</t>
  </si>
  <si>
    <t xml:space="preserve">188/0 </t>
  </si>
  <si>
    <t xml:space="preserve">189/0 </t>
  </si>
  <si>
    <t>189/1</t>
  </si>
  <si>
    <t>196/1</t>
  </si>
  <si>
    <t>196/2</t>
  </si>
  <si>
    <t>197/0</t>
  </si>
  <si>
    <t>197/1</t>
  </si>
  <si>
    <t>199/1</t>
  </si>
  <si>
    <t>200/0</t>
  </si>
  <si>
    <t>200/1</t>
  </si>
  <si>
    <t>201/0</t>
  </si>
  <si>
    <t>202/0</t>
  </si>
  <si>
    <t>203/0</t>
  </si>
  <si>
    <t>203/1</t>
  </si>
  <si>
    <t>204/0</t>
  </si>
  <si>
    <t>205/0</t>
  </si>
  <si>
    <t>205/1</t>
  </si>
  <si>
    <t>205/2</t>
  </si>
  <si>
    <t>206/0</t>
  </si>
  <si>
    <t>206/1</t>
  </si>
  <si>
    <t>207/0</t>
  </si>
  <si>
    <t>208/0</t>
  </si>
  <si>
    <t>209/0</t>
  </si>
  <si>
    <t>209/1</t>
  </si>
  <si>
    <t>209/2</t>
  </si>
  <si>
    <t>211/1</t>
  </si>
  <si>
    <t>211/2</t>
  </si>
  <si>
    <t>211/3</t>
  </si>
  <si>
    <t>211/4</t>
  </si>
  <si>
    <t>211/5</t>
  </si>
  <si>
    <t>212/0</t>
  </si>
  <si>
    <t>213/0</t>
  </si>
  <si>
    <t>214/0</t>
  </si>
  <si>
    <t>214/1</t>
  </si>
  <si>
    <t>214/2</t>
  </si>
  <si>
    <t>214/4</t>
  </si>
  <si>
    <t>214/5</t>
  </si>
  <si>
    <t>214/7</t>
  </si>
  <si>
    <t>215/0</t>
  </si>
  <si>
    <t>216/1</t>
  </si>
  <si>
    <t>217/0</t>
  </si>
  <si>
    <t>217/1</t>
  </si>
  <si>
    <t>217/2</t>
  </si>
  <si>
    <t>217/3</t>
  </si>
  <si>
    <t>217/5</t>
  </si>
  <si>
    <t>218/0</t>
  </si>
  <si>
    <t>219/0</t>
  </si>
  <si>
    <t>219/1</t>
  </si>
  <si>
    <t>220/0</t>
  </si>
  <si>
    <t>220/1</t>
  </si>
  <si>
    <t>221/0</t>
  </si>
  <si>
    <t>222/0</t>
  </si>
  <si>
    <t>223/0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</si>
  <si>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</si>
  <si>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</si>
  <si>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</si>
  <si>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</si>
  <si>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</si>
  <si>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</si>
  <si>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</si>
  <si>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</si>
  <si>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</si>
  <si>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</si>
  <si>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</si>
  <si>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</si>
  <si>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</si>
  <si>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</si>
  <si>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</si>
  <si>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</si>
  <si>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</si>
  <si>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</si>
  <si>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</si>
  <si>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</si>
  <si>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</si>
  <si>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</si>
  <si>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</si>
  <si>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</si>
  <si>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</si>
  <si>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</si>
  <si>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</si>
  <si>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</si>
  <si>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</si>
  <si>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</si>
  <si>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232/0</t>
  </si>
  <si>
    <t>232/1</t>
  </si>
  <si>
    <t>232/2</t>
  </si>
  <si>
    <t>232/3</t>
  </si>
  <si>
    <t>232/4</t>
  </si>
  <si>
    <t>233/0</t>
  </si>
  <si>
    <t>234/0</t>
  </si>
  <si>
    <t>235/0</t>
  </si>
  <si>
    <t>235/1</t>
  </si>
  <si>
    <t>235/2</t>
  </si>
  <si>
    <t>235/3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</si>
  <si>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</si>
  <si>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</si>
  <si>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</si>
  <si>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</si>
  <si>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</si>
  <si>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</si>
  <si>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</si>
  <si>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</si>
  <si>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241/0</t>
  </si>
  <si>
    <t>241/3</t>
  </si>
  <si>
    <t>241/4</t>
  </si>
  <si>
    <t>242/0</t>
  </si>
  <si>
    <t>243/0</t>
  </si>
  <si>
    <t>243/2</t>
  </si>
  <si>
    <t>243/3</t>
  </si>
  <si>
    <t>244/1</t>
  </si>
  <si>
    <t>244/5</t>
  </si>
  <si>
    <t>244/6</t>
  </si>
  <si>
    <t>245/0</t>
  </si>
  <si>
    <t>245/1</t>
  </si>
  <si>
    <t>247/0</t>
  </si>
  <si>
    <t>248/0</t>
  </si>
  <si>
    <t>248/2</t>
  </si>
  <si>
    <t>249/0</t>
  </si>
  <si>
    <t>249/1</t>
  </si>
  <si>
    <t>249/2</t>
  </si>
  <si>
    <t>250/0</t>
  </si>
  <si>
    <t>251/0</t>
  </si>
  <si>
    <t>251/1</t>
  </si>
  <si>
    <t>252/0</t>
  </si>
  <si>
    <t>252/1</t>
  </si>
  <si>
    <t>252/2</t>
  </si>
  <si>
    <t>252/3</t>
  </si>
  <si>
    <t>252/4</t>
  </si>
  <si>
    <t>253/0</t>
  </si>
  <si>
    <t>254/0</t>
  </si>
  <si>
    <t>254/1</t>
  </si>
  <si>
    <t>255/1</t>
  </si>
  <si>
    <t>256/0</t>
  </si>
  <si>
    <t>257/0</t>
  </si>
  <si>
    <t>258/0</t>
  </si>
  <si>
    <t>DB1+25</t>
  </si>
  <si>
    <t>DD60+25 (2MRC)</t>
  </si>
  <si>
    <t>DD45+25 (15.87MRC)</t>
  </si>
  <si>
    <t>DD45+25 (11.9MRC)</t>
  </si>
  <si>
    <t>DD60+9 (7MRC)</t>
  </si>
  <si>
    <t>DB2+3</t>
  </si>
  <si>
    <t>DC2+6</t>
  </si>
  <si>
    <t>DD60+25</t>
  </si>
  <si>
    <t>DD60+18</t>
  </si>
  <si>
    <t>DD60+9</t>
  </si>
  <si>
    <t>DD45+18</t>
  </si>
  <si>
    <t>DD60+41</t>
  </si>
  <si>
    <t>DD60+9 (2MRC)</t>
  </si>
  <si>
    <t>DD60+30</t>
  </si>
  <si>
    <t>DCT+0</t>
  </si>
  <si>
    <t>DC2+18</t>
  </si>
  <si>
    <t>DA+3 (A,B 1.5 RC)</t>
  </si>
  <si>
    <t>DD45+0LE (3 Leg)+1.5LE (1 Leg) &amp; (B1MRC &amp; C0.5MRS)</t>
  </si>
  <si>
    <t>DD45+25</t>
  </si>
  <si>
    <t>DC1+18</t>
  </si>
  <si>
    <t>DD60+35</t>
  </si>
  <si>
    <t>DC2+9</t>
  </si>
  <si>
    <t>DB2+18</t>
  </si>
  <si>
    <t>DD60+25 (3MRC)</t>
  </si>
  <si>
    <t>DD45+35</t>
  </si>
  <si>
    <t>DB2+9 (2MRC)</t>
  </si>
  <si>
    <t>DD45+30 (2MRC)</t>
  </si>
  <si>
    <t>DA+9 (2MRC)</t>
  </si>
  <si>
    <t>DB1+18 (2MRC)</t>
  </si>
  <si>
    <t>DC1+6</t>
  </si>
  <si>
    <t>DB2+25</t>
  </si>
  <si>
    <t>DB1+25 (2MRC)</t>
  </si>
  <si>
    <t>DC1+25</t>
  </si>
  <si>
    <t>DD60+35 (2MRC)</t>
  </si>
  <si>
    <t>DA+9 (1MRC)</t>
  </si>
  <si>
    <t>DB1+3 (3MRC)</t>
  </si>
  <si>
    <t>DA+6 (1MRC)</t>
  </si>
  <si>
    <t>DD45+35 (2MRC)</t>
  </si>
  <si>
    <t>DD60+0 (1.5MRC)</t>
  </si>
  <si>
    <t>Loc No</t>
  </si>
  <si>
    <t>foundation</t>
  </si>
  <si>
    <t>lfmlv</t>
  </si>
  <si>
    <t>dgg</t>
  </si>
  <si>
    <t>kfvnk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</si>
  <si>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</si>
  <si>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</si>
  <si>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</si>
  <si>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</si>
  <si>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</si>
  <si>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</si>
  <si>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</si>
  <si>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</si>
  <si>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</si>
  <si>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</si>
  <si>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</si>
  <si>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</si>
  <si>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</si>
  <si>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</si>
  <si>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</si>
  <si>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</si>
  <si>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</si>
  <si>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</si>
  <si>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</si>
  <si>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</si>
  <si>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</si>
  <si>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ASOTL Stringing</t>
  </si>
  <si>
    <t>Sr. No.</t>
  </si>
  <si>
    <t>length</t>
  </si>
  <si>
    <t>Manual/TSE</t>
  </si>
  <si>
    <t>Engaged Date</t>
  </si>
  <si>
    <t>P/O Completed</t>
  </si>
  <si>
    <t>F/S Completed</t>
  </si>
  <si>
    <t>Stringing Status As on Today</t>
  </si>
  <si>
    <t>Start Date</t>
  </si>
  <si>
    <t>End Date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</si>
  <si>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</si>
  <si>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</si>
  <si>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</si>
  <si>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</si>
  <si>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</si>
  <si>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Span Length</t>
  </si>
  <si>
    <t>LINE OWNER</t>
  </si>
  <si>
    <t>Line Name</t>
  </si>
  <si>
    <t>Work Portion</t>
  </si>
  <si>
    <t>Submitted to Client for Review</t>
  </si>
  <si>
    <t>Proposal Submitted (Y/N)</t>
  </si>
  <si>
    <t>Inspection Status (Y/N)</t>
  </si>
  <si>
    <t>Powerline crossing</t>
  </si>
  <si>
    <t>GETCO</t>
  </si>
  <si>
    <t>400 kV D/C Twin Chorniya/Pancham To Kosamba TL</t>
  </si>
  <si>
    <t>Y</t>
  </si>
  <si>
    <t>Approval Not Received from PGCIL</t>
  </si>
  <si>
    <t>CDDN+25</t>
  </si>
  <si>
    <t>PGCIL</t>
  </si>
  <si>
    <t>765 kV D/C Ahmedabad-Navsari</t>
  </si>
  <si>
    <t>765 kV D/C Vataman-Navsari</t>
  </si>
  <si>
    <t>66 kV D/C Gavasad-Sterling/Sarod</t>
  </si>
  <si>
    <t>GAS PIPELINE</t>
  </si>
  <si>
    <t>ONGC</t>
  </si>
  <si>
    <t>GGS Jambusar-GGS Dabka</t>
  </si>
  <si>
    <t>GAIL</t>
  </si>
  <si>
    <t>Dabka-Gandhar</t>
  </si>
  <si>
    <t>GSPL</t>
  </si>
  <si>
    <t>Uchchhad-Jambusar</t>
  </si>
  <si>
    <t>Railway Crossing</t>
  </si>
  <si>
    <t>IR WR</t>
  </si>
  <si>
    <t xml:space="preserve">BG U/C electrified single Vishamitri-Jambusar </t>
  </si>
  <si>
    <t>66 kV (H FRAME) Masar Road to Jambusar</t>
  </si>
  <si>
    <t>Approval received on 25-04-2026</t>
  </si>
  <si>
    <t>NH</t>
  </si>
  <si>
    <t>NHAI</t>
  </si>
  <si>
    <t>Jambusar-Bharuch Section (NH 64)</t>
  </si>
  <si>
    <t xml:space="preserve">BG U/C electrified single Bharuch-Jambusar </t>
  </si>
  <si>
    <t>Reliance</t>
  </si>
  <si>
    <t>Dahej-Vadodara</t>
  </si>
  <si>
    <t>GNAQ-Magnad</t>
  </si>
  <si>
    <t>G763 Station to EPS253 Station</t>
  </si>
  <si>
    <t>U/C 66 k/V D/C Amod-Muler</t>
  </si>
  <si>
    <t>Ankhi IP to CPF Gandhar 2</t>
  </si>
  <si>
    <t>Near EPS 253 Station</t>
  </si>
  <si>
    <t>IOCL</t>
  </si>
  <si>
    <t>Dehaj-Koyali</t>
  </si>
  <si>
    <t>Amod-Hajira</t>
  </si>
  <si>
    <t>IHBL</t>
  </si>
  <si>
    <t>Kandla-Gorakhpur</t>
  </si>
  <si>
    <t>CPU Gandhar-NTPC Tarminal (Jhanor)</t>
  </si>
  <si>
    <t>Approval received on 25.04.2026</t>
  </si>
  <si>
    <t>Kohsamba-Suva-Gavasad</t>
  </si>
  <si>
    <t>CPU Gandhar DT-GNFC RT</t>
  </si>
  <si>
    <t>Wagra-CPF ONGC</t>
  </si>
  <si>
    <t>66 kV (H FRAME) Wagra-Mular</t>
  </si>
  <si>
    <t>66 kV (H FRAME) Wagra-Vensali</t>
  </si>
  <si>
    <t>BG Electrified Single Bharuch-Dahej</t>
  </si>
  <si>
    <t>Powerline Crossing</t>
  </si>
  <si>
    <t>66 kV D/C Wagra-GAIL</t>
  </si>
  <si>
    <t>Dahej-Vemar</t>
  </si>
  <si>
    <t>220 kV D/C Haldarva-Dahej</t>
  </si>
  <si>
    <t>Not Submitted</t>
  </si>
  <si>
    <t>Details Survey Approval pending due to GETCO new substation in detail survey route</t>
  </si>
  <si>
    <t>220 kV D/C Haldarva-Suva/Dahej</t>
  </si>
  <si>
    <t>176A/0</t>
  </si>
  <si>
    <t>CPU Gandhar-CPF Ankleshwar</t>
  </si>
  <si>
    <t>DD60+25 (2M RC)</t>
  </si>
  <si>
    <t>DD60+25(2M RC)</t>
  </si>
  <si>
    <t>Torrent Power</t>
  </si>
  <si>
    <t>400 kV D/C DGEN-Navsari</t>
  </si>
  <si>
    <t>Amboli-Dahej</t>
  </si>
  <si>
    <t>Dahej-Hagothana</t>
  </si>
  <si>
    <t>IPCL Hajira-Dahej</t>
  </si>
  <si>
    <t>DUPL Dahej-Hajira</t>
  </si>
  <si>
    <t>184/10</t>
  </si>
  <si>
    <t>184/11</t>
  </si>
  <si>
    <t>ALLA BET- Ankleshwar</t>
  </si>
  <si>
    <t>Ankleshwar- Hansot (NH 64)</t>
  </si>
  <si>
    <t>66 kV (H-Frame) Hansot-Ankleshwar</t>
  </si>
  <si>
    <t>66 kV (H-Frame) Panoli-Hansot</t>
  </si>
  <si>
    <t>Hansot-Rayma (NH 64)</t>
  </si>
  <si>
    <t>66 kV D/C Vadoli-Mindhi</t>
  </si>
  <si>
    <t>Vadoli-Olpad</t>
  </si>
  <si>
    <t>DD60+25 (3M RC)</t>
  </si>
  <si>
    <t>DD60+25(3M RC)</t>
  </si>
  <si>
    <t>ESSAR POWER</t>
  </si>
  <si>
    <t>Hazira-Gandhar</t>
  </si>
  <si>
    <t>Sr.No.</t>
  </si>
  <si>
    <t>Location Details</t>
  </si>
  <si>
    <t>completed</t>
  </si>
  <si>
    <t>Hotline Stringing total KM : 17.112 Km</t>
  </si>
  <si>
    <t>Sl NO</t>
  </si>
  <si>
    <t>Description</t>
  </si>
  <si>
    <t xml:space="preserve">Dec'25 </t>
  </si>
  <si>
    <t>June'25</t>
  </si>
  <si>
    <t>Hotline Stringing</t>
  </si>
  <si>
    <t xml:space="preserve">Length </t>
  </si>
  <si>
    <t xml:space="preserve">41.090 km </t>
  </si>
  <si>
    <t xml:space="preserve"> 6.747 km </t>
  </si>
  <si>
    <t xml:space="preserve"> 29.131 km</t>
  </si>
  <si>
    <t>AP145/0 to AP171/0</t>
  </si>
  <si>
    <t>AP177/0 to AP184/0 </t>
  </si>
  <si>
    <t>765KV ANTL Line</t>
  </si>
  <si>
    <t>Mahi River</t>
  </si>
  <si>
    <t xml:space="preserve">Asmina Power </t>
  </si>
  <si>
    <t>Tower Tightening</t>
  </si>
  <si>
    <t>Complete</t>
  </si>
  <si>
    <t xml:space="preserve">Gang </t>
  </si>
  <si>
    <t>Status/Arrival</t>
  </si>
  <si>
    <t>Contact</t>
  </si>
  <si>
    <t xml:space="preserve">WIP at 154/2  </t>
  </si>
  <si>
    <t>Clear Front not Provided from Client</t>
  </si>
  <si>
    <t>Vihan 1</t>
  </si>
  <si>
    <t>BLG Infra 2</t>
  </si>
  <si>
    <t>BLG Infra 1</t>
  </si>
  <si>
    <t>WIP at 148A/0</t>
  </si>
  <si>
    <t>Vihan 2</t>
  </si>
  <si>
    <t xml:space="preserve">Trial Pit </t>
  </si>
  <si>
    <t>RB</t>
  </si>
  <si>
    <t>20 06-2026</t>
  </si>
  <si>
    <t>BK Traders</t>
  </si>
  <si>
    <t>Raza Construction</t>
  </si>
  <si>
    <t>Nongha Bhai</t>
  </si>
  <si>
    <t>EARTHING PROGRESS SUMMARY</t>
  </si>
  <si>
    <t>20-062026</t>
  </si>
  <si>
    <t>162/0-167/5</t>
  </si>
  <si>
    <t>167/5-174A/0</t>
  </si>
  <si>
    <t>165/0-167/5</t>
  </si>
  <si>
    <t>162/0-165/0</t>
  </si>
  <si>
    <t>184/5-184/10</t>
  </si>
  <si>
    <t xml:space="preserve">Balance </t>
  </si>
  <si>
    <t>Under Preparation</t>
  </si>
  <si>
    <t>765KV VNTL Line,</t>
  </si>
  <si>
    <t>Nilgiri Garden</t>
  </si>
  <si>
    <t xml:space="preserve">2nos 11 kv line </t>
  </si>
  <si>
    <t>66 kv dc line</t>
  </si>
  <si>
    <t>ONGC Pipeline</t>
  </si>
  <si>
    <t xml:space="preserve">66kv UG cable,3Nos Gas Pipeline , </t>
  </si>
  <si>
    <t>3Nos 11 kv line</t>
  </si>
  <si>
    <t>Railway Line</t>
  </si>
  <si>
    <t>NH-64 crossing,3nos 11kv line</t>
  </si>
  <si>
    <t xml:space="preserve">ONGC </t>
  </si>
  <si>
    <t>Gas Pipeline</t>
  </si>
  <si>
    <t>River</t>
  </si>
  <si>
    <t>Rahul Kumar</t>
  </si>
  <si>
    <t>Cumulative L2 till Last Month June'26)</t>
  </si>
  <si>
    <t>Cumulative Progress till Last Month(June 26)</t>
  </si>
  <si>
    <t>Cumm. Progress up to
till last Month June'26)</t>
  </si>
  <si>
    <t>Target as per L2 Schedule Cummulative (upto June'26)</t>
  </si>
  <si>
    <t>L3 Plan for the month (July'26 )</t>
  </si>
  <si>
    <t>Rupesh</t>
  </si>
  <si>
    <t>33 kv line</t>
  </si>
  <si>
    <t>66kv line</t>
  </si>
  <si>
    <t>11KV Line</t>
  </si>
  <si>
    <t>11 KV Line</t>
  </si>
  <si>
    <t>ONGC Gas Pipeline</t>
  </si>
  <si>
    <t>IOCL Gas Pipeline</t>
  </si>
  <si>
    <t>SH6 Road</t>
  </si>
  <si>
    <t>11 kv line</t>
  </si>
  <si>
    <t>11 kv</t>
  </si>
  <si>
    <t xml:space="preserve">220KV DC </t>
  </si>
  <si>
    <t>33KV</t>
  </si>
  <si>
    <t>11KV</t>
  </si>
  <si>
    <t>66KV DC Line</t>
  </si>
  <si>
    <t>66KV Line</t>
  </si>
  <si>
    <t xml:space="preserve">2Nos </t>
  </si>
  <si>
    <t>174A/0</t>
  </si>
  <si>
    <t>174A/1</t>
  </si>
  <si>
    <t>174A/2</t>
  </si>
  <si>
    <t>174A/3</t>
  </si>
  <si>
    <t>174A/4</t>
  </si>
  <si>
    <t>174A/5</t>
  </si>
  <si>
    <t>174A/6</t>
  </si>
  <si>
    <t>174A/7</t>
  </si>
  <si>
    <t>174A/8</t>
  </si>
  <si>
    <t>174A/9</t>
  </si>
  <si>
    <t>174A/10</t>
  </si>
  <si>
    <t>174A/11</t>
  </si>
  <si>
    <t>174A/12</t>
  </si>
  <si>
    <t>174A/13</t>
  </si>
  <si>
    <t>175/2</t>
  </si>
  <si>
    <t>175/3</t>
  </si>
  <si>
    <t>175/4</t>
  </si>
  <si>
    <t>175/5</t>
  </si>
  <si>
    <t>175A/0</t>
  </si>
  <si>
    <t>176A/1</t>
  </si>
  <si>
    <t>176A/2</t>
  </si>
  <si>
    <t>184/1</t>
  </si>
  <si>
    <t>184/2</t>
  </si>
  <si>
    <t>184/3</t>
  </si>
  <si>
    <t>184/4</t>
  </si>
  <si>
    <t>184/5</t>
  </si>
  <si>
    <t>184/6</t>
  </si>
  <si>
    <t>184/7</t>
  </si>
  <si>
    <t>184/8</t>
  </si>
  <si>
    <t>184/9</t>
  </si>
  <si>
    <t>184/12</t>
  </si>
  <si>
    <t>184/13</t>
  </si>
  <si>
    <t>184/14</t>
  </si>
  <si>
    <t>GANTRY</t>
  </si>
  <si>
    <t>198/1</t>
  </si>
  <si>
    <t>200/2</t>
  </si>
  <si>
    <t>200/3</t>
  </si>
  <si>
    <t>201/1</t>
  </si>
  <si>
    <t>201/2</t>
  </si>
  <si>
    <t>201/3</t>
  </si>
  <si>
    <t>203/3</t>
  </si>
  <si>
    <t>Work hampered due to ROW</t>
  </si>
  <si>
    <t>133/7</t>
  </si>
  <si>
    <t>Work hampered due to water logged location</t>
  </si>
  <si>
    <t>Tower Erection Complete</t>
  </si>
  <si>
    <t>Work stopped due to water logged area</t>
  </si>
  <si>
    <t>Water logged location</t>
  </si>
  <si>
    <t>Tower 2nd Section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</si>
</sst>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9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.000_);_(* \(#,##0.000\);_(* &quot;-&quot;???_);_(@_)"/>
    <numFmt numFmtId="168" formatCode="0.000"/>
    <numFmt numFmtId="169" formatCode="_ * #,##0.000_ ;_ * \-#,##0.000_ ;_ * &quot;-&quot;??_ ;_ @_ "/>
    <numFmt numFmtId="170" formatCode="&quot;Rs.&quot;#,##0.00_);[Red]\(&quot;Rs.&quot;#,##0.00\)"/>
    <numFmt numFmtId="171" formatCode="_(&quot;Rs.&quot;* #,##0_);_(&quot;Rs.&quot;* \(#,##0\);_(&quot;Rs.&quot;* &quot;-&quot;_);_(@_)"/>
    <numFmt numFmtId="172" formatCode="_(&quot;Rs.&quot;* #,##0.00_);_(&quot;Rs.&quot;* \(#,##0.00\);_(&quot;Rs.&quot;* &quot;-&quot;??_);_(@_)"/>
    <numFmt numFmtId="173" formatCode="_-* #,##0_-;\-* #,##0_-;_-* &quot;-&quot;_-;_-@_-"/>
    <numFmt numFmtId="174" formatCode="_-* #,##0.00_-;\-* #,##0.00_-;_-* &quot;-&quot;??_-;_-@_-"/>
    <numFmt numFmtId="175" formatCode="_-&quot;£&quot;* #,##0.00_-;\-&quot;£&quot;* #,##0.00_-;_-&quot;£&quot;* &quot;-&quot;??_-;_-@_-"/>
    <numFmt numFmtId="176" formatCode="#,##0.0"/>
    <numFmt numFmtId="177" formatCode="&quot;\&quot;#,##0.00;[Red]\-&quot;\&quot;#,##0.00"/>
    <numFmt numFmtId="178" formatCode="#,##0.000_);\(#,##0.000\)"/>
    <numFmt numFmtId="179" formatCode="0.0_)"/>
    <numFmt numFmtId="180" formatCode=";;"/>
    <numFmt numFmtId="181" formatCode="_ &quot;kr&quot;\ * #,##0_ ;_ &quot;kr&quot;\ * \-#,##0_ ;_ &quot;kr&quot;\ * &quot;-&quot;_ ;_ @_ "/>
    <numFmt numFmtId="182" formatCode="_-* #,##0\ _k_r_-;\-* #,##0\ _k_r_-;_-* &quot;-&quot;\ _k_r_-;_-@_-"/>
    <numFmt numFmtId="183" formatCode="_-* #,##0.00\ _k_r_-;\-* #,##0.00\ _k_r_-;_-* &quot;-&quot;??\ _k_r_-;_-@_-"/>
    <numFmt numFmtId="184" formatCode="_ &quot;CHF&quot;\ * #,##0_ ;_ &quot;CHF&quot;\ * \-#,##0_ ;_ &quot;CHF&quot;\ * &quot;-&quot;_ ;_ @_ "/>
    <numFmt numFmtId="185" formatCode="_ &quot;CHF&quot;\ * #,##0.00_ ;_ &quot;CHF&quot;\ * \-#,##0.00_ ;_ &quot;CHF&quot;\ * &quot;-&quot;??_ ;_ @_ "/>
    <numFmt numFmtId="186" formatCode="&quot;Rs.&quot;#,##0.00_);\(&quot;Rs.&quot;#,##0.00\)"/>
    <numFmt numFmtId="187" formatCode="General_)"/>
    <numFmt numFmtId="188" formatCode="#,##0.000"/>
    <numFmt numFmtId="189" formatCode="#,##0.0_);\(#,##0.0\)"/>
    <numFmt numFmtId="190" formatCode="yyyy"/>
    <numFmt numFmtId="191" formatCode="\(0.00%"/>
    <numFmt numFmtId="192" formatCode="\U\S\$#,##0.00;\(\U\S\$#,##0.00\)"/>
    <numFmt numFmtId="193" formatCode="\+0.00%\+"/>
    <numFmt numFmtId="194" formatCode="0.00%\)"/>
    <numFmt numFmtId="195" formatCode="0.0000"/>
    <numFmt numFmtId="196" formatCode="[$-409]d\-mmm\-yy;@"/>
    <numFmt numFmtId="197" formatCode="[$-14009]dd/mm/yyyy;@"/>
    <numFmt numFmtId="198" formatCode="0.0"/>
    <numFmt numFmtId="199" formatCode="_ * #,##0_ ;_ * \-#,##0_ ;_ * &quot;-&quot;??_ ;_ @_ "/>
  </numFmts>
  <fonts count="1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trike/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Aptos"/>
      <family val="2"/>
    </font>
    <font>
      <b/>
      <sz val="12"/>
      <color indexed="10"/>
      <name val="Aptos"/>
      <family val="2"/>
    </font>
    <font>
      <sz val="12"/>
      <name val="Aptos"/>
      <family val="2"/>
    </font>
    <font>
      <b/>
      <sz val="12"/>
      <color rgb="FF000000"/>
      <name val="Aptos"/>
      <family val="2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13"/>
      <color theme="1"/>
      <name val="Calibri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vertAlign val="superscript"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242424"/>
      <name val="Aptos"/>
      <family val="2"/>
    </font>
    <font>
      <b/>
      <sz val="11"/>
      <color rgb="FFFF0000"/>
      <name val="Calibri"/>
      <family val="2"/>
    </font>
    <font>
      <b/>
      <sz val="11"/>
      <color theme="4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B050"/>
      <name val="Calibri"/>
      <family val="2"/>
    </font>
    <font>
      <b/>
      <sz val="8"/>
      <color theme="1"/>
      <name val="Calibri"/>
      <family val="2"/>
    </font>
    <font>
      <b/>
      <sz val="10"/>
      <color rgb="FF0070C0"/>
      <name val="Calibri"/>
      <family val="2"/>
      <scheme val="minor"/>
    </font>
    <font>
      <b/>
      <sz val="11"/>
      <color rgb="FF7030A0"/>
      <name val="Calibri"/>
      <family val="2"/>
    </font>
    <font>
      <b/>
      <sz val="11"/>
      <color rgb="FF002060"/>
      <name val="Calibri"/>
      <family val="2"/>
    </font>
    <font>
      <b/>
      <sz val="9"/>
      <color rgb="FF002060"/>
      <name val="Calibri"/>
      <family val="2"/>
    </font>
    <font>
      <b/>
      <sz val="9"/>
      <name val="Tahoma"/>
      <family val="2"/>
    </font>
    <font>
      <sz val="12"/>
      <name val="Times New Roman"/>
      <family val="1"/>
    </font>
  </fonts>
  <fills count="6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79998168889431442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74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1" fillId="0" borderId="0" applyFont="0" applyFill="0" applyBorder="0" applyAlignment="0" applyProtection="0"/>
    <xf numFmtId="0" fontId="7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33" fillId="0" borderId="0"/>
    <xf numFmtId="0" fontId="10" fillId="0" borderId="0">
      <alignment vertical="top"/>
    </xf>
    <xf numFmtId="0" fontId="33" fillId="0" borderId="0"/>
    <xf numFmtId="0" fontId="33" fillId="0" borderId="0"/>
    <xf numFmtId="0" fontId="3" fillId="0" borderId="0"/>
    <xf numFmtId="0" fontId="33" fillId="0" borderId="0"/>
    <xf numFmtId="0" fontId="33" fillId="0" borderId="0"/>
    <xf numFmtId="0" fontId="34" fillId="0" borderId="0" applyNumberFormat="0" applyFill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2" borderId="0" applyNumberFormat="0" applyBorder="0" applyAlignment="0" applyProtection="0"/>
    <xf numFmtId="0" fontId="45" fillId="25" borderId="0" applyNumberFormat="0" applyBorder="0" applyAlignment="0" applyProtection="0"/>
    <xf numFmtId="0" fontId="45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9" fontId="18" fillId="0" borderId="0"/>
    <xf numFmtId="0" fontId="46" fillId="33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6" borderId="0" applyNumberFormat="0" applyBorder="0" applyAlignment="0" applyProtection="0"/>
    <xf numFmtId="175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5" fillId="0" borderId="0"/>
    <xf numFmtId="0" fontId="35" fillId="0" borderId="0"/>
    <xf numFmtId="0" fontId="3" fillId="0" borderId="0" applyFill="0" applyBorder="0">
      <alignment vertical="center"/>
    </xf>
    <xf numFmtId="17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7" fontId="28" fillId="0" borderId="32">
      <protection locked="0"/>
    </xf>
    <xf numFmtId="0" fontId="47" fillId="20" borderId="0" applyNumberFormat="0" applyBorder="0" applyAlignment="0" applyProtection="0"/>
    <xf numFmtId="0" fontId="19" fillId="0" borderId="0"/>
    <xf numFmtId="190" fontId="3" fillId="0" borderId="0" applyFill="0" applyBorder="0" applyAlignment="0"/>
    <xf numFmtId="187" fontId="36" fillId="0" borderId="0" applyFill="0" applyBorder="0" applyAlignment="0"/>
    <xf numFmtId="168" fontId="36" fillId="0" borderId="0" applyFill="0" applyBorder="0" applyAlignment="0"/>
    <xf numFmtId="189" fontId="37" fillId="0" borderId="0" applyFill="0" applyBorder="0" applyAlignment="0"/>
    <xf numFmtId="178" fontId="37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48" fillId="37" borderId="33" applyNumberFormat="0" applyAlignment="0" applyProtection="0"/>
    <xf numFmtId="0" fontId="49" fillId="38" borderId="34" applyNumberFormat="0" applyAlignment="0" applyProtection="0"/>
    <xf numFmtId="174" fontId="3" fillId="0" borderId="0" applyFont="0" applyFill="0" applyBorder="0" applyAlignment="0" applyProtection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9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>
      <protection locked="0"/>
    </xf>
    <xf numFmtId="0" fontId="26" fillId="0" borderId="0"/>
    <xf numFmtId="187" fontId="38" fillId="0" borderId="7" applyNumberFormat="0" applyBorder="0" applyAlignment="0" applyProtection="0">
      <protection locked="0"/>
    </xf>
    <xf numFmtId="187" fontId="36" fillId="0" borderId="0" applyFont="0" applyFill="0" applyBorder="0" applyAlignment="0" applyProtection="0"/>
    <xf numFmtId="172" fontId="3" fillId="0" borderId="0">
      <protection locked="0"/>
    </xf>
    <xf numFmtId="0" fontId="27" fillId="0" borderId="0">
      <protection locked="0"/>
    </xf>
    <xf numFmtId="14" fontId="10" fillId="0" borderId="0" applyFill="0" applyBorder="0" applyAlignment="0"/>
    <xf numFmtId="192" fontId="3" fillId="0" borderId="35">
      <alignment vertical="center"/>
    </xf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0" fillId="0" borderId="0" applyNumberFormat="0" applyFill="0" applyBorder="0" applyAlignment="0" applyProtection="0"/>
    <xf numFmtId="170" fontId="3" fillId="0" borderId="0">
      <protection locked="0"/>
    </xf>
    <xf numFmtId="0" fontId="32" fillId="39" borderId="0"/>
    <xf numFmtId="0" fontId="28" fillId="0" borderId="8" applyNumberFormat="0" applyFill="0" applyBorder="0" applyAlignment="0" applyProtection="0">
      <protection locked="0"/>
    </xf>
    <xf numFmtId="176" fontId="20" fillId="0" borderId="36">
      <alignment horizontal="right"/>
    </xf>
    <xf numFmtId="0" fontId="51" fillId="21" borderId="0" applyNumberFormat="0" applyBorder="0" applyAlignment="0" applyProtection="0"/>
    <xf numFmtId="38" fontId="17" fillId="40" borderId="0" applyNumberFormat="0" applyBorder="0" applyAlignment="0" applyProtection="0"/>
    <xf numFmtId="0" fontId="15" fillId="0" borderId="4" applyNumberFormat="0" applyAlignment="0" applyProtection="0">
      <alignment horizontal="left" vertical="center"/>
    </xf>
    <xf numFmtId="0" fontId="15" fillId="0" borderId="29">
      <alignment horizontal="left" vertical="center"/>
    </xf>
    <xf numFmtId="168" fontId="40" fillId="0" borderId="0" applyNumberFormat="0" applyFill="0" applyBorder="0" applyAlignment="0" applyProtection="0"/>
    <xf numFmtId="0" fontId="27" fillId="0" borderId="0">
      <protection locked="0"/>
    </xf>
    <xf numFmtId="0" fontId="27" fillId="0" borderId="0">
      <protection locked="0"/>
    </xf>
    <xf numFmtId="0" fontId="52" fillId="0" borderId="37" applyNumberFormat="0" applyFill="0" applyAlignment="0" applyProtection="0"/>
    <xf numFmtId="0" fontId="52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186" fontId="3" fillId="0" borderId="0" applyProtection="0">
      <alignment horizontal="center"/>
    </xf>
    <xf numFmtId="0" fontId="53" fillId="24" borderId="33" applyNumberFormat="0" applyAlignment="0" applyProtection="0"/>
    <xf numFmtId="10" fontId="17" fillId="41" borderId="9" applyNumberFormat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4" fillId="0" borderId="38" applyNumberFormat="0" applyFill="0" applyAlignment="0" applyProtection="0"/>
    <xf numFmtId="0" fontId="55" fillId="42" borderId="0" applyNumberFormat="0" applyBorder="0" applyAlignment="0" applyProtection="0"/>
    <xf numFmtId="37" fontId="22" fillId="0" borderId="0"/>
    <xf numFmtId="0" fontId="3" fillId="0" borderId="0"/>
    <xf numFmtId="168" fontId="3" fillId="0" borderId="0"/>
    <xf numFmtId="0" fontId="1" fillId="0" borderId="0"/>
    <xf numFmtId="0" fontId="1" fillId="0" borderId="0"/>
    <xf numFmtId="0" fontId="1" fillId="0" borderId="0"/>
    <xf numFmtId="0" fontId="3" fillId="43" borderId="39" applyNumberFormat="0" applyFont="0" applyAlignment="0" applyProtection="0"/>
    <xf numFmtId="0" fontId="56" fillId="37" borderId="40" applyNumberFormat="0" applyAlignment="0" applyProtection="0"/>
    <xf numFmtId="0" fontId="41" fillId="4" borderId="0"/>
    <xf numFmtId="9" fontId="3" fillId="0" borderId="0" applyFont="0" applyFill="0" applyBorder="0" applyAlignment="0" applyProtection="0"/>
    <xf numFmtId="178" fontId="37" fillId="0" borderId="0" applyFont="0" applyFill="0" applyBorder="0" applyAlignment="0" applyProtection="0"/>
    <xf numFmtId="188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3" fillId="0" borderId="0" applyFont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9" fontId="3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10" fillId="0" borderId="0">
      <alignment vertical="top"/>
    </xf>
    <xf numFmtId="0" fontId="28" fillId="0" borderId="0">
      <alignment horizontal="right"/>
    </xf>
    <xf numFmtId="0" fontId="29" fillId="0" borderId="31">
      <alignment horizontal="center" vertical="top"/>
    </xf>
    <xf numFmtId="0" fontId="16" fillId="44" borderId="14">
      <alignment horizontal="left" vertical="top" wrapText="1"/>
    </xf>
    <xf numFmtId="0" fontId="16" fillId="44" borderId="14">
      <alignment horizontal="left" vertical="top" wrapText="1"/>
    </xf>
    <xf numFmtId="49" fontId="10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40" fontId="42" fillId="0" borderId="0"/>
    <xf numFmtId="0" fontId="57" fillId="0" borderId="0" applyNumberFormat="0" applyFill="0" applyBorder="0" applyAlignment="0" applyProtection="0"/>
    <xf numFmtId="3" fontId="30" fillId="0" borderId="26">
      <alignment horizont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1" fontId="3" fillId="0" borderId="0" applyFont="0" applyFill="0" applyBorder="0" applyAlignment="0" applyProtection="0"/>
    <xf numFmtId="185" fontId="3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8" fillId="0" borderId="0" applyNumberFormat="0" applyFill="0" applyBorder="0" applyAlignment="0" applyProtection="0"/>
    <xf numFmtId="173" fontId="43" fillId="0" borderId="0" applyFont="0" applyFill="0" applyBorder="0" applyAlignment="0" applyProtection="0"/>
    <xf numFmtId="174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3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187" fontId="28" fillId="0" borderId="32">
      <protection locked="0"/>
    </xf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9" applyNumberFormat="0" applyFont="0" applyAlignment="0" applyProtection="0"/>
    <xf numFmtId="9" fontId="3" fillId="0" borderId="0" applyFont="0" applyFill="0" applyBorder="0" applyAlignment="0" applyProtection="0"/>
    <xf numFmtId="0" fontId="10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0" fontId="1" fillId="0" borderId="0"/>
    <xf numFmtId="0" fontId="10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101" fillId="0" borderId="0"/>
    <xf numFmtId="0" fontId="3" fillId="0" borderId="0"/>
    <xf numFmtId="0" fontId="1" fillId="0" borderId="0" applyBorder="0"/>
    <xf numFmtId="0" fontId="101" fillId="0" borderId="0"/>
    <xf numFmtId="9" fontId="45" fillId="0" borderId="0" applyFont="0" applyFill="0" applyBorder="0" applyAlignment="0" applyProtection="0"/>
    <xf numFmtId="0" fontId="10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4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45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17">
    <xf numFmtId="0" fontId="0" fillId="0" borderId="0" xfId="0"/>
    <xf numFmtId="0" fontId="6" fillId="0" borderId="23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/>
    </xf>
    <xf numFmtId="168" fontId="6" fillId="0" borderId="13" xfId="2" applyNumberFormat="1" applyFont="1" applyBorder="1" applyAlignment="1">
      <alignment horizontal="center" vertical="center"/>
    </xf>
    <xf numFmtId="168" fontId="0" fillId="0" borderId="0" xfId="0" applyNumberFormat="1"/>
    <xf numFmtId="0" fontId="6" fillId="0" borderId="25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 wrapText="1"/>
    </xf>
    <xf numFmtId="0" fontId="13" fillId="0" borderId="0" xfId="0" applyFont="1"/>
    <xf numFmtId="0" fontId="13" fillId="5" borderId="0" xfId="0" applyFont="1" applyFill="1"/>
    <xf numFmtId="0" fontId="11" fillId="0" borderId="9" xfId="0" applyFont="1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wrapText="1"/>
    </xf>
    <xf numFmtId="1" fontId="6" fillId="0" borderId="16" xfId="2" applyNumberFormat="1" applyFont="1" applyBorder="1" applyAlignment="1">
      <alignment horizontal="center" vertical="center" wrapText="1"/>
    </xf>
    <xf numFmtId="1" fontId="6" fillId="0" borderId="13" xfId="2" applyNumberFormat="1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 wrapText="1"/>
    </xf>
    <xf numFmtId="168" fontId="6" fillId="0" borderId="16" xfId="2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9" xfId="0" applyNumberFormat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14" fontId="0" fillId="5" borderId="9" xfId="0" applyNumberForma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horizontal="center"/>
    </xf>
    <xf numFmtId="168" fontId="6" fillId="0" borderId="18" xfId="2" applyNumberFormat="1" applyFont="1" applyBorder="1" applyAlignment="1">
      <alignment horizontal="center" vertical="center"/>
    </xf>
    <xf numFmtId="168" fontId="6" fillId="0" borderId="19" xfId="2" applyNumberFormat="1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16" fontId="11" fillId="0" borderId="9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14" fontId="0" fillId="5" borderId="19" xfId="0" applyNumberForma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2" fillId="0" borderId="9" xfId="0" applyFont="1" applyBorder="1"/>
    <xf numFmtId="198" fontId="0" fillId="0" borderId="9" xfId="0" applyNumberFormat="1" applyBorder="1"/>
    <xf numFmtId="0" fontId="0" fillId="0" borderId="11" xfId="0" applyBorder="1" applyAlignment="1">
      <alignment horizontal="center" vertical="center"/>
    </xf>
    <xf numFmtId="16" fontId="11" fillId="5" borderId="9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/>
    </xf>
    <xf numFmtId="0" fontId="8" fillId="8" borderId="4" xfId="0" applyFont="1" applyFill="1" applyBorder="1" applyAlignment="1">
      <alignment horizontal="left"/>
    </xf>
    <xf numFmtId="0" fontId="8" fillId="8" borderId="5" xfId="0" applyFont="1" applyFill="1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2" fillId="6" borderId="57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58" xfId="0" applyFont="1" applyFill="1" applyBorder="1" applyAlignment="1">
      <alignment horizontal="center" vertical="center" wrapText="1"/>
    </xf>
    <xf numFmtId="16" fontId="11" fillId="49" borderId="9" xfId="0" applyNumberFormat="1" applyFont="1" applyFill="1" applyBorder="1" applyAlignment="1">
      <alignment horizontal="center" vertical="center"/>
    </xf>
    <xf numFmtId="16" fontId="11" fillId="51" borderId="9" xfId="0" applyNumberFormat="1" applyFont="1" applyFill="1" applyBorder="1" applyAlignment="1">
      <alignment horizontal="center" vertical="center"/>
    </xf>
    <xf numFmtId="16" fontId="11" fillId="52" borderId="9" xfId="0" applyNumberFormat="1" applyFont="1" applyFill="1" applyBorder="1" applyAlignment="1">
      <alignment horizontal="center" vertical="center"/>
    </xf>
    <xf numFmtId="16" fontId="11" fillId="53" borderId="9" xfId="0" applyNumberFormat="1" applyFont="1" applyFill="1" applyBorder="1" applyAlignment="1">
      <alignment horizontal="center" vertical="center"/>
    </xf>
    <xf numFmtId="0" fontId="0" fillId="5" borderId="9" xfId="0" applyFill="1" applyBorder="1"/>
    <xf numFmtId="0" fontId="0" fillId="5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16" xfId="0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0" fontId="0" fillId="0" borderId="59" xfId="0" applyBorder="1"/>
    <xf numFmtId="0" fontId="0" fillId="0" borderId="9" xfId="0" applyBorder="1" applyAlignment="1">
      <alignment vertical="top" wrapText="1"/>
    </xf>
    <xf numFmtId="16" fontId="11" fillId="5" borderId="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2" fillId="55" borderId="61" xfId="0" applyFont="1" applyFill="1" applyBorder="1" applyAlignment="1">
      <alignment horizontal="center" vertical="center" wrapText="1"/>
    </xf>
    <xf numFmtId="0" fontId="83" fillId="0" borderId="62" xfId="0" applyFont="1" applyBorder="1" applyAlignment="1">
      <alignment horizontal="center" vertical="center" wrapText="1"/>
    </xf>
    <xf numFmtId="0" fontId="84" fillId="55" borderId="63" xfId="0" applyFont="1" applyFill="1" applyBorder="1" applyAlignment="1">
      <alignment horizontal="center" vertical="center" wrapText="1"/>
    </xf>
    <xf numFmtId="15" fontId="85" fillId="0" borderId="62" xfId="0" applyNumberFormat="1" applyFont="1" applyBorder="1" applyAlignment="1">
      <alignment horizontal="center" vertical="center" wrapText="1"/>
    </xf>
    <xf numFmtId="14" fontId="83" fillId="55" borderId="61" xfId="0" applyNumberFormat="1" applyFont="1" applyFill="1" applyBorder="1" applyAlignment="1">
      <alignment horizontal="center" vertical="center" wrapText="1"/>
    </xf>
    <xf numFmtId="14" fontId="83" fillId="0" borderId="64" xfId="0" applyNumberFormat="1" applyFont="1" applyBorder="1" applyAlignment="1">
      <alignment horizontal="left" vertical="center" wrapText="1"/>
    </xf>
    <xf numFmtId="0" fontId="84" fillId="55" borderId="61" xfId="0" applyFont="1" applyFill="1" applyBorder="1" applyAlignment="1">
      <alignment horizontal="center" vertical="center" wrapText="1"/>
    </xf>
    <xf numFmtId="0" fontId="83" fillId="0" borderId="65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82" fillId="55" borderId="67" xfId="0" applyFont="1" applyFill="1" applyBorder="1" applyAlignment="1">
      <alignment horizontal="center" vertical="center" wrapText="1"/>
    </xf>
    <xf numFmtId="0" fontId="84" fillId="55" borderId="71" xfId="0" applyFont="1" applyFill="1" applyBorder="1" applyAlignment="1">
      <alignment horizontal="center" vertical="center" wrapText="1"/>
    </xf>
    <xf numFmtId="14" fontId="83" fillId="0" borderId="65" xfId="0" applyNumberFormat="1" applyFont="1" applyBorder="1" applyAlignment="1">
      <alignment horizontal="left" vertical="center" wrapText="1"/>
    </xf>
    <xf numFmtId="0" fontId="84" fillId="55" borderId="67" xfId="0" applyFont="1" applyFill="1" applyBorder="1" applyAlignment="1">
      <alignment horizontal="center" vertical="center" wrapText="1"/>
    </xf>
    <xf numFmtId="0" fontId="81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82" fillId="55" borderId="9" xfId="0" applyFont="1" applyFill="1" applyBorder="1" applyAlignment="1">
      <alignment horizontal="center" vertical="center" wrapText="1"/>
    </xf>
    <xf numFmtId="15" fontId="82" fillId="55" borderId="9" xfId="0" applyNumberFormat="1" applyFont="1" applyFill="1" applyBorder="1" applyAlignment="1">
      <alignment horizontal="center" vertical="center" wrapText="1"/>
    </xf>
    <xf numFmtId="0" fontId="87" fillId="0" borderId="9" xfId="0" applyFont="1" applyBorder="1" applyAlignment="1">
      <alignment horizontal="left" vertical="center" wrapText="1"/>
    </xf>
    <xf numFmtId="0" fontId="61" fillId="0" borderId="9" xfId="0" applyFont="1" applyBorder="1" applyAlignment="1">
      <alignment horizontal="center" vertical="center" wrapText="1"/>
    </xf>
    <xf numFmtId="168" fontId="61" fillId="0" borderId="9" xfId="0" applyNumberFormat="1" applyFont="1" applyBorder="1" applyAlignment="1">
      <alignment horizontal="center" vertical="center" wrapText="1"/>
    </xf>
    <xf numFmtId="168" fontId="88" fillId="0" borderId="9" xfId="0" applyNumberFormat="1" applyFont="1" applyBorder="1" applyAlignment="1">
      <alignment horizontal="center" vertical="center" wrapText="1"/>
    </xf>
    <xf numFmtId="0" fontId="74" fillId="5" borderId="9" xfId="0" applyFont="1" applyFill="1" applyBorder="1" applyAlignment="1">
      <alignment horizontal="center" vertical="center" wrapText="1"/>
    </xf>
    <xf numFmtId="168" fontId="74" fillId="56" borderId="9" xfId="0" applyNumberFormat="1" applyFont="1" applyFill="1" applyBorder="1" applyAlignment="1">
      <alignment horizontal="center" vertical="center" wrapText="1"/>
    </xf>
    <xf numFmtId="0" fontId="74" fillId="0" borderId="9" xfId="0" applyFont="1" applyBorder="1" applyAlignment="1">
      <alignment horizontal="center" vertical="center" wrapText="1"/>
    </xf>
    <xf numFmtId="0" fontId="87" fillId="0" borderId="9" xfId="0" applyFont="1" applyBorder="1" applyAlignment="1">
      <alignment horizontal="left" wrapText="1"/>
    </xf>
    <xf numFmtId="168" fontId="61" fillId="0" borderId="9" xfId="0" applyNumberFormat="1" applyFont="1" applyBorder="1" applyAlignment="1">
      <alignment horizontal="center" wrapText="1"/>
    </xf>
    <xf numFmtId="0" fontId="90" fillId="55" borderId="9" xfId="0" applyFont="1" applyFill="1" applyBorder="1" applyAlignment="1">
      <alignment horizontal="center" vertical="center" wrapText="1"/>
    </xf>
    <xf numFmtId="0" fontId="61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center" vertical="center" wrapText="1"/>
    </xf>
    <xf numFmtId="0" fontId="92" fillId="57" borderId="9" xfId="0" applyFont="1" applyFill="1" applyBorder="1" applyAlignment="1">
      <alignment horizontal="center" vertical="center" wrapText="1"/>
    </xf>
    <xf numFmtId="0" fontId="93" fillId="0" borderId="9" xfId="0" applyFont="1" applyBorder="1" applyAlignment="1">
      <alignment horizontal="center" vertical="center" wrapText="1"/>
    </xf>
    <xf numFmtId="0" fontId="91" fillId="58" borderId="9" xfId="0" applyFont="1" applyFill="1" applyBorder="1" applyAlignment="1">
      <alignment horizontal="center" vertical="center" wrapText="1"/>
    </xf>
    <xf numFmtId="0" fontId="84" fillId="0" borderId="9" xfId="0" applyFont="1" applyBorder="1" applyAlignment="1">
      <alignment horizontal="left" vertical="center" wrapText="1"/>
    </xf>
    <xf numFmtId="0" fontId="94" fillId="0" borderId="9" xfId="0" applyFont="1" applyBorder="1" applyAlignment="1">
      <alignment horizontal="center" vertical="center" wrapText="1"/>
    </xf>
    <xf numFmtId="0" fontId="60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95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57" borderId="56" xfId="0" applyFont="1" applyFill="1" applyBorder="1" applyAlignment="1">
      <alignment vertical="center"/>
    </xf>
    <xf numFmtId="0" fontId="9" fillId="57" borderId="58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" fillId="6" borderId="56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22" xfId="224" applyFont="1" applyFill="1" applyBorder="1" applyAlignment="1">
      <alignment horizontal="center" vertical="center" wrapText="1"/>
    </xf>
    <xf numFmtId="0" fontId="2" fillId="6" borderId="75" xfId="224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2" fillId="49" borderId="9" xfId="0" applyFont="1" applyFill="1" applyBorder="1" applyAlignment="1">
      <alignment horizontal="center" vertical="center"/>
    </xf>
    <xf numFmtId="195" fontId="2" fillId="49" borderId="9" xfId="0" applyNumberFormat="1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center" vertical="center"/>
    </xf>
    <xf numFmtId="44" fontId="2" fillId="49" borderId="9" xfId="5" applyFont="1" applyFill="1" applyBorder="1" applyAlignment="1">
      <alignment horizontal="center" vertical="center"/>
    </xf>
    <xf numFmtId="44" fontId="2" fillId="0" borderId="9" xfId="5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9" xfId="0" quotePrefix="1" applyBorder="1" applyAlignment="1">
      <alignment horizontal="center" vertical="center"/>
    </xf>
    <xf numFmtId="16" fontId="0" fillId="0" borderId="9" xfId="0" quotePrefix="1" applyNumberFormat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68" fontId="0" fillId="5" borderId="14" xfId="0" applyNumberFormat="1" applyFill="1" applyBorder="1" applyAlignment="1">
      <alignment horizontal="center" vertical="center"/>
    </xf>
    <xf numFmtId="0" fontId="2" fillId="5" borderId="14" xfId="224" applyFont="1" applyFill="1" applyBorder="1" applyAlignment="1">
      <alignment horizontal="center" vertical="center" wrapText="1"/>
    </xf>
    <xf numFmtId="14" fontId="0" fillId="5" borderId="14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left" vertical="center"/>
    </xf>
    <xf numFmtId="168" fontId="0" fillId="5" borderId="9" xfId="0" applyNumberFormat="1" applyFill="1" applyBorder="1" applyAlignment="1">
      <alignment horizontal="center" vertical="center"/>
    </xf>
    <xf numFmtId="0" fontId="2" fillId="5" borderId="9" xfId="224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/>
    </xf>
    <xf numFmtId="16" fontId="11" fillId="0" borderId="14" xfId="0" applyNumberFormat="1" applyFont="1" applyBorder="1" applyAlignment="1">
      <alignment horizontal="center" vertical="center"/>
    </xf>
    <xf numFmtId="197" fontId="96" fillId="0" borderId="9" xfId="230" applyNumberFormat="1" applyFont="1" applyBorder="1" applyAlignment="1">
      <alignment horizontal="center" vertical="center" wrapText="1"/>
    </xf>
    <xf numFmtId="0" fontId="0" fillId="50" borderId="9" xfId="0" applyFill="1" applyBorder="1"/>
    <xf numFmtId="0" fontId="2" fillId="0" borderId="9" xfId="0" applyFont="1" applyBorder="1" applyAlignment="1">
      <alignment horizontal="center"/>
    </xf>
    <xf numFmtId="0" fontId="0" fillId="59" borderId="9" xfId="0" applyFill="1" applyBorder="1"/>
    <xf numFmtId="0" fontId="3" fillId="5" borderId="9" xfId="2" applyFill="1" applyBorder="1"/>
    <xf numFmtId="0" fontId="3" fillId="0" borderId="9" xfId="2" applyBorder="1"/>
    <xf numFmtId="0" fontId="3" fillId="52" borderId="9" xfId="2" applyFill="1" applyBorder="1"/>
    <xf numFmtId="0" fontId="3" fillId="5" borderId="9" xfId="2" applyFill="1" applyBorder="1" applyAlignment="1">
      <alignment horizontal="left"/>
    </xf>
    <xf numFmtId="0" fontId="3" fillId="0" borderId="9" xfId="2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16" fontId="11" fillId="0" borderId="19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66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67" fillId="47" borderId="42" xfId="1" applyFont="1" applyFill="1" applyBorder="1" applyAlignment="1">
      <alignment horizontal="left" vertical="center"/>
    </xf>
    <xf numFmtId="0" fontId="67" fillId="47" borderId="42" xfId="0" applyFont="1" applyFill="1" applyBorder="1" applyAlignment="1">
      <alignment vertical="center"/>
    </xf>
    <xf numFmtId="0" fontId="69" fillId="47" borderId="42" xfId="0" applyFont="1" applyFill="1" applyBorder="1" applyAlignment="1">
      <alignment horizontal="left"/>
    </xf>
    <xf numFmtId="0" fontId="68" fillId="47" borderId="42" xfId="0" applyFont="1" applyFill="1" applyBorder="1" applyAlignment="1">
      <alignment vertical="center"/>
    </xf>
    <xf numFmtId="0" fontId="74" fillId="5" borderId="0" xfId="0" applyFont="1" applyFill="1" applyAlignment="1">
      <alignment vertical="center"/>
    </xf>
    <xf numFmtId="0" fontId="74" fillId="5" borderId="8" xfId="0" applyFont="1" applyFill="1" applyBorder="1" applyAlignment="1">
      <alignment vertical="center"/>
    </xf>
    <xf numFmtId="0" fontId="64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76" fillId="0" borderId="9" xfId="1" applyFont="1" applyBorder="1" applyAlignment="1">
      <alignment vertical="center"/>
    </xf>
    <xf numFmtId="0" fontId="76" fillId="0" borderId="19" xfId="1" applyFont="1" applyBorder="1" applyAlignment="1">
      <alignment vertical="center"/>
    </xf>
    <xf numFmtId="0" fontId="65" fillId="47" borderId="2" xfId="0" applyFont="1" applyFill="1" applyBorder="1" applyAlignment="1">
      <alignment vertical="center"/>
    </xf>
    <xf numFmtId="0" fontId="71" fillId="47" borderId="9" xfId="0" applyFont="1" applyFill="1" applyBorder="1" applyAlignment="1">
      <alignment vertical="center"/>
    </xf>
    <xf numFmtId="0" fontId="69" fillId="47" borderId="42" xfId="0" applyFont="1" applyFill="1" applyBorder="1" applyAlignment="1">
      <alignment vertical="center"/>
    </xf>
    <xf numFmtId="0" fontId="73" fillId="48" borderId="2" xfId="1" applyFont="1" applyFill="1" applyBorder="1" applyAlignment="1">
      <alignment vertical="center"/>
    </xf>
    <xf numFmtId="0" fontId="73" fillId="48" borderId="6" xfId="1" applyFont="1" applyFill="1" applyBorder="1" applyAlignment="1">
      <alignment vertical="center"/>
    </xf>
    <xf numFmtId="0" fontId="73" fillId="48" borderId="42" xfId="1" applyFont="1" applyFill="1" applyBorder="1" applyAlignment="1">
      <alignment vertical="center"/>
    </xf>
    <xf numFmtId="0" fontId="73" fillId="48" borderId="43" xfId="1" applyFont="1" applyFill="1" applyBorder="1" applyAlignment="1">
      <alignment vertical="center"/>
    </xf>
    <xf numFmtId="0" fontId="76" fillId="0" borderId="14" xfId="1" applyFont="1" applyBorder="1" applyAlignment="1">
      <alignment horizontal="center" vertical="center" wrapText="1"/>
    </xf>
    <xf numFmtId="0" fontId="76" fillId="0" borderId="14" xfId="1" applyFont="1" applyBorder="1" applyAlignment="1">
      <alignment vertical="center"/>
    </xf>
    <xf numFmtId="0" fontId="76" fillId="0" borderId="9" xfId="1" applyFont="1" applyBorder="1" applyAlignment="1">
      <alignment horizontal="center" vertical="center" wrapText="1"/>
    </xf>
    <xf numFmtId="0" fontId="76" fillId="0" borderId="19" xfId="1" applyFont="1" applyBorder="1" applyAlignment="1">
      <alignment horizontal="center" vertical="center" wrapText="1"/>
    </xf>
    <xf numFmtId="0" fontId="70" fillId="0" borderId="42" xfId="0" applyFont="1" applyBorder="1" applyAlignment="1">
      <alignment horizontal="center" vertical="center"/>
    </xf>
    <xf numFmtId="0" fontId="76" fillId="0" borderId="42" xfId="1" applyFont="1" applyBorder="1" applyAlignment="1">
      <alignment horizontal="center" vertical="center"/>
    </xf>
    <xf numFmtId="0" fontId="64" fillId="0" borderId="49" xfId="0" applyFont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0" borderId="50" xfId="0" applyFont="1" applyBorder="1" applyAlignment="1">
      <alignment horizontal="center" vertical="center"/>
    </xf>
    <xf numFmtId="1" fontId="64" fillId="0" borderId="50" xfId="0" applyNumberFormat="1" applyFont="1" applyBorder="1" applyAlignment="1">
      <alignment horizontal="center" vertical="center"/>
    </xf>
    <xf numFmtId="1" fontId="64" fillId="50" borderId="50" xfId="0" applyNumberFormat="1" applyFont="1" applyFill="1" applyBorder="1" applyAlignment="1">
      <alignment horizontal="center" vertical="center"/>
    </xf>
    <xf numFmtId="0" fontId="64" fillId="0" borderId="51" xfId="0" applyFont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49" borderId="51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64" fillId="59" borderId="49" xfId="0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0" fontId="64" fillId="59" borderId="51" xfId="0" applyFont="1" applyFill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1" fontId="98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0" fontId="64" fillId="5" borderId="0" xfId="0" applyFont="1" applyFill="1" applyAlignment="1">
      <alignment horizontal="center" vertical="center"/>
    </xf>
    <xf numFmtId="1" fontId="64" fillId="49" borderId="50" xfId="0" applyNumberFormat="1" applyFont="1" applyFill="1" applyBorder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/>
    </xf>
    <xf numFmtId="1" fontId="64" fillId="50" borderId="51" xfId="0" applyNumberFormat="1" applyFont="1" applyFill="1" applyBorder="1" applyAlignment="1">
      <alignment horizontal="center" vertical="center"/>
    </xf>
    <xf numFmtId="0" fontId="78" fillId="0" borderId="9" xfId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left" vertical="center" wrapText="1"/>
    </xf>
    <xf numFmtId="0" fontId="64" fillId="5" borderId="7" xfId="0" applyFont="1" applyFill="1" applyBorder="1" applyAlignment="1">
      <alignment horizontal="center" vertical="center"/>
    </xf>
    <xf numFmtId="0" fontId="103" fillId="0" borderId="0" xfId="0" applyFont="1"/>
    <xf numFmtId="0" fontId="108" fillId="4" borderId="0" xfId="2" applyFont="1" applyFill="1" applyAlignment="1">
      <alignment vertical="center"/>
    </xf>
    <xf numFmtId="0" fontId="108" fillId="4" borderId="0" xfId="2" applyFont="1" applyFill="1" applyAlignment="1">
      <alignment horizontal="center" vertical="center" wrapText="1"/>
    </xf>
    <xf numFmtId="0" fontId="106" fillId="4" borderId="0" xfId="2" applyFont="1" applyFill="1" applyAlignment="1">
      <alignment horizontal="center" vertical="center" wrapText="1"/>
    </xf>
    <xf numFmtId="4" fontId="108" fillId="4" borderId="0" xfId="2" applyNumberFormat="1" applyFont="1" applyFill="1" applyAlignment="1">
      <alignment horizontal="center" vertical="center" wrapText="1"/>
    </xf>
    <xf numFmtId="0" fontId="97" fillId="4" borderId="9" xfId="2" applyFont="1" applyFill="1" applyBorder="1" applyAlignment="1">
      <alignment horizontal="left" vertical="center" wrapText="1"/>
    </xf>
    <xf numFmtId="168" fontId="97" fillId="0" borderId="9" xfId="229" applyNumberFormat="1" applyFont="1" applyFill="1" applyBorder="1" applyAlignment="1">
      <alignment horizontal="center" vertical="center" wrapText="1"/>
    </xf>
    <xf numFmtId="0" fontId="97" fillId="0" borderId="9" xfId="229" applyNumberFormat="1" applyFont="1" applyFill="1" applyBorder="1" applyAlignment="1">
      <alignment horizontal="center" vertical="center" wrapText="1"/>
    </xf>
    <xf numFmtId="168" fontId="4" fillId="0" borderId="9" xfId="229" applyNumberFormat="1" applyFont="1" applyFill="1" applyBorder="1" applyAlignment="1">
      <alignment horizontal="center" vertical="center" wrapText="1"/>
    </xf>
    <xf numFmtId="167" fontId="108" fillId="4" borderId="0" xfId="2" applyNumberFormat="1" applyFont="1" applyFill="1" applyAlignment="1">
      <alignment horizontal="center" vertical="center" wrapText="1"/>
    </xf>
    <xf numFmtId="0" fontId="97" fillId="5" borderId="9" xfId="2" applyFont="1" applyFill="1" applyBorder="1" applyAlignment="1">
      <alignment horizontal="left" vertical="center" wrapText="1"/>
    </xf>
    <xf numFmtId="168" fontId="97" fillId="5" borderId="9" xfId="229" applyNumberFormat="1" applyFont="1" applyFill="1" applyBorder="1" applyAlignment="1">
      <alignment horizontal="center" vertical="center" wrapText="1"/>
    </xf>
    <xf numFmtId="0" fontId="97" fillId="5" borderId="9" xfId="229" applyNumberFormat="1" applyFont="1" applyFill="1" applyBorder="1" applyAlignment="1">
      <alignment horizontal="center" vertical="center" wrapText="1"/>
    </xf>
    <xf numFmtId="168" fontId="4" fillId="5" borderId="9" xfId="229" applyNumberFormat="1" applyFont="1" applyFill="1" applyBorder="1" applyAlignment="1">
      <alignment horizontal="center" vertical="center" wrapText="1"/>
    </xf>
    <xf numFmtId="167" fontId="108" fillId="5" borderId="0" xfId="2" applyNumberFormat="1" applyFont="1" applyFill="1" applyAlignment="1">
      <alignment horizontal="center" vertical="center" wrapText="1"/>
    </xf>
    <xf numFmtId="0" fontId="108" fillId="5" borderId="0" xfId="2" applyFont="1" applyFill="1" applyAlignment="1">
      <alignment horizontal="center" vertical="center" wrapText="1"/>
    </xf>
    <xf numFmtId="0" fontId="97" fillId="0" borderId="9" xfId="2" applyFont="1" applyBorder="1" applyAlignment="1">
      <alignment horizontal="left" vertical="center" wrapText="1"/>
    </xf>
    <xf numFmtId="1" fontId="4" fillId="0" borderId="9" xfId="229" applyNumberFormat="1" applyFont="1" applyFill="1" applyBorder="1" applyAlignment="1">
      <alignment horizontal="center" vertical="center" wrapText="1"/>
    </xf>
    <xf numFmtId="1" fontId="4" fillId="5" borderId="9" xfId="229" applyNumberFormat="1" applyFont="1" applyFill="1" applyBorder="1" applyAlignment="1">
      <alignment horizontal="center" vertical="center" wrapText="1"/>
    </xf>
    <xf numFmtId="2" fontId="97" fillId="0" borderId="9" xfId="229" applyNumberFormat="1" applyFont="1" applyFill="1" applyBorder="1" applyAlignment="1">
      <alignment horizontal="center" vertical="center" wrapText="1"/>
    </xf>
    <xf numFmtId="168" fontId="108" fillId="4" borderId="0" xfId="2" applyNumberFormat="1" applyFont="1" applyFill="1" applyAlignment="1">
      <alignment horizontal="center" vertical="center" wrapText="1"/>
    </xf>
    <xf numFmtId="169" fontId="108" fillId="4" borderId="0" xfId="2" applyNumberFormat="1" applyFont="1" applyFill="1" applyAlignment="1">
      <alignment horizontal="center" vertical="center" wrapText="1"/>
    </xf>
    <xf numFmtId="43" fontId="108" fillId="4" borderId="0" xfId="2" applyNumberFormat="1" applyFont="1" applyFill="1" applyAlignment="1">
      <alignment horizontal="center" vertical="center" wrapText="1"/>
    </xf>
    <xf numFmtId="0" fontId="108" fillId="4" borderId="0" xfId="2" applyFont="1" applyFill="1" applyAlignment="1">
      <alignment vertical="center" wrapText="1"/>
    </xf>
    <xf numFmtId="43" fontId="108" fillId="4" borderId="0" xfId="2" applyNumberFormat="1" applyFont="1" applyFill="1" applyAlignment="1">
      <alignment vertical="center" wrapText="1"/>
    </xf>
    <xf numFmtId="0" fontId="108" fillId="4" borderId="0" xfId="2" applyFont="1" applyFill="1" applyAlignment="1">
      <alignment horizontal="center" vertical="center"/>
    </xf>
    <xf numFmtId="1" fontId="97" fillId="5" borderId="9" xfId="229" applyNumberFormat="1" applyFont="1" applyFill="1" applyBorder="1" applyAlignment="1">
      <alignment horizontal="center" vertical="center" wrapText="1"/>
    </xf>
    <xf numFmtId="1" fontId="97" fillId="0" borderId="9" xfId="229" applyNumberFormat="1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/>
    </xf>
    <xf numFmtId="0" fontId="106" fillId="4" borderId="9" xfId="2" applyFont="1" applyFill="1" applyBorder="1" applyAlignment="1">
      <alignment horizontal="center" vertical="center" wrapText="1"/>
    </xf>
    <xf numFmtId="0" fontId="109" fillId="0" borderId="9" xfId="0" applyFont="1" applyBorder="1" applyAlignment="1">
      <alignment vertical="center"/>
    </xf>
    <xf numFmtId="0" fontId="4" fillId="8" borderId="9" xfId="2" applyFont="1" applyFill="1" applyBorder="1" applyAlignment="1">
      <alignment horizontal="center" vertical="center" wrapText="1"/>
    </xf>
    <xf numFmtId="0" fontId="97" fillId="4" borderId="9" xfId="2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left" vertical="center" wrapText="1"/>
    </xf>
    <xf numFmtId="0" fontId="4" fillId="4" borderId="9" xfId="2" applyFont="1" applyFill="1" applyBorder="1" applyAlignment="1">
      <alignment horizontal="left" vertical="center" wrapText="1"/>
    </xf>
    <xf numFmtId="0" fontId="97" fillId="5" borderId="9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left" vertical="center" wrapText="1"/>
    </xf>
    <xf numFmtId="49" fontId="4" fillId="4" borderId="9" xfId="2" quotePrefix="1" applyNumberFormat="1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4" fontId="107" fillId="5" borderId="9" xfId="2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vertical="center" wrapText="1"/>
    </xf>
    <xf numFmtId="196" fontId="9" fillId="8" borderId="5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0" xfId="0" applyFont="1"/>
    <xf numFmtId="14" fontId="110" fillId="6" borderId="9" xfId="0" applyNumberFormat="1" applyFont="1" applyFill="1" applyBorder="1" applyAlignment="1">
      <alignment vertical="center" wrapText="1"/>
    </xf>
    <xf numFmtId="0" fontId="78" fillId="5" borderId="0" xfId="0" applyFont="1" applyFill="1" applyAlignment="1">
      <alignment horizontal="center" vertical="center"/>
    </xf>
    <xf numFmtId="0" fontId="64" fillId="0" borderId="49" xfId="0" applyFont="1" applyBorder="1" applyAlignment="1">
      <alignment vertical="center"/>
    </xf>
    <xf numFmtId="0" fontId="64" fillId="0" borderId="50" xfId="0" applyFont="1" applyBorder="1" applyAlignment="1">
      <alignment vertical="center"/>
    </xf>
    <xf numFmtId="0" fontId="64" fillId="0" borderId="51" xfId="0" applyFont="1" applyBorder="1" applyAlignment="1">
      <alignment vertical="center"/>
    </xf>
    <xf numFmtId="0" fontId="79" fillId="5" borderId="0" xfId="0" applyFont="1" applyFill="1" applyAlignment="1">
      <alignment horizontal="center" vertical="center"/>
    </xf>
    <xf numFmtId="0" fontId="64" fillId="5" borderId="41" xfId="0" applyFont="1" applyFill="1" applyBorder="1" applyAlignment="1">
      <alignment horizontal="center" vertical="center"/>
    </xf>
    <xf numFmtId="0" fontId="64" fillId="5" borderId="42" xfId="0" applyFont="1" applyFill="1" applyBorder="1" applyAlignment="1">
      <alignment horizontal="center" vertical="center"/>
    </xf>
    <xf numFmtId="0" fontId="64" fillId="5" borderId="49" xfId="0" applyFont="1" applyFill="1" applyBorder="1" applyAlignment="1">
      <alignment horizontal="center" vertical="center"/>
    </xf>
    <xf numFmtId="0" fontId="64" fillId="5" borderId="50" xfId="0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0" fontId="64" fillId="5" borderId="51" xfId="0" applyFont="1" applyFill="1" applyBorder="1" applyAlignment="1">
      <alignment horizontal="center" vertical="center"/>
    </xf>
    <xf numFmtId="0" fontId="97" fillId="0" borderId="0" xfId="238" applyFont="1"/>
    <xf numFmtId="0" fontId="97" fillId="0" borderId="0" xfId="238" applyFont="1" applyAlignment="1">
      <alignment horizontal="center" vertical="center"/>
    </xf>
    <xf numFmtId="0" fontId="112" fillId="0" borderId="0" xfId="238" applyFont="1"/>
    <xf numFmtId="0" fontId="112" fillId="0" borderId="0" xfId="238" applyFont="1" applyAlignment="1">
      <alignment vertical="center"/>
    </xf>
    <xf numFmtId="0" fontId="94" fillId="55" borderId="9" xfId="0" applyFont="1" applyFill="1" applyBorder="1" applyAlignment="1">
      <alignment horizontal="center" vertical="center" wrapText="1"/>
    </xf>
    <xf numFmtId="0" fontId="84" fillId="55" borderId="9" xfId="0" applyFont="1" applyFill="1" applyBorder="1" applyAlignment="1">
      <alignment horizontal="center" vertical="center" wrapText="1"/>
    </xf>
    <xf numFmtId="15" fontId="84" fillId="55" borderId="9" xfId="0" applyNumberFormat="1" applyFont="1" applyFill="1" applyBorder="1" applyAlignment="1">
      <alignment horizontal="center" vertical="center" wrapText="1"/>
    </xf>
    <xf numFmtId="168" fontId="74" fillId="0" borderId="9" xfId="0" applyNumberFormat="1" applyFont="1" applyBorder="1" applyAlignment="1">
      <alignment horizontal="center" vertical="center" wrapText="1"/>
    </xf>
    <xf numFmtId="168" fontId="74" fillId="5" borderId="9" xfId="0" applyNumberFormat="1" applyFont="1" applyFill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left" vertical="center" wrapText="1"/>
    </xf>
    <xf numFmtId="0" fontId="83" fillId="0" borderId="9" xfId="0" applyFont="1" applyBorder="1" applyAlignment="1">
      <alignment horizontal="left" vertical="center" wrapText="1"/>
    </xf>
    <xf numFmtId="0" fontId="114" fillId="5" borderId="9" xfId="0" applyFont="1" applyFill="1" applyBorder="1" applyAlignment="1">
      <alignment horizontal="center" vertical="center" wrapText="1"/>
    </xf>
    <xf numFmtId="2" fontId="114" fillId="0" borderId="9" xfId="0" applyNumberFormat="1" applyFont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5" fillId="61" borderId="10" xfId="0" applyFont="1" applyFill="1" applyBorder="1" applyAlignment="1">
      <alignment horizontal="center" vertical="center" wrapText="1"/>
    </xf>
    <xf numFmtId="0" fontId="115" fillId="61" borderId="11" xfId="0" applyFont="1" applyFill="1" applyBorder="1" applyAlignment="1">
      <alignment horizontal="center" vertical="center" wrapText="1"/>
    </xf>
    <xf numFmtId="0" fontId="115" fillId="61" borderId="12" xfId="0" applyFont="1" applyFill="1" applyBorder="1" applyAlignment="1">
      <alignment horizontal="center" vertical="center" wrapText="1"/>
    </xf>
    <xf numFmtId="0" fontId="114" fillId="0" borderId="47" xfId="0" applyFont="1" applyBorder="1" applyAlignment="1">
      <alignment horizontal="center" vertical="center"/>
    </xf>
    <xf numFmtId="0" fontId="114" fillId="0" borderId="48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 wrapText="1"/>
    </xf>
    <xf numFmtId="14" fontId="114" fillId="0" borderId="9" xfId="0" applyNumberFormat="1" applyFont="1" applyBorder="1" applyAlignment="1">
      <alignment horizontal="center" vertical="center"/>
    </xf>
    <xf numFmtId="14" fontId="114" fillId="0" borderId="48" xfId="0" applyNumberFormat="1" applyFont="1" applyBorder="1" applyAlignment="1">
      <alignment horizontal="center" vertical="center"/>
    </xf>
    <xf numFmtId="0" fontId="114" fillId="0" borderId="13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14" xfId="0" applyFont="1" applyBorder="1" applyAlignment="1">
      <alignment horizontal="left" vertical="center" wrapText="1"/>
    </xf>
    <xf numFmtId="0" fontId="114" fillId="0" borderId="9" xfId="0" applyFont="1" applyBorder="1" applyAlignment="1">
      <alignment horizontal="left" vertical="center" wrapText="1"/>
    </xf>
    <xf numFmtId="0" fontId="116" fillId="0" borderId="13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 wrapText="1"/>
    </xf>
    <xf numFmtId="0" fontId="116" fillId="5" borderId="9" xfId="0" applyFont="1" applyFill="1" applyBorder="1" applyAlignment="1">
      <alignment horizontal="center" vertical="center" wrapText="1"/>
    </xf>
    <xf numFmtId="0" fontId="116" fillId="0" borderId="9" xfId="0" applyFont="1" applyBorder="1" applyAlignment="1">
      <alignment horizontal="left" vertical="center" wrapText="1"/>
    </xf>
    <xf numFmtId="14" fontId="116" fillId="0" borderId="9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168" fontId="2" fillId="6" borderId="9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0" xfId="0" applyFont="1" applyFill="1" applyAlignment="1">
      <alignment horizontal="center" vertical="center" textRotation="90" wrapText="1"/>
    </xf>
    <xf numFmtId="0" fontId="119" fillId="0" borderId="9" xfId="0" applyFont="1" applyBorder="1" applyAlignment="1">
      <alignment horizontal="center" vertical="center"/>
    </xf>
    <xf numFmtId="0" fontId="114" fillId="62" borderId="13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 wrapText="1"/>
    </xf>
    <xf numFmtId="0" fontId="114" fillId="62" borderId="9" xfId="0" applyFont="1" applyFill="1" applyBorder="1" applyAlignment="1">
      <alignment horizontal="left" vertical="center" wrapText="1"/>
    </xf>
    <xf numFmtId="14" fontId="114" fillId="62" borderId="9" xfId="0" applyNumberFormat="1" applyFont="1" applyFill="1" applyBorder="1" applyAlignment="1">
      <alignment horizontal="center" vertical="center"/>
    </xf>
    <xf numFmtId="0" fontId="0" fillId="50" borderId="13" xfId="0" applyFill="1" applyBorder="1" applyAlignment="1">
      <alignment horizontal="center"/>
    </xf>
    <xf numFmtId="0" fontId="0" fillId="50" borderId="15" xfId="0" applyFill="1" applyBorder="1"/>
    <xf numFmtId="0" fontId="0" fillId="0" borderId="13" xfId="0" applyBorder="1" applyAlignment="1">
      <alignment horizontal="center"/>
    </xf>
    <xf numFmtId="0" fontId="0" fillId="0" borderId="15" xfId="0" applyBorder="1"/>
    <xf numFmtId="0" fontId="0" fillId="0" borderId="18" xfId="0" applyBorder="1" applyAlignment="1">
      <alignment horizontal="center"/>
    </xf>
    <xf numFmtId="0" fontId="0" fillId="0" borderId="20" xfId="0" applyBorder="1"/>
    <xf numFmtId="0" fontId="0" fillId="50" borderId="25" xfId="0" applyFill="1" applyBorder="1" applyAlignment="1">
      <alignment horizontal="center"/>
    </xf>
    <xf numFmtId="0" fontId="0" fillId="50" borderId="26" xfId="0" applyFill="1" applyBorder="1"/>
    <xf numFmtId="0" fontId="74" fillId="0" borderId="5" xfId="0" applyFont="1" applyBorder="1" applyAlignment="1">
      <alignment horizontal="center"/>
    </xf>
    <xf numFmtId="0" fontId="74" fillId="0" borderId="75" xfId="0" applyFont="1" applyBorder="1" applyAlignment="1">
      <alignment horizontal="center"/>
    </xf>
    <xf numFmtId="0" fontId="64" fillId="0" borderId="3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2" fillId="50" borderId="26" xfId="0" applyFont="1" applyFill="1" applyBorder="1"/>
    <xf numFmtId="0" fontId="121" fillId="49" borderId="0" xfId="0" applyFont="1" applyFill="1" applyAlignment="1">
      <alignment horizontal="center" vertical="center"/>
    </xf>
    <xf numFmtId="0" fontId="122" fillId="0" borderId="13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 wrapText="1"/>
    </xf>
    <xf numFmtId="0" fontId="122" fillId="0" borderId="9" xfId="0" applyFont="1" applyBorder="1" applyAlignment="1">
      <alignment horizontal="left" vertical="center" wrapText="1"/>
    </xf>
    <xf numFmtId="14" fontId="122" fillId="0" borderId="9" xfId="0" applyNumberFormat="1" applyFont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 wrapText="1"/>
    </xf>
    <xf numFmtId="0" fontId="62" fillId="0" borderId="9" xfId="0" applyFont="1" applyBorder="1" applyAlignment="1">
      <alignment horizontal="left" wrapText="1"/>
    </xf>
    <xf numFmtId="0" fontId="62" fillId="62" borderId="9" xfId="0" applyFont="1" applyFill="1" applyBorder="1" applyAlignment="1">
      <alignment horizontal="left" wrapText="1"/>
    </xf>
    <xf numFmtId="0" fontId="62" fillId="0" borderId="9" xfId="0" applyFont="1" applyBorder="1" applyAlignment="1">
      <alignment horizontal="left" vertical="center" wrapText="1"/>
    </xf>
    <xf numFmtId="0" fontId="117" fillId="0" borderId="9" xfId="0" applyFont="1" applyBorder="1" applyAlignment="1">
      <alignment horizontal="left" wrapText="1"/>
    </xf>
    <xf numFmtId="0" fontId="97" fillId="0" borderId="0" xfId="238" applyFont="1" applyAlignment="1">
      <alignment wrapText="1"/>
    </xf>
    <xf numFmtId="0" fontId="15" fillId="46" borderId="9" xfId="0" applyFont="1" applyFill="1" applyBorder="1" applyAlignment="1">
      <alignment horizontal="center" vertical="center" wrapText="1"/>
    </xf>
    <xf numFmtId="0" fontId="123" fillId="62" borderId="9" xfId="0" applyFont="1" applyFill="1" applyBorder="1" applyAlignment="1">
      <alignment vertical="center"/>
    </xf>
    <xf numFmtId="168" fontId="124" fillId="62" borderId="9" xfId="0" applyNumberFormat="1" applyFont="1" applyFill="1" applyBorder="1" applyAlignment="1">
      <alignment horizontal="center" vertical="center"/>
    </xf>
    <xf numFmtId="168" fontId="123" fillId="62" borderId="9" xfId="0" applyNumberFormat="1" applyFont="1" applyFill="1" applyBorder="1" applyAlignment="1">
      <alignment horizontal="center" vertical="center"/>
    </xf>
    <xf numFmtId="168" fontId="7" fillId="0" borderId="0" xfId="0" applyNumberFormat="1" applyFont="1"/>
    <xf numFmtId="0" fontId="124" fillId="62" borderId="9" xfId="0" applyFont="1" applyFill="1" applyBorder="1" applyAlignment="1">
      <alignment vertical="center"/>
    </xf>
    <xf numFmtId="168" fontId="124" fillId="0" borderId="9" xfId="0" applyNumberFormat="1" applyFont="1" applyBorder="1" applyAlignment="1">
      <alignment horizontal="center" vertical="center"/>
    </xf>
    <xf numFmtId="168" fontId="63" fillId="49" borderId="9" xfId="0" applyNumberFormat="1" applyFont="1" applyFill="1" applyBorder="1" applyAlignment="1">
      <alignment horizontal="center" vertical="center"/>
    </xf>
    <xf numFmtId="0" fontId="123" fillId="0" borderId="0" xfId="0" applyFont="1"/>
    <xf numFmtId="0" fontId="63" fillId="7" borderId="9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123" fillId="0" borderId="9" xfId="0" applyFont="1" applyBorder="1" applyAlignment="1">
      <alignment horizontal="center" vertical="center"/>
    </xf>
    <xf numFmtId="0" fontId="123" fillId="0" borderId="9" xfId="0" applyFont="1" applyBorder="1" applyAlignment="1">
      <alignment horizontal="left" vertical="center"/>
    </xf>
    <xf numFmtId="168" fontId="123" fillId="0" borderId="9" xfId="0" applyNumberFormat="1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168" fontId="123" fillId="0" borderId="0" xfId="0" applyNumberFormat="1" applyFont="1" applyAlignment="1">
      <alignment horizontal="center" vertical="center"/>
    </xf>
    <xf numFmtId="195" fontId="123" fillId="0" borderId="0" xfId="0" applyNumberFormat="1" applyFont="1" applyAlignment="1">
      <alignment horizontal="center" vertical="center"/>
    </xf>
    <xf numFmtId="0" fontId="123" fillId="5" borderId="0" xfId="0" applyFont="1" applyFill="1"/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center" vertical="center" wrapText="1"/>
    </xf>
    <xf numFmtId="0" fontId="7" fillId="49" borderId="9" xfId="0" applyFont="1" applyFill="1" applyBorder="1" applyAlignment="1">
      <alignment horizontal="center" vertical="center"/>
    </xf>
    <xf numFmtId="14" fontId="7" fillId="49" borderId="9" xfId="0" applyNumberFormat="1" applyFont="1" applyFill="1" applyBorder="1" applyAlignment="1">
      <alignment horizontal="center" vertical="center"/>
    </xf>
    <xf numFmtId="0" fontId="8" fillId="62" borderId="9" xfId="0" applyFont="1" applyFill="1" applyBorder="1" applyAlignment="1">
      <alignment horizontal="center" vertical="center" wrapText="1"/>
    </xf>
    <xf numFmtId="0" fontId="8" fillId="62" borderId="9" xfId="0" applyFont="1" applyFill="1" applyBorder="1" applyAlignment="1">
      <alignment horizontal="center" vertical="center"/>
    </xf>
    <xf numFmtId="14" fontId="8" fillId="62" borderId="9" xfId="0" applyNumberFormat="1" applyFont="1" applyFill="1" applyBorder="1" applyAlignment="1">
      <alignment horizontal="center" vertical="center"/>
    </xf>
    <xf numFmtId="0" fontId="111" fillId="0" borderId="9" xfId="0" applyFont="1" applyBorder="1" applyAlignment="1">
      <alignment horizontal="center" vertical="center" wrapText="1"/>
    </xf>
    <xf numFmtId="0" fontId="111" fillId="0" borderId="9" xfId="0" applyFont="1" applyBorder="1" applyAlignment="1">
      <alignment horizontal="center" vertical="center"/>
    </xf>
    <xf numFmtId="14" fontId="111" fillId="0" borderId="9" xfId="0" applyNumberFormat="1" applyFont="1" applyBorder="1" applyAlignment="1">
      <alignment horizontal="center" vertical="center"/>
    </xf>
    <xf numFmtId="0" fontId="7" fillId="49" borderId="9" xfId="0" applyFont="1" applyFill="1" applyBorder="1" applyAlignment="1">
      <alignment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20" fillId="62" borderId="9" xfId="0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left" vertical="center" wrapText="1"/>
    </xf>
    <xf numFmtId="0" fontId="112" fillId="62" borderId="9" xfId="238" applyFont="1" applyFill="1" applyBorder="1" applyAlignment="1">
      <alignment horizontal="left" vertical="center"/>
    </xf>
    <xf numFmtId="0" fontId="7" fillId="62" borderId="9" xfId="0" applyFont="1" applyFill="1" applyBorder="1" applyAlignment="1">
      <alignment vertical="center"/>
    </xf>
    <xf numFmtId="0" fontId="111" fillId="49" borderId="9" xfId="0" applyFont="1" applyFill="1" applyBorder="1" applyAlignment="1">
      <alignment vertical="center"/>
    </xf>
    <xf numFmtId="0" fontId="8" fillId="62" borderId="9" xfId="238" applyFont="1" applyFill="1" applyBorder="1" applyAlignment="1">
      <alignment horizontal="left" vertical="center"/>
    </xf>
    <xf numFmtId="0" fontId="8" fillId="62" borderId="9" xfId="0" applyFont="1" applyFill="1" applyBorder="1" applyAlignment="1">
      <alignment vertical="center"/>
    </xf>
    <xf numFmtId="0" fontId="111" fillId="0" borderId="9" xfId="0" applyFont="1" applyBorder="1" applyAlignment="1">
      <alignment horizontal="left" vertical="center" wrapText="1"/>
    </xf>
    <xf numFmtId="0" fontId="111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62" borderId="9" xfId="0" applyFont="1" applyFill="1" applyBorder="1" applyAlignment="1">
      <alignment horizontal="left" vertical="center"/>
    </xf>
    <xf numFmtId="0" fontId="123" fillId="0" borderId="0" xfId="0" applyFont="1" applyAlignment="1">
      <alignment vertical="center"/>
    </xf>
    <xf numFmtId="0" fontId="63" fillId="6" borderId="9" xfId="0" applyFont="1" applyFill="1" applyBorder="1" applyAlignment="1">
      <alignment horizontal="center" vertical="center" wrapText="1"/>
    </xf>
    <xf numFmtId="168" fontId="63" fillId="6" borderId="9" xfId="0" applyNumberFormat="1" applyFont="1" applyFill="1" applyBorder="1" applyAlignment="1">
      <alignment horizontal="center" vertical="center" wrapText="1"/>
    </xf>
    <xf numFmtId="0" fontId="123" fillId="5" borderId="0" xfId="0" applyFont="1" applyFill="1" applyAlignment="1">
      <alignment vertical="center"/>
    </xf>
    <xf numFmtId="0" fontId="123" fillId="0" borderId="0" xfId="0" applyFont="1" applyAlignment="1">
      <alignment horizontal="center" vertical="center" wrapText="1"/>
    </xf>
    <xf numFmtId="16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/>
    </xf>
    <xf numFmtId="2" fontId="124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 wrapText="1"/>
    </xf>
    <xf numFmtId="0" fontId="123" fillId="5" borderId="0" xfId="0" applyFont="1" applyFill="1" applyAlignment="1">
      <alignment horizontal="left" vertical="center"/>
    </xf>
    <xf numFmtId="15" fontId="123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vertical="center"/>
    </xf>
    <xf numFmtId="0" fontId="127" fillId="5" borderId="0" xfId="0" applyFont="1" applyFill="1" applyAlignment="1">
      <alignment horizontal="left" vertical="center" wrapText="1"/>
    </xf>
    <xf numFmtId="15" fontId="123" fillId="5" borderId="0" xfId="0" applyNumberFormat="1" applyFont="1" applyFill="1" applyAlignment="1">
      <alignment horizontal="center" vertical="center" wrapText="1"/>
    </xf>
    <xf numFmtId="14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left" vertical="center" wrapText="1"/>
    </xf>
    <xf numFmtId="16" fontId="127" fillId="0" borderId="0" xfId="0" applyNumberFormat="1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14" fontId="127" fillId="0" borderId="0" xfId="0" applyNumberFormat="1" applyFont="1" applyAlignment="1">
      <alignment horizontal="center" vertical="center"/>
    </xf>
    <xf numFmtId="15" fontId="127" fillId="5" borderId="0" xfId="0" applyNumberFormat="1" applyFont="1" applyFill="1" applyAlignment="1">
      <alignment horizontal="center" vertical="center" wrapText="1"/>
    </xf>
    <xf numFmtId="16" fontId="127" fillId="60" borderId="0" xfId="0" applyNumberFormat="1" applyFont="1" applyFill="1" applyAlignment="1">
      <alignment horizontal="center" vertical="center"/>
    </xf>
    <xf numFmtId="2" fontId="124" fillId="0" borderId="0" xfId="0" applyNumberFormat="1" applyFont="1" applyAlignment="1">
      <alignment horizontal="center" vertical="center" wrapText="1"/>
    </xf>
    <xf numFmtId="0" fontId="123" fillId="5" borderId="0" xfId="0" applyFont="1" applyFill="1" applyAlignment="1">
      <alignment horizontal="center" vertical="center"/>
    </xf>
    <xf numFmtId="14" fontId="125" fillId="6" borderId="9" xfId="0" applyNumberFormat="1" applyFont="1" applyFill="1" applyBorder="1" applyAlignment="1">
      <alignment horizontal="center" vertical="center" wrapText="1"/>
    </xf>
    <xf numFmtId="14" fontId="123" fillId="0" borderId="0" xfId="0" applyNumberFormat="1" applyFont="1" applyAlignment="1">
      <alignment horizontal="center" vertical="center"/>
    </xf>
    <xf numFmtId="15" fontId="123" fillId="0" borderId="0" xfId="0" applyNumberFormat="1" applyFont="1" applyAlignment="1">
      <alignment horizontal="center" vertical="center"/>
    </xf>
    <xf numFmtId="14" fontId="127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left" vertical="center"/>
    </xf>
    <xf numFmtId="0" fontId="127" fillId="0" borderId="0" xfId="0" applyFont="1" applyAlignment="1">
      <alignment horizontal="left" vertical="center"/>
    </xf>
    <xf numFmtId="0" fontId="127" fillId="49" borderId="0" xfId="0" applyFont="1" applyFill="1" applyAlignment="1">
      <alignment horizontal="left" vertical="center"/>
    </xf>
    <xf numFmtId="14" fontId="127" fillId="0" borderId="0" xfId="0" applyNumberFormat="1" applyFont="1" applyAlignment="1">
      <alignment horizontal="left" vertical="center"/>
    </xf>
    <xf numFmtId="0" fontId="127" fillId="49" borderId="0" xfId="0" applyFont="1" applyFill="1" applyAlignment="1">
      <alignment horizontal="left" vertical="center" wrapText="1"/>
    </xf>
    <xf numFmtId="0" fontId="127" fillId="0" borderId="0" xfId="0" applyFont="1" applyAlignment="1">
      <alignment horizontal="left" vertical="center" wrapText="1"/>
    </xf>
    <xf numFmtId="0" fontId="128" fillId="5" borderId="0" xfId="0" applyFont="1" applyFill="1" applyAlignment="1">
      <alignment horizontal="left" vertical="center" wrapText="1"/>
    </xf>
    <xf numFmtId="0" fontId="127" fillId="51" borderId="0" xfId="0" applyFont="1" applyFill="1" applyAlignment="1">
      <alignment horizontal="left" vertical="center" wrapText="1"/>
    </xf>
    <xf numFmtId="15" fontId="127" fillId="5" borderId="0" xfId="0" applyNumberFormat="1" applyFont="1" applyFill="1" applyAlignment="1">
      <alignment horizontal="left" vertical="center" wrapText="1"/>
    </xf>
    <xf numFmtId="0" fontId="123" fillId="0" borderId="0" xfId="0" applyFont="1" applyAlignment="1">
      <alignment horizontal="left" vertical="center" wrapText="1"/>
    </xf>
    <xf numFmtId="197" fontId="124" fillId="5" borderId="0" xfId="230" applyNumberFormat="1" applyFont="1" applyFill="1" applyAlignment="1">
      <alignment horizontal="center" vertical="center" wrapText="1"/>
    </xf>
    <xf numFmtId="197" fontId="124" fillId="0" borderId="0" xfId="230" applyNumberFormat="1" applyFont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/>
    </xf>
    <xf numFmtId="168" fontId="123" fillId="3" borderId="9" xfId="0" applyNumberFormat="1" applyFont="1" applyFill="1" applyBorder="1" applyAlignment="1">
      <alignment horizontal="center" vertical="center" wrapText="1"/>
    </xf>
    <xf numFmtId="14" fontId="123" fillId="3" borderId="9" xfId="0" applyNumberFormat="1" applyFont="1" applyFill="1" applyBorder="1" applyAlignment="1">
      <alignment horizontal="center" vertical="center"/>
    </xf>
    <xf numFmtId="0" fontId="123" fillId="3" borderId="9" xfId="0" applyFont="1" applyFill="1" applyBorder="1" applyAlignment="1">
      <alignment horizontal="left" vertical="center" wrapText="1"/>
    </xf>
    <xf numFmtId="15" fontId="123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left" vertical="center"/>
    </xf>
    <xf numFmtId="0" fontId="124" fillId="0" borderId="0" xfId="0" applyFont="1" applyAlignment="1">
      <alignment horizontal="center" vertical="center"/>
    </xf>
    <xf numFmtId="14" fontId="9" fillId="3" borderId="9" xfId="0" applyNumberFormat="1" applyFont="1" applyFill="1" applyBorder="1" applyAlignment="1">
      <alignment vertical="center"/>
    </xf>
    <xf numFmtId="0" fontId="9" fillId="6" borderId="13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15" fontId="9" fillId="6" borderId="9" xfId="0" applyNumberFormat="1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1" fontId="7" fillId="3" borderId="9" xfId="0" applyNumberFormat="1" applyFont="1" applyFill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 vertical="center"/>
    </xf>
    <xf numFmtId="168" fontId="7" fillId="3" borderId="9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168" fontId="7" fillId="3" borderId="88" xfId="0" applyNumberFormat="1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 wrapText="1"/>
    </xf>
    <xf numFmtId="1" fontId="7" fillId="3" borderId="9" xfId="0" applyNumberFormat="1" applyFont="1" applyFill="1" applyBorder="1" applyAlignment="1">
      <alignment horizontal="center" vertical="center" wrapText="1"/>
    </xf>
    <xf numFmtId="197" fontId="97" fillId="3" borderId="9" xfId="23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5" borderId="30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 wrapText="1"/>
    </xf>
    <xf numFmtId="1" fontId="7" fillId="5" borderId="9" xfId="0" applyNumberFormat="1" applyFont="1" applyFill="1" applyBorder="1" applyAlignment="1">
      <alignment horizontal="center" vertical="center" wrapText="1"/>
    </xf>
    <xf numFmtId="197" fontId="97" fillId="5" borderId="9" xfId="230" applyNumberFormat="1" applyFont="1" applyFill="1" applyBorder="1" applyAlignment="1">
      <alignment horizontal="center" vertical="center" wrapText="1"/>
    </xf>
    <xf numFmtId="16" fontId="129" fillId="5" borderId="9" xfId="0" applyNumberFormat="1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168" fontId="7" fillId="5" borderId="9" xfId="0" applyNumberFormat="1" applyFont="1" applyFill="1" applyBorder="1" applyAlignment="1">
      <alignment vertical="center"/>
    </xf>
    <xf numFmtId="0" fontId="97" fillId="5" borderId="30" xfId="0" applyFont="1" applyFill="1" applyBorder="1" applyAlignment="1">
      <alignment vertical="center"/>
    </xf>
    <xf numFmtId="16" fontId="129" fillId="5" borderId="9" xfId="0" applyNumberFormat="1" applyFont="1" applyFill="1" applyBorder="1" applyAlignment="1">
      <alignment vertical="center"/>
    </xf>
    <xf numFmtId="0" fontId="7" fillId="5" borderId="14" xfId="0" applyFont="1" applyFill="1" applyBorder="1" applyAlignment="1">
      <alignment horizontal="center" vertical="center" wrapText="1"/>
    </xf>
    <xf numFmtId="168" fontId="7" fillId="5" borderId="0" xfId="0" applyNumberFormat="1" applyFont="1" applyFill="1" applyAlignment="1">
      <alignment horizontal="center" vertical="center"/>
    </xf>
    <xf numFmtId="15" fontId="7" fillId="5" borderId="9" xfId="0" applyNumberFormat="1" applyFont="1" applyFill="1" applyBorder="1" applyAlignment="1">
      <alignment horizontal="center" vertical="center" wrapText="1"/>
    </xf>
    <xf numFmtId="14" fontId="129" fillId="5" borderId="9" xfId="0" applyNumberFormat="1" applyFont="1" applyFill="1" applyBorder="1" applyAlignment="1">
      <alignment horizontal="center" vertical="center"/>
    </xf>
    <xf numFmtId="199" fontId="97" fillId="5" borderId="9" xfId="230" applyNumberFormat="1" applyFont="1" applyFill="1" applyBorder="1" applyAlignment="1">
      <alignment vertical="center"/>
    </xf>
    <xf numFmtId="0" fontId="7" fillId="5" borderId="30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123" fillId="0" borderId="1" xfId="0" applyFont="1" applyBorder="1"/>
    <xf numFmtId="0" fontId="123" fillId="0" borderId="2" xfId="0" applyFont="1" applyBorder="1"/>
    <xf numFmtId="0" fontId="63" fillId="0" borderId="2" xfId="0" applyFont="1" applyBorder="1" applyAlignment="1">
      <alignment horizontal="center"/>
    </xf>
    <xf numFmtId="14" fontId="63" fillId="0" borderId="6" xfId="0" applyNumberFormat="1" applyFont="1" applyBorder="1" applyAlignment="1">
      <alignment horizontal="center"/>
    </xf>
    <xf numFmtId="0" fontId="123" fillId="0" borderId="7" xfId="0" applyFont="1" applyBorder="1"/>
    <xf numFmtId="0" fontId="123" fillId="0" borderId="8" xfId="0" applyFont="1" applyBorder="1"/>
    <xf numFmtId="0" fontId="63" fillId="7" borderId="13" xfId="0" applyFont="1" applyFill="1" applyBorder="1" applyAlignment="1">
      <alignment horizontal="center" vertical="center"/>
    </xf>
    <xf numFmtId="0" fontId="63" fillId="7" borderId="15" xfId="0" applyFont="1" applyFill="1" applyBorder="1" applyAlignment="1">
      <alignment horizontal="center" vertical="center"/>
    </xf>
    <xf numFmtId="0" fontId="123" fillId="0" borderId="13" xfId="0" applyFont="1" applyBorder="1" applyAlignment="1">
      <alignment horizontal="center" vertical="center"/>
    </xf>
    <xf numFmtId="0" fontId="123" fillId="0" borderId="15" xfId="0" applyFont="1" applyBorder="1" applyAlignment="1">
      <alignment horizontal="left" vertical="center"/>
    </xf>
    <xf numFmtId="0" fontId="63" fillId="0" borderId="15" xfId="0" applyFont="1" applyBorder="1" applyAlignment="1">
      <alignment horizontal="left" vertical="center"/>
    </xf>
    <xf numFmtId="0" fontId="123" fillId="0" borderId="18" xfId="0" applyFont="1" applyBorder="1" applyAlignment="1">
      <alignment horizontal="center" vertical="center"/>
    </xf>
    <xf numFmtId="0" fontId="123" fillId="0" borderId="19" xfId="0" applyFont="1" applyBorder="1" applyAlignment="1">
      <alignment horizontal="left" vertical="center" wrapText="1"/>
    </xf>
    <xf numFmtId="0" fontId="123" fillId="0" borderId="19" xfId="0" applyFont="1" applyBorder="1" applyAlignment="1">
      <alignment horizontal="center" vertical="center"/>
    </xf>
    <xf numFmtId="168" fontId="123" fillId="0" borderId="19" xfId="0" applyNumberFormat="1" applyFont="1" applyBorder="1" applyAlignment="1">
      <alignment horizontal="center" vertical="center"/>
    </xf>
    <xf numFmtId="0" fontId="123" fillId="0" borderId="20" xfId="0" applyFont="1" applyBorder="1" applyAlignment="1">
      <alignment horizontal="left" vertical="center" wrapText="1"/>
    </xf>
    <xf numFmtId="0" fontId="64" fillId="49" borderId="49" xfId="0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/>
    </xf>
    <xf numFmtId="0" fontId="127" fillId="8" borderId="9" xfId="0" applyFont="1" applyFill="1" applyBorder="1" applyAlignment="1">
      <alignment horizontal="center" vertical="center"/>
    </xf>
    <xf numFmtId="197" fontId="124" fillId="8" borderId="9" xfId="230" applyNumberFormat="1" applyFont="1" applyFill="1" applyBorder="1" applyAlignment="1">
      <alignment horizontal="center" vertical="center" wrapText="1"/>
    </xf>
    <xf numFmtId="15" fontId="123" fillId="8" borderId="9" xfId="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/>
    </xf>
    <xf numFmtId="2" fontId="124" fillId="8" borderId="9" xfId="0" applyNumberFormat="1" applyFont="1" applyFill="1" applyBorder="1" applyAlignment="1">
      <alignment horizontal="center" vertical="center" wrapText="1"/>
    </xf>
    <xf numFmtId="16" fontId="127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 wrapText="1"/>
    </xf>
    <xf numFmtId="14" fontId="123" fillId="8" borderId="9" xfId="0" applyNumberFormat="1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left" vertical="center" wrapText="1"/>
    </xf>
    <xf numFmtId="0" fontId="130" fillId="0" borderId="0" xfId="0" applyFont="1" applyAlignment="1">
      <alignment horizontal="left" vertical="center" indent="1"/>
    </xf>
    <xf numFmtId="0" fontId="70" fillId="0" borderId="9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0" fontId="66" fillId="0" borderId="9" xfId="0" applyFont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/>
    </xf>
    <xf numFmtId="16" fontId="129" fillId="0" borderId="0" xfId="0" applyNumberFormat="1" applyFont="1" applyAlignment="1">
      <alignment horizontal="center" vertical="center" wrapText="1"/>
    </xf>
    <xf numFmtId="197" fontId="97" fillId="0" borderId="0" xfId="23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" fontId="129" fillId="5" borderId="30" xfId="0" applyNumberFormat="1" applyFont="1" applyFill="1" applyBorder="1" applyAlignment="1">
      <alignment vertical="center"/>
    </xf>
    <xf numFmtId="199" fontId="97" fillId="5" borderId="30" xfId="230" applyNumberFormat="1" applyFont="1" applyFill="1" applyBorder="1" applyAlignment="1">
      <alignment vertical="center"/>
    </xf>
    <xf numFmtId="0" fontId="62" fillId="62" borderId="9" xfId="0" applyFont="1" applyFill="1" applyBorder="1" applyAlignment="1">
      <alignment horizontal="left"/>
    </xf>
    <xf numFmtId="0" fontId="111" fillId="0" borderId="0" xfId="238" applyFont="1"/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33" fillId="53" borderId="47" xfId="0" applyFont="1" applyFill="1" applyBorder="1" applyAlignment="1">
      <alignment horizontal="center" vertical="center"/>
    </xf>
    <xf numFmtId="0" fontId="133" fillId="53" borderId="48" xfId="0" applyFont="1" applyFill="1" applyBorder="1" applyAlignment="1">
      <alignment horizontal="center" vertical="center"/>
    </xf>
    <xf numFmtId="0" fontId="133" fillId="53" borderId="89" xfId="0" applyFont="1" applyFill="1" applyBorder="1" applyAlignment="1">
      <alignment horizontal="center" vertical="center"/>
    </xf>
    <xf numFmtId="0" fontId="134" fillId="59" borderId="49" xfId="0" applyFont="1" applyFill="1" applyBorder="1" applyAlignment="1">
      <alignment horizontal="center" vertical="center"/>
    </xf>
    <xf numFmtId="0" fontId="134" fillId="59" borderId="51" xfId="0" applyFont="1" applyFill="1" applyBorder="1" applyAlignment="1">
      <alignment horizontal="center" vertical="center"/>
    </xf>
    <xf numFmtId="1" fontId="78" fillId="59" borderId="50" xfId="0" applyNumberFormat="1" applyFont="1" applyFill="1" applyBorder="1" applyAlignment="1">
      <alignment horizontal="center" vertical="center"/>
    </xf>
    <xf numFmtId="168" fontId="124" fillId="63" borderId="9" xfId="0" applyNumberFormat="1" applyFont="1" applyFill="1" applyBorder="1" applyAlignment="1">
      <alignment horizontal="center" vertical="center"/>
    </xf>
    <xf numFmtId="0" fontId="123" fillId="63" borderId="9" xfId="0" applyFont="1" applyFill="1" applyBorder="1" applyAlignment="1">
      <alignment vertical="center"/>
    </xf>
    <xf numFmtId="0" fontId="9" fillId="0" borderId="0" xfId="0" applyFont="1"/>
    <xf numFmtId="168" fontId="9" fillId="0" borderId="0" xfId="0" applyNumberFormat="1" applyFont="1"/>
    <xf numFmtId="0" fontId="9" fillId="0" borderId="0" xfId="0" applyFont="1" applyAlignment="1">
      <alignment horizontal="right"/>
    </xf>
    <xf numFmtId="0" fontId="79" fillId="5" borderId="9" xfId="0" applyFont="1" applyFill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99" fillId="0" borderId="9" xfId="0" applyFont="1" applyBorder="1" applyAlignment="1">
      <alignment horizontal="center" vertical="center"/>
    </xf>
    <xf numFmtId="0" fontId="138" fillId="5" borderId="0" xfId="0" applyFont="1" applyFill="1" applyAlignment="1">
      <alignment horizontal="center" vertical="center" textRotation="90" wrapText="1"/>
    </xf>
    <xf numFmtId="0" fontId="138" fillId="5" borderId="8" xfId="0" applyFont="1" applyFill="1" applyBorder="1" applyAlignment="1">
      <alignment horizontal="center" vertical="center" textRotation="90" wrapText="1"/>
    </xf>
    <xf numFmtId="0" fontId="96" fillId="0" borderId="9" xfId="0" applyFont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127" fillId="59" borderId="9" xfId="0" applyFont="1" applyFill="1" applyBorder="1" applyAlignment="1">
      <alignment horizontal="left" vertical="center" wrapText="1"/>
    </xf>
    <xf numFmtId="0" fontId="127" fillId="8" borderId="9" xfId="0" applyFont="1" applyFill="1" applyBorder="1" applyAlignment="1">
      <alignment horizontal="left" vertical="center" wrapText="1"/>
    </xf>
    <xf numFmtId="16" fontId="129" fillId="5" borderId="9" xfId="0" applyNumberFormat="1" applyFont="1" applyFill="1" applyBorder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0" fontId="66" fillId="0" borderId="31" xfId="0" applyFont="1" applyBorder="1" applyAlignment="1">
      <alignment horizontal="center" vertical="center"/>
    </xf>
    <xf numFmtId="0" fontId="143" fillId="0" borderId="9" xfId="0" applyFont="1" applyBorder="1" applyAlignment="1">
      <alignment horizontal="center" vertical="center"/>
    </xf>
    <xf numFmtId="0" fontId="67" fillId="47" borderId="7" xfId="1" applyFont="1" applyFill="1" applyBorder="1" applyAlignment="1">
      <alignment vertical="center"/>
    </xf>
    <xf numFmtId="0" fontId="67" fillId="47" borderId="0" xfId="1" applyFont="1" applyFill="1" applyAlignment="1">
      <alignment vertical="center"/>
    </xf>
    <xf numFmtId="0" fontId="68" fillId="47" borderId="0" xfId="0" applyFont="1" applyFill="1" applyAlignment="1">
      <alignment horizontal="center" vertical="center"/>
    </xf>
    <xf numFmtId="0" fontId="69" fillId="47" borderId="0" xfId="0" applyFont="1" applyFill="1" applyAlignment="1">
      <alignment horizontal="left"/>
    </xf>
    <xf numFmtId="197" fontId="69" fillId="47" borderId="0" xfId="0" applyNumberFormat="1" applyFont="1" applyFill="1" applyAlignment="1">
      <alignment vertical="center"/>
    </xf>
    <xf numFmtId="0" fontId="68" fillId="47" borderId="0" xfId="0" applyFont="1" applyFill="1" applyAlignment="1">
      <alignment vertical="center"/>
    </xf>
    <xf numFmtId="0" fontId="68" fillId="47" borderId="8" xfId="0" applyFont="1" applyFill="1" applyBorder="1" applyAlignment="1">
      <alignment vertical="center"/>
    </xf>
    <xf numFmtId="0" fontId="69" fillId="47" borderId="0" xfId="0" applyFont="1" applyFill="1" applyAlignment="1">
      <alignment vertical="center"/>
    </xf>
    <xf numFmtId="0" fontId="67" fillId="47" borderId="7" xfId="1" applyFont="1" applyFill="1" applyBorder="1" applyAlignment="1">
      <alignment horizontal="left" vertical="center"/>
    </xf>
    <xf numFmtId="0" fontId="67" fillId="47" borderId="0" xfId="1" applyFont="1" applyFill="1" applyAlignment="1">
      <alignment horizontal="left" vertical="center"/>
    </xf>
    <xf numFmtId="0" fontId="67" fillId="47" borderId="0" xfId="0" applyFont="1" applyFill="1" applyAlignment="1">
      <alignment vertical="center"/>
    </xf>
    <xf numFmtId="0" fontId="67" fillId="47" borderId="41" xfId="1" applyFont="1" applyFill="1" applyBorder="1" applyAlignment="1">
      <alignment horizontal="left" vertical="center"/>
    </xf>
    <xf numFmtId="0" fontId="73" fillId="48" borderId="6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3" fillId="48" borderId="8" xfId="1" applyFont="1" applyFill="1" applyBorder="1" applyAlignment="1">
      <alignment horizontal="center" vertical="center"/>
    </xf>
    <xf numFmtId="0" fontId="75" fillId="0" borderId="0" xfId="1" applyFont="1" applyAlignment="1">
      <alignment horizontal="center" vertical="center"/>
    </xf>
    <xf numFmtId="0" fontId="75" fillId="0" borderId="8" xfId="1" applyFont="1" applyBorder="1" applyAlignment="1">
      <alignment horizontal="center" vertical="center"/>
    </xf>
    <xf numFmtId="0" fontId="76" fillId="0" borderId="25" xfId="1" applyFont="1" applyBorder="1" applyAlignment="1">
      <alignment horizontal="center" vertical="center"/>
    </xf>
    <xf numFmtId="0" fontId="76" fillId="0" borderId="0" xfId="1" applyFont="1" applyAlignment="1">
      <alignment horizontal="center" vertical="center"/>
    </xf>
    <xf numFmtId="0" fontId="76" fillId="0" borderId="8" xfId="1" applyFont="1" applyBorder="1" applyAlignment="1">
      <alignment horizontal="center" vertical="center"/>
    </xf>
    <xf numFmtId="0" fontId="76" fillId="0" borderId="13" xfId="1" applyFont="1" applyBorder="1" applyAlignment="1">
      <alignment horizontal="center" vertical="center"/>
    </xf>
    <xf numFmtId="0" fontId="76" fillId="0" borderId="18" xfId="1" applyFont="1" applyBorder="1" applyAlignment="1">
      <alignment horizontal="center" vertical="center"/>
    </xf>
    <xf numFmtId="0" fontId="76" fillId="0" borderId="43" xfId="1" applyFont="1" applyBorder="1" applyAlignment="1">
      <alignment horizontal="center" vertical="center"/>
    </xf>
    <xf numFmtId="0" fontId="76" fillId="0" borderId="7" xfId="1" applyFont="1" applyBorder="1" applyAlignment="1">
      <alignment horizontal="center" vertical="center"/>
    </xf>
    <xf numFmtId="0" fontId="76" fillId="0" borderId="0" xfId="1" applyFont="1" applyAlignment="1">
      <alignment horizontal="left" vertical="center"/>
    </xf>
    <xf numFmtId="0" fontId="76" fillId="0" borderId="0" xfId="1" applyFont="1" applyAlignment="1">
      <alignment horizontal="center" vertical="center" wrapText="1"/>
    </xf>
    <xf numFmtId="168" fontId="76" fillId="0" borderId="0" xfId="0" applyNumberFormat="1" applyFont="1" applyAlignment="1">
      <alignment horizontal="center" vertical="center"/>
    </xf>
    <xf numFmtId="1" fontId="75" fillId="0" borderId="0" xfId="0" applyNumberFormat="1" applyFont="1" applyAlignment="1">
      <alignment horizontal="center" vertical="center"/>
    </xf>
    <xf numFmtId="0" fontId="78" fillId="0" borderId="0" xfId="1" applyFont="1" applyAlignment="1">
      <alignment horizontal="center" vertical="center" wrapText="1"/>
    </xf>
    <xf numFmtId="0" fontId="76" fillId="0" borderId="0" xfId="1" applyFont="1" applyAlignment="1">
      <alignment vertical="center"/>
    </xf>
    <xf numFmtId="0" fontId="64" fillId="5" borderId="8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2" fontId="78" fillId="5" borderId="0" xfId="0" applyNumberFormat="1" applyFont="1" applyFill="1" applyAlignment="1">
      <alignment horizontal="center" vertical="center" wrapText="1"/>
    </xf>
    <xf numFmtId="168" fontId="64" fillId="5" borderId="8" xfId="0" applyNumberFormat="1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 wrapText="1"/>
    </xf>
    <xf numFmtId="0" fontId="79" fillId="5" borderId="7" xfId="0" applyFont="1" applyFill="1" applyBorder="1" applyAlignment="1">
      <alignment horizontal="center" vertical="center"/>
    </xf>
    <xf numFmtId="0" fontId="79" fillId="5" borderId="8" xfId="0" applyFont="1" applyFill="1" applyBorder="1" applyAlignment="1">
      <alignment horizontal="center" vertical="center"/>
    </xf>
    <xf numFmtId="0" fontId="131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center" vertical="center"/>
    </xf>
    <xf numFmtId="0" fontId="137" fillId="5" borderId="0" xfId="0" applyFont="1" applyFill="1" applyAlignment="1">
      <alignment horizontal="center" vertical="center"/>
    </xf>
    <xf numFmtId="0" fontId="71" fillId="5" borderId="7" xfId="0" applyFont="1" applyFill="1" applyBorder="1" applyAlignment="1">
      <alignment horizontal="center" vertical="center"/>
    </xf>
    <xf numFmtId="0" fontId="71" fillId="5" borderId="0" xfId="0" applyFont="1" applyFill="1" applyAlignment="1">
      <alignment horizontal="center" vertical="center"/>
    </xf>
    <xf numFmtId="0" fontId="71" fillId="5" borderId="8" xfId="0" applyFon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2" fontId="78" fillId="0" borderId="0" xfId="0" applyNumberFormat="1" applyFont="1" applyAlignment="1">
      <alignment horizontal="center" vertical="center" wrapText="1"/>
    </xf>
    <xf numFmtId="1" fontId="78" fillId="0" borderId="0" xfId="0" applyNumberFormat="1" applyFont="1" applyAlignment="1">
      <alignment horizontal="center" vertical="center" wrapText="1"/>
    </xf>
    <xf numFmtId="0" fontId="132" fillId="5" borderId="0" xfId="0" applyFont="1" applyFill="1" applyAlignment="1">
      <alignment horizontal="center" vertical="center"/>
    </xf>
    <xf numFmtId="0" fontId="64" fillId="0" borderId="7" xfId="0" applyFont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96" fillId="5" borderId="0" xfId="0" applyFont="1" applyFill="1" applyAlignment="1">
      <alignment horizontal="left" vertical="center"/>
    </xf>
    <xf numFmtId="0" fontId="99" fillId="5" borderId="0" xfId="0" applyFont="1" applyFill="1" applyAlignment="1">
      <alignment horizontal="center" vertical="center"/>
    </xf>
    <xf numFmtId="0" fontId="9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right" vertical="center"/>
    </xf>
    <xf numFmtId="0" fontId="99" fillId="5" borderId="0" xfId="0" applyFont="1" applyFill="1" applyAlignment="1">
      <alignment horizontal="left" vertical="center"/>
    </xf>
    <xf numFmtId="0" fontId="139" fillId="5" borderId="0" xfId="0" applyFont="1" applyFill="1" applyAlignment="1">
      <alignment horizontal="center" vertical="center"/>
    </xf>
    <xf numFmtId="0" fontId="140" fillId="5" borderId="0" xfId="0" applyFont="1" applyFill="1" applyAlignment="1">
      <alignment horizontal="center" vertical="center"/>
    </xf>
    <xf numFmtId="0" fontId="141" fillId="5" borderId="0" xfId="0" applyFont="1" applyFill="1" applyAlignment="1">
      <alignment horizontal="center" vertical="center"/>
    </xf>
    <xf numFmtId="0" fontId="142" fillId="5" borderId="0" xfId="0" applyFont="1" applyFill="1" applyAlignment="1">
      <alignment horizontal="center" vertical="center"/>
    </xf>
    <xf numFmtId="0" fontId="98" fillId="5" borderId="8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/>
    </xf>
    <xf numFmtId="0" fontId="98" fillId="0" borderId="8" xfId="0" applyFont="1" applyBorder="1" applyAlignment="1">
      <alignment horizontal="center" vertical="center"/>
    </xf>
    <xf numFmtId="0" fontId="78" fillId="5" borderId="8" xfId="0" applyFont="1" applyFill="1" applyBorder="1" applyAlignment="1">
      <alignment horizontal="center" vertical="center"/>
    </xf>
    <xf numFmtId="0" fontId="78" fillId="5" borderId="7" xfId="0" applyFont="1" applyFill="1" applyBorder="1" applyAlignment="1">
      <alignment horizontal="center" vertical="center"/>
    </xf>
    <xf numFmtId="0" fontId="66" fillId="0" borderId="8" xfId="0" applyFont="1" applyBorder="1" applyAlignment="1">
      <alignment horizontal="center" vertical="center"/>
    </xf>
    <xf numFmtId="0" fontId="102" fillId="5" borderId="0" xfId="0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/>
    </xf>
    <xf numFmtId="0" fontId="64" fillId="5" borderId="43" xfId="0" applyFont="1" applyFill="1" applyBorder="1" applyAlignment="1">
      <alignment horizontal="center" vertical="center"/>
    </xf>
    <xf numFmtId="0" fontId="66" fillId="0" borderId="7" xfId="0" applyFont="1" applyBorder="1" applyAlignment="1">
      <alignment horizontal="center" vertical="center"/>
    </xf>
    <xf numFmtId="0" fontId="66" fillId="0" borderId="41" xfId="0" applyFont="1" applyBorder="1" applyAlignment="1">
      <alignment horizontal="center" vertical="center"/>
    </xf>
    <xf numFmtId="0" fontId="66" fillId="0" borderId="42" xfId="0" applyFont="1" applyBorder="1" applyAlignment="1">
      <alignment horizontal="center" vertical="center"/>
    </xf>
    <xf numFmtId="0" fontId="66" fillId="0" borderId="43" xfId="0" applyFont="1" applyBorder="1" applyAlignment="1">
      <alignment horizontal="center" vertical="center"/>
    </xf>
    <xf numFmtId="0" fontId="7" fillId="3" borderId="15" xfId="0" applyFont="1" applyFill="1" applyBorder="1" applyAlignment="1">
      <alignment vertical="center"/>
    </xf>
    <xf numFmtId="0" fontId="97" fillId="5" borderId="0" xfId="238" applyFont="1" applyFill="1"/>
    <xf numFmtId="0" fontId="122" fillId="5" borderId="13" xfId="0" applyFont="1" applyFill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/>
    </xf>
    <xf numFmtId="0" fontId="122" fillId="5" borderId="9" xfId="0" applyFont="1" applyFill="1" applyBorder="1" applyAlignment="1">
      <alignment horizontal="left" vertical="center" wrapText="1"/>
    </xf>
    <xf numFmtId="14" fontId="122" fillId="5" borderId="9" xfId="0" applyNumberFormat="1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left" wrapText="1"/>
    </xf>
    <xf numFmtId="2" fontId="7" fillId="0" borderId="9" xfId="0" applyNumberFormat="1" applyFont="1" applyBorder="1" applyAlignment="1">
      <alignment horizontal="center" vertical="center"/>
    </xf>
    <xf numFmtId="0" fontId="123" fillId="3" borderId="9" xfId="0" applyFont="1" applyFill="1" applyBorder="1" applyAlignment="1">
      <alignment horizontal="center" vertical="center" wrapText="1"/>
    </xf>
    <xf numFmtId="0" fontId="59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left" vertical="center" wrapText="1"/>
    </xf>
    <xf numFmtId="0" fontId="0" fillId="0" borderId="0" xfId="0"/>
    <xf numFmtId="0" fontId="105" fillId="55" borderId="9" xfId="0" applyFont="1" applyFill="1" applyBorder="1" applyAlignment="1">
      <alignment horizontal="center" vertical="center" wrapText="1"/>
    </xf>
    <xf numFmtId="0" fontId="94" fillId="55" borderId="9" xfId="0" applyFont="1" applyFill="1" applyBorder="1" applyAlignment="1">
      <alignment horizontal="center" vertical="center" wrapText="1"/>
    </xf>
    <xf numFmtId="0" fontId="59" fillId="5" borderId="9" xfId="0" applyFont="1" applyFill="1" applyBorder="1" applyAlignment="1">
      <alignment horizontal="left" vertical="center" wrapText="1"/>
    </xf>
    <xf numFmtId="0" fontId="104" fillId="55" borderId="9" xfId="0" applyFont="1" applyFill="1" applyBorder="1" applyAlignment="1">
      <alignment horizontal="center" vertical="center" wrapText="1"/>
    </xf>
    <xf numFmtId="0" fontId="81" fillId="0" borderId="9" xfId="0" applyFont="1" applyBorder="1" applyAlignment="1">
      <alignment vertical="center" wrapText="1"/>
    </xf>
    <xf numFmtId="0" fontId="83" fillId="0" borderId="9" xfId="0" quotePrefix="1" applyFont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83" fillId="0" borderId="9" xfId="0" applyFont="1" applyBorder="1" applyAlignment="1">
      <alignment horizontal="center" vertical="center" wrapText="1"/>
    </xf>
    <xf numFmtId="0" fontId="86" fillId="55" borderId="9" xfId="0" applyFont="1" applyFill="1" applyBorder="1" applyAlignment="1">
      <alignment horizontal="center" vertical="center" wrapText="1"/>
    </xf>
    <xf numFmtId="0" fontId="81" fillId="0" borderId="60" xfId="0" applyFont="1" applyBorder="1" applyAlignment="1">
      <alignment vertical="center" wrapText="1"/>
    </xf>
    <xf numFmtId="0" fontId="81" fillId="0" borderId="66" xfId="0" applyFont="1" applyBorder="1" applyAlignment="1">
      <alignment vertical="center" wrapText="1"/>
    </xf>
    <xf numFmtId="0" fontId="81" fillId="0" borderId="72" xfId="0" applyFont="1" applyBorder="1" applyAlignment="1">
      <alignment vertical="center" wrapText="1"/>
    </xf>
    <xf numFmtId="0" fontId="83" fillId="0" borderId="68" xfId="0" quotePrefix="1" applyFont="1" applyBorder="1" applyAlignment="1">
      <alignment horizontal="center" vertical="center" wrapText="1"/>
    </xf>
    <xf numFmtId="0" fontId="83" fillId="0" borderId="69" xfId="0" quotePrefix="1" applyFont="1" applyBorder="1" applyAlignment="1">
      <alignment horizontal="center" vertical="center" wrapText="1"/>
    </xf>
    <xf numFmtId="0" fontId="83" fillId="0" borderId="70" xfId="0" quotePrefix="1" applyFont="1" applyBorder="1" applyAlignment="1">
      <alignment horizontal="center" vertical="center" wrapText="1"/>
    </xf>
    <xf numFmtId="14" fontId="83" fillId="0" borderId="73" xfId="0" applyNumberFormat="1" applyFont="1" applyBorder="1" applyAlignment="1">
      <alignment horizontal="center" vertical="center" wrapText="1"/>
    </xf>
    <xf numFmtId="14" fontId="83" fillId="0" borderId="74" xfId="0" applyNumberFormat="1" applyFont="1" applyBorder="1" applyAlignment="1">
      <alignment horizontal="center" vertical="center" wrapText="1"/>
    </xf>
    <xf numFmtId="0" fontId="89" fillId="55" borderId="9" xfId="0" applyFont="1" applyFill="1" applyBorder="1" applyAlignment="1">
      <alignment horizontal="center" vertical="center" wrapText="1"/>
    </xf>
    <xf numFmtId="0" fontId="90" fillId="55" borderId="9" xfId="0" applyFont="1" applyFill="1" applyBorder="1" applyAlignment="1">
      <alignment horizontal="center" vertical="center" wrapText="1"/>
    </xf>
    <xf numFmtId="0" fontId="59" fillId="56" borderId="9" xfId="0" applyFont="1" applyFill="1" applyBorder="1" applyAlignment="1">
      <alignment horizontal="left" vertical="center" wrapText="1"/>
    </xf>
    <xf numFmtId="0" fontId="106" fillId="4" borderId="9" xfId="2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 wrapText="1"/>
    </xf>
    <xf numFmtId="0" fontId="109" fillId="0" borderId="9" xfId="0" applyFont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 wrapText="1"/>
    </xf>
    <xf numFmtId="168" fontId="6" fillId="0" borderId="54" xfId="2" applyNumberFormat="1" applyFont="1" applyBorder="1" applyAlignment="1">
      <alignment horizontal="center" vertical="center"/>
    </xf>
    <xf numFmtId="168" fontId="6" fillId="0" borderId="55" xfId="2" applyNumberFormat="1" applyFont="1" applyBorder="1" applyAlignment="1">
      <alignment horizontal="center" vertical="center"/>
    </xf>
    <xf numFmtId="0" fontId="6" fillId="0" borderId="53" xfId="2" applyFont="1" applyBorder="1" applyAlignment="1">
      <alignment horizontal="center" vertical="center" wrapText="1"/>
    </xf>
    <xf numFmtId="0" fontId="6" fillId="0" borderId="46" xfId="2" applyFont="1" applyBorder="1" applyAlignment="1">
      <alignment horizontal="center" vertical="center" wrapText="1"/>
    </xf>
    <xf numFmtId="1" fontId="6" fillId="0" borderId="54" xfId="2" applyNumberFormat="1" applyFont="1" applyBorder="1" applyAlignment="1">
      <alignment horizontal="center" vertical="center"/>
    </xf>
    <xf numFmtId="1" fontId="6" fillId="0" borderId="55" xfId="2" applyNumberFormat="1" applyFont="1" applyBorder="1" applyAlignment="1">
      <alignment horizontal="center" vertical="center"/>
    </xf>
    <xf numFmtId="0" fontId="12" fillId="45" borderId="3" xfId="2" applyFont="1" applyFill="1" applyBorder="1" applyAlignment="1">
      <alignment horizontal="left" vertical="center"/>
    </xf>
    <xf numFmtId="0" fontId="12" fillId="45" borderId="4" xfId="2" applyFont="1" applyFill="1" applyBorder="1" applyAlignment="1">
      <alignment horizontal="left" vertical="center"/>
    </xf>
    <xf numFmtId="0" fontId="12" fillId="45" borderId="5" xfId="2" applyFont="1" applyFill="1" applyBorder="1" applyAlignment="1">
      <alignment horizontal="left" vertical="center"/>
    </xf>
    <xf numFmtId="0" fontId="12" fillId="45" borderId="3" xfId="2" applyFont="1" applyFill="1" applyBorder="1" applyAlignment="1">
      <alignment horizontal="left" vertical="center" wrapText="1"/>
    </xf>
    <xf numFmtId="0" fontId="12" fillId="45" borderId="4" xfId="2" applyFont="1" applyFill="1" applyBorder="1" applyAlignment="1">
      <alignment horizontal="left" vertical="center" wrapText="1"/>
    </xf>
    <xf numFmtId="0" fontId="12" fillId="45" borderId="5" xfId="2" applyFont="1" applyFill="1" applyBorder="1" applyAlignment="1">
      <alignment horizontal="left" vertical="center" wrapText="1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2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0" fontId="4" fillId="0" borderId="5" xfId="2" applyFont="1" applyBorder="1" applyAlignment="1">
      <alignment horizontal="left" vertical="center" wrapText="1"/>
    </xf>
    <xf numFmtId="0" fontId="4" fillId="0" borderId="22" xfId="2" applyFont="1" applyBorder="1" applyAlignment="1">
      <alignment horizontal="left" vertical="center"/>
    </xf>
    <xf numFmtId="0" fontId="4" fillId="0" borderId="4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0" fontId="63" fillId="0" borderId="28" xfId="0" applyFont="1" applyBorder="1" applyAlignment="1">
      <alignment horizontal="center" vertical="center"/>
    </xf>
    <xf numFmtId="0" fontId="15" fillId="46" borderId="9" xfId="0" applyFont="1" applyFill="1" applyBorder="1" applyAlignment="1">
      <alignment horizontal="center" vertical="center" wrapText="1"/>
    </xf>
    <xf numFmtId="0" fontId="63" fillId="49" borderId="9" xfId="0" applyFont="1" applyFill="1" applyBorder="1" applyAlignment="1">
      <alignment horizontal="center" vertical="center"/>
    </xf>
    <xf numFmtId="0" fontId="15" fillId="46" borderId="16" xfId="0" applyFont="1" applyFill="1" applyBorder="1" applyAlignment="1">
      <alignment horizontal="center" vertical="center" wrapText="1"/>
    </xf>
    <xf numFmtId="0" fontId="15" fillId="46" borderId="14" xfId="0" applyFont="1" applyFill="1" applyBorder="1" applyAlignment="1">
      <alignment horizontal="center" vertical="center" wrapText="1"/>
    </xf>
    <xf numFmtId="0" fontId="63" fillId="0" borderId="13" xfId="0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63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125" fillId="6" borderId="30" xfId="0" applyFont="1" applyFill="1" applyBorder="1" applyAlignment="1">
      <alignment horizontal="center" vertical="center" wrapText="1"/>
    </xf>
    <xf numFmtId="0" fontId="125" fillId="6" borderId="29" xfId="0" applyFont="1" applyFill="1" applyBorder="1" applyAlignment="1">
      <alignment horizontal="center" vertical="center" wrapText="1"/>
    </xf>
    <xf numFmtId="0" fontId="125" fillId="6" borderId="76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64" fillId="59" borderId="0" xfId="0" applyFont="1" applyFill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 wrapText="1"/>
    </xf>
    <xf numFmtId="1" fontId="64" fillId="50" borderId="50" xfId="0" applyNumberFormat="1" applyFont="1" applyFill="1" applyBorder="1" applyAlignment="1">
      <alignment horizontal="center" vertical="center" wrapText="1"/>
    </xf>
    <xf numFmtId="1" fontId="64" fillId="50" borderId="51" xfId="0" applyNumberFormat="1" applyFont="1" applyFill="1" applyBorder="1" applyAlignment="1">
      <alignment horizontal="center" vertical="center" wrapText="1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64" fillId="0" borderId="26" xfId="0" applyFont="1" applyBorder="1" applyAlignment="1">
      <alignment horizontal="center" vertical="center"/>
    </xf>
    <xf numFmtId="0" fontId="64" fillId="0" borderId="31" xfId="0" applyFont="1" applyBorder="1" applyAlignment="1">
      <alignment horizontal="center" vertical="center"/>
    </xf>
    <xf numFmtId="0" fontId="64" fillId="0" borderId="77" xfId="0" applyFont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0" fontId="64" fillId="0" borderId="52" xfId="0" applyFont="1" applyBorder="1" applyAlignment="1">
      <alignment horizontal="center" vertical="center"/>
    </xf>
    <xf numFmtId="0" fontId="64" fillId="0" borderId="81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77" fillId="5" borderId="0" xfId="0" applyFont="1" applyFill="1" applyAlignment="1">
      <alignment horizontal="center" vertical="center" wrapText="1"/>
    </xf>
    <xf numFmtId="0" fontId="77" fillId="5" borderId="0" xfId="0" applyFont="1" applyFill="1" applyAlignment="1">
      <alignment horizontal="center" vertical="center" textRotation="90" wrapText="1"/>
    </xf>
    <xf numFmtId="0" fontId="77" fillId="5" borderId="42" xfId="0" applyFont="1" applyFill="1" applyBorder="1" applyAlignment="1">
      <alignment horizontal="center" vertical="center" textRotation="90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43" xfId="0" applyFont="1" applyFill="1" applyBorder="1" applyAlignment="1">
      <alignment horizontal="center" vertical="center" textRotation="90" wrapText="1"/>
    </xf>
    <xf numFmtId="0" fontId="76" fillId="0" borderId="30" xfId="1" applyFont="1" applyBorder="1" applyAlignment="1">
      <alignment horizontal="center" vertical="center" wrapText="1"/>
    </xf>
    <xf numFmtId="0" fontId="76" fillId="0" borderId="76" xfId="1" applyFont="1" applyBorder="1" applyAlignment="1">
      <alignment horizontal="center" vertical="center" wrapText="1"/>
    </xf>
    <xf numFmtId="0" fontId="76" fillId="0" borderId="54" xfId="1" applyFont="1" applyBorder="1" applyAlignment="1">
      <alignment horizontal="center" vertical="center" wrapText="1"/>
    </xf>
    <xf numFmtId="0" fontId="76" fillId="0" borderId="86" xfId="1" applyFont="1" applyBorder="1" applyAlignment="1">
      <alignment horizontal="center" vertical="center" wrapText="1"/>
    </xf>
    <xf numFmtId="14" fontId="65" fillId="47" borderId="4" xfId="0" applyNumberFormat="1" applyFont="1" applyFill="1" applyBorder="1" applyAlignment="1">
      <alignment horizontal="center" vertical="center"/>
    </xf>
    <xf numFmtId="14" fontId="65" fillId="47" borderId="5" xfId="0" applyNumberFormat="1" applyFont="1" applyFill="1" applyBorder="1" applyAlignment="1">
      <alignment horizontal="center" vertical="center"/>
    </xf>
    <xf numFmtId="0" fontId="69" fillId="47" borderId="45" xfId="0" applyFont="1" applyFill="1" applyBorder="1" applyAlignment="1">
      <alignment horizontal="center" vertical="center"/>
    </xf>
    <xf numFmtId="0" fontId="69" fillId="47" borderId="46" xfId="0" applyFont="1" applyFill="1" applyBorder="1" applyAlignment="1">
      <alignment horizontal="center" vertical="center"/>
    </xf>
    <xf numFmtId="0" fontId="71" fillId="47" borderId="76" xfId="0" applyFont="1" applyFill="1" applyBorder="1" applyAlignment="1">
      <alignment horizontal="center" vertical="center"/>
    </xf>
    <xf numFmtId="0" fontId="71" fillId="47" borderId="9" xfId="0" applyFont="1" applyFill="1" applyBorder="1" applyAlignment="1">
      <alignment horizontal="center" vertical="center"/>
    </xf>
    <xf numFmtId="0" fontId="71" fillId="47" borderId="16" xfId="0" applyFont="1" applyFill="1" applyBorder="1" applyAlignment="1">
      <alignment horizontal="center" vertical="center" wrapText="1"/>
    </xf>
    <xf numFmtId="0" fontId="71" fillId="47" borderId="24" xfId="0" applyFont="1" applyFill="1" applyBorder="1" applyAlignment="1">
      <alignment horizontal="center" vertical="center" wrapText="1"/>
    </xf>
    <xf numFmtId="0" fontId="71" fillId="47" borderId="52" xfId="0" applyFont="1" applyFill="1" applyBorder="1" applyAlignment="1">
      <alignment horizontal="center" vertical="center" wrapText="1"/>
    </xf>
    <xf numFmtId="0" fontId="71" fillId="47" borderId="27" xfId="0" applyFont="1" applyFill="1" applyBorder="1" applyAlignment="1">
      <alignment horizontal="center" vertical="center" wrapText="1"/>
    </xf>
    <xf numFmtId="0" fontId="71" fillId="47" borderId="78" xfId="0" applyFont="1" applyFill="1" applyBorder="1" applyAlignment="1">
      <alignment horizontal="center" vertical="center" wrapText="1"/>
    </xf>
    <xf numFmtId="0" fontId="71" fillId="47" borderId="81" xfId="0" applyFont="1" applyFill="1" applyBorder="1" applyAlignment="1">
      <alignment horizontal="center" vertical="center" wrapText="1"/>
    </xf>
    <xf numFmtId="0" fontId="76" fillId="0" borderId="54" xfId="1" applyFont="1" applyBorder="1" applyAlignment="1">
      <alignment horizontal="left" vertical="center"/>
    </xf>
    <xf numFmtId="0" fontId="76" fillId="0" borderId="87" xfId="1" applyFont="1" applyBorder="1" applyAlignment="1">
      <alignment horizontal="left" vertical="center"/>
    </xf>
    <xf numFmtId="0" fontId="76" fillId="0" borderId="86" xfId="1" applyFont="1" applyBorder="1" applyAlignment="1">
      <alignment horizontal="left" vertical="center"/>
    </xf>
    <xf numFmtId="168" fontId="76" fillId="0" borderId="54" xfId="0" applyNumberFormat="1" applyFont="1" applyBorder="1" applyAlignment="1">
      <alignment horizontal="center" vertical="center"/>
    </xf>
    <xf numFmtId="168" fontId="76" fillId="0" borderId="86" xfId="0" applyNumberFormat="1" applyFont="1" applyBorder="1" applyAlignment="1">
      <alignment horizontal="center" vertical="center"/>
    </xf>
    <xf numFmtId="1" fontId="75" fillId="0" borderId="54" xfId="0" applyNumberFormat="1" applyFont="1" applyBorder="1" applyAlignment="1">
      <alignment horizontal="center" vertical="center"/>
    </xf>
    <xf numFmtId="1" fontId="75" fillId="0" borderId="86" xfId="0" applyNumberFormat="1" applyFont="1" applyBorder="1" applyAlignment="1">
      <alignment horizontal="center" vertical="center"/>
    </xf>
    <xf numFmtId="0" fontId="76" fillId="0" borderId="30" xfId="1" applyFont="1" applyBorder="1" applyAlignment="1">
      <alignment horizontal="left" vertical="center"/>
    </xf>
    <xf numFmtId="0" fontId="76" fillId="0" borderId="29" xfId="1" applyFont="1" applyBorder="1" applyAlignment="1">
      <alignment horizontal="left" vertical="center"/>
    </xf>
    <xf numFmtId="0" fontId="76" fillId="0" borderId="76" xfId="1" applyFont="1" applyBorder="1" applyAlignment="1">
      <alignment horizontal="left" vertical="center"/>
    </xf>
    <xf numFmtId="168" fontId="76" fillId="0" borderId="30" xfId="0" applyNumberFormat="1" applyFont="1" applyBorder="1" applyAlignment="1">
      <alignment horizontal="center" vertical="center"/>
    </xf>
    <xf numFmtId="168" fontId="76" fillId="0" borderId="76" xfId="0" applyNumberFormat="1" applyFont="1" applyBorder="1" applyAlignment="1">
      <alignment horizontal="center" vertical="center"/>
    </xf>
    <xf numFmtId="168" fontId="75" fillId="0" borderId="30" xfId="0" applyNumberFormat="1" applyFont="1" applyBorder="1" applyAlignment="1">
      <alignment horizontal="center" vertical="center"/>
    </xf>
    <xf numFmtId="168" fontId="75" fillId="0" borderId="76" xfId="0" applyNumberFormat="1" applyFont="1" applyBorder="1" applyAlignment="1">
      <alignment horizontal="center" vertical="center"/>
    </xf>
    <xf numFmtId="1" fontId="76" fillId="0" borderId="30" xfId="0" applyNumberFormat="1" applyFont="1" applyBorder="1" applyAlignment="1">
      <alignment horizontal="center" vertical="center"/>
    </xf>
    <xf numFmtId="1" fontId="76" fillId="0" borderId="76" xfId="0" applyNumberFormat="1" applyFont="1" applyBorder="1" applyAlignment="1">
      <alignment horizontal="center" vertical="center"/>
    </xf>
    <xf numFmtId="1" fontId="75" fillId="0" borderId="30" xfId="0" applyNumberFormat="1" applyFont="1" applyBorder="1" applyAlignment="1">
      <alignment horizontal="center" vertical="center"/>
    </xf>
    <xf numFmtId="1" fontId="75" fillId="0" borderId="76" xfId="0" applyNumberFormat="1" applyFont="1" applyBorder="1" applyAlignment="1">
      <alignment horizontal="center" vertical="center"/>
    </xf>
    <xf numFmtId="0" fontId="65" fillId="47" borderId="1" xfId="0" applyFont="1" applyFill="1" applyBorder="1" applyAlignment="1">
      <alignment horizontal="center" vertical="center"/>
    </xf>
    <xf numFmtId="0" fontId="65" fillId="47" borderId="2" xfId="0" applyFont="1" applyFill="1" applyBorder="1" applyAlignment="1">
      <alignment horizontal="center" vertical="center"/>
    </xf>
    <xf numFmtId="0" fontId="65" fillId="47" borderId="6" xfId="0" applyFont="1" applyFill="1" applyBorder="1" applyAlignment="1">
      <alignment horizontal="center" vertical="center"/>
    </xf>
    <xf numFmtId="0" fontId="79" fillId="0" borderId="12" xfId="1" applyFont="1" applyBorder="1" applyAlignment="1">
      <alignment horizontal="center" vertical="center"/>
    </xf>
    <xf numFmtId="0" fontId="79" fillId="0" borderId="81" xfId="1" applyFont="1" applyBorder="1" applyAlignment="1">
      <alignment horizontal="center" vertical="center"/>
    </xf>
    <xf numFmtId="0" fontId="76" fillId="0" borderId="53" xfId="1" applyFont="1" applyBorder="1" applyAlignment="1">
      <alignment horizontal="center" vertical="center" wrapText="1"/>
    </xf>
    <xf numFmtId="0" fontId="76" fillId="0" borderId="85" xfId="1" applyFont="1" applyBorder="1" applyAlignment="1">
      <alignment horizontal="center" vertical="center" wrapText="1"/>
    </xf>
    <xf numFmtId="0" fontId="72" fillId="48" borderId="1" xfId="1" applyFont="1" applyFill="1" applyBorder="1" applyAlignment="1">
      <alignment horizontal="center" vertical="center"/>
    </xf>
    <xf numFmtId="0" fontId="72" fillId="48" borderId="2" xfId="1" applyFont="1" applyFill="1" applyBorder="1" applyAlignment="1">
      <alignment horizontal="center" vertical="center"/>
    </xf>
    <xf numFmtId="0" fontId="72" fillId="48" borderId="7" xfId="1" applyFont="1" applyFill="1" applyBorder="1" applyAlignment="1">
      <alignment horizontal="center" vertical="center"/>
    </xf>
    <xf numFmtId="0" fontId="72" fillId="48" borderId="0" xfId="1" applyFont="1" applyFill="1" applyAlignment="1">
      <alignment horizontal="center" vertical="center"/>
    </xf>
    <xf numFmtId="0" fontId="75" fillId="0" borderId="10" xfId="1" applyFont="1" applyBorder="1" applyAlignment="1">
      <alignment horizontal="center" vertical="center" wrapText="1"/>
    </xf>
    <xf numFmtId="0" fontId="75" fillId="0" borderId="90" xfId="1" applyFont="1" applyBorder="1" applyAlignment="1">
      <alignment horizontal="center" vertical="center" wrapText="1"/>
    </xf>
    <xf numFmtId="0" fontId="75" fillId="0" borderId="83" xfId="1" applyFont="1" applyBorder="1" applyAlignment="1">
      <alignment horizontal="center" vertical="center" wrapText="1"/>
    </xf>
    <xf numFmtId="0" fontId="75" fillId="0" borderId="2" xfId="1" applyFont="1" applyBorder="1" applyAlignment="1">
      <alignment horizontal="center" vertical="center" wrapText="1"/>
    </xf>
    <xf numFmtId="0" fontId="75" fillId="0" borderId="82" xfId="1" applyFont="1" applyBorder="1" applyAlignment="1">
      <alignment horizontal="center" vertical="center" wrapText="1"/>
    </xf>
    <xf numFmtId="0" fontId="75" fillId="0" borderId="84" xfId="1" applyFont="1" applyBorder="1" applyAlignment="1">
      <alignment horizontal="center" vertical="center" wrapText="1"/>
    </xf>
    <xf numFmtId="0" fontId="75" fillId="0" borderId="42" xfId="1" applyFont="1" applyBorder="1" applyAlignment="1">
      <alignment horizontal="center" vertical="center" wrapText="1"/>
    </xf>
    <xf numFmtId="0" fontId="75" fillId="0" borderId="80" xfId="1" applyFont="1" applyBorder="1" applyAlignment="1">
      <alignment horizontal="center" vertical="center" wrapText="1"/>
    </xf>
    <xf numFmtId="0" fontId="75" fillId="0" borderId="11" xfId="1" applyFont="1" applyBorder="1" applyAlignment="1">
      <alignment horizontal="center" vertical="center" wrapText="1"/>
    </xf>
    <xf numFmtId="0" fontId="75" fillId="0" borderId="52" xfId="1" applyFont="1" applyBorder="1" applyAlignment="1">
      <alignment horizontal="center" vertical="center" wrapText="1"/>
    </xf>
    <xf numFmtId="14" fontId="69" fillId="47" borderId="42" xfId="0" applyNumberFormat="1" applyFont="1" applyFill="1" applyBorder="1" applyAlignment="1">
      <alignment horizontal="center" vertical="center"/>
    </xf>
    <xf numFmtId="0" fontId="69" fillId="47" borderId="43" xfId="0" applyFont="1" applyFill="1" applyBorder="1" applyAlignment="1">
      <alignment horizontal="center" vertical="center"/>
    </xf>
    <xf numFmtId="0" fontId="73" fillId="48" borderId="1" xfId="1" applyFont="1" applyFill="1" applyBorder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73" fillId="48" borderId="7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6" fillId="0" borderId="53" xfId="1" applyFont="1" applyBorder="1" applyAlignment="1">
      <alignment horizontal="left" vertical="center"/>
    </xf>
    <xf numFmtId="0" fontId="76" fillId="0" borderId="45" xfId="1" applyFont="1" applyBorder="1" applyAlignment="1">
      <alignment horizontal="left" vertical="center"/>
    </xf>
    <xf numFmtId="0" fontId="76" fillId="0" borderId="85" xfId="1" applyFont="1" applyBorder="1" applyAlignment="1">
      <alignment horizontal="left" vertical="center"/>
    </xf>
    <xf numFmtId="168" fontId="76" fillId="0" borderId="53" xfId="0" applyNumberFormat="1" applyFont="1" applyBorder="1" applyAlignment="1">
      <alignment horizontal="center" vertical="center"/>
    </xf>
    <xf numFmtId="168" fontId="76" fillId="0" borderId="85" xfId="0" applyNumberFormat="1" applyFont="1" applyBorder="1" applyAlignment="1">
      <alignment horizontal="center" vertical="center"/>
    </xf>
    <xf numFmtId="168" fontId="75" fillId="0" borderId="53" xfId="0" applyNumberFormat="1" applyFont="1" applyBorder="1" applyAlignment="1">
      <alignment horizontal="center" vertical="center"/>
    </xf>
    <xf numFmtId="168" fontId="75" fillId="0" borderId="85" xfId="0" applyNumberFormat="1" applyFont="1" applyBorder="1" applyAlignment="1">
      <alignment horizontal="center" vertical="center"/>
    </xf>
    <xf numFmtId="0" fontId="79" fillId="0" borderId="11" xfId="1" applyFont="1" applyBorder="1" applyAlignment="1">
      <alignment horizontal="center" vertical="center"/>
    </xf>
    <xf numFmtId="0" fontId="79" fillId="0" borderId="52" xfId="1" applyFont="1" applyBorder="1" applyAlignment="1">
      <alignment horizontal="center" vertical="center"/>
    </xf>
    <xf numFmtId="0" fontId="79" fillId="0" borderId="83" xfId="1" applyFont="1" applyBorder="1" applyAlignment="1">
      <alignment horizontal="center" vertical="center" wrapText="1"/>
    </xf>
    <xf numFmtId="0" fontId="79" fillId="0" borderId="82" xfId="1" applyFont="1" applyBorder="1" applyAlignment="1">
      <alignment horizontal="center" vertical="center" wrapText="1"/>
    </xf>
    <xf numFmtId="0" fontId="79" fillId="0" borderId="84" xfId="1" applyFont="1" applyBorder="1" applyAlignment="1">
      <alignment horizontal="center" vertical="center" wrapText="1"/>
    </xf>
    <xf numFmtId="0" fontId="79" fillId="0" borderId="80" xfId="1" applyFont="1" applyBorder="1" applyAlignment="1">
      <alignment horizontal="center" vertical="center" wrapText="1"/>
    </xf>
    <xf numFmtId="0" fontId="79" fillId="0" borderId="11" xfId="1" applyFont="1" applyBorder="1" applyAlignment="1">
      <alignment horizontal="center" vertical="center" wrapText="1"/>
    </xf>
    <xf numFmtId="0" fontId="79" fillId="0" borderId="52" xfId="1" applyFont="1" applyBorder="1" applyAlignment="1">
      <alignment horizontal="center" vertical="center" wrapText="1"/>
    </xf>
    <xf numFmtId="0" fontId="110" fillId="6" borderId="30" xfId="0" applyFont="1" applyFill="1" applyBorder="1" applyAlignment="1">
      <alignment horizontal="center" vertical="center" wrapText="1"/>
    </xf>
    <xf numFmtId="0" fontId="110" fillId="6" borderId="29" xfId="0" applyFont="1" applyFill="1" applyBorder="1" applyAlignment="1">
      <alignment horizontal="center" vertical="center" wrapText="1"/>
    </xf>
    <xf numFmtId="0" fontId="110" fillId="6" borderId="7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13" fillId="49" borderId="3" xfId="0" applyFont="1" applyFill="1" applyBorder="1" applyAlignment="1">
      <alignment horizontal="center" vertical="center"/>
    </xf>
    <xf numFmtId="0" fontId="113" fillId="49" borderId="4" xfId="0" applyFont="1" applyFill="1" applyBorder="1" applyAlignment="1">
      <alignment horizontal="center" vertical="center"/>
    </xf>
    <xf numFmtId="0" fontId="113" fillId="49" borderId="5" xfId="0" applyFont="1" applyFill="1" applyBorder="1" applyAlignment="1">
      <alignment horizontal="center" vertical="center"/>
    </xf>
  </cellXfs>
  <cellStyles count="274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10" xfId="236" xr:uid="{93577CF5-45AB-4657-9F87-8E47B9A8A982}"/>
    <cellStyle name="Comma 11" xfId="243" xr:uid="{8A7773D6-E4A1-44BA-A540-34627B34AEAB}"/>
    <cellStyle name="Comma 12" xfId="245" xr:uid="{F02B0593-C7FF-4528-B3F2-113259C243B2}"/>
    <cellStyle name="Comma 12 2" xfId="258" xr:uid="{DCA09FBF-6F4E-4151-9D48-488C8EFE7D7E}"/>
    <cellStyle name="Comma 13" xfId="244" xr:uid="{3AEAD64A-7993-4C0A-B1B6-F20A36EC9EDC}"/>
    <cellStyle name="Comma 14" xfId="253" xr:uid="{1E3B0812-2743-45E5-A22D-61085AC196AC}"/>
    <cellStyle name="Comma 15" xfId="254" xr:uid="{4A19D081-02D1-4F36-B5C2-AA0EDF581925}"/>
    <cellStyle name="Comma 15 2" xfId="272" xr:uid="{A839C603-D01A-41CF-8D40-56B4BEF2C4D5}"/>
    <cellStyle name="Comma 16" xfId="259" xr:uid="{BE7C0794-2246-43C2-84E5-86B52CA67BD8}"/>
    <cellStyle name="Comma 18 2" xfId="257" xr:uid="{AA48FB29-37C3-4020-8CC0-30E1CF276795}"/>
    <cellStyle name="Comma 2" xfId="80" xr:uid="{28A2C656-8405-4726-86CC-0015975370ED}"/>
    <cellStyle name="Comma 2 2" xfId="199" xr:uid="{84B3C01D-096C-4336-8CC3-4DA55B4BB622}"/>
    <cellStyle name="Comma 2 2 2" xfId="250" xr:uid="{F27F94F8-DCF2-4FFB-8424-95783E9CA02D}"/>
    <cellStyle name="Comma 2 2 3" xfId="263" xr:uid="{8DCDD231-F605-4B47-A4EB-15A1CE8A2DC4}"/>
    <cellStyle name="Comma 2 2 4" xfId="266" xr:uid="{D65FA0EE-3B95-485F-B183-D7BB796AD147}"/>
    <cellStyle name="Comma 2 3" xfId="233" xr:uid="{E37C7D6C-7EC6-437A-B78E-877DEF78A80C}"/>
    <cellStyle name="Comma 2 3 2" xfId="262" xr:uid="{A5580747-5848-40E3-9278-22DBCEE0F2F2}"/>
    <cellStyle name="Comma 2 4" xfId="249" xr:uid="{57F24713-E5AB-43C5-831F-F752B67300B3}"/>
    <cellStyle name="Comma 3" xfId="81" xr:uid="{4F8C863C-A373-409D-A3B5-EF216CB04DB6}"/>
    <cellStyle name="Comma 3 2" xfId="200" xr:uid="{A73043A1-7F4E-4E05-A2DD-019A1ADAC226}"/>
    <cellStyle name="Comma 3 3" xfId="246" xr:uid="{F14D6CD6-FC71-4AB4-8A7F-A303B4837B14}"/>
    <cellStyle name="Comma 3 4" xfId="261" xr:uid="{91A2396E-C29D-44C9-888D-7B8D81404BDB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7 3" xfId="265" xr:uid="{507F0DC9-1F2B-4656-BA35-EA4E674EFD2E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2 2 2" xfId="252" xr:uid="{7D464DA9-62F4-4CF8-B0A8-AA0247B0A450}"/>
    <cellStyle name="Currency 2 3" xfId="247" xr:uid="{749B8B23-5CA8-4542-899C-8A926FED03E6}"/>
    <cellStyle name="Currency 3" xfId="227" xr:uid="{D1C22437-3FA1-46CB-938A-5A2071A42EA7}"/>
    <cellStyle name="Currency 3 2" xfId="251" xr:uid="{E6818BEA-37E6-482F-BAD1-C3A8BCB2E7E9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0 2" xfId="267" xr:uid="{EC617D90-519E-4E68-859A-F4B96CBF95D4}"/>
    <cellStyle name="Normal 11" xfId="226" xr:uid="{39A4D461-2B69-45AC-BC3B-879E60BD782F}"/>
    <cellStyle name="Normal 11 2" xfId="240" xr:uid="{AF766A5A-5330-4391-95B4-7A37419A55CB}"/>
    <cellStyle name="Normal 11 2 2" xfId="269" xr:uid="{4CEA958F-FFAB-4C5D-A16A-C8688628D570}"/>
    <cellStyle name="Normal 12" xfId="8" xr:uid="{4E0B2CA2-5C40-4985-9461-F2C32F978CC3}"/>
    <cellStyle name="Normal 12 2" xfId="242" xr:uid="{09719F55-136F-4A51-9D40-3882BDD06BCD}"/>
    <cellStyle name="Normal 12 3" xfId="248" xr:uid="{FEFEEBD6-310F-4C9A-9AED-95AA71A28CFB}"/>
    <cellStyle name="Normal 17" xfId="270" xr:uid="{E3268237-DF8F-44EB-9897-986CE00CE77C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2 2" xfId="271" xr:uid="{A011D743-D48D-4096-8DD2-11F0C37BED59}"/>
    <cellStyle name="Normal 2 3 3" xfId="132" xr:uid="{103D7195-814B-43EF-A9F4-3F9048A81ECE}"/>
    <cellStyle name="Normal 2 4" xfId="131" xr:uid="{02C103A9-D0D5-4564-816E-3271313B3887}"/>
    <cellStyle name="Normal 2 5" xfId="264" xr:uid="{7D79ED7D-B5C9-4410-B316-3D5983DBEF65}"/>
    <cellStyle name="Normal 3" xfId="3" xr:uid="{00000000-0005-0000-0000-000005000000}"/>
    <cellStyle name="Normal 3 2" xfId="7" xr:uid="{00000000-0005-0000-0000-000006000000}"/>
    <cellStyle name="Normal 30 2" xfId="256" xr:uid="{562A9C5D-6911-4DF1-9482-1F925D333616}"/>
    <cellStyle name="Normal 4" xfId="6" xr:uid="{00000000-0005-0000-0000-000007000000}"/>
    <cellStyle name="Normal 4 2" xfId="208" xr:uid="{73586C69-3D9C-459B-8E00-D33BDBB31377}"/>
    <cellStyle name="Normal 4 3" xfId="133" xr:uid="{9D3CAFDD-777B-4801-B5E4-C8D8CC174EB3}"/>
    <cellStyle name="Normal 4 4" xfId="234" xr:uid="{5002FAB0-BA47-4F44-9C35-FC79D225078A}"/>
    <cellStyle name="Normal 5" xfId="1" xr:uid="{00000000-0005-0000-0000-000008000000}"/>
    <cellStyle name="Normal 5 2" xfId="209" xr:uid="{047B139D-57F4-471A-AD35-710095123A4A}"/>
    <cellStyle name="Normal 6" xfId="177" xr:uid="{CDF9C918-65BB-4DAD-81E2-02C507F79AC5}"/>
    <cellStyle name="Normal 6 2" xfId="213" xr:uid="{111C7465-8F43-4907-B96B-49F16A8879E8}"/>
    <cellStyle name="Normal 6 3" xfId="235" xr:uid="{BCB85DBC-1DA8-434A-A9B3-7D4663B14E8A}"/>
    <cellStyle name="Normal 7" xfId="187" xr:uid="{4DA7725A-B314-407C-9796-C3354AC98304}"/>
    <cellStyle name="Normal 7 2" xfId="223" xr:uid="{B9EDB1BC-64FD-4B58-B93D-25B2B0D8FBFC}"/>
    <cellStyle name="Normal 7 3" xfId="232" xr:uid="{F5CCE71F-1092-456A-B16E-5ACB26B7B589}"/>
    <cellStyle name="Normal 7 4" xfId="237" xr:uid="{10DFDB8F-A09C-4B48-9CC2-6884341CE2EE}"/>
    <cellStyle name="Normal 8" xfId="189" xr:uid="{3367B9C5-1C7A-4C44-8C8B-D58CD3A52851}"/>
    <cellStyle name="Normal 8 2" xfId="224" xr:uid="{748436D7-D10D-4DFC-A8C7-D147EE560212}"/>
    <cellStyle name="Normal 8 3" xfId="238" xr:uid="{682F28A8-150B-4572-B831-CD4B4C4F901C}"/>
    <cellStyle name="Normal 9" xfId="191" xr:uid="{EF0291C8-52C7-49DD-86DF-3CBAC3AA204E}"/>
    <cellStyle name="Normal 9 2" xfId="231" xr:uid="{D25CC614-CF27-4158-A4E9-7F3245FF24E0}"/>
    <cellStyle name="Normal 9 3" xfId="239" xr:uid="{646FD42C-8281-4944-A213-E92CBC689E41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10 2 2 2" xfId="273" xr:uid="{AD7D8B9D-68C5-4B45-8FF5-B10C40F49EBF}"/>
    <cellStyle name="Percent 2" xfId="141" xr:uid="{0A101153-44B8-4E37-9F61-33DBB78CCA32}"/>
    <cellStyle name="Percent 2 2" xfId="211" xr:uid="{BDC29773-37BF-4535-AC91-B185D1B10B0F}"/>
    <cellStyle name="Percent 2 3" xfId="241" xr:uid="{698E5E22-8612-4BC8-9362-66E40B2EEC64}"/>
    <cellStyle name="Percent 2 3 2" xfId="268" xr:uid="{ADD23D1D-93D1-41F1-82C7-F2133629D34E}"/>
    <cellStyle name="Percent 3" xfId="137" xr:uid="{178783AF-7F3E-4687-A8F3-3BDD8B6B8D1E}"/>
    <cellStyle name="Percent 3 2" xfId="260" xr:uid="{F9D8FA94-D444-4EA2-BA1D-22692E0611AF}"/>
    <cellStyle name="Percent 4" xfId="255" xr:uid="{D1BC39D2-32A3-4B63-B64B-9914A8B1C0B9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2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66FFFF"/>
          <bgColor rgb="FF000000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234"/>
      <tableStyleElement type="headerRow" dxfId="233"/>
      <tableStyleElement type="totalRow" dxfId="232"/>
      <tableStyleElement type="firstColumn" dxfId="231"/>
      <tableStyleElement type="lastColumn" dxfId="230"/>
      <tableStyleElement type="firstRowStripe" dxfId="229"/>
      <tableStyleElement type="firstColumnStripe" dxfId="228"/>
    </tableStyle>
  </tableStyles>
  <colors>
    <mruColors>
      <color rgb="FF66FFFF"/>
      <color rgb="FFFFFF66"/>
      <color rgb="FF00CCFF"/>
      <color rgb="FF66FF99"/>
      <color rgb="FF00FF00"/>
      <color rgb="FF7CEE9F"/>
      <color rgb="FF66FF66"/>
      <color rgb="FFFF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232418</xdr:colOff>
      <xdr:row>1</xdr:row>
      <xdr:rowOff>212105</xdr:rowOff>
    </xdr:from>
    <xdr:to>
      <xdr:col>0</xdr:col>
      <xdr:colOff>1253954</xdr:colOff>
      <xdr:row>3</xdr:row>
      <xdr:rowOff>97805</xdr:rowOff>
    </xdr:to>
    <xdr:pic>
      <xdr:nvPicPr>
        <xdr:cNvPr id="3" name="Picture 2" descr="companylogo">
          <a:extLst>
            <a:ext uri="{FF2B5EF4-FFF2-40B4-BE49-F238E27FC236}">
              <a16:creationId xmlns:a16="http://schemas.microsoft.com/office/drawing/2014/main" id="{2A57A61C-B92E-4AEA-8FDD-9828911A4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2418" y="476688"/>
          <a:ext cx="1021536" cy="41486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145677</xdr:colOff>
      <xdr:row>28</xdr:row>
      <xdr:rowOff>67235</xdr:rowOff>
    </xdr:from>
    <xdr:ext cx="134698" cy="425823"/>
    <xdr:pic>
      <xdr:nvPicPr>
        <xdr:cNvPr id="3768" name="Picture 11595">
          <a:extLst>
            <a:ext uri="{FF2B5EF4-FFF2-40B4-BE49-F238E27FC236}">
              <a16:creationId xmlns:a16="http://schemas.microsoft.com/office/drawing/2014/main" id="{F5D5BD66-164E-4B70-8370-D91E2E17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7824" y="5815853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7937</xdr:colOff>
      <xdr:row>5</xdr:row>
      <xdr:rowOff>31005</xdr:rowOff>
    </xdr:from>
    <xdr:to>
      <xdr:col>31</xdr:col>
      <xdr:colOff>1075765</xdr:colOff>
      <xdr:row>19</xdr:row>
      <xdr:rowOff>44142</xdr:rowOff>
    </xdr:to>
    <xdr:pic>
      <xdr:nvPicPr>
        <xdr:cNvPr id="2110" name="Picture 2109">
          <a:extLst>
            <a:ext uri="{FF2B5EF4-FFF2-40B4-BE49-F238E27FC236}">
              <a16:creationId xmlns:a16="http://schemas.microsoft.com/office/drawing/2014/main" id="{AF869BED-883F-2732-38F9-A7408A401F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31" t="2221" r="1239"/>
        <a:stretch/>
      </xdr:blipFill>
      <xdr:spPr>
        <a:xfrm>
          <a:off x="8277369" y="1243278"/>
          <a:ext cx="8052828" cy="294279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27</xdr:col>
      <xdr:colOff>148224</xdr:colOff>
      <xdr:row>17</xdr:row>
      <xdr:rowOff>66660</xdr:rowOff>
    </xdr:from>
    <xdr:to>
      <xdr:col>27</xdr:col>
      <xdr:colOff>557701</xdr:colOff>
      <xdr:row>18</xdr:row>
      <xdr:rowOff>110880</xdr:rowOff>
    </xdr:to>
    <xdr:pic>
      <xdr:nvPicPr>
        <xdr:cNvPr id="2111" name="Picture 2110" descr="Gas pipeline line icon concept. Gas ...">
          <a:extLst>
            <a:ext uri="{FF2B5EF4-FFF2-40B4-BE49-F238E27FC236}">
              <a16:creationId xmlns:a16="http://schemas.microsoft.com/office/drawing/2014/main" id="{23470FC8-7A92-5434-6D6F-3FEB41FF10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411065" y="3761205"/>
          <a:ext cx="409477" cy="260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185479</xdr:colOff>
      <xdr:row>15</xdr:row>
      <xdr:rowOff>161776</xdr:rowOff>
    </xdr:from>
    <xdr:to>
      <xdr:col>29</xdr:col>
      <xdr:colOff>47925</xdr:colOff>
      <xdr:row>17</xdr:row>
      <xdr:rowOff>59428</xdr:rowOff>
    </xdr:to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F09E165F-4C65-4A92-A54E-1F6A540189CF}"/>
            </a:ext>
          </a:extLst>
        </xdr:cNvPr>
        <xdr:cNvSpPr txBox="1"/>
      </xdr:nvSpPr>
      <xdr:spPr>
        <a:xfrm>
          <a:off x="13448320" y="3423367"/>
          <a:ext cx="858241" cy="3306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GAS</a:t>
          </a:r>
          <a:r>
            <a:rPr lang="en-US" sz="700" b="1" baseline="0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 PIPELINE</a:t>
          </a:r>
          <a:endParaRPr lang="en-US" sz="700" b="1">
            <a:latin typeface="Arial Narrow" panose="020B0606020202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22</xdr:col>
      <xdr:colOff>406400</xdr:colOff>
      <xdr:row>34</xdr:row>
      <xdr:rowOff>7055</xdr:rowOff>
    </xdr:from>
    <xdr:to>
      <xdr:col>24</xdr:col>
      <xdr:colOff>81142</xdr:colOff>
      <xdr:row>37</xdr:row>
      <xdr:rowOff>12700</xdr:rowOff>
    </xdr:to>
    <xdr:sp macro="" textlink="">
      <xdr:nvSpPr>
        <xdr:cNvPr id="2113" name="Isosceles Triangle 2112">
          <a:extLst>
            <a:ext uri="{FF2B5EF4-FFF2-40B4-BE49-F238E27FC236}">
              <a16:creationId xmlns:a16="http://schemas.microsoft.com/office/drawing/2014/main" id="{833AC0E0-82D9-45B3-BA10-D3EFB0596E64}"/>
            </a:ext>
          </a:extLst>
        </xdr:cNvPr>
        <xdr:cNvSpPr/>
      </xdr:nvSpPr>
      <xdr:spPr>
        <a:xfrm>
          <a:off x="11595100" y="6890455"/>
          <a:ext cx="703442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4233</xdr:rowOff>
    </xdr:from>
    <xdr:to>
      <xdr:col>26</xdr:col>
      <xdr:colOff>46570</xdr:colOff>
      <xdr:row>36</xdr:row>
      <xdr:rowOff>173567</xdr:rowOff>
    </xdr:to>
    <xdr:sp macro="" textlink="">
      <xdr:nvSpPr>
        <xdr:cNvPr id="2114" name="Isosceles Triangle 2113">
          <a:extLst>
            <a:ext uri="{FF2B5EF4-FFF2-40B4-BE49-F238E27FC236}">
              <a16:creationId xmlns:a16="http://schemas.microsoft.com/office/drawing/2014/main" id="{F1BC1642-648C-4BDD-BBF0-F02ACAB9FAE3}"/>
            </a:ext>
          </a:extLst>
        </xdr:cNvPr>
        <xdr:cNvSpPr/>
      </xdr:nvSpPr>
      <xdr:spPr>
        <a:xfrm>
          <a:off x="131967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34</xdr:row>
      <xdr:rowOff>13304</xdr:rowOff>
    </xdr:from>
    <xdr:to>
      <xdr:col>30</xdr:col>
      <xdr:colOff>46570</xdr:colOff>
      <xdr:row>37</xdr:row>
      <xdr:rowOff>1209</xdr:rowOff>
    </xdr:to>
    <xdr:sp macro="" textlink="">
      <xdr:nvSpPr>
        <xdr:cNvPr id="2115" name="Isosceles Triangle 2114">
          <a:extLst>
            <a:ext uri="{FF2B5EF4-FFF2-40B4-BE49-F238E27FC236}">
              <a16:creationId xmlns:a16="http://schemas.microsoft.com/office/drawing/2014/main" id="{BD21D7BF-B4DB-4A20-A123-CBB8CAD7BA01}"/>
            </a:ext>
          </a:extLst>
        </xdr:cNvPr>
        <xdr:cNvSpPr/>
      </xdr:nvSpPr>
      <xdr:spPr>
        <a:xfrm>
          <a:off x="3392315" y="471484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13304</xdr:rowOff>
    </xdr:from>
    <xdr:to>
      <xdr:col>26</xdr:col>
      <xdr:colOff>46569</xdr:colOff>
      <xdr:row>37</xdr:row>
      <xdr:rowOff>1209</xdr:rowOff>
    </xdr:to>
    <xdr:sp macro="" textlink="">
      <xdr:nvSpPr>
        <xdr:cNvPr id="2116" name="Isosceles Triangle 2115">
          <a:extLst>
            <a:ext uri="{FF2B5EF4-FFF2-40B4-BE49-F238E27FC236}">
              <a16:creationId xmlns:a16="http://schemas.microsoft.com/office/drawing/2014/main" id="{153E0520-0F9E-4B75-AF5C-E001D0EB23A3}"/>
            </a:ext>
          </a:extLst>
        </xdr:cNvPr>
        <xdr:cNvSpPr/>
      </xdr:nvSpPr>
      <xdr:spPr>
        <a:xfrm>
          <a:off x="1319675" y="4714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34</xdr:row>
      <xdr:rowOff>15522</xdr:rowOff>
    </xdr:from>
    <xdr:to>
      <xdr:col>28</xdr:col>
      <xdr:colOff>43746</xdr:colOff>
      <xdr:row>37</xdr:row>
      <xdr:rowOff>8467</xdr:rowOff>
    </xdr:to>
    <xdr:sp macro="" textlink="">
      <xdr:nvSpPr>
        <xdr:cNvPr id="2117" name="Isosceles Triangle 2116">
          <a:extLst>
            <a:ext uri="{FF2B5EF4-FFF2-40B4-BE49-F238E27FC236}">
              <a16:creationId xmlns:a16="http://schemas.microsoft.com/office/drawing/2014/main" id="{C78D563A-15E0-4D46-8381-0332EA8A4F49}"/>
            </a:ext>
          </a:extLst>
        </xdr:cNvPr>
        <xdr:cNvSpPr/>
      </xdr:nvSpPr>
      <xdr:spPr>
        <a:xfrm>
          <a:off x="2353172" y="471706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45</xdr:row>
      <xdr:rowOff>7056</xdr:rowOff>
    </xdr:from>
    <xdr:to>
      <xdr:col>2</xdr:col>
      <xdr:colOff>42332</xdr:colOff>
      <xdr:row>48</xdr:row>
      <xdr:rowOff>1</xdr:rowOff>
    </xdr:to>
    <xdr:sp macro="" textlink="">
      <xdr:nvSpPr>
        <xdr:cNvPr id="2118" name="Isosceles Triangle 2117">
          <a:extLst>
            <a:ext uri="{FF2B5EF4-FFF2-40B4-BE49-F238E27FC236}">
              <a16:creationId xmlns:a16="http://schemas.microsoft.com/office/drawing/2014/main" id="{A45ABDE8-AA5E-4431-9020-D4C6D8562D9F}"/>
            </a:ext>
          </a:extLst>
        </xdr:cNvPr>
        <xdr:cNvSpPr/>
      </xdr:nvSpPr>
      <xdr:spPr>
        <a:xfrm>
          <a:off x="442439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45</xdr:row>
      <xdr:rowOff>9380</xdr:rowOff>
    </xdr:from>
    <xdr:to>
      <xdr:col>4</xdr:col>
      <xdr:colOff>39510</xdr:colOff>
      <xdr:row>48</xdr:row>
      <xdr:rowOff>2325</xdr:rowOff>
    </xdr:to>
    <xdr:sp macro="" textlink="">
      <xdr:nvSpPr>
        <xdr:cNvPr id="2119" name="Isosceles Triangle 2118">
          <a:extLst>
            <a:ext uri="{FF2B5EF4-FFF2-40B4-BE49-F238E27FC236}">
              <a16:creationId xmlns:a16="http://schemas.microsoft.com/office/drawing/2014/main" id="{6055B8B2-4F2D-4C06-8466-39FBCCD6E36E}"/>
            </a:ext>
          </a:extLst>
        </xdr:cNvPr>
        <xdr:cNvSpPr/>
      </xdr:nvSpPr>
      <xdr:spPr>
        <a:xfrm>
          <a:off x="5457896" y="4710920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45</xdr:row>
      <xdr:rowOff>7056</xdr:rowOff>
    </xdr:from>
    <xdr:to>
      <xdr:col>6</xdr:col>
      <xdr:colOff>42332</xdr:colOff>
      <xdr:row>48</xdr:row>
      <xdr:rowOff>1</xdr:rowOff>
    </xdr:to>
    <xdr:sp macro="" textlink="">
      <xdr:nvSpPr>
        <xdr:cNvPr id="2120" name="Isosceles Triangle 2119">
          <a:extLst>
            <a:ext uri="{FF2B5EF4-FFF2-40B4-BE49-F238E27FC236}">
              <a16:creationId xmlns:a16="http://schemas.microsoft.com/office/drawing/2014/main" id="{DAEE6E3F-2C83-47E8-A4C9-A3843A98D719}"/>
            </a:ext>
          </a:extLst>
        </xdr:cNvPr>
        <xdr:cNvSpPr/>
      </xdr:nvSpPr>
      <xdr:spPr>
        <a:xfrm>
          <a:off x="6497038" y="4708596"/>
          <a:ext cx="662374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45</xdr:row>
      <xdr:rowOff>18345</xdr:rowOff>
    </xdr:from>
    <xdr:to>
      <xdr:col>8</xdr:col>
      <xdr:colOff>39510</xdr:colOff>
      <xdr:row>48</xdr:row>
      <xdr:rowOff>11290</xdr:rowOff>
    </xdr:to>
    <xdr:sp macro="" textlink="">
      <xdr:nvSpPr>
        <xdr:cNvPr id="2121" name="Isosceles Triangle 2120">
          <a:extLst>
            <a:ext uri="{FF2B5EF4-FFF2-40B4-BE49-F238E27FC236}">
              <a16:creationId xmlns:a16="http://schemas.microsoft.com/office/drawing/2014/main" id="{1F6D0609-0333-4D7D-A229-6DA2FB97E1B3}"/>
            </a:ext>
          </a:extLst>
        </xdr:cNvPr>
        <xdr:cNvSpPr/>
      </xdr:nvSpPr>
      <xdr:spPr>
        <a:xfrm>
          <a:off x="7530536" y="47198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45</xdr:row>
      <xdr:rowOff>5135</xdr:rowOff>
    </xdr:from>
    <xdr:to>
      <xdr:col>10</xdr:col>
      <xdr:colOff>42332</xdr:colOff>
      <xdr:row>47</xdr:row>
      <xdr:rowOff>168409</xdr:rowOff>
    </xdr:to>
    <xdr:sp macro="" textlink="">
      <xdr:nvSpPr>
        <xdr:cNvPr id="2122" name="Isosceles Triangle 2121">
          <a:extLst>
            <a:ext uri="{FF2B5EF4-FFF2-40B4-BE49-F238E27FC236}">
              <a16:creationId xmlns:a16="http://schemas.microsoft.com/office/drawing/2014/main" id="{FB266428-7327-4A95-BE09-6785353EDA34}"/>
            </a:ext>
          </a:extLst>
        </xdr:cNvPr>
        <xdr:cNvSpPr/>
      </xdr:nvSpPr>
      <xdr:spPr>
        <a:xfrm>
          <a:off x="8569678" y="4706675"/>
          <a:ext cx="66999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45</xdr:row>
      <xdr:rowOff>9380</xdr:rowOff>
    </xdr:from>
    <xdr:to>
      <xdr:col>12</xdr:col>
      <xdr:colOff>39510</xdr:colOff>
      <xdr:row>48</xdr:row>
      <xdr:rowOff>2325</xdr:rowOff>
    </xdr:to>
    <xdr:sp macro="" textlink="">
      <xdr:nvSpPr>
        <xdr:cNvPr id="2123" name="Isosceles Triangle 2122">
          <a:extLst>
            <a:ext uri="{FF2B5EF4-FFF2-40B4-BE49-F238E27FC236}">
              <a16:creationId xmlns:a16="http://schemas.microsoft.com/office/drawing/2014/main" id="{A8DE26E0-5C3E-453A-9187-5FFDBBE025AB}"/>
            </a:ext>
          </a:extLst>
        </xdr:cNvPr>
        <xdr:cNvSpPr/>
      </xdr:nvSpPr>
      <xdr:spPr>
        <a:xfrm>
          <a:off x="9610796" y="4710920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368734</xdr:colOff>
      <xdr:row>45</xdr:row>
      <xdr:rowOff>18345</xdr:rowOff>
    </xdr:from>
    <xdr:to>
      <xdr:col>24</xdr:col>
      <xdr:colOff>86228</xdr:colOff>
      <xdr:row>48</xdr:row>
      <xdr:rowOff>11290</xdr:rowOff>
    </xdr:to>
    <xdr:sp macro="" textlink="">
      <xdr:nvSpPr>
        <xdr:cNvPr id="2124" name="Isosceles Triangle 2123">
          <a:extLst>
            <a:ext uri="{FF2B5EF4-FFF2-40B4-BE49-F238E27FC236}">
              <a16:creationId xmlns:a16="http://schemas.microsoft.com/office/drawing/2014/main" id="{2C1A5FD5-5727-46DF-95F1-B1DE5F84F0ED}"/>
            </a:ext>
          </a:extLst>
        </xdr:cNvPr>
        <xdr:cNvSpPr/>
      </xdr:nvSpPr>
      <xdr:spPr>
        <a:xfrm>
          <a:off x="11243109" y="8590845"/>
          <a:ext cx="717619" cy="46919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45</xdr:row>
      <xdr:rowOff>7056</xdr:rowOff>
    </xdr:from>
    <xdr:to>
      <xdr:col>26</xdr:col>
      <xdr:colOff>42332</xdr:colOff>
      <xdr:row>48</xdr:row>
      <xdr:rowOff>1</xdr:rowOff>
    </xdr:to>
    <xdr:sp macro="" textlink="">
      <xdr:nvSpPr>
        <xdr:cNvPr id="2125" name="Isosceles Triangle 2124">
          <a:extLst>
            <a:ext uri="{FF2B5EF4-FFF2-40B4-BE49-F238E27FC236}">
              <a16:creationId xmlns:a16="http://schemas.microsoft.com/office/drawing/2014/main" id="{527878FD-9612-4055-8E44-6E61D54215F9}"/>
            </a:ext>
          </a:extLst>
        </xdr:cNvPr>
        <xdr:cNvSpPr/>
      </xdr:nvSpPr>
      <xdr:spPr>
        <a:xfrm>
          <a:off x="131543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45</xdr:row>
      <xdr:rowOff>18345</xdr:rowOff>
    </xdr:from>
    <xdr:to>
      <xdr:col>28</xdr:col>
      <xdr:colOff>39510</xdr:colOff>
      <xdr:row>48</xdr:row>
      <xdr:rowOff>11290</xdr:rowOff>
    </xdr:to>
    <xdr:sp macro="" textlink="">
      <xdr:nvSpPr>
        <xdr:cNvPr id="2126" name="Isosceles Triangle 2125">
          <a:extLst>
            <a:ext uri="{FF2B5EF4-FFF2-40B4-BE49-F238E27FC236}">
              <a16:creationId xmlns:a16="http://schemas.microsoft.com/office/drawing/2014/main" id="{99E50D5F-BF11-4DFD-BEAA-45533F753CAB}"/>
            </a:ext>
          </a:extLst>
        </xdr:cNvPr>
        <xdr:cNvSpPr/>
      </xdr:nvSpPr>
      <xdr:spPr>
        <a:xfrm>
          <a:off x="234893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45</xdr:row>
      <xdr:rowOff>7056</xdr:rowOff>
    </xdr:from>
    <xdr:to>
      <xdr:col>30</xdr:col>
      <xdr:colOff>42332</xdr:colOff>
      <xdr:row>48</xdr:row>
      <xdr:rowOff>1</xdr:rowOff>
    </xdr:to>
    <xdr:sp macro="" textlink="">
      <xdr:nvSpPr>
        <xdr:cNvPr id="2127" name="Isosceles Triangle 2126">
          <a:extLst>
            <a:ext uri="{FF2B5EF4-FFF2-40B4-BE49-F238E27FC236}">
              <a16:creationId xmlns:a16="http://schemas.microsoft.com/office/drawing/2014/main" id="{40E90CFE-9F64-46A7-9D04-D6D628D21EE4}"/>
            </a:ext>
          </a:extLst>
        </xdr:cNvPr>
        <xdr:cNvSpPr/>
      </xdr:nvSpPr>
      <xdr:spPr>
        <a:xfrm>
          <a:off x="338807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57</xdr:row>
      <xdr:rowOff>4233</xdr:rowOff>
    </xdr:from>
    <xdr:to>
      <xdr:col>6</xdr:col>
      <xdr:colOff>46570</xdr:colOff>
      <xdr:row>59</xdr:row>
      <xdr:rowOff>173567</xdr:rowOff>
    </xdr:to>
    <xdr:sp macro="" textlink="">
      <xdr:nvSpPr>
        <xdr:cNvPr id="2130" name="Isosceles Triangle 2129">
          <a:extLst>
            <a:ext uri="{FF2B5EF4-FFF2-40B4-BE49-F238E27FC236}">
              <a16:creationId xmlns:a16="http://schemas.microsoft.com/office/drawing/2014/main" id="{C5DE98B9-D441-4721-AB3E-D0C15A512B76}"/>
            </a:ext>
          </a:extLst>
        </xdr:cNvPr>
        <xdr:cNvSpPr/>
      </xdr:nvSpPr>
      <xdr:spPr>
        <a:xfrm>
          <a:off x="6501275" y="674793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57</xdr:row>
      <xdr:rowOff>13304</xdr:rowOff>
    </xdr:from>
    <xdr:to>
      <xdr:col>10</xdr:col>
      <xdr:colOff>46570</xdr:colOff>
      <xdr:row>60</xdr:row>
      <xdr:rowOff>1209</xdr:rowOff>
    </xdr:to>
    <xdr:sp macro="" textlink="">
      <xdr:nvSpPr>
        <xdr:cNvPr id="2131" name="Isosceles Triangle 2130">
          <a:extLst>
            <a:ext uri="{FF2B5EF4-FFF2-40B4-BE49-F238E27FC236}">
              <a16:creationId xmlns:a16="http://schemas.microsoft.com/office/drawing/2014/main" id="{BC003568-199C-41A9-8D6D-32CFDB5C6464}"/>
            </a:ext>
          </a:extLst>
        </xdr:cNvPr>
        <xdr:cNvSpPr/>
      </xdr:nvSpPr>
      <xdr:spPr>
        <a:xfrm>
          <a:off x="8573915" y="6757004"/>
          <a:ext cx="66999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57</xdr:row>
      <xdr:rowOff>13304</xdr:rowOff>
    </xdr:from>
    <xdr:to>
      <xdr:col>6</xdr:col>
      <xdr:colOff>46569</xdr:colOff>
      <xdr:row>60</xdr:row>
      <xdr:rowOff>1209</xdr:rowOff>
    </xdr:to>
    <xdr:sp macro="" textlink="">
      <xdr:nvSpPr>
        <xdr:cNvPr id="2132" name="Isosceles Triangle 2131">
          <a:extLst>
            <a:ext uri="{FF2B5EF4-FFF2-40B4-BE49-F238E27FC236}">
              <a16:creationId xmlns:a16="http://schemas.microsoft.com/office/drawing/2014/main" id="{9DD3B515-571D-41F5-AB62-6CCA69355BE0}"/>
            </a:ext>
          </a:extLst>
        </xdr:cNvPr>
        <xdr:cNvSpPr/>
      </xdr:nvSpPr>
      <xdr:spPr>
        <a:xfrm>
          <a:off x="6501275" y="675700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57</xdr:row>
      <xdr:rowOff>15522</xdr:rowOff>
    </xdr:from>
    <xdr:to>
      <xdr:col>8</xdr:col>
      <xdr:colOff>43746</xdr:colOff>
      <xdr:row>60</xdr:row>
      <xdr:rowOff>8467</xdr:rowOff>
    </xdr:to>
    <xdr:sp macro="" textlink="">
      <xdr:nvSpPr>
        <xdr:cNvPr id="2133" name="Isosceles Triangle 2132">
          <a:extLst>
            <a:ext uri="{FF2B5EF4-FFF2-40B4-BE49-F238E27FC236}">
              <a16:creationId xmlns:a16="http://schemas.microsoft.com/office/drawing/2014/main" id="{2EB39F0A-4E89-4A37-B30B-5D959A54C073}"/>
            </a:ext>
          </a:extLst>
        </xdr:cNvPr>
        <xdr:cNvSpPr/>
      </xdr:nvSpPr>
      <xdr:spPr>
        <a:xfrm>
          <a:off x="7534772" y="67592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57</xdr:row>
      <xdr:rowOff>7056</xdr:rowOff>
    </xdr:from>
    <xdr:to>
      <xdr:col>12</xdr:col>
      <xdr:colOff>42332</xdr:colOff>
      <xdr:row>60</xdr:row>
      <xdr:rowOff>1</xdr:rowOff>
    </xdr:to>
    <xdr:sp macro="" textlink="">
      <xdr:nvSpPr>
        <xdr:cNvPr id="2134" name="Isosceles Triangle 2133">
          <a:extLst>
            <a:ext uri="{FF2B5EF4-FFF2-40B4-BE49-F238E27FC236}">
              <a16:creationId xmlns:a16="http://schemas.microsoft.com/office/drawing/2014/main" id="{A0F090C0-A92B-4342-91BE-DA770A7599A0}"/>
            </a:ext>
          </a:extLst>
        </xdr:cNvPr>
        <xdr:cNvSpPr/>
      </xdr:nvSpPr>
      <xdr:spPr>
        <a:xfrm>
          <a:off x="961361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57</xdr:row>
      <xdr:rowOff>7056</xdr:rowOff>
    </xdr:from>
    <xdr:to>
      <xdr:col>16</xdr:col>
      <xdr:colOff>42332</xdr:colOff>
      <xdr:row>60</xdr:row>
      <xdr:rowOff>1</xdr:rowOff>
    </xdr:to>
    <xdr:sp macro="" textlink="">
      <xdr:nvSpPr>
        <xdr:cNvPr id="2136" name="Isosceles Triangle 2135">
          <a:extLst>
            <a:ext uri="{FF2B5EF4-FFF2-40B4-BE49-F238E27FC236}">
              <a16:creationId xmlns:a16="http://schemas.microsoft.com/office/drawing/2014/main" id="{FD3E8394-E9B1-4680-A425-31D522A7CD6E}"/>
            </a:ext>
          </a:extLst>
        </xdr:cNvPr>
        <xdr:cNvSpPr/>
      </xdr:nvSpPr>
      <xdr:spPr>
        <a:xfrm>
          <a:off x="1168625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57</xdr:row>
      <xdr:rowOff>18345</xdr:rowOff>
    </xdr:from>
    <xdr:to>
      <xdr:col>18</xdr:col>
      <xdr:colOff>39510</xdr:colOff>
      <xdr:row>60</xdr:row>
      <xdr:rowOff>11290</xdr:rowOff>
    </xdr:to>
    <xdr:sp macro="" textlink="">
      <xdr:nvSpPr>
        <xdr:cNvPr id="2137" name="Isosceles Triangle 2136">
          <a:extLst>
            <a:ext uri="{FF2B5EF4-FFF2-40B4-BE49-F238E27FC236}">
              <a16:creationId xmlns:a16="http://schemas.microsoft.com/office/drawing/2014/main" id="{C8EC977D-57DF-4448-AA87-EFED17B6DB22}"/>
            </a:ext>
          </a:extLst>
        </xdr:cNvPr>
        <xdr:cNvSpPr/>
      </xdr:nvSpPr>
      <xdr:spPr>
        <a:xfrm>
          <a:off x="12719756" y="676204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57</xdr:row>
      <xdr:rowOff>7056</xdr:rowOff>
    </xdr:from>
    <xdr:to>
      <xdr:col>20</xdr:col>
      <xdr:colOff>42332</xdr:colOff>
      <xdr:row>60</xdr:row>
      <xdr:rowOff>1</xdr:rowOff>
    </xdr:to>
    <xdr:sp macro="" textlink="">
      <xdr:nvSpPr>
        <xdr:cNvPr id="2138" name="Isosceles Triangle 2137">
          <a:extLst>
            <a:ext uri="{FF2B5EF4-FFF2-40B4-BE49-F238E27FC236}">
              <a16:creationId xmlns:a16="http://schemas.microsoft.com/office/drawing/2014/main" id="{4D6A588B-7417-47EF-9913-B298E63B5132}"/>
            </a:ext>
          </a:extLst>
        </xdr:cNvPr>
        <xdr:cNvSpPr/>
      </xdr:nvSpPr>
      <xdr:spPr>
        <a:xfrm>
          <a:off x="13758898" y="67507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57</xdr:row>
      <xdr:rowOff>18345</xdr:rowOff>
    </xdr:from>
    <xdr:to>
      <xdr:col>22</xdr:col>
      <xdr:colOff>39510</xdr:colOff>
      <xdr:row>60</xdr:row>
      <xdr:rowOff>11290</xdr:rowOff>
    </xdr:to>
    <xdr:sp macro="" textlink="">
      <xdr:nvSpPr>
        <xdr:cNvPr id="2139" name="Isosceles Triangle 2138">
          <a:extLst>
            <a:ext uri="{FF2B5EF4-FFF2-40B4-BE49-F238E27FC236}">
              <a16:creationId xmlns:a16="http://schemas.microsoft.com/office/drawing/2014/main" id="{D92E416B-F3B2-4E83-99B2-9C2536B8BC56}"/>
            </a:ext>
          </a:extLst>
        </xdr:cNvPr>
        <xdr:cNvSpPr/>
      </xdr:nvSpPr>
      <xdr:spPr>
        <a:xfrm>
          <a:off x="1479239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326033</xdr:colOff>
      <xdr:row>57</xdr:row>
      <xdr:rowOff>22838</xdr:rowOff>
    </xdr:from>
    <xdr:to>
      <xdr:col>24</xdr:col>
      <xdr:colOff>93199</xdr:colOff>
      <xdr:row>60</xdr:row>
      <xdr:rowOff>15783</xdr:rowOff>
    </xdr:to>
    <xdr:sp macro="" textlink="">
      <xdr:nvSpPr>
        <xdr:cNvPr id="2140" name="Isosceles Triangle 2139">
          <a:extLst>
            <a:ext uri="{FF2B5EF4-FFF2-40B4-BE49-F238E27FC236}">
              <a16:creationId xmlns:a16="http://schemas.microsoft.com/office/drawing/2014/main" id="{C5684C60-AB29-4569-80AA-1255B8697AAB}"/>
            </a:ext>
          </a:extLst>
        </xdr:cNvPr>
        <xdr:cNvSpPr/>
      </xdr:nvSpPr>
      <xdr:spPr>
        <a:xfrm>
          <a:off x="11201413" y="10801762"/>
          <a:ext cx="767894" cy="49933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57</xdr:row>
      <xdr:rowOff>4233</xdr:rowOff>
    </xdr:from>
    <xdr:to>
      <xdr:col>26</xdr:col>
      <xdr:colOff>46570</xdr:colOff>
      <xdr:row>59</xdr:row>
      <xdr:rowOff>173567</xdr:rowOff>
    </xdr:to>
    <xdr:sp macro="" textlink="">
      <xdr:nvSpPr>
        <xdr:cNvPr id="2141" name="Isosceles Triangle 2140">
          <a:extLst>
            <a:ext uri="{FF2B5EF4-FFF2-40B4-BE49-F238E27FC236}">
              <a16:creationId xmlns:a16="http://schemas.microsoft.com/office/drawing/2014/main" id="{32866E00-337C-40C7-A3B5-B287A6455DD2}"/>
            </a:ext>
          </a:extLst>
        </xdr:cNvPr>
        <xdr:cNvSpPr/>
      </xdr:nvSpPr>
      <xdr:spPr>
        <a:xfrm>
          <a:off x="131967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  <xdr:twoCellAnchor>
    <xdr:from>
      <xdr:col>28</xdr:col>
      <xdr:colOff>420515</xdr:colOff>
      <xdr:row>57</xdr:row>
      <xdr:rowOff>13304</xdr:rowOff>
    </xdr:from>
    <xdr:to>
      <xdr:col>30</xdr:col>
      <xdr:colOff>46570</xdr:colOff>
      <xdr:row>60</xdr:row>
      <xdr:rowOff>1210</xdr:rowOff>
    </xdr:to>
    <xdr:sp macro="" textlink="">
      <xdr:nvSpPr>
        <xdr:cNvPr id="2142" name="Isosceles Triangle 2141">
          <a:extLst>
            <a:ext uri="{FF2B5EF4-FFF2-40B4-BE49-F238E27FC236}">
              <a16:creationId xmlns:a16="http://schemas.microsoft.com/office/drawing/2014/main" id="{D68C526F-3E9C-42B7-97D3-98C142372385}"/>
            </a:ext>
          </a:extLst>
        </xdr:cNvPr>
        <xdr:cNvSpPr/>
      </xdr:nvSpPr>
      <xdr:spPr>
        <a:xfrm>
          <a:off x="3392315" y="895918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57</xdr:row>
      <xdr:rowOff>13304</xdr:rowOff>
    </xdr:from>
    <xdr:to>
      <xdr:col>26</xdr:col>
      <xdr:colOff>46569</xdr:colOff>
      <xdr:row>60</xdr:row>
      <xdr:rowOff>1210</xdr:rowOff>
    </xdr:to>
    <xdr:sp macro="" textlink="">
      <xdr:nvSpPr>
        <xdr:cNvPr id="2143" name="Isosceles Triangle 2142">
          <a:extLst>
            <a:ext uri="{FF2B5EF4-FFF2-40B4-BE49-F238E27FC236}">
              <a16:creationId xmlns:a16="http://schemas.microsoft.com/office/drawing/2014/main" id="{B0A372D1-E409-4057-A54D-0BF39D00B89E}"/>
            </a:ext>
          </a:extLst>
        </xdr:cNvPr>
        <xdr:cNvSpPr/>
      </xdr:nvSpPr>
      <xdr:spPr>
        <a:xfrm>
          <a:off x="1319675" y="89591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57</xdr:row>
      <xdr:rowOff>15522</xdr:rowOff>
    </xdr:from>
    <xdr:to>
      <xdr:col>28</xdr:col>
      <xdr:colOff>43746</xdr:colOff>
      <xdr:row>60</xdr:row>
      <xdr:rowOff>8467</xdr:rowOff>
    </xdr:to>
    <xdr:sp macro="" textlink="">
      <xdr:nvSpPr>
        <xdr:cNvPr id="2144" name="Isosceles Triangle 2143">
          <a:extLst>
            <a:ext uri="{FF2B5EF4-FFF2-40B4-BE49-F238E27FC236}">
              <a16:creationId xmlns:a16="http://schemas.microsoft.com/office/drawing/2014/main" id="{31A3D473-100D-46BE-8F03-498CF8840CF6}"/>
            </a:ext>
          </a:extLst>
        </xdr:cNvPr>
        <xdr:cNvSpPr/>
      </xdr:nvSpPr>
      <xdr:spPr>
        <a:xfrm>
          <a:off x="2353172" y="89614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70</xdr:row>
      <xdr:rowOff>7056</xdr:rowOff>
    </xdr:from>
    <xdr:to>
      <xdr:col>2</xdr:col>
      <xdr:colOff>42332</xdr:colOff>
      <xdr:row>73</xdr:row>
      <xdr:rowOff>1</xdr:rowOff>
    </xdr:to>
    <xdr:sp macro="" textlink="">
      <xdr:nvSpPr>
        <xdr:cNvPr id="2145" name="Isosceles Triangle 2144">
          <a:extLst>
            <a:ext uri="{FF2B5EF4-FFF2-40B4-BE49-F238E27FC236}">
              <a16:creationId xmlns:a16="http://schemas.microsoft.com/office/drawing/2014/main" id="{28E7C0D3-F56C-4EC3-8AA9-80353EDDE5AE}"/>
            </a:ext>
          </a:extLst>
        </xdr:cNvPr>
        <xdr:cNvSpPr/>
      </xdr:nvSpPr>
      <xdr:spPr>
        <a:xfrm>
          <a:off x="4424398" y="89529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70</xdr:row>
      <xdr:rowOff>18345</xdr:rowOff>
    </xdr:from>
    <xdr:to>
      <xdr:col>4</xdr:col>
      <xdr:colOff>39510</xdr:colOff>
      <xdr:row>73</xdr:row>
      <xdr:rowOff>11290</xdr:rowOff>
    </xdr:to>
    <xdr:sp macro="" textlink="">
      <xdr:nvSpPr>
        <xdr:cNvPr id="2146" name="Isosceles Triangle 2145">
          <a:extLst>
            <a:ext uri="{FF2B5EF4-FFF2-40B4-BE49-F238E27FC236}">
              <a16:creationId xmlns:a16="http://schemas.microsoft.com/office/drawing/2014/main" id="{1E6DDB4C-D1A0-4233-BE49-6BC3C535AAA5}"/>
            </a:ext>
          </a:extLst>
        </xdr:cNvPr>
        <xdr:cNvSpPr/>
      </xdr:nvSpPr>
      <xdr:spPr>
        <a:xfrm>
          <a:off x="54578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70</xdr:row>
      <xdr:rowOff>7056</xdr:rowOff>
    </xdr:from>
    <xdr:to>
      <xdr:col>6</xdr:col>
      <xdr:colOff>42332</xdr:colOff>
      <xdr:row>73</xdr:row>
      <xdr:rowOff>1</xdr:rowOff>
    </xdr:to>
    <xdr:sp macro="" textlink="">
      <xdr:nvSpPr>
        <xdr:cNvPr id="2147" name="Isosceles Triangle 2146">
          <a:extLst>
            <a:ext uri="{FF2B5EF4-FFF2-40B4-BE49-F238E27FC236}">
              <a16:creationId xmlns:a16="http://schemas.microsoft.com/office/drawing/2014/main" id="{8B5DFD19-EBB4-4BF4-AD2A-FE602BD40C95}"/>
            </a:ext>
          </a:extLst>
        </xdr:cNvPr>
        <xdr:cNvSpPr/>
      </xdr:nvSpPr>
      <xdr:spPr>
        <a:xfrm>
          <a:off x="6497038" y="89529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70</xdr:row>
      <xdr:rowOff>18345</xdr:rowOff>
    </xdr:from>
    <xdr:to>
      <xdr:col>8</xdr:col>
      <xdr:colOff>39510</xdr:colOff>
      <xdr:row>73</xdr:row>
      <xdr:rowOff>11290</xdr:rowOff>
    </xdr:to>
    <xdr:sp macro="" textlink="">
      <xdr:nvSpPr>
        <xdr:cNvPr id="2148" name="Isosceles Triangle 2147">
          <a:extLst>
            <a:ext uri="{FF2B5EF4-FFF2-40B4-BE49-F238E27FC236}">
              <a16:creationId xmlns:a16="http://schemas.microsoft.com/office/drawing/2014/main" id="{C51DC23B-5EED-4736-B0BA-46BD686F19BF}"/>
            </a:ext>
          </a:extLst>
        </xdr:cNvPr>
        <xdr:cNvSpPr/>
      </xdr:nvSpPr>
      <xdr:spPr>
        <a:xfrm>
          <a:off x="753053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70</xdr:row>
      <xdr:rowOff>7056</xdr:rowOff>
    </xdr:from>
    <xdr:to>
      <xdr:col>10</xdr:col>
      <xdr:colOff>42332</xdr:colOff>
      <xdr:row>73</xdr:row>
      <xdr:rowOff>1</xdr:rowOff>
    </xdr:to>
    <xdr:sp macro="" textlink="">
      <xdr:nvSpPr>
        <xdr:cNvPr id="2149" name="Isosceles Triangle 2148">
          <a:extLst>
            <a:ext uri="{FF2B5EF4-FFF2-40B4-BE49-F238E27FC236}">
              <a16:creationId xmlns:a16="http://schemas.microsoft.com/office/drawing/2014/main" id="{E89974CC-AF3D-4C45-A4FC-4343914354EC}"/>
            </a:ext>
          </a:extLst>
        </xdr:cNvPr>
        <xdr:cNvSpPr/>
      </xdr:nvSpPr>
      <xdr:spPr>
        <a:xfrm>
          <a:off x="8569678" y="89529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70</xdr:row>
      <xdr:rowOff>18345</xdr:rowOff>
    </xdr:from>
    <xdr:to>
      <xdr:col>12</xdr:col>
      <xdr:colOff>39510</xdr:colOff>
      <xdr:row>73</xdr:row>
      <xdr:rowOff>11290</xdr:rowOff>
    </xdr:to>
    <xdr:sp macro="" textlink="">
      <xdr:nvSpPr>
        <xdr:cNvPr id="2150" name="Isosceles Triangle 2149">
          <a:extLst>
            <a:ext uri="{FF2B5EF4-FFF2-40B4-BE49-F238E27FC236}">
              <a16:creationId xmlns:a16="http://schemas.microsoft.com/office/drawing/2014/main" id="{B5D496B7-BBA4-4D8F-B671-7D16A8869C65}"/>
            </a:ext>
          </a:extLst>
        </xdr:cNvPr>
        <xdr:cNvSpPr/>
      </xdr:nvSpPr>
      <xdr:spPr>
        <a:xfrm>
          <a:off x="96107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385482</xdr:colOff>
      <xdr:row>70</xdr:row>
      <xdr:rowOff>7055</xdr:rowOff>
    </xdr:from>
    <xdr:to>
      <xdr:col>14</xdr:col>
      <xdr:colOff>49391</xdr:colOff>
      <xdr:row>73</xdr:row>
      <xdr:rowOff>0</xdr:rowOff>
    </xdr:to>
    <xdr:sp macro="" textlink="">
      <xdr:nvSpPr>
        <xdr:cNvPr id="2151" name="Isosceles Triangle 2150">
          <a:extLst>
            <a:ext uri="{FF2B5EF4-FFF2-40B4-BE49-F238E27FC236}">
              <a16:creationId xmlns:a16="http://schemas.microsoft.com/office/drawing/2014/main" id="{B174399C-4C81-4583-BEED-E4E354C4ECE5}"/>
            </a:ext>
          </a:extLst>
        </xdr:cNvPr>
        <xdr:cNvSpPr/>
      </xdr:nvSpPr>
      <xdr:spPr>
        <a:xfrm>
          <a:off x="10619142" y="8952935"/>
          <a:ext cx="700229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70</xdr:row>
      <xdr:rowOff>4233</xdr:rowOff>
    </xdr:from>
    <xdr:to>
      <xdr:col>16</xdr:col>
      <xdr:colOff>46570</xdr:colOff>
      <xdr:row>72</xdr:row>
      <xdr:rowOff>173567</xdr:rowOff>
    </xdr:to>
    <xdr:sp macro="" textlink="">
      <xdr:nvSpPr>
        <xdr:cNvPr id="2152" name="Isosceles Triangle 2151">
          <a:extLst>
            <a:ext uri="{FF2B5EF4-FFF2-40B4-BE49-F238E27FC236}">
              <a16:creationId xmlns:a16="http://schemas.microsoft.com/office/drawing/2014/main" id="{C8E1CB87-B095-4C3C-9493-DD20AF8CE8BE}"/>
            </a:ext>
          </a:extLst>
        </xdr:cNvPr>
        <xdr:cNvSpPr/>
      </xdr:nvSpPr>
      <xdr:spPr>
        <a:xfrm>
          <a:off x="1169049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407815</xdr:colOff>
      <xdr:row>70</xdr:row>
      <xdr:rowOff>13304</xdr:rowOff>
    </xdr:from>
    <xdr:to>
      <xdr:col>20</xdr:col>
      <xdr:colOff>33870</xdr:colOff>
      <xdr:row>73</xdr:row>
      <xdr:rowOff>1209</xdr:rowOff>
    </xdr:to>
    <xdr:sp macro="" textlink="">
      <xdr:nvSpPr>
        <xdr:cNvPr id="2153" name="Isosceles Triangle 2152">
          <a:extLst>
            <a:ext uri="{FF2B5EF4-FFF2-40B4-BE49-F238E27FC236}">
              <a16:creationId xmlns:a16="http://schemas.microsoft.com/office/drawing/2014/main" id="{CB87D8F6-BB7F-4F96-8052-74791EF15C7F}"/>
            </a:ext>
          </a:extLst>
        </xdr:cNvPr>
        <xdr:cNvSpPr/>
      </xdr:nvSpPr>
      <xdr:spPr>
        <a:xfrm>
          <a:off x="9539115" y="13272104"/>
          <a:ext cx="654755" cy="4832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70</xdr:row>
      <xdr:rowOff>13304</xdr:rowOff>
    </xdr:from>
    <xdr:to>
      <xdr:col>16</xdr:col>
      <xdr:colOff>46569</xdr:colOff>
      <xdr:row>73</xdr:row>
      <xdr:rowOff>1209</xdr:rowOff>
    </xdr:to>
    <xdr:sp macro="" textlink="">
      <xdr:nvSpPr>
        <xdr:cNvPr id="2154" name="Isosceles Triangle 2153">
          <a:extLst>
            <a:ext uri="{FF2B5EF4-FFF2-40B4-BE49-F238E27FC236}">
              <a16:creationId xmlns:a16="http://schemas.microsoft.com/office/drawing/2014/main" id="{1A22985D-2C52-4D0C-9F44-3FF21AB73D8E}"/>
            </a:ext>
          </a:extLst>
        </xdr:cNvPr>
        <xdr:cNvSpPr/>
      </xdr:nvSpPr>
      <xdr:spPr>
        <a:xfrm>
          <a:off x="11690495" y="895918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70</xdr:row>
      <xdr:rowOff>15522</xdr:rowOff>
    </xdr:from>
    <xdr:to>
      <xdr:col>18</xdr:col>
      <xdr:colOff>43746</xdr:colOff>
      <xdr:row>73</xdr:row>
      <xdr:rowOff>8467</xdr:rowOff>
    </xdr:to>
    <xdr:sp macro="" textlink="">
      <xdr:nvSpPr>
        <xdr:cNvPr id="2155" name="Isosceles Triangle 2154">
          <a:extLst>
            <a:ext uri="{FF2B5EF4-FFF2-40B4-BE49-F238E27FC236}">
              <a16:creationId xmlns:a16="http://schemas.microsoft.com/office/drawing/2014/main" id="{C492712B-14AB-4B4C-9B7A-BEFCB17C4B69}"/>
            </a:ext>
          </a:extLst>
        </xdr:cNvPr>
        <xdr:cNvSpPr/>
      </xdr:nvSpPr>
      <xdr:spPr>
        <a:xfrm>
          <a:off x="12723992" y="896140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394507</xdr:colOff>
      <xdr:row>70</xdr:row>
      <xdr:rowOff>28827</xdr:rowOff>
    </xdr:from>
    <xdr:to>
      <xdr:col>22</xdr:col>
      <xdr:colOff>20561</xdr:colOff>
      <xdr:row>73</xdr:row>
      <xdr:rowOff>21772</xdr:rowOff>
    </xdr:to>
    <xdr:sp macro="" textlink="">
      <xdr:nvSpPr>
        <xdr:cNvPr id="2156" name="Isosceles Triangle 2155">
          <a:extLst>
            <a:ext uri="{FF2B5EF4-FFF2-40B4-BE49-F238E27FC236}">
              <a16:creationId xmlns:a16="http://schemas.microsoft.com/office/drawing/2014/main" id="{2B440F23-ACF8-4DBB-95A4-5176F579B78E}"/>
            </a:ext>
          </a:extLst>
        </xdr:cNvPr>
        <xdr:cNvSpPr/>
      </xdr:nvSpPr>
      <xdr:spPr>
        <a:xfrm>
          <a:off x="14773447" y="8974707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343460</xdr:colOff>
      <xdr:row>70</xdr:row>
      <xdr:rowOff>18345</xdr:rowOff>
    </xdr:from>
    <xdr:to>
      <xdr:col>24</xdr:col>
      <xdr:colOff>87135</xdr:colOff>
      <xdr:row>73</xdr:row>
      <xdr:rowOff>11290</xdr:rowOff>
    </xdr:to>
    <xdr:sp macro="" textlink="">
      <xdr:nvSpPr>
        <xdr:cNvPr id="2157" name="Isosceles Triangle 2156">
          <a:extLst>
            <a:ext uri="{FF2B5EF4-FFF2-40B4-BE49-F238E27FC236}">
              <a16:creationId xmlns:a16="http://schemas.microsoft.com/office/drawing/2014/main" id="{6AF0B081-CD4C-4274-B3FE-B73C1A213F68}"/>
            </a:ext>
          </a:extLst>
        </xdr:cNvPr>
        <xdr:cNvSpPr/>
      </xdr:nvSpPr>
      <xdr:spPr>
        <a:xfrm>
          <a:off x="11217835" y="12892970"/>
          <a:ext cx="743800" cy="516820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70</xdr:row>
      <xdr:rowOff>7056</xdr:rowOff>
    </xdr:from>
    <xdr:to>
      <xdr:col>26</xdr:col>
      <xdr:colOff>42332</xdr:colOff>
      <xdr:row>73</xdr:row>
      <xdr:rowOff>1</xdr:rowOff>
    </xdr:to>
    <xdr:sp macro="" textlink="">
      <xdr:nvSpPr>
        <xdr:cNvPr id="2158" name="Isosceles Triangle 2157">
          <a:extLst>
            <a:ext uri="{FF2B5EF4-FFF2-40B4-BE49-F238E27FC236}">
              <a16:creationId xmlns:a16="http://schemas.microsoft.com/office/drawing/2014/main" id="{D31221B3-A205-4DCC-8E70-0618C58B2469}"/>
            </a:ext>
          </a:extLst>
        </xdr:cNvPr>
        <xdr:cNvSpPr/>
      </xdr:nvSpPr>
      <xdr:spPr>
        <a:xfrm>
          <a:off x="131543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70</xdr:row>
      <xdr:rowOff>18345</xdr:rowOff>
    </xdr:from>
    <xdr:to>
      <xdr:col>28</xdr:col>
      <xdr:colOff>39510</xdr:colOff>
      <xdr:row>73</xdr:row>
      <xdr:rowOff>11290</xdr:rowOff>
    </xdr:to>
    <xdr:sp macro="" textlink="">
      <xdr:nvSpPr>
        <xdr:cNvPr id="2159" name="Isosceles Triangle 2158">
          <a:extLst>
            <a:ext uri="{FF2B5EF4-FFF2-40B4-BE49-F238E27FC236}">
              <a16:creationId xmlns:a16="http://schemas.microsoft.com/office/drawing/2014/main" id="{78D93494-5774-47B5-B4A0-530EEC20DE9C}"/>
            </a:ext>
          </a:extLst>
        </xdr:cNvPr>
        <xdr:cNvSpPr/>
      </xdr:nvSpPr>
      <xdr:spPr>
        <a:xfrm>
          <a:off x="234893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70</xdr:row>
      <xdr:rowOff>7056</xdr:rowOff>
    </xdr:from>
    <xdr:to>
      <xdr:col>30</xdr:col>
      <xdr:colOff>42332</xdr:colOff>
      <xdr:row>73</xdr:row>
      <xdr:rowOff>1</xdr:rowOff>
    </xdr:to>
    <xdr:sp macro="" textlink="">
      <xdr:nvSpPr>
        <xdr:cNvPr id="2160" name="Isosceles Triangle 2159">
          <a:extLst>
            <a:ext uri="{FF2B5EF4-FFF2-40B4-BE49-F238E27FC236}">
              <a16:creationId xmlns:a16="http://schemas.microsoft.com/office/drawing/2014/main" id="{8943271C-9328-4103-975A-771FB8FFC41E}"/>
            </a:ext>
          </a:extLst>
        </xdr:cNvPr>
        <xdr:cNvSpPr/>
      </xdr:nvSpPr>
      <xdr:spPr>
        <a:xfrm>
          <a:off x="3388078" y="113151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81</xdr:row>
      <xdr:rowOff>18345</xdr:rowOff>
    </xdr:from>
    <xdr:to>
      <xdr:col>2</xdr:col>
      <xdr:colOff>39510</xdr:colOff>
      <xdr:row>84</xdr:row>
      <xdr:rowOff>11290</xdr:rowOff>
    </xdr:to>
    <xdr:sp macro="" textlink="">
      <xdr:nvSpPr>
        <xdr:cNvPr id="2161" name="Isosceles Triangle 2160">
          <a:extLst>
            <a:ext uri="{FF2B5EF4-FFF2-40B4-BE49-F238E27FC236}">
              <a16:creationId xmlns:a16="http://schemas.microsoft.com/office/drawing/2014/main" id="{5BE08E9F-55B1-48E4-93F2-204D8F5E6A3E}"/>
            </a:ext>
          </a:extLst>
        </xdr:cNvPr>
        <xdr:cNvSpPr/>
      </xdr:nvSpPr>
      <xdr:spPr>
        <a:xfrm>
          <a:off x="442157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331869</xdr:colOff>
      <xdr:row>81</xdr:row>
      <xdr:rowOff>7055</xdr:rowOff>
    </xdr:from>
    <xdr:to>
      <xdr:col>24</xdr:col>
      <xdr:colOff>64358</xdr:colOff>
      <xdr:row>84</xdr:row>
      <xdr:rowOff>0</xdr:rowOff>
    </xdr:to>
    <xdr:sp macro="" textlink="">
      <xdr:nvSpPr>
        <xdr:cNvPr id="2173" name="Isosceles Triangle 2172">
          <a:extLst>
            <a:ext uri="{FF2B5EF4-FFF2-40B4-BE49-F238E27FC236}">
              <a16:creationId xmlns:a16="http://schemas.microsoft.com/office/drawing/2014/main" id="{FD1972EC-6F75-421F-9168-677B1C591358}"/>
            </a:ext>
          </a:extLst>
        </xdr:cNvPr>
        <xdr:cNvSpPr/>
      </xdr:nvSpPr>
      <xdr:spPr>
        <a:xfrm>
          <a:off x="11206244" y="15326430"/>
          <a:ext cx="732614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81</xdr:row>
      <xdr:rowOff>4233</xdr:rowOff>
    </xdr:from>
    <xdr:to>
      <xdr:col>26</xdr:col>
      <xdr:colOff>46570</xdr:colOff>
      <xdr:row>83</xdr:row>
      <xdr:rowOff>173567</xdr:rowOff>
    </xdr:to>
    <xdr:sp macro="" textlink="">
      <xdr:nvSpPr>
        <xdr:cNvPr id="2174" name="Isosceles Triangle 2173">
          <a:extLst>
            <a:ext uri="{FF2B5EF4-FFF2-40B4-BE49-F238E27FC236}">
              <a16:creationId xmlns:a16="http://schemas.microsoft.com/office/drawing/2014/main" id="{50333B55-D5C2-44AC-B77A-31DCD89EA918}"/>
            </a:ext>
          </a:extLst>
        </xdr:cNvPr>
        <xdr:cNvSpPr/>
      </xdr:nvSpPr>
      <xdr:spPr>
        <a:xfrm>
          <a:off x="131967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81</xdr:row>
      <xdr:rowOff>13304</xdr:rowOff>
    </xdr:from>
    <xdr:to>
      <xdr:col>30</xdr:col>
      <xdr:colOff>46570</xdr:colOff>
      <xdr:row>84</xdr:row>
      <xdr:rowOff>1209</xdr:rowOff>
    </xdr:to>
    <xdr:sp macro="" textlink="">
      <xdr:nvSpPr>
        <xdr:cNvPr id="2175" name="Isosceles Triangle 2174">
          <a:extLst>
            <a:ext uri="{FF2B5EF4-FFF2-40B4-BE49-F238E27FC236}">
              <a16:creationId xmlns:a16="http://schemas.microsoft.com/office/drawing/2014/main" id="{2FA067E0-5D30-4B88-ACDA-B9757C65F0F2}"/>
            </a:ext>
          </a:extLst>
        </xdr:cNvPr>
        <xdr:cNvSpPr/>
      </xdr:nvSpPr>
      <xdr:spPr>
        <a:xfrm>
          <a:off x="3392315" y="131806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81</xdr:row>
      <xdr:rowOff>13304</xdr:rowOff>
    </xdr:from>
    <xdr:to>
      <xdr:col>26</xdr:col>
      <xdr:colOff>46569</xdr:colOff>
      <xdr:row>84</xdr:row>
      <xdr:rowOff>1209</xdr:rowOff>
    </xdr:to>
    <xdr:sp macro="" textlink="">
      <xdr:nvSpPr>
        <xdr:cNvPr id="2176" name="Isosceles Triangle 2175">
          <a:extLst>
            <a:ext uri="{FF2B5EF4-FFF2-40B4-BE49-F238E27FC236}">
              <a16:creationId xmlns:a16="http://schemas.microsoft.com/office/drawing/2014/main" id="{E2CF41EC-3314-4276-AC85-49493B809132}"/>
            </a:ext>
          </a:extLst>
        </xdr:cNvPr>
        <xdr:cNvSpPr/>
      </xdr:nvSpPr>
      <xdr:spPr>
        <a:xfrm>
          <a:off x="1319675" y="131806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81</xdr:row>
      <xdr:rowOff>15522</xdr:rowOff>
    </xdr:from>
    <xdr:to>
      <xdr:col>28</xdr:col>
      <xdr:colOff>43746</xdr:colOff>
      <xdr:row>84</xdr:row>
      <xdr:rowOff>8467</xdr:rowOff>
    </xdr:to>
    <xdr:sp macro="" textlink="">
      <xdr:nvSpPr>
        <xdr:cNvPr id="2177" name="Isosceles Triangle 2176">
          <a:extLst>
            <a:ext uri="{FF2B5EF4-FFF2-40B4-BE49-F238E27FC236}">
              <a16:creationId xmlns:a16="http://schemas.microsoft.com/office/drawing/2014/main" id="{7ADAABF5-55E3-4DA1-91EF-2235A1D5F4A4}"/>
            </a:ext>
          </a:extLst>
        </xdr:cNvPr>
        <xdr:cNvSpPr/>
      </xdr:nvSpPr>
      <xdr:spPr>
        <a:xfrm>
          <a:off x="2353172" y="131828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92</xdr:row>
      <xdr:rowOff>7056</xdr:rowOff>
    </xdr:from>
    <xdr:to>
      <xdr:col>2</xdr:col>
      <xdr:colOff>42332</xdr:colOff>
      <xdr:row>95</xdr:row>
      <xdr:rowOff>1</xdr:rowOff>
    </xdr:to>
    <xdr:sp macro="" textlink="">
      <xdr:nvSpPr>
        <xdr:cNvPr id="2178" name="Isosceles Triangle 2177">
          <a:extLst>
            <a:ext uri="{FF2B5EF4-FFF2-40B4-BE49-F238E27FC236}">
              <a16:creationId xmlns:a16="http://schemas.microsoft.com/office/drawing/2014/main" id="{04FF6E79-63FE-4AF6-B604-359D21253F7D}"/>
            </a:ext>
          </a:extLst>
        </xdr:cNvPr>
        <xdr:cNvSpPr/>
      </xdr:nvSpPr>
      <xdr:spPr>
        <a:xfrm>
          <a:off x="4424398" y="131744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92</xdr:row>
      <xdr:rowOff>18345</xdr:rowOff>
    </xdr:from>
    <xdr:to>
      <xdr:col>4</xdr:col>
      <xdr:colOff>39510</xdr:colOff>
      <xdr:row>95</xdr:row>
      <xdr:rowOff>11290</xdr:rowOff>
    </xdr:to>
    <xdr:sp macro="" textlink="">
      <xdr:nvSpPr>
        <xdr:cNvPr id="2179" name="Isosceles Triangle 2178">
          <a:extLst>
            <a:ext uri="{FF2B5EF4-FFF2-40B4-BE49-F238E27FC236}">
              <a16:creationId xmlns:a16="http://schemas.microsoft.com/office/drawing/2014/main" id="{22445480-8BF3-40CB-9DD5-3471FE3D4669}"/>
            </a:ext>
          </a:extLst>
        </xdr:cNvPr>
        <xdr:cNvSpPr/>
      </xdr:nvSpPr>
      <xdr:spPr>
        <a:xfrm>
          <a:off x="54578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92</xdr:row>
      <xdr:rowOff>7056</xdr:rowOff>
    </xdr:from>
    <xdr:to>
      <xdr:col>6</xdr:col>
      <xdr:colOff>42332</xdr:colOff>
      <xdr:row>95</xdr:row>
      <xdr:rowOff>1</xdr:rowOff>
    </xdr:to>
    <xdr:sp macro="" textlink="">
      <xdr:nvSpPr>
        <xdr:cNvPr id="2180" name="Isosceles Triangle 2179">
          <a:extLst>
            <a:ext uri="{FF2B5EF4-FFF2-40B4-BE49-F238E27FC236}">
              <a16:creationId xmlns:a16="http://schemas.microsoft.com/office/drawing/2014/main" id="{A0C3A352-418C-472B-9179-3F5831B318CE}"/>
            </a:ext>
          </a:extLst>
        </xdr:cNvPr>
        <xdr:cNvSpPr/>
      </xdr:nvSpPr>
      <xdr:spPr>
        <a:xfrm>
          <a:off x="649703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92</xdr:row>
      <xdr:rowOff>18345</xdr:rowOff>
    </xdr:from>
    <xdr:to>
      <xdr:col>8</xdr:col>
      <xdr:colOff>39510</xdr:colOff>
      <xdr:row>95</xdr:row>
      <xdr:rowOff>11290</xdr:rowOff>
    </xdr:to>
    <xdr:sp macro="" textlink="">
      <xdr:nvSpPr>
        <xdr:cNvPr id="2181" name="Isosceles Triangle 2180">
          <a:extLst>
            <a:ext uri="{FF2B5EF4-FFF2-40B4-BE49-F238E27FC236}">
              <a16:creationId xmlns:a16="http://schemas.microsoft.com/office/drawing/2014/main" id="{97B69B23-B883-419F-B4B5-BBE516170E58}"/>
            </a:ext>
          </a:extLst>
        </xdr:cNvPr>
        <xdr:cNvSpPr/>
      </xdr:nvSpPr>
      <xdr:spPr>
        <a:xfrm>
          <a:off x="753053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92</xdr:row>
      <xdr:rowOff>7056</xdr:rowOff>
    </xdr:from>
    <xdr:to>
      <xdr:col>10</xdr:col>
      <xdr:colOff>42332</xdr:colOff>
      <xdr:row>95</xdr:row>
      <xdr:rowOff>1</xdr:rowOff>
    </xdr:to>
    <xdr:sp macro="" textlink="">
      <xdr:nvSpPr>
        <xdr:cNvPr id="2182" name="Isosceles Triangle 2181">
          <a:extLst>
            <a:ext uri="{FF2B5EF4-FFF2-40B4-BE49-F238E27FC236}">
              <a16:creationId xmlns:a16="http://schemas.microsoft.com/office/drawing/2014/main" id="{4F0BD581-0BFC-41C3-95E8-23F721C119B0}"/>
            </a:ext>
          </a:extLst>
        </xdr:cNvPr>
        <xdr:cNvSpPr/>
      </xdr:nvSpPr>
      <xdr:spPr>
        <a:xfrm>
          <a:off x="8569678" y="1317441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92</xdr:row>
      <xdr:rowOff>18345</xdr:rowOff>
    </xdr:from>
    <xdr:to>
      <xdr:col>12</xdr:col>
      <xdr:colOff>39510</xdr:colOff>
      <xdr:row>95</xdr:row>
      <xdr:rowOff>11290</xdr:rowOff>
    </xdr:to>
    <xdr:sp macro="" textlink="">
      <xdr:nvSpPr>
        <xdr:cNvPr id="2183" name="Isosceles Triangle 2182">
          <a:extLst>
            <a:ext uri="{FF2B5EF4-FFF2-40B4-BE49-F238E27FC236}">
              <a16:creationId xmlns:a16="http://schemas.microsoft.com/office/drawing/2014/main" id="{9CBB8AF9-913A-4E38-BFE3-5D4182CD8A90}"/>
            </a:ext>
          </a:extLst>
        </xdr:cNvPr>
        <xdr:cNvSpPr/>
      </xdr:nvSpPr>
      <xdr:spPr>
        <a:xfrm>
          <a:off x="96107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402771</xdr:colOff>
      <xdr:row>92</xdr:row>
      <xdr:rowOff>7055</xdr:rowOff>
    </xdr:from>
    <xdr:to>
      <xdr:col>14</xdr:col>
      <xdr:colOff>49392</xdr:colOff>
      <xdr:row>94</xdr:row>
      <xdr:rowOff>152400</xdr:rowOff>
    </xdr:to>
    <xdr:sp macro="" textlink="">
      <xdr:nvSpPr>
        <xdr:cNvPr id="2184" name="Isosceles Triangle 2183">
          <a:extLst>
            <a:ext uri="{FF2B5EF4-FFF2-40B4-BE49-F238E27FC236}">
              <a16:creationId xmlns:a16="http://schemas.microsoft.com/office/drawing/2014/main" id="{73943455-CDE1-4391-92A0-F763036ACBA2}"/>
            </a:ext>
          </a:extLst>
        </xdr:cNvPr>
        <xdr:cNvSpPr/>
      </xdr:nvSpPr>
      <xdr:spPr>
        <a:xfrm>
          <a:off x="10636431" y="13174415"/>
          <a:ext cx="6829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92</xdr:row>
      <xdr:rowOff>4233</xdr:rowOff>
    </xdr:from>
    <xdr:to>
      <xdr:col>16</xdr:col>
      <xdr:colOff>46570</xdr:colOff>
      <xdr:row>94</xdr:row>
      <xdr:rowOff>173567</xdr:rowOff>
    </xdr:to>
    <xdr:sp macro="" textlink="">
      <xdr:nvSpPr>
        <xdr:cNvPr id="2185" name="Isosceles Triangle 2184">
          <a:extLst>
            <a:ext uri="{FF2B5EF4-FFF2-40B4-BE49-F238E27FC236}">
              <a16:creationId xmlns:a16="http://schemas.microsoft.com/office/drawing/2014/main" id="{AB8F0D2A-53B3-4EB3-9013-6B701AF737B0}"/>
            </a:ext>
          </a:extLst>
        </xdr:cNvPr>
        <xdr:cNvSpPr/>
      </xdr:nvSpPr>
      <xdr:spPr>
        <a:xfrm>
          <a:off x="1169049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92</xdr:row>
      <xdr:rowOff>13304</xdr:rowOff>
    </xdr:from>
    <xdr:to>
      <xdr:col>20</xdr:col>
      <xdr:colOff>46570</xdr:colOff>
      <xdr:row>95</xdr:row>
      <xdr:rowOff>1209</xdr:rowOff>
    </xdr:to>
    <xdr:sp macro="" textlink="">
      <xdr:nvSpPr>
        <xdr:cNvPr id="2186" name="Isosceles Triangle 2185">
          <a:extLst>
            <a:ext uri="{FF2B5EF4-FFF2-40B4-BE49-F238E27FC236}">
              <a16:creationId xmlns:a16="http://schemas.microsoft.com/office/drawing/2014/main" id="{5087D65A-94D0-4667-BDC1-42F2D8B82BC0}"/>
            </a:ext>
          </a:extLst>
        </xdr:cNvPr>
        <xdr:cNvSpPr/>
      </xdr:nvSpPr>
      <xdr:spPr>
        <a:xfrm>
          <a:off x="13763135" y="13180664"/>
          <a:ext cx="66237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92</xdr:row>
      <xdr:rowOff>13304</xdr:rowOff>
    </xdr:from>
    <xdr:to>
      <xdr:col>16</xdr:col>
      <xdr:colOff>46569</xdr:colOff>
      <xdr:row>95</xdr:row>
      <xdr:rowOff>1209</xdr:rowOff>
    </xdr:to>
    <xdr:sp macro="" textlink="">
      <xdr:nvSpPr>
        <xdr:cNvPr id="2187" name="Isosceles Triangle 2186">
          <a:extLst>
            <a:ext uri="{FF2B5EF4-FFF2-40B4-BE49-F238E27FC236}">
              <a16:creationId xmlns:a16="http://schemas.microsoft.com/office/drawing/2014/main" id="{6EC1D5D8-712C-4BEA-BD67-1FC334CA49CA}"/>
            </a:ext>
          </a:extLst>
        </xdr:cNvPr>
        <xdr:cNvSpPr/>
      </xdr:nvSpPr>
      <xdr:spPr>
        <a:xfrm>
          <a:off x="11690495" y="1318066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92</xdr:row>
      <xdr:rowOff>15522</xdr:rowOff>
    </xdr:from>
    <xdr:to>
      <xdr:col>18</xdr:col>
      <xdr:colOff>43746</xdr:colOff>
      <xdr:row>95</xdr:row>
      <xdr:rowOff>8467</xdr:rowOff>
    </xdr:to>
    <xdr:sp macro="" textlink="">
      <xdr:nvSpPr>
        <xdr:cNvPr id="2188" name="Isosceles Triangle 2187">
          <a:extLst>
            <a:ext uri="{FF2B5EF4-FFF2-40B4-BE49-F238E27FC236}">
              <a16:creationId xmlns:a16="http://schemas.microsoft.com/office/drawing/2014/main" id="{C2404D24-DBB8-403A-B049-661042B8DEF3}"/>
            </a:ext>
          </a:extLst>
        </xdr:cNvPr>
        <xdr:cNvSpPr/>
      </xdr:nvSpPr>
      <xdr:spPr>
        <a:xfrm>
          <a:off x="12723992" y="1318288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92</xdr:row>
      <xdr:rowOff>7056</xdr:rowOff>
    </xdr:from>
    <xdr:to>
      <xdr:col>22</xdr:col>
      <xdr:colOff>42332</xdr:colOff>
      <xdr:row>95</xdr:row>
      <xdr:rowOff>1</xdr:rowOff>
    </xdr:to>
    <xdr:sp macro="" textlink="">
      <xdr:nvSpPr>
        <xdr:cNvPr id="2189" name="Isosceles Triangle 2188">
          <a:extLst>
            <a:ext uri="{FF2B5EF4-FFF2-40B4-BE49-F238E27FC236}">
              <a16:creationId xmlns:a16="http://schemas.microsoft.com/office/drawing/2014/main" id="{1DCFCA70-3145-41D3-9706-DFAB31B02F19}"/>
            </a:ext>
          </a:extLst>
        </xdr:cNvPr>
        <xdr:cNvSpPr/>
      </xdr:nvSpPr>
      <xdr:spPr>
        <a:xfrm>
          <a:off x="1479521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336983</xdr:colOff>
      <xdr:row>92</xdr:row>
      <xdr:rowOff>18345</xdr:rowOff>
    </xdr:from>
    <xdr:to>
      <xdr:col>24</xdr:col>
      <xdr:colOff>54477</xdr:colOff>
      <xdr:row>95</xdr:row>
      <xdr:rowOff>11290</xdr:rowOff>
    </xdr:to>
    <xdr:sp macro="" textlink="">
      <xdr:nvSpPr>
        <xdr:cNvPr id="2190" name="Isosceles Triangle 2189">
          <a:extLst>
            <a:ext uri="{FF2B5EF4-FFF2-40B4-BE49-F238E27FC236}">
              <a16:creationId xmlns:a16="http://schemas.microsoft.com/office/drawing/2014/main" id="{2D28A4C3-5735-4C9F-A269-57888A1AE7A6}"/>
            </a:ext>
          </a:extLst>
        </xdr:cNvPr>
        <xdr:cNvSpPr/>
      </xdr:nvSpPr>
      <xdr:spPr>
        <a:xfrm>
          <a:off x="11211358" y="17258595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92</xdr:row>
      <xdr:rowOff>7056</xdr:rowOff>
    </xdr:from>
    <xdr:to>
      <xdr:col>26</xdr:col>
      <xdr:colOff>42332</xdr:colOff>
      <xdr:row>95</xdr:row>
      <xdr:rowOff>1</xdr:rowOff>
    </xdr:to>
    <xdr:sp macro="" textlink="">
      <xdr:nvSpPr>
        <xdr:cNvPr id="2191" name="Isosceles Triangle 2190">
          <a:extLst>
            <a:ext uri="{FF2B5EF4-FFF2-40B4-BE49-F238E27FC236}">
              <a16:creationId xmlns:a16="http://schemas.microsoft.com/office/drawing/2014/main" id="{34AD441A-B108-4D74-A083-847EE219AD61}"/>
            </a:ext>
          </a:extLst>
        </xdr:cNvPr>
        <xdr:cNvSpPr/>
      </xdr:nvSpPr>
      <xdr:spPr>
        <a:xfrm>
          <a:off x="131543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92</xdr:row>
      <xdr:rowOff>18345</xdr:rowOff>
    </xdr:from>
    <xdr:to>
      <xdr:col>28</xdr:col>
      <xdr:colOff>39510</xdr:colOff>
      <xdr:row>95</xdr:row>
      <xdr:rowOff>11290</xdr:rowOff>
    </xdr:to>
    <xdr:sp macro="" textlink="">
      <xdr:nvSpPr>
        <xdr:cNvPr id="2192" name="Isosceles Triangle 2191">
          <a:extLst>
            <a:ext uri="{FF2B5EF4-FFF2-40B4-BE49-F238E27FC236}">
              <a16:creationId xmlns:a16="http://schemas.microsoft.com/office/drawing/2014/main" id="{F61C8DFD-12CA-4CEE-ADCF-01FD43DE54F2}"/>
            </a:ext>
          </a:extLst>
        </xdr:cNvPr>
        <xdr:cNvSpPr/>
      </xdr:nvSpPr>
      <xdr:spPr>
        <a:xfrm>
          <a:off x="234893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92</xdr:row>
      <xdr:rowOff>7056</xdr:rowOff>
    </xdr:from>
    <xdr:to>
      <xdr:col>30</xdr:col>
      <xdr:colOff>42332</xdr:colOff>
      <xdr:row>95</xdr:row>
      <xdr:rowOff>1</xdr:rowOff>
    </xdr:to>
    <xdr:sp macro="" textlink="">
      <xdr:nvSpPr>
        <xdr:cNvPr id="2193" name="Isosceles Triangle 2192">
          <a:extLst>
            <a:ext uri="{FF2B5EF4-FFF2-40B4-BE49-F238E27FC236}">
              <a16:creationId xmlns:a16="http://schemas.microsoft.com/office/drawing/2014/main" id="{01A3D8A3-9302-4C5A-AAA3-19EA08F2E474}"/>
            </a:ext>
          </a:extLst>
        </xdr:cNvPr>
        <xdr:cNvSpPr/>
      </xdr:nvSpPr>
      <xdr:spPr>
        <a:xfrm>
          <a:off x="338807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103</xdr:row>
      <xdr:rowOff>18345</xdr:rowOff>
    </xdr:from>
    <xdr:to>
      <xdr:col>2</xdr:col>
      <xdr:colOff>39510</xdr:colOff>
      <xdr:row>106</xdr:row>
      <xdr:rowOff>11290</xdr:rowOff>
    </xdr:to>
    <xdr:sp macro="" textlink="">
      <xdr:nvSpPr>
        <xdr:cNvPr id="2194" name="Isosceles Triangle 2193">
          <a:extLst>
            <a:ext uri="{FF2B5EF4-FFF2-40B4-BE49-F238E27FC236}">
              <a16:creationId xmlns:a16="http://schemas.microsoft.com/office/drawing/2014/main" id="{630A9A1C-0D42-48CA-BDA7-EF6BA3C3EB25}"/>
            </a:ext>
          </a:extLst>
        </xdr:cNvPr>
        <xdr:cNvSpPr/>
      </xdr:nvSpPr>
      <xdr:spPr>
        <a:xfrm>
          <a:off x="442157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370114</xdr:colOff>
      <xdr:row>103</xdr:row>
      <xdr:rowOff>7055</xdr:rowOff>
    </xdr:from>
    <xdr:to>
      <xdr:col>4</xdr:col>
      <xdr:colOff>49392</xdr:colOff>
      <xdr:row>106</xdr:row>
      <xdr:rowOff>0</xdr:rowOff>
    </xdr:to>
    <xdr:sp macro="" textlink="">
      <xdr:nvSpPr>
        <xdr:cNvPr id="2195" name="Isosceles Triangle 2194">
          <a:extLst>
            <a:ext uri="{FF2B5EF4-FFF2-40B4-BE49-F238E27FC236}">
              <a16:creationId xmlns:a16="http://schemas.microsoft.com/office/drawing/2014/main" id="{0888B764-29E5-4EA3-8193-67B54C80301E}"/>
            </a:ext>
          </a:extLst>
        </xdr:cNvPr>
        <xdr:cNvSpPr/>
      </xdr:nvSpPr>
      <xdr:spPr>
        <a:xfrm>
          <a:off x="5414554" y="15033695"/>
          <a:ext cx="71559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103</xdr:row>
      <xdr:rowOff>13304</xdr:rowOff>
    </xdr:from>
    <xdr:to>
      <xdr:col>10</xdr:col>
      <xdr:colOff>46570</xdr:colOff>
      <xdr:row>106</xdr:row>
      <xdr:rowOff>1210</xdr:rowOff>
    </xdr:to>
    <xdr:sp macro="" textlink="">
      <xdr:nvSpPr>
        <xdr:cNvPr id="2197" name="Isosceles Triangle 2196">
          <a:extLst>
            <a:ext uri="{FF2B5EF4-FFF2-40B4-BE49-F238E27FC236}">
              <a16:creationId xmlns:a16="http://schemas.microsoft.com/office/drawing/2014/main" id="{BD4D1DAA-C2A4-4007-BD42-76D5902BFDED}"/>
            </a:ext>
          </a:extLst>
        </xdr:cNvPr>
        <xdr:cNvSpPr/>
      </xdr:nvSpPr>
      <xdr:spPr>
        <a:xfrm>
          <a:off x="4311008" y="19023058"/>
          <a:ext cx="632217" cy="51111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409440</xdr:colOff>
      <xdr:row>103</xdr:row>
      <xdr:rowOff>35455</xdr:rowOff>
    </xdr:from>
    <xdr:to>
      <xdr:col>6</xdr:col>
      <xdr:colOff>35494</xdr:colOff>
      <xdr:row>106</xdr:row>
      <xdr:rowOff>23361</xdr:rowOff>
    </xdr:to>
    <xdr:sp macro="" textlink="">
      <xdr:nvSpPr>
        <xdr:cNvPr id="2198" name="Isosceles Triangle 2197">
          <a:extLst>
            <a:ext uri="{FF2B5EF4-FFF2-40B4-BE49-F238E27FC236}">
              <a16:creationId xmlns:a16="http://schemas.microsoft.com/office/drawing/2014/main" id="{C494BCE9-3D27-4043-AB8D-719815544F37}"/>
            </a:ext>
          </a:extLst>
        </xdr:cNvPr>
        <xdr:cNvSpPr/>
      </xdr:nvSpPr>
      <xdr:spPr>
        <a:xfrm>
          <a:off x="2292289" y="18819641"/>
          <a:ext cx="633932" cy="48630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103</xdr:row>
      <xdr:rowOff>15522</xdr:rowOff>
    </xdr:from>
    <xdr:to>
      <xdr:col>8</xdr:col>
      <xdr:colOff>43746</xdr:colOff>
      <xdr:row>106</xdr:row>
      <xdr:rowOff>8467</xdr:rowOff>
    </xdr:to>
    <xdr:sp macro="" textlink="">
      <xdr:nvSpPr>
        <xdr:cNvPr id="2199" name="Isosceles Triangle 2198">
          <a:extLst>
            <a:ext uri="{FF2B5EF4-FFF2-40B4-BE49-F238E27FC236}">
              <a16:creationId xmlns:a16="http://schemas.microsoft.com/office/drawing/2014/main" id="{C44515A0-9865-40C1-A593-49EDE1056F71}"/>
            </a:ext>
          </a:extLst>
        </xdr:cNvPr>
        <xdr:cNvSpPr/>
      </xdr:nvSpPr>
      <xdr:spPr>
        <a:xfrm>
          <a:off x="7534772" y="1504216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103</xdr:row>
      <xdr:rowOff>7056</xdr:rowOff>
    </xdr:from>
    <xdr:to>
      <xdr:col>12</xdr:col>
      <xdr:colOff>42332</xdr:colOff>
      <xdr:row>106</xdr:row>
      <xdr:rowOff>1</xdr:rowOff>
    </xdr:to>
    <xdr:sp macro="" textlink="">
      <xdr:nvSpPr>
        <xdr:cNvPr id="2200" name="Isosceles Triangle 2199">
          <a:extLst>
            <a:ext uri="{FF2B5EF4-FFF2-40B4-BE49-F238E27FC236}">
              <a16:creationId xmlns:a16="http://schemas.microsoft.com/office/drawing/2014/main" id="{C44D486F-1CFF-48DC-AAEA-543DDE9DF2DF}"/>
            </a:ext>
          </a:extLst>
        </xdr:cNvPr>
        <xdr:cNvSpPr/>
      </xdr:nvSpPr>
      <xdr:spPr>
        <a:xfrm>
          <a:off x="961361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103</xdr:row>
      <xdr:rowOff>18345</xdr:rowOff>
    </xdr:from>
    <xdr:to>
      <xdr:col>14</xdr:col>
      <xdr:colOff>39510</xdr:colOff>
      <xdr:row>106</xdr:row>
      <xdr:rowOff>11290</xdr:rowOff>
    </xdr:to>
    <xdr:sp macro="" textlink="">
      <xdr:nvSpPr>
        <xdr:cNvPr id="2201" name="Isosceles Triangle 2200">
          <a:extLst>
            <a:ext uri="{FF2B5EF4-FFF2-40B4-BE49-F238E27FC236}">
              <a16:creationId xmlns:a16="http://schemas.microsoft.com/office/drawing/2014/main" id="{B808F67D-5215-4779-ABAC-5791ABCBFFF3}"/>
            </a:ext>
          </a:extLst>
        </xdr:cNvPr>
        <xdr:cNvSpPr/>
      </xdr:nvSpPr>
      <xdr:spPr>
        <a:xfrm>
          <a:off x="1064711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103</xdr:row>
      <xdr:rowOff>7056</xdr:rowOff>
    </xdr:from>
    <xdr:to>
      <xdr:col>16</xdr:col>
      <xdr:colOff>42332</xdr:colOff>
      <xdr:row>106</xdr:row>
      <xdr:rowOff>1</xdr:rowOff>
    </xdr:to>
    <xdr:sp macro="" textlink="">
      <xdr:nvSpPr>
        <xdr:cNvPr id="2202" name="Isosceles Triangle 2201">
          <a:extLst>
            <a:ext uri="{FF2B5EF4-FFF2-40B4-BE49-F238E27FC236}">
              <a16:creationId xmlns:a16="http://schemas.microsoft.com/office/drawing/2014/main" id="{28C7671E-5848-43CC-9FE1-79CA2FB03389}"/>
            </a:ext>
          </a:extLst>
        </xdr:cNvPr>
        <xdr:cNvSpPr/>
      </xdr:nvSpPr>
      <xdr:spPr>
        <a:xfrm>
          <a:off x="1168625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103</xdr:row>
      <xdr:rowOff>18345</xdr:rowOff>
    </xdr:from>
    <xdr:to>
      <xdr:col>18</xdr:col>
      <xdr:colOff>39510</xdr:colOff>
      <xdr:row>106</xdr:row>
      <xdr:rowOff>11290</xdr:rowOff>
    </xdr:to>
    <xdr:sp macro="" textlink="">
      <xdr:nvSpPr>
        <xdr:cNvPr id="2203" name="Isosceles Triangle 2202">
          <a:extLst>
            <a:ext uri="{FF2B5EF4-FFF2-40B4-BE49-F238E27FC236}">
              <a16:creationId xmlns:a16="http://schemas.microsoft.com/office/drawing/2014/main" id="{11E2A0DE-C694-42EA-BF63-C88FB3E4DBCE}"/>
            </a:ext>
          </a:extLst>
        </xdr:cNvPr>
        <xdr:cNvSpPr/>
      </xdr:nvSpPr>
      <xdr:spPr>
        <a:xfrm>
          <a:off x="1271975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103</xdr:row>
      <xdr:rowOff>7056</xdr:rowOff>
    </xdr:from>
    <xdr:to>
      <xdr:col>20</xdr:col>
      <xdr:colOff>42332</xdr:colOff>
      <xdr:row>106</xdr:row>
      <xdr:rowOff>1</xdr:rowOff>
    </xdr:to>
    <xdr:sp macro="" textlink="">
      <xdr:nvSpPr>
        <xdr:cNvPr id="2204" name="Isosceles Triangle 2203">
          <a:extLst>
            <a:ext uri="{FF2B5EF4-FFF2-40B4-BE49-F238E27FC236}">
              <a16:creationId xmlns:a16="http://schemas.microsoft.com/office/drawing/2014/main" id="{9B15FC55-9E7B-4EEF-9E85-4D11F565F66B}"/>
            </a:ext>
          </a:extLst>
        </xdr:cNvPr>
        <xdr:cNvSpPr/>
      </xdr:nvSpPr>
      <xdr:spPr>
        <a:xfrm>
          <a:off x="1375889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103</xdr:row>
      <xdr:rowOff>18345</xdr:rowOff>
    </xdr:from>
    <xdr:to>
      <xdr:col>22</xdr:col>
      <xdr:colOff>39510</xdr:colOff>
      <xdr:row>106</xdr:row>
      <xdr:rowOff>11290</xdr:rowOff>
    </xdr:to>
    <xdr:sp macro="" textlink="">
      <xdr:nvSpPr>
        <xdr:cNvPr id="2205" name="Isosceles Triangle 2204">
          <a:extLst>
            <a:ext uri="{FF2B5EF4-FFF2-40B4-BE49-F238E27FC236}">
              <a16:creationId xmlns:a16="http://schemas.microsoft.com/office/drawing/2014/main" id="{9BF0FA23-2FD3-4439-B7DD-A06329B36356}"/>
            </a:ext>
          </a:extLst>
        </xdr:cNvPr>
        <xdr:cNvSpPr/>
      </xdr:nvSpPr>
      <xdr:spPr>
        <a:xfrm>
          <a:off x="1479239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103</xdr:row>
      <xdr:rowOff>13304</xdr:rowOff>
    </xdr:from>
    <xdr:to>
      <xdr:col>30</xdr:col>
      <xdr:colOff>46570</xdr:colOff>
      <xdr:row>106</xdr:row>
      <xdr:rowOff>1209</xdr:rowOff>
    </xdr:to>
    <xdr:sp macro="" textlink="">
      <xdr:nvSpPr>
        <xdr:cNvPr id="2207" name="Isosceles Triangle 2206">
          <a:extLst>
            <a:ext uri="{FF2B5EF4-FFF2-40B4-BE49-F238E27FC236}">
              <a16:creationId xmlns:a16="http://schemas.microsoft.com/office/drawing/2014/main" id="{5E849430-4E7E-4847-AC06-D6FB548F169C}"/>
            </a:ext>
          </a:extLst>
        </xdr:cNvPr>
        <xdr:cNvSpPr/>
      </xdr:nvSpPr>
      <xdr:spPr>
        <a:xfrm>
          <a:off x="3392315" y="1689922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103</xdr:row>
      <xdr:rowOff>15522</xdr:rowOff>
    </xdr:from>
    <xdr:to>
      <xdr:col>28</xdr:col>
      <xdr:colOff>43746</xdr:colOff>
      <xdr:row>106</xdr:row>
      <xdr:rowOff>8467</xdr:rowOff>
    </xdr:to>
    <xdr:sp macro="" textlink="">
      <xdr:nvSpPr>
        <xdr:cNvPr id="2208" name="Isosceles Triangle 2207">
          <a:extLst>
            <a:ext uri="{FF2B5EF4-FFF2-40B4-BE49-F238E27FC236}">
              <a16:creationId xmlns:a16="http://schemas.microsoft.com/office/drawing/2014/main" id="{EF5894FB-628B-484B-A931-CAFB123C24DA}"/>
            </a:ext>
          </a:extLst>
        </xdr:cNvPr>
        <xdr:cNvSpPr/>
      </xdr:nvSpPr>
      <xdr:spPr>
        <a:xfrm>
          <a:off x="2353172" y="169014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400041</xdr:colOff>
      <xdr:row>114</xdr:row>
      <xdr:rowOff>18345</xdr:rowOff>
    </xdr:from>
    <xdr:to>
      <xdr:col>12</xdr:col>
      <xdr:colOff>26095</xdr:colOff>
      <xdr:row>117</xdr:row>
      <xdr:rowOff>11290</xdr:rowOff>
    </xdr:to>
    <xdr:sp macro="" textlink="">
      <xdr:nvSpPr>
        <xdr:cNvPr id="2209" name="Isosceles Triangle 2208">
          <a:extLst>
            <a:ext uri="{FF2B5EF4-FFF2-40B4-BE49-F238E27FC236}">
              <a16:creationId xmlns:a16="http://schemas.microsoft.com/office/drawing/2014/main" id="{01D26152-0C0A-4AAE-942F-D89AFAF116C2}"/>
            </a:ext>
          </a:extLst>
        </xdr:cNvPr>
        <xdr:cNvSpPr/>
      </xdr:nvSpPr>
      <xdr:spPr>
        <a:xfrm>
          <a:off x="5296696" y="20946514"/>
          <a:ext cx="632216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358588</xdr:colOff>
      <xdr:row>114</xdr:row>
      <xdr:rowOff>7055</xdr:rowOff>
    </xdr:from>
    <xdr:to>
      <xdr:col>14</xdr:col>
      <xdr:colOff>49392</xdr:colOff>
      <xdr:row>117</xdr:row>
      <xdr:rowOff>0</xdr:rowOff>
    </xdr:to>
    <xdr:sp macro="" textlink="">
      <xdr:nvSpPr>
        <xdr:cNvPr id="2210" name="Isosceles Triangle 2209">
          <a:extLst>
            <a:ext uri="{FF2B5EF4-FFF2-40B4-BE49-F238E27FC236}">
              <a16:creationId xmlns:a16="http://schemas.microsoft.com/office/drawing/2014/main" id="{273BEB6F-3B37-420A-AEEB-F7F51195E586}"/>
            </a:ext>
          </a:extLst>
        </xdr:cNvPr>
        <xdr:cNvSpPr/>
      </xdr:nvSpPr>
      <xdr:spPr>
        <a:xfrm>
          <a:off x="10592248" y="1689297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114</xdr:row>
      <xdr:rowOff>4233</xdr:rowOff>
    </xdr:from>
    <xdr:to>
      <xdr:col>16</xdr:col>
      <xdr:colOff>46570</xdr:colOff>
      <xdr:row>116</xdr:row>
      <xdr:rowOff>173567</xdr:rowOff>
    </xdr:to>
    <xdr:sp macro="" textlink="">
      <xdr:nvSpPr>
        <xdr:cNvPr id="2211" name="Isosceles Triangle 2210">
          <a:extLst>
            <a:ext uri="{FF2B5EF4-FFF2-40B4-BE49-F238E27FC236}">
              <a16:creationId xmlns:a16="http://schemas.microsoft.com/office/drawing/2014/main" id="{BD0700B3-ACB7-46C9-8F16-E694B5C8D602}"/>
            </a:ext>
          </a:extLst>
        </xdr:cNvPr>
        <xdr:cNvSpPr/>
      </xdr:nvSpPr>
      <xdr:spPr>
        <a:xfrm>
          <a:off x="11690495" y="168901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114</xdr:row>
      <xdr:rowOff>13304</xdr:rowOff>
    </xdr:from>
    <xdr:to>
      <xdr:col>20</xdr:col>
      <xdr:colOff>46570</xdr:colOff>
      <xdr:row>117</xdr:row>
      <xdr:rowOff>1210</xdr:rowOff>
    </xdr:to>
    <xdr:sp macro="" textlink="">
      <xdr:nvSpPr>
        <xdr:cNvPr id="2212" name="Isosceles Triangle 2211">
          <a:extLst>
            <a:ext uri="{FF2B5EF4-FFF2-40B4-BE49-F238E27FC236}">
              <a16:creationId xmlns:a16="http://schemas.microsoft.com/office/drawing/2014/main" id="{2E1FFFD4-1CEF-4D5E-8DAC-E9B324D3B4D4}"/>
            </a:ext>
          </a:extLst>
        </xdr:cNvPr>
        <xdr:cNvSpPr/>
      </xdr:nvSpPr>
      <xdr:spPr>
        <a:xfrm>
          <a:off x="13763135" y="1689922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114</xdr:row>
      <xdr:rowOff>13304</xdr:rowOff>
    </xdr:from>
    <xdr:to>
      <xdr:col>16</xdr:col>
      <xdr:colOff>46569</xdr:colOff>
      <xdr:row>117</xdr:row>
      <xdr:rowOff>1210</xdr:rowOff>
    </xdr:to>
    <xdr:sp macro="" textlink="">
      <xdr:nvSpPr>
        <xdr:cNvPr id="2213" name="Isosceles Triangle 2212">
          <a:extLst>
            <a:ext uri="{FF2B5EF4-FFF2-40B4-BE49-F238E27FC236}">
              <a16:creationId xmlns:a16="http://schemas.microsoft.com/office/drawing/2014/main" id="{90D620AA-EF85-4D87-BB2F-427C1E29D3AC}"/>
            </a:ext>
          </a:extLst>
        </xdr:cNvPr>
        <xdr:cNvSpPr/>
      </xdr:nvSpPr>
      <xdr:spPr>
        <a:xfrm>
          <a:off x="11690495" y="1689922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114</xdr:row>
      <xdr:rowOff>15522</xdr:rowOff>
    </xdr:from>
    <xdr:to>
      <xdr:col>18</xdr:col>
      <xdr:colOff>43746</xdr:colOff>
      <xdr:row>117</xdr:row>
      <xdr:rowOff>8467</xdr:rowOff>
    </xdr:to>
    <xdr:sp macro="" textlink="">
      <xdr:nvSpPr>
        <xdr:cNvPr id="2214" name="Isosceles Triangle 2213">
          <a:extLst>
            <a:ext uri="{FF2B5EF4-FFF2-40B4-BE49-F238E27FC236}">
              <a16:creationId xmlns:a16="http://schemas.microsoft.com/office/drawing/2014/main" id="{E34E7998-64B8-4B93-8D4A-318F20FBED9C}"/>
            </a:ext>
          </a:extLst>
        </xdr:cNvPr>
        <xdr:cNvSpPr/>
      </xdr:nvSpPr>
      <xdr:spPr>
        <a:xfrm>
          <a:off x="12723992" y="1690144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114</xdr:row>
      <xdr:rowOff>7056</xdr:rowOff>
    </xdr:from>
    <xdr:to>
      <xdr:col>22</xdr:col>
      <xdr:colOff>42332</xdr:colOff>
      <xdr:row>117</xdr:row>
      <xdr:rowOff>1</xdr:rowOff>
    </xdr:to>
    <xdr:sp macro="" textlink="">
      <xdr:nvSpPr>
        <xdr:cNvPr id="2215" name="Isosceles Triangle 2214">
          <a:extLst>
            <a:ext uri="{FF2B5EF4-FFF2-40B4-BE49-F238E27FC236}">
              <a16:creationId xmlns:a16="http://schemas.microsoft.com/office/drawing/2014/main" id="{F219F4C3-AC87-4FD4-BDE6-EF30B5884A81}"/>
            </a:ext>
          </a:extLst>
        </xdr:cNvPr>
        <xdr:cNvSpPr/>
      </xdr:nvSpPr>
      <xdr:spPr>
        <a:xfrm>
          <a:off x="14795218" y="168929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347870</xdr:colOff>
      <xdr:row>113</xdr:row>
      <xdr:rowOff>159859</xdr:rowOff>
    </xdr:from>
    <xdr:to>
      <xdr:col>24</xdr:col>
      <xdr:colOff>65364</xdr:colOff>
      <xdr:row>116</xdr:row>
      <xdr:rowOff>152804</xdr:rowOff>
    </xdr:to>
    <xdr:sp macro="" textlink="">
      <xdr:nvSpPr>
        <xdr:cNvPr id="2216" name="Isosceles Triangle 2215">
          <a:extLst>
            <a:ext uri="{FF2B5EF4-FFF2-40B4-BE49-F238E27FC236}">
              <a16:creationId xmlns:a16="http://schemas.microsoft.com/office/drawing/2014/main" id="{B86D4A37-CF5B-450F-9A01-AE921156F122}"/>
            </a:ext>
          </a:extLst>
        </xdr:cNvPr>
        <xdr:cNvSpPr/>
      </xdr:nvSpPr>
      <xdr:spPr>
        <a:xfrm>
          <a:off x="11222245" y="21067234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114</xdr:row>
      <xdr:rowOff>7056</xdr:rowOff>
    </xdr:from>
    <xdr:to>
      <xdr:col>26</xdr:col>
      <xdr:colOff>42332</xdr:colOff>
      <xdr:row>117</xdr:row>
      <xdr:rowOff>1</xdr:rowOff>
    </xdr:to>
    <xdr:sp macro="" textlink="">
      <xdr:nvSpPr>
        <xdr:cNvPr id="2217" name="Isosceles Triangle 2216">
          <a:extLst>
            <a:ext uri="{FF2B5EF4-FFF2-40B4-BE49-F238E27FC236}">
              <a16:creationId xmlns:a16="http://schemas.microsoft.com/office/drawing/2014/main" id="{1BA056C8-0BD4-4F0B-9CA3-7FEDCAE0BB67}"/>
            </a:ext>
          </a:extLst>
        </xdr:cNvPr>
        <xdr:cNvSpPr/>
      </xdr:nvSpPr>
      <xdr:spPr>
        <a:xfrm>
          <a:off x="131543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114</xdr:row>
      <xdr:rowOff>18345</xdr:rowOff>
    </xdr:from>
    <xdr:to>
      <xdr:col>28</xdr:col>
      <xdr:colOff>39510</xdr:colOff>
      <xdr:row>117</xdr:row>
      <xdr:rowOff>11290</xdr:rowOff>
    </xdr:to>
    <xdr:sp macro="" textlink="">
      <xdr:nvSpPr>
        <xdr:cNvPr id="2218" name="Isosceles Triangle 2217">
          <a:extLst>
            <a:ext uri="{FF2B5EF4-FFF2-40B4-BE49-F238E27FC236}">
              <a16:creationId xmlns:a16="http://schemas.microsoft.com/office/drawing/2014/main" id="{033B70C1-2802-4EE5-9E0C-48BA275FED83}"/>
            </a:ext>
          </a:extLst>
        </xdr:cNvPr>
        <xdr:cNvSpPr/>
      </xdr:nvSpPr>
      <xdr:spPr>
        <a:xfrm>
          <a:off x="2348936" y="187635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114</xdr:row>
      <xdr:rowOff>7056</xdr:rowOff>
    </xdr:from>
    <xdr:to>
      <xdr:col>30</xdr:col>
      <xdr:colOff>42332</xdr:colOff>
      <xdr:row>117</xdr:row>
      <xdr:rowOff>1</xdr:rowOff>
    </xdr:to>
    <xdr:sp macro="" textlink="">
      <xdr:nvSpPr>
        <xdr:cNvPr id="2219" name="Isosceles Triangle 2218">
          <a:extLst>
            <a:ext uri="{FF2B5EF4-FFF2-40B4-BE49-F238E27FC236}">
              <a16:creationId xmlns:a16="http://schemas.microsoft.com/office/drawing/2014/main" id="{B1D39B2C-9DF7-4A70-959A-6B285C8EA441}"/>
            </a:ext>
          </a:extLst>
        </xdr:cNvPr>
        <xdr:cNvSpPr/>
      </xdr:nvSpPr>
      <xdr:spPr>
        <a:xfrm>
          <a:off x="3388078" y="187522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276931</xdr:colOff>
      <xdr:row>125</xdr:row>
      <xdr:rowOff>18345</xdr:rowOff>
    </xdr:from>
    <xdr:to>
      <xdr:col>2</xdr:col>
      <xdr:colOff>7760</xdr:colOff>
      <xdr:row>128</xdr:row>
      <xdr:rowOff>11290</xdr:rowOff>
    </xdr:to>
    <xdr:sp macro="" textlink="">
      <xdr:nvSpPr>
        <xdr:cNvPr id="2220" name="Isosceles Triangle 2219">
          <a:extLst>
            <a:ext uri="{FF2B5EF4-FFF2-40B4-BE49-F238E27FC236}">
              <a16:creationId xmlns:a16="http://schemas.microsoft.com/office/drawing/2014/main" id="{F67BA50D-6041-4348-BE93-5A45D392759F}"/>
            </a:ext>
          </a:extLst>
        </xdr:cNvPr>
        <xdr:cNvSpPr/>
      </xdr:nvSpPr>
      <xdr:spPr>
        <a:xfrm>
          <a:off x="276931" y="23021220"/>
          <a:ext cx="58807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413657</xdr:colOff>
      <xdr:row>125</xdr:row>
      <xdr:rowOff>7055</xdr:rowOff>
    </xdr:from>
    <xdr:to>
      <xdr:col>4</xdr:col>
      <xdr:colOff>49392</xdr:colOff>
      <xdr:row>128</xdr:row>
      <xdr:rowOff>0</xdr:rowOff>
    </xdr:to>
    <xdr:sp macro="" textlink="">
      <xdr:nvSpPr>
        <xdr:cNvPr id="2221" name="Isosceles Triangle 2220">
          <a:extLst>
            <a:ext uri="{FF2B5EF4-FFF2-40B4-BE49-F238E27FC236}">
              <a16:creationId xmlns:a16="http://schemas.microsoft.com/office/drawing/2014/main" id="{83B584DE-490A-4A70-9B0B-20C85D86526A}"/>
            </a:ext>
          </a:extLst>
        </xdr:cNvPr>
        <xdr:cNvSpPr/>
      </xdr:nvSpPr>
      <xdr:spPr>
        <a:xfrm>
          <a:off x="5458097" y="1875225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125</xdr:row>
      <xdr:rowOff>4233</xdr:rowOff>
    </xdr:from>
    <xdr:to>
      <xdr:col>6</xdr:col>
      <xdr:colOff>46570</xdr:colOff>
      <xdr:row>127</xdr:row>
      <xdr:rowOff>173567</xdr:rowOff>
    </xdr:to>
    <xdr:sp macro="" textlink="">
      <xdr:nvSpPr>
        <xdr:cNvPr id="2222" name="Isosceles Triangle 2221">
          <a:extLst>
            <a:ext uri="{FF2B5EF4-FFF2-40B4-BE49-F238E27FC236}">
              <a16:creationId xmlns:a16="http://schemas.microsoft.com/office/drawing/2014/main" id="{C6CA07BF-8A70-4575-81D2-270B0006A5E8}"/>
            </a:ext>
          </a:extLst>
        </xdr:cNvPr>
        <xdr:cNvSpPr/>
      </xdr:nvSpPr>
      <xdr:spPr>
        <a:xfrm>
          <a:off x="6501275" y="187494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125</xdr:row>
      <xdr:rowOff>13304</xdr:rowOff>
    </xdr:from>
    <xdr:to>
      <xdr:col>10</xdr:col>
      <xdr:colOff>46570</xdr:colOff>
      <xdr:row>128</xdr:row>
      <xdr:rowOff>1209</xdr:rowOff>
    </xdr:to>
    <xdr:sp macro="" textlink="">
      <xdr:nvSpPr>
        <xdr:cNvPr id="2223" name="Isosceles Triangle 2222">
          <a:extLst>
            <a:ext uri="{FF2B5EF4-FFF2-40B4-BE49-F238E27FC236}">
              <a16:creationId xmlns:a16="http://schemas.microsoft.com/office/drawing/2014/main" id="{C7D8841C-6064-4989-AB1E-258E609141D4}"/>
            </a:ext>
          </a:extLst>
        </xdr:cNvPr>
        <xdr:cNvSpPr/>
      </xdr:nvSpPr>
      <xdr:spPr>
        <a:xfrm>
          <a:off x="8278640" y="23333679"/>
          <a:ext cx="642055" cy="51178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125</xdr:row>
      <xdr:rowOff>13304</xdr:rowOff>
    </xdr:from>
    <xdr:to>
      <xdr:col>6</xdr:col>
      <xdr:colOff>46569</xdr:colOff>
      <xdr:row>128</xdr:row>
      <xdr:rowOff>1209</xdr:rowOff>
    </xdr:to>
    <xdr:sp macro="" textlink="">
      <xdr:nvSpPr>
        <xdr:cNvPr id="2224" name="Isosceles Triangle 2223">
          <a:extLst>
            <a:ext uri="{FF2B5EF4-FFF2-40B4-BE49-F238E27FC236}">
              <a16:creationId xmlns:a16="http://schemas.microsoft.com/office/drawing/2014/main" id="{785F58C1-2863-4B3E-A278-E771173657A2}"/>
            </a:ext>
          </a:extLst>
        </xdr:cNvPr>
        <xdr:cNvSpPr/>
      </xdr:nvSpPr>
      <xdr:spPr>
        <a:xfrm>
          <a:off x="6501275" y="1875850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125</xdr:row>
      <xdr:rowOff>15522</xdr:rowOff>
    </xdr:from>
    <xdr:to>
      <xdr:col>8</xdr:col>
      <xdr:colOff>43746</xdr:colOff>
      <xdr:row>128</xdr:row>
      <xdr:rowOff>8467</xdr:rowOff>
    </xdr:to>
    <xdr:sp macro="" textlink="">
      <xdr:nvSpPr>
        <xdr:cNvPr id="2225" name="Isosceles Triangle 2224">
          <a:extLst>
            <a:ext uri="{FF2B5EF4-FFF2-40B4-BE49-F238E27FC236}">
              <a16:creationId xmlns:a16="http://schemas.microsoft.com/office/drawing/2014/main" id="{805543AF-1939-4EA9-82BB-B965764636B2}"/>
            </a:ext>
          </a:extLst>
        </xdr:cNvPr>
        <xdr:cNvSpPr/>
      </xdr:nvSpPr>
      <xdr:spPr>
        <a:xfrm>
          <a:off x="7534772" y="187607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125</xdr:row>
      <xdr:rowOff>7056</xdr:rowOff>
    </xdr:from>
    <xdr:to>
      <xdr:col>12</xdr:col>
      <xdr:colOff>42332</xdr:colOff>
      <xdr:row>128</xdr:row>
      <xdr:rowOff>1</xdr:rowOff>
    </xdr:to>
    <xdr:sp macro="" textlink="">
      <xdr:nvSpPr>
        <xdr:cNvPr id="2226" name="Isosceles Triangle 2225">
          <a:extLst>
            <a:ext uri="{FF2B5EF4-FFF2-40B4-BE49-F238E27FC236}">
              <a16:creationId xmlns:a16="http://schemas.microsoft.com/office/drawing/2014/main" id="{27D0861B-226D-4345-8907-80DAA2216DDB}"/>
            </a:ext>
          </a:extLst>
        </xdr:cNvPr>
        <xdr:cNvSpPr/>
      </xdr:nvSpPr>
      <xdr:spPr>
        <a:xfrm>
          <a:off x="961361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125</xdr:row>
      <xdr:rowOff>18345</xdr:rowOff>
    </xdr:from>
    <xdr:to>
      <xdr:col>14</xdr:col>
      <xdr:colOff>39510</xdr:colOff>
      <xdr:row>128</xdr:row>
      <xdr:rowOff>11290</xdr:rowOff>
    </xdr:to>
    <xdr:sp macro="" textlink="">
      <xdr:nvSpPr>
        <xdr:cNvPr id="2227" name="Isosceles Triangle 2226">
          <a:extLst>
            <a:ext uri="{FF2B5EF4-FFF2-40B4-BE49-F238E27FC236}">
              <a16:creationId xmlns:a16="http://schemas.microsoft.com/office/drawing/2014/main" id="{DCA4AEFB-F709-4220-B86E-D0B4EE6F5277}"/>
            </a:ext>
          </a:extLst>
        </xdr:cNvPr>
        <xdr:cNvSpPr/>
      </xdr:nvSpPr>
      <xdr:spPr>
        <a:xfrm>
          <a:off x="10647116" y="1876354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125</xdr:row>
      <xdr:rowOff>7056</xdr:rowOff>
    </xdr:from>
    <xdr:to>
      <xdr:col>16</xdr:col>
      <xdr:colOff>42332</xdr:colOff>
      <xdr:row>128</xdr:row>
      <xdr:rowOff>1</xdr:rowOff>
    </xdr:to>
    <xdr:sp macro="" textlink="">
      <xdr:nvSpPr>
        <xdr:cNvPr id="2228" name="Isosceles Triangle 2227">
          <a:extLst>
            <a:ext uri="{FF2B5EF4-FFF2-40B4-BE49-F238E27FC236}">
              <a16:creationId xmlns:a16="http://schemas.microsoft.com/office/drawing/2014/main" id="{48CADF30-86F2-4841-9966-3666DB95F9CE}"/>
            </a:ext>
          </a:extLst>
        </xdr:cNvPr>
        <xdr:cNvSpPr/>
      </xdr:nvSpPr>
      <xdr:spPr>
        <a:xfrm>
          <a:off x="1168625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125</xdr:row>
      <xdr:rowOff>18345</xdr:rowOff>
    </xdr:from>
    <xdr:to>
      <xdr:col>18</xdr:col>
      <xdr:colOff>39510</xdr:colOff>
      <xdr:row>128</xdr:row>
      <xdr:rowOff>11290</xdr:rowOff>
    </xdr:to>
    <xdr:sp macro="" textlink="">
      <xdr:nvSpPr>
        <xdr:cNvPr id="2229" name="Isosceles Triangle 2228">
          <a:extLst>
            <a:ext uri="{FF2B5EF4-FFF2-40B4-BE49-F238E27FC236}">
              <a16:creationId xmlns:a16="http://schemas.microsoft.com/office/drawing/2014/main" id="{CC669063-D36C-4D5C-BE99-ABAB2C2283E3}"/>
            </a:ext>
          </a:extLst>
        </xdr:cNvPr>
        <xdr:cNvSpPr/>
      </xdr:nvSpPr>
      <xdr:spPr>
        <a:xfrm>
          <a:off x="1271975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125</xdr:row>
      <xdr:rowOff>7056</xdr:rowOff>
    </xdr:from>
    <xdr:to>
      <xdr:col>20</xdr:col>
      <xdr:colOff>42332</xdr:colOff>
      <xdr:row>128</xdr:row>
      <xdr:rowOff>1</xdr:rowOff>
    </xdr:to>
    <xdr:sp macro="" textlink="">
      <xdr:nvSpPr>
        <xdr:cNvPr id="2230" name="Isosceles Triangle 2229">
          <a:extLst>
            <a:ext uri="{FF2B5EF4-FFF2-40B4-BE49-F238E27FC236}">
              <a16:creationId xmlns:a16="http://schemas.microsoft.com/office/drawing/2014/main" id="{C99BDBA1-187E-4EF8-B408-5AAD94CA3E34}"/>
            </a:ext>
          </a:extLst>
        </xdr:cNvPr>
        <xdr:cNvSpPr/>
      </xdr:nvSpPr>
      <xdr:spPr>
        <a:xfrm>
          <a:off x="1375889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125</xdr:row>
      <xdr:rowOff>18345</xdr:rowOff>
    </xdr:from>
    <xdr:to>
      <xdr:col>22</xdr:col>
      <xdr:colOff>39510</xdr:colOff>
      <xdr:row>128</xdr:row>
      <xdr:rowOff>11290</xdr:rowOff>
    </xdr:to>
    <xdr:sp macro="" textlink="">
      <xdr:nvSpPr>
        <xdr:cNvPr id="2231" name="Isosceles Triangle 2230">
          <a:extLst>
            <a:ext uri="{FF2B5EF4-FFF2-40B4-BE49-F238E27FC236}">
              <a16:creationId xmlns:a16="http://schemas.microsoft.com/office/drawing/2014/main" id="{5849AC8E-D5E1-4FAB-A774-6B86A8F925CE}"/>
            </a:ext>
          </a:extLst>
        </xdr:cNvPr>
        <xdr:cNvSpPr/>
      </xdr:nvSpPr>
      <xdr:spPr>
        <a:xfrm>
          <a:off x="1479239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344998</xdr:colOff>
      <xdr:row>125</xdr:row>
      <xdr:rowOff>7055</xdr:rowOff>
    </xdr:from>
    <xdr:to>
      <xdr:col>24</xdr:col>
      <xdr:colOff>75246</xdr:colOff>
      <xdr:row>128</xdr:row>
      <xdr:rowOff>0</xdr:rowOff>
    </xdr:to>
    <xdr:sp macro="" textlink="">
      <xdr:nvSpPr>
        <xdr:cNvPr id="2232" name="Isosceles Triangle 2231">
          <a:extLst>
            <a:ext uri="{FF2B5EF4-FFF2-40B4-BE49-F238E27FC236}">
              <a16:creationId xmlns:a16="http://schemas.microsoft.com/office/drawing/2014/main" id="{CDAD1FAF-0393-45E6-B261-CDDB44A6948B}"/>
            </a:ext>
          </a:extLst>
        </xdr:cNvPr>
        <xdr:cNvSpPr/>
      </xdr:nvSpPr>
      <xdr:spPr>
        <a:xfrm>
          <a:off x="11219373" y="23009930"/>
          <a:ext cx="730373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125</xdr:row>
      <xdr:rowOff>4233</xdr:rowOff>
    </xdr:from>
    <xdr:to>
      <xdr:col>26</xdr:col>
      <xdr:colOff>46570</xdr:colOff>
      <xdr:row>127</xdr:row>
      <xdr:rowOff>173567</xdr:rowOff>
    </xdr:to>
    <xdr:sp macro="" textlink="">
      <xdr:nvSpPr>
        <xdr:cNvPr id="2233" name="Isosceles Triangle 2232">
          <a:extLst>
            <a:ext uri="{FF2B5EF4-FFF2-40B4-BE49-F238E27FC236}">
              <a16:creationId xmlns:a16="http://schemas.microsoft.com/office/drawing/2014/main" id="{3D6A4A52-52BE-447F-A5C0-AF9396501F46}"/>
            </a:ext>
          </a:extLst>
        </xdr:cNvPr>
        <xdr:cNvSpPr/>
      </xdr:nvSpPr>
      <xdr:spPr>
        <a:xfrm>
          <a:off x="131967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125</xdr:row>
      <xdr:rowOff>13304</xdr:rowOff>
    </xdr:from>
    <xdr:to>
      <xdr:col>30</xdr:col>
      <xdr:colOff>46570</xdr:colOff>
      <xdr:row>128</xdr:row>
      <xdr:rowOff>1210</xdr:rowOff>
    </xdr:to>
    <xdr:sp macro="" textlink="">
      <xdr:nvSpPr>
        <xdr:cNvPr id="2234" name="Isosceles Triangle 2233">
          <a:extLst>
            <a:ext uri="{FF2B5EF4-FFF2-40B4-BE49-F238E27FC236}">
              <a16:creationId xmlns:a16="http://schemas.microsoft.com/office/drawing/2014/main" id="{1C09C0C2-886C-44A7-B241-33300A2E713C}"/>
            </a:ext>
          </a:extLst>
        </xdr:cNvPr>
        <xdr:cNvSpPr/>
      </xdr:nvSpPr>
      <xdr:spPr>
        <a:xfrm>
          <a:off x="3392315" y="2095306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125</xdr:row>
      <xdr:rowOff>13304</xdr:rowOff>
    </xdr:from>
    <xdr:to>
      <xdr:col>26</xdr:col>
      <xdr:colOff>46569</xdr:colOff>
      <xdr:row>128</xdr:row>
      <xdr:rowOff>1210</xdr:rowOff>
    </xdr:to>
    <xdr:sp macro="" textlink="">
      <xdr:nvSpPr>
        <xdr:cNvPr id="2235" name="Isosceles Triangle 2234">
          <a:extLst>
            <a:ext uri="{FF2B5EF4-FFF2-40B4-BE49-F238E27FC236}">
              <a16:creationId xmlns:a16="http://schemas.microsoft.com/office/drawing/2014/main" id="{17C8DF04-488B-4C92-8F80-C3C0A4B21F78}"/>
            </a:ext>
          </a:extLst>
        </xdr:cNvPr>
        <xdr:cNvSpPr/>
      </xdr:nvSpPr>
      <xdr:spPr>
        <a:xfrm>
          <a:off x="1319675" y="2095306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125</xdr:row>
      <xdr:rowOff>15522</xdr:rowOff>
    </xdr:from>
    <xdr:to>
      <xdr:col>28</xdr:col>
      <xdr:colOff>43746</xdr:colOff>
      <xdr:row>128</xdr:row>
      <xdr:rowOff>8467</xdr:rowOff>
    </xdr:to>
    <xdr:sp macro="" textlink="">
      <xdr:nvSpPr>
        <xdr:cNvPr id="2236" name="Isosceles Triangle 2235">
          <a:extLst>
            <a:ext uri="{FF2B5EF4-FFF2-40B4-BE49-F238E27FC236}">
              <a16:creationId xmlns:a16="http://schemas.microsoft.com/office/drawing/2014/main" id="{80F95E93-EDEA-4B6F-95AE-A1EB9DDD637F}"/>
            </a:ext>
          </a:extLst>
        </xdr:cNvPr>
        <xdr:cNvSpPr/>
      </xdr:nvSpPr>
      <xdr:spPr>
        <a:xfrm>
          <a:off x="235317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138</xdr:row>
      <xdr:rowOff>7056</xdr:rowOff>
    </xdr:from>
    <xdr:to>
      <xdr:col>2</xdr:col>
      <xdr:colOff>42332</xdr:colOff>
      <xdr:row>141</xdr:row>
      <xdr:rowOff>1</xdr:rowOff>
    </xdr:to>
    <xdr:sp macro="" textlink="">
      <xdr:nvSpPr>
        <xdr:cNvPr id="2237" name="Isosceles Triangle 2236">
          <a:extLst>
            <a:ext uri="{FF2B5EF4-FFF2-40B4-BE49-F238E27FC236}">
              <a16:creationId xmlns:a16="http://schemas.microsoft.com/office/drawing/2014/main" id="{99B9701A-26D7-40FA-A64C-647EE09308A0}"/>
            </a:ext>
          </a:extLst>
        </xdr:cNvPr>
        <xdr:cNvSpPr/>
      </xdr:nvSpPr>
      <xdr:spPr>
        <a:xfrm>
          <a:off x="442439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138</xdr:row>
      <xdr:rowOff>18345</xdr:rowOff>
    </xdr:from>
    <xdr:to>
      <xdr:col>4</xdr:col>
      <xdr:colOff>39510</xdr:colOff>
      <xdr:row>141</xdr:row>
      <xdr:rowOff>11290</xdr:rowOff>
    </xdr:to>
    <xdr:sp macro="" textlink="">
      <xdr:nvSpPr>
        <xdr:cNvPr id="2238" name="Isosceles Triangle 2237">
          <a:extLst>
            <a:ext uri="{FF2B5EF4-FFF2-40B4-BE49-F238E27FC236}">
              <a16:creationId xmlns:a16="http://schemas.microsoft.com/office/drawing/2014/main" id="{85BC107E-AEB5-42F7-8679-F442AB760697}"/>
            </a:ext>
          </a:extLst>
        </xdr:cNvPr>
        <xdr:cNvSpPr/>
      </xdr:nvSpPr>
      <xdr:spPr>
        <a:xfrm>
          <a:off x="5457896" y="2095810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138</xdr:row>
      <xdr:rowOff>7056</xdr:rowOff>
    </xdr:from>
    <xdr:to>
      <xdr:col>6</xdr:col>
      <xdr:colOff>42332</xdr:colOff>
      <xdr:row>141</xdr:row>
      <xdr:rowOff>1</xdr:rowOff>
    </xdr:to>
    <xdr:sp macro="" textlink="">
      <xdr:nvSpPr>
        <xdr:cNvPr id="2239" name="Isosceles Triangle 2238">
          <a:extLst>
            <a:ext uri="{FF2B5EF4-FFF2-40B4-BE49-F238E27FC236}">
              <a16:creationId xmlns:a16="http://schemas.microsoft.com/office/drawing/2014/main" id="{CAC250D8-1B5F-4CFF-8F1D-5D09FE719E09}"/>
            </a:ext>
          </a:extLst>
        </xdr:cNvPr>
        <xdr:cNvSpPr/>
      </xdr:nvSpPr>
      <xdr:spPr>
        <a:xfrm>
          <a:off x="649703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419100</xdr:colOff>
      <xdr:row>138</xdr:row>
      <xdr:rowOff>18345</xdr:rowOff>
    </xdr:from>
    <xdr:to>
      <xdr:col>8</xdr:col>
      <xdr:colOff>39510</xdr:colOff>
      <xdr:row>141</xdr:row>
      <xdr:rowOff>0</xdr:rowOff>
    </xdr:to>
    <xdr:sp macro="" textlink="">
      <xdr:nvSpPr>
        <xdr:cNvPr id="2240" name="Isosceles Triangle 2239">
          <a:extLst>
            <a:ext uri="{FF2B5EF4-FFF2-40B4-BE49-F238E27FC236}">
              <a16:creationId xmlns:a16="http://schemas.microsoft.com/office/drawing/2014/main" id="{2D825863-23E5-4BD0-9627-E1D521D5E75B}"/>
            </a:ext>
          </a:extLst>
        </xdr:cNvPr>
        <xdr:cNvSpPr/>
      </xdr:nvSpPr>
      <xdr:spPr>
        <a:xfrm>
          <a:off x="3378200" y="25151645"/>
          <a:ext cx="649110" cy="47695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138</xdr:row>
      <xdr:rowOff>7056</xdr:rowOff>
    </xdr:from>
    <xdr:to>
      <xdr:col>10</xdr:col>
      <xdr:colOff>42332</xdr:colOff>
      <xdr:row>141</xdr:row>
      <xdr:rowOff>1</xdr:rowOff>
    </xdr:to>
    <xdr:sp macro="" textlink="">
      <xdr:nvSpPr>
        <xdr:cNvPr id="2241" name="Isosceles Triangle 2240">
          <a:extLst>
            <a:ext uri="{FF2B5EF4-FFF2-40B4-BE49-F238E27FC236}">
              <a16:creationId xmlns:a16="http://schemas.microsoft.com/office/drawing/2014/main" id="{51F1C5DA-5A92-427F-8579-3625B9CEC985}"/>
            </a:ext>
          </a:extLst>
        </xdr:cNvPr>
        <xdr:cNvSpPr/>
      </xdr:nvSpPr>
      <xdr:spPr>
        <a:xfrm>
          <a:off x="8569678" y="20946816"/>
          <a:ext cx="66999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138</xdr:row>
      <xdr:rowOff>18345</xdr:rowOff>
    </xdr:from>
    <xdr:to>
      <xdr:col>12</xdr:col>
      <xdr:colOff>21579</xdr:colOff>
      <xdr:row>141</xdr:row>
      <xdr:rowOff>8965</xdr:rowOff>
    </xdr:to>
    <xdr:sp macro="" textlink="">
      <xdr:nvSpPr>
        <xdr:cNvPr id="2242" name="Isosceles Triangle 2241">
          <a:extLst>
            <a:ext uri="{FF2B5EF4-FFF2-40B4-BE49-F238E27FC236}">
              <a16:creationId xmlns:a16="http://schemas.microsoft.com/office/drawing/2014/main" id="{A3AF81E8-4EBE-40BA-9985-6E74383F0E4D}"/>
            </a:ext>
          </a:extLst>
        </xdr:cNvPr>
        <xdr:cNvSpPr/>
      </xdr:nvSpPr>
      <xdr:spPr>
        <a:xfrm>
          <a:off x="9636610" y="20958105"/>
          <a:ext cx="618629" cy="49354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138</xdr:row>
      <xdr:rowOff>7055</xdr:rowOff>
    </xdr:from>
    <xdr:to>
      <xdr:col>14</xdr:col>
      <xdr:colOff>49392</xdr:colOff>
      <xdr:row>141</xdr:row>
      <xdr:rowOff>0</xdr:rowOff>
    </xdr:to>
    <xdr:sp macro="" textlink="">
      <xdr:nvSpPr>
        <xdr:cNvPr id="2243" name="Isosceles Triangle 2242">
          <a:extLst>
            <a:ext uri="{FF2B5EF4-FFF2-40B4-BE49-F238E27FC236}">
              <a16:creationId xmlns:a16="http://schemas.microsoft.com/office/drawing/2014/main" id="{4589BF2B-2430-4424-B174-1EF9ED5B964C}"/>
            </a:ext>
          </a:extLst>
        </xdr:cNvPr>
        <xdr:cNvSpPr/>
      </xdr:nvSpPr>
      <xdr:spPr>
        <a:xfrm>
          <a:off x="10637072" y="20946815"/>
          <a:ext cx="682300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138</xdr:row>
      <xdr:rowOff>4233</xdr:rowOff>
    </xdr:from>
    <xdr:to>
      <xdr:col>16</xdr:col>
      <xdr:colOff>46570</xdr:colOff>
      <xdr:row>140</xdr:row>
      <xdr:rowOff>173567</xdr:rowOff>
    </xdr:to>
    <xdr:sp macro="" textlink="">
      <xdr:nvSpPr>
        <xdr:cNvPr id="2244" name="Isosceles Triangle 2243">
          <a:extLst>
            <a:ext uri="{FF2B5EF4-FFF2-40B4-BE49-F238E27FC236}">
              <a16:creationId xmlns:a16="http://schemas.microsoft.com/office/drawing/2014/main" id="{18405475-C39E-47B8-BFAF-CF84D1558167}"/>
            </a:ext>
          </a:extLst>
        </xdr:cNvPr>
        <xdr:cNvSpPr/>
      </xdr:nvSpPr>
      <xdr:spPr>
        <a:xfrm>
          <a:off x="1169049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138</xdr:row>
      <xdr:rowOff>13304</xdr:rowOff>
    </xdr:from>
    <xdr:to>
      <xdr:col>20</xdr:col>
      <xdr:colOff>46570</xdr:colOff>
      <xdr:row>141</xdr:row>
      <xdr:rowOff>1209</xdr:rowOff>
    </xdr:to>
    <xdr:sp macro="" textlink="">
      <xdr:nvSpPr>
        <xdr:cNvPr id="2245" name="Isosceles Triangle 2244">
          <a:extLst>
            <a:ext uri="{FF2B5EF4-FFF2-40B4-BE49-F238E27FC236}">
              <a16:creationId xmlns:a16="http://schemas.microsoft.com/office/drawing/2014/main" id="{FB9DF041-F914-4426-B103-9DDC4FAD474F}"/>
            </a:ext>
          </a:extLst>
        </xdr:cNvPr>
        <xdr:cNvSpPr/>
      </xdr:nvSpPr>
      <xdr:spPr>
        <a:xfrm>
          <a:off x="13763135" y="209530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138</xdr:row>
      <xdr:rowOff>13304</xdr:rowOff>
    </xdr:from>
    <xdr:to>
      <xdr:col>16</xdr:col>
      <xdr:colOff>46569</xdr:colOff>
      <xdr:row>141</xdr:row>
      <xdr:rowOff>1209</xdr:rowOff>
    </xdr:to>
    <xdr:sp macro="" textlink="">
      <xdr:nvSpPr>
        <xdr:cNvPr id="2246" name="Isosceles Triangle 2245">
          <a:extLst>
            <a:ext uri="{FF2B5EF4-FFF2-40B4-BE49-F238E27FC236}">
              <a16:creationId xmlns:a16="http://schemas.microsoft.com/office/drawing/2014/main" id="{3B46B197-620E-4CE8-A30C-6489B245DB31}"/>
            </a:ext>
          </a:extLst>
        </xdr:cNvPr>
        <xdr:cNvSpPr/>
      </xdr:nvSpPr>
      <xdr:spPr>
        <a:xfrm>
          <a:off x="11690495" y="209530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138</xdr:row>
      <xdr:rowOff>15522</xdr:rowOff>
    </xdr:from>
    <xdr:to>
      <xdr:col>18</xdr:col>
      <xdr:colOff>43746</xdr:colOff>
      <xdr:row>141</xdr:row>
      <xdr:rowOff>8467</xdr:rowOff>
    </xdr:to>
    <xdr:sp macro="" textlink="">
      <xdr:nvSpPr>
        <xdr:cNvPr id="2247" name="Isosceles Triangle 2246">
          <a:extLst>
            <a:ext uri="{FF2B5EF4-FFF2-40B4-BE49-F238E27FC236}">
              <a16:creationId xmlns:a16="http://schemas.microsoft.com/office/drawing/2014/main" id="{ACF833CF-1E0D-4B25-8A5A-7564397BB08B}"/>
            </a:ext>
          </a:extLst>
        </xdr:cNvPr>
        <xdr:cNvSpPr/>
      </xdr:nvSpPr>
      <xdr:spPr>
        <a:xfrm>
          <a:off x="1272399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138</xdr:row>
      <xdr:rowOff>7056</xdr:rowOff>
    </xdr:from>
    <xdr:to>
      <xdr:col>22</xdr:col>
      <xdr:colOff>42332</xdr:colOff>
      <xdr:row>141</xdr:row>
      <xdr:rowOff>1</xdr:rowOff>
    </xdr:to>
    <xdr:sp macro="" textlink="">
      <xdr:nvSpPr>
        <xdr:cNvPr id="2248" name="Isosceles Triangle 2247">
          <a:extLst>
            <a:ext uri="{FF2B5EF4-FFF2-40B4-BE49-F238E27FC236}">
              <a16:creationId xmlns:a16="http://schemas.microsoft.com/office/drawing/2014/main" id="{092B1017-5975-46CB-95C1-26B0C457E84C}"/>
            </a:ext>
          </a:extLst>
        </xdr:cNvPr>
        <xdr:cNvSpPr/>
      </xdr:nvSpPr>
      <xdr:spPr>
        <a:xfrm>
          <a:off x="1479521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347869</xdr:colOff>
      <xdr:row>138</xdr:row>
      <xdr:rowOff>18345</xdr:rowOff>
    </xdr:from>
    <xdr:to>
      <xdr:col>24</xdr:col>
      <xdr:colOff>65363</xdr:colOff>
      <xdr:row>141</xdr:row>
      <xdr:rowOff>11290</xdr:rowOff>
    </xdr:to>
    <xdr:sp macro="" textlink="">
      <xdr:nvSpPr>
        <xdr:cNvPr id="2249" name="Isosceles Triangle 2248">
          <a:extLst>
            <a:ext uri="{FF2B5EF4-FFF2-40B4-BE49-F238E27FC236}">
              <a16:creationId xmlns:a16="http://schemas.microsoft.com/office/drawing/2014/main" id="{C5154D0F-9B5D-47FE-8BC0-C2270CECF243}"/>
            </a:ext>
          </a:extLst>
        </xdr:cNvPr>
        <xdr:cNvSpPr/>
      </xdr:nvSpPr>
      <xdr:spPr>
        <a:xfrm>
          <a:off x="11222244" y="25291345"/>
          <a:ext cx="71761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138</xdr:row>
      <xdr:rowOff>7056</xdr:rowOff>
    </xdr:from>
    <xdr:to>
      <xdr:col>26</xdr:col>
      <xdr:colOff>42332</xdr:colOff>
      <xdr:row>141</xdr:row>
      <xdr:rowOff>1</xdr:rowOff>
    </xdr:to>
    <xdr:sp macro="" textlink="">
      <xdr:nvSpPr>
        <xdr:cNvPr id="2250" name="Isosceles Triangle 2249">
          <a:extLst>
            <a:ext uri="{FF2B5EF4-FFF2-40B4-BE49-F238E27FC236}">
              <a16:creationId xmlns:a16="http://schemas.microsoft.com/office/drawing/2014/main" id="{B0000729-60DD-44B3-B76D-043325684ADC}"/>
            </a:ext>
          </a:extLst>
        </xdr:cNvPr>
        <xdr:cNvSpPr/>
      </xdr:nvSpPr>
      <xdr:spPr>
        <a:xfrm>
          <a:off x="1315438" y="228060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322487</xdr:colOff>
      <xdr:row>90</xdr:row>
      <xdr:rowOff>40825</xdr:rowOff>
    </xdr:from>
    <xdr:to>
      <xdr:col>36</xdr:col>
      <xdr:colOff>218619</xdr:colOff>
      <xdr:row>91</xdr:row>
      <xdr:rowOff>43543</xdr:rowOff>
    </xdr:to>
    <xdr:sp macro="" textlink="">
      <xdr:nvSpPr>
        <xdr:cNvPr id="2298" name="Callout: Right Arrow 2297">
          <a:extLst>
            <a:ext uri="{FF2B5EF4-FFF2-40B4-BE49-F238E27FC236}">
              <a16:creationId xmlns:a16="http://schemas.microsoft.com/office/drawing/2014/main" id="{D3042D9F-C124-4DD9-947D-201B9F0554E7}"/>
            </a:ext>
          </a:extLst>
        </xdr:cNvPr>
        <xdr:cNvSpPr/>
      </xdr:nvSpPr>
      <xdr:spPr>
        <a:xfrm>
          <a:off x="16291560" y="12872905"/>
          <a:ext cx="0" cy="170358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288640</xdr:colOff>
      <xdr:row>44</xdr:row>
      <xdr:rowOff>173181</xdr:rowOff>
    </xdr:from>
    <xdr:to>
      <xdr:col>7</xdr:col>
      <xdr:colOff>294410</xdr:colOff>
      <xdr:row>45</xdr:row>
      <xdr:rowOff>121226</xdr:rowOff>
    </xdr:to>
    <xdr:sp macro="" textlink="">
      <xdr:nvSpPr>
        <xdr:cNvPr id="2300" name="Freeform 10707">
          <a:extLst>
            <a:ext uri="{FF2B5EF4-FFF2-40B4-BE49-F238E27FC236}">
              <a16:creationId xmlns:a16="http://schemas.microsoft.com/office/drawing/2014/main" id="{B455D39E-6988-4FE4-BBA1-E88ECE0BE9D7}"/>
            </a:ext>
          </a:extLst>
        </xdr:cNvPr>
        <xdr:cNvSpPr>
          <a:spLocks/>
        </xdr:cNvSpPr>
      </xdr:nvSpPr>
      <xdr:spPr bwMode="auto">
        <a:xfrm>
          <a:off x="68266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45</xdr:row>
      <xdr:rowOff>30305</xdr:rowOff>
    </xdr:from>
    <xdr:to>
      <xdr:col>9</xdr:col>
      <xdr:colOff>294410</xdr:colOff>
      <xdr:row>45</xdr:row>
      <xdr:rowOff>145038</xdr:rowOff>
    </xdr:to>
    <xdr:sp macro="" textlink="">
      <xdr:nvSpPr>
        <xdr:cNvPr id="2301" name="Freeform 10707">
          <a:extLst>
            <a:ext uri="{FF2B5EF4-FFF2-40B4-BE49-F238E27FC236}">
              <a16:creationId xmlns:a16="http://schemas.microsoft.com/office/drawing/2014/main" id="{509DCF6B-4B9E-4815-A7B4-81AB72D21979}"/>
            </a:ext>
          </a:extLst>
        </xdr:cNvPr>
        <xdr:cNvSpPr>
          <a:spLocks/>
        </xdr:cNvSpPr>
      </xdr:nvSpPr>
      <xdr:spPr bwMode="auto">
        <a:xfrm>
          <a:off x="7862920" y="4731845"/>
          <a:ext cx="1042090" cy="1147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44</xdr:row>
      <xdr:rowOff>173181</xdr:rowOff>
    </xdr:from>
    <xdr:to>
      <xdr:col>11</xdr:col>
      <xdr:colOff>294410</xdr:colOff>
      <xdr:row>45</xdr:row>
      <xdr:rowOff>121226</xdr:rowOff>
    </xdr:to>
    <xdr:sp macro="" textlink="">
      <xdr:nvSpPr>
        <xdr:cNvPr id="2302" name="Freeform 10707">
          <a:extLst>
            <a:ext uri="{FF2B5EF4-FFF2-40B4-BE49-F238E27FC236}">
              <a16:creationId xmlns:a16="http://schemas.microsoft.com/office/drawing/2014/main" id="{86FEE92D-6779-49EA-A763-5E100A911D77}"/>
            </a:ext>
          </a:extLst>
        </xdr:cNvPr>
        <xdr:cNvSpPr>
          <a:spLocks/>
        </xdr:cNvSpPr>
      </xdr:nvSpPr>
      <xdr:spPr bwMode="auto">
        <a:xfrm>
          <a:off x="8899240" y="4699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44</xdr:row>
      <xdr:rowOff>173181</xdr:rowOff>
    </xdr:from>
    <xdr:to>
      <xdr:col>13</xdr:col>
      <xdr:colOff>294410</xdr:colOff>
      <xdr:row>45</xdr:row>
      <xdr:rowOff>121226</xdr:rowOff>
    </xdr:to>
    <xdr:sp macro="" textlink="">
      <xdr:nvSpPr>
        <xdr:cNvPr id="2303" name="Freeform 10707">
          <a:extLst>
            <a:ext uri="{FF2B5EF4-FFF2-40B4-BE49-F238E27FC236}">
              <a16:creationId xmlns:a16="http://schemas.microsoft.com/office/drawing/2014/main" id="{4B807273-5CC9-44B1-B03B-35FE00459456}"/>
            </a:ext>
          </a:extLst>
        </xdr:cNvPr>
        <xdr:cNvSpPr>
          <a:spLocks/>
        </xdr:cNvSpPr>
      </xdr:nvSpPr>
      <xdr:spPr bwMode="auto">
        <a:xfrm>
          <a:off x="99431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304" name="Freeform 10707">
          <a:extLst>
            <a:ext uri="{FF2B5EF4-FFF2-40B4-BE49-F238E27FC236}">
              <a16:creationId xmlns:a16="http://schemas.microsoft.com/office/drawing/2014/main" id="{3AF80C61-BDE3-4B80-8C39-B84795216292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305" name="Freeform 10707">
          <a:extLst>
            <a:ext uri="{FF2B5EF4-FFF2-40B4-BE49-F238E27FC236}">
              <a16:creationId xmlns:a16="http://schemas.microsoft.com/office/drawing/2014/main" id="{12130D77-ADBE-4E6F-A386-7E1ADAEF742B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306" name="Freeform 10707">
          <a:extLst>
            <a:ext uri="{FF2B5EF4-FFF2-40B4-BE49-F238E27FC236}">
              <a16:creationId xmlns:a16="http://schemas.microsoft.com/office/drawing/2014/main" id="{E298B370-C63F-4F7D-8CD7-3EF8A0545579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307" name="Freeform 10707">
          <a:extLst>
            <a:ext uri="{FF2B5EF4-FFF2-40B4-BE49-F238E27FC236}">
              <a16:creationId xmlns:a16="http://schemas.microsoft.com/office/drawing/2014/main" id="{DC16A378-7960-49FB-972F-5C842AA08794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44</xdr:row>
      <xdr:rowOff>173181</xdr:rowOff>
    </xdr:from>
    <xdr:to>
      <xdr:col>3</xdr:col>
      <xdr:colOff>294410</xdr:colOff>
      <xdr:row>45</xdr:row>
      <xdr:rowOff>121226</xdr:rowOff>
    </xdr:to>
    <xdr:sp macro="" textlink="">
      <xdr:nvSpPr>
        <xdr:cNvPr id="2308" name="Freeform 10707">
          <a:extLst>
            <a:ext uri="{FF2B5EF4-FFF2-40B4-BE49-F238E27FC236}">
              <a16:creationId xmlns:a16="http://schemas.microsoft.com/office/drawing/2014/main" id="{5D0C1BCC-F551-452F-9F66-D8FD2F70F395}"/>
            </a:ext>
          </a:extLst>
        </xdr:cNvPr>
        <xdr:cNvSpPr>
          <a:spLocks/>
        </xdr:cNvSpPr>
      </xdr:nvSpPr>
      <xdr:spPr bwMode="auto">
        <a:xfrm>
          <a:off x="47539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44</xdr:row>
      <xdr:rowOff>173181</xdr:rowOff>
    </xdr:from>
    <xdr:to>
      <xdr:col>5</xdr:col>
      <xdr:colOff>294410</xdr:colOff>
      <xdr:row>45</xdr:row>
      <xdr:rowOff>121226</xdr:rowOff>
    </xdr:to>
    <xdr:sp macro="" textlink="">
      <xdr:nvSpPr>
        <xdr:cNvPr id="2309" name="Freeform 10707">
          <a:extLst>
            <a:ext uri="{FF2B5EF4-FFF2-40B4-BE49-F238E27FC236}">
              <a16:creationId xmlns:a16="http://schemas.microsoft.com/office/drawing/2014/main" id="{A2B79EF4-1605-4D17-9125-EA53D4C585BA}"/>
            </a:ext>
          </a:extLst>
        </xdr:cNvPr>
        <xdr:cNvSpPr>
          <a:spLocks/>
        </xdr:cNvSpPr>
      </xdr:nvSpPr>
      <xdr:spPr bwMode="auto">
        <a:xfrm>
          <a:off x="57902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44</xdr:row>
      <xdr:rowOff>173181</xdr:rowOff>
    </xdr:from>
    <xdr:to>
      <xdr:col>25</xdr:col>
      <xdr:colOff>294410</xdr:colOff>
      <xdr:row>45</xdr:row>
      <xdr:rowOff>121226</xdr:rowOff>
    </xdr:to>
    <xdr:sp macro="" textlink="">
      <xdr:nvSpPr>
        <xdr:cNvPr id="2310" name="Freeform 10707">
          <a:extLst>
            <a:ext uri="{FF2B5EF4-FFF2-40B4-BE49-F238E27FC236}">
              <a16:creationId xmlns:a16="http://schemas.microsoft.com/office/drawing/2014/main" id="{DCD0B355-678F-43A2-B309-53223229A748}"/>
            </a:ext>
          </a:extLst>
        </xdr:cNvPr>
        <xdr:cNvSpPr>
          <a:spLocks/>
        </xdr:cNvSpPr>
      </xdr:nvSpPr>
      <xdr:spPr bwMode="auto">
        <a:xfrm>
          <a:off x="6086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44</xdr:row>
      <xdr:rowOff>173181</xdr:rowOff>
    </xdr:from>
    <xdr:to>
      <xdr:col>27</xdr:col>
      <xdr:colOff>294410</xdr:colOff>
      <xdr:row>45</xdr:row>
      <xdr:rowOff>121226</xdr:rowOff>
    </xdr:to>
    <xdr:sp macro="" textlink="">
      <xdr:nvSpPr>
        <xdr:cNvPr id="2311" name="Freeform 10707">
          <a:extLst>
            <a:ext uri="{FF2B5EF4-FFF2-40B4-BE49-F238E27FC236}">
              <a16:creationId xmlns:a16="http://schemas.microsoft.com/office/drawing/2014/main" id="{5038D690-92E0-427B-BE03-DC77CCC22EA8}"/>
            </a:ext>
          </a:extLst>
        </xdr:cNvPr>
        <xdr:cNvSpPr>
          <a:spLocks/>
        </xdr:cNvSpPr>
      </xdr:nvSpPr>
      <xdr:spPr bwMode="auto">
        <a:xfrm>
          <a:off x="16450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44</xdr:row>
      <xdr:rowOff>173181</xdr:rowOff>
    </xdr:from>
    <xdr:to>
      <xdr:col>29</xdr:col>
      <xdr:colOff>294410</xdr:colOff>
      <xdr:row>45</xdr:row>
      <xdr:rowOff>121226</xdr:rowOff>
    </xdr:to>
    <xdr:sp macro="" textlink="">
      <xdr:nvSpPr>
        <xdr:cNvPr id="2312" name="Freeform 10707">
          <a:extLst>
            <a:ext uri="{FF2B5EF4-FFF2-40B4-BE49-F238E27FC236}">
              <a16:creationId xmlns:a16="http://schemas.microsoft.com/office/drawing/2014/main" id="{E024D232-876D-4175-BA7F-D3CB0302748E}"/>
            </a:ext>
          </a:extLst>
        </xdr:cNvPr>
        <xdr:cNvSpPr>
          <a:spLocks/>
        </xdr:cNvSpPr>
      </xdr:nvSpPr>
      <xdr:spPr bwMode="auto">
        <a:xfrm>
          <a:off x="26813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44</xdr:row>
      <xdr:rowOff>173181</xdr:rowOff>
    </xdr:from>
    <xdr:to>
      <xdr:col>31</xdr:col>
      <xdr:colOff>294410</xdr:colOff>
      <xdr:row>45</xdr:row>
      <xdr:rowOff>121226</xdr:rowOff>
    </xdr:to>
    <xdr:sp macro="" textlink="">
      <xdr:nvSpPr>
        <xdr:cNvPr id="2313" name="Freeform 10707">
          <a:extLst>
            <a:ext uri="{FF2B5EF4-FFF2-40B4-BE49-F238E27FC236}">
              <a16:creationId xmlns:a16="http://schemas.microsoft.com/office/drawing/2014/main" id="{508AFBA9-5272-4C84-BD4F-41B73B81648A}"/>
            </a:ext>
          </a:extLst>
        </xdr:cNvPr>
        <xdr:cNvSpPr>
          <a:spLocks/>
        </xdr:cNvSpPr>
      </xdr:nvSpPr>
      <xdr:spPr bwMode="auto">
        <a:xfrm>
          <a:off x="37176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56</xdr:row>
      <xdr:rowOff>173181</xdr:rowOff>
    </xdr:from>
    <xdr:to>
      <xdr:col>3</xdr:col>
      <xdr:colOff>294410</xdr:colOff>
      <xdr:row>57</xdr:row>
      <xdr:rowOff>121226</xdr:rowOff>
    </xdr:to>
    <xdr:sp macro="" textlink="">
      <xdr:nvSpPr>
        <xdr:cNvPr id="2314" name="Freeform 10707">
          <a:extLst>
            <a:ext uri="{FF2B5EF4-FFF2-40B4-BE49-F238E27FC236}">
              <a16:creationId xmlns:a16="http://schemas.microsoft.com/office/drawing/2014/main" id="{0F285BF1-D0E2-4167-A189-190566046038}"/>
            </a:ext>
          </a:extLst>
        </xdr:cNvPr>
        <xdr:cNvSpPr>
          <a:spLocks/>
        </xdr:cNvSpPr>
      </xdr:nvSpPr>
      <xdr:spPr bwMode="auto">
        <a:xfrm>
          <a:off x="47539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56</xdr:row>
      <xdr:rowOff>173181</xdr:rowOff>
    </xdr:from>
    <xdr:to>
      <xdr:col>5</xdr:col>
      <xdr:colOff>294410</xdr:colOff>
      <xdr:row>57</xdr:row>
      <xdr:rowOff>121226</xdr:rowOff>
    </xdr:to>
    <xdr:sp macro="" textlink="">
      <xdr:nvSpPr>
        <xdr:cNvPr id="2315" name="Freeform 10707">
          <a:extLst>
            <a:ext uri="{FF2B5EF4-FFF2-40B4-BE49-F238E27FC236}">
              <a16:creationId xmlns:a16="http://schemas.microsoft.com/office/drawing/2014/main" id="{77EC939A-0FC9-42E5-9830-60DABE5807BC}"/>
            </a:ext>
          </a:extLst>
        </xdr:cNvPr>
        <xdr:cNvSpPr>
          <a:spLocks/>
        </xdr:cNvSpPr>
      </xdr:nvSpPr>
      <xdr:spPr bwMode="auto">
        <a:xfrm>
          <a:off x="57902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56</xdr:row>
      <xdr:rowOff>173181</xdr:rowOff>
    </xdr:from>
    <xdr:to>
      <xdr:col>7</xdr:col>
      <xdr:colOff>294410</xdr:colOff>
      <xdr:row>57</xdr:row>
      <xdr:rowOff>121226</xdr:rowOff>
    </xdr:to>
    <xdr:sp macro="" textlink="">
      <xdr:nvSpPr>
        <xdr:cNvPr id="2316" name="Freeform 10707">
          <a:extLst>
            <a:ext uri="{FF2B5EF4-FFF2-40B4-BE49-F238E27FC236}">
              <a16:creationId xmlns:a16="http://schemas.microsoft.com/office/drawing/2014/main" id="{5837D04A-011C-4FE0-A032-2AC300454014}"/>
            </a:ext>
          </a:extLst>
        </xdr:cNvPr>
        <xdr:cNvSpPr>
          <a:spLocks/>
        </xdr:cNvSpPr>
      </xdr:nvSpPr>
      <xdr:spPr bwMode="auto">
        <a:xfrm>
          <a:off x="68266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56</xdr:row>
      <xdr:rowOff>173181</xdr:rowOff>
    </xdr:from>
    <xdr:to>
      <xdr:col>9</xdr:col>
      <xdr:colOff>294410</xdr:colOff>
      <xdr:row>57</xdr:row>
      <xdr:rowOff>121226</xdr:rowOff>
    </xdr:to>
    <xdr:sp macro="" textlink="">
      <xdr:nvSpPr>
        <xdr:cNvPr id="2317" name="Freeform 10707">
          <a:extLst>
            <a:ext uri="{FF2B5EF4-FFF2-40B4-BE49-F238E27FC236}">
              <a16:creationId xmlns:a16="http://schemas.microsoft.com/office/drawing/2014/main" id="{656946D3-EFED-43CE-B16E-0CF13DF98B87}"/>
            </a:ext>
          </a:extLst>
        </xdr:cNvPr>
        <xdr:cNvSpPr>
          <a:spLocks/>
        </xdr:cNvSpPr>
      </xdr:nvSpPr>
      <xdr:spPr bwMode="auto">
        <a:xfrm>
          <a:off x="78629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56</xdr:row>
      <xdr:rowOff>173181</xdr:rowOff>
    </xdr:from>
    <xdr:to>
      <xdr:col>11</xdr:col>
      <xdr:colOff>294410</xdr:colOff>
      <xdr:row>57</xdr:row>
      <xdr:rowOff>121226</xdr:rowOff>
    </xdr:to>
    <xdr:sp macro="" textlink="">
      <xdr:nvSpPr>
        <xdr:cNvPr id="2318" name="Freeform 10707">
          <a:extLst>
            <a:ext uri="{FF2B5EF4-FFF2-40B4-BE49-F238E27FC236}">
              <a16:creationId xmlns:a16="http://schemas.microsoft.com/office/drawing/2014/main" id="{D3780526-D9B5-4313-B37C-B4D4A72D2B99}"/>
            </a:ext>
          </a:extLst>
        </xdr:cNvPr>
        <xdr:cNvSpPr>
          <a:spLocks/>
        </xdr:cNvSpPr>
      </xdr:nvSpPr>
      <xdr:spPr bwMode="auto">
        <a:xfrm>
          <a:off x="8899240" y="67416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56</xdr:row>
      <xdr:rowOff>173181</xdr:rowOff>
    </xdr:from>
    <xdr:to>
      <xdr:col>13</xdr:col>
      <xdr:colOff>294410</xdr:colOff>
      <xdr:row>57</xdr:row>
      <xdr:rowOff>121226</xdr:rowOff>
    </xdr:to>
    <xdr:sp macro="" textlink="">
      <xdr:nvSpPr>
        <xdr:cNvPr id="2319" name="Freeform 10707">
          <a:extLst>
            <a:ext uri="{FF2B5EF4-FFF2-40B4-BE49-F238E27FC236}">
              <a16:creationId xmlns:a16="http://schemas.microsoft.com/office/drawing/2014/main" id="{03C15989-DE95-4378-A873-137053A105FA}"/>
            </a:ext>
          </a:extLst>
        </xdr:cNvPr>
        <xdr:cNvSpPr>
          <a:spLocks/>
        </xdr:cNvSpPr>
      </xdr:nvSpPr>
      <xdr:spPr bwMode="auto">
        <a:xfrm>
          <a:off x="99431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56</xdr:row>
      <xdr:rowOff>173181</xdr:rowOff>
    </xdr:from>
    <xdr:to>
      <xdr:col>15</xdr:col>
      <xdr:colOff>294410</xdr:colOff>
      <xdr:row>57</xdr:row>
      <xdr:rowOff>121226</xdr:rowOff>
    </xdr:to>
    <xdr:sp macro="" textlink="">
      <xdr:nvSpPr>
        <xdr:cNvPr id="2320" name="Freeform 10707">
          <a:extLst>
            <a:ext uri="{FF2B5EF4-FFF2-40B4-BE49-F238E27FC236}">
              <a16:creationId xmlns:a16="http://schemas.microsoft.com/office/drawing/2014/main" id="{151CDE46-BDB2-4CAF-A7B4-0D2DD057B763}"/>
            </a:ext>
          </a:extLst>
        </xdr:cNvPr>
        <xdr:cNvSpPr>
          <a:spLocks/>
        </xdr:cNvSpPr>
      </xdr:nvSpPr>
      <xdr:spPr bwMode="auto">
        <a:xfrm>
          <a:off x="109795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56</xdr:row>
      <xdr:rowOff>173181</xdr:rowOff>
    </xdr:from>
    <xdr:to>
      <xdr:col>17</xdr:col>
      <xdr:colOff>294410</xdr:colOff>
      <xdr:row>57</xdr:row>
      <xdr:rowOff>121226</xdr:rowOff>
    </xdr:to>
    <xdr:sp macro="" textlink="">
      <xdr:nvSpPr>
        <xdr:cNvPr id="2321" name="Freeform 10707">
          <a:extLst>
            <a:ext uri="{FF2B5EF4-FFF2-40B4-BE49-F238E27FC236}">
              <a16:creationId xmlns:a16="http://schemas.microsoft.com/office/drawing/2014/main" id="{1EC02261-381D-4D71-84FB-2FF6E92FE3BB}"/>
            </a:ext>
          </a:extLst>
        </xdr:cNvPr>
        <xdr:cNvSpPr>
          <a:spLocks/>
        </xdr:cNvSpPr>
      </xdr:nvSpPr>
      <xdr:spPr bwMode="auto">
        <a:xfrm>
          <a:off x="120158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56</xdr:row>
      <xdr:rowOff>173181</xdr:rowOff>
    </xdr:from>
    <xdr:to>
      <xdr:col>19</xdr:col>
      <xdr:colOff>294410</xdr:colOff>
      <xdr:row>57</xdr:row>
      <xdr:rowOff>121226</xdr:rowOff>
    </xdr:to>
    <xdr:sp macro="" textlink="">
      <xdr:nvSpPr>
        <xdr:cNvPr id="2322" name="Freeform 10707">
          <a:extLst>
            <a:ext uri="{FF2B5EF4-FFF2-40B4-BE49-F238E27FC236}">
              <a16:creationId xmlns:a16="http://schemas.microsoft.com/office/drawing/2014/main" id="{6DB393F3-DD97-44D2-8FB6-B927ED29434C}"/>
            </a:ext>
          </a:extLst>
        </xdr:cNvPr>
        <xdr:cNvSpPr>
          <a:spLocks/>
        </xdr:cNvSpPr>
      </xdr:nvSpPr>
      <xdr:spPr bwMode="auto">
        <a:xfrm>
          <a:off x="130521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56</xdr:row>
      <xdr:rowOff>173181</xdr:rowOff>
    </xdr:from>
    <xdr:to>
      <xdr:col>21</xdr:col>
      <xdr:colOff>294410</xdr:colOff>
      <xdr:row>57</xdr:row>
      <xdr:rowOff>121226</xdr:rowOff>
    </xdr:to>
    <xdr:sp macro="" textlink="">
      <xdr:nvSpPr>
        <xdr:cNvPr id="2323" name="Freeform 10707">
          <a:extLst>
            <a:ext uri="{FF2B5EF4-FFF2-40B4-BE49-F238E27FC236}">
              <a16:creationId xmlns:a16="http://schemas.microsoft.com/office/drawing/2014/main" id="{5CDF455D-E9FA-4709-B8C2-92C410363605}"/>
            </a:ext>
          </a:extLst>
        </xdr:cNvPr>
        <xdr:cNvSpPr>
          <a:spLocks/>
        </xdr:cNvSpPr>
      </xdr:nvSpPr>
      <xdr:spPr bwMode="auto">
        <a:xfrm>
          <a:off x="140884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56</xdr:row>
      <xdr:rowOff>173181</xdr:rowOff>
    </xdr:from>
    <xdr:to>
      <xdr:col>23</xdr:col>
      <xdr:colOff>294410</xdr:colOff>
      <xdr:row>57</xdr:row>
      <xdr:rowOff>121226</xdr:rowOff>
    </xdr:to>
    <xdr:sp macro="" textlink="">
      <xdr:nvSpPr>
        <xdr:cNvPr id="2324" name="Freeform 10707">
          <a:extLst>
            <a:ext uri="{FF2B5EF4-FFF2-40B4-BE49-F238E27FC236}">
              <a16:creationId xmlns:a16="http://schemas.microsoft.com/office/drawing/2014/main" id="{295437DF-FFD8-4DAA-BDCB-121BA1B816A5}"/>
            </a:ext>
          </a:extLst>
        </xdr:cNvPr>
        <xdr:cNvSpPr>
          <a:spLocks/>
        </xdr:cNvSpPr>
      </xdr:nvSpPr>
      <xdr:spPr bwMode="auto">
        <a:xfrm>
          <a:off x="151247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56</xdr:row>
      <xdr:rowOff>173181</xdr:rowOff>
    </xdr:from>
    <xdr:to>
      <xdr:col>25</xdr:col>
      <xdr:colOff>294410</xdr:colOff>
      <xdr:row>57</xdr:row>
      <xdr:rowOff>121226</xdr:rowOff>
    </xdr:to>
    <xdr:sp macro="" textlink="">
      <xdr:nvSpPr>
        <xdr:cNvPr id="2325" name="Freeform 10707">
          <a:extLst>
            <a:ext uri="{FF2B5EF4-FFF2-40B4-BE49-F238E27FC236}">
              <a16:creationId xmlns:a16="http://schemas.microsoft.com/office/drawing/2014/main" id="{A7BBB8E3-0B59-4535-B02B-4F9F08C8E268}"/>
            </a:ext>
          </a:extLst>
        </xdr:cNvPr>
        <xdr:cNvSpPr>
          <a:spLocks/>
        </xdr:cNvSpPr>
      </xdr:nvSpPr>
      <xdr:spPr bwMode="auto">
        <a:xfrm>
          <a:off x="6086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56</xdr:row>
      <xdr:rowOff>173181</xdr:rowOff>
    </xdr:from>
    <xdr:to>
      <xdr:col>27</xdr:col>
      <xdr:colOff>294410</xdr:colOff>
      <xdr:row>57</xdr:row>
      <xdr:rowOff>121226</xdr:rowOff>
    </xdr:to>
    <xdr:sp macro="" textlink="">
      <xdr:nvSpPr>
        <xdr:cNvPr id="2326" name="Freeform 10707">
          <a:extLst>
            <a:ext uri="{FF2B5EF4-FFF2-40B4-BE49-F238E27FC236}">
              <a16:creationId xmlns:a16="http://schemas.microsoft.com/office/drawing/2014/main" id="{99B7EFBB-B121-40C4-B340-3ADDBF4286BE}"/>
            </a:ext>
          </a:extLst>
        </xdr:cNvPr>
        <xdr:cNvSpPr>
          <a:spLocks/>
        </xdr:cNvSpPr>
      </xdr:nvSpPr>
      <xdr:spPr bwMode="auto">
        <a:xfrm>
          <a:off x="16450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56</xdr:row>
      <xdr:rowOff>173181</xdr:rowOff>
    </xdr:from>
    <xdr:to>
      <xdr:col>29</xdr:col>
      <xdr:colOff>294410</xdr:colOff>
      <xdr:row>57</xdr:row>
      <xdr:rowOff>121226</xdr:rowOff>
    </xdr:to>
    <xdr:sp macro="" textlink="">
      <xdr:nvSpPr>
        <xdr:cNvPr id="2327" name="Freeform 10707">
          <a:extLst>
            <a:ext uri="{FF2B5EF4-FFF2-40B4-BE49-F238E27FC236}">
              <a16:creationId xmlns:a16="http://schemas.microsoft.com/office/drawing/2014/main" id="{210AE41F-EEA4-45BB-AE15-796C25D13C1C}"/>
            </a:ext>
          </a:extLst>
        </xdr:cNvPr>
        <xdr:cNvSpPr>
          <a:spLocks/>
        </xdr:cNvSpPr>
      </xdr:nvSpPr>
      <xdr:spPr bwMode="auto">
        <a:xfrm>
          <a:off x="26813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56</xdr:row>
      <xdr:rowOff>173181</xdr:rowOff>
    </xdr:from>
    <xdr:to>
      <xdr:col>31</xdr:col>
      <xdr:colOff>294410</xdr:colOff>
      <xdr:row>57</xdr:row>
      <xdr:rowOff>121226</xdr:rowOff>
    </xdr:to>
    <xdr:sp macro="" textlink="">
      <xdr:nvSpPr>
        <xdr:cNvPr id="2328" name="Freeform 10707">
          <a:extLst>
            <a:ext uri="{FF2B5EF4-FFF2-40B4-BE49-F238E27FC236}">
              <a16:creationId xmlns:a16="http://schemas.microsoft.com/office/drawing/2014/main" id="{9DE1DFB0-0BE7-4E24-8A8B-910774D7E254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69</xdr:row>
      <xdr:rowOff>173181</xdr:rowOff>
    </xdr:from>
    <xdr:to>
      <xdr:col>3</xdr:col>
      <xdr:colOff>294410</xdr:colOff>
      <xdr:row>70</xdr:row>
      <xdr:rowOff>121226</xdr:rowOff>
    </xdr:to>
    <xdr:sp macro="" textlink="">
      <xdr:nvSpPr>
        <xdr:cNvPr id="2329" name="Freeform 10707">
          <a:extLst>
            <a:ext uri="{FF2B5EF4-FFF2-40B4-BE49-F238E27FC236}">
              <a16:creationId xmlns:a16="http://schemas.microsoft.com/office/drawing/2014/main" id="{F0CD775E-57E3-4111-83F3-5F69DC65445A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69</xdr:row>
      <xdr:rowOff>173181</xdr:rowOff>
    </xdr:from>
    <xdr:to>
      <xdr:col>5</xdr:col>
      <xdr:colOff>294410</xdr:colOff>
      <xdr:row>70</xdr:row>
      <xdr:rowOff>121226</xdr:rowOff>
    </xdr:to>
    <xdr:sp macro="" textlink="">
      <xdr:nvSpPr>
        <xdr:cNvPr id="2330" name="Freeform 10707">
          <a:extLst>
            <a:ext uri="{FF2B5EF4-FFF2-40B4-BE49-F238E27FC236}">
              <a16:creationId xmlns:a16="http://schemas.microsoft.com/office/drawing/2014/main" id="{7A58DC04-50EB-47F7-9F86-071C31C85358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69</xdr:row>
      <xdr:rowOff>173181</xdr:rowOff>
    </xdr:from>
    <xdr:to>
      <xdr:col>7</xdr:col>
      <xdr:colOff>294410</xdr:colOff>
      <xdr:row>70</xdr:row>
      <xdr:rowOff>121226</xdr:rowOff>
    </xdr:to>
    <xdr:sp macro="" textlink="">
      <xdr:nvSpPr>
        <xdr:cNvPr id="2331" name="Freeform 10707">
          <a:extLst>
            <a:ext uri="{FF2B5EF4-FFF2-40B4-BE49-F238E27FC236}">
              <a16:creationId xmlns:a16="http://schemas.microsoft.com/office/drawing/2014/main" id="{DF38B36F-7A15-4B5C-919A-248909E7E9B9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69</xdr:row>
      <xdr:rowOff>173181</xdr:rowOff>
    </xdr:from>
    <xdr:to>
      <xdr:col>9</xdr:col>
      <xdr:colOff>294410</xdr:colOff>
      <xdr:row>70</xdr:row>
      <xdr:rowOff>121226</xdr:rowOff>
    </xdr:to>
    <xdr:sp macro="" textlink="">
      <xdr:nvSpPr>
        <xdr:cNvPr id="2332" name="Freeform 10707">
          <a:extLst>
            <a:ext uri="{FF2B5EF4-FFF2-40B4-BE49-F238E27FC236}">
              <a16:creationId xmlns:a16="http://schemas.microsoft.com/office/drawing/2014/main" id="{934DE573-F778-476B-ADD2-CC384C28C732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69</xdr:row>
      <xdr:rowOff>173181</xdr:rowOff>
    </xdr:from>
    <xdr:to>
      <xdr:col>11</xdr:col>
      <xdr:colOff>294410</xdr:colOff>
      <xdr:row>70</xdr:row>
      <xdr:rowOff>121226</xdr:rowOff>
    </xdr:to>
    <xdr:sp macro="" textlink="">
      <xdr:nvSpPr>
        <xdr:cNvPr id="2333" name="Freeform 10707">
          <a:extLst>
            <a:ext uri="{FF2B5EF4-FFF2-40B4-BE49-F238E27FC236}">
              <a16:creationId xmlns:a16="http://schemas.microsoft.com/office/drawing/2014/main" id="{E9E31C5A-C75B-4506-BC79-0E658CD7981E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69</xdr:row>
      <xdr:rowOff>173181</xdr:rowOff>
    </xdr:from>
    <xdr:to>
      <xdr:col>13</xdr:col>
      <xdr:colOff>294410</xdr:colOff>
      <xdr:row>70</xdr:row>
      <xdr:rowOff>121226</xdr:rowOff>
    </xdr:to>
    <xdr:sp macro="" textlink="">
      <xdr:nvSpPr>
        <xdr:cNvPr id="2334" name="Freeform 10707">
          <a:extLst>
            <a:ext uri="{FF2B5EF4-FFF2-40B4-BE49-F238E27FC236}">
              <a16:creationId xmlns:a16="http://schemas.microsoft.com/office/drawing/2014/main" id="{7FF0BFBF-6A86-4DCA-9BC6-1292D3E011B2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69</xdr:row>
      <xdr:rowOff>173181</xdr:rowOff>
    </xdr:from>
    <xdr:to>
      <xdr:col>15</xdr:col>
      <xdr:colOff>294410</xdr:colOff>
      <xdr:row>70</xdr:row>
      <xdr:rowOff>121226</xdr:rowOff>
    </xdr:to>
    <xdr:sp macro="" textlink="">
      <xdr:nvSpPr>
        <xdr:cNvPr id="2335" name="Freeform 10707">
          <a:extLst>
            <a:ext uri="{FF2B5EF4-FFF2-40B4-BE49-F238E27FC236}">
              <a16:creationId xmlns:a16="http://schemas.microsoft.com/office/drawing/2014/main" id="{EAAF6BA2-5D34-492D-9E04-A82FA934B46D}"/>
            </a:ext>
          </a:extLst>
        </xdr:cNvPr>
        <xdr:cNvSpPr>
          <a:spLocks/>
        </xdr:cNvSpPr>
      </xdr:nvSpPr>
      <xdr:spPr bwMode="auto">
        <a:xfrm>
          <a:off x="109795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69</xdr:row>
      <xdr:rowOff>173181</xdr:rowOff>
    </xdr:from>
    <xdr:to>
      <xdr:col>17</xdr:col>
      <xdr:colOff>294410</xdr:colOff>
      <xdr:row>70</xdr:row>
      <xdr:rowOff>121226</xdr:rowOff>
    </xdr:to>
    <xdr:sp macro="" textlink="">
      <xdr:nvSpPr>
        <xdr:cNvPr id="2336" name="Freeform 10707">
          <a:extLst>
            <a:ext uri="{FF2B5EF4-FFF2-40B4-BE49-F238E27FC236}">
              <a16:creationId xmlns:a16="http://schemas.microsoft.com/office/drawing/2014/main" id="{97E71D04-2091-4E49-B6D1-983E5BD0E0AC}"/>
            </a:ext>
          </a:extLst>
        </xdr:cNvPr>
        <xdr:cNvSpPr>
          <a:spLocks/>
        </xdr:cNvSpPr>
      </xdr:nvSpPr>
      <xdr:spPr bwMode="auto">
        <a:xfrm>
          <a:off x="120158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69</xdr:row>
      <xdr:rowOff>173181</xdr:rowOff>
    </xdr:from>
    <xdr:to>
      <xdr:col>19</xdr:col>
      <xdr:colOff>294410</xdr:colOff>
      <xdr:row>70</xdr:row>
      <xdr:rowOff>121226</xdr:rowOff>
    </xdr:to>
    <xdr:sp macro="" textlink="">
      <xdr:nvSpPr>
        <xdr:cNvPr id="2337" name="Freeform 10707">
          <a:extLst>
            <a:ext uri="{FF2B5EF4-FFF2-40B4-BE49-F238E27FC236}">
              <a16:creationId xmlns:a16="http://schemas.microsoft.com/office/drawing/2014/main" id="{181B9625-B197-4F91-9C31-8979F7A88D21}"/>
            </a:ext>
          </a:extLst>
        </xdr:cNvPr>
        <xdr:cNvSpPr>
          <a:spLocks/>
        </xdr:cNvSpPr>
      </xdr:nvSpPr>
      <xdr:spPr bwMode="auto">
        <a:xfrm>
          <a:off x="130521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69</xdr:row>
      <xdr:rowOff>173181</xdr:rowOff>
    </xdr:from>
    <xdr:to>
      <xdr:col>21</xdr:col>
      <xdr:colOff>294410</xdr:colOff>
      <xdr:row>70</xdr:row>
      <xdr:rowOff>121226</xdr:rowOff>
    </xdr:to>
    <xdr:sp macro="" textlink="">
      <xdr:nvSpPr>
        <xdr:cNvPr id="2338" name="Freeform 10707">
          <a:extLst>
            <a:ext uri="{FF2B5EF4-FFF2-40B4-BE49-F238E27FC236}">
              <a16:creationId xmlns:a16="http://schemas.microsoft.com/office/drawing/2014/main" id="{7F93167A-0AB5-4BB8-91C7-918E9392B6C6}"/>
            </a:ext>
          </a:extLst>
        </xdr:cNvPr>
        <xdr:cNvSpPr>
          <a:spLocks/>
        </xdr:cNvSpPr>
      </xdr:nvSpPr>
      <xdr:spPr bwMode="auto">
        <a:xfrm>
          <a:off x="140884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69</xdr:row>
      <xdr:rowOff>173181</xdr:rowOff>
    </xdr:from>
    <xdr:to>
      <xdr:col>23</xdr:col>
      <xdr:colOff>294410</xdr:colOff>
      <xdr:row>70</xdr:row>
      <xdr:rowOff>121226</xdr:rowOff>
    </xdr:to>
    <xdr:sp macro="" textlink="">
      <xdr:nvSpPr>
        <xdr:cNvPr id="2339" name="Freeform 10707">
          <a:extLst>
            <a:ext uri="{FF2B5EF4-FFF2-40B4-BE49-F238E27FC236}">
              <a16:creationId xmlns:a16="http://schemas.microsoft.com/office/drawing/2014/main" id="{B52268BC-BDCA-4CC6-A2E7-63CF0593B332}"/>
            </a:ext>
          </a:extLst>
        </xdr:cNvPr>
        <xdr:cNvSpPr>
          <a:spLocks/>
        </xdr:cNvSpPr>
      </xdr:nvSpPr>
      <xdr:spPr bwMode="auto">
        <a:xfrm>
          <a:off x="151247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69</xdr:row>
      <xdr:rowOff>173181</xdr:rowOff>
    </xdr:from>
    <xdr:to>
      <xdr:col>25</xdr:col>
      <xdr:colOff>294410</xdr:colOff>
      <xdr:row>70</xdr:row>
      <xdr:rowOff>121226</xdr:rowOff>
    </xdr:to>
    <xdr:sp macro="" textlink="">
      <xdr:nvSpPr>
        <xdr:cNvPr id="2340" name="Freeform 10707">
          <a:extLst>
            <a:ext uri="{FF2B5EF4-FFF2-40B4-BE49-F238E27FC236}">
              <a16:creationId xmlns:a16="http://schemas.microsoft.com/office/drawing/2014/main" id="{C2571B4F-312C-4B55-AB52-96601183AE96}"/>
            </a:ext>
          </a:extLst>
        </xdr:cNvPr>
        <xdr:cNvSpPr>
          <a:spLocks/>
        </xdr:cNvSpPr>
      </xdr:nvSpPr>
      <xdr:spPr bwMode="auto">
        <a:xfrm>
          <a:off x="6086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69</xdr:row>
      <xdr:rowOff>173181</xdr:rowOff>
    </xdr:from>
    <xdr:to>
      <xdr:col>27</xdr:col>
      <xdr:colOff>294410</xdr:colOff>
      <xdr:row>70</xdr:row>
      <xdr:rowOff>121226</xdr:rowOff>
    </xdr:to>
    <xdr:sp macro="" textlink="">
      <xdr:nvSpPr>
        <xdr:cNvPr id="2341" name="Freeform 10707">
          <a:extLst>
            <a:ext uri="{FF2B5EF4-FFF2-40B4-BE49-F238E27FC236}">
              <a16:creationId xmlns:a16="http://schemas.microsoft.com/office/drawing/2014/main" id="{2B4C21B5-139B-4113-B8D4-8CAAFE86E4BA}"/>
            </a:ext>
          </a:extLst>
        </xdr:cNvPr>
        <xdr:cNvSpPr>
          <a:spLocks/>
        </xdr:cNvSpPr>
      </xdr:nvSpPr>
      <xdr:spPr bwMode="auto">
        <a:xfrm>
          <a:off x="16450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69</xdr:row>
      <xdr:rowOff>173181</xdr:rowOff>
    </xdr:from>
    <xdr:to>
      <xdr:col>29</xdr:col>
      <xdr:colOff>294410</xdr:colOff>
      <xdr:row>70</xdr:row>
      <xdr:rowOff>121226</xdr:rowOff>
    </xdr:to>
    <xdr:sp macro="" textlink="">
      <xdr:nvSpPr>
        <xdr:cNvPr id="2342" name="Freeform 10707">
          <a:extLst>
            <a:ext uri="{FF2B5EF4-FFF2-40B4-BE49-F238E27FC236}">
              <a16:creationId xmlns:a16="http://schemas.microsoft.com/office/drawing/2014/main" id="{ADBCDD94-2002-4FAE-87D9-FECFC58ADDC9}"/>
            </a:ext>
          </a:extLst>
        </xdr:cNvPr>
        <xdr:cNvSpPr>
          <a:spLocks/>
        </xdr:cNvSpPr>
      </xdr:nvSpPr>
      <xdr:spPr bwMode="auto">
        <a:xfrm>
          <a:off x="26813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69</xdr:row>
      <xdr:rowOff>173181</xdr:rowOff>
    </xdr:from>
    <xdr:to>
      <xdr:col>31</xdr:col>
      <xdr:colOff>294410</xdr:colOff>
      <xdr:row>70</xdr:row>
      <xdr:rowOff>121226</xdr:rowOff>
    </xdr:to>
    <xdr:sp macro="" textlink="">
      <xdr:nvSpPr>
        <xdr:cNvPr id="2343" name="Freeform 10707">
          <a:extLst>
            <a:ext uri="{FF2B5EF4-FFF2-40B4-BE49-F238E27FC236}">
              <a16:creationId xmlns:a16="http://schemas.microsoft.com/office/drawing/2014/main" id="{2B6FEEAC-C395-4DDE-B665-EF3145C4B30C}"/>
            </a:ext>
          </a:extLst>
        </xdr:cNvPr>
        <xdr:cNvSpPr>
          <a:spLocks/>
        </xdr:cNvSpPr>
      </xdr:nvSpPr>
      <xdr:spPr bwMode="auto">
        <a:xfrm>
          <a:off x="37176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80</xdr:row>
      <xdr:rowOff>173181</xdr:rowOff>
    </xdr:from>
    <xdr:to>
      <xdr:col>3</xdr:col>
      <xdr:colOff>294410</xdr:colOff>
      <xdr:row>81</xdr:row>
      <xdr:rowOff>121226</xdr:rowOff>
    </xdr:to>
    <xdr:sp macro="" textlink="">
      <xdr:nvSpPr>
        <xdr:cNvPr id="2344" name="Freeform 10707">
          <a:extLst>
            <a:ext uri="{FF2B5EF4-FFF2-40B4-BE49-F238E27FC236}">
              <a16:creationId xmlns:a16="http://schemas.microsoft.com/office/drawing/2014/main" id="{7348EA51-23B4-4BD4-8390-66D9BEE777EE}"/>
            </a:ext>
          </a:extLst>
        </xdr:cNvPr>
        <xdr:cNvSpPr>
          <a:spLocks/>
        </xdr:cNvSpPr>
      </xdr:nvSpPr>
      <xdr:spPr bwMode="auto">
        <a:xfrm>
          <a:off x="47539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80</xdr:row>
      <xdr:rowOff>173181</xdr:rowOff>
    </xdr:from>
    <xdr:to>
      <xdr:col>25</xdr:col>
      <xdr:colOff>294410</xdr:colOff>
      <xdr:row>81</xdr:row>
      <xdr:rowOff>121226</xdr:rowOff>
    </xdr:to>
    <xdr:sp macro="" textlink="">
      <xdr:nvSpPr>
        <xdr:cNvPr id="2355" name="Freeform 10707">
          <a:extLst>
            <a:ext uri="{FF2B5EF4-FFF2-40B4-BE49-F238E27FC236}">
              <a16:creationId xmlns:a16="http://schemas.microsoft.com/office/drawing/2014/main" id="{EEFFEAB3-47C0-4CCF-8577-5A04BBE5DE94}"/>
            </a:ext>
          </a:extLst>
        </xdr:cNvPr>
        <xdr:cNvSpPr>
          <a:spLocks/>
        </xdr:cNvSpPr>
      </xdr:nvSpPr>
      <xdr:spPr bwMode="auto">
        <a:xfrm>
          <a:off x="6086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80</xdr:row>
      <xdr:rowOff>173181</xdr:rowOff>
    </xdr:from>
    <xdr:to>
      <xdr:col>27</xdr:col>
      <xdr:colOff>294410</xdr:colOff>
      <xdr:row>81</xdr:row>
      <xdr:rowOff>121226</xdr:rowOff>
    </xdr:to>
    <xdr:sp macro="" textlink="">
      <xdr:nvSpPr>
        <xdr:cNvPr id="2356" name="Freeform 10707">
          <a:extLst>
            <a:ext uri="{FF2B5EF4-FFF2-40B4-BE49-F238E27FC236}">
              <a16:creationId xmlns:a16="http://schemas.microsoft.com/office/drawing/2014/main" id="{E0057CC1-3B1D-43FA-8297-6F6DD808B5BD}"/>
            </a:ext>
          </a:extLst>
        </xdr:cNvPr>
        <xdr:cNvSpPr>
          <a:spLocks/>
        </xdr:cNvSpPr>
      </xdr:nvSpPr>
      <xdr:spPr bwMode="auto">
        <a:xfrm>
          <a:off x="16450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80</xdr:row>
      <xdr:rowOff>173181</xdr:rowOff>
    </xdr:from>
    <xdr:to>
      <xdr:col>29</xdr:col>
      <xdr:colOff>294410</xdr:colOff>
      <xdr:row>81</xdr:row>
      <xdr:rowOff>121226</xdr:rowOff>
    </xdr:to>
    <xdr:sp macro="" textlink="">
      <xdr:nvSpPr>
        <xdr:cNvPr id="2357" name="Freeform 10707">
          <a:extLst>
            <a:ext uri="{FF2B5EF4-FFF2-40B4-BE49-F238E27FC236}">
              <a16:creationId xmlns:a16="http://schemas.microsoft.com/office/drawing/2014/main" id="{E6BFD9DD-BC16-4035-A34C-8DF256B86DA5}"/>
            </a:ext>
          </a:extLst>
        </xdr:cNvPr>
        <xdr:cNvSpPr>
          <a:spLocks/>
        </xdr:cNvSpPr>
      </xdr:nvSpPr>
      <xdr:spPr bwMode="auto">
        <a:xfrm>
          <a:off x="26813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80</xdr:row>
      <xdr:rowOff>173181</xdr:rowOff>
    </xdr:from>
    <xdr:to>
      <xdr:col>31</xdr:col>
      <xdr:colOff>294410</xdr:colOff>
      <xdr:row>81</xdr:row>
      <xdr:rowOff>121226</xdr:rowOff>
    </xdr:to>
    <xdr:sp macro="" textlink="">
      <xdr:nvSpPr>
        <xdr:cNvPr id="2358" name="Freeform 10707">
          <a:extLst>
            <a:ext uri="{FF2B5EF4-FFF2-40B4-BE49-F238E27FC236}">
              <a16:creationId xmlns:a16="http://schemas.microsoft.com/office/drawing/2014/main" id="{59FDF91F-C490-4DD9-BE6C-80395FB8B846}"/>
            </a:ext>
          </a:extLst>
        </xdr:cNvPr>
        <xdr:cNvSpPr>
          <a:spLocks/>
        </xdr:cNvSpPr>
      </xdr:nvSpPr>
      <xdr:spPr bwMode="auto">
        <a:xfrm>
          <a:off x="37176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91</xdr:row>
      <xdr:rowOff>173181</xdr:rowOff>
    </xdr:from>
    <xdr:to>
      <xdr:col>3</xdr:col>
      <xdr:colOff>294410</xdr:colOff>
      <xdr:row>92</xdr:row>
      <xdr:rowOff>121226</xdr:rowOff>
    </xdr:to>
    <xdr:sp macro="" textlink="">
      <xdr:nvSpPr>
        <xdr:cNvPr id="2359" name="Freeform 10707">
          <a:extLst>
            <a:ext uri="{FF2B5EF4-FFF2-40B4-BE49-F238E27FC236}">
              <a16:creationId xmlns:a16="http://schemas.microsoft.com/office/drawing/2014/main" id="{271A7DAC-C123-4F58-BCA6-DB63FAE5D0F5}"/>
            </a:ext>
          </a:extLst>
        </xdr:cNvPr>
        <xdr:cNvSpPr>
          <a:spLocks/>
        </xdr:cNvSpPr>
      </xdr:nvSpPr>
      <xdr:spPr bwMode="auto">
        <a:xfrm>
          <a:off x="47539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91</xdr:row>
      <xdr:rowOff>173181</xdr:rowOff>
    </xdr:from>
    <xdr:to>
      <xdr:col>5</xdr:col>
      <xdr:colOff>294410</xdr:colOff>
      <xdr:row>92</xdr:row>
      <xdr:rowOff>121226</xdr:rowOff>
    </xdr:to>
    <xdr:sp macro="" textlink="">
      <xdr:nvSpPr>
        <xdr:cNvPr id="2360" name="Freeform 10707">
          <a:extLst>
            <a:ext uri="{FF2B5EF4-FFF2-40B4-BE49-F238E27FC236}">
              <a16:creationId xmlns:a16="http://schemas.microsoft.com/office/drawing/2014/main" id="{CED99D98-668B-4A11-BB51-DE7650757630}"/>
            </a:ext>
          </a:extLst>
        </xdr:cNvPr>
        <xdr:cNvSpPr>
          <a:spLocks/>
        </xdr:cNvSpPr>
      </xdr:nvSpPr>
      <xdr:spPr bwMode="auto">
        <a:xfrm>
          <a:off x="57902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91</xdr:row>
      <xdr:rowOff>173181</xdr:rowOff>
    </xdr:from>
    <xdr:to>
      <xdr:col>7</xdr:col>
      <xdr:colOff>294410</xdr:colOff>
      <xdr:row>92</xdr:row>
      <xdr:rowOff>121226</xdr:rowOff>
    </xdr:to>
    <xdr:sp macro="" textlink="">
      <xdr:nvSpPr>
        <xdr:cNvPr id="2361" name="Freeform 10707">
          <a:extLst>
            <a:ext uri="{FF2B5EF4-FFF2-40B4-BE49-F238E27FC236}">
              <a16:creationId xmlns:a16="http://schemas.microsoft.com/office/drawing/2014/main" id="{BDFD809A-04DF-455B-A40B-A52EC60D9800}"/>
            </a:ext>
          </a:extLst>
        </xdr:cNvPr>
        <xdr:cNvSpPr>
          <a:spLocks/>
        </xdr:cNvSpPr>
      </xdr:nvSpPr>
      <xdr:spPr bwMode="auto">
        <a:xfrm>
          <a:off x="68266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91</xdr:row>
      <xdr:rowOff>173181</xdr:rowOff>
    </xdr:from>
    <xdr:to>
      <xdr:col>9</xdr:col>
      <xdr:colOff>294410</xdr:colOff>
      <xdr:row>92</xdr:row>
      <xdr:rowOff>121226</xdr:rowOff>
    </xdr:to>
    <xdr:sp macro="" textlink="">
      <xdr:nvSpPr>
        <xdr:cNvPr id="2362" name="Freeform 10707">
          <a:extLst>
            <a:ext uri="{FF2B5EF4-FFF2-40B4-BE49-F238E27FC236}">
              <a16:creationId xmlns:a16="http://schemas.microsoft.com/office/drawing/2014/main" id="{AAF1D7B9-59B2-414C-8B96-C3A4BAC08AA2}"/>
            </a:ext>
          </a:extLst>
        </xdr:cNvPr>
        <xdr:cNvSpPr>
          <a:spLocks/>
        </xdr:cNvSpPr>
      </xdr:nvSpPr>
      <xdr:spPr bwMode="auto">
        <a:xfrm>
          <a:off x="78629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91</xdr:row>
      <xdr:rowOff>173181</xdr:rowOff>
    </xdr:from>
    <xdr:to>
      <xdr:col>11</xdr:col>
      <xdr:colOff>294410</xdr:colOff>
      <xdr:row>92</xdr:row>
      <xdr:rowOff>121226</xdr:rowOff>
    </xdr:to>
    <xdr:sp macro="" textlink="">
      <xdr:nvSpPr>
        <xdr:cNvPr id="2363" name="Freeform 10707">
          <a:extLst>
            <a:ext uri="{FF2B5EF4-FFF2-40B4-BE49-F238E27FC236}">
              <a16:creationId xmlns:a16="http://schemas.microsoft.com/office/drawing/2014/main" id="{E6BA3ED5-2E70-4EEB-AAB7-364E26252066}"/>
            </a:ext>
          </a:extLst>
        </xdr:cNvPr>
        <xdr:cNvSpPr>
          <a:spLocks/>
        </xdr:cNvSpPr>
      </xdr:nvSpPr>
      <xdr:spPr bwMode="auto">
        <a:xfrm>
          <a:off x="8899240" y="131652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91</xdr:row>
      <xdr:rowOff>173181</xdr:rowOff>
    </xdr:from>
    <xdr:to>
      <xdr:col>13</xdr:col>
      <xdr:colOff>294410</xdr:colOff>
      <xdr:row>92</xdr:row>
      <xdr:rowOff>121226</xdr:rowOff>
    </xdr:to>
    <xdr:sp macro="" textlink="">
      <xdr:nvSpPr>
        <xdr:cNvPr id="2364" name="Freeform 10707">
          <a:extLst>
            <a:ext uri="{FF2B5EF4-FFF2-40B4-BE49-F238E27FC236}">
              <a16:creationId xmlns:a16="http://schemas.microsoft.com/office/drawing/2014/main" id="{F79E3C91-1ABF-408F-BCF3-E11DBE51ED6F}"/>
            </a:ext>
          </a:extLst>
        </xdr:cNvPr>
        <xdr:cNvSpPr>
          <a:spLocks/>
        </xdr:cNvSpPr>
      </xdr:nvSpPr>
      <xdr:spPr bwMode="auto">
        <a:xfrm>
          <a:off x="99431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91</xdr:row>
      <xdr:rowOff>173181</xdr:rowOff>
    </xdr:from>
    <xdr:to>
      <xdr:col>15</xdr:col>
      <xdr:colOff>294410</xdr:colOff>
      <xdr:row>92</xdr:row>
      <xdr:rowOff>121226</xdr:rowOff>
    </xdr:to>
    <xdr:sp macro="" textlink="">
      <xdr:nvSpPr>
        <xdr:cNvPr id="2365" name="Freeform 10707">
          <a:extLst>
            <a:ext uri="{FF2B5EF4-FFF2-40B4-BE49-F238E27FC236}">
              <a16:creationId xmlns:a16="http://schemas.microsoft.com/office/drawing/2014/main" id="{0A97FC0E-EB20-4331-BBEA-8D7FBF100E83}"/>
            </a:ext>
          </a:extLst>
        </xdr:cNvPr>
        <xdr:cNvSpPr>
          <a:spLocks/>
        </xdr:cNvSpPr>
      </xdr:nvSpPr>
      <xdr:spPr bwMode="auto">
        <a:xfrm>
          <a:off x="109795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91</xdr:row>
      <xdr:rowOff>173181</xdr:rowOff>
    </xdr:from>
    <xdr:to>
      <xdr:col>17</xdr:col>
      <xdr:colOff>294410</xdr:colOff>
      <xdr:row>92</xdr:row>
      <xdr:rowOff>121226</xdr:rowOff>
    </xdr:to>
    <xdr:sp macro="" textlink="">
      <xdr:nvSpPr>
        <xdr:cNvPr id="2366" name="Freeform 10707">
          <a:extLst>
            <a:ext uri="{FF2B5EF4-FFF2-40B4-BE49-F238E27FC236}">
              <a16:creationId xmlns:a16="http://schemas.microsoft.com/office/drawing/2014/main" id="{D86F09BA-58ED-44BF-9633-71310361342D}"/>
            </a:ext>
          </a:extLst>
        </xdr:cNvPr>
        <xdr:cNvSpPr>
          <a:spLocks/>
        </xdr:cNvSpPr>
      </xdr:nvSpPr>
      <xdr:spPr bwMode="auto">
        <a:xfrm>
          <a:off x="120158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91</xdr:row>
      <xdr:rowOff>173181</xdr:rowOff>
    </xdr:from>
    <xdr:to>
      <xdr:col>19</xdr:col>
      <xdr:colOff>294410</xdr:colOff>
      <xdr:row>92</xdr:row>
      <xdr:rowOff>121226</xdr:rowOff>
    </xdr:to>
    <xdr:sp macro="" textlink="">
      <xdr:nvSpPr>
        <xdr:cNvPr id="2367" name="Freeform 10707">
          <a:extLst>
            <a:ext uri="{FF2B5EF4-FFF2-40B4-BE49-F238E27FC236}">
              <a16:creationId xmlns:a16="http://schemas.microsoft.com/office/drawing/2014/main" id="{B596EE62-10AD-4DD3-BA1C-966F5941D0A2}"/>
            </a:ext>
          </a:extLst>
        </xdr:cNvPr>
        <xdr:cNvSpPr>
          <a:spLocks/>
        </xdr:cNvSpPr>
      </xdr:nvSpPr>
      <xdr:spPr bwMode="auto">
        <a:xfrm>
          <a:off x="130521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91</xdr:row>
      <xdr:rowOff>173181</xdr:rowOff>
    </xdr:from>
    <xdr:to>
      <xdr:col>21</xdr:col>
      <xdr:colOff>294410</xdr:colOff>
      <xdr:row>92</xdr:row>
      <xdr:rowOff>121226</xdr:rowOff>
    </xdr:to>
    <xdr:sp macro="" textlink="">
      <xdr:nvSpPr>
        <xdr:cNvPr id="2368" name="Freeform 10707">
          <a:extLst>
            <a:ext uri="{FF2B5EF4-FFF2-40B4-BE49-F238E27FC236}">
              <a16:creationId xmlns:a16="http://schemas.microsoft.com/office/drawing/2014/main" id="{A0F29DA1-B6D2-48C0-809C-C258D6AC2508}"/>
            </a:ext>
          </a:extLst>
        </xdr:cNvPr>
        <xdr:cNvSpPr>
          <a:spLocks/>
        </xdr:cNvSpPr>
      </xdr:nvSpPr>
      <xdr:spPr bwMode="auto">
        <a:xfrm>
          <a:off x="140884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91</xdr:row>
      <xdr:rowOff>173181</xdr:rowOff>
    </xdr:from>
    <xdr:to>
      <xdr:col>23</xdr:col>
      <xdr:colOff>294410</xdr:colOff>
      <xdr:row>92</xdr:row>
      <xdr:rowOff>121226</xdr:rowOff>
    </xdr:to>
    <xdr:sp macro="" textlink="">
      <xdr:nvSpPr>
        <xdr:cNvPr id="2369" name="Freeform 10707">
          <a:extLst>
            <a:ext uri="{FF2B5EF4-FFF2-40B4-BE49-F238E27FC236}">
              <a16:creationId xmlns:a16="http://schemas.microsoft.com/office/drawing/2014/main" id="{7334587A-6B6E-452E-9A18-A45675533501}"/>
            </a:ext>
          </a:extLst>
        </xdr:cNvPr>
        <xdr:cNvSpPr>
          <a:spLocks/>
        </xdr:cNvSpPr>
      </xdr:nvSpPr>
      <xdr:spPr bwMode="auto">
        <a:xfrm>
          <a:off x="151247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91</xdr:row>
      <xdr:rowOff>173181</xdr:rowOff>
    </xdr:from>
    <xdr:to>
      <xdr:col>25</xdr:col>
      <xdr:colOff>294410</xdr:colOff>
      <xdr:row>92</xdr:row>
      <xdr:rowOff>121226</xdr:rowOff>
    </xdr:to>
    <xdr:sp macro="" textlink="">
      <xdr:nvSpPr>
        <xdr:cNvPr id="2370" name="Freeform 10707">
          <a:extLst>
            <a:ext uri="{FF2B5EF4-FFF2-40B4-BE49-F238E27FC236}">
              <a16:creationId xmlns:a16="http://schemas.microsoft.com/office/drawing/2014/main" id="{2B9EB507-3C1D-4A04-979F-D7B6A2CF6B11}"/>
            </a:ext>
          </a:extLst>
        </xdr:cNvPr>
        <xdr:cNvSpPr>
          <a:spLocks/>
        </xdr:cNvSpPr>
      </xdr:nvSpPr>
      <xdr:spPr bwMode="auto">
        <a:xfrm>
          <a:off x="6086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91</xdr:row>
      <xdr:rowOff>173181</xdr:rowOff>
    </xdr:from>
    <xdr:to>
      <xdr:col>27</xdr:col>
      <xdr:colOff>294410</xdr:colOff>
      <xdr:row>92</xdr:row>
      <xdr:rowOff>121226</xdr:rowOff>
    </xdr:to>
    <xdr:sp macro="" textlink="">
      <xdr:nvSpPr>
        <xdr:cNvPr id="2371" name="Freeform 10707">
          <a:extLst>
            <a:ext uri="{FF2B5EF4-FFF2-40B4-BE49-F238E27FC236}">
              <a16:creationId xmlns:a16="http://schemas.microsoft.com/office/drawing/2014/main" id="{4413DA7B-1079-4AE4-BD05-209C16D7F37D}"/>
            </a:ext>
          </a:extLst>
        </xdr:cNvPr>
        <xdr:cNvSpPr>
          <a:spLocks/>
        </xdr:cNvSpPr>
      </xdr:nvSpPr>
      <xdr:spPr bwMode="auto">
        <a:xfrm>
          <a:off x="16450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91</xdr:row>
      <xdr:rowOff>173181</xdr:rowOff>
    </xdr:from>
    <xdr:to>
      <xdr:col>29</xdr:col>
      <xdr:colOff>294410</xdr:colOff>
      <xdr:row>92</xdr:row>
      <xdr:rowOff>121226</xdr:rowOff>
    </xdr:to>
    <xdr:sp macro="" textlink="">
      <xdr:nvSpPr>
        <xdr:cNvPr id="2372" name="Freeform 10707">
          <a:extLst>
            <a:ext uri="{FF2B5EF4-FFF2-40B4-BE49-F238E27FC236}">
              <a16:creationId xmlns:a16="http://schemas.microsoft.com/office/drawing/2014/main" id="{66867870-C57F-4A74-8DE9-AF53C647C661}"/>
            </a:ext>
          </a:extLst>
        </xdr:cNvPr>
        <xdr:cNvSpPr>
          <a:spLocks/>
        </xdr:cNvSpPr>
      </xdr:nvSpPr>
      <xdr:spPr bwMode="auto">
        <a:xfrm>
          <a:off x="26813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91</xdr:row>
      <xdr:rowOff>173181</xdr:rowOff>
    </xdr:from>
    <xdr:to>
      <xdr:col>31</xdr:col>
      <xdr:colOff>294410</xdr:colOff>
      <xdr:row>92</xdr:row>
      <xdr:rowOff>121226</xdr:rowOff>
    </xdr:to>
    <xdr:sp macro="" textlink="">
      <xdr:nvSpPr>
        <xdr:cNvPr id="2373" name="Freeform 10707">
          <a:extLst>
            <a:ext uri="{FF2B5EF4-FFF2-40B4-BE49-F238E27FC236}">
              <a16:creationId xmlns:a16="http://schemas.microsoft.com/office/drawing/2014/main" id="{05B8A953-17DD-402C-A470-D3ADBE673B81}"/>
            </a:ext>
          </a:extLst>
        </xdr:cNvPr>
        <xdr:cNvSpPr>
          <a:spLocks/>
        </xdr:cNvSpPr>
      </xdr:nvSpPr>
      <xdr:spPr bwMode="auto">
        <a:xfrm>
          <a:off x="37176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102</xdr:row>
      <xdr:rowOff>173181</xdr:rowOff>
    </xdr:from>
    <xdr:to>
      <xdr:col>3</xdr:col>
      <xdr:colOff>294410</xdr:colOff>
      <xdr:row>103</xdr:row>
      <xdr:rowOff>121226</xdr:rowOff>
    </xdr:to>
    <xdr:sp macro="" textlink="">
      <xdr:nvSpPr>
        <xdr:cNvPr id="2374" name="Freeform 10707">
          <a:extLst>
            <a:ext uri="{FF2B5EF4-FFF2-40B4-BE49-F238E27FC236}">
              <a16:creationId xmlns:a16="http://schemas.microsoft.com/office/drawing/2014/main" id="{71459CB4-6989-4F10-9649-3E818D581ECC}"/>
            </a:ext>
          </a:extLst>
        </xdr:cNvPr>
        <xdr:cNvSpPr>
          <a:spLocks/>
        </xdr:cNvSpPr>
      </xdr:nvSpPr>
      <xdr:spPr bwMode="auto">
        <a:xfrm>
          <a:off x="47539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102</xdr:row>
      <xdr:rowOff>173181</xdr:rowOff>
    </xdr:from>
    <xdr:to>
      <xdr:col>5</xdr:col>
      <xdr:colOff>294410</xdr:colOff>
      <xdr:row>103</xdr:row>
      <xdr:rowOff>121226</xdr:rowOff>
    </xdr:to>
    <xdr:sp macro="" textlink="">
      <xdr:nvSpPr>
        <xdr:cNvPr id="2375" name="Freeform 10707">
          <a:extLst>
            <a:ext uri="{FF2B5EF4-FFF2-40B4-BE49-F238E27FC236}">
              <a16:creationId xmlns:a16="http://schemas.microsoft.com/office/drawing/2014/main" id="{B6E9B9B2-1E20-42DB-8E5B-B942388E00F6}"/>
            </a:ext>
          </a:extLst>
        </xdr:cNvPr>
        <xdr:cNvSpPr>
          <a:spLocks/>
        </xdr:cNvSpPr>
      </xdr:nvSpPr>
      <xdr:spPr bwMode="auto">
        <a:xfrm>
          <a:off x="57902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102</xdr:row>
      <xdr:rowOff>173181</xdr:rowOff>
    </xdr:from>
    <xdr:to>
      <xdr:col>25</xdr:col>
      <xdr:colOff>294410</xdr:colOff>
      <xdr:row>103</xdr:row>
      <xdr:rowOff>121226</xdr:rowOff>
    </xdr:to>
    <xdr:sp macro="" textlink="">
      <xdr:nvSpPr>
        <xdr:cNvPr id="2376" name="Freeform 10707">
          <a:extLst>
            <a:ext uri="{FF2B5EF4-FFF2-40B4-BE49-F238E27FC236}">
              <a16:creationId xmlns:a16="http://schemas.microsoft.com/office/drawing/2014/main" id="{9309C3E7-21B7-4104-AFC5-87EE07F6DE31}"/>
            </a:ext>
          </a:extLst>
        </xdr:cNvPr>
        <xdr:cNvSpPr>
          <a:spLocks/>
        </xdr:cNvSpPr>
      </xdr:nvSpPr>
      <xdr:spPr bwMode="auto">
        <a:xfrm>
          <a:off x="6086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102</xdr:row>
      <xdr:rowOff>173181</xdr:rowOff>
    </xdr:from>
    <xdr:to>
      <xdr:col>27</xdr:col>
      <xdr:colOff>294410</xdr:colOff>
      <xdr:row>103</xdr:row>
      <xdr:rowOff>121226</xdr:rowOff>
    </xdr:to>
    <xdr:sp macro="" textlink="">
      <xdr:nvSpPr>
        <xdr:cNvPr id="2377" name="Freeform 10707">
          <a:extLst>
            <a:ext uri="{FF2B5EF4-FFF2-40B4-BE49-F238E27FC236}">
              <a16:creationId xmlns:a16="http://schemas.microsoft.com/office/drawing/2014/main" id="{E01832F3-9BC9-4A65-98EF-3D539954E416}"/>
            </a:ext>
          </a:extLst>
        </xdr:cNvPr>
        <xdr:cNvSpPr>
          <a:spLocks/>
        </xdr:cNvSpPr>
      </xdr:nvSpPr>
      <xdr:spPr bwMode="auto">
        <a:xfrm>
          <a:off x="16450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102</xdr:row>
      <xdr:rowOff>173181</xdr:rowOff>
    </xdr:from>
    <xdr:to>
      <xdr:col>7</xdr:col>
      <xdr:colOff>294410</xdr:colOff>
      <xdr:row>103</xdr:row>
      <xdr:rowOff>121226</xdr:rowOff>
    </xdr:to>
    <xdr:sp macro="" textlink="">
      <xdr:nvSpPr>
        <xdr:cNvPr id="2378" name="Freeform 10707">
          <a:extLst>
            <a:ext uri="{FF2B5EF4-FFF2-40B4-BE49-F238E27FC236}">
              <a16:creationId xmlns:a16="http://schemas.microsoft.com/office/drawing/2014/main" id="{1BDF4651-0E19-4912-AB9D-829D014492FA}"/>
            </a:ext>
          </a:extLst>
        </xdr:cNvPr>
        <xdr:cNvSpPr>
          <a:spLocks/>
        </xdr:cNvSpPr>
      </xdr:nvSpPr>
      <xdr:spPr bwMode="auto">
        <a:xfrm>
          <a:off x="68266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102</xdr:row>
      <xdr:rowOff>173181</xdr:rowOff>
    </xdr:from>
    <xdr:to>
      <xdr:col>9</xdr:col>
      <xdr:colOff>294410</xdr:colOff>
      <xdr:row>103</xdr:row>
      <xdr:rowOff>121226</xdr:rowOff>
    </xdr:to>
    <xdr:sp macro="" textlink="">
      <xdr:nvSpPr>
        <xdr:cNvPr id="2379" name="Freeform 10707">
          <a:extLst>
            <a:ext uri="{FF2B5EF4-FFF2-40B4-BE49-F238E27FC236}">
              <a16:creationId xmlns:a16="http://schemas.microsoft.com/office/drawing/2014/main" id="{49A0384B-CB0B-4074-920A-38A1EE166551}"/>
            </a:ext>
          </a:extLst>
        </xdr:cNvPr>
        <xdr:cNvSpPr>
          <a:spLocks/>
        </xdr:cNvSpPr>
      </xdr:nvSpPr>
      <xdr:spPr bwMode="auto">
        <a:xfrm>
          <a:off x="78629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102</xdr:row>
      <xdr:rowOff>173181</xdr:rowOff>
    </xdr:from>
    <xdr:to>
      <xdr:col>29</xdr:col>
      <xdr:colOff>294410</xdr:colOff>
      <xdr:row>103</xdr:row>
      <xdr:rowOff>121226</xdr:rowOff>
    </xdr:to>
    <xdr:sp macro="" textlink="">
      <xdr:nvSpPr>
        <xdr:cNvPr id="2380" name="Freeform 10707">
          <a:extLst>
            <a:ext uri="{FF2B5EF4-FFF2-40B4-BE49-F238E27FC236}">
              <a16:creationId xmlns:a16="http://schemas.microsoft.com/office/drawing/2014/main" id="{B7218839-A738-437C-9189-BDD65ACEC66F}"/>
            </a:ext>
          </a:extLst>
        </xdr:cNvPr>
        <xdr:cNvSpPr>
          <a:spLocks/>
        </xdr:cNvSpPr>
      </xdr:nvSpPr>
      <xdr:spPr bwMode="auto">
        <a:xfrm>
          <a:off x="26813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102</xdr:row>
      <xdr:rowOff>173181</xdr:rowOff>
    </xdr:from>
    <xdr:to>
      <xdr:col>11</xdr:col>
      <xdr:colOff>294410</xdr:colOff>
      <xdr:row>103</xdr:row>
      <xdr:rowOff>121226</xdr:rowOff>
    </xdr:to>
    <xdr:sp macro="" textlink="">
      <xdr:nvSpPr>
        <xdr:cNvPr id="2381" name="Freeform 10707">
          <a:extLst>
            <a:ext uri="{FF2B5EF4-FFF2-40B4-BE49-F238E27FC236}">
              <a16:creationId xmlns:a16="http://schemas.microsoft.com/office/drawing/2014/main" id="{84222F1F-5254-46D3-B556-272BB4542620}"/>
            </a:ext>
          </a:extLst>
        </xdr:cNvPr>
        <xdr:cNvSpPr>
          <a:spLocks/>
        </xdr:cNvSpPr>
      </xdr:nvSpPr>
      <xdr:spPr bwMode="auto">
        <a:xfrm>
          <a:off x="8899240" y="150245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102</xdr:row>
      <xdr:rowOff>173181</xdr:rowOff>
    </xdr:from>
    <xdr:to>
      <xdr:col>31</xdr:col>
      <xdr:colOff>294410</xdr:colOff>
      <xdr:row>103</xdr:row>
      <xdr:rowOff>121226</xdr:rowOff>
    </xdr:to>
    <xdr:sp macro="" textlink="">
      <xdr:nvSpPr>
        <xdr:cNvPr id="2382" name="Freeform 10707">
          <a:extLst>
            <a:ext uri="{FF2B5EF4-FFF2-40B4-BE49-F238E27FC236}">
              <a16:creationId xmlns:a16="http://schemas.microsoft.com/office/drawing/2014/main" id="{A70BA506-E0CE-46C3-AD23-548DE7FE76CA}"/>
            </a:ext>
          </a:extLst>
        </xdr:cNvPr>
        <xdr:cNvSpPr>
          <a:spLocks/>
        </xdr:cNvSpPr>
      </xdr:nvSpPr>
      <xdr:spPr bwMode="auto">
        <a:xfrm>
          <a:off x="37176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102</xdr:row>
      <xdr:rowOff>173181</xdr:rowOff>
    </xdr:from>
    <xdr:to>
      <xdr:col>13</xdr:col>
      <xdr:colOff>294410</xdr:colOff>
      <xdr:row>103</xdr:row>
      <xdr:rowOff>121226</xdr:rowOff>
    </xdr:to>
    <xdr:sp macro="" textlink="">
      <xdr:nvSpPr>
        <xdr:cNvPr id="2383" name="Freeform 10707">
          <a:extLst>
            <a:ext uri="{FF2B5EF4-FFF2-40B4-BE49-F238E27FC236}">
              <a16:creationId xmlns:a16="http://schemas.microsoft.com/office/drawing/2014/main" id="{DA6467C0-5C58-4360-A019-812A03F34082}"/>
            </a:ext>
          </a:extLst>
        </xdr:cNvPr>
        <xdr:cNvSpPr>
          <a:spLocks/>
        </xdr:cNvSpPr>
      </xdr:nvSpPr>
      <xdr:spPr bwMode="auto">
        <a:xfrm>
          <a:off x="99431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113</xdr:row>
      <xdr:rowOff>173181</xdr:rowOff>
    </xdr:from>
    <xdr:to>
      <xdr:col>3</xdr:col>
      <xdr:colOff>294410</xdr:colOff>
      <xdr:row>114</xdr:row>
      <xdr:rowOff>121226</xdr:rowOff>
    </xdr:to>
    <xdr:sp macro="" textlink="">
      <xdr:nvSpPr>
        <xdr:cNvPr id="2384" name="Freeform 10707">
          <a:extLst>
            <a:ext uri="{FF2B5EF4-FFF2-40B4-BE49-F238E27FC236}">
              <a16:creationId xmlns:a16="http://schemas.microsoft.com/office/drawing/2014/main" id="{4E694708-7752-4CBE-9E32-02CA4470E82F}"/>
            </a:ext>
          </a:extLst>
        </xdr:cNvPr>
        <xdr:cNvSpPr>
          <a:spLocks/>
        </xdr:cNvSpPr>
      </xdr:nvSpPr>
      <xdr:spPr bwMode="auto">
        <a:xfrm>
          <a:off x="47539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102</xdr:row>
      <xdr:rowOff>173181</xdr:rowOff>
    </xdr:from>
    <xdr:to>
      <xdr:col>15</xdr:col>
      <xdr:colOff>294410</xdr:colOff>
      <xdr:row>103</xdr:row>
      <xdr:rowOff>121226</xdr:rowOff>
    </xdr:to>
    <xdr:sp macro="" textlink="">
      <xdr:nvSpPr>
        <xdr:cNvPr id="2385" name="Freeform 10707">
          <a:extLst>
            <a:ext uri="{FF2B5EF4-FFF2-40B4-BE49-F238E27FC236}">
              <a16:creationId xmlns:a16="http://schemas.microsoft.com/office/drawing/2014/main" id="{63CF0582-1689-418F-90C2-06A1E8A42F45}"/>
            </a:ext>
          </a:extLst>
        </xdr:cNvPr>
        <xdr:cNvSpPr>
          <a:spLocks/>
        </xdr:cNvSpPr>
      </xdr:nvSpPr>
      <xdr:spPr bwMode="auto">
        <a:xfrm>
          <a:off x="109795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113</xdr:row>
      <xdr:rowOff>173181</xdr:rowOff>
    </xdr:from>
    <xdr:to>
      <xdr:col>5</xdr:col>
      <xdr:colOff>294410</xdr:colOff>
      <xdr:row>114</xdr:row>
      <xdr:rowOff>121226</xdr:rowOff>
    </xdr:to>
    <xdr:sp macro="" textlink="">
      <xdr:nvSpPr>
        <xdr:cNvPr id="2386" name="Freeform 10707">
          <a:extLst>
            <a:ext uri="{FF2B5EF4-FFF2-40B4-BE49-F238E27FC236}">
              <a16:creationId xmlns:a16="http://schemas.microsoft.com/office/drawing/2014/main" id="{000FBE10-286F-4FC9-8985-9F2A53DA1C00}"/>
            </a:ext>
          </a:extLst>
        </xdr:cNvPr>
        <xdr:cNvSpPr>
          <a:spLocks/>
        </xdr:cNvSpPr>
      </xdr:nvSpPr>
      <xdr:spPr bwMode="auto">
        <a:xfrm>
          <a:off x="57902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102</xdr:row>
      <xdr:rowOff>173181</xdr:rowOff>
    </xdr:from>
    <xdr:to>
      <xdr:col>17</xdr:col>
      <xdr:colOff>294410</xdr:colOff>
      <xdr:row>103</xdr:row>
      <xdr:rowOff>121226</xdr:rowOff>
    </xdr:to>
    <xdr:sp macro="" textlink="">
      <xdr:nvSpPr>
        <xdr:cNvPr id="2387" name="Freeform 10707">
          <a:extLst>
            <a:ext uri="{FF2B5EF4-FFF2-40B4-BE49-F238E27FC236}">
              <a16:creationId xmlns:a16="http://schemas.microsoft.com/office/drawing/2014/main" id="{7CDE0FE2-62D4-41F4-9B72-81A94D99B71C}"/>
            </a:ext>
          </a:extLst>
        </xdr:cNvPr>
        <xdr:cNvSpPr>
          <a:spLocks/>
        </xdr:cNvSpPr>
      </xdr:nvSpPr>
      <xdr:spPr bwMode="auto">
        <a:xfrm>
          <a:off x="120158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113</xdr:row>
      <xdr:rowOff>173181</xdr:rowOff>
    </xdr:from>
    <xdr:to>
      <xdr:col>7</xdr:col>
      <xdr:colOff>294410</xdr:colOff>
      <xdr:row>114</xdr:row>
      <xdr:rowOff>121226</xdr:rowOff>
    </xdr:to>
    <xdr:sp macro="" textlink="">
      <xdr:nvSpPr>
        <xdr:cNvPr id="2388" name="Freeform 10707">
          <a:extLst>
            <a:ext uri="{FF2B5EF4-FFF2-40B4-BE49-F238E27FC236}">
              <a16:creationId xmlns:a16="http://schemas.microsoft.com/office/drawing/2014/main" id="{B2747C6D-4B0E-44AE-B541-8F2DC4375906}"/>
            </a:ext>
          </a:extLst>
        </xdr:cNvPr>
        <xdr:cNvSpPr>
          <a:spLocks/>
        </xdr:cNvSpPr>
      </xdr:nvSpPr>
      <xdr:spPr bwMode="auto">
        <a:xfrm>
          <a:off x="68266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102</xdr:row>
      <xdr:rowOff>173181</xdr:rowOff>
    </xdr:from>
    <xdr:to>
      <xdr:col>19</xdr:col>
      <xdr:colOff>294410</xdr:colOff>
      <xdr:row>103</xdr:row>
      <xdr:rowOff>121226</xdr:rowOff>
    </xdr:to>
    <xdr:sp macro="" textlink="">
      <xdr:nvSpPr>
        <xdr:cNvPr id="2389" name="Freeform 10707">
          <a:extLst>
            <a:ext uri="{FF2B5EF4-FFF2-40B4-BE49-F238E27FC236}">
              <a16:creationId xmlns:a16="http://schemas.microsoft.com/office/drawing/2014/main" id="{8599365D-A738-4F2D-970B-F8502DCB5C1E}"/>
            </a:ext>
          </a:extLst>
        </xdr:cNvPr>
        <xdr:cNvSpPr>
          <a:spLocks/>
        </xdr:cNvSpPr>
      </xdr:nvSpPr>
      <xdr:spPr bwMode="auto">
        <a:xfrm>
          <a:off x="130521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113</xdr:row>
      <xdr:rowOff>173181</xdr:rowOff>
    </xdr:from>
    <xdr:to>
      <xdr:col>9</xdr:col>
      <xdr:colOff>294410</xdr:colOff>
      <xdr:row>114</xdr:row>
      <xdr:rowOff>121226</xdr:rowOff>
    </xdr:to>
    <xdr:sp macro="" textlink="">
      <xdr:nvSpPr>
        <xdr:cNvPr id="2390" name="Freeform 10707">
          <a:extLst>
            <a:ext uri="{FF2B5EF4-FFF2-40B4-BE49-F238E27FC236}">
              <a16:creationId xmlns:a16="http://schemas.microsoft.com/office/drawing/2014/main" id="{E980A65D-ECE3-4CAF-B880-1EE7981376DE}"/>
            </a:ext>
          </a:extLst>
        </xdr:cNvPr>
        <xdr:cNvSpPr>
          <a:spLocks/>
        </xdr:cNvSpPr>
      </xdr:nvSpPr>
      <xdr:spPr bwMode="auto">
        <a:xfrm>
          <a:off x="78629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102</xdr:row>
      <xdr:rowOff>173181</xdr:rowOff>
    </xdr:from>
    <xdr:to>
      <xdr:col>21</xdr:col>
      <xdr:colOff>294410</xdr:colOff>
      <xdr:row>103</xdr:row>
      <xdr:rowOff>121226</xdr:rowOff>
    </xdr:to>
    <xdr:sp macro="" textlink="">
      <xdr:nvSpPr>
        <xdr:cNvPr id="2391" name="Freeform 10707">
          <a:extLst>
            <a:ext uri="{FF2B5EF4-FFF2-40B4-BE49-F238E27FC236}">
              <a16:creationId xmlns:a16="http://schemas.microsoft.com/office/drawing/2014/main" id="{40BBB366-0874-41A6-A623-458FB5AA1978}"/>
            </a:ext>
          </a:extLst>
        </xdr:cNvPr>
        <xdr:cNvSpPr>
          <a:spLocks/>
        </xdr:cNvSpPr>
      </xdr:nvSpPr>
      <xdr:spPr bwMode="auto">
        <a:xfrm>
          <a:off x="140884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113</xdr:row>
      <xdr:rowOff>173181</xdr:rowOff>
    </xdr:from>
    <xdr:to>
      <xdr:col>11</xdr:col>
      <xdr:colOff>294410</xdr:colOff>
      <xdr:row>114</xdr:row>
      <xdr:rowOff>121226</xdr:rowOff>
    </xdr:to>
    <xdr:sp macro="" textlink="">
      <xdr:nvSpPr>
        <xdr:cNvPr id="2392" name="Freeform 10707">
          <a:extLst>
            <a:ext uri="{FF2B5EF4-FFF2-40B4-BE49-F238E27FC236}">
              <a16:creationId xmlns:a16="http://schemas.microsoft.com/office/drawing/2014/main" id="{FD3465BF-1F29-4D11-94DB-06D491E4B3A9}"/>
            </a:ext>
          </a:extLst>
        </xdr:cNvPr>
        <xdr:cNvSpPr>
          <a:spLocks/>
        </xdr:cNvSpPr>
      </xdr:nvSpPr>
      <xdr:spPr bwMode="auto">
        <a:xfrm>
          <a:off x="8899240" y="168838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102</xdr:row>
      <xdr:rowOff>173181</xdr:rowOff>
    </xdr:from>
    <xdr:to>
      <xdr:col>23</xdr:col>
      <xdr:colOff>294410</xdr:colOff>
      <xdr:row>103</xdr:row>
      <xdr:rowOff>121226</xdr:rowOff>
    </xdr:to>
    <xdr:sp macro="" textlink="">
      <xdr:nvSpPr>
        <xdr:cNvPr id="2393" name="Freeform 10707">
          <a:extLst>
            <a:ext uri="{FF2B5EF4-FFF2-40B4-BE49-F238E27FC236}">
              <a16:creationId xmlns:a16="http://schemas.microsoft.com/office/drawing/2014/main" id="{5B99496A-65C1-4EE4-9A7E-DE235E90F23F}"/>
            </a:ext>
          </a:extLst>
        </xdr:cNvPr>
        <xdr:cNvSpPr>
          <a:spLocks/>
        </xdr:cNvSpPr>
      </xdr:nvSpPr>
      <xdr:spPr bwMode="auto">
        <a:xfrm>
          <a:off x="151247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113</xdr:row>
      <xdr:rowOff>173181</xdr:rowOff>
    </xdr:from>
    <xdr:to>
      <xdr:col>13</xdr:col>
      <xdr:colOff>294410</xdr:colOff>
      <xdr:row>114</xdr:row>
      <xdr:rowOff>121226</xdr:rowOff>
    </xdr:to>
    <xdr:sp macro="" textlink="">
      <xdr:nvSpPr>
        <xdr:cNvPr id="2394" name="Freeform 10707">
          <a:extLst>
            <a:ext uri="{FF2B5EF4-FFF2-40B4-BE49-F238E27FC236}">
              <a16:creationId xmlns:a16="http://schemas.microsoft.com/office/drawing/2014/main" id="{2FFC1A1D-2B47-4C30-8878-ED2C0BEAA9B7}"/>
            </a:ext>
          </a:extLst>
        </xdr:cNvPr>
        <xdr:cNvSpPr>
          <a:spLocks/>
        </xdr:cNvSpPr>
      </xdr:nvSpPr>
      <xdr:spPr bwMode="auto">
        <a:xfrm>
          <a:off x="99431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113</xdr:row>
      <xdr:rowOff>173181</xdr:rowOff>
    </xdr:from>
    <xdr:to>
      <xdr:col>15</xdr:col>
      <xdr:colOff>294410</xdr:colOff>
      <xdr:row>114</xdr:row>
      <xdr:rowOff>121226</xdr:rowOff>
    </xdr:to>
    <xdr:sp macro="" textlink="">
      <xdr:nvSpPr>
        <xdr:cNvPr id="2395" name="Freeform 10707">
          <a:extLst>
            <a:ext uri="{FF2B5EF4-FFF2-40B4-BE49-F238E27FC236}">
              <a16:creationId xmlns:a16="http://schemas.microsoft.com/office/drawing/2014/main" id="{65BBC04B-BB62-44DE-A7D9-8DD0AF987FB3}"/>
            </a:ext>
          </a:extLst>
        </xdr:cNvPr>
        <xdr:cNvSpPr>
          <a:spLocks/>
        </xdr:cNvSpPr>
      </xdr:nvSpPr>
      <xdr:spPr bwMode="auto">
        <a:xfrm>
          <a:off x="109795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113</xdr:row>
      <xdr:rowOff>173181</xdr:rowOff>
    </xdr:from>
    <xdr:to>
      <xdr:col>17</xdr:col>
      <xdr:colOff>294410</xdr:colOff>
      <xdr:row>114</xdr:row>
      <xdr:rowOff>121226</xdr:rowOff>
    </xdr:to>
    <xdr:sp macro="" textlink="">
      <xdr:nvSpPr>
        <xdr:cNvPr id="2396" name="Freeform 10707">
          <a:extLst>
            <a:ext uri="{FF2B5EF4-FFF2-40B4-BE49-F238E27FC236}">
              <a16:creationId xmlns:a16="http://schemas.microsoft.com/office/drawing/2014/main" id="{048E53A4-8DC1-4DC3-823F-1495A074AF2B}"/>
            </a:ext>
          </a:extLst>
        </xdr:cNvPr>
        <xdr:cNvSpPr>
          <a:spLocks/>
        </xdr:cNvSpPr>
      </xdr:nvSpPr>
      <xdr:spPr bwMode="auto">
        <a:xfrm>
          <a:off x="120158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113</xdr:row>
      <xdr:rowOff>173181</xdr:rowOff>
    </xdr:from>
    <xdr:to>
      <xdr:col>19</xdr:col>
      <xdr:colOff>294410</xdr:colOff>
      <xdr:row>114</xdr:row>
      <xdr:rowOff>121226</xdr:rowOff>
    </xdr:to>
    <xdr:sp macro="" textlink="">
      <xdr:nvSpPr>
        <xdr:cNvPr id="2397" name="Freeform 10707">
          <a:extLst>
            <a:ext uri="{FF2B5EF4-FFF2-40B4-BE49-F238E27FC236}">
              <a16:creationId xmlns:a16="http://schemas.microsoft.com/office/drawing/2014/main" id="{FEB21AB2-CA76-4298-85A8-B4C841189B49}"/>
            </a:ext>
          </a:extLst>
        </xdr:cNvPr>
        <xdr:cNvSpPr>
          <a:spLocks/>
        </xdr:cNvSpPr>
      </xdr:nvSpPr>
      <xdr:spPr bwMode="auto">
        <a:xfrm>
          <a:off x="130521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113</xdr:row>
      <xdr:rowOff>173181</xdr:rowOff>
    </xdr:from>
    <xdr:to>
      <xdr:col>21</xdr:col>
      <xdr:colOff>294410</xdr:colOff>
      <xdr:row>114</xdr:row>
      <xdr:rowOff>121226</xdr:rowOff>
    </xdr:to>
    <xdr:sp macro="" textlink="">
      <xdr:nvSpPr>
        <xdr:cNvPr id="2398" name="Freeform 10707">
          <a:extLst>
            <a:ext uri="{FF2B5EF4-FFF2-40B4-BE49-F238E27FC236}">
              <a16:creationId xmlns:a16="http://schemas.microsoft.com/office/drawing/2014/main" id="{C428926F-0786-4D2A-A96F-C9FA16AD8F6B}"/>
            </a:ext>
          </a:extLst>
        </xdr:cNvPr>
        <xdr:cNvSpPr>
          <a:spLocks/>
        </xdr:cNvSpPr>
      </xdr:nvSpPr>
      <xdr:spPr bwMode="auto">
        <a:xfrm>
          <a:off x="140884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113</xdr:row>
      <xdr:rowOff>173181</xdr:rowOff>
    </xdr:from>
    <xdr:to>
      <xdr:col>23</xdr:col>
      <xdr:colOff>294410</xdr:colOff>
      <xdr:row>114</xdr:row>
      <xdr:rowOff>121226</xdr:rowOff>
    </xdr:to>
    <xdr:sp macro="" textlink="">
      <xdr:nvSpPr>
        <xdr:cNvPr id="2399" name="Freeform 10707">
          <a:extLst>
            <a:ext uri="{FF2B5EF4-FFF2-40B4-BE49-F238E27FC236}">
              <a16:creationId xmlns:a16="http://schemas.microsoft.com/office/drawing/2014/main" id="{38C47467-5E51-44CA-92C0-90A8DEC7B790}"/>
            </a:ext>
          </a:extLst>
        </xdr:cNvPr>
        <xdr:cNvSpPr>
          <a:spLocks/>
        </xdr:cNvSpPr>
      </xdr:nvSpPr>
      <xdr:spPr bwMode="auto">
        <a:xfrm>
          <a:off x="151247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113</xdr:row>
      <xdr:rowOff>173181</xdr:rowOff>
    </xdr:from>
    <xdr:to>
      <xdr:col>25</xdr:col>
      <xdr:colOff>294410</xdr:colOff>
      <xdr:row>114</xdr:row>
      <xdr:rowOff>121226</xdr:rowOff>
    </xdr:to>
    <xdr:sp macro="" textlink="">
      <xdr:nvSpPr>
        <xdr:cNvPr id="2400" name="Freeform 10707">
          <a:extLst>
            <a:ext uri="{FF2B5EF4-FFF2-40B4-BE49-F238E27FC236}">
              <a16:creationId xmlns:a16="http://schemas.microsoft.com/office/drawing/2014/main" id="{14ED92D9-5144-4124-BFFC-7E83C61CACCA}"/>
            </a:ext>
          </a:extLst>
        </xdr:cNvPr>
        <xdr:cNvSpPr>
          <a:spLocks/>
        </xdr:cNvSpPr>
      </xdr:nvSpPr>
      <xdr:spPr bwMode="auto">
        <a:xfrm>
          <a:off x="6086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113</xdr:row>
      <xdr:rowOff>173181</xdr:rowOff>
    </xdr:from>
    <xdr:to>
      <xdr:col>27</xdr:col>
      <xdr:colOff>294410</xdr:colOff>
      <xdr:row>114</xdr:row>
      <xdr:rowOff>121226</xdr:rowOff>
    </xdr:to>
    <xdr:sp macro="" textlink="">
      <xdr:nvSpPr>
        <xdr:cNvPr id="2401" name="Freeform 10707">
          <a:extLst>
            <a:ext uri="{FF2B5EF4-FFF2-40B4-BE49-F238E27FC236}">
              <a16:creationId xmlns:a16="http://schemas.microsoft.com/office/drawing/2014/main" id="{A786DC43-5A71-4188-99FF-2F2437D584F7}"/>
            </a:ext>
          </a:extLst>
        </xdr:cNvPr>
        <xdr:cNvSpPr>
          <a:spLocks/>
        </xdr:cNvSpPr>
      </xdr:nvSpPr>
      <xdr:spPr bwMode="auto">
        <a:xfrm>
          <a:off x="16450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113</xdr:row>
      <xdr:rowOff>173181</xdr:rowOff>
    </xdr:from>
    <xdr:to>
      <xdr:col>29</xdr:col>
      <xdr:colOff>294410</xdr:colOff>
      <xdr:row>114</xdr:row>
      <xdr:rowOff>121226</xdr:rowOff>
    </xdr:to>
    <xdr:sp macro="" textlink="">
      <xdr:nvSpPr>
        <xdr:cNvPr id="2402" name="Freeform 10707">
          <a:extLst>
            <a:ext uri="{FF2B5EF4-FFF2-40B4-BE49-F238E27FC236}">
              <a16:creationId xmlns:a16="http://schemas.microsoft.com/office/drawing/2014/main" id="{C597D0C8-9886-453F-90C1-DFAB040437AA}"/>
            </a:ext>
          </a:extLst>
        </xdr:cNvPr>
        <xdr:cNvSpPr>
          <a:spLocks/>
        </xdr:cNvSpPr>
      </xdr:nvSpPr>
      <xdr:spPr bwMode="auto">
        <a:xfrm>
          <a:off x="26813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113</xdr:row>
      <xdr:rowOff>173181</xdr:rowOff>
    </xdr:from>
    <xdr:to>
      <xdr:col>31</xdr:col>
      <xdr:colOff>294410</xdr:colOff>
      <xdr:row>114</xdr:row>
      <xdr:rowOff>121226</xdr:rowOff>
    </xdr:to>
    <xdr:sp macro="" textlink="">
      <xdr:nvSpPr>
        <xdr:cNvPr id="2403" name="Freeform 10707">
          <a:extLst>
            <a:ext uri="{FF2B5EF4-FFF2-40B4-BE49-F238E27FC236}">
              <a16:creationId xmlns:a16="http://schemas.microsoft.com/office/drawing/2014/main" id="{8D10E383-D1C8-4681-96F1-3E979C5EC20A}"/>
            </a:ext>
          </a:extLst>
        </xdr:cNvPr>
        <xdr:cNvSpPr>
          <a:spLocks/>
        </xdr:cNvSpPr>
      </xdr:nvSpPr>
      <xdr:spPr bwMode="auto">
        <a:xfrm>
          <a:off x="37176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124</xdr:row>
      <xdr:rowOff>173181</xdr:rowOff>
    </xdr:from>
    <xdr:to>
      <xdr:col>3</xdr:col>
      <xdr:colOff>294410</xdr:colOff>
      <xdr:row>125</xdr:row>
      <xdr:rowOff>121226</xdr:rowOff>
    </xdr:to>
    <xdr:sp macro="" textlink="">
      <xdr:nvSpPr>
        <xdr:cNvPr id="2404" name="Freeform 10707">
          <a:extLst>
            <a:ext uri="{FF2B5EF4-FFF2-40B4-BE49-F238E27FC236}">
              <a16:creationId xmlns:a16="http://schemas.microsoft.com/office/drawing/2014/main" id="{BB8D1C30-C433-49FF-9B0E-3331B252EE62}"/>
            </a:ext>
          </a:extLst>
        </xdr:cNvPr>
        <xdr:cNvSpPr>
          <a:spLocks/>
        </xdr:cNvSpPr>
      </xdr:nvSpPr>
      <xdr:spPr bwMode="auto">
        <a:xfrm>
          <a:off x="47539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124</xdr:row>
      <xdr:rowOff>173181</xdr:rowOff>
    </xdr:from>
    <xdr:to>
      <xdr:col>5</xdr:col>
      <xdr:colOff>294410</xdr:colOff>
      <xdr:row>125</xdr:row>
      <xdr:rowOff>121226</xdr:rowOff>
    </xdr:to>
    <xdr:sp macro="" textlink="">
      <xdr:nvSpPr>
        <xdr:cNvPr id="2405" name="Freeform 10707">
          <a:extLst>
            <a:ext uri="{FF2B5EF4-FFF2-40B4-BE49-F238E27FC236}">
              <a16:creationId xmlns:a16="http://schemas.microsoft.com/office/drawing/2014/main" id="{B436CCFB-0E3E-4E67-8767-A2AA8C1F3775}"/>
            </a:ext>
          </a:extLst>
        </xdr:cNvPr>
        <xdr:cNvSpPr>
          <a:spLocks/>
        </xdr:cNvSpPr>
      </xdr:nvSpPr>
      <xdr:spPr bwMode="auto">
        <a:xfrm>
          <a:off x="57902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124</xdr:row>
      <xdr:rowOff>173181</xdr:rowOff>
    </xdr:from>
    <xdr:to>
      <xdr:col>7</xdr:col>
      <xdr:colOff>294410</xdr:colOff>
      <xdr:row>125</xdr:row>
      <xdr:rowOff>121226</xdr:rowOff>
    </xdr:to>
    <xdr:sp macro="" textlink="">
      <xdr:nvSpPr>
        <xdr:cNvPr id="2406" name="Freeform 10707">
          <a:extLst>
            <a:ext uri="{FF2B5EF4-FFF2-40B4-BE49-F238E27FC236}">
              <a16:creationId xmlns:a16="http://schemas.microsoft.com/office/drawing/2014/main" id="{6D9D0616-BD33-4DF7-85DA-3F2766FCBEFC}"/>
            </a:ext>
          </a:extLst>
        </xdr:cNvPr>
        <xdr:cNvSpPr>
          <a:spLocks/>
        </xdr:cNvSpPr>
      </xdr:nvSpPr>
      <xdr:spPr bwMode="auto">
        <a:xfrm>
          <a:off x="68266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124</xdr:row>
      <xdr:rowOff>173181</xdr:rowOff>
    </xdr:from>
    <xdr:to>
      <xdr:col>9</xdr:col>
      <xdr:colOff>294410</xdr:colOff>
      <xdr:row>125</xdr:row>
      <xdr:rowOff>121226</xdr:rowOff>
    </xdr:to>
    <xdr:sp macro="" textlink="">
      <xdr:nvSpPr>
        <xdr:cNvPr id="2407" name="Freeform 10707">
          <a:extLst>
            <a:ext uri="{FF2B5EF4-FFF2-40B4-BE49-F238E27FC236}">
              <a16:creationId xmlns:a16="http://schemas.microsoft.com/office/drawing/2014/main" id="{C8E03EC2-D618-49CA-94FD-03B9D53D701C}"/>
            </a:ext>
          </a:extLst>
        </xdr:cNvPr>
        <xdr:cNvSpPr>
          <a:spLocks/>
        </xdr:cNvSpPr>
      </xdr:nvSpPr>
      <xdr:spPr bwMode="auto">
        <a:xfrm>
          <a:off x="3590640" y="23318931"/>
          <a:ext cx="1005895" cy="1226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124</xdr:row>
      <xdr:rowOff>173181</xdr:rowOff>
    </xdr:from>
    <xdr:to>
      <xdr:col>11</xdr:col>
      <xdr:colOff>294410</xdr:colOff>
      <xdr:row>125</xdr:row>
      <xdr:rowOff>121226</xdr:rowOff>
    </xdr:to>
    <xdr:sp macro="" textlink="">
      <xdr:nvSpPr>
        <xdr:cNvPr id="2408" name="Freeform 10707">
          <a:extLst>
            <a:ext uri="{FF2B5EF4-FFF2-40B4-BE49-F238E27FC236}">
              <a16:creationId xmlns:a16="http://schemas.microsoft.com/office/drawing/2014/main" id="{01A9C603-C1B5-4D5A-8E61-18C1F4E730D4}"/>
            </a:ext>
          </a:extLst>
        </xdr:cNvPr>
        <xdr:cNvSpPr>
          <a:spLocks/>
        </xdr:cNvSpPr>
      </xdr:nvSpPr>
      <xdr:spPr bwMode="auto">
        <a:xfrm>
          <a:off x="8899240" y="187431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124</xdr:row>
      <xdr:rowOff>173181</xdr:rowOff>
    </xdr:from>
    <xdr:to>
      <xdr:col>13</xdr:col>
      <xdr:colOff>294410</xdr:colOff>
      <xdr:row>125</xdr:row>
      <xdr:rowOff>121226</xdr:rowOff>
    </xdr:to>
    <xdr:sp macro="" textlink="">
      <xdr:nvSpPr>
        <xdr:cNvPr id="2409" name="Freeform 10707">
          <a:extLst>
            <a:ext uri="{FF2B5EF4-FFF2-40B4-BE49-F238E27FC236}">
              <a16:creationId xmlns:a16="http://schemas.microsoft.com/office/drawing/2014/main" id="{182C5824-8823-40CD-A242-F50B29257390}"/>
            </a:ext>
          </a:extLst>
        </xdr:cNvPr>
        <xdr:cNvSpPr>
          <a:spLocks/>
        </xdr:cNvSpPr>
      </xdr:nvSpPr>
      <xdr:spPr bwMode="auto">
        <a:xfrm>
          <a:off x="99431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124</xdr:row>
      <xdr:rowOff>173181</xdr:rowOff>
    </xdr:from>
    <xdr:to>
      <xdr:col>15</xdr:col>
      <xdr:colOff>294410</xdr:colOff>
      <xdr:row>125</xdr:row>
      <xdr:rowOff>121226</xdr:rowOff>
    </xdr:to>
    <xdr:sp macro="" textlink="">
      <xdr:nvSpPr>
        <xdr:cNvPr id="2410" name="Freeform 10707">
          <a:extLst>
            <a:ext uri="{FF2B5EF4-FFF2-40B4-BE49-F238E27FC236}">
              <a16:creationId xmlns:a16="http://schemas.microsoft.com/office/drawing/2014/main" id="{6D990A7F-2B6B-465E-8317-2A22DE8E4C34}"/>
            </a:ext>
          </a:extLst>
        </xdr:cNvPr>
        <xdr:cNvSpPr>
          <a:spLocks/>
        </xdr:cNvSpPr>
      </xdr:nvSpPr>
      <xdr:spPr bwMode="auto">
        <a:xfrm>
          <a:off x="109795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124</xdr:row>
      <xdr:rowOff>173181</xdr:rowOff>
    </xdr:from>
    <xdr:to>
      <xdr:col>17</xdr:col>
      <xdr:colOff>294410</xdr:colOff>
      <xdr:row>125</xdr:row>
      <xdr:rowOff>121226</xdr:rowOff>
    </xdr:to>
    <xdr:sp macro="" textlink="">
      <xdr:nvSpPr>
        <xdr:cNvPr id="2411" name="Freeform 10707">
          <a:extLst>
            <a:ext uri="{FF2B5EF4-FFF2-40B4-BE49-F238E27FC236}">
              <a16:creationId xmlns:a16="http://schemas.microsoft.com/office/drawing/2014/main" id="{CD02A951-BFF0-463A-8799-6E340B9F0399}"/>
            </a:ext>
          </a:extLst>
        </xdr:cNvPr>
        <xdr:cNvSpPr>
          <a:spLocks/>
        </xdr:cNvSpPr>
      </xdr:nvSpPr>
      <xdr:spPr bwMode="auto">
        <a:xfrm>
          <a:off x="120158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124</xdr:row>
      <xdr:rowOff>173181</xdr:rowOff>
    </xdr:from>
    <xdr:to>
      <xdr:col>19</xdr:col>
      <xdr:colOff>294410</xdr:colOff>
      <xdr:row>125</xdr:row>
      <xdr:rowOff>121226</xdr:rowOff>
    </xdr:to>
    <xdr:sp macro="" textlink="">
      <xdr:nvSpPr>
        <xdr:cNvPr id="2412" name="Freeform 10707">
          <a:extLst>
            <a:ext uri="{FF2B5EF4-FFF2-40B4-BE49-F238E27FC236}">
              <a16:creationId xmlns:a16="http://schemas.microsoft.com/office/drawing/2014/main" id="{462CC0C9-F90C-4881-89BE-BD592CD38219}"/>
            </a:ext>
          </a:extLst>
        </xdr:cNvPr>
        <xdr:cNvSpPr>
          <a:spLocks/>
        </xdr:cNvSpPr>
      </xdr:nvSpPr>
      <xdr:spPr bwMode="auto">
        <a:xfrm>
          <a:off x="130521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124</xdr:row>
      <xdr:rowOff>173181</xdr:rowOff>
    </xdr:from>
    <xdr:to>
      <xdr:col>21</xdr:col>
      <xdr:colOff>294410</xdr:colOff>
      <xdr:row>125</xdr:row>
      <xdr:rowOff>121226</xdr:rowOff>
    </xdr:to>
    <xdr:sp macro="" textlink="">
      <xdr:nvSpPr>
        <xdr:cNvPr id="2413" name="Freeform 10707">
          <a:extLst>
            <a:ext uri="{FF2B5EF4-FFF2-40B4-BE49-F238E27FC236}">
              <a16:creationId xmlns:a16="http://schemas.microsoft.com/office/drawing/2014/main" id="{651EA0C5-B302-4665-A869-706EAD1B7CE9}"/>
            </a:ext>
          </a:extLst>
        </xdr:cNvPr>
        <xdr:cNvSpPr>
          <a:spLocks/>
        </xdr:cNvSpPr>
      </xdr:nvSpPr>
      <xdr:spPr bwMode="auto">
        <a:xfrm>
          <a:off x="140884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124</xdr:row>
      <xdr:rowOff>173181</xdr:rowOff>
    </xdr:from>
    <xdr:to>
      <xdr:col>23</xdr:col>
      <xdr:colOff>294410</xdr:colOff>
      <xdr:row>125</xdr:row>
      <xdr:rowOff>121226</xdr:rowOff>
    </xdr:to>
    <xdr:sp macro="" textlink="">
      <xdr:nvSpPr>
        <xdr:cNvPr id="2414" name="Freeform 10707">
          <a:extLst>
            <a:ext uri="{FF2B5EF4-FFF2-40B4-BE49-F238E27FC236}">
              <a16:creationId xmlns:a16="http://schemas.microsoft.com/office/drawing/2014/main" id="{C8BAA369-270B-409A-B6DB-4D2F7553E6D7}"/>
            </a:ext>
          </a:extLst>
        </xdr:cNvPr>
        <xdr:cNvSpPr>
          <a:spLocks/>
        </xdr:cNvSpPr>
      </xdr:nvSpPr>
      <xdr:spPr bwMode="auto">
        <a:xfrm>
          <a:off x="151247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124</xdr:row>
      <xdr:rowOff>173181</xdr:rowOff>
    </xdr:from>
    <xdr:to>
      <xdr:col>25</xdr:col>
      <xdr:colOff>294410</xdr:colOff>
      <xdr:row>125</xdr:row>
      <xdr:rowOff>121226</xdr:rowOff>
    </xdr:to>
    <xdr:sp macro="" textlink="">
      <xdr:nvSpPr>
        <xdr:cNvPr id="2415" name="Freeform 10707">
          <a:extLst>
            <a:ext uri="{FF2B5EF4-FFF2-40B4-BE49-F238E27FC236}">
              <a16:creationId xmlns:a16="http://schemas.microsoft.com/office/drawing/2014/main" id="{081882F2-15BA-4C90-80BD-8F83E13DCC99}"/>
            </a:ext>
          </a:extLst>
        </xdr:cNvPr>
        <xdr:cNvSpPr>
          <a:spLocks/>
        </xdr:cNvSpPr>
      </xdr:nvSpPr>
      <xdr:spPr bwMode="auto">
        <a:xfrm>
          <a:off x="6086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124</xdr:row>
      <xdr:rowOff>173181</xdr:rowOff>
    </xdr:from>
    <xdr:to>
      <xdr:col>27</xdr:col>
      <xdr:colOff>294410</xdr:colOff>
      <xdr:row>125</xdr:row>
      <xdr:rowOff>121226</xdr:rowOff>
    </xdr:to>
    <xdr:sp macro="" textlink="">
      <xdr:nvSpPr>
        <xdr:cNvPr id="2416" name="Freeform 10707">
          <a:extLst>
            <a:ext uri="{FF2B5EF4-FFF2-40B4-BE49-F238E27FC236}">
              <a16:creationId xmlns:a16="http://schemas.microsoft.com/office/drawing/2014/main" id="{CADBFEDD-24FD-4CCA-852E-42A5ABDEC687}"/>
            </a:ext>
          </a:extLst>
        </xdr:cNvPr>
        <xdr:cNvSpPr>
          <a:spLocks/>
        </xdr:cNvSpPr>
      </xdr:nvSpPr>
      <xdr:spPr bwMode="auto">
        <a:xfrm>
          <a:off x="16450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124</xdr:row>
      <xdr:rowOff>173181</xdr:rowOff>
    </xdr:from>
    <xdr:to>
      <xdr:col>29</xdr:col>
      <xdr:colOff>294410</xdr:colOff>
      <xdr:row>125</xdr:row>
      <xdr:rowOff>121226</xdr:rowOff>
    </xdr:to>
    <xdr:sp macro="" textlink="">
      <xdr:nvSpPr>
        <xdr:cNvPr id="2417" name="Freeform 10707">
          <a:extLst>
            <a:ext uri="{FF2B5EF4-FFF2-40B4-BE49-F238E27FC236}">
              <a16:creationId xmlns:a16="http://schemas.microsoft.com/office/drawing/2014/main" id="{7BDC27EF-DFEB-4E50-B80B-229595806B01}"/>
            </a:ext>
          </a:extLst>
        </xdr:cNvPr>
        <xdr:cNvSpPr>
          <a:spLocks/>
        </xdr:cNvSpPr>
      </xdr:nvSpPr>
      <xdr:spPr bwMode="auto">
        <a:xfrm>
          <a:off x="26813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124</xdr:row>
      <xdr:rowOff>173181</xdr:rowOff>
    </xdr:from>
    <xdr:to>
      <xdr:col>31</xdr:col>
      <xdr:colOff>294410</xdr:colOff>
      <xdr:row>125</xdr:row>
      <xdr:rowOff>121226</xdr:rowOff>
    </xdr:to>
    <xdr:sp macro="" textlink="">
      <xdr:nvSpPr>
        <xdr:cNvPr id="2418" name="Freeform 10707">
          <a:extLst>
            <a:ext uri="{FF2B5EF4-FFF2-40B4-BE49-F238E27FC236}">
              <a16:creationId xmlns:a16="http://schemas.microsoft.com/office/drawing/2014/main" id="{8B2BA10A-C11D-466D-859D-06C840AD2D6E}"/>
            </a:ext>
          </a:extLst>
        </xdr:cNvPr>
        <xdr:cNvSpPr>
          <a:spLocks/>
        </xdr:cNvSpPr>
      </xdr:nvSpPr>
      <xdr:spPr bwMode="auto">
        <a:xfrm>
          <a:off x="37176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137</xdr:row>
      <xdr:rowOff>173181</xdr:rowOff>
    </xdr:from>
    <xdr:to>
      <xdr:col>3</xdr:col>
      <xdr:colOff>294410</xdr:colOff>
      <xdr:row>138</xdr:row>
      <xdr:rowOff>121226</xdr:rowOff>
    </xdr:to>
    <xdr:sp macro="" textlink="">
      <xdr:nvSpPr>
        <xdr:cNvPr id="2419" name="Freeform 10707">
          <a:extLst>
            <a:ext uri="{FF2B5EF4-FFF2-40B4-BE49-F238E27FC236}">
              <a16:creationId xmlns:a16="http://schemas.microsoft.com/office/drawing/2014/main" id="{A2C850AB-99E6-497D-A7D3-F69DEE8D84A9}"/>
            </a:ext>
          </a:extLst>
        </xdr:cNvPr>
        <xdr:cNvSpPr>
          <a:spLocks/>
        </xdr:cNvSpPr>
      </xdr:nvSpPr>
      <xdr:spPr bwMode="auto">
        <a:xfrm>
          <a:off x="47539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137</xdr:row>
      <xdr:rowOff>173181</xdr:rowOff>
    </xdr:from>
    <xdr:to>
      <xdr:col>5</xdr:col>
      <xdr:colOff>294410</xdr:colOff>
      <xdr:row>138</xdr:row>
      <xdr:rowOff>121226</xdr:rowOff>
    </xdr:to>
    <xdr:sp macro="" textlink="">
      <xdr:nvSpPr>
        <xdr:cNvPr id="2420" name="Freeform 10707">
          <a:extLst>
            <a:ext uri="{FF2B5EF4-FFF2-40B4-BE49-F238E27FC236}">
              <a16:creationId xmlns:a16="http://schemas.microsoft.com/office/drawing/2014/main" id="{44F872DA-10B0-4DAF-8C4E-A004AEF07123}"/>
            </a:ext>
          </a:extLst>
        </xdr:cNvPr>
        <xdr:cNvSpPr>
          <a:spLocks/>
        </xdr:cNvSpPr>
      </xdr:nvSpPr>
      <xdr:spPr bwMode="auto">
        <a:xfrm>
          <a:off x="57902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355600</xdr:colOff>
      <xdr:row>138</xdr:row>
      <xdr:rowOff>38100</xdr:rowOff>
    </xdr:from>
    <xdr:to>
      <xdr:col>7</xdr:col>
      <xdr:colOff>294410</xdr:colOff>
      <xdr:row>138</xdr:row>
      <xdr:rowOff>121226</xdr:rowOff>
    </xdr:to>
    <xdr:sp macro="" textlink="">
      <xdr:nvSpPr>
        <xdr:cNvPr id="2421" name="Freeform 10707">
          <a:extLst>
            <a:ext uri="{FF2B5EF4-FFF2-40B4-BE49-F238E27FC236}">
              <a16:creationId xmlns:a16="http://schemas.microsoft.com/office/drawing/2014/main" id="{C7AA45DF-39D3-433D-8B0F-487A86CEE530}"/>
            </a:ext>
          </a:extLst>
        </xdr:cNvPr>
        <xdr:cNvSpPr>
          <a:spLocks/>
        </xdr:cNvSpPr>
      </xdr:nvSpPr>
      <xdr:spPr bwMode="auto">
        <a:xfrm>
          <a:off x="2730500" y="25171400"/>
          <a:ext cx="967510" cy="8312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137</xdr:row>
      <xdr:rowOff>173181</xdr:rowOff>
    </xdr:from>
    <xdr:to>
      <xdr:col>9</xdr:col>
      <xdr:colOff>294410</xdr:colOff>
      <xdr:row>138</xdr:row>
      <xdr:rowOff>121226</xdr:rowOff>
    </xdr:to>
    <xdr:sp macro="" textlink="">
      <xdr:nvSpPr>
        <xdr:cNvPr id="2422" name="Freeform 10707">
          <a:extLst>
            <a:ext uri="{FF2B5EF4-FFF2-40B4-BE49-F238E27FC236}">
              <a16:creationId xmlns:a16="http://schemas.microsoft.com/office/drawing/2014/main" id="{A45DAE40-8FB7-4E3F-8CAC-FF824C36D185}"/>
            </a:ext>
          </a:extLst>
        </xdr:cNvPr>
        <xdr:cNvSpPr>
          <a:spLocks/>
        </xdr:cNvSpPr>
      </xdr:nvSpPr>
      <xdr:spPr bwMode="auto">
        <a:xfrm>
          <a:off x="78629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137</xdr:row>
      <xdr:rowOff>173181</xdr:rowOff>
    </xdr:from>
    <xdr:to>
      <xdr:col>11</xdr:col>
      <xdr:colOff>294410</xdr:colOff>
      <xdr:row>138</xdr:row>
      <xdr:rowOff>121226</xdr:rowOff>
    </xdr:to>
    <xdr:sp macro="" textlink="">
      <xdr:nvSpPr>
        <xdr:cNvPr id="2423" name="Freeform 10707">
          <a:extLst>
            <a:ext uri="{FF2B5EF4-FFF2-40B4-BE49-F238E27FC236}">
              <a16:creationId xmlns:a16="http://schemas.microsoft.com/office/drawing/2014/main" id="{A771067A-ACAE-4361-9F9F-8A733BBC1099}"/>
            </a:ext>
          </a:extLst>
        </xdr:cNvPr>
        <xdr:cNvSpPr>
          <a:spLocks/>
        </xdr:cNvSpPr>
      </xdr:nvSpPr>
      <xdr:spPr bwMode="auto">
        <a:xfrm>
          <a:off x="8899240" y="209376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137</xdr:row>
      <xdr:rowOff>173181</xdr:rowOff>
    </xdr:from>
    <xdr:to>
      <xdr:col>13</xdr:col>
      <xdr:colOff>294410</xdr:colOff>
      <xdr:row>138</xdr:row>
      <xdr:rowOff>121226</xdr:rowOff>
    </xdr:to>
    <xdr:sp macro="" textlink="">
      <xdr:nvSpPr>
        <xdr:cNvPr id="2424" name="Freeform 10707">
          <a:extLst>
            <a:ext uri="{FF2B5EF4-FFF2-40B4-BE49-F238E27FC236}">
              <a16:creationId xmlns:a16="http://schemas.microsoft.com/office/drawing/2014/main" id="{2A612794-E83E-4FB0-B95E-FD60F69A2BBF}"/>
            </a:ext>
          </a:extLst>
        </xdr:cNvPr>
        <xdr:cNvSpPr>
          <a:spLocks/>
        </xdr:cNvSpPr>
      </xdr:nvSpPr>
      <xdr:spPr bwMode="auto">
        <a:xfrm>
          <a:off x="99431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137</xdr:row>
      <xdr:rowOff>173181</xdr:rowOff>
    </xdr:from>
    <xdr:to>
      <xdr:col>15</xdr:col>
      <xdr:colOff>294410</xdr:colOff>
      <xdr:row>138</xdr:row>
      <xdr:rowOff>121226</xdr:rowOff>
    </xdr:to>
    <xdr:sp macro="" textlink="">
      <xdr:nvSpPr>
        <xdr:cNvPr id="2425" name="Freeform 10707">
          <a:extLst>
            <a:ext uri="{FF2B5EF4-FFF2-40B4-BE49-F238E27FC236}">
              <a16:creationId xmlns:a16="http://schemas.microsoft.com/office/drawing/2014/main" id="{98DB084A-031A-4EDC-835C-147320ABC240}"/>
            </a:ext>
          </a:extLst>
        </xdr:cNvPr>
        <xdr:cNvSpPr>
          <a:spLocks/>
        </xdr:cNvSpPr>
      </xdr:nvSpPr>
      <xdr:spPr bwMode="auto">
        <a:xfrm>
          <a:off x="109795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137</xdr:row>
      <xdr:rowOff>173181</xdr:rowOff>
    </xdr:from>
    <xdr:to>
      <xdr:col>17</xdr:col>
      <xdr:colOff>294410</xdr:colOff>
      <xdr:row>138</xdr:row>
      <xdr:rowOff>121226</xdr:rowOff>
    </xdr:to>
    <xdr:sp macro="" textlink="">
      <xdr:nvSpPr>
        <xdr:cNvPr id="2426" name="Freeform 10707">
          <a:extLst>
            <a:ext uri="{FF2B5EF4-FFF2-40B4-BE49-F238E27FC236}">
              <a16:creationId xmlns:a16="http://schemas.microsoft.com/office/drawing/2014/main" id="{A4D25AC7-B85A-4928-9628-07F8848C15CF}"/>
            </a:ext>
          </a:extLst>
        </xdr:cNvPr>
        <xdr:cNvSpPr>
          <a:spLocks/>
        </xdr:cNvSpPr>
      </xdr:nvSpPr>
      <xdr:spPr bwMode="auto">
        <a:xfrm>
          <a:off x="120158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137</xdr:row>
      <xdr:rowOff>173181</xdr:rowOff>
    </xdr:from>
    <xdr:to>
      <xdr:col>19</xdr:col>
      <xdr:colOff>294410</xdr:colOff>
      <xdr:row>138</xdr:row>
      <xdr:rowOff>121226</xdr:rowOff>
    </xdr:to>
    <xdr:sp macro="" textlink="">
      <xdr:nvSpPr>
        <xdr:cNvPr id="2427" name="Freeform 10707">
          <a:extLst>
            <a:ext uri="{FF2B5EF4-FFF2-40B4-BE49-F238E27FC236}">
              <a16:creationId xmlns:a16="http://schemas.microsoft.com/office/drawing/2014/main" id="{C73CD952-4143-41D5-9B00-C3370BE1E9C8}"/>
            </a:ext>
          </a:extLst>
        </xdr:cNvPr>
        <xdr:cNvSpPr>
          <a:spLocks/>
        </xdr:cNvSpPr>
      </xdr:nvSpPr>
      <xdr:spPr bwMode="auto">
        <a:xfrm>
          <a:off x="130521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137</xdr:row>
      <xdr:rowOff>173181</xdr:rowOff>
    </xdr:from>
    <xdr:to>
      <xdr:col>21</xdr:col>
      <xdr:colOff>294410</xdr:colOff>
      <xdr:row>138</xdr:row>
      <xdr:rowOff>121226</xdr:rowOff>
    </xdr:to>
    <xdr:sp macro="" textlink="">
      <xdr:nvSpPr>
        <xdr:cNvPr id="2428" name="Freeform 10707">
          <a:extLst>
            <a:ext uri="{FF2B5EF4-FFF2-40B4-BE49-F238E27FC236}">
              <a16:creationId xmlns:a16="http://schemas.microsoft.com/office/drawing/2014/main" id="{6B49888E-549C-45EC-AC07-ED5702ABB646}"/>
            </a:ext>
          </a:extLst>
        </xdr:cNvPr>
        <xdr:cNvSpPr>
          <a:spLocks/>
        </xdr:cNvSpPr>
      </xdr:nvSpPr>
      <xdr:spPr bwMode="auto">
        <a:xfrm>
          <a:off x="140884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137</xdr:row>
      <xdr:rowOff>173181</xdr:rowOff>
    </xdr:from>
    <xdr:to>
      <xdr:col>23</xdr:col>
      <xdr:colOff>294410</xdr:colOff>
      <xdr:row>138</xdr:row>
      <xdr:rowOff>121226</xdr:rowOff>
    </xdr:to>
    <xdr:sp macro="" textlink="">
      <xdr:nvSpPr>
        <xdr:cNvPr id="2429" name="Freeform 10707">
          <a:extLst>
            <a:ext uri="{FF2B5EF4-FFF2-40B4-BE49-F238E27FC236}">
              <a16:creationId xmlns:a16="http://schemas.microsoft.com/office/drawing/2014/main" id="{D2DFEC7C-D464-4E78-A234-8F879EDDE9BC}"/>
            </a:ext>
          </a:extLst>
        </xdr:cNvPr>
        <xdr:cNvSpPr>
          <a:spLocks/>
        </xdr:cNvSpPr>
      </xdr:nvSpPr>
      <xdr:spPr bwMode="auto">
        <a:xfrm>
          <a:off x="151247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137</xdr:row>
      <xdr:rowOff>173181</xdr:rowOff>
    </xdr:from>
    <xdr:to>
      <xdr:col>25</xdr:col>
      <xdr:colOff>294410</xdr:colOff>
      <xdr:row>138</xdr:row>
      <xdr:rowOff>121226</xdr:rowOff>
    </xdr:to>
    <xdr:sp macro="" textlink="">
      <xdr:nvSpPr>
        <xdr:cNvPr id="2430" name="Freeform 10707">
          <a:extLst>
            <a:ext uri="{FF2B5EF4-FFF2-40B4-BE49-F238E27FC236}">
              <a16:creationId xmlns:a16="http://schemas.microsoft.com/office/drawing/2014/main" id="{A1A5C5CE-AF15-4171-8D54-2F801DE4DACE}"/>
            </a:ext>
          </a:extLst>
        </xdr:cNvPr>
        <xdr:cNvSpPr>
          <a:spLocks/>
        </xdr:cNvSpPr>
      </xdr:nvSpPr>
      <xdr:spPr bwMode="auto">
        <a:xfrm>
          <a:off x="60868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137</xdr:row>
      <xdr:rowOff>173181</xdr:rowOff>
    </xdr:from>
    <xdr:to>
      <xdr:col>27</xdr:col>
      <xdr:colOff>0</xdr:colOff>
      <xdr:row>138</xdr:row>
      <xdr:rowOff>121226</xdr:rowOff>
    </xdr:to>
    <xdr:sp macro="" textlink="">
      <xdr:nvSpPr>
        <xdr:cNvPr id="2431" name="Freeform 10707">
          <a:extLst>
            <a:ext uri="{FF2B5EF4-FFF2-40B4-BE49-F238E27FC236}">
              <a16:creationId xmlns:a16="http://schemas.microsoft.com/office/drawing/2014/main" id="{5F66DABD-FFAD-4012-8ACE-F2E2DD846CF9}"/>
            </a:ext>
          </a:extLst>
        </xdr:cNvPr>
        <xdr:cNvSpPr>
          <a:spLocks/>
        </xdr:cNvSpPr>
      </xdr:nvSpPr>
      <xdr:spPr bwMode="auto">
        <a:xfrm>
          <a:off x="164500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2</xdr:col>
      <xdr:colOff>21771</xdr:colOff>
      <xdr:row>92</xdr:row>
      <xdr:rowOff>152979</xdr:rowOff>
    </xdr:from>
    <xdr:to>
      <xdr:col>2</xdr:col>
      <xdr:colOff>404535</xdr:colOff>
      <xdr:row>95</xdr:row>
      <xdr:rowOff>14609</xdr:rowOff>
    </xdr:to>
    <xdr:pic>
      <xdr:nvPicPr>
        <xdr:cNvPr id="2647" name="Picture 2646" descr="Gas pipeline line icon concept. Gas ...">
          <a:extLst>
            <a:ext uri="{FF2B5EF4-FFF2-40B4-BE49-F238E27FC236}">
              <a16:creationId xmlns:a16="http://schemas.microsoft.com/office/drawing/2014/main" id="{C38D5925-31D9-45E8-B877-64BC146EF0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5066211" y="13320339"/>
          <a:ext cx="382764" cy="273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22</xdr:col>
      <xdr:colOff>185057</xdr:colOff>
      <xdr:row>62</xdr:row>
      <xdr:rowOff>50578</xdr:rowOff>
    </xdr:from>
    <xdr:ext cx="108857" cy="344130"/>
    <xdr:pic>
      <xdr:nvPicPr>
        <xdr:cNvPr id="2648" name="Picture 11595">
          <a:extLst>
            <a:ext uri="{FF2B5EF4-FFF2-40B4-BE49-F238E27FC236}">
              <a16:creationId xmlns:a16="http://schemas.microsoft.com/office/drawing/2014/main" id="{C33A4479-11E3-44CD-879A-D55AA95D3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0317" y="7632478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37894</xdr:colOff>
      <xdr:row>70</xdr:row>
      <xdr:rowOff>157967</xdr:rowOff>
    </xdr:from>
    <xdr:ext cx="382764" cy="287082"/>
    <xdr:pic>
      <xdr:nvPicPr>
        <xdr:cNvPr id="2650" name="Picture 2649" descr="Gas pipeline line icon concept. Gas ...">
          <a:extLst>
            <a:ext uri="{FF2B5EF4-FFF2-40B4-BE49-F238E27FC236}">
              <a16:creationId xmlns:a16="http://schemas.microsoft.com/office/drawing/2014/main" id="{15CB4D49-08BF-4D8F-8421-DD349B8BEE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850915" y="13347446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102</xdr:col>
      <xdr:colOff>0</xdr:colOff>
      <xdr:row>97</xdr:row>
      <xdr:rowOff>157967</xdr:rowOff>
    </xdr:from>
    <xdr:ext cx="382764" cy="287082"/>
    <xdr:pic>
      <xdr:nvPicPr>
        <xdr:cNvPr id="2652" name="Picture 2651" descr="Gas pipeline line icon concept. Gas ...">
          <a:extLst>
            <a:ext uri="{FF2B5EF4-FFF2-40B4-BE49-F238E27FC236}">
              <a16:creationId xmlns:a16="http://schemas.microsoft.com/office/drawing/2014/main" id="{EAF96DDF-A040-46FF-B0C0-9E4CA2B5E6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884591" y="1416352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38</xdr:col>
      <xdr:colOff>48991</xdr:colOff>
      <xdr:row>129</xdr:row>
      <xdr:rowOff>59871</xdr:rowOff>
    </xdr:from>
    <xdr:to>
      <xdr:col>38</xdr:col>
      <xdr:colOff>106141</xdr:colOff>
      <xdr:row>132</xdr:row>
      <xdr:rowOff>4535</xdr:rowOff>
    </xdr:to>
    <xdr:sp macro="" textlink="">
      <xdr:nvSpPr>
        <xdr:cNvPr id="2653" name="Rectangle 11590" descr="Light horizontal">
          <a:extLst>
            <a:ext uri="{FF2B5EF4-FFF2-40B4-BE49-F238E27FC236}">
              <a16:creationId xmlns:a16="http://schemas.microsoft.com/office/drawing/2014/main" id="{80B25A2B-E23D-40BE-8B20-C312E7231FBC}"/>
            </a:ext>
          </a:extLst>
        </xdr:cNvPr>
        <xdr:cNvSpPr>
          <a:spLocks noChangeArrowheads="1"/>
        </xdr:cNvSpPr>
      </xdr:nvSpPr>
      <xdr:spPr bwMode="auto">
        <a:xfrm>
          <a:off x="16291560" y="19475631"/>
          <a:ext cx="0" cy="455204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177800</xdr:colOff>
      <xdr:row>126</xdr:row>
      <xdr:rowOff>36284</xdr:rowOff>
    </xdr:from>
    <xdr:to>
      <xdr:col>26</xdr:col>
      <xdr:colOff>234950</xdr:colOff>
      <xdr:row>128</xdr:row>
      <xdr:rowOff>155120</xdr:rowOff>
    </xdr:to>
    <xdr:sp macro="" textlink="">
      <xdr:nvSpPr>
        <xdr:cNvPr id="2655" name="Rectangle 11590" descr="Light horizontal">
          <a:extLst>
            <a:ext uri="{FF2B5EF4-FFF2-40B4-BE49-F238E27FC236}">
              <a16:creationId xmlns:a16="http://schemas.microsoft.com/office/drawing/2014/main" id="{1618ABC9-D2C7-496C-AEF7-DDD7FED6B6CA}"/>
            </a:ext>
          </a:extLst>
        </xdr:cNvPr>
        <xdr:cNvSpPr>
          <a:spLocks noChangeArrowheads="1"/>
        </xdr:cNvSpPr>
      </xdr:nvSpPr>
      <xdr:spPr bwMode="auto">
        <a:xfrm>
          <a:off x="2113280" y="21143684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256136</xdr:colOff>
      <xdr:row>46</xdr:row>
      <xdr:rowOff>157523</xdr:rowOff>
    </xdr:from>
    <xdr:to>
      <xdr:col>45</xdr:col>
      <xdr:colOff>330414</xdr:colOff>
      <xdr:row>49</xdr:row>
      <xdr:rowOff>59552</xdr:rowOff>
    </xdr:to>
    <xdr:sp macro="" textlink="">
      <xdr:nvSpPr>
        <xdr:cNvPr id="2656" name="Arrow: Curved Down 2655">
          <a:extLst>
            <a:ext uri="{FF2B5EF4-FFF2-40B4-BE49-F238E27FC236}">
              <a16:creationId xmlns:a16="http://schemas.microsoft.com/office/drawing/2014/main" id="{491BAB55-3F29-4D43-A96C-16E39FFF140C}"/>
            </a:ext>
          </a:extLst>
        </xdr:cNvPr>
        <xdr:cNvSpPr/>
      </xdr:nvSpPr>
      <xdr:spPr>
        <a:xfrm>
          <a:off x="16291560" y="5026703"/>
          <a:ext cx="0" cy="38970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430306</xdr:colOff>
      <xdr:row>45</xdr:row>
      <xdr:rowOff>7055</xdr:rowOff>
    </xdr:from>
    <xdr:to>
      <xdr:col>14</xdr:col>
      <xdr:colOff>22498</xdr:colOff>
      <xdr:row>48</xdr:row>
      <xdr:rowOff>0</xdr:rowOff>
    </xdr:to>
    <xdr:sp macro="" textlink="">
      <xdr:nvSpPr>
        <xdr:cNvPr id="2660" name="Isosceles Triangle 2659">
          <a:extLst>
            <a:ext uri="{FF2B5EF4-FFF2-40B4-BE49-F238E27FC236}">
              <a16:creationId xmlns:a16="http://schemas.microsoft.com/office/drawing/2014/main" id="{6C5FD8CC-5B3A-420C-A0B9-5D1383606AA1}"/>
            </a:ext>
          </a:extLst>
        </xdr:cNvPr>
        <xdr:cNvSpPr/>
      </xdr:nvSpPr>
      <xdr:spPr>
        <a:xfrm>
          <a:off x="10663966" y="4708595"/>
          <a:ext cx="628512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44</xdr:row>
      <xdr:rowOff>173181</xdr:rowOff>
    </xdr:from>
    <xdr:to>
      <xdr:col>15</xdr:col>
      <xdr:colOff>294410</xdr:colOff>
      <xdr:row>45</xdr:row>
      <xdr:rowOff>121226</xdr:rowOff>
    </xdr:to>
    <xdr:sp macro="" textlink="">
      <xdr:nvSpPr>
        <xdr:cNvPr id="2661" name="Freeform 10707">
          <a:extLst>
            <a:ext uri="{FF2B5EF4-FFF2-40B4-BE49-F238E27FC236}">
              <a16:creationId xmlns:a16="http://schemas.microsoft.com/office/drawing/2014/main" id="{90E82D94-1903-48C3-A65F-8C41559981E8}"/>
            </a:ext>
          </a:extLst>
        </xdr:cNvPr>
        <xdr:cNvSpPr>
          <a:spLocks/>
        </xdr:cNvSpPr>
      </xdr:nvSpPr>
      <xdr:spPr bwMode="auto">
        <a:xfrm>
          <a:off x="109795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32</xdr:col>
      <xdr:colOff>0</xdr:colOff>
      <xdr:row>13</xdr:row>
      <xdr:rowOff>3806</xdr:rowOff>
    </xdr:from>
    <xdr:to>
      <xdr:col>32</xdr:col>
      <xdr:colOff>0</xdr:colOff>
      <xdr:row>14</xdr:row>
      <xdr:rowOff>74612</xdr:rowOff>
    </xdr:to>
    <xdr:grpSp>
      <xdr:nvGrpSpPr>
        <xdr:cNvPr id="2662" name="Group 2661">
          <a:extLst>
            <a:ext uri="{FF2B5EF4-FFF2-40B4-BE49-F238E27FC236}">
              <a16:creationId xmlns:a16="http://schemas.microsoft.com/office/drawing/2014/main" id="{EC7CA138-7854-4C92-9397-1025C1C6D48D}"/>
            </a:ext>
          </a:extLst>
        </xdr:cNvPr>
        <xdr:cNvGrpSpPr/>
      </xdr:nvGrpSpPr>
      <xdr:grpSpPr>
        <a:xfrm>
          <a:off x="17166167" y="2850723"/>
          <a:ext cx="0" cy="293056"/>
          <a:chOff x="6143939" y="789134"/>
          <a:chExt cx="457200" cy="518966"/>
        </a:xfrm>
      </xdr:grpSpPr>
      <xdr:grpSp>
        <xdr:nvGrpSpPr>
          <xdr:cNvPr id="2663" name="Group 2662">
            <a:extLst>
              <a:ext uri="{FF2B5EF4-FFF2-40B4-BE49-F238E27FC236}">
                <a16:creationId xmlns:a16="http://schemas.microsoft.com/office/drawing/2014/main" id="{8AF4054E-A5DE-57C9-9F04-7B7013984CB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65" name="Straight Connector 2664">
              <a:extLst>
                <a:ext uri="{FF2B5EF4-FFF2-40B4-BE49-F238E27FC236}">
                  <a16:creationId xmlns:a16="http://schemas.microsoft.com/office/drawing/2014/main" id="{22B39C30-7996-CA5B-D5EF-5A19F1D9333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6" name="Straight Connector 2665">
              <a:extLst>
                <a:ext uri="{FF2B5EF4-FFF2-40B4-BE49-F238E27FC236}">
                  <a16:creationId xmlns:a16="http://schemas.microsoft.com/office/drawing/2014/main" id="{D70502C1-F052-923A-C1A3-4ACB2763A1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7" name="Straight Connector 2666">
              <a:extLst>
                <a:ext uri="{FF2B5EF4-FFF2-40B4-BE49-F238E27FC236}">
                  <a16:creationId xmlns:a16="http://schemas.microsoft.com/office/drawing/2014/main" id="{DEB27513-9CF9-0148-3958-534D59C99F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8" name="Straight Connector 2667">
              <a:extLst>
                <a:ext uri="{FF2B5EF4-FFF2-40B4-BE49-F238E27FC236}">
                  <a16:creationId xmlns:a16="http://schemas.microsoft.com/office/drawing/2014/main" id="{8469553C-B2FC-7556-54F3-0AFFABCA779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9" name="Straight Connector 2668">
              <a:extLst>
                <a:ext uri="{FF2B5EF4-FFF2-40B4-BE49-F238E27FC236}">
                  <a16:creationId xmlns:a16="http://schemas.microsoft.com/office/drawing/2014/main" id="{02F2586F-F16F-DADC-D09B-8AA923D32C9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70" name="Straight Connector 2669">
              <a:extLst>
                <a:ext uri="{FF2B5EF4-FFF2-40B4-BE49-F238E27FC236}">
                  <a16:creationId xmlns:a16="http://schemas.microsoft.com/office/drawing/2014/main" id="{22B2BFAF-34CC-EC2F-2154-7AC91A3AF99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64" name="Straight Connector 2663">
            <a:extLst>
              <a:ext uri="{FF2B5EF4-FFF2-40B4-BE49-F238E27FC236}">
                <a16:creationId xmlns:a16="http://schemas.microsoft.com/office/drawing/2014/main" id="{7779EBE2-A54A-DE93-E750-62A3996B9F3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420515</xdr:colOff>
      <xdr:row>45</xdr:row>
      <xdr:rowOff>4233</xdr:rowOff>
    </xdr:from>
    <xdr:to>
      <xdr:col>16</xdr:col>
      <xdr:colOff>46570</xdr:colOff>
      <xdr:row>47</xdr:row>
      <xdr:rowOff>173567</xdr:rowOff>
    </xdr:to>
    <xdr:sp macro="" textlink="">
      <xdr:nvSpPr>
        <xdr:cNvPr id="2671" name="Isosceles Triangle 2670">
          <a:extLst>
            <a:ext uri="{FF2B5EF4-FFF2-40B4-BE49-F238E27FC236}">
              <a16:creationId xmlns:a16="http://schemas.microsoft.com/office/drawing/2014/main" id="{A59A5A72-A548-4ECF-BC6D-A898CB26CDEC}"/>
            </a:ext>
          </a:extLst>
        </xdr:cNvPr>
        <xdr:cNvSpPr/>
      </xdr:nvSpPr>
      <xdr:spPr>
        <a:xfrm>
          <a:off x="1169049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45</xdr:row>
      <xdr:rowOff>13304</xdr:rowOff>
    </xdr:from>
    <xdr:to>
      <xdr:col>16</xdr:col>
      <xdr:colOff>46569</xdr:colOff>
      <xdr:row>48</xdr:row>
      <xdr:rowOff>1210</xdr:rowOff>
    </xdr:to>
    <xdr:sp macro="" textlink="">
      <xdr:nvSpPr>
        <xdr:cNvPr id="2672" name="Isosceles Triangle 2671">
          <a:extLst>
            <a:ext uri="{FF2B5EF4-FFF2-40B4-BE49-F238E27FC236}">
              <a16:creationId xmlns:a16="http://schemas.microsoft.com/office/drawing/2014/main" id="{8A882C54-D958-4E93-AA6B-1B1A174EBABC}"/>
            </a:ext>
          </a:extLst>
        </xdr:cNvPr>
        <xdr:cNvSpPr/>
      </xdr:nvSpPr>
      <xdr:spPr>
        <a:xfrm>
          <a:off x="11690495" y="47148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44</xdr:row>
      <xdr:rowOff>173181</xdr:rowOff>
    </xdr:from>
    <xdr:to>
      <xdr:col>17</xdr:col>
      <xdr:colOff>294410</xdr:colOff>
      <xdr:row>45</xdr:row>
      <xdr:rowOff>121226</xdr:rowOff>
    </xdr:to>
    <xdr:sp macro="" textlink="">
      <xdr:nvSpPr>
        <xdr:cNvPr id="2673" name="Freeform 10707">
          <a:extLst>
            <a:ext uri="{FF2B5EF4-FFF2-40B4-BE49-F238E27FC236}">
              <a16:creationId xmlns:a16="http://schemas.microsoft.com/office/drawing/2014/main" id="{A6BDCC0A-5AB2-4516-AF23-5D087406C478}"/>
            </a:ext>
          </a:extLst>
        </xdr:cNvPr>
        <xdr:cNvSpPr>
          <a:spLocks/>
        </xdr:cNvSpPr>
      </xdr:nvSpPr>
      <xdr:spPr bwMode="auto">
        <a:xfrm>
          <a:off x="120158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16</xdr:col>
      <xdr:colOff>417692</xdr:colOff>
      <xdr:row>45</xdr:row>
      <xdr:rowOff>6557</xdr:rowOff>
    </xdr:from>
    <xdr:to>
      <xdr:col>18</xdr:col>
      <xdr:colOff>43746</xdr:colOff>
      <xdr:row>47</xdr:row>
      <xdr:rowOff>169831</xdr:rowOff>
    </xdr:to>
    <xdr:sp macro="" textlink="">
      <xdr:nvSpPr>
        <xdr:cNvPr id="2674" name="Isosceles Triangle 2673">
          <a:extLst>
            <a:ext uri="{FF2B5EF4-FFF2-40B4-BE49-F238E27FC236}">
              <a16:creationId xmlns:a16="http://schemas.microsoft.com/office/drawing/2014/main" id="{65E5BDE4-F6D8-44C3-8106-06BFC15FA5F5}"/>
            </a:ext>
          </a:extLst>
        </xdr:cNvPr>
        <xdr:cNvSpPr/>
      </xdr:nvSpPr>
      <xdr:spPr>
        <a:xfrm>
          <a:off x="12723992" y="4708097"/>
          <a:ext cx="66237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288640</xdr:colOff>
      <xdr:row>44</xdr:row>
      <xdr:rowOff>173181</xdr:rowOff>
    </xdr:from>
    <xdr:to>
      <xdr:col>19</xdr:col>
      <xdr:colOff>294410</xdr:colOff>
      <xdr:row>45</xdr:row>
      <xdr:rowOff>121226</xdr:rowOff>
    </xdr:to>
    <xdr:sp macro="" textlink="">
      <xdr:nvSpPr>
        <xdr:cNvPr id="2675" name="Freeform 10707">
          <a:extLst>
            <a:ext uri="{FF2B5EF4-FFF2-40B4-BE49-F238E27FC236}">
              <a16:creationId xmlns:a16="http://schemas.microsoft.com/office/drawing/2014/main" id="{62DBB31B-0E22-419D-A777-4F5FCE76E2C3}"/>
            </a:ext>
          </a:extLst>
        </xdr:cNvPr>
        <xdr:cNvSpPr>
          <a:spLocks/>
        </xdr:cNvSpPr>
      </xdr:nvSpPr>
      <xdr:spPr bwMode="auto">
        <a:xfrm>
          <a:off x="130521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18</xdr:col>
      <xdr:colOff>420515</xdr:colOff>
      <xdr:row>45</xdr:row>
      <xdr:rowOff>13304</xdr:rowOff>
    </xdr:from>
    <xdr:to>
      <xdr:col>20</xdr:col>
      <xdr:colOff>46570</xdr:colOff>
      <xdr:row>48</xdr:row>
      <xdr:rowOff>1210</xdr:rowOff>
    </xdr:to>
    <xdr:sp macro="" textlink="">
      <xdr:nvSpPr>
        <xdr:cNvPr id="2676" name="Isosceles Triangle 2675">
          <a:extLst>
            <a:ext uri="{FF2B5EF4-FFF2-40B4-BE49-F238E27FC236}">
              <a16:creationId xmlns:a16="http://schemas.microsoft.com/office/drawing/2014/main" id="{4EBB3C2A-D348-48FA-88C5-B6021AB744A0}"/>
            </a:ext>
          </a:extLst>
        </xdr:cNvPr>
        <xdr:cNvSpPr/>
      </xdr:nvSpPr>
      <xdr:spPr>
        <a:xfrm>
          <a:off x="13763135" y="471484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288640</xdr:colOff>
      <xdr:row>44</xdr:row>
      <xdr:rowOff>173181</xdr:rowOff>
    </xdr:from>
    <xdr:to>
      <xdr:col>21</xdr:col>
      <xdr:colOff>294410</xdr:colOff>
      <xdr:row>45</xdr:row>
      <xdr:rowOff>121226</xdr:rowOff>
    </xdr:to>
    <xdr:sp macro="" textlink="">
      <xdr:nvSpPr>
        <xdr:cNvPr id="2677" name="Freeform 10707">
          <a:extLst>
            <a:ext uri="{FF2B5EF4-FFF2-40B4-BE49-F238E27FC236}">
              <a16:creationId xmlns:a16="http://schemas.microsoft.com/office/drawing/2014/main" id="{DED18045-210F-4C42-8977-CCDCD684E64D}"/>
            </a:ext>
          </a:extLst>
        </xdr:cNvPr>
        <xdr:cNvSpPr>
          <a:spLocks/>
        </xdr:cNvSpPr>
      </xdr:nvSpPr>
      <xdr:spPr bwMode="auto">
        <a:xfrm>
          <a:off x="140884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20</xdr:col>
      <xdr:colOff>416278</xdr:colOff>
      <xdr:row>45</xdr:row>
      <xdr:rowOff>7056</xdr:rowOff>
    </xdr:from>
    <xdr:to>
      <xdr:col>22</xdr:col>
      <xdr:colOff>42332</xdr:colOff>
      <xdr:row>48</xdr:row>
      <xdr:rowOff>1</xdr:rowOff>
    </xdr:to>
    <xdr:sp macro="" textlink="">
      <xdr:nvSpPr>
        <xdr:cNvPr id="2678" name="Isosceles Triangle 2677">
          <a:extLst>
            <a:ext uri="{FF2B5EF4-FFF2-40B4-BE49-F238E27FC236}">
              <a16:creationId xmlns:a16="http://schemas.microsoft.com/office/drawing/2014/main" id="{5F6FC1AB-CC3C-4DD2-A528-30A0D84F001F}"/>
            </a:ext>
          </a:extLst>
        </xdr:cNvPr>
        <xdr:cNvSpPr/>
      </xdr:nvSpPr>
      <xdr:spPr>
        <a:xfrm>
          <a:off x="14326062" y="4638177"/>
          <a:ext cx="627822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288640</xdr:colOff>
      <xdr:row>44</xdr:row>
      <xdr:rowOff>173181</xdr:rowOff>
    </xdr:from>
    <xdr:to>
      <xdr:col>23</xdr:col>
      <xdr:colOff>294410</xdr:colOff>
      <xdr:row>45</xdr:row>
      <xdr:rowOff>121226</xdr:rowOff>
    </xdr:to>
    <xdr:sp macro="" textlink="">
      <xdr:nvSpPr>
        <xdr:cNvPr id="2679" name="Freeform 10707">
          <a:extLst>
            <a:ext uri="{FF2B5EF4-FFF2-40B4-BE49-F238E27FC236}">
              <a16:creationId xmlns:a16="http://schemas.microsoft.com/office/drawing/2014/main" id="{0B76092B-F62D-4247-A4B3-E6B739FC0C15}"/>
            </a:ext>
          </a:extLst>
        </xdr:cNvPr>
        <xdr:cNvSpPr>
          <a:spLocks/>
        </xdr:cNvSpPr>
      </xdr:nvSpPr>
      <xdr:spPr bwMode="auto">
        <a:xfrm>
          <a:off x="151247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413657</xdr:colOff>
      <xdr:row>81</xdr:row>
      <xdr:rowOff>7055</xdr:rowOff>
    </xdr:from>
    <xdr:to>
      <xdr:col>4</xdr:col>
      <xdr:colOff>49392</xdr:colOff>
      <xdr:row>84</xdr:row>
      <xdr:rowOff>0</xdr:rowOff>
    </xdr:to>
    <xdr:sp macro="" textlink="">
      <xdr:nvSpPr>
        <xdr:cNvPr id="2680" name="Isosceles Triangle 2679">
          <a:extLst>
            <a:ext uri="{FF2B5EF4-FFF2-40B4-BE49-F238E27FC236}">
              <a16:creationId xmlns:a16="http://schemas.microsoft.com/office/drawing/2014/main" id="{4FB4CE30-9634-43A2-A034-F76832301E27}"/>
            </a:ext>
          </a:extLst>
        </xdr:cNvPr>
        <xdr:cNvSpPr/>
      </xdr:nvSpPr>
      <xdr:spPr>
        <a:xfrm>
          <a:off x="5458097" y="11315135"/>
          <a:ext cx="67205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81</xdr:row>
      <xdr:rowOff>4233</xdr:rowOff>
    </xdr:from>
    <xdr:to>
      <xdr:col>6</xdr:col>
      <xdr:colOff>46570</xdr:colOff>
      <xdr:row>83</xdr:row>
      <xdr:rowOff>173567</xdr:rowOff>
    </xdr:to>
    <xdr:sp macro="" textlink="">
      <xdr:nvSpPr>
        <xdr:cNvPr id="2681" name="Isosceles Triangle 2680">
          <a:extLst>
            <a:ext uri="{FF2B5EF4-FFF2-40B4-BE49-F238E27FC236}">
              <a16:creationId xmlns:a16="http://schemas.microsoft.com/office/drawing/2014/main" id="{2D1F802B-A47D-4FB4-ACEE-704E1E3BEF1A}"/>
            </a:ext>
          </a:extLst>
        </xdr:cNvPr>
        <xdr:cNvSpPr/>
      </xdr:nvSpPr>
      <xdr:spPr>
        <a:xfrm>
          <a:off x="6501275" y="113123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81</xdr:row>
      <xdr:rowOff>13304</xdr:rowOff>
    </xdr:from>
    <xdr:to>
      <xdr:col>10</xdr:col>
      <xdr:colOff>46570</xdr:colOff>
      <xdr:row>84</xdr:row>
      <xdr:rowOff>1210</xdr:rowOff>
    </xdr:to>
    <xdr:sp macro="" textlink="">
      <xdr:nvSpPr>
        <xdr:cNvPr id="2682" name="Isosceles Triangle 2681">
          <a:extLst>
            <a:ext uri="{FF2B5EF4-FFF2-40B4-BE49-F238E27FC236}">
              <a16:creationId xmlns:a16="http://schemas.microsoft.com/office/drawing/2014/main" id="{1A59ACBC-348F-4FEC-98A3-8C623C373FEF}"/>
            </a:ext>
          </a:extLst>
        </xdr:cNvPr>
        <xdr:cNvSpPr/>
      </xdr:nvSpPr>
      <xdr:spPr>
        <a:xfrm>
          <a:off x="8573915" y="11321384"/>
          <a:ext cx="66999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81</xdr:row>
      <xdr:rowOff>13304</xdr:rowOff>
    </xdr:from>
    <xdr:to>
      <xdr:col>6</xdr:col>
      <xdr:colOff>46569</xdr:colOff>
      <xdr:row>84</xdr:row>
      <xdr:rowOff>1210</xdr:rowOff>
    </xdr:to>
    <xdr:sp macro="" textlink="">
      <xdr:nvSpPr>
        <xdr:cNvPr id="2683" name="Isosceles Triangle 2682">
          <a:extLst>
            <a:ext uri="{FF2B5EF4-FFF2-40B4-BE49-F238E27FC236}">
              <a16:creationId xmlns:a16="http://schemas.microsoft.com/office/drawing/2014/main" id="{F8DC6BAD-6FBD-4DB7-A174-BEF4DFD1F15B}"/>
            </a:ext>
          </a:extLst>
        </xdr:cNvPr>
        <xdr:cNvSpPr/>
      </xdr:nvSpPr>
      <xdr:spPr>
        <a:xfrm>
          <a:off x="6501275" y="1132138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81</xdr:row>
      <xdr:rowOff>15522</xdr:rowOff>
    </xdr:from>
    <xdr:to>
      <xdr:col>8</xdr:col>
      <xdr:colOff>43746</xdr:colOff>
      <xdr:row>84</xdr:row>
      <xdr:rowOff>8467</xdr:rowOff>
    </xdr:to>
    <xdr:sp macro="" textlink="">
      <xdr:nvSpPr>
        <xdr:cNvPr id="2684" name="Isosceles Triangle 2683">
          <a:extLst>
            <a:ext uri="{FF2B5EF4-FFF2-40B4-BE49-F238E27FC236}">
              <a16:creationId xmlns:a16="http://schemas.microsoft.com/office/drawing/2014/main" id="{865D562F-2B10-43EF-ABEC-093FB29AB22B}"/>
            </a:ext>
          </a:extLst>
        </xdr:cNvPr>
        <xdr:cNvSpPr/>
      </xdr:nvSpPr>
      <xdr:spPr>
        <a:xfrm>
          <a:off x="7534772" y="113236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81</xdr:row>
      <xdr:rowOff>7056</xdr:rowOff>
    </xdr:from>
    <xdr:to>
      <xdr:col>12</xdr:col>
      <xdr:colOff>42332</xdr:colOff>
      <xdr:row>84</xdr:row>
      <xdr:rowOff>1</xdr:rowOff>
    </xdr:to>
    <xdr:sp macro="" textlink="">
      <xdr:nvSpPr>
        <xdr:cNvPr id="2685" name="Isosceles Triangle 2684">
          <a:extLst>
            <a:ext uri="{FF2B5EF4-FFF2-40B4-BE49-F238E27FC236}">
              <a16:creationId xmlns:a16="http://schemas.microsoft.com/office/drawing/2014/main" id="{D7531C73-A09D-44CF-B021-64624B6D426E}"/>
            </a:ext>
          </a:extLst>
        </xdr:cNvPr>
        <xdr:cNvSpPr/>
      </xdr:nvSpPr>
      <xdr:spPr>
        <a:xfrm>
          <a:off x="961361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81</xdr:row>
      <xdr:rowOff>18345</xdr:rowOff>
    </xdr:from>
    <xdr:to>
      <xdr:col>14</xdr:col>
      <xdr:colOff>39510</xdr:colOff>
      <xdr:row>84</xdr:row>
      <xdr:rowOff>11290</xdr:rowOff>
    </xdr:to>
    <xdr:sp macro="" textlink="">
      <xdr:nvSpPr>
        <xdr:cNvPr id="2686" name="Isosceles Triangle 2685">
          <a:extLst>
            <a:ext uri="{FF2B5EF4-FFF2-40B4-BE49-F238E27FC236}">
              <a16:creationId xmlns:a16="http://schemas.microsoft.com/office/drawing/2014/main" id="{A1E92D72-9C76-43DF-9DBD-CC53736F9E5A}"/>
            </a:ext>
          </a:extLst>
        </xdr:cNvPr>
        <xdr:cNvSpPr/>
      </xdr:nvSpPr>
      <xdr:spPr>
        <a:xfrm>
          <a:off x="1064711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81</xdr:row>
      <xdr:rowOff>7056</xdr:rowOff>
    </xdr:from>
    <xdr:to>
      <xdr:col>16</xdr:col>
      <xdr:colOff>42332</xdr:colOff>
      <xdr:row>84</xdr:row>
      <xdr:rowOff>1</xdr:rowOff>
    </xdr:to>
    <xdr:sp macro="" textlink="">
      <xdr:nvSpPr>
        <xdr:cNvPr id="2687" name="Isosceles Triangle 2686">
          <a:extLst>
            <a:ext uri="{FF2B5EF4-FFF2-40B4-BE49-F238E27FC236}">
              <a16:creationId xmlns:a16="http://schemas.microsoft.com/office/drawing/2014/main" id="{2D395DD5-6006-4635-BF6B-32ACA595A5CD}"/>
            </a:ext>
          </a:extLst>
        </xdr:cNvPr>
        <xdr:cNvSpPr/>
      </xdr:nvSpPr>
      <xdr:spPr>
        <a:xfrm>
          <a:off x="1168625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81</xdr:row>
      <xdr:rowOff>18345</xdr:rowOff>
    </xdr:from>
    <xdr:to>
      <xdr:col>18</xdr:col>
      <xdr:colOff>39510</xdr:colOff>
      <xdr:row>84</xdr:row>
      <xdr:rowOff>11290</xdr:rowOff>
    </xdr:to>
    <xdr:sp macro="" textlink="">
      <xdr:nvSpPr>
        <xdr:cNvPr id="2688" name="Isosceles Triangle 2687">
          <a:extLst>
            <a:ext uri="{FF2B5EF4-FFF2-40B4-BE49-F238E27FC236}">
              <a16:creationId xmlns:a16="http://schemas.microsoft.com/office/drawing/2014/main" id="{BBF98044-A16C-4D27-AE32-809B2BAC0EA7}"/>
            </a:ext>
          </a:extLst>
        </xdr:cNvPr>
        <xdr:cNvSpPr/>
      </xdr:nvSpPr>
      <xdr:spPr>
        <a:xfrm>
          <a:off x="1271975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81</xdr:row>
      <xdr:rowOff>7056</xdr:rowOff>
    </xdr:from>
    <xdr:to>
      <xdr:col>20</xdr:col>
      <xdr:colOff>42332</xdr:colOff>
      <xdr:row>84</xdr:row>
      <xdr:rowOff>1</xdr:rowOff>
    </xdr:to>
    <xdr:sp macro="" textlink="">
      <xdr:nvSpPr>
        <xdr:cNvPr id="2689" name="Isosceles Triangle 2688">
          <a:extLst>
            <a:ext uri="{FF2B5EF4-FFF2-40B4-BE49-F238E27FC236}">
              <a16:creationId xmlns:a16="http://schemas.microsoft.com/office/drawing/2014/main" id="{A4BB9B6E-C117-4BC9-91B4-128384DC004C}"/>
            </a:ext>
          </a:extLst>
        </xdr:cNvPr>
        <xdr:cNvSpPr/>
      </xdr:nvSpPr>
      <xdr:spPr>
        <a:xfrm>
          <a:off x="13758898" y="113151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81</xdr:row>
      <xdr:rowOff>18345</xdr:rowOff>
    </xdr:from>
    <xdr:to>
      <xdr:col>22</xdr:col>
      <xdr:colOff>39510</xdr:colOff>
      <xdr:row>84</xdr:row>
      <xdr:rowOff>11290</xdr:rowOff>
    </xdr:to>
    <xdr:sp macro="" textlink="">
      <xdr:nvSpPr>
        <xdr:cNvPr id="2690" name="Isosceles Triangle 2689">
          <a:extLst>
            <a:ext uri="{FF2B5EF4-FFF2-40B4-BE49-F238E27FC236}">
              <a16:creationId xmlns:a16="http://schemas.microsoft.com/office/drawing/2014/main" id="{4D76CFD7-3B3B-4B3A-84A1-4AE2A540827A}"/>
            </a:ext>
          </a:extLst>
        </xdr:cNvPr>
        <xdr:cNvSpPr/>
      </xdr:nvSpPr>
      <xdr:spPr>
        <a:xfrm>
          <a:off x="14792396" y="1132642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80</xdr:row>
      <xdr:rowOff>173181</xdr:rowOff>
    </xdr:from>
    <xdr:to>
      <xdr:col>5</xdr:col>
      <xdr:colOff>294410</xdr:colOff>
      <xdr:row>81</xdr:row>
      <xdr:rowOff>121226</xdr:rowOff>
    </xdr:to>
    <xdr:sp macro="" textlink="">
      <xdr:nvSpPr>
        <xdr:cNvPr id="2691" name="Freeform 10707">
          <a:extLst>
            <a:ext uri="{FF2B5EF4-FFF2-40B4-BE49-F238E27FC236}">
              <a16:creationId xmlns:a16="http://schemas.microsoft.com/office/drawing/2014/main" id="{2C0D7E6C-65D8-4B6B-A86D-F698468C14D8}"/>
            </a:ext>
          </a:extLst>
        </xdr:cNvPr>
        <xdr:cNvSpPr>
          <a:spLocks/>
        </xdr:cNvSpPr>
      </xdr:nvSpPr>
      <xdr:spPr bwMode="auto">
        <a:xfrm>
          <a:off x="57902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80</xdr:row>
      <xdr:rowOff>173181</xdr:rowOff>
    </xdr:from>
    <xdr:to>
      <xdr:col>7</xdr:col>
      <xdr:colOff>294410</xdr:colOff>
      <xdr:row>81</xdr:row>
      <xdr:rowOff>121226</xdr:rowOff>
    </xdr:to>
    <xdr:sp macro="" textlink="">
      <xdr:nvSpPr>
        <xdr:cNvPr id="2692" name="Freeform 10707">
          <a:extLst>
            <a:ext uri="{FF2B5EF4-FFF2-40B4-BE49-F238E27FC236}">
              <a16:creationId xmlns:a16="http://schemas.microsoft.com/office/drawing/2014/main" id="{207EC92B-5B40-4D04-AF28-6973E8CCB200}"/>
            </a:ext>
          </a:extLst>
        </xdr:cNvPr>
        <xdr:cNvSpPr>
          <a:spLocks/>
        </xdr:cNvSpPr>
      </xdr:nvSpPr>
      <xdr:spPr bwMode="auto">
        <a:xfrm>
          <a:off x="68266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80</xdr:row>
      <xdr:rowOff>173181</xdr:rowOff>
    </xdr:from>
    <xdr:to>
      <xdr:col>9</xdr:col>
      <xdr:colOff>294410</xdr:colOff>
      <xdr:row>81</xdr:row>
      <xdr:rowOff>121226</xdr:rowOff>
    </xdr:to>
    <xdr:sp macro="" textlink="">
      <xdr:nvSpPr>
        <xdr:cNvPr id="2693" name="Freeform 10707">
          <a:extLst>
            <a:ext uri="{FF2B5EF4-FFF2-40B4-BE49-F238E27FC236}">
              <a16:creationId xmlns:a16="http://schemas.microsoft.com/office/drawing/2014/main" id="{4C1C172D-E486-48A4-B454-54FB3823A530}"/>
            </a:ext>
          </a:extLst>
        </xdr:cNvPr>
        <xdr:cNvSpPr>
          <a:spLocks/>
        </xdr:cNvSpPr>
      </xdr:nvSpPr>
      <xdr:spPr bwMode="auto">
        <a:xfrm>
          <a:off x="78629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80</xdr:row>
      <xdr:rowOff>173181</xdr:rowOff>
    </xdr:from>
    <xdr:to>
      <xdr:col>11</xdr:col>
      <xdr:colOff>294410</xdr:colOff>
      <xdr:row>81</xdr:row>
      <xdr:rowOff>121226</xdr:rowOff>
    </xdr:to>
    <xdr:sp macro="" textlink="">
      <xdr:nvSpPr>
        <xdr:cNvPr id="2694" name="Freeform 10707">
          <a:extLst>
            <a:ext uri="{FF2B5EF4-FFF2-40B4-BE49-F238E27FC236}">
              <a16:creationId xmlns:a16="http://schemas.microsoft.com/office/drawing/2014/main" id="{CB8D6B24-C917-488B-9CCD-0A47C8084BA3}"/>
            </a:ext>
          </a:extLst>
        </xdr:cNvPr>
        <xdr:cNvSpPr>
          <a:spLocks/>
        </xdr:cNvSpPr>
      </xdr:nvSpPr>
      <xdr:spPr bwMode="auto">
        <a:xfrm>
          <a:off x="8899240" y="113060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80</xdr:row>
      <xdr:rowOff>173181</xdr:rowOff>
    </xdr:from>
    <xdr:to>
      <xdr:col>13</xdr:col>
      <xdr:colOff>294410</xdr:colOff>
      <xdr:row>81</xdr:row>
      <xdr:rowOff>121226</xdr:rowOff>
    </xdr:to>
    <xdr:sp macro="" textlink="">
      <xdr:nvSpPr>
        <xdr:cNvPr id="2695" name="Freeform 10707">
          <a:extLst>
            <a:ext uri="{FF2B5EF4-FFF2-40B4-BE49-F238E27FC236}">
              <a16:creationId xmlns:a16="http://schemas.microsoft.com/office/drawing/2014/main" id="{66B5F8B2-87D0-4CEE-A1D8-03F485C97623}"/>
            </a:ext>
          </a:extLst>
        </xdr:cNvPr>
        <xdr:cNvSpPr>
          <a:spLocks/>
        </xdr:cNvSpPr>
      </xdr:nvSpPr>
      <xdr:spPr bwMode="auto">
        <a:xfrm>
          <a:off x="99431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80</xdr:row>
      <xdr:rowOff>173181</xdr:rowOff>
    </xdr:from>
    <xdr:to>
      <xdr:col>15</xdr:col>
      <xdr:colOff>294410</xdr:colOff>
      <xdr:row>81</xdr:row>
      <xdr:rowOff>121226</xdr:rowOff>
    </xdr:to>
    <xdr:sp macro="" textlink="">
      <xdr:nvSpPr>
        <xdr:cNvPr id="2696" name="Freeform 10707">
          <a:extLst>
            <a:ext uri="{FF2B5EF4-FFF2-40B4-BE49-F238E27FC236}">
              <a16:creationId xmlns:a16="http://schemas.microsoft.com/office/drawing/2014/main" id="{E13AC847-D416-4F32-9DD0-EB9AFBD221A5}"/>
            </a:ext>
          </a:extLst>
        </xdr:cNvPr>
        <xdr:cNvSpPr>
          <a:spLocks/>
        </xdr:cNvSpPr>
      </xdr:nvSpPr>
      <xdr:spPr bwMode="auto">
        <a:xfrm>
          <a:off x="109795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80</xdr:row>
      <xdr:rowOff>173181</xdr:rowOff>
    </xdr:from>
    <xdr:to>
      <xdr:col>17</xdr:col>
      <xdr:colOff>294410</xdr:colOff>
      <xdr:row>81</xdr:row>
      <xdr:rowOff>121226</xdr:rowOff>
    </xdr:to>
    <xdr:sp macro="" textlink="">
      <xdr:nvSpPr>
        <xdr:cNvPr id="2697" name="Freeform 10707">
          <a:extLst>
            <a:ext uri="{FF2B5EF4-FFF2-40B4-BE49-F238E27FC236}">
              <a16:creationId xmlns:a16="http://schemas.microsoft.com/office/drawing/2014/main" id="{CA5F3B13-1112-4A84-8F0F-B0CCC40FE461}"/>
            </a:ext>
          </a:extLst>
        </xdr:cNvPr>
        <xdr:cNvSpPr>
          <a:spLocks/>
        </xdr:cNvSpPr>
      </xdr:nvSpPr>
      <xdr:spPr bwMode="auto">
        <a:xfrm>
          <a:off x="120158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80</xdr:row>
      <xdr:rowOff>173181</xdr:rowOff>
    </xdr:from>
    <xdr:to>
      <xdr:col>19</xdr:col>
      <xdr:colOff>294410</xdr:colOff>
      <xdr:row>81</xdr:row>
      <xdr:rowOff>121226</xdr:rowOff>
    </xdr:to>
    <xdr:sp macro="" textlink="">
      <xdr:nvSpPr>
        <xdr:cNvPr id="2698" name="Freeform 10707">
          <a:extLst>
            <a:ext uri="{FF2B5EF4-FFF2-40B4-BE49-F238E27FC236}">
              <a16:creationId xmlns:a16="http://schemas.microsoft.com/office/drawing/2014/main" id="{C14329C0-D151-4DF9-BB8A-CF2DDF25E81A}"/>
            </a:ext>
          </a:extLst>
        </xdr:cNvPr>
        <xdr:cNvSpPr>
          <a:spLocks/>
        </xdr:cNvSpPr>
      </xdr:nvSpPr>
      <xdr:spPr bwMode="auto">
        <a:xfrm>
          <a:off x="130521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80</xdr:row>
      <xdr:rowOff>173181</xdr:rowOff>
    </xdr:from>
    <xdr:to>
      <xdr:col>21</xdr:col>
      <xdr:colOff>294410</xdr:colOff>
      <xdr:row>81</xdr:row>
      <xdr:rowOff>121226</xdr:rowOff>
    </xdr:to>
    <xdr:sp macro="" textlink="">
      <xdr:nvSpPr>
        <xdr:cNvPr id="2699" name="Freeform 10707">
          <a:extLst>
            <a:ext uri="{FF2B5EF4-FFF2-40B4-BE49-F238E27FC236}">
              <a16:creationId xmlns:a16="http://schemas.microsoft.com/office/drawing/2014/main" id="{744A68B1-E386-4A09-9467-E9CB11708C66}"/>
            </a:ext>
          </a:extLst>
        </xdr:cNvPr>
        <xdr:cNvSpPr>
          <a:spLocks/>
        </xdr:cNvSpPr>
      </xdr:nvSpPr>
      <xdr:spPr bwMode="auto">
        <a:xfrm>
          <a:off x="140884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80</xdr:row>
      <xdr:rowOff>173181</xdr:rowOff>
    </xdr:from>
    <xdr:to>
      <xdr:col>23</xdr:col>
      <xdr:colOff>294410</xdr:colOff>
      <xdr:row>81</xdr:row>
      <xdr:rowOff>121226</xdr:rowOff>
    </xdr:to>
    <xdr:sp macro="" textlink="">
      <xdr:nvSpPr>
        <xdr:cNvPr id="2700" name="Freeform 10707">
          <a:extLst>
            <a:ext uri="{FF2B5EF4-FFF2-40B4-BE49-F238E27FC236}">
              <a16:creationId xmlns:a16="http://schemas.microsoft.com/office/drawing/2014/main" id="{567F711E-2255-4B2E-80CE-F97695E1B87C}"/>
            </a:ext>
          </a:extLst>
        </xdr:cNvPr>
        <xdr:cNvSpPr>
          <a:spLocks/>
        </xdr:cNvSpPr>
      </xdr:nvSpPr>
      <xdr:spPr bwMode="auto">
        <a:xfrm>
          <a:off x="151247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34</xdr:col>
      <xdr:colOff>179614</xdr:colOff>
      <xdr:row>82</xdr:row>
      <xdr:rowOff>125184</xdr:rowOff>
    </xdr:from>
    <xdr:to>
      <xdr:col>34</xdr:col>
      <xdr:colOff>236764</xdr:colOff>
      <xdr:row>85</xdr:row>
      <xdr:rowOff>80734</xdr:rowOff>
    </xdr:to>
    <xdr:sp macro="" textlink="">
      <xdr:nvSpPr>
        <xdr:cNvPr id="2701" name="Rectangle 11590" descr="Light horizontal">
          <a:extLst>
            <a:ext uri="{FF2B5EF4-FFF2-40B4-BE49-F238E27FC236}">
              <a16:creationId xmlns:a16="http://schemas.microsoft.com/office/drawing/2014/main" id="{3FA9DCB9-117C-46E8-AC66-BAF5064C1A0D}"/>
            </a:ext>
          </a:extLst>
        </xdr:cNvPr>
        <xdr:cNvSpPr>
          <a:spLocks noChangeArrowheads="1"/>
        </xdr:cNvSpPr>
      </xdr:nvSpPr>
      <xdr:spPr bwMode="auto">
        <a:xfrm>
          <a:off x="16291560" y="11600904"/>
          <a:ext cx="0" cy="466090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261257</xdr:colOff>
      <xdr:row>79</xdr:row>
      <xdr:rowOff>108855</xdr:rowOff>
    </xdr:from>
    <xdr:to>
      <xdr:col>37</xdr:col>
      <xdr:colOff>87086</xdr:colOff>
      <xdr:row>80</xdr:row>
      <xdr:rowOff>150475</xdr:rowOff>
    </xdr:to>
    <xdr:sp macro="" textlink="">
      <xdr:nvSpPr>
        <xdr:cNvPr id="2702" name="Arrow: Curved Down 2701">
          <a:extLst>
            <a:ext uri="{FF2B5EF4-FFF2-40B4-BE49-F238E27FC236}">
              <a16:creationId xmlns:a16="http://schemas.microsoft.com/office/drawing/2014/main" id="{EC4FD434-A384-4EF1-B16F-882B333B2A8C}"/>
            </a:ext>
          </a:extLst>
        </xdr:cNvPr>
        <xdr:cNvSpPr/>
      </xdr:nvSpPr>
      <xdr:spPr>
        <a:xfrm>
          <a:off x="16291560" y="11081655"/>
          <a:ext cx="0" cy="209260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711" name="Freeform 10707">
          <a:extLst>
            <a:ext uri="{FF2B5EF4-FFF2-40B4-BE49-F238E27FC236}">
              <a16:creationId xmlns:a16="http://schemas.microsoft.com/office/drawing/2014/main" id="{0ACE2214-75CB-4295-9BCA-2062050B2AE8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712" name="Freeform 10707">
          <a:extLst>
            <a:ext uri="{FF2B5EF4-FFF2-40B4-BE49-F238E27FC236}">
              <a16:creationId xmlns:a16="http://schemas.microsoft.com/office/drawing/2014/main" id="{0AF359FB-7D80-4962-905E-E5D52F59FC14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713" name="Freeform 10707">
          <a:extLst>
            <a:ext uri="{FF2B5EF4-FFF2-40B4-BE49-F238E27FC236}">
              <a16:creationId xmlns:a16="http://schemas.microsoft.com/office/drawing/2014/main" id="{4A84C7C2-D5D3-47EA-954D-FF923D71C992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714" name="Freeform 10707">
          <a:extLst>
            <a:ext uri="{FF2B5EF4-FFF2-40B4-BE49-F238E27FC236}">
              <a16:creationId xmlns:a16="http://schemas.microsoft.com/office/drawing/2014/main" id="{EC24BBC9-8111-4128-A04E-DDEFB4463D93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328546</xdr:colOff>
      <xdr:row>102</xdr:row>
      <xdr:rowOff>159455</xdr:rowOff>
    </xdr:from>
    <xdr:to>
      <xdr:col>24</xdr:col>
      <xdr:colOff>64493</xdr:colOff>
      <xdr:row>105</xdr:row>
      <xdr:rowOff>152400</xdr:rowOff>
    </xdr:to>
    <xdr:sp macro="" textlink="">
      <xdr:nvSpPr>
        <xdr:cNvPr id="2715" name="Isosceles Triangle 2714">
          <a:extLst>
            <a:ext uri="{FF2B5EF4-FFF2-40B4-BE49-F238E27FC236}">
              <a16:creationId xmlns:a16="http://schemas.microsoft.com/office/drawing/2014/main" id="{FE8F1EB4-CBF4-4B06-B784-EFDC27C74AD8}"/>
            </a:ext>
          </a:extLst>
        </xdr:cNvPr>
        <xdr:cNvSpPr/>
      </xdr:nvSpPr>
      <xdr:spPr>
        <a:xfrm>
          <a:off x="11202921" y="19145955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397639</xdr:colOff>
      <xdr:row>103</xdr:row>
      <xdr:rowOff>4233</xdr:rowOff>
    </xdr:from>
    <xdr:to>
      <xdr:col>26</xdr:col>
      <xdr:colOff>33218</xdr:colOff>
      <xdr:row>105</xdr:row>
      <xdr:rowOff>165947</xdr:rowOff>
    </xdr:to>
    <xdr:sp macro="" textlink="">
      <xdr:nvSpPr>
        <xdr:cNvPr id="2716" name="Isosceles Triangle 2715">
          <a:extLst>
            <a:ext uri="{FF2B5EF4-FFF2-40B4-BE49-F238E27FC236}">
              <a16:creationId xmlns:a16="http://schemas.microsoft.com/office/drawing/2014/main" id="{0BF445E2-576C-48F4-A819-CE986F453AE4}"/>
            </a:ext>
          </a:extLst>
        </xdr:cNvPr>
        <xdr:cNvSpPr/>
      </xdr:nvSpPr>
      <xdr:spPr>
        <a:xfrm>
          <a:off x="12350843" y="19013987"/>
          <a:ext cx="641741" cy="510516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443172</xdr:colOff>
      <xdr:row>114</xdr:row>
      <xdr:rowOff>7056</xdr:rowOff>
    </xdr:from>
    <xdr:to>
      <xdr:col>2</xdr:col>
      <xdr:colOff>69226</xdr:colOff>
      <xdr:row>117</xdr:row>
      <xdr:rowOff>1</xdr:rowOff>
    </xdr:to>
    <xdr:sp macro="" textlink="">
      <xdr:nvSpPr>
        <xdr:cNvPr id="2717" name="Isosceles Triangle 2716">
          <a:extLst>
            <a:ext uri="{FF2B5EF4-FFF2-40B4-BE49-F238E27FC236}">
              <a16:creationId xmlns:a16="http://schemas.microsoft.com/office/drawing/2014/main" id="{34AA0A4A-59E0-41DC-859E-360D676A8789}"/>
            </a:ext>
          </a:extLst>
        </xdr:cNvPr>
        <xdr:cNvSpPr/>
      </xdr:nvSpPr>
      <xdr:spPr>
        <a:xfrm>
          <a:off x="445129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375237</xdr:colOff>
      <xdr:row>114</xdr:row>
      <xdr:rowOff>18345</xdr:rowOff>
    </xdr:from>
    <xdr:to>
      <xdr:col>4</xdr:col>
      <xdr:colOff>66404</xdr:colOff>
      <xdr:row>117</xdr:row>
      <xdr:rowOff>11290</xdr:rowOff>
    </xdr:to>
    <xdr:sp macro="" textlink="">
      <xdr:nvSpPr>
        <xdr:cNvPr id="2718" name="Isosceles Triangle 2717">
          <a:extLst>
            <a:ext uri="{FF2B5EF4-FFF2-40B4-BE49-F238E27FC236}">
              <a16:creationId xmlns:a16="http://schemas.microsoft.com/office/drawing/2014/main" id="{8A46A2AE-82A6-446C-8CA5-FC9209C4D913}"/>
            </a:ext>
          </a:extLst>
        </xdr:cNvPr>
        <xdr:cNvSpPr/>
      </xdr:nvSpPr>
      <xdr:spPr>
        <a:xfrm>
          <a:off x="5419677" y="1690426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443172</xdr:colOff>
      <xdr:row>114</xdr:row>
      <xdr:rowOff>7056</xdr:rowOff>
    </xdr:from>
    <xdr:to>
      <xdr:col>6</xdr:col>
      <xdr:colOff>69226</xdr:colOff>
      <xdr:row>117</xdr:row>
      <xdr:rowOff>1</xdr:rowOff>
    </xdr:to>
    <xdr:sp macro="" textlink="">
      <xdr:nvSpPr>
        <xdr:cNvPr id="2719" name="Isosceles Triangle 2718">
          <a:extLst>
            <a:ext uri="{FF2B5EF4-FFF2-40B4-BE49-F238E27FC236}">
              <a16:creationId xmlns:a16="http://schemas.microsoft.com/office/drawing/2014/main" id="{E8A44272-3CCE-44C3-B5BC-7BCFE972E96D}"/>
            </a:ext>
          </a:extLst>
        </xdr:cNvPr>
        <xdr:cNvSpPr/>
      </xdr:nvSpPr>
      <xdr:spPr>
        <a:xfrm>
          <a:off x="652393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406817</xdr:colOff>
      <xdr:row>114</xdr:row>
      <xdr:rowOff>7056</xdr:rowOff>
    </xdr:from>
    <xdr:to>
      <xdr:col>10</xdr:col>
      <xdr:colOff>42396</xdr:colOff>
      <xdr:row>117</xdr:row>
      <xdr:rowOff>1</xdr:rowOff>
    </xdr:to>
    <xdr:sp macro="" textlink="">
      <xdr:nvSpPr>
        <xdr:cNvPr id="2720" name="Isosceles Triangle 2719">
          <a:extLst>
            <a:ext uri="{FF2B5EF4-FFF2-40B4-BE49-F238E27FC236}">
              <a16:creationId xmlns:a16="http://schemas.microsoft.com/office/drawing/2014/main" id="{B9B490B4-76E4-428D-ADAF-2941C5DAEBD3}"/>
            </a:ext>
          </a:extLst>
        </xdr:cNvPr>
        <xdr:cNvSpPr/>
      </xdr:nvSpPr>
      <xdr:spPr>
        <a:xfrm>
          <a:off x="4297310" y="20935225"/>
          <a:ext cx="641741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403412</xdr:colOff>
      <xdr:row>114</xdr:row>
      <xdr:rowOff>8964</xdr:rowOff>
    </xdr:from>
    <xdr:to>
      <xdr:col>8</xdr:col>
      <xdr:colOff>29467</xdr:colOff>
      <xdr:row>117</xdr:row>
      <xdr:rowOff>1909</xdr:rowOff>
    </xdr:to>
    <xdr:sp macro="" textlink="">
      <xdr:nvSpPr>
        <xdr:cNvPr id="2721" name="Isosceles Triangle 2720">
          <a:extLst>
            <a:ext uri="{FF2B5EF4-FFF2-40B4-BE49-F238E27FC236}">
              <a16:creationId xmlns:a16="http://schemas.microsoft.com/office/drawing/2014/main" id="{E9E2695F-3C19-4045-9A9D-5CF669ABCA8F}"/>
            </a:ext>
          </a:extLst>
        </xdr:cNvPr>
        <xdr:cNvSpPr/>
      </xdr:nvSpPr>
      <xdr:spPr>
        <a:xfrm>
          <a:off x="7520492" y="1689488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56</xdr:row>
      <xdr:rowOff>173181</xdr:rowOff>
    </xdr:from>
    <xdr:to>
      <xdr:col>31</xdr:col>
      <xdr:colOff>294410</xdr:colOff>
      <xdr:row>57</xdr:row>
      <xdr:rowOff>121226</xdr:rowOff>
    </xdr:to>
    <xdr:sp macro="" textlink="">
      <xdr:nvSpPr>
        <xdr:cNvPr id="2722" name="Freeform 10707">
          <a:extLst>
            <a:ext uri="{FF2B5EF4-FFF2-40B4-BE49-F238E27FC236}">
              <a16:creationId xmlns:a16="http://schemas.microsoft.com/office/drawing/2014/main" id="{47061650-D55F-4357-975E-389C8E95651E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69</xdr:row>
      <xdr:rowOff>173181</xdr:rowOff>
    </xdr:from>
    <xdr:to>
      <xdr:col>3</xdr:col>
      <xdr:colOff>294410</xdr:colOff>
      <xdr:row>70</xdr:row>
      <xdr:rowOff>121226</xdr:rowOff>
    </xdr:to>
    <xdr:sp macro="" textlink="">
      <xdr:nvSpPr>
        <xdr:cNvPr id="2723" name="Freeform 10707">
          <a:extLst>
            <a:ext uri="{FF2B5EF4-FFF2-40B4-BE49-F238E27FC236}">
              <a16:creationId xmlns:a16="http://schemas.microsoft.com/office/drawing/2014/main" id="{108F33CE-2B8C-426B-8652-6280E72A85FE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69</xdr:row>
      <xdr:rowOff>173181</xdr:rowOff>
    </xdr:from>
    <xdr:to>
      <xdr:col>5</xdr:col>
      <xdr:colOff>294410</xdr:colOff>
      <xdr:row>70</xdr:row>
      <xdr:rowOff>121226</xdr:rowOff>
    </xdr:to>
    <xdr:sp macro="" textlink="">
      <xdr:nvSpPr>
        <xdr:cNvPr id="2724" name="Freeform 10707">
          <a:extLst>
            <a:ext uri="{FF2B5EF4-FFF2-40B4-BE49-F238E27FC236}">
              <a16:creationId xmlns:a16="http://schemas.microsoft.com/office/drawing/2014/main" id="{A83EC280-917C-4D93-95BB-03012B63AFDD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69</xdr:row>
      <xdr:rowOff>173181</xdr:rowOff>
    </xdr:from>
    <xdr:to>
      <xdr:col>7</xdr:col>
      <xdr:colOff>294410</xdr:colOff>
      <xdr:row>70</xdr:row>
      <xdr:rowOff>121226</xdr:rowOff>
    </xdr:to>
    <xdr:sp macro="" textlink="">
      <xdr:nvSpPr>
        <xdr:cNvPr id="2725" name="Freeform 10707">
          <a:extLst>
            <a:ext uri="{FF2B5EF4-FFF2-40B4-BE49-F238E27FC236}">
              <a16:creationId xmlns:a16="http://schemas.microsoft.com/office/drawing/2014/main" id="{5732DFB6-08B1-418A-8D4C-BA3725A34D92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69</xdr:row>
      <xdr:rowOff>173181</xdr:rowOff>
    </xdr:from>
    <xdr:to>
      <xdr:col>9</xdr:col>
      <xdr:colOff>294410</xdr:colOff>
      <xdr:row>70</xdr:row>
      <xdr:rowOff>121226</xdr:rowOff>
    </xdr:to>
    <xdr:sp macro="" textlink="">
      <xdr:nvSpPr>
        <xdr:cNvPr id="2726" name="Freeform 10707">
          <a:extLst>
            <a:ext uri="{FF2B5EF4-FFF2-40B4-BE49-F238E27FC236}">
              <a16:creationId xmlns:a16="http://schemas.microsoft.com/office/drawing/2014/main" id="{51C88DFD-FB0F-44C4-B93E-FBF7F932AE70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69</xdr:row>
      <xdr:rowOff>173181</xdr:rowOff>
    </xdr:from>
    <xdr:to>
      <xdr:col>11</xdr:col>
      <xdr:colOff>294410</xdr:colOff>
      <xdr:row>70</xdr:row>
      <xdr:rowOff>121226</xdr:rowOff>
    </xdr:to>
    <xdr:sp macro="" textlink="">
      <xdr:nvSpPr>
        <xdr:cNvPr id="2727" name="Freeform 10707">
          <a:extLst>
            <a:ext uri="{FF2B5EF4-FFF2-40B4-BE49-F238E27FC236}">
              <a16:creationId xmlns:a16="http://schemas.microsoft.com/office/drawing/2014/main" id="{AA866090-B4DE-4AAB-BD65-A14A310D4152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69</xdr:row>
      <xdr:rowOff>173181</xdr:rowOff>
    </xdr:from>
    <xdr:to>
      <xdr:col>13</xdr:col>
      <xdr:colOff>294410</xdr:colOff>
      <xdr:row>70</xdr:row>
      <xdr:rowOff>121226</xdr:rowOff>
    </xdr:to>
    <xdr:sp macro="" textlink="">
      <xdr:nvSpPr>
        <xdr:cNvPr id="2728" name="Freeform 10707">
          <a:extLst>
            <a:ext uri="{FF2B5EF4-FFF2-40B4-BE49-F238E27FC236}">
              <a16:creationId xmlns:a16="http://schemas.microsoft.com/office/drawing/2014/main" id="{6E44D1F7-739F-4C9E-8729-136BBCE1FC61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0</xdr:colOff>
      <xdr:row>49</xdr:row>
      <xdr:rowOff>82114</xdr:rowOff>
    </xdr:from>
    <xdr:to>
      <xdr:col>4</xdr:col>
      <xdr:colOff>238169</xdr:colOff>
      <xdr:row>51</xdr:row>
      <xdr:rowOff>82163</xdr:rowOff>
    </xdr:to>
    <xdr:grpSp>
      <xdr:nvGrpSpPr>
        <xdr:cNvPr id="2738" name="Group 2737">
          <a:extLst>
            <a:ext uri="{FF2B5EF4-FFF2-40B4-BE49-F238E27FC236}">
              <a16:creationId xmlns:a16="http://schemas.microsoft.com/office/drawing/2014/main" id="{E8E96192-AA6C-49CB-AAE1-6D8354EED74D}"/>
            </a:ext>
          </a:extLst>
        </xdr:cNvPr>
        <xdr:cNvGrpSpPr/>
      </xdr:nvGrpSpPr>
      <xdr:grpSpPr>
        <a:xfrm>
          <a:off x="1957917" y="9776447"/>
          <a:ext cx="238169" cy="338716"/>
          <a:chOff x="6143939" y="789134"/>
          <a:chExt cx="457200" cy="518966"/>
        </a:xfrm>
      </xdr:grpSpPr>
      <xdr:grpSp>
        <xdr:nvGrpSpPr>
          <xdr:cNvPr id="2739" name="Group 2738">
            <a:extLst>
              <a:ext uri="{FF2B5EF4-FFF2-40B4-BE49-F238E27FC236}">
                <a16:creationId xmlns:a16="http://schemas.microsoft.com/office/drawing/2014/main" id="{2E5B05A5-7677-736C-F50F-9BE02B239E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41" name="Straight Connector 2740">
              <a:extLst>
                <a:ext uri="{FF2B5EF4-FFF2-40B4-BE49-F238E27FC236}">
                  <a16:creationId xmlns:a16="http://schemas.microsoft.com/office/drawing/2014/main" id="{E1234A6F-2B35-13F1-B29E-3F14B54C9A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2" name="Straight Connector 2741">
              <a:extLst>
                <a:ext uri="{FF2B5EF4-FFF2-40B4-BE49-F238E27FC236}">
                  <a16:creationId xmlns:a16="http://schemas.microsoft.com/office/drawing/2014/main" id="{A3A5606A-0670-87E3-2371-C8DFD6A9AC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3" name="Straight Connector 2742">
              <a:extLst>
                <a:ext uri="{FF2B5EF4-FFF2-40B4-BE49-F238E27FC236}">
                  <a16:creationId xmlns:a16="http://schemas.microsoft.com/office/drawing/2014/main" id="{6E75DBBA-07CD-5AE3-D0C1-97D2E3AAE06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4" name="Straight Connector 2743">
              <a:extLst>
                <a:ext uri="{FF2B5EF4-FFF2-40B4-BE49-F238E27FC236}">
                  <a16:creationId xmlns:a16="http://schemas.microsoft.com/office/drawing/2014/main" id="{55D4AF27-64DC-EB59-2F32-827B15B9B8E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5" name="Straight Connector 2744">
              <a:extLst>
                <a:ext uri="{FF2B5EF4-FFF2-40B4-BE49-F238E27FC236}">
                  <a16:creationId xmlns:a16="http://schemas.microsoft.com/office/drawing/2014/main" id="{ACC39B5E-E45F-98C8-43E7-5BAF8C6323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6" name="Straight Connector 2745">
              <a:extLst>
                <a:ext uri="{FF2B5EF4-FFF2-40B4-BE49-F238E27FC236}">
                  <a16:creationId xmlns:a16="http://schemas.microsoft.com/office/drawing/2014/main" id="{1A630BE3-5250-BD1D-1CCB-60F34F82FF7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0" name="Straight Connector 2739">
            <a:extLst>
              <a:ext uri="{FF2B5EF4-FFF2-40B4-BE49-F238E27FC236}">
                <a16:creationId xmlns:a16="http://schemas.microsoft.com/office/drawing/2014/main" id="{47E58E1A-155F-91F5-7E1A-B294F328219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49</xdr:row>
      <xdr:rowOff>133350</xdr:rowOff>
    </xdr:from>
    <xdr:to>
      <xdr:col>6</xdr:col>
      <xdr:colOff>238169</xdr:colOff>
      <xdr:row>51</xdr:row>
      <xdr:rowOff>133399</xdr:rowOff>
    </xdr:to>
    <xdr:grpSp>
      <xdr:nvGrpSpPr>
        <xdr:cNvPr id="2747" name="Group 2746">
          <a:extLst>
            <a:ext uri="{FF2B5EF4-FFF2-40B4-BE49-F238E27FC236}">
              <a16:creationId xmlns:a16="http://schemas.microsoft.com/office/drawing/2014/main" id="{ADA293C6-DE7B-41AB-97D8-8CB24F7B423D}"/>
            </a:ext>
          </a:extLst>
        </xdr:cNvPr>
        <xdr:cNvGrpSpPr/>
      </xdr:nvGrpSpPr>
      <xdr:grpSpPr>
        <a:xfrm>
          <a:off x="3005667" y="9827683"/>
          <a:ext cx="238169" cy="338716"/>
          <a:chOff x="6143939" y="789134"/>
          <a:chExt cx="457200" cy="518966"/>
        </a:xfrm>
      </xdr:grpSpPr>
      <xdr:grpSp>
        <xdr:nvGrpSpPr>
          <xdr:cNvPr id="2748" name="Group 2747">
            <a:extLst>
              <a:ext uri="{FF2B5EF4-FFF2-40B4-BE49-F238E27FC236}">
                <a16:creationId xmlns:a16="http://schemas.microsoft.com/office/drawing/2014/main" id="{A9A8B0F5-86EC-79F9-4E30-FFBA752D696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0" name="Straight Connector 2749">
              <a:extLst>
                <a:ext uri="{FF2B5EF4-FFF2-40B4-BE49-F238E27FC236}">
                  <a16:creationId xmlns:a16="http://schemas.microsoft.com/office/drawing/2014/main" id="{DA746DB3-D3C6-3956-D396-C460DAE77E8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1" name="Straight Connector 2750">
              <a:extLst>
                <a:ext uri="{FF2B5EF4-FFF2-40B4-BE49-F238E27FC236}">
                  <a16:creationId xmlns:a16="http://schemas.microsoft.com/office/drawing/2014/main" id="{CF912903-14A7-1C48-319B-3A8C3CC549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2" name="Straight Connector 2751">
              <a:extLst>
                <a:ext uri="{FF2B5EF4-FFF2-40B4-BE49-F238E27FC236}">
                  <a16:creationId xmlns:a16="http://schemas.microsoft.com/office/drawing/2014/main" id="{CD921D3B-6F2E-15DF-1CF5-DAC30525A1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3" name="Straight Connector 2752">
              <a:extLst>
                <a:ext uri="{FF2B5EF4-FFF2-40B4-BE49-F238E27FC236}">
                  <a16:creationId xmlns:a16="http://schemas.microsoft.com/office/drawing/2014/main" id="{5F5FAC13-E1E8-3DAB-16C1-629352570B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4" name="Straight Connector 2753">
              <a:extLst>
                <a:ext uri="{FF2B5EF4-FFF2-40B4-BE49-F238E27FC236}">
                  <a16:creationId xmlns:a16="http://schemas.microsoft.com/office/drawing/2014/main" id="{2B5B001C-DD15-1FF1-F5C7-1060BEE74F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5" name="Straight Connector 2754">
              <a:extLst>
                <a:ext uri="{FF2B5EF4-FFF2-40B4-BE49-F238E27FC236}">
                  <a16:creationId xmlns:a16="http://schemas.microsoft.com/office/drawing/2014/main" id="{5FF9AF82-B017-F438-D0C5-2B25703A184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9" name="Straight Connector 2748">
            <a:extLst>
              <a:ext uri="{FF2B5EF4-FFF2-40B4-BE49-F238E27FC236}">
                <a16:creationId xmlns:a16="http://schemas.microsoft.com/office/drawing/2014/main" id="{6163147D-BB1F-05A6-5C93-0169222AB38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238169</xdr:colOff>
      <xdr:row>52</xdr:row>
      <xdr:rowOff>49</xdr:rowOff>
    </xdr:to>
    <xdr:grpSp>
      <xdr:nvGrpSpPr>
        <xdr:cNvPr id="2756" name="Group 2755">
          <a:extLst>
            <a:ext uri="{FF2B5EF4-FFF2-40B4-BE49-F238E27FC236}">
              <a16:creationId xmlns:a16="http://schemas.microsoft.com/office/drawing/2014/main" id="{3C8246F9-0096-48DA-AEBE-96593E572550}"/>
            </a:ext>
          </a:extLst>
        </xdr:cNvPr>
        <xdr:cNvGrpSpPr/>
      </xdr:nvGrpSpPr>
      <xdr:grpSpPr>
        <a:xfrm>
          <a:off x="4053417" y="9863667"/>
          <a:ext cx="238169" cy="349299"/>
          <a:chOff x="6143939" y="789134"/>
          <a:chExt cx="457200" cy="518966"/>
        </a:xfrm>
      </xdr:grpSpPr>
      <xdr:grpSp>
        <xdr:nvGrpSpPr>
          <xdr:cNvPr id="2757" name="Group 2756">
            <a:extLst>
              <a:ext uri="{FF2B5EF4-FFF2-40B4-BE49-F238E27FC236}">
                <a16:creationId xmlns:a16="http://schemas.microsoft.com/office/drawing/2014/main" id="{15630523-37FB-039B-7DF0-0DAAC7EB5D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9" name="Straight Connector 2758">
              <a:extLst>
                <a:ext uri="{FF2B5EF4-FFF2-40B4-BE49-F238E27FC236}">
                  <a16:creationId xmlns:a16="http://schemas.microsoft.com/office/drawing/2014/main" id="{0CF6BD17-7028-B255-32CA-AED96AF1A5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0" name="Straight Connector 2759">
              <a:extLst>
                <a:ext uri="{FF2B5EF4-FFF2-40B4-BE49-F238E27FC236}">
                  <a16:creationId xmlns:a16="http://schemas.microsoft.com/office/drawing/2014/main" id="{CAE7FE25-4FA4-DC5A-532B-F918D4E5D7B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1" name="Straight Connector 2760">
              <a:extLst>
                <a:ext uri="{FF2B5EF4-FFF2-40B4-BE49-F238E27FC236}">
                  <a16:creationId xmlns:a16="http://schemas.microsoft.com/office/drawing/2014/main" id="{F2F644FD-9CB6-B616-1E14-295DB8E75A3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2" name="Straight Connector 2761">
              <a:extLst>
                <a:ext uri="{FF2B5EF4-FFF2-40B4-BE49-F238E27FC236}">
                  <a16:creationId xmlns:a16="http://schemas.microsoft.com/office/drawing/2014/main" id="{A6622CC2-F441-C43D-DB62-D292B6A9C3F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3" name="Straight Connector 2762">
              <a:extLst>
                <a:ext uri="{FF2B5EF4-FFF2-40B4-BE49-F238E27FC236}">
                  <a16:creationId xmlns:a16="http://schemas.microsoft.com/office/drawing/2014/main" id="{CC4869DB-A438-6125-6AC1-D113E39933A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4" name="Straight Connector 2763">
              <a:extLst>
                <a:ext uri="{FF2B5EF4-FFF2-40B4-BE49-F238E27FC236}">
                  <a16:creationId xmlns:a16="http://schemas.microsoft.com/office/drawing/2014/main" id="{D7F6B942-007C-4AB7-C60D-2FF92E9041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58" name="Straight Connector 2757">
            <a:extLst>
              <a:ext uri="{FF2B5EF4-FFF2-40B4-BE49-F238E27FC236}">
                <a16:creationId xmlns:a16="http://schemas.microsoft.com/office/drawing/2014/main" id="{4E5E6BC7-419E-AF92-C001-D26D8F4B01C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50</xdr:row>
      <xdr:rowOff>0</xdr:rowOff>
    </xdr:from>
    <xdr:to>
      <xdr:col>10</xdr:col>
      <xdr:colOff>238169</xdr:colOff>
      <xdr:row>52</xdr:row>
      <xdr:rowOff>49</xdr:rowOff>
    </xdr:to>
    <xdr:grpSp>
      <xdr:nvGrpSpPr>
        <xdr:cNvPr id="2765" name="Group 2764">
          <a:extLst>
            <a:ext uri="{FF2B5EF4-FFF2-40B4-BE49-F238E27FC236}">
              <a16:creationId xmlns:a16="http://schemas.microsoft.com/office/drawing/2014/main" id="{5641FCBA-982D-484A-BCD4-2237FE267EFB}"/>
            </a:ext>
          </a:extLst>
        </xdr:cNvPr>
        <xdr:cNvGrpSpPr/>
      </xdr:nvGrpSpPr>
      <xdr:grpSpPr>
        <a:xfrm>
          <a:off x="5101167" y="9863667"/>
          <a:ext cx="238169" cy="349299"/>
          <a:chOff x="6143939" y="789134"/>
          <a:chExt cx="457200" cy="518966"/>
        </a:xfrm>
      </xdr:grpSpPr>
      <xdr:grpSp>
        <xdr:nvGrpSpPr>
          <xdr:cNvPr id="2766" name="Group 2765">
            <a:extLst>
              <a:ext uri="{FF2B5EF4-FFF2-40B4-BE49-F238E27FC236}">
                <a16:creationId xmlns:a16="http://schemas.microsoft.com/office/drawing/2014/main" id="{7033F961-DF50-AB8E-B890-9E53821C101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68" name="Straight Connector 2767">
              <a:extLst>
                <a:ext uri="{FF2B5EF4-FFF2-40B4-BE49-F238E27FC236}">
                  <a16:creationId xmlns:a16="http://schemas.microsoft.com/office/drawing/2014/main" id="{B18AB457-7943-D37A-A2C6-15C8ADB6C4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9" name="Straight Connector 2768">
              <a:extLst>
                <a:ext uri="{FF2B5EF4-FFF2-40B4-BE49-F238E27FC236}">
                  <a16:creationId xmlns:a16="http://schemas.microsoft.com/office/drawing/2014/main" id="{127F47A7-2C2D-5D4F-8B14-CD3D25218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0" name="Straight Connector 2769">
              <a:extLst>
                <a:ext uri="{FF2B5EF4-FFF2-40B4-BE49-F238E27FC236}">
                  <a16:creationId xmlns:a16="http://schemas.microsoft.com/office/drawing/2014/main" id="{5DCB4100-BD95-FD91-0516-E561D1D869B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1" name="Straight Connector 2770">
              <a:extLst>
                <a:ext uri="{FF2B5EF4-FFF2-40B4-BE49-F238E27FC236}">
                  <a16:creationId xmlns:a16="http://schemas.microsoft.com/office/drawing/2014/main" id="{8F26CC18-33CC-E761-F861-82EA2449359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2" name="Straight Connector 2771">
              <a:extLst>
                <a:ext uri="{FF2B5EF4-FFF2-40B4-BE49-F238E27FC236}">
                  <a16:creationId xmlns:a16="http://schemas.microsoft.com/office/drawing/2014/main" id="{B36F0AED-1A5B-068D-0A9A-A8D4FFAE22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3" name="Straight Connector 2772">
              <a:extLst>
                <a:ext uri="{FF2B5EF4-FFF2-40B4-BE49-F238E27FC236}">
                  <a16:creationId xmlns:a16="http://schemas.microsoft.com/office/drawing/2014/main" id="{EE5C557B-BAAF-EF87-7DD5-08268CC97F8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67" name="Straight Connector 2766">
            <a:extLst>
              <a:ext uri="{FF2B5EF4-FFF2-40B4-BE49-F238E27FC236}">
                <a16:creationId xmlns:a16="http://schemas.microsoft.com/office/drawing/2014/main" id="{3F80250C-CE1F-D15E-1B8C-E6CC8A76B5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50</xdr:row>
      <xdr:rowOff>0</xdr:rowOff>
    </xdr:from>
    <xdr:to>
      <xdr:col>18</xdr:col>
      <xdr:colOff>238169</xdr:colOff>
      <xdr:row>52</xdr:row>
      <xdr:rowOff>49</xdr:rowOff>
    </xdr:to>
    <xdr:grpSp>
      <xdr:nvGrpSpPr>
        <xdr:cNvPr id="2774" name="Group 2773">
          <a:extLst>
            <a:ext uri="{FF2B5EF4-FFF2-40B4-BE49-F238E27FC236}">
              <a16:creationId xmlns:a16="http://schemas.microsoft.com/office/drawing/2014/main" id="{B366E27F-05D1-481A-99F3-D76983E4FCE9}"/>
            </a:ext>
          </a:extLst>
        </xdr:cNvPr>
        <xdr:cNvGrpSpPr/>
      </xdr:nvGrpSpPr>
      <xdr:grpSpPr>
        <a:xfrm>
          <a:off x="9292167" y="9863667"/>
          <a:ext cx="238169" cy="349299"/>
          <a:chOff x="6143939" y="789134"/>
          <a:chExt cx="457200" cy="518966"/>
        </a:xfrm>
      </xdr:grpSpPr>
      <xdr:grpSp>
        <xdr:nvGrpSpPr>
          <xdr:cNvPr id="2775" name="Group 2774">
            <a:extLst>
              <a:ext uri="{FF2B5EF4-FFF2-40B4-BE49-F238E27FC236}">
                <a16:creationId xmlns:a16="http://schemas.microsoft.com/office/drawing/2014/main" id="{92EEC0B6-03A3-2241-6C07-E4D533F1E17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77" name="Straight Connector 2776">
              <a:extLst>
                <a:ext uri="{FF2B5EF4-FFF2-40B4-BE49-F238E27FC236}">
                  <a16:creationId xmlns:a16="http://schemas.microsoft.com/office/drawing/2014/main" id="{5DA12014-5118-FD7D-C355-4CB2A84256A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8" name="Straight Connector 2777">
              <a:extLst>
                <a:ext uri="{FF2B5EF4-FFF2-40B4-BE49-F238E27FC236}">
                  <a16:creationId xmlns:a16="http://schemas.microsoft.com/office/drawing/2014/main" id="{C7108D19-D0FB-DBE2-990F-562CF9B220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9" name="Straight Connector 2778">
              <a:extLst>
                <a:ext uri="{FF2B5EF4-FFF2-40B4-BE49-F238E27FC236}">
                  <a16:creationId xmlns:a16="http://schemas.microsoft.com/office/drawing/2014/main" id="{7B291F0D-6D0E-1D74-CF7B-C1D7E71DEAC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0" name="Straight Connector 2779">
              <a:extLst>
                <a:ext uri="{FF2B5EF4-FFF2-40B4-BE49-F238E27FC236}">
                  <a16:creationId xmlns:a16="http://schemas.microsoft.com/office/drawing/2014/main" id="{812A5AB7-7670-3B14-2545-FED54ACDB2B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1" name="Straight Connector 2780">
              <a:extLst>
                <a:ext uri="{FF2B5EF4-FFF2-40B4-BE49-F238E27FC236}">
                  <a16:creationId xmlns:a16="http://schemas.microsoft.com/office/drawing/2014/main" id="{728BE936-59B4-9BC8-04AC-0A82B1EF5AD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2" name="Straight Connector 2781">
              <a:extLst>
                <a:ext uri="{FF2B5EF4-FFF2-40B4-BE49-F238E27FC236}">
                  <a16:creationId xmlns:a16="http://schemas.microsoft.com/office/drawing/2014/main" id="{D4D5AC91-26B7-4F8F-009B-B1DC95CA57A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76" name="Straight Connector 2775">
            <a:extLst>
              <a:ext uri="{FF2B5EF4-FFF2-40B4-BE49-F238E27FC236}">
                <a16:creationId xmlns:a16="http://schemas.microsoft.com/office/drawing/2014/main" id="{5D471344-82C0-0BE5-7E38-61EF3034319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50</xdr:row>
      <xdr:rowOff>0</xdr:rowOff>
    </xdr:from>
    <xdr:to>
      <xdr:col>24</xdr:col>
      <xdr:colOff>238169</xdr:colOff>
      <xdr:row>52</xdr:row>
      <xdr:rowOff>49</xdr:rowOff>
    </xdr:to>
    <xdr:grpSp>
      <xdr:nvGrpSpPr>
        <xdr:cNvPr id="2783" name="Group 2782">
          <a:extLst>
            <a:ext uri="{FF2B5EF4-FFF2-40B4-BE49-F238E27FC236}">
              <a16:creationId xmlns:a16="http://schemas.microsoft.com/office/drawing/2014/main" id="{3E0DA076-9512-44B3-BEFF-F60B3944A736}"/>
            </a:ext>
          </a:extLst>
        </xdr:cNvPr>
        <xdr:cNvGrpSpPr/>
      </xdr:nvGrpSpPr>
      <xdr:grpSpPr>
        <a:xfrm>
          <a:off x="12435417" y="9863667"/>
          <a:ext cx="238169" cy="349299"/>
          <a:chOff x="6143939" y="789134"/>
          <a:chExt cx="457200" cy="518966"/>
        </a:xfrm>
      </xdr:grpSpPr>
      <xdr:grpSp>
        <xdr:nvGrpSpPr>
          <xdr:cNvPr id="2784" name="Group 2783">
            <a:extLst>
              <a:ext uri="{FF2B5EF4-FFF2-40B4-BE49-F238E27FC236}">
                <a16:creationId xmlns:a16="http://schemas.microsoft.com/office/drawing/2014/main" id="{23115317-672F-162D-6767-CB346F3794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86" name="Straight Connector 2785">
              <a:extLst>
                <a:ext uri="{FF2B5EF4-FFF2-40B4-BE49-F238E27FC236}">
                  <a16:creationId xmlns:a16="http://schemas.microsoft.com/office/drawing/2014/main" id="{38FA2F66-28FB-65F4-D477-033DD831CC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7" name="Straight Connector 2786">
              <a:extLst>
                <a:ext uri="{FF2B5EF4-FFF2-40B4-BE49-F238E27FC236}">
                  <a16:creationId xmlns:a16="http://schemas.microsoft.com/office/drawing/2014/main" id="{E19133FD-879E-034F-0709-BB92240CD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8" name="Straight Connector 2787">
              <a:extLst>
                <a:ext uri="{FF2B5EF4-FFF2-40B4-BE49-F238E27FC236}">
                  <a16:creationId xmlns:a16="http://schemas.microsoft.com/office/drawing/2014/main" id="{F207E457-7CD3-D156-61B6-A68CB9B1DB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9" name="Straight Connector 2788">
              <a:extLst>
                <a:ext uri="{FF2B5EF4-FFF2-40B4-BE49-F238E27FC236}">
                  <a16:creationId xmlns:a16="http://schemas.microsoft.com/office/drawing/2014/main" id="{F917F96B-B5C3-3624-988A-AE575294AEE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0" name="Straight Connector 2789">
              <a:extLst>
                <a:ext uri="{FF2B5EF4-FFF2-40B4-BE49-F238E27FC236}">
                  <a16:creationId xmlns:a16="http://schemas.microsoft.com/office/drawing/2014/main" id="{24A84C5C-A6C2-FB45-ED30-74F439F8C7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1" name="Straight Connector 2790">
              <a:extLst>
                <a:ext uri="{FF2B5EF4-FFF2-40B4-BE49-F238E27FC236}">
                  <a16:creationId xmlns:a16="http://schemas.microsoft.com/office/drawing/2014/main" id="{700640E7-FA7C-A4B3-D0CC-ED75EAF9D48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39BAF821-521E-162F-485C-98630C027CB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50</xdr:row>
      <xdr:rowOff>0</xdr:rowOff>
    </xdr:from>
    <xdr:to>
      <xdr:col>26</xdr:col>
      <xdr:colOff>238169</xdr:colOff>
      <xdr:row>52</xdr:row>
      <xdr:rowOff>49</xdr:rowOff>
    </xdr:to>
    <xdr:grpSp>
      <xdr:nvGrpSpPr>
        <xdr:cNvPr id="2792" name="Group 2791">
          <a:extLst>
            <a:ext uri="{FF2B5EF4-FFF2-40B4-BE49-F238E27FC236}">
              <a16:creationId xmlns:a16="http://schemas.microsoft.com/office/drawing/2014/main" id="{9B4F00B6-754B-4DAB-8AC1-0159176676A7}"/>
            </a:ext>
          </a:extLst>
        </xdr:cNvPr>
        <xdr:cNvGrpSpPr/>
      </xdr:nvGrpSpPr>
      <xdr:grpSpPr>
        <a:xfrm>
          <a:off x="13483167" y="9863667"/>
          <a:ext cx="238169" cy="349299"/>
          <a:chOff x="6143939" y="789134"/>
          <a:chExt cx="457200" cy="518966"/>
        </a:xfrm>
      </xdr:grpSpPr>
      <xdr:grpSp>
        <xdr:nvGrpSpPr>
          <xdr:cNvPr id="2793" name="Group 2792">
            <a:extLst>
              <a:ext uri="{FF2B5EF4-FFF2-40B4-BE49-F238E27FC236}">
                <a16:creationId xmlns:a16="http://schemas.microsoft.com/office/drawing/2014/main" id="{CAAC3BD8-BBE5-2C8A-98CF-7B0F07B9A63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95" name="Straight Connector 2794">
              <a:extLst>
                <a:ext uri="{FF2B5EF4-FFF2-40B4-BE49-F238E27FC236}">
                  <a16:creationId xmlns:a16="http://schemas.microsoft.com/office/drawing/2014/main" id="{CB840CCA-E8DE-B21E-6E70-7896D9A8148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6" name="Straight Connector 2795">
              <a:extLst>
                <a:ext uri="{FF2B5EF4-FFF2-40B4-BE49-F238E27FC236}">
                  <a16:creationId xmlns:a16="http://schemas.microsoft.com/office/drawing/2014/main" id="{F9937161-A492-1871-DC3C-60540B1AB8B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7" name="Straight Connector 2796">
              <a:extLst>
                <a:ext uri="{FF2B5EF4-FFF2-40B4-BE49-F238E27FC236}">
                  <a16:creationId xmlns:a16="http://schemas.microsoft.com/office/drawing/2014/main" id="{0508404F-6B8A-319A-832C-8FBA1CCBC5D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8" name="Straight Connector 2797">
              <a:extLst>
                <a:ext uri="{FF2B5EF4-FFF2-40B4-BE49-F238E27FC236}">
                  <a16:creationId xmlns:a16="http://schemas.microsoft.com/office/drawing/2014/main" id="{18F8BAF3-8FF8-0FD0-6830-B476013788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9" name="Straight Connector 2798">
              <a:extLst>
                <a:ext uri="{FF2B5EF4-FFF2-40B4-BE49-F238E27FC236}">
                  <a16:creationId xmlns:a16="http://schemas.microsoft.com/office/drawing/2014/main" id="{239F518A-81FD-D396-C203-A5AC655F513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0" name="Straight Connector 2799">
              <a:extLst>
                <a:ext uri="{FF2B5EF4-FFF2-40B4-BE49-F238E27FC236}">
                  <a16:creationId xmlns:a16="http://schemas.microsoft.com/office/drawing/2014/main" id="{FFBA114B-AF84-7085-4200-72C65BDE13F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94" name="Straight Connector 2793">
            <a:extLst>
              <a:ext uri="{FF2B5EF4-FFF2-40B4-BE49-F238E27FC236}">
                <a16:creationId xmlns:a16="http://schemas.microsoft.com/office/drawing/2014/main" id="{01CE33F9-7188-6733-D096-E9E064D9E1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75</xdr:row>
      <xdr:rowOff>0</xdr:rowOff>
    </xdr:from>
    <xdr:to>
      <xdr:col>28</xdr:col>
      <xdr:colOff>238169</xdr:colOff>
      <xdr:row>77</xdr:row>
      <xdr:rowOff>49</xdr:rowOff>
    </xdr:to>
    <xdr:grpSp>
      <xdr:nvGrpSpPr>
        <xdr:cNvPr id="2801" name="Group 2800">
          <a:extLst>
            <a:ext uri="{FF2B5EF4-FFF2-40B4-BE49-F238E27FC236}">
              <a16:creationId xmlns:a16="http://schemas.microsoft.com/office/drawing/2014/main" id="{89C217B4-601C-47E7-B025-D679311309A5}"/>
            </a:ext>
          </a:extLst>
        </xdr:cNvPr>
        <xdr:cNvGrpSpPr/>
      </xdr:nvGrpSpPr>
      <xdr:grpSpPr>
        <a:xfrm>
          <a:off x="14530917" y="14192250"/>
          <a:ext cx="238169" cy="349299"/>
          <a:chOff x="6143939" y="789134"/>
          <a:chExt cx="457200" cy="518966"/>
        </a:xfrm>
      </xdr:grpSpPr>
      <xdr:grpSp>
        <xdr:nvGrpSpPr>
          <xdr:cNvPr id="2802" name="Group 2801">
            <a:extLst>
              <a:ext uri="{FF2B5EF4-FFF2-40B4-BE49-F238E27FC236}">
                <a16:creationId xmlns:a16="http://schemas.microsoft.com/office/drawing/2014/main" id="{21B30AF4-F6EF-45D1-E0C1-CA2D524EB3E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04" name="Straight Connector 2803">
              <a:extLst>
                <a:ext uri="{FF2B5EF4-FFF2-40B4-BE49-F238E27FC236}">
                  <a16:creationId xmlns:a16="http://schemas.microsoft.com/office/drawing/2014/main" id="{830341DF-4741-699C-6F19-079CB8AF15A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5" name="Straight Connector 2804">
              <a:extLst>
                <a:ext uri="{FF2B5EF4-FFF2-40B4-BE49-F238E27FC236}">
                  <a16:creationId xmlns:a16="http://schemas.microsoft.com/office/drawing/2014/main" id="{6D367210-EDC6-A166-E676-E94996534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6" name="Straight Connector 2805">
              <a:extLst>
                <a:ext uri="{FF2B5EF4-FFF2-40B4-BE49-F238E27FC236}">
                  <a16:creationId xmlns:a16="http://schemas.microsoft.com/office/drawing/2014/main" id="{B6C24861-2149-F7A2-C0C2-0E04AFEA0E2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7" name="Straight Connector 2806">
              <a:extLst>
                <a:ext uri="{FF2B5EF4-FFF2-40B4-BE49-F238E27FC236}">
                  <a16:creationId xmlns:a16="http://schemas.microsoft.com/office/drawing/2014/main" id="{99AB1ED4-9E67-3C37-A205-C8401728ED0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8" name="Straight Connector 2807">
              <a:extLst>
                <a:ext uri="{FF2B5EF4-FFF2-40B4-BE49-F238E27FC236}">
                  <a16:creationId xmlns:a16="http://schemas.microsoft.com/office/drawing/2014/main" id="{BD624EF6-A5C9-BBBE-70B3-DB36F6498EB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9" name="Straight Connector 2808">
              <a:extLst>
                <a:ext uri="{FF2B5EF4-FFF2-40B4-BE49-F238E27FC236}">
                  <a16:creationId xmlns:a16="http://schemas.microsoft.com/office/drawing/2014/main" id="{0F688A67-11BC-2571-DFD6-97A7CD85157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03" name="Straight Connector 2802">
            <a:extLst>
              <a:ext uri="{FF2B5EF4-FFF2-40B4-BE49-F238E27FC236}">
                <a16:creationId xmlns:a16="http://schemas.microsoft.com/office/drawing/2014/main" id="{2E6B1E19-6840-3917-24FB-18A7FBD939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21772</xdr:colOff>
      <xdr:row>97</xdr:row>
      <xdr:rowOff>0</xdr:rowOff>
    </xdr:from>
    <xdr:to>
      <xdr:col>12</xdr:col>
      <xdr:colOff>259941</xdr:colOff>
      <xdr:row>99</xdr:row>
      <xdr:rowOff>50</xdr:rowOff>
    </xdr:to>
    <xdr:grpSp>
      <xdr:nvGrpSpPr>
        <xdr:cNvPr id="2810" name="Group 2809">
          <a:extLst>
            <a:ext uri="{FF2B5EF4-FFF2-40B4-BE49-F238E27FC236}">
              <a16:creationId xmlns:a16="http://schemas.microsoft.com/office/drawing/2014/main" id="{A2651DC8-69D5-4F61-8A94-F36386E6F862}"/>
            </a:ext>
          </a:extLst>
        </xdr:cNvPr>
        <xdr:cNvGrpSpPr/>
      </xdr:nvGrpSpPr>
      <xdr:grpSpPr>
        <a:xfrm>
          <a:off x="6170689" y="18002250"/>
          <a:ext cx="238169" cy="349300"/>
          <a:chOff x="6143939" y="789134"/>
          <a:chExt cx="457200" cy="518966"/>
        </a:xfrm>
      </xdr:grpSpPr>
      <xdr:grpSp>
        <xdr:nvGrpSpPr>
          <xdr:cNvPr id="2811" name="Group 2810">
            <a:extLst>
              <a:ext uri="{FF2B5EF4-FFF2-40B4-BE49-F238E27FC236}">
                <a16:creationId xmlns:a16="http://schemas.microsoft.com/office/drawing/2014/main" id="{568FDB61-9CCE-5724-FC86-B78C78413ED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13" name="Straight Connector 2812">
              <a:extLst>
                <a:ext uri="{FF2B5EF4-FFF2-40B4-BE49-F238E27FC236}">
                  <a16:creationId xmlns:a16="http://schemas.microsoft.com/office/drawing/2014/main" id="{7179C9DC-8689-17D3-F9F8-216BC00152B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4" name="Straight Connector 2813">
              <a:extLst>
                <a:ext uri="{FF2B5EF4-FFF2-40B4-BE49-F238E27FC236}">
                  <a16:creationId xmlns:a16="http://schemas.microsoft.com/office/drawing/2014/main" id="{601D5386-AAF4-2FEA-F08B-5FA36DBD913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5" name="Straight Connector 2814">
              <a:extLst>
                <a:ext uri="{FF2B5EF4-FFF2-40B4-BE49-F238E27FC236}">
                  <a16:creationId xmlns:a16="http://schemas.microsoft.com/office/drawing/2014/main" id="{31CD6A63-CE14-4F69-E8C4-D8E00AD1DD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6" name="Straight Connector 2815">
              <a:extLst>
                <a:ext uri="{FF2B5EF4-FFF2-40B4-BE49-F238E27FC236}">
                  <a16:creationId xmlns:a16="http://schemas.microsoft.com/office/drawing/2014/main" id="{8520F9EC-E03F-3C9B-7231-3C9D23E8CF0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7" name="Straight Connector 2816">
              <a:extLst>
                <a:ext uri="{FF2B5EF4-FFF2-40B4-BE49-F238E27FC236}">
                  <a16:creationId xmlns:a16="http://schemas.microsoft.com/office/drawing/2014/main" id="{D356AF9F-2146-A2E3-2794-D026732A6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8" name="Straight Connector 2817">
              <a:extLst>
                <a:ext uri="{FF2B5EF4-FFF2-40B4-BE49-F238E27FC236}">
                  <a16:creationId xmlns:a16="http://schemas.microsoft.com/office/drawing/2014/main" id="{923A61BD-831D-8DD2-68B4-EB3CD1F015B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12" name="Straight Connector 2811">
            <a:extLst>
              <a:ext uri="{FF2B5EF4-FFF2-40B4-BE49-F238E27FC236}">
                <a16:creationId xmlns:a16="http://schemas.microsoft.com/office/drawing/2014/main" id="{1F58A200-6706-6722-3EA2-B0AFCF5E596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97</xdr:row>
      <xdr:rowOff>0</xdr:rowOff>
    </xdr:from>
    <xdr:to>
      <xdr:col>16</xdr:col>
      <xdr:colOff>238169</xdr:colOff>
      <xdr:row>99</xdr:row>
      <xdr:rowOff>50</xdr:rowOff>
    </xdr:to>
    <xdr:grpSp>
      <xdr:nvGrpSpPr>
        <xdr:cNvPr id="2819" name="Group 2818">
          <a:extLst>
            <a:ext uri="{FF2B5EF4-FFF2-40B4-BE49-F238E27FC236}">
              <a16:creationId xmlns:a16="http://schemas.microsoft.com/office/drawing/2014/main" id="{C17F4273-7EB8-4C27-8BD6-F5320AD2D105}"/>
            </a:ext>
          </a:extLst>
        </xdr:cNvPr>
        <xdr:cNvGrpSpPr/>
      </xdr:nvGrpSpPr>
      <xdr:grpSpPr>
        <a:xfrm>
          <a:off x="8244417" y="18002250"/>
          <a:ext cx="238169" cy="349300"/>
          <a:chOff x="6143939" y="789134"/>
          <a:chExt cx="457200" cy="518966"/>
        </a:xfrm>
      </xdr:grpSpPr>
      <xdr:grpSp>
        <xdr:nvGrpSpPr>
          <xdr:cNvPr id="2820" name="Group 2819">
            <a:extLst>
              <a:ext uri="{FF2B5EF4-FFF2-40B4-BE49-F238E27FC236}">
                <a16:creationId xmlns:a16="http://schemas.microsoft.com/office/drawing/2014/main" id="{EAFC7AA4-75B6-2851-8BCD-82AD40F83C9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22" name="Straight Connector 2821">
              <a:extLst>
                <a:ext uri="{FF2B5EF4-FFF2-40B4-BE49-F238E27FC236}">
                  <a16:creationId xmlns:a16="http://schemas.microsoft.com/office/drawing/2014/main" id="{D4E03033-FDD5-2F05-60D7-59ADA7A4E8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3" name="Straight Connector 2822">
              <a:extLst>
                <a:ext uri="{FF2B5EF4-FFF2-40B4-BE49-F238E27FC236}">
                  <a16:creationId xmlns:a16="http://schemas.microsoft.com/office/drawing/2014/main" id="{764CE3A1-59E1-F1C7-1B3B-F8D4B6D228F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4" name="Straight Connector 2823">
              <a:extLst>
                <a:ext uri="{FF2B5EF4-FFF2-40B4-BE49-F238E27FC236}">
                  <a16:creationId xmlns:a16="http://schemas.microsoft.com/office/drawing/2014/main" id="{3E5DFC91-70CC-96E3-362D-904B99C6835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5" name="Straight Connector 2824">
              <a:extLst>
                <a:ext uri="{FF2B5EF4-FFF2-40B4-BE49-F238E27FC236}">
                  <a16:creationId xmlns:a16="http://schemas.microsoft.com/office/drawing/2014/main" id="{A2563B78-3589-B811-47D7-F5D2EF93E46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6" name="Straight Connector 2825">
              <a:extLst>
                <a:ext uri="{FF2B5EF4-FFF2-40B4-BE49-F238E27FC236}">
                  <a16:creationId xmlns:a16="http://schemas.microsoft.com/office/drawing/2014/main" id="{8B056D02-3952-1195-29DA-978B22ACA7F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7" name="Straight Connector 2826">
              <a:extLst>
                <a:ext uri="{FF2B5EF4-FFF2-40B4-BE49-F238E27FC236}">
                  <a16:creationId xmlns:a16="http://schemas.microsoft.com/office/drawing/2014/main" id="{BCAB60FE-779A-EB72-FC3D-86D90C815BB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21" name="Straight Connector 2820">
            <a:extLst>
              <a:ext uri="{FF2B5EF4-FFF2-40B4-BE49-F238E27FC236}">
                <a16:creationId xmlns:a16="http://schemas.microsoft.com/office/drawing/2014/main" id="{FC13BD37-D423-A8DC-E09F-E9F64DDAA1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11909</xdr:colOff>
      <xdr:row>107</xdr:row>
      <xdr:rowOff>127627</xdr:rowOff>
    </xdr:from>
    <xdr:to>
      <xdr:col>16</xdr:col>
      <xdr:colOff>250078</xdr:colOff>
      <xdr:row>109</xdr:row>
      <xdr:rowOff>128629</xdr:rowOff>
    </xdr:to>
    <xdr:grpSp>
      <xdr:nvGrpSpPr>
        <xdr:cNvPr id="2828" name="Group 2827">
          <a:extLst>
            <a:ext uri="{FF2B5EF4-FFF2-40B4-BE49-F238E27FC236}">
              <a16:creationId xmlns:a16="http://schemas.microsoft.com/office/drawing/2014/main" id="{B7336077-E186-41C5-A21E-5D96E8721B92}"/>
            </a:ext>
          </a:extLst>
        </xdr:cNvPr>
        <xdr:cNvGrpSpPr/>
      </xdr:nvGrpSpPr>
      <xdr:grpSpPr>
        <a:xfrm>
          <a:off x="8256326" y="19844377"/>
          <a:ext cx="238169" cy="339669"/>
          <a:chOff x="6143939" y="789134"/>
          <a:chExt cx="457200" cy="518966"/>
        </a:xfrm>
      </xdr:grpSpPr>
      <xdr:grpSp>
        <xdr:nvGrpSpPr>
          <xdr:cNvPr id="2829" name="Group 2828">
            <a:extLst>
              <a:ext uri="{FF2B5EF4-FFF2-40B4-BE49-F238E27FC236}">
                <a16:creationId xmlns:a16="http://schemas.microsoft.com/office/drawing/2014/main" id="{9CC78BF0-64C3-85BD-2D42-CFE04D9F5E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31" name="Straight Connector 2830">
              <a:extLst>
                <a:ext uri="{FF2B5EF4-FFF2-40B4-BE49-F238E27FC236}">
                  <a16:creationId xmlns:a16="http://schemas.microsoft.com/office/drawing/2014/main" id="{1F5A9C72-2171-F762-829E-54E9A82ECD0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2" name="Straight Connector 2831">
              <a:extLst>
                <a:ext uri="{FF2B5EF4-FFF2-40B4-BE49-F238E27FC236}">
                  <a16:creationId xmlns:a16="http://schemas.microsoft.com/office/drawing/2014/main" id="{8B2160DA-FD42-CC9F-7113-EA827E218F1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3" name="Straight Connector 2832">
              <a:extLst>
                <a:ext uri="{FF2B5EF4-FFF2-40B4-BE49-F238E27FC236}">
                  <a16:creationId xmlns:a16="http://schemas.microsoft.com/office/drawing/2014/main" id="{B5F6C185-881D-8B77-8280-AC735930325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4" name="Straight Connector 2833">
              <a:extLst>
                <a:ext uri="{FF2B5EF4-FFF2-40B4-BE49-F238E27FC236}">
                  <a16:creationId xmlns:a16="http://schemas.microsoft.com/office/drawing/2014/main" id="{A1025155-7044-98A5-5AC2-6C02F214BB0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5" name="Straight Connector 2834">
              <a:extLst>
                <a:ext uri="{FF2B5EF4-FFF2-40B4-BE49-F238E27FC236}">
                  <a16:creationId xmlns:a16="http://schemas.microsoft.com/office/drawing/2014/main" id="{A52C5EEB-4180-445E-A9EC-C69FFA80000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6" name="Straight Connector 2835">
              <a:extLst>
                <a:ext uri="{FF2B5EF4-FFF2-40B4-BE49-F238E27FC236}">
                  <a16:creationId xmlns:a16="http://schemas.microsoft.com/office/drawing/2014/main" id="{7B025723-A1C5-806B-8EFD-B0CEB2619FC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0" name="Straight Connector 2829">
            <a:extLst>
              <a:ext uri="{FF2B5EF4-FFF2-40B4-BE49-F238E27FC236}">
                <a16:creationId xmlns:a16="http://schemas.microsoft.com/office/drawing/2014/main" id="{2674A8F1-359B-C7C6-A0FF-1BC08C6F1F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97</xdr:row>
      <xdr:rowOff>0</xdr:rowOff>
    </xdr:from>
    <xdr:to>
      <xdr:col>20</xdr:col>
      <xdr:colOff>238169</xdr:colOff>
      <xdr:row>99</xdr:row>
      <xdr:rowOff>50</xdr:rowOff>
    </xdr:to>
    <xdr:grpSp>
      <xdr:nvGrpSpPr>
        <xdr:cNvPr id="2837" name="Group 2836">
          <a:extLst>
            <a:ext uri="{FF2B5EF4-FFF2-40B4-BE49-F238E27FC236}">
              <a16:creationId xmlns:a16="http://schemas.microsoft.com/office/drawing/2014/main" id="{4914E907-165A-4D00-9CBF-1FAD412837BD}"/>
            </a:ext>
          </a:extLst>
        </xdr:cNvPr>
        <xdr:cNvGrpSpPr/>
      </xdr:nvGrpSpPr>
      <xdr:grpSpPr>
        <a:xfrm>
          <a:off x="10339917" y="18002250"/>
          <a:ext cx="238169" cy="349300"/>
          <a:chOff x="6143939" y="789134"/>
          <a:chExt cx="457200" cy="518966"/>
        </a:xfrm>
      </xdr:grpSpPr>
      <xdr:grpSp>
        <xdr:nvGrpSpPr>
          <xdr:cNvPr id="2838" name="Group 2837">
            <a:extLst>
              <a:ext uri="{FF2B5EF4-FFF2-40B4-BE49-F238E27FC236}">
                <a16:creationId xmlns:a16="http://schemas.microsoft.com/office/drawing/2014/main" id="{A7DF8A6C-7BD1-B0E2-6695-616D7947EDD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0" name="Straight Connector 2839">
              <a:extLst>
                <a:ext uri="{FF2B5EF4-FFF2-40B4-BE49-F238E27FC236}">
                  <a16:creationId xmlns:a16="http://schemas.microsoft.com/office/drawing/2014/main" id="{4B4D7A9E-1FCF-BD07-591E-39F69613C75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1" name="Straight Connector 2840">
              <a:extLst>
                <a:ext uri="{FF2B5EF4-FFF2-40B4-BE49-F238E27FC236}">
                  <a16:creationId xmlns:a16="http://schemas.microsoft.com/office/drawing/2014/main" id="{BDD35CD3-1B94-8389-C871-96883DBD30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2" name="Straight Connector 2841">
              <a:extLst>
                <a:ext uri="{FF2B5EF4-FFF2-40B4-BE49-F238E27FC236}">
                  <a16:creationId xmlns:a16="http://schemas.microsoft.com/office/drawing/2014/main" id="{2361C51A-0DAF-6EF2-7124-97BA168900F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3" name="Straight Connector 2842">
              <a:extLst>
                <a:ext uri="{FF2B5EF4-FFF2-40B4-BE49-F238E27FC236}">
                  <a16:creationId xmlns:a16="http://schemas.microsoft.com/office/drawing/2014/main" id="{12C27679-282B-5195-93FD-19054EAD337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4" name="Straight Connector 2843">
              <a:extLst>
                <a:ext uri="{FF2B5EF4-FFF2-40B4-BE49-F238E27FC236}">
                  <a16:creationId xmlns:a16="http://schemas.microsoft.com/office/drawing/2014/main" id="{EF1F3991-F26C-60F1-7294-E81B3F47EDE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5" name="Straight Connector 2844">
              <a:extLst>
                <a:ext uri="{FF2B5EF4-FFF2-40B4-BE49-F238E27FC236}">
                  <a16:creationId xmlns:a16="http://schemas.microsoft.com/office/drawing/2014/main" id="{91884468-C51C-58A6-5343-D589105578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9" name="Straight Connector 2838">
            <a:extLst>
              <a:ext uri="{FF2B5EF4-FFF2-40B4-BE49-F238E27FC236}">
                <a16:creationId xmlns:a16="http://schemas.microsoft.com/office/drawing/2014/main" id="{0F091116-454B-9F4F-D3A8-ED4BD510400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97</xdr:row>
      <xdr:rowOff>0</xdr:rowOff>
    </xdr:from>
    <xdr:to>
      <xdr:col>22</xdr:col>
      <xdr:colOff>238169</xdr:colOff>
      <xdr:row>99</xdr:row>
      <xdr:rowOff>50</xdr:rowOff>
    </xdr:to>
    <xdr:grpSp>
      <xdr:nvGrpSpPr>
        <xdr:cNvPr id="2846" name="Group 2845">
          <a:extLst>
            <a:ext uri="{FF2B5EF4-FFF2-40B4-BE49-F238E27FC236}">
              <a16:creationId xmlns:a16="http://schemas.microsoft.com/office/drawing/2014/main" id="{09FF5984-92BC-4A1F-80E2-DE732AFBFAED}"/>
            </a:ext>
          </a:extLst>
        </xdr:cNvPr>
        <xdr:cNvGrpSpPr/>
      </xdr:nvGrpSpPr>
      <xdr:grpSpPr>
        <a:xfrm>
          <a:off x="11387667" y="18002250"/>
          <a:ext cx="238169" cy="349300"/>
          <a:chOff x="6143939" y="789134"/>
          <a:chExt cx="457200" cy="518966"/>
        </a:xfrm>
      </xdr:grpSpPr>
      <xdr:grpSp>
        <xdr:nvGrpSpPr>
          <xdr:cNvPr id="2847" name="Group 2846">
            <a:extLst>
              <a:ext uri="{FF2B5EF4-FFF2-40B4-BE49-F238E27FC236}">
                <a16:creationId xmlns:a16="http://schemas.microsoft.com/office/drawing/2014/main" id="{D6D03FA3-1EDD-0E27-B57F-EFDD2781882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9" name="Straight Connector 2848">
              <a:extLst>
                <a:ext uri="{FF2B5EF4-FFF2-40B4-BE49-F238E27FC236}">
                  <a16:creationId xmlns:a16="http://schemas.microsoft.com/office/drawing/2014/main" id="{4C1E6546-2A63-54F7-D70F-B69D987F85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0" name="Straight Connector 2849">
              <a:extLst>
                <a:ext uri="{FF2B5EF4-FFF2-40B4-BE49-F238E27FC236}">
                  <a16:creationId xmlns:a16="http://schemas.microsoft.com/office/drawing/2014/main" id="{1D1F045C-1446-4449-B72B-38278E934B0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1" name="Straight Connector 2850">
              <a:extLst>
                <a:ext uri="{FF2B5EF4-FFF2-40B4-BE49-F238E27FC236}">
                  <a16:creationId xmlns:a16="http://schemas.microsoft.com/office/drawing/2014/main" id="{D0A42803-35D5-3E3E-103D-7A44AB62579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2" name="Straight Connector 2851">
              <a:extLst>
                <a:ext uri="{FF2B5EF4-FFF2-40B4-BE49-F238E27FC236}">
                  <a16:creationId xmlns:a16="http://schemas.microsoft.com/office/drawing/2014/main" id="{C3773D8C-D776-2E74-B0C5-6BD587CAE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3" name="Straight Connector 2852">
              <a:extLst>
                <a:ext uri="{FF2B5EF4-FFF2-40B4-BE49-F238E27FC236}">
                  <a16:creationId xmlns:a16="http://schemas.microsoft.com/office/drawing/2014/main" id="{B531D066-3159-25CC-D548-26CA4A0F9F4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4" name="Straight Connector 2853">
              <a:extLst>
                <a:ext uri="{FF2B5EF4-FFF2-40B4-BE49-F238E27FC236}">
                  <a16:creationId xmlns:a16="http://schemas.microsoft.com/office/drawing/2014/main" id="{3568CE9A-3C34-17B3-624B-DC32B5E512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43423B23-4370-6F46-DA49-08C462BFC12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97</xdr:row>
      <xdr:rowOff>0</xdr:rowOff>
    </xdr:from>
    <xdr:to>
      <xdr:col>24</xdr:col>
      <xdr:colOff>238169</xdr:colOff>
      <xdr:row>99</xdr:row>
      <xdr:rowOff>50</xdr:rowOff>
    </xdr:to>
    <xdr:grpSp>
      <xdr:nvGrpSpPr>
        <xdr:cNvPr id="2855" name="Group 2854">
          <a:extLst>
            <a:ext uri="{FF2B5EF4-FFF2-40B4-BE49-F238E27FC236}">
              <a16:creationId xmlns:a16="http://schemas.microsoft.com/office/drawing/2014/main" id="{CFB82D38-906A-4614-8A64-0859C55EACBE}"/>
            </a:ext>
          </a:extLst>
        </xdr:cNvPr>
        <xdr:cNvGrpSpPr/>
      </xdr:nvGrpSpPr>
      <xdr:grpSpPr>
        <a:xfrm>
          <a:off x="12435417" y="18002250"/>
          <a:ext cx="238169" cy="349300"/>
          <a:chOff x="6143939" y="789134"/>
          <a:chExt cx="457200" cy="518966"/>
        </a:xfrm>
      </xdr:grpSpPr>
      <xdr:grpSp>
        <xdr:nvGrpSpPr>
          <xdr:cNvPr id="2856" name="Group 2855">
            <a:extLst>
              <a:ext uri="{FF2B5EF4-FFF2-40B4-BE49-F238E27FC236}">
                <a16:creationId xmlns:a16="http://schemas.microsoft.com/office/drawing/2014/main" id="{330C6097-6CF0-2C0B-4FCE-2A9C42D3FE2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58" name="Straight Connector 2857">
              <a:extLst>
                <a:ext uri="{FF2B5EF4-FFF2-40B4-BE49-F238E27FC236}">
                  <a16:creationId xmlns:a16="http://schemas.microsoft.com/office/drawing/2014/main" id="{30BA8ED6-B6F8-FF1C-EEA7-771AD048001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9" name="Straight Connector 2858">
              <a:extLst>
                <a:ext uri="{FF2B5EF4-FFF2-40B4-BE49-F238E27FC236}">
                  <a16:creationId xmlns:a16="http://schemas.microsoft.com/office/drawing/2014/main" id="{5045AFDD-5D06-E57C-23C3-78BA479E7C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0" name="Straight Connector 2859">
              <a:extLst>
                <a:ext uri="{FF2B5EF4-FFF2-40B4-BE49-F238E27FC236}">
                  <a16:creationId xmlns:a16="http://schemas.microsoft.com/office/drawing/2014/main" id="{E78186AC-2FF7-672E-600F-D18C12B19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1" name="Straight Connector 2860">
              <a:extLst>
                <a:ext uri="{FF2B5EF4-FFF2-40B4-BE49-F238E27FC236}">
                  <a16:creationId xmlns:a16="http://schemas.microsoft.com/office/drawing/2014/main" id="{4CBA31AE-5DD1-D612-9F3D-0A5485CE651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2" name="Straight Connector 2861">
              <a:extLst>
                <a:ext uri="{FF2B5EF4-FFF2-40B4-BE49-F238E27FC236}">
                  <a16:creationId xmlns:a16="http://schemas.microsoft.com/office/drawing/2014/main" id="{0E7EE59E-91E5-0AA6-88E1-AF013229E9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3" name="Straight Connector 2862">
              <a:extLst>
                <a:ext uri="{FF2B5EF4-FFF2-40B4-BE49-F238E27FC236}">
                  <a16:creationId xmlns:a16="http://schemas.microsoft.com/office/drawing/2014/main" id="{FF96C4A3-296B-34FB-739E-E887F18B4CA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57" name="Straight Connector 2856">
            <a:extLst>
              <a:ext uri="{FF2B5EF4-FFF2-40B4-BE49-F238E27FC236}">
                <a16:creationId xmlns:a16="http://schemas.microsoft.com/office/drawing/2014/main" id="{648D7536-EF8B-CD42-A515-5928CEEEA8A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97</xdr:row>
      <xdr:rowOff>0</xdr:rowOff>
    </xdr:from>
    <xdr:to>
      <xdr:col>26</xdr:col>
      <xdr:colOff>238169</xdr:colOff>
      <xdr:row>99</xdr:row>
      <xdr:rowOff>50</xdr:rowOff>
    </xdr:to>
    <xdr:grpSp>
      <xdr:nvGrpSpPr>
        <xdr:cNvPr id="2864" name="Group 2863">
          <a:extLst>
            <a:ext uri="{FF2B5EF4-FFF2-40B4-BE49-F238E27FC236}">
              <a16:creationId xmlns:a16="http://schemas.microsoft.com/office/drawing/2014/main" id="{694C4B9C-A362-4BEB-81DE-B54A3F4779A5}"/>
            </a:ext>
          </a:extLst>
        </xdr:cNvPr>
        <xdr:cNvGrpSpPr/>
      </xdr:nvGrpSpPr>
      <xdr:grpSpPr>
        <a:xfrm>
          <a:off x="13483167" y="18002250"/>
          <a:ext cx="238169" cy="349300"/>
          <a:chOff x="6143939" y="789134"/>
          <a:chExt cx="457200" cy="518966"/>
        </a:xfrm>
      </xdr:grpSpPr>
      <xdr:grpSp>
        <xdr:nvGrpSpPr>
          <xdr:cNvPr id="2865" name="Group 2864">
            <a:extLst>
              <a:ext uri="{FF2B5EF4-FFF2-40B4-BE49-F238E27FC236}">
                <a16:creationId xmlns:a16="http://schemas.microsoft.com/office/drawing/2014/main" id="{B3958593-BA76-6D1B-21A3-D5603DF06DD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67" name="Straight Connector 2866">
              <a:extLst>
                <a:ext uri="{FF2B5EF4-FFF2-40B4-BE49-F238E27FC236}">
                  <a16:creationId xmlns:a16="http://schemas.microsoft.com/office/drawing/2014/main" id="{CE9498C3-3AE5-B883-7F6C-32ABD011638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8" name="Straight Connector 2867">
              <a:extLst>
                <a:ext uri="{FF2B5EF4-FFF2-40B4-BE49-F238E27FC236}">
                  <a16:creationId xmlns:a16="http://schemas.microsoft.com/office/drawing/2014/main" id="{41FF3CDC-EF78-6FEA-EF69-C774B9B084F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9" name="Straight Connector 2868">
              <a:extLst>
                <a:ext uri="{FF2B5EF4-FFF2-40B4-BE49-F238E27FC236}">
                  <a16:creationId xmlns:a16="http://schemas.microsoft.com/office/drawing/2014/main" id="{19ED8456-5B7C-659B-9A0A-C068F9583FB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0" name="Straight Connector 2869">
              <a:extLst>
                <a:ext uri="{FF2B5EF4-FFF2-40B4-BE49-F238E27FC236}">
                  <a16:creationId xmlns:a16="http://schemas.microsoft.com/office/drawing/2014/main" id="{14BF3036-5942-CC5B-B211-7B69469557B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1" name="Straight Connector 2870">
              <a:extLst>
                <a:ext uri="{FF2B5EF4-FFF2-40B4-BE49-F238E27FC236}">
                  <a16:creationId xmlns:a16="http://schemas.microsoft.com/office/drawing/2014/main" id="{4E004C63-91C0-6B8E-E5AF-1D8F4BB3A3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2" name="Straight Connector 2871">
              <a:extLst>
                <a:ext uri="{FF2B5EF4-FFF2-40B4-BE49-F238E27FC236}">
                  <a16:creationId xmlns:a16="http://schemas.microsoft.com/office/drawing/2014/main" id="{B82B6038-6BD3-4551-B99F-002DFBC1BB7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66" name="Straight Connector 2865">
            <a:extLst>
              <a:ext uri="{FF2B5EF4-FFF2-40B4-BE49-F238E27FC236}">
                <a16:creationId xmlns:a16="http://schemas.microsoft.com/office/drawing/2014/main" id="{D3FEDE4F-E07D-121C-0834-E881F0DA8AA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2267</xdr:colOff>
      <xdr:row>97</xdr:row>
      <xdr:rowOff>21772</xdr:rowOff>
    </xdr:from>
    <xdr:to>
      <xdr:col>28</xdr:col>
      <xdr:colOff>238168</xdr:colOff>
      <xdr:row>99</xdr:row>
      <xdr:rowOff>7670</xdr:rowOff>
    </xdr:to>
    <xdr:grpSp>
      <xdr:nvGrpSpPr>
        <xdr:cNvPr id="2873" name="Group 2872">
          <a:extLst>
            <a:ext uri="{FF2B5EF4-FFF2-40B4-BE49-F238E27FC236}">
              <a16:creationId xmlns:a16="http://schemas.microsoft.com/office/drawing/2014/main" id="{3A77551F-748D-4DF1-B5AC-15FC2F6A8918}"/>
            </a:ext>
          </a:extLst>
        </xdr:cNvPr>
        <xdr:cNvGrpSpPr/>
      </xdr:nvGrpSpPr>
      <xdr:grpSpPr>
        <a:xfrm>
          <a:off x="14533184" y="18024022"/>
          <a:ext cx="235901" cy="335148"/>
          <a:chOff x="6143939" y="789134"/>
          <a:chExt cx="457200" cy="518966"/>
        </a:xfrm>
      </xdr:grpSpPr>
      <xdr:grpSp>
        <xdr:nvGrpSpPr>
          <xdr:cNvPr id="2874" name="Group 2873">
            <a:extLst>
              <a:ext uri="{FF2B5EF4-FFF2-40B4-BE49-F238E27FC236}">
                <a16:creationId xmlns:a16="http://schemas.microsoft.com/office/drawing/2014/main" id="{62F3312C-2980-8318-B4D4-23D2527F989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76" name="Straight Connector 2875">
              <a:extLst>
                <a:ext uri="{FF2B5EF4-FFF2-40B4-BE49-F238E27FC236}">
                  <a16:creationId xmlns:a16="http://schemas.microsoft.com/office/drawing/2014/main" id="{0233E500-81DC-3270-394A-A201AD1E2FC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7" name="Straight Connector 2876">
              <a:extLst>
                <a:ext uri="{FF2B5EF4-FFF2-40B4-BE49-F238E27FC236}">
                  <a16:creationId xmlns:a16="http://schemas.microsoft.com/office/drawing/2014/main" id="{5869CAB2-FF22-635C-B00C-F6DE3C88ED8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8" name="Straight Connector 2877">
              <a:extLst>
                <a:ext uri="{FF2B5EF4-FFF2-40B4-BE49-F238E27FC236}">
                  <a16:creationId xmlns:a16="http://schemas.microsoft.com/office/drawing/2014/main" id="{2A32F044-CE61-3DDA-E8E0-F0B1DC9B34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9" name="Straight Connector 2878">
              <a:extLst>
                <a:ext uri="{FF2B5EF4-FFF2-40B4-BE49-F238E27FC236}">
                  <a16:creationId xmlns:a16="http://schemas.microsoft.com/office/drawing/2014/main" id="{838EB40F-8397-49F1-1564-87B1B7BA13E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0" name="Straight Connector 2879">
              <a:extLst>
                <a:ext uri="{FF2B5EF4-FFF2-40B4-BE49-F238E27FC236}">
                  <a16:creationId xmlns:a16="http://schemas.microsoft.com/office/drawing/2014/main" id="{EC58174A-6BBC-53E7-E1A0-840A7B5EFD9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1" name="Straight Connector 2880">
              <a:extLst>
                <a:ext uri="{FF2B5EF4-FFF2-40B4-BE49-F238E27FC236}">
                  <a16:creationId xmlns:a16="http://schemas.microsoft.com/office/drawing/2014/main" id="{8320CB92-67CA-D9A1-C40F-446F94342F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75" name="Straight Connector 2874">
            <a:extLst>
              <a:ext uri="{FF2B5EF4-FFF2-40B4-BE49-F238E27FC236}">
                <a16:creationId xmlns:a16="http://schemas.microsoft.com/office/drawing/2014/main" id="{DDDF88DA-154B-FAAF-F4FF-F02420D3B45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54428</xdr:colOff>
      <xdr:row>93</xdr:row>
      <xdr:rowOff>21771</xdr:rowOff>
    </xdr:from>
    <xdr:to>
      <xdr:col>5</xdr:col>
      <xdr:colOff>3276</xdr:colOff>
      <xdr:row>95</xdr:row>
      <xdr:rowOff>31448</xdr:rowOff>
    </xdr:to>
    <xdr:pic>
      <xdr:nvPicPr>
        <xdr:cNvPr id="2882" name="Picture 2881" descr="Gas pipeline line icon concept. Gas ...">
          <a:extLst>
            <a:ext uri="{FF2B5EF4-FFF2-40B4-BE49-F238E27FC236}">
              <a16:creationId xmlns:a16="http://schemas.microsoft.com/office/drawing/2014/main" id="{CB3B32D1-6650-4022-8665-6088CDBA15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135188" y="13356771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40245</xdr:colOff>
      <xdr:row>104</xdr:row>
      <xdr:rowOff>0</xdr:rowOff>
    </xdr:from>
    <xdr:to>
      <xdr:col>14</xdr:col>
      <xdr:colOff>423009</xdr:colOff>
      <xdr:row>106</xdr:row>
      <xdr:rowOff>9679</xdr:rowOff>
    </xdr:to>
    <xdr:pic>
      <xdr:nvPicPr>
        <xdr:cNvPr id="2884" name="Picture 2883" descr="Gas pipeline line icon concept. Gas ...">
          <a:extLst>
            <a:ext uri="{FF2B5EF4-FFF2-40B4-BE49-F238E27FC236}">
              <a16:creationId xmlns:a16="http://schemas.microsoft.com/office/drawing/2014/main" id="{17D8CFA2-0B5E-4DF2-AFB2-D71790EEBD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49224" y="19184155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103</xdr:row>
      <xdr:rowOff>134156</xdr:rowOff>
    </xdr:from>
    <xdr:to>
      <xdr:col>28</xdr:col>
      <xdr:colOff>382764</xdr:colOff>
      <xdr:row>105</xdr:row>
      <xdr:rowOff>143837</xdr:rowOff>
    </xdr:to>
    <xdr:pic>
      <xdr:nvPicPr>
        <xdr:cNvPr id="2885" name="Picture 2884" descr="Gas pipeline line icon concept. Gas ...">
          <a:extLst>
            <a:ext uri="{FF2B5EF4-FFF2-40B4-BE49-F238E27FC236}">
              <a16:creationId xmlns:a16="http://schemas.microsoft.com/office/drawing/2014/main" id="{ED562F83-1819-43B4-A1D5-BFE4EABF47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14391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43542</xdr:colOff>
      <xdr:row>115</xdr:row>
      <xdr:rowOff>32658</xdr:rowOff>
    </xdr:from>
    <xdr:to>
      <xdr:col>28</xdr:col>
      <xdr:colOff>426306</xdr:colOff>
      <xdr:row>117</xdr:row>
      <xdr:rowOff>42333</xdr:rowOff>
    </xdr:to>
    <xdr:pic>
      <xdr:nvPicPr>
        <xdr:cNvPr id="2886" name="Picture 2885" descr="Gas pipeline line icon concept. Gas ...">
          <a:extLst>
            <a:ext uri="{FF2B5EF4-FFF2-40B4-BE49-F238E27FC236}">
              <a16:creationId xmlns:a16="http://schemas.microsoft.com/office/drawing/2014/main" id="{9C8E8140-D12A-466F-BB08-EF01937CC1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15342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76200</xdr:colOff>
      <xdr:row>115</xdr:row>
      <xdr:rowOff>32658</xdr:rowOff>
    </xdr:from>
    <xdr:to>
      <xdr:col>31</xdr:col>
      <xdr:colOff>6034</xdr:colOff>
      <xdr:row>117</xdr:row>
      <xdr:rowOff>42333</xdr:rowOff>
    </xdr:to>
    <xdr:pic>
      <xdr:nvPicPr>
        <xdr:cNvPr id="2887" name="Picture 2886" descr="Gas pipeline line icon concept. Gas ...">
          <a:extLst>
            <a:ext uri="{FF2B5EF4-FFF2-40B4-BE49-F238E27FC236}">
              <a16:creationId xmlns:a16="http://schemas.microsoft.com/office/drawing/2014/main" id="{FD3BBF21-C397-47C6-B02D-A01284EAFC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084320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130628</xdr:colOff>
      <xdr:row>130</xdr:row>
      <xdr:rowOff>32658</xdr:rowOff>
    </xdr:from>
    <xdr:ext cx="151097" cy="477665"/>
    <xdr:pic>
      <xdr:nvPicPr>
        <xdr:cNvPr id="2888" name="Picture 11595">
          <a:extLst>
            <a:ext uri="{FF2B5EF4-FFF2-40B4-BE49-F238E27FC236}">
              <a16:creationId xmlns:a16="http://schemas.microsoft.com/office/drawing/2014/main" id="{8088FBE3-408B-493F-BB3A-80072F03D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797" y="23751250"/>
          <a:ext cx="151097" cy="477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16</xdr:col>
      <xdr:colOff>0</xdr:colOff>
      <xdr:row>126</xdr:row>
      <xdr:rowOff>0</xdr:rowOff>
    </xdr:from>
    <xdr:to>
      <xdr:col>16</xdr:col>
      <xdr:colOff>382764</xdr:colOff>
      <xdr:row>128</xdr:row>
      <xdr:rowOff>9678</xdr:rowOff>
    </xdr:to>
    <xdr:pic>
      <xdr:nvPicPr>
        <xdr:cNvPr id="2889" name="Picture 2888" descr="Gas pipeline line icon concept. Gas ...">
          <a:extLst>
            <a:ext uri="{FF2B5EF4-FFF2-40B4-BE49-F238E27FC236}">
              <a16:creationId xmlns:a16="http://schemas.microsoft.com/office/drawing/2014/main" id="{668C080F-A32F-4047-88F1-D893D25719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2306300" y="1891284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201231</xdr:colOff>
      <xdr:row>130</xdr:row>
      <xdr:rowOff>76200</xdr:rowOff>
    </xdr:from>
    <xdr:ext cx="93909" cy="474998"/>
    <xdr:pic>
      <xdr:nvPicPr>
        <xdr:cNvPr id="2890" name="Picture 11595">
          <a:extLst>
            <a:ext uri="{FF2B5EF4-FFF2-40B4-BE49-F238E27FC236}">
              <a16:creationId xmlns:a16="http://schemas.microsoft.com/office/drawing/2014/main" id="{5B40F2E0-000D-4B7E-A3E9-C22374E6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6372" y="23794792"/>
          <a:ext cx="93909" cy="4749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146955</xdr:colOff>
      <xdr:row>130</xdr:row>
      <xdr:rowOff>30127</xdr:rowOff>
    </xdr:from>
    <xdr:ext cx="105441" cy="533323"/>
    <xdr:pic>
      <xdr:nvPicPr>
        <xdr:cNvPr id="2891" name="Picture 11595">
          <a:extLst>
            <a:ext uri="{FF2B5EF4-FFF2-40B4-BE49-F238E27FC236}">
              <a16:creationId xmlns:a16="http://schemas.microsoft.com/office/drawing/2014/main" id="{C3E962CD-FF25-471E-90CE-D300C9AC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1673" y="23748719"/>
          <a:ext cx="105441" cy="5333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157968</xdr:colOff>
      <xdr:row>130</xdr:row>
      <xdr:rowOff>54427</xdr:rowOff>
    </xdr:from>
    <xdr:ext cx="103289" cy="522439"/>
    <xdr:pic>
      <xdr:nvPicPr>
        <xdr:cNvPr id="2892" name="Picture 11595">
          <a:extLst>
            <a:ext uri="{FF2B5EF4-FFF2-40B4-BE49-F238E27FC236}">
              <a16:creationId xmlns:a16="http://schemas.microsoft.com/office/drawing/2014/main" id="{9290A4B5-FF33-4AD7-9F3B-D907DA65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5010" y="23773019"/>
          <a:ext cx="103289" cy="5224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160986</xdr:colOff>
      <xdr:row>130</xdr:row>
      <xdr:rowOff>19242</xdr:rowOff>
    </xdr:from>
    <xdr:ext cx="100271" cy="507176"/>
    <xdr:pic>
      <xdr:nvPicPr>
        <xdr:cNvPr id="2893" name="Picture 11595">
          <a:extLst>
            <a:ext uri="{FF2B5EF4-FFF2-40B4-BE49-F238E27FC236}">
              <a16:creationId xmlns:a16="http://schemas.microsoft.com/office/drawing/2014/main" id="{E9C442CD-EDAB-403E-8749-2E68B9225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0352" y="23737834"/>
          <a:ext cx="100271" cy="507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14</xdr:col>
      <xdr:colOff>0</xdr:colOff>
      <xdr:row>139</xdr:row>
      <xdr:rowOff>0</xdr:rowOff>
    </xdr:from>
    <xdr:to>
      <xdr:col>14</xdr:col>
      <xdr:colOff>382764</xdr:colOff>
      <xdr:row>141</xdr:row>
      <xdr:rowOff>9677</xdr:rowOff>
    </xdr:to>
    <xdr:pic>
      <xdr:nvPicPr>
        <xdr:cNvPr id="2894" name="Picture 2893" descr="Gas pipeline line icon concept. Gas ...">
          <a:extLst>
            <a:ext uri="{FF2B5EF4-FFF2-40B4-BE49-F238E27FC236}">
              <a16:creationId xmlns:a16="http://schemas.microsoft.com/office/drawing/2014/main" id="{832DFAB0-A9D4-47EA-847D-34809079FD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13415</xdr:colOff>
      <xdr:row>139</xdr:row>
      <xdr:rowOff>40245</xdr:rowOff>
    </xdr:from>
    <xdr:to>
      <xdr:col>20</xdr:col>
      <xdr:colOff>396179</xdr:colOff>
      <xdr:row>141</xdr:row>
      <xdr:rowOff>49922</xdr:rowOff>
    </xdr:to>
    <xdr:pic>
      <xdr:nvPicPr>
        <xdr:cNvPr id="2895" name="Picture 2894" descr="Gas pipeline line icon concept. Gas ...">
          <a:extLst>
            <a:ext uri="{FF2B5EF4-FFF2-40B4-BE49-F238E27FC236}">
              <a16:creationId xmlns:a16="http://schemas.microsoft.com/office/drawing/2014/main" id="{E1EE20F3-B0B6-4742-9546-167F512DB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54295" y="25328449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177487</xdr:colOff>
      <xdr:row>38</xdr:row>
      <xdr:rowOff>136295</xdr:rowOff>
    </xdr:from>
    <xdr:to>
      <xdr:col>26</xdr:col>
      <xdr:colOff>330685</xdr:colOff>
      <xdr:row>41</xdr:row>
      <xdr:rowOff>55653</xdr:rowOff>
    </xdr:to>
    <xdr:pic>
      <xdr:nvPicPr>
        <xdr:cNvPr id="2896" name="Picture 2895">
          <a:extLst>
            <a:ext uri="{FF2B5EF4-FFF2-40B4-BE49-F238E27FC236}">
              <a16:creationId xmlns:a16="http://schemas.microsoft.com/office/drawing/2014/main" id="{A0CC66F4-CB44-4080-B664-4B9587E63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19428" y="7621824"/>
          <a:ext cx="153198" cy="558094"/>
        </a:xfrm>
        <a:prstGeom prst="rect">
          <a:avLst/>
        </a:prstGeom>
      </xdr:spPr>
    </xdr:pic>
    <xdr:clientData/>
  </xdr:twoCellAnchor>
  <xdr:twoCellAnchor editAs="oneCell">
    <xdr:from>
      <xdr:col>2</xdr:col>
      <xdr:colOff>130629</xdr:colOff>
      <xdr:row>49</xdr:row>
      <xdr:rowOff>157843</xdr:rowOff>
    </xdr:from>
    <xdr:to>
      <xdr:col>2</xdr:col>
      <xdr:colOff>283827</xdr:colOff>
      <xdr:row>53</xdr:row>
      <xdr:rowOff>16876</xdr:rowOff>
    </xdr:to>
    <xdr:pic>
      <xdr:nvPicPr>
        <xdr:cNvPr id="2897" name="Picture 2896">
          <a:extLst>
            <a:ext uri="{FF2B5EF4-FFF2-40B4-BE49-F238E27FC236}">
              <a16:creationId xmlns:a16="http://schemas.microsoft.com/office/drawing/2014/main" id="{3F50F70E-767A-4BD1-AECC-F08FFF78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5979" y="9787618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6</xdr:col>
      <xdr:colOff>175532</xdr:colOff>
      <xdr:row>49</xdr:row>
      <xdr:rowOff>140154</xdr:rowOff>
    </xdr:from>
    <xdr:to>
      <xdr:col>6</xdr:col>
      <xdr:colOff>328730</xdr:colOff>
      <xdr:row>53</xdr:row>
      <xdr:rowOff>2549</xdr:rowOff>
    </xdr:to>
    <xdr:pic>
      <xdr:nvPicPr>
        <xdr:cNvPr id="2898" name="Picture 2897">
          <a:extLst>
            <a:ext uri="{FF2B5EF4-FFF2-40B4-BE49-F238E27FC236}">
              <a16:creationId xmlns:a16="http://schemas.microsoft.com/office/drawing/2014/main" id="{7A84F693-A529-43AA-8C19-C6A5D1B51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28282" y="9769929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10</xdr:col>
      <xdr:colOff>239486</xdr:colOff>
      <xdr:row>50</xdr:row>
      <xdr:rowOff>43543</xdr:rowOff>
    </xdr:from>
    <xdr:to>
      <xdr:col>10</xdr:col>
      <xdr:colOff>392684</xdr:colOff>
      <xdr:row>53</xdr:row>
      <xdr:rowOff>74027</xdr:rowOff>
    </xdr:to>
    <xdr:pic>
      <xdr:nvPicPr>
        <xdr:cNvPr id="2899" name="Picture 2898">
          <a:extLst>
            <a:ext uri="{FF2B5EF4-FFF2-40B4-BE49-F238E27FC236}">
              <a16:creationId xmlns:a16="http://schemas.microsoft.com/office/drawing/2014/main" id="{EFBF98E8-E865-455A-B922-B84504B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36826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50</xdr:row>
      <xdr:rowOff>0</xdr:rowOff>
    </xdr:from>
    <xdr:to>
      <xdr:col>12</xdr:col>
      <xdr:colOff>316484</xdr:colOff>
      <xdr:row>53</xdr:row>
      <xdr:rowOff>30484</xdr:rowOff>
    </xdr:to>
    <xdr:pic>
      <xdr:nvPicPr>
        <xdr:cNvPr id="2900" name="Picture 2899">
          <a:extLst>
            <a:ext uri="{FF2B5EF4-FFF2-40B4-BE49-F238E27FC236}">
              <a16:creationId xmlns:a16="http://schemas.microsoft.com/office/drawing/2014/main" id="{5E271492-7446-4A2A-8EC6-C83BE4444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96946" y="552450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130628</xdr:colOff>
      <xdr:row>49</xdr:row>
      <xdr:rowOff>152400</xdr:rowOff>
    </xdr:from>
    <xdr:to>
      <xdr:col>14</xdr:col>
      <xdr:colOff>283826</xdr:colOff>
      <xdr:row>53</xdr:row>
      <xdr:rowOff>34836</xdr:rowOff>
    </xdr:to>
    <xdr:pic>
      <xdr:nvPicPr>
        <xdr:cNvPr id="2901" name="Picture 2900">
          <a:extLst>
            <a:ext uri="{FF2B5EF4-FFF2-40B4-BE49-F238E27FC236}">
              <a16:creationId xmlns:a16="http://schemas.microsoft.com/office/drawing/2014/main" id="{0E2CBE72-8263-4F47-9784-2A518875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00608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18</xdr:col>
      <xdr:colOff>217714</xdr:colOff>
      <xdr:row>50</xdr:row>
      <xdr:rowOff>43543</xdr:rowOff>
    </xdr:from>
    <xdr:to>
      <xdr:col>18</xdr:col>
      <xdr:colOff>370912</xdr:colOff>
      <xdr:row>53</xdr:row>
      <xdr:rowOff>74027</xdr:rowOff>
    </xdr:to>
    <xdr:pic>
      <xdr:nvPicPr>
        <xdr:cNvPr id="2902" name="Picture 2901">
          <a:extLst>
            <a:ext uri="{FF2B5EF4-FFF2-40B4-BE49-F238E27FC236}">
              <a16:creationId xmlns:a16="http://schemas.microsoft.com/office/drawing/2014/main" id="{2C2443DA-BB0D-4BDF-87E7-5811EC3F1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60334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49</xdr:row>
      <xdr:rowOff>152400</xdr:rowOff>
    </xdr:from>
    <xdr:to>
      <xdr:col>20</xdr:col>
      <xdr:colOff>305598</xdr:colOff>
      <xdr:row>53</xdr:row>
      <xdr:rowOff>34836</xdr:rowOff>
    </xdr:to>
    <xdr:pic>
      <xdr:nvPicPr>
        <xdr:cNvPr id="2903" name="Picture 2902">
          <a:extLst>
            <a:ext uri="{FF2B5EF4-FFF2-40B4-BE49-F238E27FC236}">
              <a16:creationId xmlns:a16="http://schemas.microsoft.com/office/drawing/2014/main" id="{D2C404F4-62C6-4ACA-84F2-77BB4AC8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31340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8</xdr:col>
      <xdr:colOff>192026</xdr:colOff>
      <xdr:row>61</xdr:row>
      <xdr:rowOff>155204</xdr:rowOff>
    </xdr:from>
    <xdr:to>
      <xdr:col>8</xdr:col>
      <xdr:colOff>345224</xdr:colOff>
      <xdr:row>65</xdr:row>
      <xdr:rowOff>12500</xdr:rowOff>
    </xdr:to>
    <xdr:pic>
      <xdr:nvPicPr>
        <xdr:cNvPr id="2904" name="Picture 2903">
          <a:extLst>
            <a:ext uri="{FF2B5EF4-FFF2-40B4-BE49-F238E27FC236}">
              <a16:creationId xmlns:a16="http://schemas.microsoft.com/office/drawing/2014/main" id="{9E2C4015-EBB5-4467-AE09-074BA132D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66969" y="11736738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12</xdr:col>
      <xdr:colOff>192150</xdr:colOff>
      <xdr:row>61</xdr:row>
      <xdr:rowOff>147987</xdr:rowOff>
    </xdr:from>
    <xdr:to>
      <xdr:col>12</xdr:col>
      <xdr:colOff>345348</xdr:colOff>
      <xdr:row>65</xdr:row>
      <xdr:rowOff>5283</xdr:rowOff>
    </xdr:to>
    <xdr:pic>
      <xdr:nvPicPr>
        <xdr:cNvPr id="2905" name="Picture 2904">
          <a:extLst>
            <a:ext uri="{FF2B5EF4-FFF2-40B4-BE49-F238E27FC236}">
              <a16:creationId xmlns:a16="http://schemas.microsoft.com/office/drawing/2014/main" id="{44A243DB-23E0-4D95-83BF-5E18F9E39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3116" y="11729521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228601</xdr:colOff>
      <xdr:row>61</xdr:row>
      <xdr:rowOff>119741</xdr:rowOff>
    </xdr:from>
    <xdr:to>
      <xdr:col>18</xdr:col>
      <xdr:colOff>376146</xdr:colOff>
      <xdr:row>65</xdr:row>
      <xdr:rowOff>0</xdr:rowOff>
    </xdr:to>
    <xdr:pic>
      <xdr:nvPicPr>
        <xdr:cNvPr id="2906" name="Picture 2905">
          <a:extLst>
            <a:ext uri="{FF2B5EF4-FFF2-40B4-BE49-F238E27FC236}">
              <a16:creationId xmlns:a16="http://schemas.microsoft.com/office/drawing/2014/main" id="{669ACF81-D4CB-4FDE-9B5B-B132CB8CA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39226" y="11761408"/>
          <a:ext cx="147545" cy="568175"/>
        </a:xfrm>
        <a:prstGeom prst="rect">
          <a:avLst/>
        </a:prstGeom>
      </xdr:spPr>
    </xdr:pic>
    <xdr:clientData/>
  </xdr:twoCellAnchor>
  <xdr:twoCellAnchor editAs="oneCell">
    <xdr:from>
      <xdr:col>24</xdr:col>
      <xdr:colOff>108857</xdr:colOff>
      <xdr:row>62</xdr:row>
      <xdr:rowOff>32657</xdr:rowOff>
    </xdr:from>
    <xdr:to>
      <xdr:col>24</xdr:col>
      <xdr:colOff>264583</xdr:colOff>
      <xdr:row>65</xdr:row>
      <xdr:rowOff>72157</xdr:rowOff>
    </xdr:to>
    <xdr:pic>
      <xdr:nvPicPr>
        <xdr:cNvPr id="2907" name="Picture 2906">
          <a:extLst>
            <a:ext uri="{FF2B5EF4-FFF2-40B4-BE49-F238E27FC236}">
              <a16:creationId xmlns:a16="http://schemas.microsoft.com/office/drawing/2014/main" id="{85A3CDEB-6B5B-4766-BCA0-E00044462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96045" y="11846303"/>
          <a:ext cx="155726" cy="555436"/>
        </a:xfrm>
        <a:prstGeom prst="rect">
          <a:avLst/>
        </a:prstGeom>
      </xdr:spPr>
    </xdr:pic>
    <xdr:clientData/>
  </xdr:twoCellAnchor>
  <xdr:twoCellAnchor editAs="oneCell">
    <xdr:from>
      <xdr:col>26</xdr:col>
      <xdr:colOff>183545</xdr:colOff>
      <xdr:row>62</xdr:row>
      <xdr:rowOff>8542</xdr:rowOff>
    </xdr:from>
    <xdr:to>
      <xdr:col>26</xdr:col>
      <xdr:colOff>336743</xdr:colOff>
      <xdr:row>65</xdr:row>
      <xdr:rowOff>39025</xdr:rowOff>
    </xdr:to>
    <xdr:pic>
      <xdr:nvPicPr>
        <xdr:cNvPr id="2908" name="Picture 2907">
          <a:extLst>
            <a:ext uri="{FF2B5EF4-FFF2-40B4-BE49-F238E27FC236}">
              <a16:creationId xmlns:a16="http://schemas.microsoft.com/office/drawing/2014/main" id="{AE121C91-EF03-44AA-8983-E6CAF5CC1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62920" y="11822188"/>
          <a:ext cx="153198" cy="546419"/>
        </a:xfrm>
        <a:prstGeom prst="rect">
          <a:avLst/>
        </a:prstGeom>
      </xdr:spPr>
    </xdr:pic>
    <xdr:clientData/>
  </xdr:twoCellAnchor>
  <xdr:twoCellAnchor editAs="oneCell">
    <xdr:from>
      <xdr:col>12</xdr:col>
      <xdr:colOff>185888</xdr:colOff>
      <xdr:row>75</xdr:row>
      <xdr:rowOff>0</xdr:rowOff>
    </xdr:from>
    <xdr:to>
      <xdr:col>12</xdr:col>
      <xdr:colOff>339086</xdr:colOff>
      <xdr:row>78</xdr:row>
      <xdr:rowOff>30482</xdr:rowOff>
    </xdr:to>
    <xdr:pic>
      <xdr:nvPicPr>
        <xdr:cNvPr id="2909" name="Picture 2908">
          <a:extLst>
            <a:ext uri="{FF2B5EF4-FFF2-40B4-BE49-F238E27FC236}">
              <a16:creationId xmlns:a16="http://schemas.microsoft.com/office/drawing/2014/main" id="{34E6D0D1-3E1F-4A22-BA29-3311F3476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721" y="14049375"/>
          <a:ext cx="153198" cy="546420"/>
        </a:xfrm>
        <a:prstGeom prst="rect">
          <a:avLst/>
        </a:prstGeom>
      </xdr:spPr>
    </xdr:pic>
    <xdr:clientData/>
  </xdr:twoCellAnchor>
  <xdr:twoCellAnchor editAs="oneCell">
    <xdr:from>
      <xdr:col>24</xdr:col>
      <xdr:colOff>165629</xdr:colOff>
      <xdr:row>74</xdr:row>
      <xdr:rowOff>158750</xdr:rowOff>
    </xdr:from>
    <xdr:to>
      <xdr:col>24</xdr:col>
      <xdr:colOff>318827</xdr:colOff>
      <xdr:row>78</xdr:row>
      <xdr:rowOff>20514</xdr:rowOff>
    </xdr:to>
    <xdr:pic>
      <xdr:nvPicPr>
        <xdr:cNvPr id="2910" name="Picture 2909">
          <a:extLst>
            <a:ext uri="{FF2B5EF4-FFF2-40B4-BE49-F238E27FC236}">
              <a16:creationId xmlns:a16="http://schemas.microsoft.com/office/drawing/2014/main" id="{F3CA122B-8700-4B37-AECF-8371244D1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52817" y="14036146"/>
          <a:ext cx="153198" cy="549681"/>
        </a:xfrm>
        <a:prstGeom prst="rect">
          <a:avLst/>
        </a:prstGeom>
      </xdr:spPr>
    </xdr:pic>
    <xdr:clientData/>
  </xdr:twoCellAnchor>
  <xdr:twoCellAnchor editAs="oneCell">
    <xdr:from>
      <xdr:col>26</xdr:col>
      <xdr:colOff>210003</xdr:colOff>
      <xdr:row>74</xdr:row>
      <xdr:rowOff>163286</xdr:rowOff>
    </xdr:from>
    <xdr:to>
      <xdr:col>26</xdr:col>
      <xdr:colOff>363201</xdr:colOff>
      <xdr:row>78</xdr:row>
      <xdr:rowOff>38099</xdr:rowOff>
    </xdr:to>
    <xdr:pic>
      <xdr:nvPicPr>
        <xdr:cNvPr id="2911" name="Picture 2910">
          <a:extLst>
            <a:ext uri="{FF2B5EF4-FFF2-40B4-BE49-F238E27FC236}">
              <a16:creationId xmlns:a16="http://schemas.microsoft.com/office/drawing/2014/main" id="{13593E28-A42A-462E-BCB1-4F1262897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89378" y="14040682"/>
          <a:ext cx="153198" cy="562730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163286</xdr:colOff>
      <xdr:row>108</xdr:row>
      <xdr:rowOff>21771</xdr:rowOff>
    </xdr:from>
    <xdr:to>
      <xdr:col>8</xdr:col>
      <xdr:colOff>316484</xdr:colOff>
      <xdr:row>111</xdr:row>
      <xdr:rowOff>52249</xdr:rowOff>
    </xdr:to>
    <xdr:pic>
      <xdr:nvPicPr>
        <xdr:cNvPr id="2912" name="Picture 2911">
          <a:extLst>
            <a:ext uri="{FF2B5EF4-FFF2-40B4-BE49-F238E27FC236}">
              <a16:creationId xmlns:a16="http://schemas.microsoft.com/office/drawing/2014/main" id="{48AA8175-95A0-4746-B04A-6F609256E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53779" y="19903532"/>
          <a:ext cx="153198" cy="553683"/>
        </a:xfrm>
        <a:prstGeom prst="rect">
          <a:avLst/>
        </a:prstGeom>
      </xdr:spPr>
    </xdr:pic>
    <xdr:clientData/>
  </xdr:twoCellAnchor>
  <xdr:twoCellAnchor editAs="oneCell">
    <xdr:from>
      <xdr:col>16</xdr:col>
      <xdr:colOff>199242</xdr:colOff>
      <xdr:row>108</xdr:row>
      <xdr:rowOff>0</xdr:rowOff>
    </xdr:from>
    <xdr:to>
      <xdr:col>16</xdr:col>
      <xdr:colOff>352440</xdr:colOff>
      <xdr:row>111</xdr:row>
      <xdr:rowOff>30478</xdr:rowOff>
    </xdr:to>
    <xdr:pic>
      <xdr:nvPicPr>
        <xdr:cNvPr id="2913" name="Picture 2912">
          <a:extLst>
            <a:ext uri="{FF2B5EF4-FFF2-40B4-BE49-F238E27FC236}">
              <a16:creationId xmlns:a16="http://schemas.microsoft.com/office/drawing/2014/main" id="{ADAE73DB-31EC-4832-8962-45E5BC8A1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19" y="19786023"/>
          <a:ext cx="153198" cy="55002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104</xdr:row>
      <xdr:rowOff>0</xdr:rowOff>
    </xdr:from>
    <xdr:to>
      <xdr:col>20</xdr:col>
      <xdr:colOff>382764</xdr:colOff>
      <xdr:row>106</xdr:row>
      <xdr:rowOff>9679</xdr:rowOff>
    </xdr:to>
    <xdr:pic>
      <xdr:nvPicPr>
        <xdr:cNvPr id="2914" name="Picture 2913" descr="Gas pipeline line icon concept. Gas ...">
          <a:extLst>
            <a:ext uri="{FF2B5EF4-FFF2-40B4-BE49-F238E27FC236}">
              <a16:creationId xmlns:a16="http://schemas.microsoft.com/office/drawing/2014/main" id="{4C3ACB23-90AD-482C-ADF0-93626B79F1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65315</xdr:colOff>
      <xdr:row>107</xdr:row>
      <xdr:rowOff>142513</xdr:rowOff>
    </xdr:from>
    <xdr:to>
      <xdr:col>26</xdr:col>
      <xdr:colOff>283029</xdr:colOff>
      <xdr:row>110</xdr:row>
      <xdr:rowOff>84224</xdr:rowOff>
    </xdr:to>
    <xdr:sp macro="" textlink="">
      <xdr:nvSpPr>
        <xdr:cNvPr id="2915" name="Equals 2636">
          <a:extLst>
            <a:ext uri="{FF2B5EF4-FFF2-40B4-BE49-F238E27FC236}">
              <a16:creationId xmlns:a16="http://schemas.microsoft.com/office/drawing/2014/main" id="{25F98956-6BDB-49FF-9810-8DB54A842B99}"/>
            </a:ext>
          </a:extLst>
        </xdr:cNvPr>
        <xdr:cNvSpPr/>
      </xdr:nvSpPr>
      <xdr:spPr>
        <a:xfrm rot="5400000">
          <a:off x="12901080" y="19973473"/>
          <a:ext cx="464915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283029</xdr:colOff>
      <xdr:row>108</xdr:row>
      <xdr:rowOff>14183</xdr:rowOff>
    </xdr:from>
    <xdr:to>
      <xdr:col>26</xdr:col>
      <xdr:colOff>404480</xdr:colOff>
      <xdr:row>110</xdr:row>
      <xdr:rowOff>80493</xdr:rowOff>
    </xdr:to>
    <xdr:pic>
      <xdr:nvPicPr>
        <xdr:cNvPr id="2916" name="Picture 2915">
          <a:extLst>
            <a:ext uri="{FF2B5EF4-FFF2-40B4-BE49-F238E27FC236}">
              <a16:creationId xmlns:a16="http://schemas.microsoft.com/office/drawing/2014/main" id="{95601C04-9FC7-42BC-A305-DD1ED99C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242395" y="19895944"/>
          <a:ext cx="121451" cy="415112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119</xdr:row>
      <xdr:rowOff>0</xdr:rowOff>
    </xdr:from>
    <xdr:to>
      <xdr:col>2</xdr:col>
      <xdr:colOff>274893</xdr:colOff>
      <xdr:row>121</xdr:row>
      <xdr:rowOff>93909</xdr:rowOff>
    </xdr:to>
    <xdr:pic>
      <xdr:nvPicPr>
        <xdr:cNvPr id="2917" name="Picture 2916">
          <a:extLst>
            <a:ext uri="{FF2B5EF4-FFF2-40B4-BE49-F238E27FC236}">
              <a16:creationId xmlns:a16="http://schemas.microsoft.com/office/drawing/2014/main" id="{BB325969-E612-459D-832A-F8FE54A20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4407" y="21800176"/>
          <a:ext cx="122493" cy="442712"/>
        </a:xfrm>
        <a:prstGeom prst="rect">
          <a:avLst/>
        </a:prstGeom>
      </xdr:spPr>
    </xdr:pic>
    <xdr:clientData/>
  </xdr:twoCellAnchor>
  <xdr:twoCellAnchor editAs="oneCell">
    <xdr:from>
      <xdr:col>18</xdr:col>
      <xdr:colOff>130628</xdr:colOff>
      <xdr:row>118</xdr:row>
      <xdr:rowOff>169343</xdr:rowOff>
    </xdr:from>
    <xdr:to>
      <xdr:col>18</xdr:col>
      <xdr:colOff>281726</xdr:colOff>
      <xdr:row>122</xdr:row>
      <xdr:rowOff>17832</xdr:rowOff>
    </xdr:to>
    <xdr:pic>
      <xdr:nvPicPr>
        <xdr:cNvPr id="2918" name="Picture 2917">
          <a:extLst>
            <a:ext uri="{FF2B5EF4-FFF2-40B4-BE49-F238E27FC236}">
              <a16:creationId xmlns:a16="http://schemas.microsoft.com/office/drawing/2014/main" id="{BD645A9B-F38D-4D20-8931-B7737C384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1795118"/>
          <a:ext cx="151098" cy="546094"/>
        </a:xfrm>
        <a:prstGeom prst="rect">
          <a:avLst/>
        </a:prstGeom>
      </xdr:spPr>
    </xdr:pic>
    <xdr:clientData/>
  </xdr:twoCellAnchor>
  <xdr:twoCellAnchor editAs="oneCell">
    <xdr:from>
      <xdr:col>20</xdr:col>
      <xdr:colOff>69381</xdr:colOff>
      <xdr:row>119</xdr:row>
      <xdr:rowOff>10886</xdr:rowOff>
    </xdr:from>
    <xdr:to>
      <xdr:col>20</xdr:col>
      <xdr:colOff>222579</xdr:colOff>
      <xdr:row>122</xdr:row>
      <xdr:rowOff>41367</xdr:rowOff>
    </xdr:to>
    <xdr:pic>
      <xdr:nvPicPr>
        <xdr:cNvPr id="2919" name="Picture 2918">
          <a:extLst>
            <a:ext uri="{FF2B5EF4-FFF2-40B4-BE49-F238E27FC236}">
              <a16:creationId xmlns:a16="http://schemas.microsoft.com/office/drawing/2014/main" id="{8918F775-30BF-4B04-B1F3-8EAD9DEF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010261" y="21811062"/>
          <a:ext cx="153198" cy="553684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141514</xdr:colOff>
      <xdr:row>130</xdr:row>
      <xdr:rowOff>43543</xdr:rowOff>
    </xdr:from>
    <xdr:to>
      <xdr:col>6</xdr:col>
      <xdr:colOff>281725</xdr:colOff>
      <xdr:row>133</xdr:row>
      <xdr:rowOff>27087</xdr:rowOff>
    </xdr:to>
    <xdr:pic>
      <xdr:nvPicPr>
        <xdr:cNvPr id="2920" name="Picture 2919">
          <a:extLst>
            <a:ext uri="{FF2B5EF4-FFF2-40B4-BE49-F238E27FC236}">
              <a16:creationId xmlns:a16="http://schemas.microsoft.com/office/drawing/2014/main" id="{D9F3C08E-9944-4C6D-85F1-E0238CC3D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25845" y="23762135"/>
          <a:ext cx="140211" cy="506748"/>
        </a:xfrm>
        <a:prstGeom prst="rect">
          <a:avLst/>
        </a:prstGeom>
      </xdr:spPr>
    </xdr:pic>
    <xdr:clientData/>
  </xdr:twoCellAnchor>
  <xdr:twoCellAnchor editAs="oneCell">
    <xdr:from>
      <xdr:col>8</xdr:col>
      <xdr:colOff>141514</xdr:colOff>
      <xdr:row>130</xdr:row>
      <xdr:rowOff>43543</xdr:rowOff>
    </xdr:from>
    <xdr:to>
      <xdr:col>8</xdr:col>
      <xdr:colOff>268310</xdr:colOff>
      <xdr:row>132</xdr:row>
      <xdr:rowOff>153004</xdr:rowOff>
    </xdr:to>
    <xdr:pic>
      <xdr:nvPicPr>
        <xdr:cNvPr id="2921" name="Picture 2920">
          <a:extLst>
            <a:ext uri="{FF2B5EF4-FFF2-40B4-BE49-F238E27FC236}">
              <a16:creationId xmlns:a16="http://schemas.microsoft.com/office/drawing/2014/main" id="{2B9FC49F-130D-4B6A-BFFC-E61EA1291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32007" y="23762135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30</xdr:col>
      <xdr:colOff>292927</xdr:colOff>
      <xdr:row>130</xdr:row>
      <xdr:rowOff>10886</xdr:rowOff>
    </xdr:from>
    <xdr:to>
      <xdr:col>31</xdr:col>
      <xdr:colOff>13170</xdr:colOff>
      <xdr:row>133</xdr:row>
      <xdr:rowOff>41367</xdr:rowOff>
    </xdr:to>
    <xdr:pic>
      <xdr:nvPicPr>
        <xdr:cNvPr id="2923" name="Picture 2922">
          <a:extLst>
            <a:ext uri="{FF2B5EF4-FFF2-40B4-BE49-F238E27FC236}">
              <a16:creationId xmlns:a16="http://schemas.microsoft.com/office/drawing/2014/main" id="{42B4B999-2971-42DE-99C3-14BE3B9B1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114404" y="23606909"/>
          <a:ext cx="153198" cy="550026"/>
        </a:xfrm>
        <a:prstGeom prst="rect">
          <a:avLst/>
        </a:prstGeom>
      </xdr:spPr>
    </xdr:pic>
    <xdr:clientData/>
  </xdr:twoCellAnchor>
  <xdr:twoCellAnchor editAs="oneCell">
    <xdr:from>
      <xdr:col>10</xdr:col>
      <xdr:colOff>148466</xdr:colOff>
      <xdr:row>142</xdr:row>
      <xdr:rowOff>155929</xdr:rowOff>
    </xdr:from>
    <xdr:to>
      <xdr:col>10</xdr:col>
      <xdr:colOff>283826</xdr:colOff>
      <xdr:row>145</xdr:row>
      <xdr:rowOff>120740</xdr:rowOff>
    </xdr:to>
    <xdr:pic>
      <xdr:nvPicPr>
        <xdr:cNvPr id="2924" name="Picture 2923">
          <a:extLst>
            <a:ext uri="{FF2B5EF4-FFF2-40B4-BE49-F238E27FC236}">
              <a16:creationId xmlns:a16="http://schemas.microsoft.com/office/drawing/2014/main" id="{34C40D36-7D06-46A7-A3A0-CBD64A123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45121" y="25967337"/>
          <a:ext cx="135360" cy="488016"/>
        </a:xfrm>
        <a:prstGeom prst="rect">
          <a:avLst/>
        </a:prstGeom>
      </xdr:spPr>
    </xdr:pic>
    <xdr:clientData/>
  </xdr:twoCellAnchor>
  <xdr:twoCellAnchor editAs="oneCell">
    <xdr:from>
      <xdr:col>24</xdr:col>
      <xdr:colOff>195943</xdr:colOff>
      <xdr:row>143</xdr:row>
      <xdr:rowOff>32657</xdr:rowOff>
    </xdr:from>
    <xdr:to>
      <xdr:col>24</xdr:col>
      <xdr:colOff>349141</xdr:colOff>
      <xdr:row>145</xdr:row>
      <xdr:rowOff>2227</xdr:rowOff>
    </xdr:to>
    <xdr:pic>
      <xdr:nvPicPr>
        <xdr:cNvPr id="2925" name="Picture 2924">
          <a:extLst>
            <a:ext uri="{FF2B5EF4-FFF2-40B4-BE49-F238E27FC236}">
              <a16:creationId xmlns:a16="http://schemas.microsoft.com/office/drawing/2014/main" id="{4ACC6247-380E-450E-B1F6-FFC295716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5103" y="23669897"/>
          <a:ext cx="153198" cy="4191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97</xdr:row>
      <xdr:rowOff>0</xdr:rowOff>
    </xdr:from>
    <xdr:to>
      <xdr:col>30</xdr:col>
      <xdr:colOff>238169</xdr:colOff>
      <xdr:row>99</xdr:row>
      <xdr:rowOff>50</xdr:rowOff>
    </xdr:to>
    <xdr:grpSp>
      <xdr:nvGrpSpPr>
        <xdr:cNvPr id="2926" name="Group 2925">
          <a:extLst>
            <a:ext uri="{FF2B5EF4-FFF2-40B4-BE49-F238E27FC236}">
              <a16:creationId xmlns:a16="http://schemas.microsoft.com/office/drawing/2014/main" id="{940F7079-2CD3-487B-99BA-0B74319AA228}"/>
            </a:ext>
          </a:extLst>
        </xdr:cNvPr>
        <xdr:cNvGrpSpPr/>
      </xdr:nvGrpSpPr>
      <xdr:grpSpPr>
        <a:xfrm>
          <a:off x="15578667" y="18002250"/>
          <a:ext cx="238169" cy="349300"/>
          <a:chOff x="6143939" y="789134"/>
          <a:chExt cx="457200" cy="518966"/>
        </a:xfrm>
      </xdr:grpSpPr>
      <xdr:grpSp>
        <xdr:nvGrpSpPr>
          <xdr:cNvPr id="2927" name="Group 2926">
            <a:extLst>
              <a:ext uri="{FF2B5EF4-FFF2-40B4-BE49-F238E27FC236}">
                <a16:creationId xmlns:a16="http://schemas.microsoft.com/office/drawing/2014/main" id="{CA6DF1C1-03E7-8929-1814-5E1455002A5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29" name="Straight Connector 2928">
              <a:extLst>
                <a:ext uri="{FF2B5EF4-FFF2-40B4-BE49-F238E27FC236}">
                  <a16:creationId xmlns:a16="http://schemas.microsoft.com/office/drawing/2014/main" id="{FAC3CEA6-5869-2CB9-F3E2-C8156DB9A14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0" name="Straight Connector 2929">
              <a:extLst>
                <a:ext uri="{FF2B5EF4-FFF2-40B4-BE49-F238E27FC236}">
                  <a16:creationId xmlns:a16="http://schemas.microsoft.com/office/drawing/2014/main" id="{741E9781-675D-7B9C-81AD-FA731A2799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1" name="Straight Connector 2930">
              <a:extLst>
                <a:ext uri="{FF2B5EF4-FFF2-40B4-BE49-F238E27FC236}">
                  <a16:creationId xmlns:a16="http://schemas.microsoft.com/office/drawing/2014/main" id="{EBA75C2E-F034-7D45-350A-FDF33260DA9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2" name="Straight Connector 2931">
              <a:extLst>
                <a:ext uri="{FF2B5EF4-FFF2-40B4-BE49-F238E27FC236}">
                  <a16:creationId xmlns:a16="http://schemas.microsoft.com/office/drawing/2014/main" id="{62C53A00-7CC1-E0A9-5DDE-F36C61B5FF8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3" name="Straight Connector 2932">
              <a:extLst>
                <a:ext uri="{FF2B5EF4-FFF2-40B4-BE49-F238E27FC236}">
                  <a16:creationId xmlns:a16="http://schemas.microsoft.com/office/drawing/2014/main" id="{7A1BD11F-B143-521C-8BB9-80DAEFB69EB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4" name="Straight Connector 2933">
              <a:extLst>
                <a:ext uri="{FF2B5EF4-FFF2-40B4-BE49-F238E27FC236}">
                  <a16:creationId xmlns:a16="http://schemas.microsoft.com/office/drawing/2014/main" id="{1833AA37-18AE-9641-2FF3-74B4BB23E3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28" name="Straight Connector 2927">
            <a:extLst>
              <a:ext uri="{FF2B5EF4-FFF2-40B4-BE49-F238E27FC236}">
                <a16:creationId xmlns:a16="http://schemas.microsoft.com/office/drawing/2014/main" id="{35542E2B-61A9-4790-D122-1F9C3C5801E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62</xdr:row>
      <xdr:rowOff>0</xdr:rowOff>
    </xdr:from>
    <xdr:to>
      <xdr:col>14</xdr:col>
      <xdr:colOff>238169</xdr:colOff>
      <xdr:row>64</xdr:row>
      <xdr:rowOff>49</xdr:rowOff>
    </xdr:to>
    <xdr:grpSp>
      <xdr:nvGrpSpPr>
        <xdr:cNvPr id="2935" name="Group 2934">
          <a:extLst>
            <a:ext uri="{FF2B5EF4-FFF2-40B4-BE49-F238E27FC236}">
              <a16:creationId xmlns:a16="http://schemas.microsoft.com/office/drawing/2014/main" id="{0764C1A8-7690-4714-B0EC-8D13DE633040}"/>
            </a:ext>
          </a:extLst>
        </xdr:cNvPr>
        <xdr:cNvGrpSpPr/>
      </xdr:nvGrpSpPr>
      <xdr:grpSpPr>
        <a:xfrm>
          <a:off x="7196667" y="11959167"/>
          <a:ext cx="238169" cy="349299"/>
          <a:chOff x="6143939" y="789134"/>
          <a:chExt cx="457200" cy="518966"/>
        </a:xfrm>
      </xdr:grpSpPr>
      <xdr:grpSp>
        <xdr:nvGrpSpPr>
          <xdr:cNvPr id="2936" name="Group 2935">
            <a:extLst>
              <a:ext uri="{FF2B5EF4-FFF2-40B4-BE49-F238E27FC236}">
                <a16:creationId xmlns:a16="http://schemas.microsoft.com/office/drawing/2014/main" id="{29CC32A9-F2DD-B081-E117-76FEBD27DE6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38" name="Straight Connector 2937">
              <a:extLst>
                <a:ext uri="{FF2B5EF4-FFF2-40B4-BE49-F238E27FC236}">
                  <a16:creationId xmlns:a16="http://schemas.microsoft.com/office/drawing/2014/main" id="{E514A6C9-86E1-F350-AEC5-9013D2C58AF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9" name="Straight Connector 2938">
              <a:extLst>
                <a:ext uri="{FF2B5EF4-FFF2-40B4-BE49-F238E27FC236}">
                  <a16:creationId xmlns:a16="http://schemas.microsoft.com/office/drawing/2014/main" id="{FCE2DE09-5AB1-691C-3E4F-C55FE749D7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0" name="Straight Connector 2939">
              <a:extLst>
                <a:ext uri="{FF2B5EF4-FFF2-40B4-BE49-F238E27FC236}">
                  <a16:creationId xmlns:a16="http://schemas.microsoft.com/office/drawing/2014/main" id="{3BF24524-22A6-D3CA-0067-8C4254427A9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1" name="Straight Connector 2940">
              <a:extLst>
                <a:ext uri="{FF2B5EF4-FFF2-40B4-BE49-F238E27FC236}">
                  <a16:creationId xmlns:a16="http://schemas.microsoft.com/office/drawing/2014/main" id="{E3F1AB80-3B06-5C4F-F907-D83B58265FF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2" name="Straight Connector 2941">
              <a:extLst>
                <a:ext uri="{FF2B5EF4-FFF2-40B4-BE49-F238E27FC236}">
                  <a16:creationId xmlns:a16="http://schemas.microsoft.com/office/drawing/2014/main" id="{82E42DEF-243D-F033-96FE-DDA54EAB2F1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3" name="Straight Connector 2942">
              <a:extLst>
                <a:ext uri="{FF2B5EF4-FFF2-40B4-BE49-F238E27FC236}">
                  <a16:creationId xmlns:a16="http://schemas.microsoft.com/office/drawing/2014/main" id="{84A9FE68-2870-4E5A-6369-AEDC3CD1148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37" name="Straight Connector 2936">
            <a:extLst>
              <a:ext uri="{FF2B5EF4-FFF2-40B4-BE49-F238E27FC236}">
                <a16:creationId xmlns:a16="http://schemas.microsoft.com/office/drawing/2014/main" id="{4A2621CD-935E-8F22-4AB7-3B2073A29A0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62</xdr:row>
      <xdr:rowOff>0</xdr:rowOff>
    </xdr:from>
    <xdr:to>
      <xdr:col>16</xdr:col>
      <xdr:colOff>238169</xdr:colOff>
      <xdr:row>64</xdr:row>
      <xdr:rowOff>49</xdr:rowOff>
    </xdr:to>
    <xdr:grpSp>
      <xdr:nvGrpSpPr>
        <xdr:cNvPr id="2944" name="Group 2943">
          <a:extLst>
            <a:ext uri="{FF2B5EF4-FFF2-40B4-BE49-F238E27FC236}">
              <a16:creationId xmlns:a16="http://schemas.microsoft.com/office/drawing/2014/main" id="{411BEAC8-25AE-40E8-A2E4-42EBAFB916B6}"/>
            </a:ext>
          </a:extLst>
        </xdr:cNvPr>
        <xdr:cNvGrpSpPr/>
      </xdr:nvGrpSpPr>
      <xdr:grpSpPr>
        <a:xfrm>
          <a:off x="8244417" y="11959167"/>
          <a:ext cx="238169" cy="349299"/>
          <a:chOff x="6143939" y="789134"/>
          <a:chExt cx="457200" cy="518966"/>
        </a:xfrm>
      </xdr:grpSpPr>
      <xdr:grpSp>
        <xdr:nvGrpSpPr>
          <xdr:cNvPr id="2945" name="Group 2944">
            <a:extLst>
              <a:ext uri="{FF2B5EF4-FFF2-40B4-BE49-F238E27FC236}">
                <a16:creationId xmlns:a16="http://schemas.microsoft.com/office/drawing/2014/main" id="{3A202C53-BA9D-5063-3888-D070061C98E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47" name="Straight Connector 2946">
              <a:extLst>
                <a:ext uri="{FF2B5EF4-FFF2-40B4-BE49-F238E27FC236}">
                  <a16:creationId xmlns:a16="http://schemas.microsoft.com/office/drawing/2014/main" id="{7FD1D48D-08F7-F586-A3F2-AE9F855E83C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8" name="Straight Connector 2947">
              <a:extLst>
                <a:ext uri="{FF2B5EF4-FFF2-40B4-BE49-F238E27FC236}">
                  <a16:creationId xmlns:a16="http://schemas.microsoft.com/office/drawing/2014/main" id="{3487729F-72C1-19A4-4B3B-7B79E89A657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9" name="Straight Connector 2948">
              <a:extLst>
                <a:ext uri="{FF2B5EF4-FFF2-40B4-BE49-F238E27FC236}">
                  <a16:creationId xmlns:a16="http://schemas.microsoft.com/office/drawing/2014/main" id="{82D2ECE8-3494-5141-5620-CA2E8E86194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0" name="Straight Connector 2949">
              <a:extLst>
                <a:ext uri="{FF2B5EF4-FFF2-40B4-BE49-F238E27FC236}">
                  <a16:creationId xmlns:a16="http://schemas.microsoft.com/office/drawing/2014/main" id="{4ACA2E66-4613-1E21-0503-59108554D6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1" name="Straight Connector 2950">
              <a:extLst>
                <a:ext uri="{FF2B5EF4-FFF2-40B4-BE49-F238E27FC236}">
                  <a16:creationId xmlns:a16="http://schemas.microsoft.com/office/drawing/2014/main" id="{2B697CFC-7DC9-0421-0FAC-934D469F9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2" name="Straight Connector 2951">
              <a:extLst>
                <a:ext uri="{FF2B5EF4-FFF2-40B4-BE49-F238E27FC236}">
                  <a16:creationId xmlns:a16="http://schemas.microsoft.com/office/drawing/2014/main" id="{0BABD9B3-5E2C-9EFC-8677-712D5FB6B7A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C41A1096-B372-B0F2-899F-B0E4D1733B7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62</xdr:row>
      <xdr:rowOff>0</xdr:rowOff>
    </xdr:from>
    <xdr:to>
      <xdr:col>18</xdr:col>
      <xdr:colOff>238169</xdr:colOff>
      <xdr:row>64</xdr:row>
      <xdr:rowOff>49</xdr:rowOff>
    </xdr:to>
    <xdr:grpSp>
      <xdr:nvGrpSpPr>
        <xdr:cNvPr id="2953" name="Group 2952">
          <a:extLst>
            <a:ext uri="{FF2B5EF4-FFF2-40B4-BE49-F238E27FC236}">
              <a16:creationId xmlns:a16="http://schemas.microsoft.com/office/drawing/2014/main" id="{A3222294-D5D0-424E-B82C-CAA788DE4B31}"/>
            </a:ext>
          </a:extLst>
        </xdr:cNvPr>
        <xdr:cNvGrpSpPr/>
      </xdr:nvGrpSpPr>
      <xdr:grpSpPr>
        <a:xfrm>
          <a:off x="9292167" y="11959167"/>
          <a:ext cx="238169" cy="349299"/>
          <a:chOff x="6143939" y="789134"/>
          <a:chExt cx="457200" cy="518966"/>
        </a:xfrm>
      </xdr:grpSpPr>
      <xdr:grpSp>
        <xdr:nvGrpSpPr>
          <xdr:cNvPr id="2954" name="Group 2953">
            <a:extLst>
              <a:ext uri="{FF2B5EF4-FFF2-40B4-BE49-F238E27FC236}">
                <a16:creationId xmlns:a16="http://schemas.microsoft.com/office/drawing/2014/main" id="{BF68D05F-6A9D-ED35-3D3F-9C903BC3BB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56" name="Straight Connector 2955">
              <a:extLst>
                <a:ext uri="{FF2B5EF4-FFF2-40B4-BE49-F238E27FC236}">
                  <a16:creationId xmlns:a16="http://schemas.microsoft.com/office/drawing/2014/main" id="{F9AD627A-87A9-51CF-1DA6-375DE51FEF7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7" name="Straight Connector 2956">
              <a:extLst>
                <a:ext uri="{FF2B5EF4-FFF2-40B4-BE49-F238E27FC236}">
                  <a16:creationId xmlns:a16="http://schemas.microsoft.com/office/drawing/2014/main" id="{651159A6-C3F2-58A3-7101-85E37EB30F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8" name="Straight Connector 2957">
              <a:extLst>
                <a:ext uri="{FF2B5EF4-FFF2-40B4-BE49-F238E27FC236}">
                  <a16:creationId xmlns:a16="http://schemas.microsoft.com/office/drawing/2014/main" id="{4F7F8453-71AB-0B31-56F5-19C16E4FE9C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9" name="Straight Connector 2958">
              <a:extLst>
                <a:ext uri="{FF2B5EF4-FFF2-40B4-BE49-F238E27FC236}">
                  <a16:creationId xmlns:a16="http://schemas.microsoft.com/office/drawing/2014/main" id="{CA6B99F5-F91C-B4A5-04DC-783478215D4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0" name="Straight Connector 2959">
              <a:extLst>
                <a:ext uri="{FF2B5EF4-FFF2-40B4-BE49-F238E27FC236}">
                  <a16:creationId xmlns:a16="http://schemas.microsoft.com/office/drawing/2014/main" id="{E829C24F-D39A-1A1C-225D-2F3BB7A04B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1" name="Straight Connector 2960">
              <a:extLst>
                <a:ext uri="{FF2B5EF4-FFF2-40B4-BE49-F238E27FC236}">
                  <a16:creationId xmlns:a16="http://schemas.microsoft.com/office/drawing/2014/main" id="{0D3954A0-7651-9A34-B02C-03F9E94E42C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55" name="Straight Connector 2954">
            <a:extLst>
              <a:ext uri="{FF2B5EF4-FFF2-40B4-BE49-F238E27FC236}">
                <a16:creationId xmlns:a16="http://schemas.microsoft.com/office/drawing/2014/main" id="{151D0093-CB7A-587D-C22F-F833E63C9DB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420515</xdr:colOff>
      <xdr:row>176</xdr:row>
      <xdr:rowOff>4233</xdr:rowOff>
    </xdr:from>
    <xdr:to>
      <xdr:col>26</xdr:col>
      <xdr:colOff>46570</xdr:colOff>
      <xdr:row>178</xdr:row>
      <xdr:rowOff>173567</xdr:rowOff>
    </xdr:to>
    <xdr:sp macro="" textlink="">
      <xdr:nvSpPr>
        <xdr:cNvPr id="2962" name="Isosceles Triangle 2961">
          <a:extLst>
            <a:ext uri="{FF2B5EF4-FFF2-40B4-BE49-F238E27FC236}">
              <a16:creationId xmlns:a16="http://schemas.microsoft.com/office/drawing/2014/main" id="{A756A253-E603-4520-A233-4A8FED26E89D}"/>
            </a:ext>
          </a:extLst>
        </xdr:cNvPr>
        <xdr:cNvSpPr/>
      </xdr:nvSpPr>
      <xdr:spPr>
        <a:xfrm>
          <a:off x="1319675" y="2465493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404277</xdr:colOff>
      <xdr:row>175</xdr:row>
      <xdr:rowOff>163092</xdr:rowOff>
    </xdr:from>
    <xdr:to>
      <xdr:col>28</xdr:col>
      <xdr:colOff>30331</xdr:colOff>
      <xdr:row>178</xdr:row>
      <xdr:rowOff>156037</xdr:rowOff>
    </xdr:to>
    <xdr:sp macro="" textlink="">
      <xdr:nvSpPr>
        <xdr:cNvPr id="2964" name="Isosceles Triangle 2963">
          <a:extLst>
            <a:ext uri="{FF2B5EF4-FFF2-40B4-BE49-F238E27FC236}">
              <a16:creationId xmlns:a16="http://schemas.microsoft.com/office/drawing/2014/main" id="{DE6C3A33-DFE7-4C82-8090-1FB64ECE6335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188</xdr:row>
      <xdr:rowOff>159859</xdr:rowOff>
    </xdr:from>
    <xdr:to>
      <xdr:col>2</xdr:col>
      <xdr:colOff>17739</xdr:colOff>
      <xdr:row>191</xdr:row>
      <xdr:rowOff>152804</xdr:rowOff>
    </xdr:to>
    <xdr:sp macro="" textlink="">
      <xdr:nvSpPr>
        <xdr:cNvPr id="2972" name="Isosceles Triangle 2971">
          <a:extLst>
            <a:ext uri="{FF2B5EF4-FFF2-40B4-BE49-F238E27FC236}">
              <a16:creationId xmlns:a16="http://schemas.microsoft.com/office/drawing/2014/main" id="{8C79B682-F309-4452-A951-F8C2B71F4C9B}"/>
            </a:ext>
          </a:extLst>
        </xdr:cNvPr>
        <xdr:cNvSpPr/>
      </xdr:nvSpPr>
      <xdr:spPr>
        <a:xfrm>
          <a:off x="300245" y="264869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189</xdr:row>
      <xdr:rowOff>7056</xdr:rowOff>
    </xdr:from>
    <xdr:to>
      <xdr:col>4</xdr:col>
      <xdr:colOff>42332</xdr:colOff>
      <xdr:row>192</xdr:row>
      <xdr:rowOff>1</xdr:rowOff>
    </xdr:to>
    <xdr:sp macro="" textlink="">
      <xdr:nvSpPr>
        <xdr:cNvPr id="2973" name="Isosceles Triangle 2972">
          <a:extLst>
            <a:ext uri="{FF2B5EF4-FFF2-40B4-BE49-F238E27FC236}">
              <a16:creationId xmlns:a16="http://schemas.microsoft.com/office/drawing/2014/main" id="{9E270D11-388F-4F54-B354-46F9970D8EAB}"/>
            </a:ext>
          </a:extLst>
        </xdr:cNvPr>
        <xdr:cNvSpPr/>
      </xdr:nvSpPr>
      <xdr:spPr>
        <a:xfrm>
          <a:off x="131543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189</xdr:row>
      <xdr:rowOff>18345</xdr:rowOff>
    </xdr:from>
    <xdr:to>
      <xdr:col>6</xdr:col>
      <xdr:colOff>39510</xdr:colOff>
      <xdr:row>192</xdr:row>
      <xdr:rowOff>11290</xdr:rowOff>
    </xdr:to>
    <xdr:sp macro="" textlink="">
      <xdr:nvSpPr>
        <xdr:cNvPr id="2974" name="Isosceles Triangle 2973">
          <a:extLst>
            <a:ext uri="{FF2B5EF4-FFF2-40B4-BE49-F238E27FC236}">
              <a16:creationId xmlns:a16="http://schemas.microsoft.com/office/drawing/2014/main" id="{CC906412-FB3D-44B2-A158-240F2636341D}"/>
            </a:ext>
          </a:extLst>
        </xdr:cNvPr>
        <xdr:cNvSpPr/>
      </xdr:nvSpPr>
      <xdr:spPr>
        <a:xfrm>
          <a:off x="234893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189</xdr:row>
      <xdr:rowOff>7056</xdr:rowOff>
    </xdr:from>
    <xdr:to>
      <xdr:col>8</xdr:col>
      <xdr:colOff>42332</xdr:colOff>
      <xdr:row>192</xdr:row>
      <xdr:rowOff>1</xdr:rowOff>
    </xdr:to>
    <xdr:sp macro="" textlink="">
      <xdr:nvSpPr>
        <xdr:cNvPr id="2975" name="Isosceles Triangle 2974">
          <a:extLst>
            <a:ext uri="{FF2B5EF4-FFF2-40B4-BE49-F238E27FC236}">
              <a16:creationId xmlns:a16="http://schemas.microsoft.com/office/drawing/2014/main" id="{2D420D6C-1FAB-4D91-B310-4C1385E10B9C}"/>
            </a:ext>
          </a:extLst>
        </xdr:cNvPr>
        <xdr:cNvSpPr/>
      </xdr:nvSpPr>
      <xdr:spPr>
        <a:xfrm>
          <a:off x="3388078" y="265017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189</xdr:row>
      <xdr:rowOff>18345</xdr:rowOff>
    </xdr:from>
    <xdr:to>
      <xdr:col>10</xdr:col>
      <xdr:colOff>39510</xdr:colOff>
      <xdr:row>192</xdr:row>
      <xdr:rowOff>11290</xdr:rowOff>
    </xdr:to>
    <xdr:sp macro="" textlink="">
      <xdr:nvSpPr>
        <xdr:cNvPr id="2976" name="Isosceles Triangle 2975">
          <a:extLst>
            <a:ext uri="{FF2B5EF4-FFF2-40B4-BE49-F238E27FC236}">
              <a16:creationId xmlns:a16="http://schemas.microsoft.com/office/drawing/2014/main" id="{C93D8464-CF8D-450C-9331-3F3B35732765}"/>
            </a:ext>
          </a:extLst>
        </xdr:cNvPr>
        <xdr:cNvSpPr/>
      </xdr:nvSpPr>
      <xdr:spPr>
        <a:xfrm>
          <a:off x="442157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189</xdr:row>
      <xdr:rowOff>7055</xdr:rowOff>
    </xdr:from>
    <xdr:to>
      <xdr:col>12</xdr:col>
      <xdr:colOff>49392</xdr:colOff>
      <xdr:row>192</xdr:row>
      <xdr:rowOff>0</xdr:rowOff>
    </xdr:to>
    <xdr:sp macro="" textlink="">
      <xdr:nvSpPr>
        <xdr:cNvPr id="2977" name="Isosceles Triangle 2976">
          <a:extLst>
            <a:ext uri="{FF2B5EF4-FFF2-40B4-BE49-F238E27FC236}">
              <a16:creationId xmlns:a16="http://schemas.microsoft.com/office/drawing/2014/main" id="{00491642-797F-434F-9E7E-E643B4E2945D}"/>
            </a:ext>
          </a:extLst>
        </xdr:cNvPr>
        <xdr:cNvSpPr/>
      </xdr:nvSpPr>
      <xdr:spPr>
        <a:xfrm>
          <a:off x="5458097" y="265017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189</xdr:row>
      <xdr:rowOff>4233</xdr:rowOff>
    </xdr:from>
    <xdr:to>
      <xdr:col>14</xdr:col>
      <xdr:colOff>46570</xdr:colOff>
      <xdr:row>191</xdr:row>
      <xdr:rowOff>173567</xdr:rowOff>
    </xdr:to>
    <xdr:sp macro="" textlink="">
      <xdr:nvSpPr>
        <xdr:cNvPr id="2978" name="Isosceles Triangle 2977">
          <a:extLst>
            <a:ext uri="{FF2B5EF4-FFF2-40B4-BE49-F238E27FC236}">
              <a16:creationId xmlns:a16="http://schemas.microsoft.com/office/drawing/2014/main" id="{EB66AD55-AC60-418B-9FFA-9DC1DDEF97E6}"/>
            </a:ext>
          </a:extLst>
        </xdr:cNvPr>
        <xdr:cNvSpPr/>
      </xdr:nvSpPr>
      <xdr:spPr>
        <a:xfrm>
          <a:off x="6501275" y="264989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189</xdr:row>
      <xdr:rowOff>13304</xdr:rowOff>
    </xdr:from>
    <xdr:to>
      <xdr:col>18</xdr:col>
      <xdr:colOff>46570</xdr:colOff>
      <xdr:row>192</xdr:row>
      <xdr:rowOff>1209</xdr:rowOff>
    </xdr:to>
    <xdr:sp macro="" textlink="">
      <xdr:nvSpPr>
        <xdr:cNvPr id="2979" name="Isosceles Triangle 2978">
          <a:extLst>
            <a:ext uri="{FF2B5EF4-FFF2-40B4-BE49-F238E27FC236}">
              <a16:creationId xmlns:a16="http://schemas.microsoft.com/office/drawing/2014/main" id="{4F35F4BE-F9C6-4884-928A-13FB11346879}"/>
            </a:ext>
          </a:extLst>
        </xdr:cNvPr>
        <xdr:cNvSpPr/>
      </xdr:nvSpPr>
      <xdr:spPr>
        <a:xfrm>
          <a:off x="8573915" y="265080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189</xdr:row>
      <xdr:rowOff>13304</xdr:rowOff>
    </xdr:from>
    <xdr:to>
      <xdr:col>14</xdr:col>
      <xdr:colOff>46569</xdr:colOff>
      <xdr:row>192</xdr:row>
      <xdr:rowOff>1209</xdr:rowOff>
    </xdr:to>
    <xdr:sp macro="" textlink="">
      <xdr:nvSpPr>
        <xdr:cNvPr id="2980" name="Isosceles Triangle 2979">
          <a:extLst>
            <a:ext uri="{FF2B5EF4-FFF2-40B4-BE49-F238E27FC236}">
              <a16:creationId xmlns:a16="http://schemas.microsoft.com/office/drawing/2014/main" id="{83E08308-A71B-4AE9-9A76-9845D7FF61A9}"/>
            </a:ext>
          </a:extLst>
        </xdr:cNvPr>
        <xdr:cNvSpPr/>
      </xdr:nvSpPr>
      <xdr:spPr>
        <a:xfrm>
          <a:off x="6501275" y="265080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189</xdr:row>
      <xdr:rowOff>15522</xdr:rowOff>
    </xdr:from>
    <xdr:to>
      <xdr:col>16</xdr:col>
      <xdr:colOff>43746</xdr:colOff>
      <xdr:row>192</xdr:row>
      <xdr:rowOff>8467</xdr:rowOff>
    </xdr:to>
    <xdr:sp macro="" textlink="">
      <xdr:nvSpPr>
        <xdr:cNvPr id="2981" name="Isosceles Triangle 2980">
          <a:extLst>
            <a:ext uri="{FF2B5EF4-FFF2-40B4-BE49-F238E27FC236}">
              <a16:creationId xmlns:a16="http://schemas.microsoft.com/office/drawing/2014/main" id="{9049C172-D51E-4A8E-8134-01F00C1F5ABE}"/>
            </a:ext>
          </a:extLst>
        </xdr:cNvPr>
        <xdr:cNvSpPr/>
      </xdr:nvSpPr>
      <xdr:spPr>
        <a:xfrm>
          <a:off x="7534772" y="265102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189</xdr:row>
      <xdr:rowOff>7056</xdr:rowOff>
    </xdr:from>
    <xdr:to>
      <xdr:col>20</xdr:col>
      <xdr:colOff>42332</xdr:colOff>
      <xdr:row>192</xdr:row>
      <xdr:rowOff>1</xdr:rowOff>
    </xdr:to>
    <xdr:sp macro="" textlink="">
      <xdr:nvSpPr>
        <xdr:cNvPr id="2982" name="Isosceles Triangle 2981">
          <a:extLst>
            <a:ext uri="{FF2B5EF4-FFF2-40B4-BE49-F238E27FC236}">
              <a16:creationId xmlns:a16="http://schemas.microsoft.com/office/drawing/2014/main" id="{8B8B1022-BE1F-4984-8901-E87EE8FA56F7}"/>
            </a:ext>
          </a:extLst>
        </xdr:cNvPr>
        <xdr:cNvSpPr/>
      </xdr:nvSpPr>
      <xdr:spPr>
        <a:xfrm>
          <a:off x="961361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189</xdr:row>
      <xdr:rowOff>18345</xdr:rowOff>
    </xdr:from>
    <xdr:to>
      <xdr:col>22</xdr:col>
      <xdr:colOff>39510</xdr:colOff>
      <xdr:row>192</xdr:row>
      <xdr:rowOff>11290</xdr:rowOff>
    </xdr:to>
    <xdr:sp macro="" textlink="">
      <xdr:nvSpPr>
        <xdr:cNvPr id="2983" name="Isosceles Triangle 2982">
          <a:extLst>
            <a:ext uri="{FF2B5EF4-FFF2-40B4-BE49-F238E27FC236}">
              <a16:creationId xmlns:a16="http://schemas.microsoft.com/office/drawing/2014/main" id="{7A2EB06E-72D4-4E57-918F-1DECDBF5B7E3}"/>
            </a:ext>
          </a:extLst>
        </xdr:cNvPr>
        <xdr:cNvSpPr/>
      </xdr:nvSpPr>
      <xdr:spPr>
        <a:xfrm>
          <a:off x="1064711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189</xdr:row>
      <xdr:rowOff>7056</xdr:rowOff>
    </xdr:from>
    <xdr:to>
      <xdr:col>24</xdr:col>
      <xdr:colOff>42332</xdr:colOff>
      <xdr:row>192</xdr:row>
      <xdr:rowOff>1</xdr:rowOff>
    </xdr:to>
    <xdr:sp macro="" textlink="">
      <xdr:nvSpPr>
        <xdr:cNvPr id="2984" name="Isosceles Triangle 2983">
          <a:extLst>
            <a:ext uri="{FF2B5EF4-FFF2-40B4-BE49-F238E27FC236}">
              <a16:creationId xmlns:a16="http://schemas.microsoft.com/office/drawing/2014/main" id="{C284590F-EA97-45CF-8CB0-F3FF8C0229AC}"/>
            </a:ext>
          </a:extLst>
        </xdr:cNvPr>
        <xdr:cNvSpPr/>
      </xdr:nvSpPr>
      <xdr:spPr>
        <a:xfrm>
          <a:off x="1168625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189</xdr:row>
      <xdr:rowOff>18345</xdr:rowOff>
    </xdr:from>
    <xdr:to>
      <xdr:col>26</xdr:col>
      <xdr:colOff>39510</xdr:colOff>
      <xdr:row>192</xdr:row>
      <xdr:rowOff>11290</xdr:rowOff>
    </xdr:to>
    <xdr:sp macro="" textlink="">
      <xdr:nvSpPr>
        <xdr:cNvPr id="2985" name="Isosceles Triangle 2984">
          <a:extLst>
            <a:ext uri="{FF2B5EF4-FFF2-40B4-BE49-F238E27FC236}">
              <a16:creationId xmlns:a16="http://schemas.microsoft.com/office/drawing/2014/main" id="{D02A77F4-2FBB-461D-8BA3-DA0884819AC4}"/>
            </a:ext>
          </a:extLst>
        </xdr:cNvPr>
        <xdr:cNvSpPr/>
      </xdr:nvSpPr>
      <xdr:spPr>
        <a:xfrm>
          <a:off x="1271975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189</xdr:row>
      <xdr:rowOff>7056</xdr:rowOff>
    </xdr:from>
    <xdr:to>
      <xdr:col>28</xdr:col>
      <xdr:colOff>42332</xdr:colOff>
      <xdr:row>192</xdr:row>
      <xdr:rowOff>1</xdr:rowOff>
    </xdr:to>
    <xdr:sp macro="" textlink="">
      <xdr:nvSpPr>
        <xdr:cNvPr id="2986" name="Isosceles Triangle 2985">
          <a:extLst>
            <a:ext uri="{FF2B5EF4-FFF2-40B4-BE49-F238E27FC236}">
              <a16:creationId xmlns:a16="http://schemas.microsoft.com/office/drawing/2014/main" id="{DAA2C6C5-7B33-4721-BC72-38310FD00B6F}"/>
            </a:ext>
          </a:extLst>
        </xdr:cNvPr>
        <xdr:cNvSpPr/>
      </xdr:nvSpPr>
      <xdr:spPr>
        <a:xfrm>
          <a:off x="1375889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189</xdr:row>
      <xdr:rowOff>18345</xdr:rowOff>
    </xdr:from>
    <xdr:to>
      <xdr:col>30</xdr:col>
      <xdr:colOff>39510</xdr:colOff>
      <xdr:row>192</xdr:row>
      <xdr:rowOff>11290</xdr:rowOff>
    </xdr:to>
    <xdr:sp macro="" textlink="">
      <xdr:nvSpPr>
        <xdr:cNvPr id="2987" name="Isosceles Triangle 2986">
          <a:extLst>
            <a:ext uri="{FF2B5EF4-FFF2-40B4-BE49-F238E27FC236}">
              <a16:creationId xmlns:a16="http://schemas.microsoft.com/office/drawing/2014/main" id="{A73F2696-F4C2-4764-9E2E-0F5F812D4EEA}"/>
            </a:ext>
          </a:extLst>
        </xdr:cNvPr>
        <xdr:cNvSpPr/>
      </xdr:nvSpPr>
      <xdr:spPr>
        <a:xfrm>
          <a:off x="1479239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175</xdr:row>
      <xdr:rowOff>173181</xdr:rowOff>
    </xdr:from>
    <xdr:to>
      <xdr:col>25</xdr:col>
      <xdr:colOff>294410</xdr:colOff>
      <xdr:row>176</xdr:row>
      <xdr:rowOff>121226</xdr:rowOff>
    </xdr:to>
    <xdr:sp macro="" textlink="">
      <xdr:nvSpPr>
        <xdr:cNvPr id="2988" name="Freeform 10707">
          <a:extLst>
            <a:ext uri="{FF2B5EF4-FFF2-40B4-BE49-F238E27FC236}">
              <a16:creationId xmlns:a16="http://schemas.microsoft.com/office/drawing/2014/main" id="{3172E78D-D0F5-4667-8F95-DE8C33DA62B3}"/>
            </a:ext>
          </a:extLst>
        </xdr:cNvPr>
        <xdr:cNvSpPr>
          <a:spLocks/>
        </xdr:cNvSpPr>
      </xdr:nvSpPr>
      <xdr:spPr bwMode="auto">
        <a:xfrm>
          <a:off x="60868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175</xdr:row>
      <xdr:rowOff>173181</xdr:rowOff>
    </xdr:from>
    <xdr:to>
      <xdr:col>27</xdr:col>
      <xdr:colOff>294410</xdr:colOff>
      <xdr:row>176</xdr:row>
      <xdr:rowOff>121226</xdr:rowOff>
    </xdr:to>
    <xdr:sp macro="" textlink="">
      <xdr:nvSpPr>
        <xdr:cNvPr id="2989" name="Freeform 10707">
          <a:extLst>
            <a:ext uri="{FF2B5EF4-FFF2-40B4-BE49-F238E27FC236}">
              <a16:creationId xmlns:a16="http://schemas.microsoft.com/office/drawing/2014/main" id="{C9FC2AF0-223C-4FF9-93DC-D66B38CEBDDB}"/>
            </a:ext>
          </a:extLst>
        </xdr:cNvPr>
        <xdr:cNvSpPr>
          <a:spLocks/>
        </xdr:cNvSpPr>
      </xdr:nvSpPr>
      <xdr:spPr bwMode="auto">
        <a:xfrm>
          <a:off x="164500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175</xdr:row>
      <xdr:rowOff>173181</xdr:rowOff>
    </xdr:from>
    <xdr:to>
      <xdr:col>29</xdr:col>
      <xdr:colOff>294410</xdr:colOff>
      <xdr:row>176</xdr:row>
      <xdr:rowOff>121226</xdr:rowOff>
    </xdr:to>
    <xdr:sp macro="" textlink="">
      <xdr:nvSpPr>
        <xdr:cNvPr id="2990" name="Freeform 10707">
          <a:extLst>
            <a:ext uri="{FF2B5EF4-FFF2-40B4-BE49-F238E27FC236}">
              <a16:creationId xmlns:a16="http://schemas.microsoft.com/office/drawing/2014/main" id="{082A75B0-4DD6-4640-9D66-827DAA506D20}"/>
            </a:ext>
          </a:extLst>
        </xdr:cNvPr>
        <xdr:cNvSpPr>
          <a:spLocks/>
        </xdr:cNvSpPr>
      </xdr:nvSpPr>
      <xdr:spPr bwMode="auto">
        <a:xfrm>
          <a:off x="268132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188</xdr:row>
      <xdr:rowOff>173181</xdr:rowOff>
    </xdr:from>
    <xdr:to>
      <xdr:col>3</xdr:col>
      <xdr:colOff>294410</xdr:colOff>
      <xdr:row>189</xdr:row>
      <xdr:rowOff>121226</xdr:rowOff>
    </xdr:to>
    <xdr:sp macro="" textlink="">
      <xdr:nvSpPr>
        <xdr:cNvPr id="3003" name="Freeform 10707">
          <a:extLst>
            <a:ext uri="{FF2B5EF4-FFF2-40B4-BE49-F238E27FC236}">
              <a16:creationId xmlns:a16="http://schemas.microsoft.com/office/drawing/2014/main" id="{88BA8194-ADE0-475B-8411-007CCFB1B29F}"/>
            </a:ext>
          </a:extLst>
        </xdr:cNvPr>
        <xdr:cNvSpPr>
          <a:spLocks/>
        </xdr:cNvSpPr>
      </xdr:nvSpPr>
      <xdr:spPr bwMode="auto">
        <a:xfrm>
          <a:off x="6086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188</xdr:row>
      <xdr:rowOff>173181</xdr:rowOff>
    </xdr:from>
    <xdr:to>
      <xdr:col>5</xdr:col>
      <xdr:colOff>294410</xdr:colOff>
      <xdr:row>189</xdr:row>
      <xdr:rowOff>121226</xdr:rowOff>
    </xdr:to>
    <xdr:sp macro="" textlink="">
      <xdr:nvSpPr>
        <xdr:cNvPr id="3004" name="Freeform 10707">
          <a:extLst>
            <a:ext uri="{FF2B5EF4-FFF2-40B4-BE49-F238E27FC236}">
              <a16:creationId xmlns:a16="http://schemas.microsoft.com/office/drawing/2014/main" id="{F1451B3C-2878-40AC-B2A5-7A85C1F67FAD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188</xdr:row>
      <xdr:rowOff>173181</xdr:rowOff>
    </xdr:from>
    <xdr:to>
      <xdr:col>7</xdr:col>
      <xdr:colOff>294410</xdr:colOff>
      <xdr:row>189</xdr:row>
      <xdr:rowOff>121226</xdr:rowOff>
    </xdr:to>
    <xdr:sp macro="" textlink="">
      <xdr:nvSpPr>
        <xdr:cNvPr id="3005" name="Freeform 10707">
          <a:extLst>
            <a:ext uri="{FF2B5EF4-FFF2-40B4-BE49-F238E27FC236}">
              <a16:creationId xmlns:a16="http://schemas.microsoft.com/office/drawing/2014/main" id="{0E420671-84B0-43E7-AE0F-5F2CE3A1101A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188</xdr:row>
      <xdr:rowOff>173181</xdr:rowOff>
    </xdr:from>
    <xdr:to>
      <xdr:col>9</xdr:col>
      <xdr:colOff>294410</xdr:colOff>
      <xdr:row>189</xdr:row>
      <xdr:rowOff>121226</xdr:rowOff>
    </xdr:to>
    <xdr:sp macro="" textlink="">
      <xdr:nvSpPr>
        <xdr:cNvPr id="3006" name="Freeform 10707">
          <a:extLst>
            <a:ext uri="{FF2B5EF4-FFF2-40B4-BE49-F238E27FC236}">
              <a16:creationId xmlns:a16="http://schemas.microsoft.com/office/drawing/2014/main" id="{5B50AB59-5577-4359-82F5-982E0EA9F019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188</xdr:row>
      <xdr:rowOff>173181</xdr:rowOff>
    </xdr:from>
    <xdr:to>
      <xdr:col>11</xdr:col>
      <xdr:colOff>294410</xdr:colOff>
      <xdr:row>189</xdr:row>
      <xdr:rowOff>121226</xdr:rowOff>
    </xdr:to>
    <xdr:sp macro="" textlink="">
      <xdr:nvSpPr>
        <xdr:cNvPr id="3007" name="Freeform 10707">
          <a:extLst>
            <a:ext uri="{FF2B5EF4-FFF2-40B4-BE49-F238E27FC236}">
              <a16:creationId xmlns:a16="http://schemas.microsoft.com/office/drawing/2014/main" id="{1B47F917-A5DF-43CF-B3F3-8C71021C067E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188</xdr:row>
      <xdr:rowOff>173181</xdr:rowOff>
    </xdr:from>
    <xdr:to>
      <xdr:col>13</xdr:col>
      <xdr:colOff>294410</xdr:colOff>
      <xdr:row>189</xdr:row>
      <xdr:rowOff>121226</xdr:rowOff>
    </xdr:to>
    <xdr:sp macro="" textlink="">
      <xdr:nvSpPr>
        <xdr:cNvPr id="3008" name="Freeform 10707">
          <a:extLst>
            <a:ext uri="{FF2B5EF4-FFF2-40B4-BE49-F238E27FC236}">
              <a16:creationId xmlns:a16="http://schemas.microsoft.com/office/drawing/2014/main" id="{CF4492FD-6B6A-4E13-B2DE-D843D639BC74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188</xdr:row>
      <xdr:rowOff>173181</xdr:rowOff>
    </xdr:from>
    <xdr:to>
      <xdr:col>15</xdr:col>
      <xdr:colOff>294410</xdr:colOff>
      <xdr:row>189</xdr:row>
      <xdr:rowOff>121226</xdr:rowOff>
    </xdr:to>
    <xdr:sp macro="" textlink="">
      <xdr:nvSpPr>
        <xdr:cNvPr id="3009" name="Freeform 10707">
          <a:extLst>
            <a:ext uri="{FF2B5EF4-FFF2-40B4-BE49-F238E27FC236}">
              <a16:creationId xmlns:a16="http://schemas.microsoft.com/office/drawing/2014/main" id="{3484590C-0E51-4F02-9FCA-30EF613FDA2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188</xdr:row>
      <xdr:rowOff>173181</xdr:rowOff>
    </xdr:from>
    <xdr:to>
      <xdr:col>17</xdr:col>
      <xdr:colOff>294410</xdr:colOff>
      <xdr:row>189</xdr:row>
      <xdr:rowOff>121226</xdr:rowOff>
    </xdr:to>
    <xdr:sp macro="" textlink="">
      <xdr:nvSpPr>
        <xdr:cNvPr id="3010" name="Freeform 10707">
          <a:extLst>
            <a:ext uri="{FF2B5EF4-FFF2-40B4-BE49-F238E27FC236}">
              <a16:creationId xmlns:a16="http://schemas.microsoft.com/office/drawing/2014/main" id="{1274F432-FA61-42AC-BAFE-586E32997E19}"/>
            </a:ext>
          </a:extLst>
        </xdr:cNvPr>
        <xdr:cNvSpPr>
          <a:spLocks/>
        </xdr:cNvSpPr>
      </xdr:nvSpPr>
      <xdr:spPr bwMode="auto">
        <a:xfrm>
          <a:off x="78629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188</xdr:row>
      <xdr:rowOff>173181</xdr:rowOff>
    </xdr:from>
    <xdr:to>
      <xdr:col>19</xdr:col>
      <xdr:colOff>294410</xdr:colOff>
      <xdr:row>189</xdr:row>
      <xdr:rowOff>121226</xdr:rowOff>
    </xdr:to>
    <xdr:sp macro="" textlink="">
      <xdr:nvSpPr>
        <xdr:cNvPr id="3011" name="Freeform 10707">
          <a:extLst>
            <a:ext uri="{FF2B5EF4-FFF2-40B4-BE49-F238E27FC236}">
              <a16:creationId xmlns:a16="http://schemas.microsoft.com/office/drawing/2014/main" id="{7E541271-A4E5-450B-B91C-1E22DAEBA7A9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188</xdr:row>
      <xdr:rowOff>173181</xdr:rowOff>
    </xdr:from>
    <xdr:to>
      <xdr:col>21</xdr:col>
      <xdr:colOff>294410</xdr:colOff>
      <xdr:row>189</xdr:row>
      <xdr:rowOff>121226</xdr:rowOff>
    </xdr:to>
    <xdr:sp macro="" textlink="">
      <xdr:nvSpPr>
        <xdr:cNvPr id="3012" name="Freeform 10707">
          <a:extLst>
            <a:ext uri="{FF2B5EF4-FFF2-40B4-BE49-F238E27FC236}">
              <a16:creationId xmlns:a16="http://schemas.microsoft.com/office/drawing/2014/main" id="{6B401C4A-DD3D-40A9-8141-89CB46676D3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188</xdr:row>
      <xdr:rowOff>173181</xdr:rowOff>
    </xdr:from>
    <xdr:to>
      <xdr:col>23</xdr:col>
      <xdr:colOff>294410</xdr:colOff>
      <xdr:row>189</xdr:row>
      <xdr:rowOff>121226</xdr:rowOff>
    </xdr:to>
    <xdr:sp macro="" textlink="">
      <xdr:nvSpPr>
        <xdr:cNvPr id="3013" name="Freeform 10707">
          <a:extLst>
            <a:ext uri="{FF2B5EF4-FFF2-40B4-BE49-F238E27FC236}">
              <a16:creationId xmlns:a16="http://schemas.microsoft.com/office/drawing/2014/main" id="{71AC92A8-A23D-4F88-A3E2-976CB0EFF632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188</xdr:row>
      <xdr:rowOff>173181</xdr:rowOff>
    </xdr:from>
    <xdr:to>
      <xdr:col>25</xdr:col>
      <xdr:colOff>294410</xdr:colOff>
      <xdr:row>189</xdr:row>
      <xdr:rowOff>121226</xdr:rowOff>
    </xdr:to>
    <xdr:sp macro="" textlink="">
      <xdr:nvSpPr>
        <xdr:cNvPr id="3014" name="Freeform 10707">
          <a:extLst>
            <a:ext uri="{FF2B5EF4-FFF2-40B4-BE49-F238E27FC236}">
              <a16:creationId xmlns:a16="http://schemas.microsoft.com/office/drawing/2014/main" id="{5096B7FB-7D7B-4444-BC8A-C9D0CE9613C1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188</xdr:row>
      <xdr:rowOff>173181</xdr:rowOff>
    </xdr:from>
    <xdr:to>
      <xdr:col>27</xdr:col>
      <xdr:colOff>294410</xdr:colOff>
      <xdr:row>189</xdr:row>
      <xdr:rowOff>121226</xdr:rowOff>
    </xdr:to>
    <xdr:sp macro="" textlink="">
      <xdr:nvSpPr>
        <xdr:cNvPr id="3015" name="Freeform 10707">
          <a:extLst>
            <a:ext uri="{FF2B5EF4-FFF2-40B4-BE49-F238E27FC236}">
              <a16:creationId xmlns:a16="http://schemas.microsoft.com/office/drawing/2014/main" id="{F95337AD-B3DA-480E-AC97-EAF523740118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188</xdr:row>
      <xdr:rowOff>173181</xdr:rowOff>
    </xdr:from>
    <xdr:to>
      <xdr:col>29</xdr:col>
      <xdr:colOff>294410</xdr:colOff>
      <xdr:row>189</xdr:row>
      <xdr:rowOff>121226</xdr:rowOff>
    </xdr:to>
    <xdr:sp macro="" textlink="">
      <xdr:nvSpPr>
        <xdr:cNvPr id="3016" name="Freeform 10707">
          <a:extLst>
            <a:ext uri="{FF2B5EF4-FFF2-40B4-BE49-F238E27FC236}">
              <a16:creationId xmlns:a16="http://schemas.microsoft.com/office/drawing/2014/main" id="{3890B4E9-BC58-49A4-BF30-E2D21C24D829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188</xdr:row>
      <xdr:rowOff>173181</xdr:rowOff>
    </xdr:from>
    <xdr:to>
      <xdr:col>31</xdr:col>
      <xdr:colOff>294410</xdr:colOff>
      <xdr:row>189</xdr:row>
      <xdr:rowOff>121226</xdr:rowOff>
    </xdr:to>
    <xdr:sp macro="" textlink="">
      <xdr:nvSpPr>
        <xdr:cNvPr id="3017" name="Freeform 10707">
          <a:extLst>
            <a:ext uri="{FF2B5EF4-FFF2-40B4-BE49-F238E27FC236}">
              <a16:creationId xmlns:a16="http://schemas.microsoft.com/office/drawing/2014/main" id="{C446310C-BEA5-4223-A449-E0C0598F8B80}"/>
            </a:ext>
          </a:extLst>
        </xdr:cNvPr>
        <xdr:cNvSpPr>
          <a:spLocks/>
        </xdr:cNvSpPr>
      </xdr:nvSpPr>
      <xdr:spPr bwMode="auto">
        <a:xfrm>
          <a:off x="151247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175</xdr:row>
      <xdr:rowOff>159455</xdr:rowOff>
    </xdr:from>
    <xdr:to>
      <xdr:col>24</xdr:col>
      <xdr:colOff>99818</xdr:colOff>
      <xdr:row>178</xdr:row>
      <xdr:rowOff>152400</xdr:rowOff>
    </xdr:to>
    <xdr:sp macro="" textlink="">
      <xdr:nvSpPr>
        <xdr:cNvPr id="3018" name="Isosceles Triangle 3017">
          <a:extLst>
            <a:ext uri="{FF2B5EF4-FFF2-40B4-BE49-F238E27FC236}">
              <a16:creationId xmlns:a16="http://schemas.microsoft.com/office/drawing/2014/main" id="{917D18AB-A1F1-4C97-BE7E-4325C57EBD5C}"/>
            </a:ext>
          </a:extLst>
        </xdr:cNvPr>
        <xdr:cNvSpPr/>
      </xdr:nvSpPr>
      <xdr:spPr>
        <a:xfrm>
          <a:off x="12317075" y="31216321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447409</xdr:colOff>
      <xdr:row>176</xdr:row>
      <xdr:rowOff>4233</xdr:rowOff>
    </xdr:from>
    <xdr:to>
      <xdr:col>26</xdr:col>
      <xdr:colOff>73463</xdr:colOff>
      <xdr:row>178</xdr:row>
      <xdr:rowOff>165947</xdr:rowOff>
    </xdr:to>
    <xdr:sp macro="" textlink="">
      <xdr:nvSpPr>
        <xdr:cNvPr id="3019" name="Isosceles Triangle 3018">
          <a:extLst>
            <a:ext uri="{FF2B5EF4-FFF2-40B4-BE49-F238E27FC236}">
              <a16:creationId xmlns:a16="http://schemas.microsoft.com/office/drawing/2014/main" id="{49B8371E-2960-4DDF-9D96-7C1C4B28A7CF}"/>
            </a:ext>
          </a:extLst>
        </xdr:cNvPr>
        <xdr:cNvSpPr/>
      </xdr:nvSpPr>
      <xdr:spPr>
        <a:xfrm>
          <a:off x="1346569" y="2465493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214</xdr:row>
      <xdr:rowOff>4233</xdr:rowOff>
    </xdr:from>
    <xdr:to>
      <xdr:col>4</xdr:col>
      <xdr:colOff>46570</xdr:colOff>
      <xdr:row>216</xdr:row>
      <xdr:rowOff>173567</xdr:rowOff>
    </xdr:to>
    <xdr:sp macro="" textlink="">
      <xdr:nvSpPr>
        <xdr:cNvPr id="3025" name="Isosceles Triangle 3024">
          <a:extLst>
            <a:ext uri="{FF2B5EF4-FFF2-40B4-BE49-F238E27FC236}">
              <a16:creationId xmlns:a16="http://schemas.microsoft.com/office/drawing/2014/main" id="{E73564C6-FA21-4BEF-8AB3-BD7F4EBA3CE9}"/>
            </a:ext>
          </a:extLst>
        </xdr:cNvPr>
        <xdr:cNvSpPr/>
      </xdr:nvSpPr>
      <xdr:spPr>
        <a:xfrm>
          <a:off x="1319675" y="2834301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214</xdr:row>
      <xdr:rowOff>13304</xdr:rowOff>
    </xdr:from>
    <xdr:to>
      <xdr:col>8</xdr:col>
      <xdr:colOff>46570</xdr:colOff>
      <xdr:row>217</xdr:row>
      <xdr:rowOff>1209</xdr:rowOff>
    </xdr:to>
    <xdr:sp macro="" textlink="">
      <xdr:nvSpPr>
        <xdr:cNvPr id="3026" name="Isosceles Triangle 3025">
          <a:extLst>
            <a:ext uri="{FF2B5EF4-FFF2-40B4-BE49-F238E27FC236}">
              <a16:creationId xmlns:a16="http://schemas.microsoft.com/office/drawing/2014/main" id="{D50D3172-87C6-4C00-B839-C50C67020E4B}"/>
            </a:ext>
          </a:extLst>
        </xdr:cNvPr>
        <xdr:cNvSpPr/>
      </xdr:nvSpPr>
      <xdr:spPr>
        <a:xfrm>
          <a:off x="3392315" y="2835208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214</xdr:row>
      <xdr:rowOff>15522</xdr:rowOff>
    </xdr:from>
    <xdr:to>
      <xdr:col>6</xdr:col>
      <xdr:colOff>43746</xdr:colOff>
      <xdr:row>217</xdr:row>
      <xdr:rowOff>8467</xdr:rowOff>
    </xdr:to>
    <xdr:sp macro="" textlink="">
      <xdr:nvSpPr>
        <xdr:cNvPr id="3027" name="Isosceles Triangle 3026">
          <a:extLst>
            <a:ext uri="{FF2B5EF4-FFF2-40B4-BE49-F238E27FC236}">
              <a16:creationId xmlns:a16="http://schemas.microsoft.com/office/drawing/2014/main" id="{3C9D3E67-9F21-4955-A6BD-054BAF75103E}"/>
            </a:ext>
          </a:extLst>
        </xdr:cNvPr>
        <xdr:cNvSpPr/>
      </xdr:nvSpPr>
      <xdr:spPr>
        <a:xfrm>
          <a:off x="2353172" y="283543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214</xdr:row>
      <xdr:rowOff>18345</xdr:rowOff>
    </xdr:from>
    <xdr:to>
      <xdr:col>20</xdr:col>
      <xdr:colOff>39510</xdr:colOff>
      <xdr:row>217</xdr:row>
      <xdr:rowOff>11290</xdr:rowOff>
    </xdr:to>
    <xdr:sp macro="" textlink="">
      <xdr:nvSpPr>
        <xdr:cNvPr id="3028" name="Isosceles Triangle 3027">
          <a:extLst>
            <a:ext uri="{FF2B5EF4-FFF2-40B4-BE49-F238E27FC236}">
              <a16:creationId xmlns:a16="http://schemas.microsoft.com/office/drawing/2014/main" id="{B7F9D0C6-BAC1-48F6-8BF4-220260D9534E}"/>
            </a:ext>
          </a:extLst>
        </xdr:cNvPr>
        <xdr:cNvSpPr/>
      </xdr:nvSpPr>
      <xdr:spPr>
        <a:xfrm>
          <a:off x="9610796" y="283571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214</xdr:row>
      <xdr:rowOff>16020</xdr:rowOff>
    </xdr:from>
    <xdr:to>
      <xdr:col>22</xdr:col>
      <xdr:colOff>31461</xdr:colOff>
      <xdr:row>216</xdr:row>
      <xdr:rowOff>161365</xdr:rowOff>
    </xdr:to>
    <xdr:sp macro="" textlink="">
      <xdr:nvSpPr>
        <xdr:cNvPr id="3029" name="Isosceles Triangle 3028">
          <a:extLst>
            <a:ext uri="{FF2B5EF4-FFF2-40B4-BE49-F238E27FC236}">
              <a16:creationId xmlns:a16="http://schemas.microsoft.com/office/drawing/2014/main" id="{AB64050E-0019-44AE-A9F0-AEEB039F1627}"/>
            </a:ext>
          </a:extLst>
        </xdr:cNvPr>
        <xdr:cNvSpPr/>
      </xdr:nvSpPr>
      <xdr:spPr>
        <a:xfrm>
          <a:off x="10655000" y="28354800"/>
          <a:ext cx="6464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214</xdr:row>
      <xdr:rowOff>4233</xdr:rowOff>
    </xdr:from>
    <xdr:to>
      <xdr:col>24</xdr:col>
      <xdr:colOff>46570</xdr:colOff>
      <xdr:row>216</xdr:row>
      <xdr:rowOff>173567</xdr:rowOff>
    </xdr:to>
    <xdr:sp macro="" textlink="">
      <xdr:nvSpPr>
        <xdr:cNvPr id="3030" name="Isosceles Triangle 3029">
          <a:extLst>
            <a:ext uri="{FF2B5EF4-FFF2-40B4-BE49-F238E27FC236}">
              <a16:creationId xmlns:a16="http://schemas.microsoft.com/office/drawing/2014/main" id="{CCDB0B83-2CB6-4BE1-912D-D5CFA666BDD2}"/>
            </a:ext>
          </a:extLst>
        </xdr:cNvPr>
        <xdr:cNvSpPr/>
      </xdr:nvSpPr>
      <xdr:spPr>
        <a:xfrm>
          <a:off x="11690495" y="283430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214</xdr:row>
      <xdr:rowOff>13304</xdr:rowOff>
    </xdr:from>
    <xdr:to>
      <xdr:col>28</xdr:col>
      <xdr:colOff>46570</xdr:colOff>
      <xdr:row>217</xdr:row>
      <xdr:rowOff>1210</xdr:rowOff>
    </xdr:to>
    <xdr:sp macro="" textlink="">
      <xdr:nvSpPr>
        <xdr:cNvPr id="3031" name="Isosceles Triangle 3030">
          <a:extLst>
            <a:ext uri="{FF2B5EF4-FFF2-40B4-BE49-F238E27FC236}">
              <a16:creationId xmlns:a16="http://schemas.microsoft.com/office/drawing/2014/main" id="{E290D676-ABC3-4AAD-94FB-F9E315970A5F}"/>
            </a:ext>
          </a:extLst>
        </xdr:cNvPr>
        <xdr:cNvSpPr/>
      </xdr:nvSpPr>
      <xdr:spPr>
        <a:xfrm>
          <a:off x="13763135" y="2835208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214</xdr:row>
      <xdr:rowOff>13304</xdr:rowOff>
    </xdr:from>
    <xdr:to>
      <xdr:col>24</xdr:col>
      <xdr:colOff>46569</xdr:colOff>
      <xdr:row>217</xdr:row>
      <xdr:rowOff>1210</xdr:rowOff>
    </xdr:to>
    <xdr:sp macro="" textlink="">
      <xdr:nvSpPr>
        <xdr:cNvPr id="3032" name="Isosceles Triangle 3031">
          <a:extLst>
            <a:ext uri="{FF2B5EF4-FFF2-40B4-BE49-F238E27FC236}">
              <a16:creationId xmlns:a16="http://schemas.microsoft.com/office/drawing/2014/main" id="{D43316AB-4E5B-49CB-99B0-066E208ADD07}"/>
            </a:ext>
          </a:extLst>
        </xdr:cNvPr>
        <xdr:cNvSpPr/>
      </xdr:nvSpPr>
      <xdr:spPr>
        <a:xfrm>
          <a:off x="11690495" y="283520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214</xdr:row>
      <xdr:rowOff>15522</xdr:rowOff>
    </xdr:from>
    <xdr:to>
      <xdr:col>26</xdr:col>
      <xdr:colOff>43746</xdr:colOff>
      <xdr:row>217</xdr:row>
      <xdr:rowOff>8467</xdr:rowOff>
    </xdr:to>
    <xdr:sp macro="" textlink="">
      <xdr:nvSpPr>
        <xdr:cNvPr id="3033" name="Isosceles Triangle 3032">
          <a:extLst>
            <a:ext uri="{FF2B5EF4-FFF2-40B4-BE49-F238E27FC236}">
              <a16:creationId xmlns:a16="http://schemas.microsoft.com/office/drawing/2014/main" id="{B95A1ABF-02FA-49CE-9058-72D5678FB883}"/>
            </a:ext>
          </a:extLst>
        </xdr:cNvPr>
        <xdr:cNvSpPr/>
      </xdr:nvSpPr>
      <xdr:spPr>
        <a:xfrm>
          <a:off x="12723992" y="283543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214</xdr:row>
      <xdr:rowOff>7056</xdr:rowOff>
    </xdr:from>
    <xdr:to>
      <xdr:col>30</xdr:col>
      <xdr:colOff>42332</xdr:colOff>
      <xdr:row>217</xdr:row>
      <xdr:rowOff>1</xdr:rowOff>
    </xdr:to>
    <xdr:sp macro="" textlink="">
      <xdr:nvSpPr>
        <xdr:cNvPr id="3034" name="Isosceles Triangle 3033">
          <a:extLst>
            <a:ext uri="{FF2B5EF4-FFF2-40B4-BE49-F238E27FC236}">
              <a16:creationId xmlns:a16="http://schemas.microsoft.com/office/drawing/2014/main" id="{DC0ACE62-87D1-48E3-93EE-0A3427F91700}"/>
            </a:ext>
          </a:extLst>
        </xdr:cNvPr>
        <xdr:cNvSpPr/>
      </xdr:nvSpPr>
      <xdr:spPr>
        <a:xfrm>
          <a:off x="14795218" y="283458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224</xdr:row>
      <xdr:rowOff>159859</xdr:rowOff>
    </xdr:from>
    <xdr:to>
      <xdr:col>2</xdr:col>
      <xdr:colOff>17739</xdr:colOff>
      <xdr:row>227</xdr:row>
      <xdr:rowOff>152804</xdr:rowOff>
    </xdr:to>
    <xdr:sp macro="" textlink="">
      <xdr:nvSpPr>
        <xdr:cNvPr id="3035" name="Isosceles Triangle 3034">
          <a:extLst>
            <a:ext uri="{FF2B5EF4-FFF2-40B4-BE49-F238E27FC236}">
              <a16:creationId xmlns:a16="http://schemas.microsoft.com/office/drawing/2014/main" id="{0DAAD39B-BDDA-4324-906A-2A42157E3A2F}"/>
            </a:ext>
          </a:extLst>
        </xdr:cNvPr>
        <xdr:cNvSpPr/>
      </xdr:nvSpPr>
      <xdr:spPr>
        <a:xfrm>
          <a:off x="300245" y="3017503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225</xdr:row>
      <xdr:rowOff>7056</xdr:rowOff>
    </xdr:from>
    <xdr:to>
      <xdr:col>4</xdr:col>
      <xdr:colOff>42332</xdr:colOff>
      <xdr:row>228</xdr:row>
      <xdr:rowOff>1</xdr:rowOff>
    </xdr:to>
    <xdr:sp macro="" textlink="">
      <xdr:nvSpPr>
        <xdr:cNvPr id="3036" name="Isosceles Triangle 3035">
          <a:extLst>
            <a:ext uri="{FF2B5EF4-FFF2-40B4-BE49-F238E27FC236}">
              <a16:creationId xmlns:a16="http://schemas.microsoft.com/office/drawing/2014/main" id="{197C7C8A-DCF1-471B-9C8F-7EF99FD07A56}"/>
            </a:ext>
          </a:extLst>
        </xdr:cNvPr>
        <xdr:cNvSpPr/>
      </xdr:nvSpPr>
      <xdr:spPr>
        <a:xfrm>
          <a:off x="131543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225</xdr:row>
      <xdr:rowOff>18345</xdr:rowOff>
    </xdr:from>
    <xdr:to>
      <xdr:col>6</xdr:col>
      <xdr:colOff>39510</xdr:colOff>
      <xdr:row>228</xdr:row>
      <xdr:rowOff>11290</xdr:rowOff>
    </xdr:to>
    <xdr:sp macro="" textlink="">
      <xdr:nvSpPr>
        <xdr:cNvPr id="3037" name="Isosceles Triangle 3036">
          <a:extLst>
            <a:ext uri="{FF2B5EF4-FFF2-40B4-BE49-F238E27FC236}">
              <a16:creationId xmlns:a16="http://schemas.microsoft.com/office/drawing/2014/main" id="{A2076B08-DB64-4AD3-AEEA-ADA7F3735B9F}"/>
            </a:ext>
          </a:extLst>
        </xdr:cNvPr>
        <xdr:cNvSpPr/>
      </xdr:nvSpPr>
      <xdr:spPr>
        <a:xfrm>
          <a:off x="2348936" y="302011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225</xdr:row>
      <xdr:rowOff>7056</xdr:rowOff>
    </xdr:from>
    <xdr:to>
      <xdr:col>8</xdr:col>
      <xdr:colOff>42332</xdr:colOff>
      <xdr:row>228</xdr:row>
      <xdr:rowOff>1</xdr:rowOff>
    </xdr:to>
    <xdr:sp macro="" textlink="">
      <xdr:nvSpPr>
        <xdr:cNvPr id="3038" name="Isosceles Triangle 3037">
          <a:extLst>
            <a:ext uri="{FF2B5EF4-FFF2-40B4-BE49-F238E27FC236}">
              <a16:creationId xmlns:a16="http://schemas.microsoft.com/office/drawing/2014/main" id="{25F03AAC-44B4-4CA1-9FF1-1AAC7F68F4C9}"/>
            </a:ext>
          </a:extLst>
        </xdr:cNvPr>
        <xdr:cNvSpPr/>
      </xdr:nvSpPr>
      <xdr:spPr>
        <a:xfrm>
          <a:off x="3388078" y="301898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225</xdr:row>
      <xdr:rowOff>18345</xdr:rowOff>
    </xdr:from>
    <xdr:to>
      <xdr:col>10</xdr:col>
      <xdr:colOff>39510</xdr:colOff>
      <xdr:row>228</xdr:row>
      <xdr:rowOff>11290</xdr:rowOff>
    </xdr:to>
    <xdr:sp macro="" textlink="">
      <xdr:nvSpPr>
        <xdr:cNvPr id="3039" name="Isosceles Triangle 3038">
          <a:extLst>
            <a:ext uri="{FF2B5EF4-FFF2-40B4-BE49-F238E27FC236}">
              <a16:creationId xmlns:a16="http://schemas.microsoft.com/office/drawing/2014/main" id="{2D5AD8C6-CF8C-441B-A323-A22B1BBDC622}"/>
            </a:ext>
          </a:extLst>
        </xdr:cNvPr>
        <xdr:cNvSpPr/>
      </xdr:nvSpPr>
      <xdr:spPr>
        <a:xfrm>
          <a:off x="4421576" y="3020116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225</xdr:row>
      <xdr:rowOff>7055</xdr:rowOff>
    </xdr:from>
    <xdr:to>
      <xdr:col>12</xdr:col>
      <xdr:colOff>49392</xdr:colOff>
      <xdr:row>228</xdr:row>
      <xdr:rowOff>0</xdr:rowOff>
    </xdr:to>
    <xdr:sp macro="" textlink="">
      <xdr:nvSpPr>
        <xdr:cNvPr id="3040" name="Isosceles Triangle 3039">
          <a:extLst>
            <a:ext uri="{FF2B5EF4-FFF2-40B4-BE49-F238E27FC236}">
              <a16:creationId xmlns:a16="http://schemas.microsoft.com/office/drawing/2014/main" id="{222AEE9A-64A2-4E7A-A006-E57C84867C66}"/>
            </a:ext>
          </a:extLst>
        </xdr:cNvPr>
        <xdr:cNvSpPr/>
      </xdr:nvSpPr>
      <xdr:spPr>
        <a:xfrm>
          <a:off x="5458097" y="3018987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225</xdr:row>
      <xdr:rowOff>4233</xdr:rowOff>
    </xdr:from>
    <xdr:to>
      <xdr:col>14</xdr:col>
      <xdr:colOff>46570</xdr:colOff>
      <xdr:row>227</xdr:row>
      <xdr:rowOff>173567</xdr:rowOff>
    </xdr:to>
    <xdr:sp macro="" textlink="">
      <xdr:nvSpPr>
        <xdr:cNvPr id="3041" name="Isosceles Triangle 3040">
          <a:extLst>
            <a:ext uri="{FF2B5EF4-FFF2-40B4-BE49-F238E27FC236}">
              <a16:creationId xmlns:a16="http://schemas.microsoft.com/office/drawing/2014/main" id="{4FD6F031-FECE-44C5-B2EF-23A67EA9411E}"/>
            </a:ext>
          </a:extLst>
        </xdr:cNvPr>
        <xdr:cNvSpPr/>
      </xdr:nvSpPr>
      <xdr:spPr>
        <a:xfrm>
          <a:off x="6501275" y="301870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225</xdr:row>
      <xdr:rowOff>13304</xdr:rowOff>
    </xdr:from>
    <xdr:to>
      <xdr:col>18</xdr:col>
      <xdr:colOff>46570</xdr:colOff>
      <xdr:row>228</xdr:row>
      <xdr:rowOff>1209</xdr:rowOff>
    </xdr:to>
    <xdr:sp macro="" textlink="">
      <xdr:nvSpPr>
        <xdr:cNvPr id="3042" name="Isosceles Triangle 3041">
          <a:extLst>
            <a:ext uri="{FF2B5EF4-FFF2-40B4-BE49-F238E27FC236}">
              <a16:creationId xmlns:a16="http://schemas.microsoft.com/office/drawing/2014/main" id="{B477F7F1-C35B-4084-9B9A-4CB1A82E5CFA}"/>
            </a:ext>
          </a:extLst>
        </xdr:cNvPr>
        <xdr:cNvSpPr/>
      </xdr:nvSpPr>
      <xdr:spPr>
        <a:xfrm>
          <a:off x="8573915" y="3019612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225</xdr:row>
      <xdr:rowOff>13304</xdr:rowOff>
    </xdr:from>
    <xdr:to>
      <xdr:col>14</xdr:col>
      <xdr:colOff>46569</xdr:colOff>
      <xdr:row>228</xdr:row>
      <xdr:rowOff>1209</xdr:rowOff>
    </xdr:to>
    <xdr:sp macro="" textlink="">
      <xdr:nvSpPr>
        <xdr:cNvPr id="3043" name="Isosceles Triangle 3042">
          <a:extLst>
            <a:ext uri="{FF2B5EF4-FFF2-40B4-BE49-F238E27FC236}">
              <a16:creationId xmlns:a16="http://schemas.microsoft.com/office/drawing/2014/main" id="{76A45667-2D82-4888-BAB8-8FE9450ECC6B}"/>
            </a:ext>
          </a:extLst>
        </xdr:cNvPr>
        <xdr:cNvSpPr/>
      </xdr:nvSpPr>
      <xdr:spPr>
        <a:xfrm>
          <a:off x="6501275" y="3019612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225</xdr:row>
      <xdr:rowOff>15522</xdr:rowOff>
    </xdr:from>
    <xdr:to>
      <xdr:col>16</xdr:col>
      <xdr:colOff>43746</xdr:colOff>
      <xdr:row>228</xdr:row>
      <xdr:rowOff>8467</xdr:rowOff>
    </xdr:to>
    <xdr:sp macro="" textlink="">
      <xdr:nvSpPr>
        <xdr:cNvPr id="3044" name="Isosceles Triangle 3043">
          <a:extLst>
            <a:ext uri="{FF2B5EF4-FFF2-40B4-BE49-F238E27FC236}">
              <a16:creationId xmlns:a16="http://schemas.microsoft.com/office/drawing/2014/main" id="{4F3B736B-A058-463E-9293-6EF60B3F3AB6}"/>
            </a:ext>
          </a:extLst>
        </xdr:cNvPr>
        <xdr:cNvSpPr/>
      </xdr:nvSpPr>
      <xdr:spPr>
        <a:xfrm>
          <a:off x="7534772" y="301983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225</xdr:row>
      <xdr:rowOff>7056</xdr:rowOff>
    </xdr:from>
    <xdr:to>
      <xdr:col>20</xdr:col>
      <xdr:colOff>42332</xdr:colOff>
      <xdr:row>228</xdr:row>
      <xdr:rowOff>1</xdr:rowOff>
    </xdr:to>
    <xdr:sp macro="" textlink="">
      <xdr:nvSpPr>
        <xdr:cNvPr id="3045" name="Isosceles Triangle 3044">
          <a:extLst>
            <a:ext uri="{FF2B5EF4-FFF2-40B4-BE49-F238E27FC236}">
              <a16:creationId xmlns:a16="http://schemas.microsoft.com/office/drawing/2014/main" id="{CE062CF7-78BE-4DC1-81C9-59076E5E41FC}"/>
            </a:ext>
          </a:extLst>
        </xdr:cNvPr>
        <xdr:cNvSpPr/>
      </xdr:nvSpPr>
      <xdr:spPr>
        <a:xfrm>
          <a:off x="961361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225</xdr:row>
      <xdr:rowOff>18345</xdr:rowOff>
    </xdr:from>
    <xdr:to>
      <xdr:col>22</xdr:col>
      <xdr:colOff>39510</xdr:colOff>
      <xdr:row>228</xdr:row>
      <xdr:rowOff>11290</xdr:rowOff>
    </xdr:to>
    <xdr:sp macro="" textlink="">
      <xdr:nvSpPr>
        <xdr:cNvPr id="3046" name="Isosceles Triangle 3045">
          <a:extLst>
            <a:ext uri="{FF2B5EF4-FFF2-40B4-BE49-F238E27FC236}">
              <a16:creationId xmlns:a16="http://schemas.microsoft.com/office/drawing/2014/main" id="{DDDD90C5-E62C-4133-B807-67D580FCC51C}"/>
            </a:ext>
          </a:extLst>
        </xdr:cNvPr>
        <xdr:cNvSpPr/>
      </xdr:nvSpPr>
      <xdr:spPr>
        <a:xfrm>
          <a:off x="10647116" y="3020116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225</xdr:row>
      <xdr:rowOff>7056</xdr:rowOff>
    </xdr:from>
    <xdr:to>
      <xdr:col>24</xdr:col>
      <xdr:colOff>42332</xdr:colOff>
      <xdr:row>228</xdr:row>
      <xdr:rowOff>1</xdr:rowOff>
    </xdr:to>
    <xdr:sp macro="" textlink="">
      <xdr:nvSpPr>
        <xdr:cNvPr id="3047" name="Isosceles Triangle 3046">
          <a:extLst>
            <a:ext uri="{FF2B5EF4-FFF2-40B4-BE49-F238E27FC236}">
              <a16:creationId xmlns:a16="http://schemas.microsoft.com/office/drawing/2014/main" id="{16605299-B21E-4520-A5F0-A35F0F7BE51F}"/>
            </a:ext>
          </a:extLst>
        </xdr:cNvPr>
        <xdr:cNvSpPr/>
      </xdr:nvSpPr>
      <xdr:spPr>
        <a:xfrm>
          <a:off x="11686258" y="3018987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225</xdr:row>
      <xdr:rowOff>18345</xdr:rowOff>
    </xdr:from>
    <xdr:to>
      <xdr:col>26</xdr:col>
      <xdr:colOff>39510</xdr:colOff>
      <xdr:row>228</xdr:row>
      <xdr:rowOff>11290</xdr:rowOff>
    </xdr:to>
    <xdr:sp macro="" textlink="">
      <xdr:nvSpPr>
        <xdr:cNvPr id="3048" name="Isosceles Triangle 3047">
          <a:extLst>
            <a:ext uri="{FF2B5EF4-FFF2-40B4-BE49-F238E27FC236}">
              <a16:creationId xmlns:a16="http://schemas.microsoft.com/office/drawing/2014/main" id="{2D800BCB-B858-4075-9E78-59BED8179A1D}"/>
            </a:ext>
          </a:extLst>
        </xdr:cNvPr>
        <xdr:cNvSpPr/>
      </xdr:nvSpPr>
      <xdr:spPr>
        <a:xfrm>
          <a:off x="1271975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225</xdr:row>
      <xdr:rowOff>7056</xdr:rowOff>
    </xdr:from>
    <xdr:to>
      <xdr:col>28</xdr:col>
      <xdr:colOff>42332</xdr:colOff>
      <xdr:row>228</xdr:row>
      <xdr:rowOff>1</xdr:rowOff>
    </xdr:to>
    <xdr:sp macro="" textlink="">
      <xdr:nvSpPr>
        <xdr:cNvPr id="3049" name="Isosceles Triangle 3048">
          <a:extLst>
            <a:ext uri="{FF2B5EF4-FFF2-40B4-BE49-F238E27FC236}">
              <a16:creationId xmlns:a16="http://schemas.microsoft.com/office/drawing/2014/main" id="{AB3D682E-880E-49FF-80DE-007F473C41C4}"/>
            </a:ext>
          </a:extLst>
        </xdr:cNvPr>
        <xdr:cNvSpPr/>
      </xdr:nvSpPr>
      <xdr:spPr>
        <a:xfrm>
          <a:off x="1375889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225</xdr:row>
      <xdr:rowOff>18345</xdr:rowOff>
    </xdr:from>
    <xdr:to>
      <xdr:col>30</xdr:col>
      <xdr:colOff>39510</xdr:colOff>
      <xdr:row>228</xdr:row>
      <xdr:rowOff>11290</xdr:rowOff>
    </xdr:to>
    <xdr:sp macro="" textlink="">
      <xdr:nvSpPr>
        <xdr:cNvPr id="3050" name="Isosceles Triangle 3049">
          <a:extLst>
            <a:ext uri="{FF2B5EF4-FFF2-40B4-BE49-F238E27FC236}">
              <a16:creationId xmlns:a16="http://schemas.microsoft.com/office/drawing/2014/main" id="{E951AA49-66D4-4D75-B29F-160E613C9DF7}"/>
            </a:ext>
          </a:extLst>
        </xdr:cNvPr>
        <xdr:cNvSpPr/>
      </xdr:nvSpPr>
      <xdr:spPr>
        <a:xfrm>
          <a:off x="1479239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213</xdr:row>
      <xdr:rowOff>173181</xdr:rowOff>
    </xdr:from>
    <xdr:to>
      <xdr:col>3</xdr:col>
      <xdr:colOff>294410</xdr:colOff>
      <xdr:row>214</xdr:row>
      <xdr:rowOff>121226</xdr:rowOff>
    </xdr:to>
    <xdr:sp macro="" textlink="">
      <xdr:nvSpPr>
        <xdr:cNvPr id="3051" name="Freeform 10707">
          <a:extLst>
            <a:ext uri="{FF2B5EF4-FFF2-40B4-BE49-F238E27FC236}">
              <a16:creationId xmlns:a16="http://schemas.microsoft.com/office/drawing/2014/main" id="{7CA6D7CD-C644-4426-9F0A-17877ACA1ED7}"/>
            </a:ext>
          </a:extLst>
        </xdr:cNvPr>
        <xdr:cNvSpPr>
          <a:spLocks/>
        </xdr:cNvSpPr>
      </xdr:nvSpPr>
      <xdr:spPr bwMode="auto">
        <a:xfrm>
          <a:off x="6086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213</xdr:row>
      <xdr:rowOff>173181</xdr:rowOff>
    </xdr:from>
    <xdr:to>
      <xdr:col>5</xdr:col>
      <xdr:colOff>294410</xdr:colOff>
      <xdr:row>214</xdr:row>
      <xdr:rowOff>121226</xdr:rowOff>
    </xdr:to>
    <xdr:sp macro="" textlink="">
      <xdr:nvSpPr>
        <xdr:cNvPr id="3052" name="Freeform 10707">
          <a:extLst>
            <a:ext uri="{FF2B5EF4-FFF2-40B4-BE49-F238E27FC236}">
              <a16:creationId xmlns:a16="http://schemas.microsoft.com/office/drawing/2014/main" id="{60471030-29D1-4C27-9BFD-D92CFBAFD505}"/>
            </a:ext>
          </a:extLst>
        </xdr:cNvPr>
        <xdr:cNvSpPr>
          <a:spLocks/>
        </xdr:cNvSpPr>
      </xdr:nvSpPr>
      <xdr:spPr bwMode="auto">
        <a:xfrm>
          <a:off x="16450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213</xdr:row>
      <xdr:rowOff>173181</xdr:rowOff>
    </xdr:from>
    <xdr:to>
      <xdr:col>7</xdr:col>
      <xdr:colOff>294410</xdr:colOff>
      <xdr:row>214</xdr:row>
      <xdr:rowOff>121226</xdr:rowOff>
    </xdr:to>
    <xdr:sp macro="" textlink="">
      <xdr:nvSpPr>
        <xdr:cNvPr id="3053" name="Freeform 10707">
          <a:extLst>
            <a:ext uri="{FF2B5EF4-FFF2-40B4-BE49-F238E27FC236}">
              <a16:creationId xmlns:a16="http://schemas.microsoft.com/office/drawing/2014/main" id="{8A0CE8B0-F58A-4AB2-92BE-91B79FC97A48}"/>
            </a:ext>
          </a:extLst>
        </xdr:cNvPr>
        <xdr:cNvSpPr>
          <a:spLocks/>
        </xdr:cNvSpPr>
      </xdr:nvSpPr>
      <xdr:spPr bwMode="auto">
        <a:xfrm>
          <a:off x="26813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213</xdr:row>
      <xdr:rowOff>173181</xdr:rowOff>
    </xdr:from>
    <xdr:to>
      <xdr:col>9</xdr:col>
      <xdr:colOff>294410</xdr:colOff>
      <xdr:row>214</xdr:row>
      <xdr:rowOff>121226</xdr:rowOff>
    </xdr:to>
    <xdr:sp macro="" textlink="">
      <xdr:nvSpPr>
        <xdr:cNvPr id="3054" name="Freeform 10707">
          <a:extLst>
            <a:ext uri="{FF2B5EF4-FFF2-40B4-BE49-F238E27FC236}">
              <a16:creationId xmlns:a16="http://schemas.microsoft.com/office/drawing/2014/main" id="{EE0A33F9-194F-431E-9F46-516E9377DD22}"/>
            </a:ext>
          </a:extLst>
        </xdr:cNvPr>
        <xdr:cNvSpPr>
          <a:spLocks/>
        </xdr:cNvSpPr>
      </xdr:nvSpPr>
      <xdr:spPr bwMode="auto">
        <a:xfrm>
          <a:off x="37176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213</xdr:row>
      <xdr:rowOff>173181</xdr:rowOff>
    </xdr:from>
    <xdr:to>
      <xdr:col>11</xdr:col>
      <xdr:colOff>294410</xdr:colOff>
      <xdr:row>214</xdr:row>
      <xdr:rowOff>121226</xdr:rowOff>
    </xdr:to>
    <xdr:sp macro="" textlink="">
      <xdr:nvSpPr>
        <xdr:cNvPr id="3055" name="Freeform 10707">
          <a:extLst>
            <a:ext uri="{FF2B5EF4-FFF2-40B4-BE49-F238E27FC236}">
              <a16:creationId xmlns:a16="http://schemas.microsoft.com/office/drawing/2014/main" id="{0C713604-C2F7-4D1F-9DE6-65061A128697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213</xdr:row>
      <xdr:rowOff>173181</xdr:rowOff>
    </xdr:from>
    <xdr:to>
      <xdr:col>13</xdr:col>
      <xdr:colOff>294410</xdr:colOff>
      <xdr:row>214</xdr:row>
      <xdr:rowOff>121226</xdr:rowOff>
    </xdr:to>
    <xdr:sp macro="" textlink="">
      <xdr:nvSpPr>
        <xdr:cNvPr id="3056" name="Freeform 10707">
          <a:extLst>
            <a:ext uri="{FF2B5EF4-FFF2-40B4-BE49-F238E27FC236}">
              <a16:creationId xmlns:a16="http://schemas.microsoft.com/office/drawing/2014/main" id="{12BE5A3E-3059-492B-9510-0FE3BD683B1B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213</xdr:row>
      <xdr:rowOff>173181</xdr:rowOff>
    </xdr:from>
    <xdr:to>
      <xdr:col>15</xdr:col>
      <xdr:colOff>294410</xdr:colOff>
      <xdr:row>214</xdr:row>
      <xdr:rowOff>121226</xdr:rowOff>
    </xdr:to>
    <xdr:sp macro="" textlink="">
      <xdr:nvSpPr>
        <xdr:cNvPr id="3057" name="Freeform 10707">
          <a:extLst>
            <a:ext uri="{FF2B5EF4-FFF2-40B4-BE49-F238E27FC236}">
              <a16:creationId xmlns:a16="http://schemas.microsoft.com/office/drawing/2014/main" id="{F755E4B2-4D23-48F0-B240-2D35AF8AC83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213</xdr:row>
      <xdr:rowOff>173181</xdr:rowOff>
    </xdr:from>
    <xdr:to>
      <xdr:col>17</xdr:col>
      <xdr:colOff>294410</xdr:colOff>
      <xdr:row>214</xdr:row>
      <xdr:rowOff>121226</xdr:rowOff>
    </xdr:to>
    <xdr:sp macro="" textlink="">
      <xdr:nvSpPr>
        <xdr:cNvPr id="3058" name="Freeform 10707">
          <a:extLst>
            <a:ext uri="{FF2B5EF4-FFF2-40B4-BE49-F238E27FC236}">
              <a16:creationId xmlns:a16="http://schemas.microsoft.com/office/drawing/2014/main" id="{07E002F9-ED12-40CD-8FF8-9FFE1F7DDB92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213</xdr:row>
      <xdr:rowOff>173181</xdr:rowOff>
    </xdr:from>
    <xdr:to>
      <xdr:col>19</xdr:col>
      <xdr:colOff>294410</xdr:colOff>
      <xdr:row>214</xdr:row>
      <xdr:rowOff>121226</xdr:rowOff>
    </xdr:to>
    <xdr:sp macro="" textlink="">
      <xdr:nvSpPr>
        <xdr:cNvPr id="3059" name="Freeform 10707">
          <a:extLst>
            <a:ext uri="{FF2B5EF4-FFF2-40B4-BE49-F238E27FC236}">
              <a16:creationId xmlns:a16="http://schemas.microsoft.com/office/drawing/2014/main" id="{0C114529-7586-4F2D-AA01-6B2E08A6F851}"/>
            </a:ext>
          </a:extLst>
        </xdr:cNvPr>
        <xdr:cNvSpPr>
          <a:spLocks/>
        </xdr:cNvSpPr>
      </xdr:nvSpPr>
      <xdr:spPr bwMode="auto">
        <a:xfrm>
          <a:off x="8899240" y="283367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213</xdr:row>
      <xdr:rowOff>173181</xdr:rowOff>
    </xdr:from>
    <xdr:to>
      <xdr:col>21</xdr:col>
      <xdr:colOff>294410</xdr:colOff>
      <xdr:row>214</xdr:row>
      <xdr:rowOff>121226</xdr:rowOff>
    </xdr:to>
    <xdr:sp macro="" textlink="">
      <xdr:nvSpPr>
        <xdr:cNvPr id="3060" name="Freeform 10707">
          <a:extLst>
            <a:ext uri="{FF2B5EF4-FFF2-40B4-BE49-F238E27FC236}">
              <a16:creationId xmlns:a16="http://schemas.microsoft.com/office/drawing/2014/main" id="{E7783F5E-27CB-449D-83B3-FD942F9B17C6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213</xdr:row>
      <xdr:rowOff>173181</xdr:rowOff>
    </xdr:from>
    <xdr:to>
      <xdr:col>23</xdr:col>
      <xdr:colOff>294410</xdr:colOff>
      <xdr:row>214</xdr:row>
      <xdr:rowOff>121226</xdr:rowOff>
    </xdr:to>
    <xdr:sp macro="" textlink="">
      <xdr:nvSpPr>
        <xdr:cNvPr id="3061" name="Freeform 10707">
          <a:extLst>
            <a:ext uri="{FF2B5EF4-FFF2-40B4-BE49-F238E27FC236}">
              <a16:creationId xmlns:a16="http://schemas.microsoft.com/office/drawing/2014/main" id="{85B5F1D2-4FC0-46C6-8F13-75D745A9FEF5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213</xdr:row>
      <xdr:rowOff>173181</xdr:rowOff>
    </xdr:from>
    <xdr:to>
      <xdr:col>25</xdr:col>
      <xdr:colOff>294410</xdr:colOff>
      <xdr:row>214</xdr:row>
      <xdr:rowOff>121226</xdr:rowOff>
    </xdr:to>
    <xdr:sp macro="" textlink="">
      <xdr:nvSpPr>
        <xdr:cNvPr id="3062" name="Freeform 10707">
          <a:extLst>
            <a:ext uri="{FF2B5EF4-FFF2-40B4-BE49-F238E27FC236}">
              <a16:creationId xmlns:a16="http://schemas.microsoft.com/office/drawing/2014/main" id="{5160E667-B3A0-452C-AA40-3D74F515A73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213</xdr:row>
      <xdr:rowOff>173181</xdr:rowOff>
    </xdr:from>
    <xdr:to>
      <xdr:col>27</xdr:col>
      <xdr:colOff>294410</xdr:colOff>
      <xdr:row>214</xdr:row>
      <xdr:rowOff>121226</xdr:rowOff>
    </xdr:to>
    <xdr:sp macro="" textlink="">
      <xdr:nvSpPr>
        <xdr:cNvPr id="3063" name="Freeform 10707">
          <a:extLst>
            <a:ext uri="{FF2B5EF4-FFF2-40B4-BE49-F238E27FC236}">
              <a16:creationId xmlns:a16="http://schemas.microsoft.com/office/drawing/2014/main" id="{11D7BF67-AFF2-496E-9C65-EA50DD30EEE5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213</xdr:row>
      <xdr:rowOff>173181</xdr:rowOff>
    </xdr:from>
    <xdr:to>
      <xdr:col>29</xdr:col>
      <xdr:colOff>294410</xdr:colOff>
      <xdr:row>214</xdr:row>
      <xdr:rowOff>121226</xdr:rowOff>
    </xdr:to>
    <xdr:sp macro="" textlink="">
      <xdr:nvSpPr>
        <xdr:cNvPr id="3064" name="Freeform 10707">
          <a:extLst>
            <a:ext uri="{FF2B5EF4-FFF2-40B4-BE49-F238E27FC236}">
              <a16:creationId xmlns:a16="http://schemas.microsoft.com/office/drawing/2014/main" id="{8CC9B0A5-65C9-4D8A-B75D-968EBA052C0A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213</xdr:row>
      <xdr:rowOff>173181</xdr:rowOff>
    </xdr:from>
    <xdr:to>
      <xdr:col>31</xdr:col>
      <xdr:colOff>294410</xdr:colOff>
      <xdr:row>214</xdr:row>
      <xdr:rowOff>121226</xdr:rowOff>
    </xdr:to>
    <xdr:sp macro="" textlink="">
      <xdr:nvSpPr>
        <xdr:cNvPr id="3065" name="Freeform 10707">
          <a:extLst>
            <a:ext uri="{FF2B5EF4-FFF2-40B4-BE49-F238E27FC236}">
              <a16:creationId xmlns:a16="http://schemas.microsoft.com/office/drawing/2014/main" id="{DA5C3668-AFBF-4286-B00B-60A00DA4A0CA}"/>
            </a:ext>
          </a:extLst>
        </xdr:cNvPr>
        <xdr:cNvSpPr>
          <a:spLocks/>
        </xdr:cNvSpPr>
      </xdr:nvSpPr>
      <xdr:spPr bwMode="auto">
        <a:xfrm>
          <a:off x="151247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224</xdr:row>
      <xdr:rowOff>173181</xdr:rowOff>
    </xdr:from>
    <xdr:to>
      <xdr:col>3</xdr:col>
      <xdr:colOff>294410</xdr:colOff>
      <xdr:row>225</xdr:row>
      <xdr:rowOff>121226</xdr:rowOff>
    </xdr:to>
    <xdr:sp macro="" textlink="">
      <xdr:nvSpPr>
        <xdr:cNvPr id="3066" name="Freeform 10707">
          <a:extLst>
            <a:ext uri="{FF2B5EF4-FFF2-40B4-BE49-F238E27FC236}">
              <a16:creationId xmlns:a16="http://schemas.microsoft.com/office/drawing/2014/main" id="{BA32F8B3-71BF-4BA8-89D3-E8420335A69C}"/>
            </a:ext>
          </a:extLst>
        </xdr:cNvPr>
        <xdr:cNvSpPr>
          <a:spLocks/>
        </xdr:cNvSpPr>
      </xdr:nvSpPr>
      <xdr:spPr bwMode="auto">
        <a:xfrm>
          <a:off x="6086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224</xdr:row>
      <xdr:rowOff>173181</xdr:rowOff>
    </xdr:from>
    <xdr:to>
      <xdr:col>5</xdr:col>
      <xdr:colOff>294410</xdr:colOff>
      <xdr:row>225</xdr:row>
      <xdr:rowOff>121226</xdr:rowOff>
    </xdr:to>
    <xdr:sp macro="" textlink="">
      <xdr:nvSpPr>
        <xdr:cNvPr id="3067" name="Freeform 10707">
          <a:extLst>
            <a:ext uri="{FF2B5EF4-FFF2-40B4-BE49-F238E27FC236}">
              <a16:creationId xmlns:a16="http://schemas.microsoft.com/office/drawing/2014/main" id="{622D69FE-A784-416C-A630-DB3372A6C7BE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224</xdr:row>
      <xdr:rowOff>173181</xdr:rowOff>
    </xdr:from>
    <xdr:to>
      <xdr:col>7</xdr:col>
      <xdr:colOff>294410</xdr:colOff>
      <xdr:row>225</xdr:row>
      <xdr:rowOff>121226</xdr:rowOff>
    </xdr:to>
    <xdr:sp macro="" textlink="">
      <xdr:nvSpPr>
        <xdr:cNvPr id="3068" name="Freeform 10707">
          <a:extLst>
            <a:ext uri="{FF2B5EF4-FFF2-40B4-BE49-F238E27FC236}">
              <a16:creationId xmlns:a16="http://schemas.microsoft.com/office/drawing/2014/main" id="{83CEE325-3C64-41D7-BB76-C276CA3FFF04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224</xdr:row>
      <xdr:rowOff>173181</xdr:rowOff>
    </xdr:from>
    <xdr:to>
      <xdr:col>9</xdr:col>
      <xdr:colOff>294410</xdr:colOff>
      <xdr:row>225</xdr:row>
      <xdr:rowOff>121226</xdr:rowOff>
    </xdr:to>
    <xdr:sp macro="" textlink="">
      <xdr:nvSpPr>
        <xdr:cNvPr id="3069" name="Freeform 10707">
          <a:extLst>
            <a:ext uri="{FF2B5EF4-FFF2-40B4-BE49-F238E27FC236}">
              <a16:creationId xmlns:a16="http://schemas.microsoft.com/office/drawing/2014/main" id="{AEDCD015-73B6-423F-B49D-53777A9750DA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224</xdr:row>
      <xdr:rowOff>173181</xdr:rowOff>
    </xdr:from>
    <xdr:to>
      <xdr:col>11</xdr:col>
      <xdr:colOff>294410</xdr:colOff>
      <xdr:row>225</xdr:row>
      <xdr:rowOff>121226</xdr:rowOff>
    </xdr:to>
    <xdr:sp macro="" textlink="">
      <xdr:nvSpPr>
        <xdr:cNvPr id="3070" name="Freeform 10707">
          <a:extLst>
            <a:ext uri="{FF2B5EF4-FFF2-40B4-BE49-F238E27FC236}">
              <a16:creationId xmlns:a16="http://schemas.microsoft.com/office/drawing/2014/main" id="{FF637E8E-FF54-417C-9954-6EF792CC0AC5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224</xdr:row>
      <xdr:rowOff>173181</xdr:rowOff>
    </xdr:from>
    <xdr:to>
      <xdr:col>13</xdr:col>
      <xdr:colOff>294410</xdr:colOff>
      <xdr:row>225</xdr:row>
      <xdr:rowOff>121226</xdr:rowOff>
    </xdr:to>
    <xdr:sp macro="" textlink="">
      <xdr:nvSpPr>
        <xdr:cNvPr id="3071" name="Freeform 10707">
          <a:extLst>
            <a:ext uri="{FF2B5EF4-FFF2-40B4-BE49-F238E27FC236}">
              <a16:creationId xmlns:a16="http://schemas.microsoft.com/office/drawing/2014/main" id="{5F3CF95F-0A69-4E1F-9B23-C4E501C2FE9D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224</xdr:row>
      <xdr:rowOff>173181</xdr:rowOff>
    </xdr:from>
    <xdr:to>
      <xdr:col>15</xdr:col>
      <xdr:colOff>294410</xdr:colOff>
      <xdr:row>225</xdr:row>
      <xdr:rowOff>121226</xdr:rowOff>
    </xdr:to>
    <xdr:sp macro="" textlink="">
      <xdr:nvSpPr>
        <xdr:cNvPr id="3072" name="Freeform 10707">
          <a:extLst>
            <a:ext uri="{FF2B5EF4-FFF2-40B4-BE49-F238E27FC236}">
              <a16:creationId xmlns:a16="http://schemas.microsoft.com/office/drawing/2014/main" id="{03CCB601-8F00-4672-B514-9F6DC124EF4E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224</xdr:row>
      <xdr:rowOff>173181</xdr:rowOff>
    </xdr:from>
    <xdr:to>
      <xdr:col>17</xdr:col>
      <xdr:colOff>294410</xdr:colOff>
      <xdr:row>225</xdr:row>
      <xdr:rowOff>121226</xdr:rowOff>
    </xdr:to>
    <xdr:sp macro="" textlink="">
      <xdr:nvSpPr>
        <xdr:cNvPr id="3073" name="Freeform 10707">
          <a:extLst>
            <a:ext uri="{FF2B5EF4-FFF2-40B4-BE49-F238E27FC236}">
              <a16:creationId xmlns:a16="http://schemas.microsoft.com/office/drawing/2014/main" id="{33DCC5E5-5E86-43F9-9BD3-A0FE30825FC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224</xdr:row>
      <xdr:rowOff>173181</xdr:rowOff>
    </xdr:from>
    <xdr:to>
      <xdr:col>19</xdr:col>
      <xdr:colOff>294410</xdr:colOff>
      <xdr:row>225</xdr:row>
      <xdr:rowOff>121226</xdr:rowOff>
    </xdr:to>
    <xdr:sp macro="" textlink="">
      <xdr:nvSpPr>
        <xdr:cNvPr id="3074" name="Freeform 10707">
          <a:extLst>
            <a:ext uri="{FF2B5EF4-FFF2-40B4-BE49-F238E27FC236}">
              <a16:creationId xmlns:a16="http://schemas.microsoft.com/office/drawing/2014/main" id="{A6CBA9F2-57B8-480A-AC4C-110170E31617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224</xdr:row>
      <xdr:rowOff>173181</xdr:rowOff>
    </xdr:from>
    <xdr:to>
      <xdr:col>21</xdr:col>
      <xdr:colOff>294410</xdr:colOff>
      <xdr:row>225</xdr:row>
      <xdr:rowOff>121226</xdr:rowOff>
    </xdr:to>
    <xdr:sp macro="" textlink="">
      <xdr:nvSpPr>
        <xdr:cNvPr id="3075" name="Freeform 10707">
          <a:extLst>
            <a:ext uri="{FF2B5EF4-FFF2-40B4-BE49-F238E27FC236}">
              <a16:creationId xmlns:a16="http://schemas.microsoft.com/office/drawing/2014/main" id="{AA811733-3029-40DE-A141-5B905856C945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224</xdr:row>
      <xdr:rowOff>173181</xdr:rowOff>
    </xdr:from>
    <xdr:to>
      <xdr:col>23</xdr:col>
      <xdr:colOff>294410</xdr:colOff>
      <xdr:row>225</xdr:row>
      <xdr:rowOff>121226</xdr:rowOff>
    </xdr:to>
    <xdr:sp macro="" textlink="">
      <xdr:nvSpPr>
        <xdr:cNvPr id="3076" name="Freeform 10707">
          <a:extLst>
            <a:ext uri="{FF2B5EF4-FFF2-40B4-BE49-F238E27FC236}">
              <a16:creationId xmlns:a16="http://schemas.microsoft.com/office/drawing/2014/main" id="{767AC943-853E-486F-97DE-B52995D1A0E5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224</xdr:row>
      <xdr:rowOff>173181</xdr:rowOff>
    </xdr:from>
    <xdr:to>
      <xdr:col>25</xdr:col>
      <xdr:colOff>294410</xdr:colOff>
      <xdr:row>225</xdr:row>
      <xdr:rowOff>121226</xdr:rowOff>
    </xdr:to>
    <xdr:sp macro="" textlink="">
      <xdr:nvSpPr>
        <xdr:cNvPr id="3077" name="Freeform 10707">
          <a:extLst>
            <a:ext uri="{FF2B5EF4-FFF2-40B4-BE49-F238E27FC236}">
              <a16:creationId xmlns:a16="http://schemas.microsoft.com/office/drawing/2014/main" id="{C6772AC3-BC3B-4518-A2DF-A5703FBB7BC7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224</xdr:row>
      <xdr:rowOff>173181</xdr:rowOff>
    </xdr:from>
    <xdr:to>
      <xdr:col>27</xdr:col>
      <xdr:colOff>294410</xdr:colOff>
      <xdr:row>225</xdr:row>
      <xdr:rowOff>121226</xdr:rowOff>
    </xdr:to>
    <xdr:sp macro="" textlink="">
      <xdr:nvSpPr>
        <xdr:cNvPr id="3078" name="Freeform 10707">
          <a:extLst>
            <a:ext uri="{FF2B5EF4-FFF2-40B4-BE49-F238E27FC236}">
              <a16:creationId xmlns:a16="http://schemas.microsoft.com/office/drawing/2014/main" id="{DDC6A792-0F72-4890-B97D-C6D303BE12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224</xdr:row>
      <xdr:rowOff>173181</xdr:rowOff>
    </xdr:from>
    <xdr:to>
      <xdr:col>29</xdr:col>
      <xdr:colOff>294410</xdr:colOff>
      <xdr:row>225</xdr:row>
      <xdr:rowOff>121226</xdr:rowOff>
    </xdr:to>
    <xdr:sp macro="" textlink="">
      <xdr:nvSpPr>
        <xdr:cNvPr id="3079" name="Freeform 10707">
          <a:extLst>
            <a:ext uri="{FF2B5EF4-FFF2-40B4-BE49-F238E27FC236}">
              <a16:creationId xmlns:a16="http://schemas.microsoft.com/office/drawing/2014/main" id="{AA0711FE-8430-4313-BFED-AF3B03EF7538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224</xdr:row>
      <xdr:rowOff>173181</xdr:rowOff>
    </xdr:from>
    <xdr:to>
      <xdr:col>31</xdr:col>
      <xdr:colOff>294410</xdr:colOff>
      <xdr:row>225</xdr:row>
      <xdr:rowOff>121226</xdr:rowOff>
    </xdr:to>
    <xdr:sp macro="" textlink="">
      <xdr:nvSpPr>
        <xdr:cNvPr id="3080" name="Freeform 10707">
          <a:extLst>
            <a:ext uri="{FF2B5EF4-FFF2-40B4-BE49-F238E27FC236}">
              <a16:creationId xmlns:a16="http://schemas.microsoft.com/office/drawing/2014/main" id="{3174CC36-20F3-4F53-AF61-DC4BFF7775A8}"/>
            </a:ext>
          </a:extLst>
        </xdr:cNvPr>
        <xdr:cNvSpPr>
          <a:spLocks/>
        </xdr:cNvSpPr>
      </xdr:nvSpPr>
      <xdr:spPr bwMode="auto">
        <a:xfrm>
          <a:off x="151247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213</xdr:row>
      <xdr:rowOff>159455</xdr:rowOff>
    </xdr:from>
    <xdr:to>
      <xdr:col>2</xdr:col>
      <xdr:colOff>32743</xdr:colOff>
      <xdr:row>216</xdr:row>
      <xdr:rowOff>152400</xdr:rowOff>
    </xdr:to>
    <xdr:sp macro="" textlink="">
      <xdr:nvSpPr>
        <xdr:cNvPr id="3081" name="Isosceles Triangle 3080">
          <a:extLst>
            <a:ext uri="{FF2B5EF4-FFF2-40B4-BE49-F238E27FC236}">
              <a16:creationId xmlns:a16="http://schemas.microsoft.com/office/drawing/2014/main" id="{342E7AF2-7E92-49E3-82AC-4D63171C83A0}"/>
            </a:ext>
          </a:extLst>
        </xdr:cNvPr>
        <xdr:cNvSpPr/>
      </xdr:nvSpPr>
      <xdr:spPr>
        <a:xfrm>
          <a:off x="296796" y="2833059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214</xdr:row>
      <xdr:rowOff>4233</xdr:rowOff>
    </xdr:from>
    <xdr:to>
      <xdr:col>4</xdr:col>
      <xdr:colOff>73463</xdr:colOff>
      <xdr:row>216</xdr:row>
      <xdr:rowOff>165947</xdr:rowOff>
    </xdr:to>
    <xdr:sp macro="" textlink="">
      <xdr:nvSpPr>
        <xdr:cNvPr id="3082" name="Isosceles Triangle 3081">
          <a:extLst>
            <a:ext uri="{FF2B5EF4-FFF2-40B4-BE49-F238E27FC236}">
              <a16:creationId xmlns:a16="http://schemas.microsoft.com/office/drawing/2014/main" id="{416510A9-7568-4B43-A716-780E961A35BD}"/>
            </a:ext>
          </a:extLst>
        </xdr:cNvPr>
        <xdr:cNvSpPr/>
      </xdr:nvSpPr>
      <xdr:spPr>
        <a:xfrm>
          <a:off x="1346569" y="2834301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214</xdr:row>
      <xdr:rowOff>7056</xdr:rowOff>
    </xdr:from>
    <xdr:to>
      <xdr:col>10</xdr:col>
      <xdr:colOff>45413</xdr:colOff>
      <xdr:row>217</xdr:row>
      <xdr:rowOff>1</xdr:rowOff>
    </xdr:to>
    <xdr:sp macro="" textlink="">
      <xdr:nvSpPr>
        <xdr:cNvPr id="3083" name="Isosceles Triangle 3082">
          <a:extLst>
            <a:ext uri="{FF2B5EF4-FFF2-40B4-BE49-F238E27FC236}">
              <a16:creationId xmlns:a16="http://schemas.microsoft.com/office/drawing/2014/main" id="{5A0CCA6D-925C-4A42-A063-5AC2DB06B975}"/>
            </a:ext>
          </a:extLst>
        </xdr:cNvPr>
        <xdr:cNvSpPr/>
      </xdr:nvSpPr>
      <xdr:spPr>
        <a:xfrm>
          <a:off x="4427479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214</xdr:row>
      <xdr:rowOff>18345</xdr:rowOff>
    </xdr:from>
    <xdr:to>
      <xdr:col>12</xdr:col>
      <xdr:colOff>66404</xdr:colOff>
      <xdr:row>217</xdr:row>
      <xdr:rowOff>11290</xdr:rowOff>
    </xdr:to>
    <xdr:sp macro="" textlink="">
      <xdr:nvSpPr>
        <xdr:cNvPr id="3084" name="Isosceles Triangle 3083">
          <a:extLst>
            <a:ext uri="{FF2B5EF4-FFF2-40B4-BE49-F238E27FC236}">
              <a16:creationId xmlns:a16="http://schemas.microsoft.com/office/drawing/2014/main" id="{2FBBD90F-1FF0-423F-906C-C759ABE1D5C4}"/>
            </a:ext>
          </a:extLst>
        </xdr:cNvPr>
        <xdr:cNvSpPr/>
      </xdr:nvSpPr>
      <xdr:spPr>
        <a:xfrm>
          <a:off x="5419677" y="2835712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214</xdr:row>
      <xdr:rowOff>7056</xdr:rowOff>
    </xdr:from>
    <xdr:to>
      <xdr:col>14</xdr:col>
      <xdr:colOff>69226</xdr:colOff>
      <xdr:row>217</xdr:row>
      <xdr:rowOff>1</xdr:rowOff>
    </xdr:to>
    <xdr:sp macro="" textlink="">
      <xdr:nvSpPr>
        <xdr:cNvPr id="3085" name="Isosceles Triangle 3084">
          <a:extLst>
            <a:ext uri="{FF2B5EF4-FFF2-40B4-BE49-F238E27FC236}">
              <a16:creationId xmlns:a16="http://schemas.microsoft.com/office/drawing/2014/main" id="{3495C4E1-91BD-4408-AC7F-2190D7170C03}"/>
            </a:ext>
          </a:extLst>
        </xdr:cNvPr>
        <xdr:cNvSpPr/>
      </xdr:nvSpPr>
      <xdr:spPr>
        <a:xfrm>
          <a:off x="6523932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214</xdr:row>
      <xdr:rowOff>7056</xdr:rowOff>
    </xdr:from>
    <xdr:to>
      <xdr:col>18</xdr:col>
      <xdr:colOff>69226</xdr:colOff>
      <xdr:row>217</xdr:row>
      <xdr:rowOff>1</xdr:rowOff>
    </xdr:to>
    <xdr:sp macro="" textlink="">
      <xdr:nvSpPr>
        <xdr:cNvPr id="3086" name="Isosceles Triangle 3085">
          <a:extLst>
            <a:ext uri="{FF2B5EF4-FFF2-40B4-BE49-F238E27FC236}">
              <a16:creationId xmlns:a16="http://schemas.microsoft.com/office/drawing/2014/main" id="{9FC060EE-6EB3-4AC7-90D3-2D5A4BCF2C92}"/>
            </a:ext>
          </a:extLst>
        </xdr:cNvPr>
        <xdr:cNvSpPr/>
      </xdr:nvSpPr>
      <xdr:spPr>
        <a:xfrm>
          <a:off x="8596572" y="283458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214</xdr:row>
      <xdr:rowOff>8964</xdr:rowOff>
    </xdr:from>
    <xdr:to>
      <xdr:col>16</xdr:col>
      <xdr:colOff>29467</xdr:colOff>
      <xdr:row>217</xdr:row>
      <xdr:rowOff>1909</xdr:rowOff>
    </xdr:to>
    <xdr:sp macro="" textlink="">
      <xdr:nvSpPr>
        <xdr:cNvPr id="3087" name="Isosceles Triangle 3086">
          <a:extLst>
            <a:ext uri="{FF2B5EF4-FFF2-40B4-BE49-F238E27FC236}">
              <a16:creationId xmlns:a16="http://schemas.microsoft.com/office/drawing/2014/main" id="{024ED437-9DE4-4095-9A0B-1EC83DBB1BCC}"/>
            </a:ext>
          </a:extLst>
        </xdr:cNvPr>
        <xdr:cNvSpPr/>
      </xdr:nvSpPr>
      <xdr:spPr>
        <a:xfrm>
          <a:off x="7520492" y="2834774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215</xdr:row>
      <xdr:rowOff>0</xdr:rowOff>
    </xdr:from>
    <xdr:ext cx="382764" cy="264403"/>
    <xdr:pic>
      <xdr:nvPicPr>
        <xdr:cNvPr id="3088" name="Picture 3087" descr="Gas pipeline line icon concept. Gas ...">
          <a:extLst>
            <a:ext uri="{FF2B5EF4-FFF2-40B4-BE49-F238E27FC236}">
              <a16:creationId xmlns:a16="http://schemas.microsoft.com/office/drawing/2014/main" id="{41CFF5A0-D21E-4E21-A5B2-8EBC846645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28506420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433931</xdr:colOff>
      <xdr:row>237</xdr:row>
      <xdr:rowOff>111557</xdr:rowOff>
    </xdr:from>
    <xdr:to>
      <xdr:col>4</xdr:col>
      <xdr:colOff>59986</xdr:colOff>
      <xdr:row>240</xdr:row>
      <xdr:rowOff>116667</xdr:rowOff>
    </xdr:to>
    <xdr:sp macro="" textlink="">
      <xdr:nvSpPr>
        <xdr:cNvPr id="3089" name="Isosceles Triangle 3088">
          <a:extLst>
            <a:ext uri="{FF2B5EF4-FFF2-40B4-BE49-F238E27FC236}">
              <a16:creationId xmlns:a16="http://schemas.microsoft.com/office/drawing/2014/main" id="{2933E5F8-0B43-4D58-8655-3039F1A7039A}"/>
            </a:ext>
          </a:extLst>
        </xdr:cNvPr>
        <xdr:cNvSpPr/>
      </xdr:nvSpPr>
      <xdr:spPr>
        <a:xfrm>
          <a:off x="1305938" y="41981311"/>
          <a:ext cx="632217" cy="52831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238</xdr:row>
      <xdr:rowOff>13304</xdr:rowOff>
    </xdr:from>
    <xdr:to>
      <xdr:col>8</xdr:col>
      <xdr:colOff>46570</xdr:colOff>
      <xdr:row>241</xdr:row>
      <xdr:rowOff>1209</xdr:rowOff>
    </xdr:to>
    <xdr:sp macro="" textlink="">
      <xdr:nvSpPr>
        <xdr:cNvPr id="3090" name="Isosceles Triangle 3089">
          <a:extLst>
            <a:ext uri="{FF2B5EF4-FFF2-40B4-BE49-F238E27FC236}">
              <a16:creationId xmlns:a16="http://schemas.microsoft.com/office/drawing/2014/main" id="{FE3322C5-57EC-4D99-BC9E-27858A7678C2}"/>
            </a:ext>
          </a:extLst>
        </xdr:cNvPr>
        <xdr:cNvSpPr/>
      </xdr:nvSpPr>
      <xdr:spPr>
        <a:xfrm>
          <a:off x="3392315" y="3220780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238</xdr:row>
      <xdr:rowOff>15522</xdr:rowOff>
    </xdr:from>
    <xdr:to>
      <xdr:col>6</xdr:col>
      <xdr:colOff>43746</xdr:colOff>
      <xdr:row>241</xdr:row>
      <xdr:rowOff>8467</xdr:rowOff>
    </xdr:to>
    <xdr:sp macro="" textlink="">
      <xdr:nvSpPr>
        <xdr:cNvPr id="3091" name="Isosceles Triangle 3090">
          <a:extLst>
            <a:ext uri="{FF2B5EF4-FFF2-40B4-BE49-F238E27FC236}">
              <a16:creationId xmlns:a16="http://schemas.microsoft.com/office/drawing/2014/main" id="{320BC31A-5D0F-45FF-B5B3-A7196030249D}"/>
            </a:ext>
          </a:extLst>
        </xdr:cNvPr>
        <xdr:cNvSpPr/>
      </xdr:nvSpPr>
      <xdr:spPr>
        <a:xfrm>
          <a:off x="2353172" y="322100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238</xdr:row>
      <xdr:rowOff>18345</xdr:rowOff>
    </xdr:from>
    <xdr:to>
      <xdr:col>20</xdr:col>
      <xdr:colOff>39510</xdr:colOff>
      <xdr:row>241</xdr:row>
      <xdr:rowOff>11290</xdr:rowOff>
    </xdr:to>
    <xdr:sp macro="" textlink="">
      <xdr:nvSpPr>
        <xdr:cNvPr id="3092" name="Isosceles Triangle 3091">
          <a:extLst>
            <a:ext uri="{FF2B5EF4-FFF2-40B4-BE49-F238E27FC236}">
              <a16:creationId xmlns:a16="http://schemas.microsoft.com/office/drawing/2014/main" id="{434778CD-A93D-4BBE-999D-9EBC8E9756F0}"/>
            </a:ext>
          </a:extLst>
        </xdr:cNvPr>
        <xdr:cNvSpPr/>
      </xdr:nvSpPr>
      <xdr:spPr>
        <a:xfrm>
          <a:off x="9610796" y="322128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238</xdr:row>
      <xdr:rowOff>7055</xdr:rowOff>
    </xdr:from>
    <xdr:to>
      <xdr:col>22</xdr:col>
      <xdr:colOff>49392</xdr:colOff>
      <xdr:row>241</xdr:row>
      <xdr:rowOff>0</xdr:rowOff>
    </xdr:to>
    <xdr:sp macro="" textlink="">
      <xdr:nvSpPr>
        <xdr:cNvPr id="3093" name="Isosceles Triangle 3092">
          <a:extLst>
            <a:ext uri="{FF2B5EF4-FFF2-40B4-BE49-F238E27FC236}">
              <a16:creationId xmlns:a16="http://schemas.microsoft.com/office/drawing/2014/main" id="{02B17FB0-17A2-4EFD-AEDF-62524388F305}"/>
            </a:ext>
          </a:extLst>
        </xdr:cNvPr>
        <xdr:cNvSpPr/>
      </xdr:nvSpPr>
      <xdr:spPr>
        <a:xfrm>
          <a:off x="10592248" y="3220155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238</xdr:row>
      <xdr:rowOff>4233</xdr:rowOff>
    </xdr:from>
    <xdr:to>
      <xdr:col>24</xdr:col>
      <xdr:colOff>46570</xdr:colOff>
      <xdr:row>240</xdr:row>
      <xdr:rowOff>173567</xdr:rowOff>
    </xdr:to>
    <xdr:sp macro="" textlink="">
      <xdr:nvSpPr>
        <xdr:cNvPr id="3094" name="Isosceles Triangle 3093">
          <a:extLst>
            <a:ext uri="{FF2B5EF4-FFF2-40B4-BE49-F238E27FC236}">
              <a16:creationId xmlns:a16="http://schemas.microsoft.com/office/drawing/2014/main" id="{5B5F0887-725B-43C9-AB04-6E30ADCB9FFD}"/>
            </a:ext>
          </a:extLst>
        </xdr:cNvPr>
        <xdr:cNvSpPr/>
      </xdr:nvSpPr>
      <xdr:spPr>
        <a:xfrm>
          <a:off x="11690495" y="321987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238</xdr:row>
      <xdr:rowOff>13304</xdr:rowOff>
    </xdr:from>
    <xdr:to>
      <xdr:col>28</xdr:col>
      <xdr:colOff>46570</xdr:colOff>
      <xdr:row>241</xdr:row>
      <xdr:rowOff>1210</xdr:rowOff>
    </xdr:to>
    <xdr:sp macro="" textlink="">
      <xdr:nvSpPr>
        <xdr:cNvPr id="3095" name="Isosceles Triangle 3094">
          <a:extLst>
            <a:ext uri="{FF2B5EF4-FFF2-40B4-BE49-F238E27FC236}">
              <a16:creationId xmlns:a16="http://schemas.microsoft.com/office/drawing/2014/main" id="{DD7D25B9-A5FC-4424-9273-82F736C63A57}"/>
            </a:ext>
          </a:extLst>
        </xdr:cNvPr>
        <xdr:cNvSpPr/>
      </xdr:nvSpPr>
      <xdr:spPr>
        <a:xfrm>
          <a:off x="13763135" y="3220780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238</xdr:row>
      <xdr:rowOff>13304</xdr:rowOff>
    </xdr:from>
    <xdr:to>
      <xdr:col>24</xdr:col>
      <xdr:colOff>46569</xdr:colOff>
      <xdr:row>241</xdr:row>
      <xdr:rowOff>1210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56615E9D-F311-423D-977A-1BBE42BECEFF}"/>
            </a:ext>
          </a:extLst>
        </xdr:cNvPr>
        <xdr:cNvSpPr/>
      </xdr:nvSpPr>
      <xdr:spPr>
        <a:xfrm>
          <a:off x="11690495" y="3220780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238</xdr:row>
      <xdr:rowOff>15522</xdr:rowOff>
    </xdr:from>
    <xdr:to>
      <xdr:col>26</xdr:col>
      <xdr:colOff>43746</xdr:colOff>
      <xdr:row>241</xdr:row>
      <xdr:rowOff>8467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D27CF724-9885-4355-BA5B-B31E08441C8B}"/>
            </a:ext>
          </a:extLst>
        </xdr:cNvPr>
        <xdr:cNvSpPr/>
      </xdr:nvSpPr>
      <xdr:spPr>
        <a:xfrm>
          <a:off x="12723992" y="322100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238</xdr:row>
      <xdr:rowOff>7056</xdr:rowOff>
    </xdr:from>
    <xdr:to>
      <xdr:col>30</xdr:col>
      <xdr:colOff>42332</xdr:colOff>
      <xdr:row>241</xdr:row>
      <xdr:rowOff>1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0D0E4890-FFEE-4C1E-9730-4409E3AECF2D}"/>
            </a:ext>
          </a:extLst>
        </xdr:cNvPr>
        <xdr:cNvSpPr/>
      </xdr:nvSpPr>
      <xdr:spPr>
        <a:xfrm>
          <a:off x="14795218" y="322015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260</xdr:row>
      <xdr:rowOff>159859</xdr:rowOff>
    </xdr:from>
    <xdr:to>
      <xdr:col>2</xdr:col>
      <xdr:colOff>17739</xdr:colOff>
      <xdr:row>263</xdr:row>
      <xdr:rowOff>152804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0AF52D25-CA85-44EA-944C-F0503E146F0D}"/>
            </a:ext>
          </a:extLst>
        </xdr:cNvPr>
        <xdr:cNvSpPr/>
      </xdr:nvSpPr>
      <xdr:spPr>
        <a:xfrm>
          <a:off x="300245" y="340307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261</xdr:row>
      <xdr:rowOff>7056</xdr:rowOff>
    </xdr:from>
    <xdr:to>
      <xdr:col>4</xdr:col>
      <xdr:colOff>42332</xdr:colOff>
      <xdr:row>264</xdr:row>
      <xdr:rowOff>1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E36043A1-FEC6-4C74-B30B-F81E000FF32B}"/>
            </a:ext>
          </a:extLst>
        </xdr:cNvPr>
        <xdr:cNvSpPr/>
      </xdr:nvSpPr>
      <xdr:spPr>
        <a:xfrm>
          <a:off x="131543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261</xdr:row>
      <xdr:rowOff>18345</xdr:rowOff>
    </xdr:from>
    <xdr:to>
      <xdr:col>6</xdr:col>
      <xdr:colOff>39510</xdr:colOff>
      <xdr:row>264</xdr:row>
      <xdr:rowOff>11290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B2018720-60E9-4439-9B81-B1228D723739}"/>
            </a:ext>
          </a:extLst>
        </xdr:cNvPr>
        <xdr:cNvSpPr/>
      </xdr:nvSpPr>
      <xdr:spPr>
        <a:xfrm>
          <a:off x="2348936" y="340568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261</xdr:row>
      <xdr:rowOff>7056</xdr:rowOff>
    </xdr:from>
    <xdr:to>
      <xdr:col>8</xdr:col>
      <xdr:colOff>42332</xdr:colOff>
      <xdr:row>264</xdr:row>
      <xdr:rowOff>1</xdr:rowOff>
    </xdr:to>
    <xdr:sp macro="" textlink="">
      <xdr:nvSpPr>
        <xdr:cNvPr id="3102" name="Isosceles Triangle 3101">
          <a:extLst>
            <a:ext uri="{FF2B5EF4-FFF2-40B4-BE49-F238E27FC236}">
              <a16:creationId xmlns:a16="http://schemas.microsoft.com/office/drawing/2014/main" id="{A710CE29-E4E2-4C61-902A-041253DB88F5}"/>
            </a:ext>
          </a:extLst>
        </xdr:cNvPr>
        <xdr:cNvSpPr/>
      </xdr:nvSpPr>
      <xdr:spPr>
        <a:xfrm>
          <a:off x="3388078" y="340455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261</xdr:row>
      <xdr:rowOff>18345</xdr:rowOff>
    </xdr:from>
    <xdr:to>
      <xdr:col>10</xdr:col>
      <xdr:colOff>39510</xdr:colOff>
      <xdr:row>264</xdr:row>
      <xdr:rowOff>11290</xdr:rowOff>
    </xdr:to>
    <xdr:sp macro="" textlink="">
      <xdr:nvSpPr>
        <xdr:cNvPr id="3103" name="Isosceles Triangle 3102">
          <a:extLst>
            <a:ext uri="{FF2B5EF4-FFF2-40B4-BE49-F238E27FC236}">
              <a16:creationId xmlns:a16="http://schemas.microsoft.com/office/drawing/2014/main" id="{BED6D006-73A9-4199-9E90-04873559A073}"/>
            </a:ext>
          </a:extLst>
        </xdr:cNvPr>
        <xdr:cNvSpPr/>
      </xdr:nvSpPr>
      <xdr:spPr>
        <a:xfrm>
          <a:off x="442157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261</xdr:row>
      <xdr:rowOff>7055</xdr:rowOff>
    </xdr:from>
    <xdr:to>
      <xdr:col>12</xdr:col>
      <xdr:colOff>49392</xdr:colOff>
      <xdr:row>264</xdr:row>
      <xdr:rowOff>0</xdr:rowOff>
    </xdr:to>
    <xdr:sp macro="" textlink="">
      <xdr:nvSpPr>
        <xdr:cNvPr id="3104" name="Isosceles Triangle 3103">
          <a:extLst>
            <a:ext uri="{FF2B5EF4-FFF2-40B4-BE49-F238E27FC236}">
              <a16:creationId xmlns:a16="http://schemas.microsoft.com/office/drawing/2014/main" id="{8C3A7B1E-F9F3-4F9E-8BB9-8A3B5F7398A8}"/>
            </a:ext>
          </a:extLst>
        </xdr:cNvPr>
        <xdr:cNvSpPr/>
      </xdr:nvSpPr>
      <xdr:spPr>
        <a:xfrm>
          <a:off x="5458097" y="340455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261</xdr:row>
      <xdr:rowOff>4233</xdr:rowOff>
    </xdr:from>
    <xdr:to>
      <xdr:col>14</xdr:col>
      <xdr:colOff>46570</xdr:colOff>
      <xdr:row>263</xdr:row>
      <xdr:rowOff>173567</xdr:rowOff>
    </xdr:to>
    <xdr:sp macro="" textlink="">
      <xdr:nvSpPr>
        <xdr:cNvPr id="3105" name="Isosceles Triangle 3104">
          <a:extLst>
            <a:ext uri="{FF2B5EF4-FFF2-40B4-BE49-F238E27FC236}">
              <a16:creationId xmlns:a16="http://schemas.microsoft.com/office/drawing/2014/main" id="{99F27D00-FAAE-4B23-9EE3-84AA11907950}"/>
            </a:ext>
          </a:extLst>
        </xdr:cNvPr>
        <xdr:cNvSpPr/>
      </xdr:nvSpPr>
      <xdr:spPr>
        <a:xfrm>
          <a:off x="6501275" y="34042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261</xdr:row>
      <xdr:rowOff>13304</xdr:rowOff>
    </xdr:from>
    <xdr:to>
      <xdr:col>18</xdr:col>
      <xdr:colOff>46570</xdr:colOff>
      <xdr:row>264</xdr:row>
      <xdr:rowOff>1209</xdr:rowOff>
    </xdr:to>
    <xdr:sp macro="" textlink="">
      <xdr:nvSpPr>
        <xdr:cNvPr id="3106" name="Isosceles Triangle 3105">
          <a:extLst>
            <a:ext uri="{FF2B5EF4-FFF2-40B4-BE49-F238E27FC236}">
              <a16:creationId xmlns:a16="http://schemas.microsoft.com/office/drawing/2014/main" id="{68EA236F-DB7B-442A-B525-D3C4DCE26A02}"/>
            </a:ext>
          </a:extLst>
        </xdr:cNvPr>
        <xdr:cNvSpPr/>
      </xdr:nvSpPr>
      <xdr:spPr>
        <a:xfrm>
          <a:off x="8573915" y="340518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261</xdr:row>
      <xdr:rowOff>13304</xdr:rowOff>
    </xdr:from>
    <xdr:to>
      <xdr:col>14</xdr:col>
      <xdr:colOff>46569</xdr:colOff>
      <xdr:row>264</xdr:row>
      <xdr:rowOff>1209</xdr:rowOff>
    </xdr:to>
    <xdr:sp macro="" textlink="">
      <xdr:nvSpPr>
        <xdr:cNvPr id="3107" name="Isosceles Triangle 3106">
          <a:extLst>
            <a:ext uri="{FF2B5EF4-FFF2-40B4-BE49-F238E27FC236}">
              <a16:creationId xmlns:a16="http://schemas.microsoft.com/office/drawing/2014/main" id="{786484FC-C746-4580-A8FF-535E89B6E74F}"/>
            </a:ext>
          </a:extLst>
        </xdr:cNvPr>
        <xdr:cNvSpPr/>
      </xdr:nvSpPr>
      <xdr:spPr>
        <a:xfrm>
          <a:off x="6501275" y="34051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261</xdr:row>
      <xdr:rowOff>15522</xdr:rowOff>
    </xdr:from>
    <xdr:to>
      <xdr:col>16</xdr:col>
      <xdr:colOff>43746</xdr:colOff>
      <xdr:row>264</xdr:row>
      <xdr:rowOff>8467</xdr:rowOff>
    </xdr:to>
    <xdr:sp macro="" textlink="">
      <xdr:nvSpPr>
        <xdr:cNvPr id="3108" name="Isosceles Triangle 3107">
          <a:extLst>
            <a:ext uri="{FF2B5EF4-FFF2-40B4-BE49-F238E27FC236}">
              <a16:creationId xmlns:a16="http://schemas.microsoft.com/office/drawing/2014/main" id="{AD942BAB-7919-4EA4-ACE0-0927759683B7}"/>
            </a:ext>
          </a:extLst>
        </xdr:cNvPr>
        <xdr:cNvSpPr/>
      </xdr:nvSpPr>
      <xdr:spPr>
        <a:xfrm>
          <a:off x="7534772" y="34054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261</xdr:row>
      <xdr:rowOff>7056</xdr:rowOff>
    </xdr:from>
    <xdr:to>
      <xdr:col>20</xdr:col>
      <xdr:colOff>42332</xdr:colOff>
      <xdr:row>264</xdr:row>
      <xdr:rowOff>1</xdr:rowOff>
    </xdr:to>
    <xdr:sp macro="" textlink="">
      <xdr:nvSpPr>
        <xdr:cNvPr id="3109" name="Isosceles Triangle 3108">
          <a:extLst>
            <a:ext uri="{FF2B5EF4-FFF2-40B4-BE49-F238E27FC236}">
              <a16:creationId xmlns:a16="http://schemas.microsoft.com/office/drawing/2014/main" id="{A924FFE7-1501-44D0-8E6D-F8FF4C553B34}"/>
            </a:ext>
          </a:extLst>
        </xdr:cNvPr>
        <xdr:cNvSpPr/>
      </xdr:nvSpPr>
      <xdr:spPr>
        <a:xfrm>
          <a:off x="961361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261</xdr:row>
      <xdr:rowOff>18345</xdr:rowOff>
    </xdr:from>
    <xdr:to>
      <xdr:col>22</xdr:col>
      <xdr:colOff>39510</xdr:colOff>
      <xdr:row>264</xdr:row>
      <xdr:rowOff>11290</xdr:rowOff>
    </xdr:to>
    <xdr:sp macro="" textlink="">
      <xdr:nvSpPr>
        <xdr:cNvPr id="3110" name="Isosceles Triangle 3109">
          <a:extLst>
            <a:ext uri="{FF2B5EF4-FFF2-40B4-BE49-F238E27FC236}">
              <a16:creationId xmlns:a16="http://schemas.microsoft.com/office/drawing/2014/main" id="{74197870-4019-400E-B68E-A2301167D4C5}"/>
            </a:ext>
          </a:extLst>
        </xdr:cNvPr>
        <xdr:cNvSpPr/>
      </xdr:nvSpPr>
      <xdr:spPr>
        <a:xfrm>
          <a:off x="10647116" y="340568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261</xdr:row>
      <xdr:rowOff>7056</xdr:rowOff>
    </xdr:from>
    <xdr:to>
      <xdr:col>24</xdr:col>
      <xdr:colOff>42332</xdr:colOff>
      <xdr:row>264</xdr:row>
      <xdr:rowOff>1</xdr:rowOff>
    </xdr:to>
    <xdr:sp macro="" textlink="">
      <xdr:nvSpPr>
        <xdr:cNvPr id="3111" name="Isosceles Triangle 3110">
          <a:extLst>
            <a:ext uri="{FF2B5EF4-FFF2-40B4-BE49-F238E27FC236}">
              <a16:creationId xmlns:a16="http://schemas.microsoft.com/office/drawing/2014/main" id="{D73DF416-DC59-4282-ADA9-76DEED7871D7}"/>
            </a:ext>
          </a:extLst>
        </xdr:cNvPr>
        <xdr:cNvSpPr/>
      </xdr:nvSpPr>
      <xdr:spPr>
        <a:xfrm>
          <a:off x="1168625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261</xdr:row>
      <xdr:rowOff>18345</xdr:rowOff>
    </xdr:from>
    <xdr:to>
      <xdr:col>26</xdr:col>
      <xdr:colOff>39510</xdr:colOff>
      <xdr:row>264</xdr:row>
      <xdr:rowOff>11290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6BE0708A-3094-4027-BC04-2051E7E40B75}"/>
            </a:ext>
          </a:extLst>
        </xdr:cNvPr>
        <xdr:cNvSpPr/>
      </xdr:nvSpPr>
      <xdr:spPr>
        <a:xfrm>
          <a:off x="1271975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261</xdr:row>
      <xdr:rowOff>7056</xdr:rowOff>
    </xdr:from>
    <xdr:to>
      <xdr:col>28</xdr:col>
      <xdr:colOff>42332</xdr:colOff>
      <xdr:row>264</xdr:row>
      <xdr:rowOff>1</xdr:rowOff>
    </xdr:to>
    <xdr:sp macro="" textlink="">
      <xdr:nvSpPr>
        <xdr:cNvPr id="3113" name="Isosceles Triangle 3112">
          <a:extLst>
            <a:ext uri="{FF2B5EF4-FFF2-40B4-BE49-F238E27FC236}">
              <a16:creationId xmlns:a16="http://schemas.microsoft.com/office/drawing/2014/main" id="{0B07F1CB-F513-4C99-A5BC-C28E629BB933}"/>
            </a:ext>
          </a:extLst>
        </xdr:cNvPr>
        <xdr:cNvSpPr/>
      </xdr:nvSpPr>
      <xdr:spPr>
        <a:xfrm>
          <a:off x="1375889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261</xdr:row>
      <xdr:rowOff>18345</xdr:rowOff>
    </xdr:from>
    <xdr:to>
      <xdr:col>30</xdr:col>
      <xdr:colOff>39510</xdr:colOff>
      <xdr:row>264</xdr:row>
      <xdr:rowOff>11290</xdr:rowOff>
    </xdr:to>
    <xdr:sp macro="" textlink="">
      <xdr:nvSpPr>
        <xdr:cNvPr id="3114" name="Isosceles Triangle 3113">
          <a:extLst>
            <a:ext uri="{FF2B5EF4-FFF2-40B4-BE49-F238E27FC236}">
              <a16:creationId xmlns:a16="http://schemas.microsoft.com/office/drawing/2014/main" id="{B63FE06F-EB7C-4D28-8CCF-B41B1DD46D2E}"/>
            </a:ext>
          </a:extLst>
        </xdr:cNvPr>
        <xdr:cNvSpPr/>
      </xdr:nvSpPr>
      <xdr:spPr>
        <a:xfrm>
          <a:off x="1479239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237</xdr:row>
      <xdr:rowOff>173181</xdr:rowOff>
    </xdr:from>
    <xdr:to>
      <xdr:col>3</xdr:col>
      <xdr:colOff>294410</xdr:colOff>
      <xdr:row>238</xdr:row>
      <xdr:rowOff>121226</xdr:rowOff>
    </xdr:to>
    <xdr:sp macro="" textlink="">
      <xdr:nvSpPr>
        <xdr:cNvPr id="3115" name="Freeform 10707">
          <a:extLst>
            <a:ext uri="{FF2B5EF4-FFF2-40B4-BE49-F238E27FC236}">
              <a16:creationId xmlns:a16="http://schemas.microsoft.com/office/drawing/2014/main" id="{B8690CE3-A781-4D32-A28C-17923ABE5F15}"/>
            </a:ext>
          </a:extLst>
        </xdr:cNvPr>
        <xdr:cNvSpPr>
          <a:spLocks/>
        </xdr:cNvSpPr>
      </xdr:nvSpPr>
      <xdr:spPr bwMode="auto">
        <a:xfrm>
          <a:off x="6086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237</xdr:row>
      <xdr:rowOff>173181</xdr:rowOff>
    </xdr:from>
    <xdr:to>
      <xdr:col>5</xdr:col>
      <xdr:colOff>294410</xdr:colOff>
      <xdr:row>238</xdr:row>
      <xdr:rowOff>121226</xdr:rowOff>
    </xdr:to>
    <xdr:sp macro="" textlink="">
      <xdr:nvSpPr>
        <xdr:cNvPr id="3116" name="Freeform 10707">
          <a:extLst>
            <a:ext uri="{FF2B5EF4-FFF2-40B4-BE49-F238E27FC236}">
              <a16:creationId xmlns:a16="http://schemas.microsoft.com/office/drawing/2014/main" id="{1F525804-EBD0-4435-9F74-E589449D1D37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237</xdr:row>
      <xdr:rowOff>173181</xdr:rowOff>
    </xdr:from>
    <xdr:to>
      <xdr:col>7</xdr:col>
      <xdr:colOff>294410</xdr:colOff>
      <xdr:row>238</xdr:row>
      <xdr:rowOff>121226</xdr:rowOff>
    </xdr:to>
    <xdr:sp macro="" textlink="">
      <xdr:nvSpPr>
        <xdr:cNvPr id="3117" name="Freeform 10707">
          <a:extLst>
            <a:ext uri="{FF2B5EF4-FFF2-40B4-BE49-F238E27FC236}">
              <a16:creationId xmlns:a16="http://schemas.microsoft.com/office/drawing/2014/main" id="{E95B0D64-6041-4CAD-9608-C54EE501A35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237</xdr:row>
      <xdr:rowOff>173181</xdr:rowOff>
    </xdr:from>
    <xdr:to>
      <xdr:col>9</xdr:col>
      <xdr:colOff>294410</xdr:colOff>
      <xdr:row>238</xdr:row>
      <xdr:rowOff>121226</xdr:rowOff>
    </xdr:to>
    <xdr:sp macro="" textlink="">
      <xdr:nvSpPr>
        <xdr:cNvPr id="3118" name="Freeform 10707">
          <a:extLst>
            <a:ext uri="{FF2B5EF4-FFF2-40B4-BE49-F238E27FC236}">
              <a16:creationId xmlns:a16="http://schemas.microsoft.com/office/drawing/2014/main" id="{4CCFB275-6DA5-458E-9AA3-563F24E9EADD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237</xdr:row>
      <xdr:rowOff>173181</xdr:rowOff>
    </xdr:from>
    <xdr:to>
      <xdr:col>11</xdr:col>
      <xdr:colOff>294410</xdr:colOff>
      <xdr:row>238</xdr:row>
      <xdr:rowOff>121226</xdr:rowOff>
    </xdr:to>
    <xdr:sp macro="" textlink="">
      <xdr:nvSpPr>
        <xdr:cNvPr id="3119" name="Freeform 10707">
          <a:extLst>
            <a:ext uri="{FF2B5EF4-FFF2-40B4-BE49-F238E27FC236}">
              <a16:creationId xmlns:a16="http://schemas.microsoft.com/office/drawing/2014/main" id="{2327F8BF-2631-4CC4-B659-C8658A94EA06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237</xdr:row>
      <xdr:rowOff>173181</xdr:rowOff>
    </xdr:from>
    <xdr:to>
      <xdr:col>13</xdr:col>
      <xdr:colOff>294410</xdr:colOff>
      <xdr:row>238</xdr:row>
      <xdr:rowOff>121226</xdr:rowOff>
    </xdr:to>
    <xdr:sp macro="" textlink="">
      <xdr:nvSpPr>
        <xdr:cNvPr id="3120" name="Freeform 10707">
          <a:extLst>
            <a:ext uri="{FF2B5EF4-FFF2-40B4-BE49-F238E27FC236}">
              <a16:creationId xmlns:a16="http://schemas.microsoft.com/office/drawing/2014/main" id="{08FE01B8-AF82-4871-99EA-582D446E0FA9}"/>
            </a:ext>
          </a:extLst>
        </xdr:cNvPr>
        <xdr:cNvSpPr>
          <a:spLocks/>
        </xdr:cNvSpPr>
      </xdr:nvSpPr>
      <xdr:spPr bwMode="auto">
        <a:xfrm>
          <a:off x="57902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237</xdr:row>
      <xdr:rowOff>173181</xdr:rowOff>
    </xdr:from>
    <xdr:to>
      <xdr:col>15</xdr:col>
      <xdr:colOff>294410</xdr:colOff>
      <xdr:row>238</xdr:row>
      <xdr:rowOff>121226</xdr:rowOff>
    </xdr:to>
    <xdr:sp macro="" textlink="">
      <xdr:nvSpPr>
        <xdr:cNvPr id="3121" name="Freeform 10707">
          <a:extLst>
            <a:ext uri="{FF2B5EF4-FFF2-40B4-BE49-F238E27FC236}">
              <a16:creationId xmlns:a16="http://schemas.microsoft.com/office/drawing/2014/main" id="{0A85AF8D-C086-4B6A-9415-8E0E1A3B3A0D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237</xdr:row>
      <xdr:rowOff>173181</xdr:rowOff>
    </xdr:from>
    <xdr:to>
      <xdr:col>17</xdr:col>
      <xdr:colOff>294410</xdr:colOff>
      <xdr:row>238</xdr:row>
      <xdr:rowOff>121226</xdr:rowOff>
    </xdr:to>
    <xdr:sp macro="" textlink="">
      <xdr:nvSpPr>
        <xdr:cNvPr id="3122" name="Freeform 10707">
          <a:extLst>
            <a:ext uri="{FF2B5EF4-FFF2-40B4-BE49-F238E27FC236}">
              <a16:creationId xmlns:a16="http://schemas.microsoft.com/office/drawing/2014/main" id="{0FE7355F-EA5E-436B-AEDE-B73FD948CC71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237</xdr:row>
      <xdr:rowOff>173181</xdr:rowOff>
    </xdr:from>
    <xdr:to>
      <xdr:col>19</xdr:col>
      <xdr:colOff>294410</xdr:colOff>
      <xdr:row>238</xdr:row>
      <xdr:rowOff>121226</xdr:rowOff>
    </xdr:to>
    <xdr:sp macro="" textlink="">
      <xdr:nvSpPr>
        <xdr:cNvPr id="3123" name="Freeform 10707">
          <a:extLst>
            <a:ext uri="{FF2B5EF4-FFF2-40B4-BE49-F238E27FC236}">
              <a16:creationId xmlns:a16="http://schemas.microsoft.com/office/drawing/2014/main" id="{BFC5517B-9FCD-4C63-BBE7-33FED46977EF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237</xdr:row>
      <xdr:rowOff>173181</xdr:rowOff>
    </xdr:from>
    <xdr:to>
      <xdr:col>21</xdr:col>
      <xdr:colOff>294410</xdr:colOff>
      <xdr:row>238</xdr:row>
      <xdr:rowOff>121226</xdr:rowOff>
    </xdr:to>
    <xdr:sp macro="" textlink="">
      <xdr:nvSpPr>
        <xdr:cNvPr id="3124" name="Freeform 10707">
          <a:extLst>
            <a:ext uri="{FF2B5EF4-FFF2-40B4-BE49-F238E27FC236}">
              <a16:creationId xmlns:a16="http://schemas.microsoft.com/office/drawing/2014/main" id="{4CADDFD5-DD08-4D09-B32A-4B6E1EABD6C2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237</xdr:row>
      <xdr:rowOff>173181</xdr:rowOff>
    </xdr:from>
    <xdr:to>
      <xdr:col>23</xdr:col>
      <xdr:colOff>294410</xdr:colOff>
      <xdr:row>238</xdr:row>
      <xdr:rowOff>121226</xdr:rowOff>
    </xdr:to>
    <xdr:sp macro="" textlink="">
      <xdr:nvSpPr>
        <xdr:cNvPr id="3125" name="Freeform 10707">
          <a:extLst>
            <a:ext uri="{FF2B5EF4-FFF2-40B4-BE49-F238E27FC236}">
              <a16:creationId xmlns:a16="http://schemas.microsoft.com/office/drawing/2014/main" id="{27AF57B7-99A3-4731-BAF9-45CB1C8F1B56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237</xdr:row>
      <xdr:rowOff>173181</xdr:rowOff>
    </xdr:from>
    <xdr:to>
      <xdr:col>25</xdr:col>
      <xdr:colOff>294410</xdr:colOff>
      <xdr:row>238</xdr:row>
      <xdr:rowOff>121226</xdr:rowOff>
    </xdr:to>
    <xdr:sp macro="" textlink="">
      <xdr:nvSpPr>
        <xdr:cNvPr id="3126" name="Freeform 10707">
          <a:extLst>
            <a:ext uri="{FF2B5EF4-FFF2-40B4-BE49-F238E27FC236}">
              <a16:creationId xmlns:a16="http://schemas.microsoft.com/office/drawing/2014/main" id="{6C995F3A-D514-4478-A966-76F546915DA3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237</xdr:row>
      <xdr:rowOff>173181</xdr:rowOff>
    </xdr:from>
    <xdr:to>
      <xdr:col>27</xdr:col>
      <xdr:colOff>294410</xdr:colOff>
      <xdr:row>238</xdr:row>
      <xdr:rowOff>121226</xdr:rowOff>
    </xdr:to>
    <xdr:sp macro="" textlink="">
      <xdr:nvSpPr>
        <xdr:cNvPr id="3127" name="Freeform 10707">
          <a:extLst>
            <a:ext uri="{FF2B5EF4-FFF2-40B4-BE49-F238E27FC236}">
              <a16:creationId xmlns:a16="http://schemas.microsoft.com/office/drawing/2014/main" id="{86BFFA19-34A1-4CE9-88A0-E0CDEFDD7C1E}"/>
            </a:ext>
          </a:extLst>
        </xdr:cNvPr>
        <xdr:cNvSpPr>
          <a:spLocks/>
        </xdr:cNvSpPr>
      </xdr:nvSpPr>
      <xdr:spPr bwMode="auto">
        <a:xfrm>
          <a:off x="130521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237</xdr:row>
      <xdr:rowOff>173181</xdr:rowOff>
    </xdr:from>
    <xdr:to>
      <xdr:col>29</xdr:col>
      <xdr:colOff>294410</xdr:colOff>
      <xdr:row>238</xdr:row>
      <xdr:rowOff>121226</xdr:rowOff>
    </xdr:to>
    <xdr:sp macro="" textlink="">
      <xdr:nvSpPr>
        <xdr:cNvPr id="3128" name="Freeform 10707">
          <a:extLst>
            <a:ext uri="{FF2B5EF4-FFF2-40B4-BE49-F238E27FC236}">
              <a16:creationId xmlns:a16="http://schemas.microsoft.com/office/drawing/2014/main" id="{23B5E9CB-8108-472D-BDC4-236EE08A143A}"/>
            </a:ext>
          </a:extLst>
        </xdr:cNvPr>
        <xdr:cNvSpPr>
          <a:spLocks/>
        </xdr:cNvSpPr>
      </xdr:nvSpPr>
      <xdr:spPr bwMode="auto">
        <a:xfrm>
          <a:off x="140884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237</xdr:row>
      <xdr:rowOff>173181</xdr:rowOff>
    </xdr:from>
    <xdr:to>
      <xdr:col>31</xdr:col>
      <xdr:colOff>294410</xdr:colOff>
      <xdr:row>238</xdr:row>
      <xdr:rowOff>121226</xdr:rowOff>
    </xdr:to>
    <xdr:sp macro="" textlink="">
      <xdr:nvSpPr>
        <xdr:cNvPr id="3129" name="Freeform 10707">
          <a:extLst>
            <a:ext uri="{FF2B5EF4-FFF2-40B4-BE49-F238E27FC236}">
              <a16:creationId xmlns:a16="http://schemas.microsoft.com/office/drawing/2014/main" id="{1552B9C5-46B8-49FA-AEE1-6BE46766768A}"/>
            </a:ext>
          </a:extLst>
        </xdr:cNvPr>
        <xdr:cNvSpPr>
          <a:spLocks/>
        </xdr:cNvSpPr>
      </xdr:nvSpPr>
      <xdr:spPr bwMode="auto">
        <a:xfrm>
          <a:off x="151247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260</xdr:row>
      <xdr:rowOff>173181</xdr:rowOff>
    </xdr:from>
    <xdr:to>
      <xdr:col>3</xdr:col>
      <xdr:colOff>294410</xdr:colOff>
      <xdr:row>261</xdr:row>
      <xdr:rowOff>121226</xdr:rowOff>
    </xdr:to>
    <xdr:sp macro="" textlink="">
      <xdr:nvSpPr>
        <xdr:cNvPr id="3130" name="Freeform 10707">
          <a:extLst>
            <a:ext uri="{FF2B5EF4-FFF2-40B4-BE49-F238E27FC236}">
              <a16:creationId xmlns:a16="http://schemas.microsoft.com/office/drawing/2014/main" id="{241EA124-88BE-410C-85BC-AC75A816BA9C}"/>
            </a:ext>
          </a:extLst>
        </xdr:cNvPr>
        <xdr:cNvSpPr>
          <a:spLocks/>
        </xdr:cNvSpPr>
      </xdr:nvSpPr>
      <xdr:spPr bwMode="auto">
        <a:xfrm>
          <a:off x="6086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260</xdr:row>
      <xdr:rowOff>173181</xdr:rowOff>
    </xdr:from>
    <xdr:to>
      <xdr:col>5</xdr:col>
      <xdr:colOff>294410</xdr:colOff>
      <xdr:row>261</xdr:row>
      <xdr:rowOff>121226</xdr:rowOff>
    </xdr:to>
    <xdr:sp macro="" textlink="">
      <xdr:nvSpPr>
        <xdr:cNvPr id="3131" name="Freeform 10707">
          <a:extLst>
            <a:ext uri="{FF2B5EF4-FFF2-40B4-BE49-F238E27FC236}">
              <a16:creationId xmlns:a16="http://schemas.microsoft.com/office/drawing/2014/main" id="{4AA36A7E-BC99-4E16-815C-6F999BB0EEAA}"/>
            </a:ext>
          </a:extLst>
        </xdr:cNvPr>
        <xdr:cNvSpPr>
          <a:spLocks/>
        </xdr:cNvSpPr>
      </xdr:nvSpPr>
      <xdr:spPr bwMode="auto">
        <a:xfrm>
          <a:off x="16450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260</xdr:row>
      <xdr:rowOff>173181</xdr:rowOff>
    </xdr:from>
    <xdr:to>
      <xdr:col>7</xdr:col>
      <xdr:colOff>294410</xdr:colOff>
      <xdr:row>261</xdr:row>
      <xdr:rowOff>121226</xdr:rowOff>
    </xdr:to>
    <xdr:sp macro="" textlink="">
      <xdr:nvSpPr>
        <xdr:cNvPr id="3132" name="Freeform 10707">
          <a:extLst>
            <a:ext uri="{FF2B5EF4-FFF2-40B4-BE49-F238E27FC236}">
              <a16:creationId xmlns:a16="http://schemas.microsoft.com/office/drawing/2014/main" id="{249606FD-3FED-45E5-9869-16E64815B1D3}"/>
            </a:ext>
          </a:extLst>
        </xdr:cNvPr>
        <xdr:cNvSpPr>
          <a:spLocks/>
        </xdr:cNvSpPr>
      </xdr:nvSpPr>
      <xdr:spPr bwMode="auto">
        <a:xfrm>
          <a:off x="26813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260</xdr:row>
      <xdr:rowOff>173181</xdr:rowOff>
    </xdr:from>
    <xdr:to>
      <xdr:col>9</xdr:col>
      <xdr:colOff>294410</xdr:colOff>
      <xdr:row>261</xdr:row>
      <xdr:rowOff>121226</xdr:rowOff>
    </xdr:to>
    <xdr:sp macro="" textlink="">
      <xdr:nvSpPr>
        <xdr:cNvPr id="3133" name="Freeform 10707">
          <a:extLst>
            <a:ext uri="{FF2B5EF4-FFF2-40B4-BE49-F238E27FC236}">
              <a16:creationId xmlns:a16="http://schemas.microsoft.com/office/drawing/2014/main" id="{B7C2CC48-74EE-41C2-8415-BFCAB53D05A3}"/>
            </a:ext>
          </a:extLst>
        </xdr:cNvPr>
        <xdr:cNvSpPr>
          <a:spLocks/>
        </xdr:cNvSpPr>
      </xdr:nvSpPr>
      <xdr:spPr bwMode="auto">
        <a:xfrm>
          <a:off x="37176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260</xdr:row>
      <xdr:rowOff>173181</xdr:rowOff>
    </xdr:from>
    <xdr:to>
      <xdr:col>11</xdr:col>
      <xdr:colOff>294410</xdr:colOff>
      <xdr:row>261</xdr:row>
      <xdr:rowOff>121226</xdr:rowOff>
    </xdr:to>
    <xdr:sp macro="" textlink="">
      <xdr:nvSpPr>
        <xdr:cNvPr id="3134" name="Freeform 10707">
          <a:extLst>
            <a:ext uri="{FF2B5EF4-FFF2-40B4-BE49-F238E27FC236}">
              <a16:creationId xmlns:a16="http://schemas.microsoft.com/office/drawing/2014/main" id="{14BF1D60-D404-497E-A75F-E669874D40CB}"/>
            </a:ext>
          </a:extLst>
        </xdr:cNvPr>
        <xdr:cNvSpPr>
          <a:spLocks/>
        </xdr:cNvSpPr>
      </xdr:nvSpPr>
      <xdr:spPr bwMode="auto">
        <a:xfrm>
          <a:off x="47539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260</xdr:row>
      <xdr:rowOff>173181</xdr:rowOff>
    </xdr:from>
    <xdr:to>
      <xdr:col>13</xdr:col>
      <xdr:colOff>294410</xdr:colOff>
      <xdr:row>261</xdr:row>
      <xdr:rowOff>121226</xdr:rowOff>
    </xdr:to>
    <xdr:sp macro="" textlink="">
      <xdr:nvSpPr>
        <xdr:cNvPr id="3135" name="Freeform 10707">
          <a:extLst>
            <a:ext uri="{FF2B5EF4-FFF2-40B4-BE49-F238E27FC236}">
              <a16:creationId xmlns:a16="http://schemas.microsoft.com/office/drawing/2014/main" id="{28F54776-D411-46D0-BFB3-BA49429638FE}"/>
            </a:ext>
          </a:extLst>
        </xdr:cNvPr>
        <xdr:cNvSpPr>
          <a:spLocks/>
        </xdr:cNvSpPr>
      </xdr:nvSpPr>
      <xdr:spPr bwMode="auto">
        <a:xfrm>
          <a:off x="57902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260</xdr:row>
      <xdr:rowOff>173181</xdr:rowOff>
    </xdr:from>
    <xdr:to>
      <xdr:col>15</xdr:col>
      <xdr:colOff>294410</xdr:colOff>
      <xdr:row>261</xdr:row>
      <xdr:rowOff>121226</xdr:rowOff>
    </xdr:to>
    <xdr:sp macro="" textlink="">
      <xdr:nvSpPr>
        <xdr:cNvPr id="3136" name="Freeform 10707">
          <a:extLst>
            <a:ext uri="{FF2B5EF4-FFF2-40B4-BE49-F238E27FC236}">
              <a16:creationId xmlns:a16="http://schemas.microsoft.com/office/drawing/2014/main" id="{D3353355-279F-4415-9DAC-AC1886000EFD}"/>
            </a:ext>
          </a:extLst>
        </xdr:cNvPr>
        <xdr:cNvSpPr>
          <a:spLocks/>
        </xdr:cNvSpPr>
      </xdr:nvSpPr>
      <xdr:spPr bwMode="auto">
        <a:xfrm>
          <a:off x="68266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260</xdr:row>
      <xdr:rowOff>173181</xdr:rowOff>
    </xdr:from>
    <xdr:to>
      <xdr:col>17</xdr:col>
      <xdr:colOff>294410</xdr:colOff>
      <xdr:row>261</xdr:row>
      <xdr:rowOff>121226</xdr:rowOff>
    </xdr:to>
    <xdr:sp macro="" textlink="">
      <xdr:nvSpPr>
        <xdr:cNvPr id="3137" name="Freeform 10707">
          <a:extLst>
            <a:ext uri="{FF2B5EF4-FFF2-40B4-BE49-F238E27FC236}">
              <a16:creationId xmlns:a16="http://schemas.microsoft.com/office/drawing/2014/main" id="{DF403D4F-1326-4621-93EF-AD242AC67002}"/>
            </a:ext>
          </a:extLst>
        </xdr:cNvPr>
        <xdr:cNvSpPr>
          <a:spLocks/>
        </xdr:cNvSpPr>
      </xdr:nvSpPr>
      <xdr:spPr bwMode="auto">
        <a:xfrm>
          <a:off x="78629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260</xdr:row>
      <xdr:rowOff>173181</xdr:rowOff>
    </xdr:from>
    <xdr:to>
      <xdr:col>19</xdr:col>
      <xdr:colOff>294410</xdr:colOff>
      <xdr:row>261</xdr:row>
      <xdr:rowOff>121226</xdr:rowOff>
    </xdr:to>
    <xdr:sp macro="" textlink="">
      <xdr:nvSpPr>
        <xdr:cNvPr id="3138" name="Freeform 10707">
          <a:extLst>
            <a:ext uri="{FF2B5EF4-FFF2-40B4-BE49-F238E27FC236}">
              <a16:creationId xmlns:a16="http://schemas.microsoft.com/office/drawing/2014/main" id="{6F81FE1E-171B-4325-A660-6A7BD9D55DE6}"/>
            </a:ext>
          </a:extLst>
        </xdr:cNvPr>
        <xdr:cNvSpPr>
          <a:spLocks/>
        </xdr:cNvSpPr>
      </xdr:nvSpPr>
      <xdr:spPr bwMode="auto">
        <a:xfrm>
          <a:off x="8899240" y="34036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260</xdr:row>
      <xdr:rowOff>173181</xdr:rowOff>
    </xdr:from>
    <xdr:to>
      <xdr:col>21</xdr:col>
      <xdr:colOff>294410</xdr:colOff>
      <xdr:row>261</xdr:row>
      <xdr:rowOff>121226</xdr:rowOff>
    </xdr:to>
    <xdr:sp macro="" textlink="">
      <xdr:nvSpPr>
        <xdr:cNvPr id="3139" name="Freeform 10707">
          <a:extLst>
            <a:ext uri="{FF2B5EF4-FFF2-40B4-BE49-F238E27FC236}">
              <a16:creationId xmlns:a16="http://schemas.microsoft.com/office/drawing/2014/main" id="{D6B789BA-DCF2-4074-ADFF-ED4E5FAF2288}"/>
            </a:ext>
          </a:extLst>
        </xdr:cNvPr>
        <xdr:cNvSpPr>
          <a:spLocks/>
        </xdr:cNvSpPr>
      </xdr:nvSpPr>
      <xdr:spPr bwMode="auto">
        <a:xfrm>
          <a:off x="99431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260</xdr:row>
      <xdr:rowOff>173181</xdr:rowOff>
    </xdr:from>
    <xdr:to>
      <xdr:col>23</xdr:col>
      <xdr:colOff>294410</xdr:colOff>
      <xdr:row>261</xdr:row>
      <xdr:rowOff>121226</xdr:rowOff>
    </xdr:to>
    <xdr:sp macro="" textlink="">
      <xdr:nvSpPr>
        <xdr:cNvPr id="3140" name="Freeform 10707">
          <a:extLst>
            <a:ext uri="{FF2B5EF4-FFF2-40B4-BE49-F238E27FC236}">
              <a16:creationId xmlns:a16="http://schemas.microsoft.com/office/drawing/2014/main" id="{E271F491-1D45-4BE2-9E73-11345C941931}"/>
            </a:ext>
          </a:extLst>
        </xdr:cNvPr>
        <xdr:cNvSpPr>
          <a:spLocks/>
        </xdr:cNvSpPr>
      </xdr:nvSpPr>
      <xdr:spPr bwMode="auto">
        <a:xfrm>
          <a:off x="109795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260</xdr:row>
      <xdr:rowOff>173181</xdr:rowOff>
    </xdr:from>
    <xdr:to>
      <xdr:col>25</xdr:col>
      <xdr:colOff>294410</xdr:colOff>
      <xdr:row>261</xdr:row>
      <xdr:rowOff>121226</xdr:rowOff>
    </xdr:to>
    <xdr:sp macro="" textlink="">
      <xdr:nvSpPr>
        <xdr:cNvPr id="3141" name="Freeform 10707">
          <a:extLst>
            <a:ext uri="{FF2B5EF4-FFF2-40B4-BE49-F238E27FC236}">
              <a16:creationId xmlns:a16="http://schemas.microsoft.com/office/drawing/2014/main" id="{E32173FF-AC56-473C-ABFB-100D46A5A870}"/>
            </a:ext>
          </a:extLst>
        </xdr:cNvPr>
        <xdr:cNvSpPr>
          <a:spLocks/>
        </xdr:cNvSpPr>
      </xdr:nvSpPr>
      <xdr:spPr bwMode="auto">
        <a:xfrm>
          <a:off x="120158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260</xdr:row>
      <xdr:rowOff>173181</xdr:rowOff>
    </xdr:from>
    <xdr:to>
      <xdr:col>27</xdr:col>
      <xdr:colOff>294410</xdr:colOff>
      <xdr:row>261</xdr:row>
      <xdr:rowOff>121226</xdr:rowOff>
    </xdr:to>
    <xdr:sp macro="" textlink="">
      <xdr:nvSpPr>
        <xdr:cNvPr id="3142" name="Freeform 10707">
          <a:extLst>
            <a:ext uri="{FF2B5EF4-FFF2-40B4-BE49-F238E27FC236}">
              <a16:creationId xmlns:a16="http://schemas.microsoft.com/office/drawing/2014/main" id="{A88ADC7D-D239-4181-96B3-032BB87D1E4A}"/>
            </a:ext>
          </a:extLst>
        </xdr:cNvPr>
        <xdr:cNvSpPr>
          <a:spLocks/>
        </xdr:cNvSpPr>
      </xdr:nvSpPr>
      <xdr:spPr bwMode="auto">
        <a:xfrm>
          <a:off x="130521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260</xdr:row>
      <xdr:rowOff>173181</xdr:rowOff>
    </xdr:from>
    <xdr:to>
      <xdr:col>29</xdr:col>
      <xdr:colOff>294410</xdr:colOff>
      <xdr:row>261</xdr:row>
      <xdr:rowOff>121226</xdr:rowOff>
    </xdr:to>
    <xdr:sp macro="" textlink="">
      <xdr:nvSpPr>
        <xdr:cNvPr id="3143" name="Freeform 10707">
          <a:extLst>
            <a:ext uri="{FF2B5EF4-FFF2-40B4-BE49-F238E27FC236}">
              <a16:creationId xmlns:a16="http://schemas.microsoft.com/office/drawing/2014/main" id="{AE990CBB-B948-43EC-BF00-80E81B545DBB}"/>
            </a:ext>
          </a:extLst>
        </xdr:cNvPr>
        <xdr:cNvSpPr>
          <a:spLocks/>
        </xdr:cNvSpPr>
      </xdr:nvSpPr>
      <xdr:spPr bwMode="auto">
        <a:xfrm>
          <a:off x="140884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260</xdr:row>
      <xdr:rowOff>173181</xdr:rowOff>
    </xdr:from>
    <xdr:to>
      <xdr:col>31</xdr:col>
      <xdr:colOff>294410</xdr:colOff>
      <xdr:row>261</xdr:row>
      <xdr:rowOff>121226</xdr:rowOff>
    </xdr:to>
    <xdr:sp macro="" textlink="">
      <xdr:nvSpPr>
        <xdr:cNvPr id="3144" name="Freeform 10707">
          <a:extLst>
            <a:ext uri="{FF2B5EF4-FFF2-40B4-BE49-F238E27FC236}">
              <a16:creationId xmlns:a16="http://schemas.microsoft.com/office/drawing/2014/main" id="{19FB17CD-3FB1-4419-A575-D74378AB53D6}"/>
            </a:ext>
          </a:extLst>
        </xdr:cNvPr>
        <xdr:cNvSpPr>
          <a:spLocks/>
        </xdr:cNvSpPr>
      </xdr:nvSpPr>
      <xdr:spPr bwMode="auto">
        <a:xfrm>
          <a:off x="151247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237</xdr:row>
      <xdr:rowOff>159455</xdr:rowOff>
    </xdr:from>
    <xdr:to>
      <xdr:col>2</xdr:col>
      <xdr:colOff>32743</xdr:colOff>
      <xdr:row>240</xdr:row>
      <xdr:rowOff>152400</xdr:rowOff>
    </xdr:to>
    <xdr:sp macro="" textlink="">
      <xdr:nvSpPr>
        <xdr:cNvPr id="3145" name="Isosceles Triangle 3144">
          <a:extLst>
            <a:ext uri="{FF2B5EF4-FFF2-40B4-BE49-F238E27FC236}">
              <a16:creationId xmlns:a16="http://schemas.microsoft.com/office/drawing/2014/main" id="{7BE7EAFD-AF02-40E2-BDB6-B35CD5275457}"/>
            </a:ext>
          </a:extLst>
        </xdr:cNvPr>
        <xdr:cNvSpPr/>
      </xdr:nvSpPr>
      <xdr:spPr>
        <a:xfrm>
          <a:off x="296796" y="3218631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238</xdr:row>
      <xdr:rowOff>7056</xdr:rowOff>
    </xdr:from>
    <xdr:to>
      <xdr:col>10</xdr:col>
      <xdr:colOff>69226</xdr:colOff>
      <xdr:row>241</xdr:row>
      <xdr:rowOff>1</xdr:rowOff>
    </xdr:to>
    <xdr:sp macro="" textlink="">
      <xdr:nvSpPr>
        <xdr:cNvPr id="3147" name="Isosceles Triangle 3146">
          <a:extLst>
            <a:ext uri="{FF2B5EF4-FFF2-40B4-BE49-F238E27FC236}">
              <a16:creationId xmlns:a16="http://schemas.microsoft.com/office/drawing/2014/main" id="{A67C0C22-2868-44BF-B3B0-A56D04AB70F5}"/>
            </a:ext>
          </a:extLst>
        </xdr:cNvPr>
        <xdr:cNvSpPr/>
      </xdr:nvSpPr>
      <xdr:spPr>
        <a:xfrm>
          <a:off x="4451292" y="322015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238</xdr:row>
      <xdr:rowOff>18345</xdr:rowOff>
    </xdr:from>
    <xdr:to>
      <xdr:col>12</xdr:col>
      <xdr:colOff>66404</xdr:colOff>
      <xdr:row>241</xdr:row>
      <xdr:rowOff>11290</xdr:rowOff>
    </xdr:to>
    <xdr:sp macro="" textlink="">
      <xdr:nvSpPr>
        <xdr:cNvPr id="3148" name="Isosceles Triangle 3147">
          <a:extLst>
            <a:ext uri="{FF2B5EF4-FFF2-40B4-BE49-F238E27FC236}">
              <a16:creationId xmlns:a16="http://schemas.microsoft.com/office/drawing/2014/main" id="{E8E2826C-41A2-41B0-AAE7-38E150B4D413}"/>
            </a:ext>
          </a:extLst>
        </xdr:cNvPr>
        <xdr:cNvSpPr/>
      </xdr:nvSpPr>
      <xdr:spPr>
        <a:xfrm>
          <a:off x="5419677" y="3221284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421400</xdr:colOff>
      <xdr:row>238</xdr:row>
      <xdr:rowOff>7056</xdr:rowOff>
    </xdr:from>
    <xdr:to>
      <xdr:col>14</xdr:col>
      <xdr:colOff>47454</xdr:colOff>
      <xdr:row>241</xdr:row>
      <xdr:rowOff>1</xdr:rowOff>
    </xdr:to>
    <xdr:sp macro="" textlink="">
      <xdr:nvSpPr>
        <xdr:cNvPr id="3149" name="Isosceles Triangle 3148">
          <a:extLst>
            <a:ext uri="{FF2B5EF4-FFF2-40B4-BE49-F238E27FC236}">
              <a16:creationId xmlns:a16="http://schemas.microsoft.com/office/drawing/2014/main" id="{FC9B1D3E-AB5E-400D-859C-12CA3290BC2E}"/>
            </a:ext>
          </a:extLst>
        </xdr:cNvPr>
        <xdr:cNvSpPr/>
      </xdr:nvSpPr>
      <xdr:spPr>
        <a:xfrm>
          <a:off x="6430314" y="35538027"/>
          <a:ext cx="649311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238</xdr:row>
      <xdr:rowOff>7056</xdr:rowOff>
    </xdr:from>
    <xdr:to>
      <xdr:col>18</xdr:col>
      <xdr:colOff>69226</xdr:colOff>
      <xdr:row>241</xdr:row>
      <xdr:rowOff>1</xdr:rowOff>
    </xdr:to>
    <xdr:sp macro="" textlink="">
      <xdr:nvSpPr>
        <xdr:cNvPr id="3150" name="Isosceles Triangle 3149">
          <a:extLst>
            <a:ext uri="{FF2B5EF4-FFF2-40B4-BE49-F238E27FC236}">
              <a16:creationId xmlns:a16="http://schemas.microsoft.com/office/drawing/2014/main" id="{AB69911E-093B-4706-BA98-87DD95D474EA}"/>
            </a:ext>
          </a:extLst>
        </xdr:cNvPr>
        <xdr:cNvSpPr/>
      </xdr:nvSpPr>
      <xdr:spPr>
        <a:xfrm>
          <a:off x="8596572" y="3220155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238</xdr:row>
      <xdr:rowOff>8964</xdr:rowOff>
    </xdr:from>
    <xdr:to>
      <xdr:col>16</xdr:col>
      <xdr:colOff>29467</xdr:colOff>
      <xdr:row>241</xdr:row>
      <xdr:rowOff>1909</xdr:rowOff>
    </xdr:to>
    <xdr:sp macro="" textlink="">
      <xdr:nvSpPr>
        <xdr:cNvPr id="3151" name="Isosceles Triangle 3150">
          <a:extLst>
            <a:ext uri="{FF2B5EF4-FFF2-40B4-BE49-F238E27FC236}">
              <a16:creationId xmlns:a16="http://schemas.microsoft.com/office/drawing/2014/main" id="{A3C07D5F-18A9-46F4-968D-6BDD11CA74B7}"/>
            </a:ext>
          </a:extLst>
        </xdr:cNvPr>
        <xdr:cNvSpPr/>
      </xdr:nvSpPr>
      <xdr:spPr>
        <a:xfrm>
          <a:off x="7520492" y="3220346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188</xdr:row>
      <xdr:rowOff>173181</xdr:rowOff>
    </xdr:from>
    <xdr:to>
      <xdr:col>5</xdr:col>
      <xdr:colOff>294410</xdr:colOff>
      <xdr:row>189</xdr:row>
      <xdr:rowOff>121226</xdr:rowOff>
    </xdr:to>
    <xdr:sp macro="" textlink="">
      <xdr:nvSpPr>
        <xdr:cNvPr id="3159" name="Freeform 10707">
          <a:extLst>
            <a:ext uri="{FF2B5EF4-FFF2-40B4-BE49-F238E27FC236}">
              <a16:creationId xmlns:a16="http://schemas.microsoft.com/office/drawing/2014/main" id="{8253E702-5F76-4EED-8F62-028A5C257ADC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188</xdr:row>
      <xdr:rowOff>173181</xdr:rowOff>
    </xdr:from>
    <xdr:to>
      <xdr:col>7</xdr:col>
      <xdr:colOff>294410</xdr:colOff>
      <xdr:row>189</xdr:row>
      <xdr:rowOff>121226</xdr:rowOff>
    </xdr:to>
    <xdr:sp macro="" textlink="">
      <xdr:nvSpPr>
        <xdr:cNvPr id="3160" name="Freeform 10707">
          <a:extLst>
            <a:ext uri="{FF2B5EF4-FFF2-40B4-BE49-F238E27FC236}">
              <a16:creationId xmlns:a16="http://schemas.microsoft.com/office/drawing/2014/main" id="{60FBEDE6-4EF0-4D4C-8DFF-5A869CBF0715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188</xdr:row>
      <xdr:rowOff>173181</xdr:rowOff>
    </xdr:from>
    <xdr:to>
      <xdr:col>9</xdr:col>
      <xdr:colOff>294410</xdr:colOff>
      <xdr:row>189</xdr:row>
      <xdr:rowOff>121226</xdr:rowOff>
    </xdr:to>
    <xdr:sp macro="" textlink="">
      <xdr:nvSpPr>
        <xdr:cNvPr id="3161" name="Freeform 10707">
          <a:extLst>
            <a:ext uri="{FF2B5EF4-FFF2-40B4-BE49-F238E27FC236}">
              <a16:creationId xmlns:a16="http://schemas.microsoft.com/office/drawing/2014/main" id="{2B7EEDD0-77E1-4CC8-8262-961D08C24462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188</xdr:row>
      <xdr:rowOff>173181</xdr:rowOff>
    </xdr:from>
    <xdr:to>
      <xdr:col>11</xdr:col>
      <xdr:colOff>294410</xdr:colOff>
      <xdr:row>189</xdr:row>
      <xdr:rowOff>121226</xdr:rowOff>
    </xdr:to>
    <xdr:sp macro="" textlink="">
      <xdr:nvSpPr>
        <xdr:cNvPr id="3162" name="Freeform 10707">
          <a:extLst>
            <a:ext uri="{FF2B5EF4-FFF2-40B4-BE49-F238E27FC236}">
              <a16:creationId xmlns:a16="http://schemas.microsoft.com/office/drawing/2014/main" id="{BF3D5F26-FC15-4C64-842B-53D8145F93E4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188</xdr:row>
      <xdr:rowOff>173181</xdr:rowOff>
    </xdr:from>
    <xdr:to>
      <xdr:col>13</xdr:col>
      <xdr:colOff>294410</xdr:colOff>
      <xdr:row>189</xdr:row>
      <xdr:rowOff>121226</xdr:rowOff>
    </xdr:to>
    <xdr:sp macro="" textlink="">
      <xdr:nvSpPr>
        <xdr:cNvPr id="3163" name="Freeform 10707">
          <a:extLst>
            <a:ext uri="{FF2B5EF4-FFF2-40B4-BE49-F238E27FC236}">
              <a16:creationId xmlns:a16="http://schemas.microsoft.com/office/drawing/2014/main" id="{E901E849-4078-42BB-A034-6DEAC0AA945F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188</xdr:row>
      <xdr:rowOff>173181</xdr:rowOff>
    </xdr:from>
    <xdr:to>
      <xdr:col>15</xdr:col>
      <xdr:colOff>294410</xdr:colOff>
      <xdr:row>189</xdr:row>
      <xdr:rowOff>121226</xdr:rowOff>
    </xdr:to>
    <xdr:sp macro="" textlink="">
      <xdr:nvSpPr>
        <xdr:cNvPr id="3164" name="Freeform 10707">
          <a:extLst>
            <a:ext uri="{FF2B5EF4-FFF2-40B4-BE49-F238E27FC236}">
              <a16:creationId xmlns:a16="http://schemas.microsoft.com/office/drawing/2014/main" id="{1B0C460E-052C-427A-8B3C-17E2886EEA8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188</xdr:row>
      <xdr:rowOff>173181</xdr:rowOff>
    </xdr:from>
    <xdr:to>
      <xdr:col>19</xdr:col>
      <xdr:colOff>294410</xdr:colOff>
      <xdr:row>189</xdr:row>
      <xdr:rowOff>121226</xdr:rowOff>
    </xdr:to>
    <xdr:sp macro="" textlink="">
      <xdr:nvSpPr>
        <xdr:cNvPr id="3165" name="Freeform 10707">
          <a:extLst>
            <a:ext uri="{FF2B5EF4-FFF2-40B4-BE49-F238E27FC236}">
              <a16:creationId xmlns:a16="http://schemas.microsoft.com/office/drawing/2014/main" id="{95B4AD38-BFC6-4EB5-88FD-0D0514893EE2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188</xdr:row>
      <xdr:rowOff>173181</xdr:rowOff>
    </xdr:from>
    <xdr:to>
      <xdr:col>21</xdr:col>
      <xdr:colOff>294410</xdr:colOff>
      <xdr:row>189</xdr:row>
      <xdr:rowOff>121226</xdr:rowOff>
    </xdr:to>
    <xdr:sp macro="" textlink="">
      <xdr:nvSpPr>
        <xdr:cNvPr id="3166" name="Freeform 10707">
          <a:extLst>
            <a:ext uri="{FF2B5EF4-FFF2-40B4-BE49-F238E27FC236}">
              <a16:creationId xmlns:a16="http://schemas.microsoft.com/office/drawing/2014/main" id="{B0090511-4D8A-446B-9B4F-DD436AEEAF0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188</xdr:row>
      <xdr:rowOff>173181</xdr:rowOff>
    </xdr:from>
    <xdr:to>
      <xdr:col>23</xdr:col>
      <xdr:colOff>294410</xdr:colOff>
      <xdr:row>189</xdr:row>
      <xdr:rowOff>121226</xdr:rowOff>
    </xdr:to>
    <xdr:sp macro="" textlink="">
      <xdr:nvSpPr>
        <xdr:cNvPr id="3167" name="Freeform 10707">
          <a:extLst>
            <a:ext uri="{FF2B5EF4-FFF2-40B4-BE49-F238E27FC236}">
              <a16:creationId xmlns:a16="http://schemas.microsoft.com/office/drawing/2014/main" id="{983073A2-2D18-4F16-B3B0-9672F565DEE9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188</xdr:row>
      <xdr:rowOff>173181</xdr:rowOff>
    </xdr:from>
    <xdr:to>
      <xdr:col>25</xdr:col>
      <xdr:colOff>294410</xdr:colOff>
      <xdr:row>189</xdr:row>
      <xdr:rowOff>121226</xdr:rowOff>
    </xdr:to>
    <xdr:sp macro="" textlink="">
      <xdr:nvSpPr>
        <xdr:cNvPr id="3168" name="Freeform 10707">
          <a:extLst>
            <a:ext uri="{FF2B5EF4-FFF2-40B4-BE49-F238E27FC236}">
              <a16:creationId xmlns:a16="http://schemas.microsoft.com/office/drawing/2014/main" id="{39631902-C1B2-4517-B2AA-5A1666A28E55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188</xdr:row>
      <xdr:rowOff>173181</xdr:rowOff>
    </xdr:from>
    <xdr:to>
      <xdr:col>27</xdr:col>
      <xdr:colOff>294410</xdr:colOff>
      <xdr:row>189</xdr:row>
      <xdr:rowOff>121226</xdr:rowOff>
    </xdr:to>
    <xdr:sp macro="" textlink="">
      <xdr:nvSpPr>
        <xdr:cNvPr id="3169" name="Freeform 10707">
          <a:extLst>
            <a:ext uri="{FF2B5EF4-FFF2-40B4-BE49-F238E27FC236}">
              <a16:creationId xmlns:a16="http://schemas.microsoft.com/office/drawing/2014/main" id="{3CCCFE52-526E-44B2-9E15-D7E9B2E1A1F9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188</xdr:row>
      <xdr:rowOff>173181</xdr:rowOff>
    </xdr:from>
    <xdr:to>
      <xdr:col>29</xdr:col>
      <xdr:colOff>294410</xdr:colOff>
      <xdr:row>189</xdr:row>
      <xdr:rowOff>121226</xdr:rowOff>
    </xdr:to>
    <xdr:sp macro="" textlink="">
      <xdr:nvSpPr>
        <xdr:cNvPr id="3170" name="Freeform 10707">
          <a:extLst>
            <a:ext uri="{FF2B5EF4-FFF2-40B4-BE49-F238E27FC236}">
              <a16:creationId xmlns:a16="http://schemas.microsoft.com/office/drawing/2014/main" id="{C78AA6EF-E0AF-425C-A876-5762581B8CC4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213</xdr:row>
      <xdr:rowOff>173181</xdr:rowOff>
    </xdr:from>
    <xdr:to>
      <xdr:col>11</xdr:col>
      <xdr:colOff>294410</xdr:colOff>
      <xdr:row>214</xdr:row>
      <xdr:rowOff>121226</xdr:rowOff>
    </xdr:to>
    <xdr:sp macro="" textlink="">
      <xdr:nvSpPr>
        <xdr:cNvPr id="3171" name="Freeform 10707">
          <a:extLst>
            <a:ext uri="{FF2B5EF4-FFF2-40B4-BE49-F238E27FC236}">
              <a16:creationId xmlns:a16="http://schemas.microsoft.com/office/drawing/2014/main" id="{F8DBC153-11B4-40FC-85AE-88522BBAA3BD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213</xdr:row>
      <xdr:rowOff>173181</xdr:rowOff>
    </xdr:from>
    <xdr:to>
      <xdr:col>13</xdr:col>
      <xdr:colOff>294410</xdr:colOff>
      <xdr:row>214</xdr:row>
      <xdr:rowOff>121226</xdr:rowOff>
    </xdr:to>
    <xdr:sp macro="" textlink="">
      <xdr:nvSpPr>
        <xdr:cNvPr id="3172" name="Freeform 10707">
          <a:extLst>
            <a:ext uri="{FF2B5EF4-FFF2-40B4-BE49-F238E27FC236}">
              <a16:creationId xmlns:a16="http://schemas.microsoft.com/office/drawing/2014/main" id="{3931B09E-4410-4A64-A4EC-5D1F63EABA83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213</xdr:row>
      <xdr:rowOff>173181</xdr:rowOff>
    </xdr:from>
    <xdr:to>
      <xdr:col>15</xdr:col>
      <xdr:colOff>294410</xdr:colOff>
      <xdr:row>214</xdr:row>
      <xdr:rowOff>121226</xdr:rowOff>
    </xdr:to>
    <xdr:sp macro="" textlink="">
      <xdr:nvSpPr>
        <xdr:cNvPr id="3173" name="Freeform 10707">
          <a:extLst>
            <a:ext uri="{FF2B5EF4-FFF2-40B4-BE49-F238E27FC236}">
              <a16:creationId xmlns:a16="http://schemas.microsoft.com/office/drawing/2014/main" id="{26B6A072-B25C-4FCD-A892-03C04B5E815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213</xdr:row>
      <xdr:rowOff>173181</xdr:rowOff>
    </xdr:from>
    <xdr:to>
      <xdr:col>17</xdr:col>
      <xdr:colOff>294410</xdr:colOff>
      <xdr:row>214</xdr:row>
      <xdr:rowOff>121226</xdr:rowOff>
    </xdr:to>
    <xdr:sp macro="" textlink="">
      <xdr:nvSpPr>
        <xdr:cNvPr id="3174" name="Freeform 10707">
          <a:extLst>
            <a:ext uri="{FF2B5EF4-FFF2-40B4-BE49-F238E27FC236}">
              <a16:creationId xmlns:a16="http://schemas.microsoft.com/office/drawing/2014/main" id="{B36475F4-E7A7-40DE-A9F2-00DBE08A9CE5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213</xdr:row>
      <xdr:rowOff>173181</xdr:rowOff>
    </xdr:from>
    <xdr:to>
      <xdr:col>21</xdr:col>
      <xdr:colOff>294410</xdr:colOff>
      <xdr:row>214</xdr:row>
      <xdr:rowOff>121226</xdr:rowOff>
    </xdr:to>
    <xdr:sp macro="" textlink="">
      <xdr:nvSpPr>
        <xdr:cNvPr id="3175" name="Freeform 10707">
          <a:extLst>
            <a:ext uri="{FF2B5EF4-FFF2-40B4-BE49-F238E27FC236}">
              <a16:creationId xmlns:a16="http://schemas.microsoft.com/office/drawing/2014/main" id="{14605006-3F92-4AC3-AE45-57920B6FBA0F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213</xdr:row>
      <xdr:rowOff>173181</xdr:rowOff>
    </xdr:from>
    <xdr:to>
      <xdr:col>23</xdr:col>
      <xdr:colOff>294410</xdr:colOff>
      <xdr:row>214</xdr:row>
      <xdr:rowOff>121226</xdr:rowOff>
    </xdr:to>
    <xdr:sp macro="" textlink="">
      <xdr:nvSpPr>
        <xdr:cNvPr id="3176" name="Freeform 10707">
          <a:extLst>
            <a:ext uri="{FF2B5EF4-FFF2-40B4-BE49-F238E27FC236}">
              <a16:creationId xmlns:a16="http://schemas.microsoft.com/office/drawing/2014/main" id="{380686EB-ECCC-4C2F-B4C9-DE0DC2070913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213</xdr:row>
      <xdr:rowOff>173181</xdr:rowOff>
    </xdr:from>
    <xdr:to>
      <xdr:col>25</xdr:col>
      <xdr:colOff>294410</xdr:colOff>
      <xdr:row>214</xdr:row>
      <xdr:rowOff>121226</xdr:rowOff>
    </xdr:to>
    <xdr:sp macro="" textlink="">
      <xdr:nvSpPr>
        <xdr:cNvPr id="3177" name="Freeform 10707">
          <a:extLst>
            <a:ext uri="{FF2B5EF4-FFF2-40B4-BE49-F238E27FC236}">
              <a16:creationId xmlns:a16="http://schemas.microsoft.com/office/drawing/2014/main" id="{D345874B-56C5-40AA-B57D-DB57CC73C0B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213</xdr:row>
      <xdr:rowOff>173181</xdr:rowOff>
    </xdr:from>
    <xdr:to>
      <xdr:col>27</xdr:col>
      <xdr:colOff>294410</xdr:colOff>
      <xdr:row>214</xdr:row>
      <xdr:rowOff>121226</xdr:rowOff>
    </xdr:to>
    <xdr:sp macro="" textlink="">
      <xdr:nvSpPr>
        <xdr:cNvPr id="3178" name="Freeform 10707">
          <a:extLst>
            <a:ext uri="{FF2B5EF4-FFF2-40B4-BE49-F238E27FC236}">
              <a16:creationId xmlns:a16="http://schemas.microsoft.com/office/drawing/2014/main" id="{F431DD13-BCAC-4CEF-A2F2-548E6E3AB87E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213</xdr:row>
      <xdr:rowOff>173181</xdr:rowOff>
    </xdr:from>
    <xdr:to>
      <xdr:col>29</xdr:col>
      <xdr:colOff>294410</xdr:colOff>
      <xdr:row>214</xdr:row>
      <xdr:rowOff>121226</xdr:rowOff>
    </xdr:to>
    <xdr:sp macro="" textlink="">
      <xdr:nvSpPr>
        <xdr:cNvPr id="3179" name="Freeform 10707">
          <a:extLst>
            <a:ext uri="{FF2B5EF4-FFF2-40B4-BE49-F238E27FC236}">
              <a16:creationId xmlns:a16="http://schemas.microsoft.com/office/drawing/2014/main" id="{8E874A90-3FCF-4D4C-824F-6343630B25AE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224</xdr:row>
      <xdr:rowOff>173181</xdr:rowOff>
    </xdr:from>
    <xdr:to>
      <xdr:col>5</xdr:col>
      <xdr:colOff>294410</xdr:colOff>
      <xdr:row>225</xdr:row>
      <xdr:rowOff>121226</xdr:rowOff>
    </xdr:to>
    <xdr:sp macro="" textlink="">
      <xdr:nvSpPr>
        <xdr:cNvPr id="3180" name="Freeform 10707">
          <a:extLst>
            <a:ext uri="{FF2B5EF4-FFF2-40B4-BE49-F238E27FC236}">
              <a16:creationId xmlns:a16="http://schemas.microsoft.com/office/drawing/2014/main" id="{7FFA5419-8AEB-4750-95A6-7A7D94805B0A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224</xdr:row>
      <xdr:rowOff>173181</xdr:rowOff>
    </xdr:from>
    <xdr:to>
      <xdr:col>7</xdr:col>
      <xdr:colOff>294410</xdr:colOff>
      <xdr:row>225</xdr:row>
      <xdr:rowOff>121226</xdr:rowOff>
    </xdr:to>
    <xdr:sp macro="" textlink="">
      <xdr:nvSpPr>
        <xdr:cNvPr id="3181" name="Freeform 10707">
          <a:extLst>
            <a:ext uri="{FF2B5EF4-FFF2-40B4-BE49-F238E27FC236}">
              <a16:creationId xmlns:a16="http://schemas.microsoft.com/office/drawing/2014/main" id="{28B0E993-8D89-4556-B0C7-C0C9027AE872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224</xdr:row>
      <xdr:rowOff>173181</xdr:rowOff>
    </xdr:from>
    <xdr:to>
      <xdr:col>9</xdr:col>
      <xdr:colOff>294410</xdr:colOff>
      <xdr:row>225</xdr:row>
      <xdr:rowOff>121226</xdr:rowOff>
    </xdr:to>
    <xdr:sp macro="" textlink="">
      <xdr:nvSpPr>
        <xdr:cNvPr id="3182" name="Freeform 10707">
          <a:extLst>
            <a:ext uri="{FF2B5EF4-FFF2-40B4-BE49-F238E27FC236}">
              <a16:creationId xmlns:a16="http://schemas.microsoft.com/office/drawing/2014/main" id="{E7BCF9E2-AB02-4598-98E2-87BB59BBA17F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224</xdr:row>
      <xdr:rowOff>173181</xdr:rowOff>
    </xdr:from>
    <xdr:to>
      <xdr:col>11</xdr:col>
      <xdr:colOff>294410</xdr:colOff>
      <xdr:row>225</xdr:row>
      <xdr:rowOff>121226</xdr:rowOff>
    </xdr:to>
    <xdr:sp macro="" textlink="">
      <xdr:nvSpPr>
        <xdr:cNvPr id="3183" name="Freeform 10707">
          <a:extLst>
            <a:ext uri="{FF2B5EF4-FFF2-40B4-BE49-F238E27FC236}">
              <a16:creationId xmlns:a16="http://schemas.microsoft.com/office/drawing/2014/main" id="{76395A57-5794-4C22-901B-648EEC52DE22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224</xdr:row>
      <xdr:rowOff>173181</xdr:rowOff>
    </xdr:from>
    <xdr:to>
      <xdr:col>13</xdr:col>
      <xdr:colOff>294410</xdr:colOff>
      <xdr:row>225</xdr:row>
      <xdr:rowOff>121226</xdr:rowOff>
    </xdr:to>
    <xdr:sp macro="" textlink="">
      <xdr:nvSpPr>
        <xdr:cNvPr id="3184" name="Freeform 10707">
          <a:extLst>
            <a:ext uri="{FF2B5EF4-FFF2-40B4-BE49-F238E27FC236}">
              <a16:creationId xmlns:a16="http://schemas.microsoft.com/office/drawing/2014/main" id="{6EBBD84F-C4CF-4DC3-8EAE-F73F633A6E78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224</xdr:row>
      <xdr:rowOff>173181</xdr:rowOff>
    </xdr:from>
    <xdr:to>
      <xdr:col>15</xdr:col>
      <xdr:colOff>294410</xdr:colOff>
      <xdr:row>225</xdr:row>
      <xdr:rowOff>121226</xdr:rowOff>
    </xdr:to>
    <xdr:sp macro="" textlink="">
      <xdr:nvSpPr>
        <xdr:cNvPr id="3185" name="Freeform 10707">
          <a:extLst>
            <a:ext uri="{FF2B5EF4-FFF2-40B4-BE49-F238E27FC236}">
              <a16:creationId xmlns:a16="http://schemas.microsoft.com/office/drawing/2014/main" id="{B69B761E-CC66-4E0D-9884-924BFD2690EF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224</xdr:row>
      <xdr:rowOff>173181</xdr:rowOff>
    </xdr:from>
    <xdr:to>
      <xdr:col>17</xdr:col>
      <xdr:colOff>294410</xdr:colOff>
      <xdr:row>225</xdr:row>
      <xdr:rowOff>121226</xdr:rowOff>
    </xdr:to>
    <xdr:sp macro="" textlink="">
      <xdr:nvSpPr>
        <xdr:cNvPr id="3186" name="Freeform 10707">
          <a:extLst>
            <a:ext uri="{FF2B5EF4-FFF2-40B4-BE49-F238E27FC236}">
              <a16:creationId xmlns:a16="http://schemas.microsoft.com/office/drawing/2014/main" id="{F0AE0D6C-3AEA-4F1C-A564-B9E4AB5AB2B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224</xdr:row>
      <xdr:rowOff>173181</xdr:rowOff>
    </xdr:from>
    <xdr:to>
      <xdr:col>19</xdr:col>
      <xdr:colOff>294410</xdr:colOff>
      <xdr:row>225</xdr:row>
      <xdr:rowOff>121226</xdr:rowOff>
    </xdr:to>
    <xdr:sp macro="" textlink="">
      <xdr:nvSpPr>
        <xdr:cNvPr id="3187" name="Freeform 10707">
          <a:extLst>
            <a:ext uri="{FF2B5EF4-FFF2-40B4-BE49-F238E27FC236}">
              <a16:creationId xmlns:a16="http://schemas.microsoft.com/office/drawing/2014/main" id="{1ADEA200-7E44-4259-B12D-983F119B453D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224</xdr:row>
      <xdr:rowOff>173181</xdr:rowOff>
    </xdr:from>
    <xdr:to>
      <xdr:col>21</xdr:col>
      <xdr:colOff>294410</xdr:colOff>
      <xdr:row>225</xdr:row>
      <xdr:rowOff>121226</xdr:rowOff>
    </xdr:to>
    <xdr:sp macro="" textlink="">
      <xdr:nvSpPr>
        <xdr:cNvPr id="3188" name="Freeform 10707">
          <a:extLst>
            <a:ext uri="{FF2B5EF4-FFF2-40B4-BE49-F238E27FC236}">
              <a16:creationId xmlns:a16="http://schemas.microsoft.com/office/drawing/2014/main" id="{D15D3F06-A1ED-4EFA-826D-3B4380D4EC66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224</xdr:row>
      <xdr:rowOff>173181</xdr:rowOff>
    </xdr:from>
    <xdr:to>
      <xdr:col>23</xdr:col>
      <xdr:colOff>294410</xdr:colOff>
      <xdr:row>225</xdr:row>
      <xdr:rowOff>121226</xdr:rowOff>
    </xdr:to>
    <xdr:sp macro="" textlink="">
      <xdr:nvSpPr>
        <xdr:cNvPr id="3189" name="Freeform 10707">
          <a:extLst>
            <a:ext uri="{FF2B5EF4-FFF2-40B4-BE49-F238E27FC236}">
              <a16:creationId xmlns:a16="http://schemas.microsoft.com/office/drawing/2014/main" id="{682CAA3B-ED1D-43E8-BC5E-36FF66690A0A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224</xdr:row>
      <xdr:rowOff>173181</xdr:rowOff>
    </xdr:from>
    <xdr:to>
      <xdr:col>25</xdr:col>
      <xdr:colOff>294410</xdr:colOff>
      <xdr:row>225</xdr:row>
      <xdr:rowOff>121226</xdr:rowOff>
    </xdr:to>
    <xdr:sp macro="" textlink="">
      <xdr:nvSpPr>
        <xdr:cNvPr id="3190" name="Freeform 10707">
          <a:extLst>
            <a:ext uri="{FF2B5EF4-FFF2-40B4-BE49-F238E27FC236}">
              <a16:creationId xmlns:a16="http://schemas.microsoft.com/office/drawing/2014/main" id="{24C2AE89-0F1E-48D4-8AC8-EA95EDF3A8E3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224</xdr:row>
      <xdr:rowOff>173181</xdr:rowOff>
    </xdr:from>
    <xdr:to>
      <xdr:col>27</xdr:col>
      <xdr:colOff>294410</xdr:colOff>
      <xdr:row>225</xdr:row>
      <xdr:rowOff>121226</xdr:rowOff>
    </xdr:to>
    <xdr:sp macro="" textlink="">
      <xdr:nvSpPr>
        <xdr:cNvPr id="3191" name="Freeform 10707">
          <a:extLst>
            <a:ext uri="{FF2B5EF4-FFF2-40B4-BE49-F238E27FC236}">
              <a16:creationId xmlns:a16="http://schemas.microsoft.com/office/drawing/2014/main" id="{297D646C-70BD-44F1-944F-88FFDDA0B9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224</xdr:row>
      <xdr:rowOff>173181</xdr:rowOff>
    </xdr:from>
    <xdr:to>
      <xdr:col>29</xdr:col>
      <xdr:colOff>294410</xdr:colOff>
      <xdr:row>225</xdr:row>
      <xdr:rowOff>121226</xdr:rowOff>
    </xdr:to>
    <xdr:sp macro="" textlink="">
      <xdr:nvSpPr>
        <xdr:cNvPr id="3192" name="Freeform 10707">
          <a:extLst>
            <a:ext uri="{FF2B5EF4-FFF2-40B4-BE49-F238E27FC236}">
              <a16:creationId xmlns:a16="http://schemas.microsoft.com/office/drawing/2014/main" id="{E565A9A2-8CF7-4F0A-9016-8B05D251DF84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237</xdr:row>
      <xdr:rowOff>173181</xdr:rowOff>
    </xdr:from>
    <xdr:to>
      <xdr:col>5</xdr:col>
      <xdr:colOff>294410</xdr:colOff>
      <xdr:row>238</xdr:row>
      <xdr:rowOff>121226</xdr:rowOff>
    </xdr:to>
    <xdr:sp macro="" textlink="">
      <xdr:nvSpPr>
        <xdr:cNvPr id="3193" name="Freeform 10707">
          <a:extLst>
            <a:ext uri="{FF2B5EF4-FFF2-40B4-BE49-F238E27FC236}">
              <a16:creationId xmlns:a16="http://schemas.microsoft.com/office/drawing/2014/main" id="{23D39AB0-DFB3-4FAD-BAED-019897E54B8A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237</xdr:row>
      <xdr:rowOff>173181</xdr:rowOff>
    </xdr:from>
    <xdr:to>
      <xdr:col>7</xdr:col>
      <xdr:colOff>294410</xdr:colOff>
      <xdr:row>238</xdr:row>
      <xdr:rowOff>121226</xdr:rowOff>
    </xdr:to>
    <xdr:sp macro="" textlink="">
      <xdr:nvSpPr>
        <xdr:cNvPr id="3194" name="Freeform 10707">
          <a:extLst>
            <a:ext uri="{FF2B5EF4-FFF2-40B4-BE49-F238E27FC236}">
              <a16:creationId xmlns:a16="http://schemas.microsoft.com/office/drawing/2014/main" id="{F7848596-13B9-4502-8EA1-5B58793A11A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237</xdr:row>
      <xdr:rowOff>173181</xdr:rowOff>
    </xdr:from>
    <xdr:to>
      <xdr:col>9</xdr:col>
      <xdr:colOff>294410</xdr:colOff>
      <xdr:row>238</xdr:row>
      <xdr:rowOff>121226</xdr:rowOff>
    </xdr:to>
    <xdr:sp macro="" textlink="">
      <xdr:nvSpPr>
        <xdr:cNvPr id="3195" name="Freeform 10707">
          <a:extLst>
            <a:ext uri="{FF2B5EF4-FFF2-40B4-BE49-F238E27FC236}">
              <a16:creationId xmlns:a16="http://schemas.microsoft.com/office/drawing/2014/main" id="{DEF77000-C57B-48BD-A98B-A8DEE0ADC3DA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237</xdr:row>
      <xdr:rowOff>173181</xdr:rowOff>
    </xdr:from>
    <xdr:to>
      <xdr:col>11</xdr:col>
      <xdr:colOff>294410</xdr:colOff>
      <xdr:row>238</xdr:row>
      <xdr:rowOff>121226</xdr:rowOff>
    </xdr:to>
    <xdr:sp macro="" textlink="">
      <xdr:nvSpPr>
        <xdr:cNvPr id="3196" name="Freeform 10707">
          <a:extLst>
            <a:ext uri="{FF2B5EF4-FFF2-40B4-BE49-F238E27FC236}">
              <a16:creationId xmlns:a16="http://schemas.microsoft.com/office/drawing/2014/main" id="{02EDE2FC-F884-455C-9A41-07E6188B2EDD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237</xdr:row>
      <xdr:rowOff>173181</xdr:rowOff>
    </xdr:from>
    <xdr:to>
      <xdr:col>15</xdr:col>
      <xdr:colOff>294410</xdr:colOff>
      <xdr:row>238</xdr:row>
      <xdr:rowOff>121226</xdr:rowOff>
    </xdr:to>
    <xdr:sp macro="" textlink="">
      <xdr:nvSpPr>
        <xdr:cNvPr id="3197" name="Freeform 10707">
          <a:extLst>
            <a:ext uri="{FF2B5EF4-FFF2-40B4-BE49-F238E27FC236}">
              <a16:creationId xmlns:a16="http://schemas.microsoft.com/office/drawing/2014/main" id="{711A2114-1E35-404B-B90D-995ED6D20B90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237</xdr:row>
      <xdr:rowOff>173181</xdr:rowOff>
    </xdr:from>
    <xdr:to>
      <xdr:col>17</xdr:col>
      <xdr:colOff>294410</xdr:colOff>
      <xdr:row>238</xdr:row>
      <xdr:rowOff>121226</xdr:rowOff>
    </xdr:to>
    <xdr:sp macro="" textlink="">
      <xdr:nvSpPr>
        <xdr:cNvPr id="3198" name="Freeform 10707">
          <a:extLst>
            <a:ext uri="{FF2B5EF4-FFF2-40B4-BE49-F238E27FC236}">
              <a16:creationId xmlns:a16="http://schemas.microsoft.com/office/drawing/2014/main" id="{E3F75C19-2E06-45FC-A90F-04E8CECEF340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237</xdr:row>
      <xdr:rowOff>173181</xdr:rowOff>
    </xdr:from>
    <xdr:to>
      <xdr:col>19</xdr:col>
      <xdr:colOff>294410</xdr:colOff>
      <xdr:row>238</xdr:row>
      <xdr:rowOff>121226</xdr:rowOff>
    </xdr:to>
    <xdr:sp macro="" textlink="">
      <xdr:nvSpPr>
        <xdr:cNvPr id="3199" name="Freeform 10707">
          <a:extLst>
            <a:ext uri="{FF2B5EF4-FFF2-40B4-BE49-F238E27FC236}">
              <a16:creationId xmlns:a16="http://schemas.microsoft.com/office/drawing/2014/main" id="{7EB1AD23-236F-41F4-86E5-F603A39CE844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237</xdr:row>
      <xdr:rowOff>173181</xdr:rowOff>
    </xdr:from>
    <xdr:to>
      <xdr:col>21</xdr:col>
      <xdr:colOff>294410</xdr:colOff>
      <xdr:row>238</xdr:row>
      <xdr:rowOff>121226</xdr:rowOff>
    </xdr:to>
    <xdr:sp macro="" textlink="">
      <xdr:nvSpPr>
        <xdr:cNvPr id="3200" name="Freeform 10707">
          <a:extLst>
            <a:ext uri="{FF2B5EF4-FFF2-40B4-BE49-F238E27FC236}">
              <a16:creationId xmlns:a16="http://schemas.microsoft.com/office/drawing/2014/main" id="{FF145438-9C0B-45F1-BA79-0BA50369E968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237</xdr:row>
      <xdr:rowOff>173181</xdr:rowOff>
    </xdr:from>
    <xdr:to>
      <xdr:col>23</xdr:col>
      <xdr:colOff>294410</xdr:colOff>
      <xdr:row>238</xdr:row>
      <xdr:rowOff>121226</xdr:rowOff>
    </xdr:to>
    <xdr:sp macro="" textlink="">
      <xdr:nvSpPr>
        <xdr:cNvPr id="3201" name="Freeform 10707">
          <a:extLst>
            <a:ext uri="{FF2B5EF4-FFF2-40B4-BE49-F238E27FC236}">
              <a16:creationId xmlns:a16="http://schemas.microsoft.com/office/drawing/2014/main" id="{138A1CEB-57AC-4E1F-B01A-A9F8D9A9E2EE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237</xdr:row>
      <xdr:rowOff>173181</xdr:rowOff>
    </xdr:from>
    <xdr:to>
      <xdr:col>25</xdr:col>
      <xdr:colOff>294410</xdr:colOff>
      <xdr:row>238</xdr:row>
      <xdr:rowOff>121226</xdr:rowOff>
    </xdr:to>
    <xdr:sp macro="" textlink="">
      <xdr:nvSpPr>
        <xdr:cNvPr id="3202" name="Freeform 10707">
          <a:extLst>
            <a:ext uri="{FF2B5EF4-FFF2-40B4-BE49-F238E27FC236}">
              <a16:creationId xmlns:a16="http://schemas.microsoft.com/office/drawing/2014/main" id="{A9D0B618-6EBD-40FA-9647-EF208DD6C095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8</xdr:col>
      <xdr:colOff>0</xdr:colOff>
      <xdr:row>62</xdr:row>
      <xdr:rowOff>0</xdr:rowOff>
    </xdr:from>
    <xdr:to>
      <xdr:col>8</xdr:col>
      <xdr:colOff>238169</xdr:colOff>
      <xdr:row>64</xdr:row>
      <xdr:rowOff>49</xdr:rowOff>
    </xdr:to>
    <xdr:grpSp>
      <xdr:nvGrpSpPr>
        <xdr:cNvPr id="3203" name="Group 3202">
          <a:extLst>
            <a:ext uri="{FF2B5EF4-FFF2-40B4-BE49-F238E27FC236}">
              <a16:creationId xmlns:a16="http://schemas.microsoft.com/office/drawing/2014/main" id="{284BA262-755C-41B9-AD5E-327D329C1284}"/>
            </a:ext>
          </a:extLst>
        </xdr:cNvPr>
        <xdr:cNvGrpSpPr/>
      </xdr:nvGrpSpPr>
      <xdr:grpSpPr>
        <a:xfrm>
          <a:off x="4053417" y="11959167"/>
          <a:ext cx="238169" cy="349299"/>
          <a:chOff x="6143939" y="789134"/>
          <a:chExt cx="457200" cy="518966"/>
        </a:xfrm>
      </xdr:grpSpPr>
      <xdr:grpSp>
        <xdr:nvGrpSpPr>
          <xdr:cNvPr id="3204" name="Group 3203">
            <a:extLst>
              <a:ext uri="{FF2B5EF4-FFF2-40B4-BE49-F238E27FC236}">
                <a16:creationId xmlns:a16="http://schemas.microsoft.com/office/drawing/2014/main" id="{1A5DB0C2-7C4B-4031-734E-BB04EB7EC75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06" name="Straight Connector 3205">
              <a:extLst>
                <a:ext uri="{FF2B5EF4-FFF2-40B4-BE49-F238E27FC236}">
                  <a16:creationId xmlns:a16="http://schemas.microsoft.com/office/drawing/2014/main" id="{43A5232A-B8BE-B717-AFAB-43A22FD06F9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7" name="Straight Connector 3206">
              <a:extLst>
                <a:ext uri="{FF2B5EF4-FFF2-40B4-BE49-F238E27FC236}">
                  <a16:creationId xmlns:a16="http://schemas.microsoft.com/office/drawing/2014/main" id="{1C2F7519-4872-0CA4-3652-FEC357DAE9A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8" name="Straight Connector 3207">
              <a:extLst>
                <a:ext uri="{FF2B5EF4-FFF2-40B4-BE49-F238E27FC236}">
                  <a16:creationId xmlns:a16="http://schemas.microsoft.com/office/drawing/2014/main" id="{081B09CD-EB04-7083-859F-A8FEE14E773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9" name="Straight Connector 3208">
              <a:extLst>
                <a:ext uri="{FF2B5EF4-FFF2-40B4-BE49-F238E27FC236}">
                  <a16:creationId xmlns:a16="http://schemas.microsoft.com/office/drawing/2014/main" id="{FF1D1502-FAAF-9D37-9013-E10182BE29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0" name="Straight Connector 3209">
              <a:extLst>
                <a:ext uri="{FF2B5EF4-FFF2-40B4-BE49-F238E27FC236}">
                  <a16:creationId xmlns:a16="http://schemas.microsoft.com/office/drawing/2014/main" id="{079BB72D-E807-6398-B983-1FFA369257B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1" name="Straight Connector 3210">
              <a:extLst>
                <a:ext uri="{FF2B5EF4-FFF2-40B4-BE49-F238E27FC236}">
                  <a16:creationId xmlns:a16="http://schemas.microsoft.com/office/drawing/2014/main" id="{440203CC-D479-211B-B510-7BCCCD8726C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05" name="Straight Connector 3204">
            <a:extLst>
              <a:ext uri="{FF2B5EF4-FFF2-40B4-BE49-F238E27FC236}">
                <a16:creationId xmlns:a16="http://schemas.microsoft.com/office/drawing/2014/main" id="{9E748175-EA94-8FE9-6C23-128EB1966A9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62</xdr:row>
      <xdr:rowOff>0</xdr:rowOff>
    </xdr:from>
    <xdr:to>
      <xdr:col>30</xdr:col>
      <xdr:colOff>238169</xdr:colOff>
      <xdr:row>64</xdr:row>
      <xdr:rowOff>48</xdr:rowOff>
    </xdr:to>
    <xdr:grpSp>
      <xdr:nvGrpSpPr>
        <xdr:cNvPr id="3212" name="Group 3211">
          <a:extLst>
            <a:ext uri="{FF2B5EF4-FFF2-40B4-BE49-F238E27FC236}">
              <a16:creationId xmlns:a16="http://schemas.microsoft.com/office/drawing/2014/main" id="{14F27DD8-BB6F-4EDE-9578-8B36B71702A1}"/>
            </a:ext>
          </a:extLst>
        </xdr:cNvPr>
        <xdr:cNvGrpSpPr/>
      </xdr:nvGrpSpPr>
      <xdr:grpSpPr>
        <a:xfrm>
          <a:off x="15578667" y="11959167"/>
          <a:ext cx="238169" cy="349298"/>
          <a:chOff x="6143939" y="789134"/>
          <a:chExt cx="457200" cy="518966"/>
        </a:xfrm>
      </xdr:grpSpPr>
      <xdr:grpSp>
        <xdr:nvGrpSpPr>
          <xdr:cNvPr id="3213" name="Group 3212">
            <a:extLst>
              <a:ext uri="{FF2B5EF4-FFF2-40B4-BE49-F238E27FC236}">
                <a16:creationId xmlns:a16="http://schemas.microsoft.com/office/drawing/2014/main" id="{4FB085FD-2F5E-4FB0-F23D-C84A0BF0B8E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15" name="Straight Connector 3214">
              <a:extLst>
                <a:ext uri="{FF2B5EF4-FFF2-40B4-BE49-F238E27FC236}">
                  <a16:creationId xmlns:a16="http://schemas.microsoft.com/office/drawing/2014/main" id="{D7FA41B7-2C82-F607-BEC1-C231CE41BC3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6" name="Straight Connector 3215">
              <a:extLst>
                <a:ext uri="{FF2B5EF4-FFF2-40B4-BE49-F238E27FC236}">
                  <a16:creationId xmlns:a16="http://schemas.microsoft.com/office/drawing/2014/main" id="{D487FC27-5CA0-B904-55A8-EEF7EADC716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7" name="Straight Connector 3216">
              <a:extLst>
                <a:ext uri="{FF2B5EF4-FFF2-40B4-BE49-F238E27FC236}">
                  <a16:creationId xmlns:a16="http://schemas.microsoft.com/office/drawing/2014/main" id="{D575DB8F-AEAC-7E58-11E1-FB388C9D95A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8" name="Straight Connector 3217">
              <a:extLst>
                <a:ext uri="{FF2B5EF4-FFF2-40B4-BE49-F238E27FC236}">
                  <a16:creationId xmlns:a16="http://schemas.microsoft.com/office/drawing/2014/main" id="{00C46040-5192-F371-581D-2425396A8FC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9" name="Straight Connector 3218">
              <a:extLst>
                <a:ext uri="{FF2B5EF4-FFF2-40B4-BE49-F238E27FC236}">
                  <a16:creationId xmlns:a16="http://schemas.microsoft.com/office/drawing/2014/main" id="{BA871AD6-814F-FD7B-E459-36911A9892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0" name="Straight Connector 3219">
              <a:extLst>
                <a:ext uri="{FF2B5EF4-FFF2-40B4-BE49-F238E27FC236}">
                  <a16:creationId xmlns:a16="http://schemas.microsoft.com/office/drawing/2014/main" id="{B28B9ABB-59E1-5358-0EFD-4C9277B7BF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97C498D1-68C3-F1B9-C948-5C436F789F6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62</xdr:row>
      <xdr:rowOff>0</xdr:rowOff>
    </xdr:from>
    <xdr:to>
      <xdr:col>2</xdr:col>
      <xdr:colOff>238169</xdr:colOff>
      <xdr:row>64</xdr:row>
      <xdr:rowOff>49</xdr:rowOff>
    </xdr:to>
    <xdr:grpSp>
      <xdr:nvGrpSpPr>
        <xdr:cNvPr id="3221" name="Group 3220">
          <a:extLst>
            <a:ext uri="{FF2B5EF4-FFF2-40B4-BE49-F238E27FC236}">
              <a16:creationId xmlns:a16="http://schemas.microsoft.com/office/drawing/2014/main" id="{26B215D4-FAFE-4399-BE75-BB1CBF24FC5E}"/>
            </a:ext>
          </a:extLst>
        </xdr:cNvPr>
        <xdr:cNvGrpSpPr/>
      </xdr:nvGrpSpPr>
      <xdr:grpSpPr>
        <a:xfrm>
          <a:off x="910167" y="11959167"/>
          <a:ext cx="238169" cy="349299"/>
          <a:chOff x="6143939" y="789134"/>
          <a:chExt cx="457200" cy="518966"/>
        </a:xfrm>
      </xdr:grpSpPr>
      <xdr:grpSp>
        <xdr:nvGrpSpPr>
          <xdr:cNvPr id="3222" name="Group 3221">
            <a:extLst>
              <a:ext uri="{FF2B5EF4-FFF2-40B4-BE49-F238E27FC236}">
                <a16:creationId xmlns:a16="http://schemas.microsoft.com/office/drawing/2014/main" id="{5C931889-D652-9697-5CFF-7B43918582A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24" name="Straight Connector 3223">
              <a:extLst>
                <a:ext uri="{FF2B5EF4-FFF2-40B4-BE49-F238E27FC236}">
                  <a16:creationId xmlns:a16="http://schemas.microsoft.com/office/drawing/2014/main" id="{46E552BF-2624-785D-F85E-27E67136878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5" name="Straight Connector 3224">
              <a:extLst>
                <a:ext uri="{FF2B5EF4-FFF2-40B4-BE49-F238E27FC236}">
                  <a16:creationId xmlns:a16="http://schemas.microsoft.com/office/drawing/2014/main" id="{FFA9D621-D2B8-E79E-0C07-3C98E6A1D0C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6" name="Straight Connector 3225">
              <a:extLst>
                <a:ext uri="{FF2B5EF4-FFF2-40B4-BE49-F238E27FC236}">
                  <a16:creationId xmlns:a16="http://schemas.microsoft.com/office/drawing/2014/main" id="{D9907214-37EA-E352-7861-3A3957341D0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7" name="Straight Connector 3226">
              <a:extLst>
                <a:ext uri="{FF2B5EF4-FFF2-40B4-BE49-F238E27FC236}">
                  <a16:creationId xmlns:a16="http://schemas.microsoft.com/office/drawing/2014/main" id="{B43EDC57-A90C-55AC-5A20-4BD92323C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8" name="Straight Connector 3227">
              <a:extLst>
                <a:ext uri="{FF2B5EF4-FFF2-40B4-BE49-F238E27FC236}">
                  <a16:creationId xmlns:a16="http://schemas.microsoft.com/office/drawing/2014/main" id="{AB4EF594-6394-3617-29AD-E897B22EA8C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9" name="Straight Connector 3228">
              <a:extLst>
                <a:ext uri="{FF2B5EF4-FFF2-40B4-BE49-F238E27FC236}">
                  <a16:creationId xmlns:a16="http://schemas.microsoft.com/office/drawing/2014/main" id="{C3B59638-6FAB-BAB2-1E85-8F9F13067BC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23" name="Straight Connector 3222">
            <a:extLst>
              <a:ext uri="{FF2B5EF4-FFF2-40B4-BE49-F238E27FC236}">
                <a16:creationId xmlns:a16="http://schemas.microsoft.com/office/drawing/2014/main" id="{AB0BA709-563C-0DB8-9622-87B3F31E259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49</xdr:row>
      <xdr:rowOff>0</xdr:rowOff>
    </xdr:from>
    <xdr:to>
      <xdr:col>2</xdr:col>
      <xdr:colOff>238169</xdr:colOff>
      <xdr:row>51</xdr:row>
      <xdr:rowOff>48</xdr:rowOff>
    </xdr:to>
    <xdr:grpSp>
      <xdr:nvGrpSpPr>
        <xdr:cNvPr id="3230" name="Group 3229">
          <a:extLst>
            <a:ext uri="{FF2B5EF4-FFF2-40B4-BE49-F238E27FC236}">
              <a16:creationId xmlns:a16="http://schemas.microsoft.com/office/drawing/2014/main" id="{74A68D3A-1063-40EE-9C57-4849C5931025}"/>
            </a:ext>
          </a:extLst>
        </xdr:cNvPr>
        <xdr:cNvGrpSpPr/>
      </xdr:nvGrpSpPr>
      <xdr:grpSpPr>
        <a:xfrm>
          <a:off x="910167" y="9694333"/>
          <a:ext cx="238169" cy="338715"/>
          <a:chOff x="6143939" y="789134"/>
          <a:chExt cx="457200" cy="518966"/>
        </a:xfrm>
      </xdr:grpSpPr>
      <xdr:grpSp>
        <xdr:nvGrpSpPr>
          <xdr:cNvPr id="3231" name="Group 3230">
            <a:extLst>
              <a:ext uri="{FF2B5EF4-FFF2-40B4-BE49-F238E27FC236}">
                <a16:creationId xmlns:a16="http://schemas.microsoft.com/office/drawing/2014/main" id="{C0B6B479-E9C9-4CEF-84D8-C475E44E847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33" name="Straight Connector 3232">
              <a:extLst>
                <a:ext uri="{FF2B5EF4-FFF2-40B4-BE49-F238E27FC236}">
                  <a16:creationId xmlns:a16="http://schemas.microsoft.com/office/drawing/2014/main" id="{D8878917-5C63-316D-7174-87641DA1561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4" name="Straight Connector 3233">
              <a:extLst>
                <a:ext uri="{FF2B5EF4-FFF2-40B4-BE49-F238E27FC236}">
                  <a16:creationId xmlns:a16="http://schemas.microsoft.com/office/drawing/2014/main" id="{C1B86179-5BC0-5A54-0010-45E34CA8007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5" name="Straight Connector 3234">
              <a:extLst>
                <a:ext uri="{FF2B5EF4-FFF2-40B4-BE49-F238E27FC236}">
                  <a16:creationId xmlns:a16="http://schemas.microsoft.com/office/drawing/2014/main" id="{C68C6ED5-F345-5778-E32B-715DB34FD5C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6" name="Straight Connector 3235">
              <a:extLst>
                <a:ext uri="{FF2B5EF4-FFF2-40B4-BE49-F238E27FC236}">
                  <a16:creationId xmlns:a16="http://schemas.microsoft.com/office/drawing/2014/main" id="{192F554A-C2EF-FC30-0A27-35E0A80BC9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7" name="Straight Connector 3236">
              <a:extLst>
                <a:ext uri="{FF2B5EF4-FFF2-40B4-BE49-F238E27FC236}">
                  <a16:creationId xmlns:a16="http://schemas.microsoft.com/office/drawing/2014/main" id="{1A8AF04D-E1B7-A4A9-9E0A-1918596638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8" name="Straight Connector 3237">
              <a:extLst>
                <a:ext uri="{FF2B5EF4-FFF2-40B4-BE49-F238E27FC236}">
                  <a16:creationId xmlns:a16="http://schemas.microsoft.com/office/drawing/2014/main" id="{3829D3A0-BF63-E3C3-4806-4B4CCAEF724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32" name="Straight Connector 3231">
            <a:extLst>
              <a:ext uri="{FF2B5EF4-FFF2-40B4-BE49-F238E27FC236}">
                <a16:creationId xmlns:a16="http://schemas.microsoft.com/office/drawing/2014/main" id="{8B90C363-1B72-DB33-6B57-0DDB2B698D17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62</xdr:row>
      <xdr:rowOff>0</xdr:rowOff>
    </xdr:from>
    <xdr:to>
      <xdr:col>22</xdr:col>
      <xdr:colOff>238169</xdr:colOff>
      <xdr:row>64</xdr:row>
      <xdr:rowOff>49</xdr:rowOff>
    </xdr:to>
    <xdr:grpSp>
      <xdr:nvGrpSpPr>
        <xdr:cNvPr id="3239" name="Group 3238">
          <a:extLst>
            <a:ext uri="{FF2B5EF4-FFF2-40B4-BE49-F238E27FC236}">
              <a16:creationId xmlns:a16="http://schemas.microsoft.com/office/drawing/2014/main" id="{7315FEEB-5C94-444D-8748-40467A4AA7A2}"/>
            </a:ext>
          </a:extLst>
        </xdr:cNvPr>
        <xdr:cNvGrpSpPr/>
      </xdr:nvGrpSpPr>
      <xdr:grpSpPr>
        <a:xfrm>
          <a:off x="11387667" y="11959167"/>
          <a:ext cx="238169" cy="349299"/>
          <a:chOff x="6143939" y="789134"/>
          <a:chExt cx="457200" cy="518966"/>
        </a:xfrm>
      </xdr:grpSpPr>
      <xdr:grpSp>
        <xdr:nvGrpSpPr>
          <xdr:cNvPr id="3240" name="Group 3239">
            <a:extLst>
              <a:ext uri="{FF2B5EF4-FFF2-40B4-BE49-F238E27FC236}">
                <a16:creationId xmlns:a16="http://schemas.microsoft.com/office/drawing/2014/main" id="{573953E0-6A3C-5C66-8DC5-1906FAF063C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42" name="Straight Connector 3241">
              <a:extLst>
                <a:ext uri="{FF2B5EF4-FFF2-40B4-BE49-F238E27FC236}">
                  <a16:creationId xmlns:a16="http://schemas.microsoft.com/office/drawing/2014/main" id="{654AA3BF-1761-8217-7739-31F75539D30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3" name="Straight Connector 3242">
              <a:extLst>
                <a:ext uri="{FF2B5EF4-FFF2-40B4-BE49-F238E27FC236}">
                  <a16:creationId xmlns:a16="http://schemas.microsoft.com/office/drawing/2014/main" id="{6885F500-4BED-CEFA-F3BB-C5A34E15BCA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4" name="Straight Connector 3243">
              <a:extLst>
                <a:ext uri="{FF2B5EF4-FFF2-40B4-BE49-F238E27FC236}">
                  <a16:creationId xmlns:a16="http://schemas.microsoft.com/office/drawing/2014/main" id="{22EA9B40-181F-8C17-143F-C3AFE35D5C7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5" name="Straight Connector 3244">
              <a:extLst>
                <a:ext uri="{FF2B5EF4-FFF2-40B4-BE49-F238E27FC236}">
                  <a16:creationId xmlns:a16="http://schemas.microsoft.com/office/drawing/2014/main" id="{84C54958-324B-02C5-DCBE-BE30E9446D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6" name="Straight Connector 3245">
              <a:extLst>
                <a:ext uri="{FF2B5EF4-FFF2-40B4-BE49-F238E27FC236}">
                  <a16:creationId xmlns:a16="http://schemas.microsoft.com/office/drawing/2014/main" id="{959F1B41-4568-65F5-0139-A2F293F0AB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7" name="Straight Connector 3246">
              <a:extLst>
                <a:ext uri="{FF2B5EF4-FFF2-40B4-BE49-F238E27FC236}">
                  <a16:creationId xmlns:a16="http://schemas.microsoft.com/office/drawing/2014/main" id="{394B6803-136E-7CFF-02E7-36763559097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41" name="Straight Connector 3240">
            <a:extLst>
              <a:ext uri="{FF2B5EF4-FFF2-40B4-BE49-F238E27FC236}">
                <a16:creationId xmlns:a16="http://schemas.microsoft.com/office/drawing/2014/main" id="{BAFE222A-011D-8029-CE26-6477AD93FE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6332</xdr:colOff>
      <xdr:row>50</xdr:row>
      <xdr:rowOff>29051</xdr:rowOff>
    </xdr:from>
    <xdr:to>
      <xdr:col>14</xdr:col>
      <xdr:colOff>244501</xdr:colOff>
      <xdr:row>52</xdr:row>
      <xdr:rowOff>22432</xdr:rowOff>
    </xdr:to>
    <xdr:grpSp>
      <xdr:nvGrpSpPr>
        <xdr:cNvPr id="3248" name="Group 3247">
          <a:extLst>
            <a:ext uri="{FF2B5EF4-FFF2-40B4-BE49-F238E27FC236}">
              <a16:creationId xmlns:a16="http://schemas.microsoft.com/office/drawing/2014/main" id="{1698EA92-A3F8-4EB3-A995-F6F09A334EDC}"/>
            </a:ext>
          </a:extLst>
        </xdr:cNvPr>
        <xdr:cNvGrpSpPr/>
      </xdr:nvGrpSpPr>
      <xdr:grpSpPr>
        <a:xfrm>
          <a:off x="7202999" y="9892718"/>
          <a:ext cx="238169" cy="342631"/>
          <a:chOff x="6143939" y="789134"/>
          <a:chExt cx="457200" cy="518966"/>
        </a:xfrm>
      </xdr:grpSpPr>
      <xdr:grpSp>
        <xdr:nvGrpSpPr>
          <xdr:cNvPr id="3249" name="Group 3248">
            <a:extLst>
              <a:ext uri="{FF2B5EF4-FFF2-40B4-BE49-F238E27FC236}">
                <a16:creationId xmlns:a16="http://schemas.microsoft.com/office/drawing/2014/main" id="{0102DDDB-5C5C-6F11-4BD9-284213A1893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51" name="Straight Connector 3250">
              <a:extLst>
                <a:ext uri="{FF2B5EF4-FFF2-40B4-BE49-F238E27FC236}">
                  <a16:creationId xmlns:a16="http://schemas.microsoft.com/office/drawing/2014/main" id="{57A4F5D3-A99D-488D-5641-25464094FDE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2" name="Straight Connector 3251">
              <a:extLst>
                <a:ext uri="{FF2B5EF4-FFF2-40B4-BE49-F238E27FC236}">
                  <a16:creationId xmlns:a16="http://schemas.microsoft.com/office/drawing/2014/main" id="{50A6878F-67C0-550B-E982-6B35595DD42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3" name="Straight Connector 3252">
              <a:extLst>
                <a:ext uri="{FF2B5EF4-FFF2-40B4-BE49-F238E27FC236}">
                  <a16:creationId xmlns:a16="http://schemas.microsoft.com/office/drawing/2014/main" id="{41F704B2-BDAB-7891-5F41-0AC1D16626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4" name="Straight Connector 3253">
              <a:extLst>
                <a:ext uri="{FF2B5EF4-FFF2-40B4-BE49-F238E27FC236}">
                  <a16:creationId xmlns:a16="http://schemas.microsoft.com/office/drawing/2014/main" id="{F27B5577-30D8-162D-B47C-B42B40E408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5" name="Straight Connector 3254">
              <a:extLst>
                <a:ext uri="{FF2B5EF4-FFF2-40B4-BE49-F238E27FC236}">
                  <a16:creationId xmlns:a16="http://schemas.microsoft.com/office/drawing/2014/main" id="{95B75C22-5155-6890-575D-B2F0A40D665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6" name="Straight Connector 3255">
              <a:extLst>
                <a:ext uri="{FF2B5EF4-FFF2-40B4-BE49-F238E27FC236}">
                  <a16:creationId xmlns:a16="http://schemas.microsoft.com/office/drawing/2014/main" id="{56DA077D-FAA9-A171-846E-C1472AF90A5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0" name="Straight Connector 3249">
            <a:extLst>
              <a:ext uri="{FF2B5EF4-FFF2-40B4-BE49-F238E27FC236}">
                <a16:creationId xmlns:a16="http://schemas.microsoft.com/office/drawing/2014/main" id="{6A1B5AC5-595C-6195-54C0-16A62536601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8</xdr:colOff>
      <xdr:row>74</xdr:row>
      <xdr:rowOff>153547</xdr:rowOff>
    </xdr:from>
    <xdr:to>
      <xdr:col>24</xdr:col>
      <xdr:colOff>238177</xdr:colOff>
      <xdr:row>76</xdr:row>
      <xdr:rowOff>146929</xdr:rowOff>
    </xdr:to>
    <xdr:grpSp>
      <xdr:nvGrpSpPr>
        <xdr:cNvPr id="3257" name="Group 3256">
          <a:extLst>
            <a:ext uri="{FF2B5EF4-FFF2-40B4-BE49-F238E27FC236}">
              <a16:creationId xmlns:a16="http://schemas.microsoft.com/office/drawing/2014/main" id="{0F124C34-C353-407D-BA9C-81B547CA3100}"/>
            </a:ext>
          </a:extLst>
        </xdr:cNvPr>
        <xdr:cNvGrpSpPr/>
      </xdr:nvGrpSpPr>
      <xdr:grpSpPr>
        <a:xfrm>
          <a:off x="12435425" y="14176464"/>
          <a:ext cx="238169" cy="332048"/>
          <a:chOff x="6143939" y="789134"/>
          <a:chExt cx="457200" cy="518966"/>
        </a:xfrm>
      </xdr:grpSpPr>
      <xdr:grpSp>
        <xdr:nvGrpSpPr>
          <xdr:cNvPr id="3258" name="Group 3257">
            <a:extLst>
              <a:ext uri="{FF2B5EF4-FFF2-40B4-BE49-F238E27FC236}">
                <a16:creationId xmlns:a16="http://schemas.microsoft.com/office/drawing/2014/main" id="{F72D8628-A338-108B-BB0D-AC671F5D87B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0" name="Straight Connector 3259">
              <a:extLst>
                <a:ext uri="{FF2B5EF4-FFF2-40B4-BE49-F238E27FC236}">
                  <a16:creationId xmlns:a16="http://schemas.microsoft.com/office/drawing/2014/main" id="{1D02441C-CC5E-FCF1-B147-0E3F82C4A1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1" name="Straight Connector 3260">
              <a:extLst>
                <a:ext uri="{FF2B5EF4-FFF2-40B4-BE49-F238E27FC236}">
                  <a16:creationId xmlns:a16="http://schemas.microsoft.com/office/drawing/2014/main" id="{3D12D6A1-AFCB-325D-F053-B0D19AF5BA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2" name="Straight Connector 3261">
              <a:extLst>
                <a:ext uri="{FF2B5EF4-FFF2-40B4-BE49-F238E27FC236}">
                  <a16:creationId xmlns:a16="http://schemas.microsoft.com/office/drawing/2014/main" id="{5A7BDB94-3A32-6780-954D-6BB8E8473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3" name="Straight Connector 3262">
              <a:extLst>
                <a:ext uri="{FF2B5EF4-FFF2-40B4-BE49-F238E27FC236}">
                  <a16:creationId xmlns:a16="http://schemas.microsoft.com/office/drawing/2014/main" id="{B98A18DC-AD88-6311-4C67-B6F13017CF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4" name="Straight Connector 3263">
              <a:extLst>
                <a:ext uri="{FF2B5EF4-FFF2-40B4-BE49-F238E27FC236}">
                  <a16:creationId xmlns:a16="http://schemas.microsoft.com/office/drawing/2014/main" id="{A8A61AA9-CAFA-6DFA-0147-7D42B609C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5" name="Straight Connector 3264">
              <a:extLst>
                <a:ext uri="{FF2B5EF4-FFF2-40B4-BE49-F238E27FC236}">
                  <a16:creationId xmlns:a16="http://schemas.microsoft.com/office/drawing/2014/main" id="{6FAE4FB6-D678-91CA-5978-599897A29AA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9" name="Straight Connector 3258">
            <a:extLst>
              <a:ext uri="{FF2B5EF4-FFF2-40B4-BE49-F238E27FC236}">
                <a16:creationId xmlns:a16="http://schemas.microsoft.com/office/drawing/2014/main" id="{C8253606-DEF9-96B8-5E62-5D89715B3AF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230</xdr:row>
      <xdr:rowOff>2</xdr:rowOff>
    </xdr:from>
    <xdr:to>
      <xdr:col>30</xdr:col>
      <xdr:colOff>238169</xdr:colOff>
      <xdr:row>232</xdr:row>
      <xdr:rowOff>51</xdr:rowOff>
    </xdr:to>
    <xdr:grpSp>
      <xdr:nvGrpSpPr>
        <xdr:cNvPr id="3266" name="Group 3265">
          <a:extLst>
            <a:ext uri="{FF2B5EF4-FFF2-40B4-BE49-F238E27FC236}">
              <a16:creationId xmlns:a16="http://schemas.microsoft.com/office/drawing/2014/main" id="{7DCB81EE-9ED8-40B7-9A55-4AD728F4798B}"/>
            </a:ext>
          </a:extLst>
        </xdr:cNvPr>
        <xdr:cNvGrpSpPr/>
      </xdr:nvGrpSpPr>
      <xdr:grpSpPr>
        <a:xfrm>
          <a:off x="15578667" y="40618835"/>
          <a:ext cx="238169" cy="338716"/>
          <a:chOff x="6143939" y="789134"/>
          <a:chExt cx="457200" cy="518966"/>
        </a:xfrm>
      </xdr:grpSpPr>
      <xdr:grpSp>
        <xdr:nvGrpSpPr>
          <xdr:cNvPr id="3267" name="Group 3266">
            <a:extLst>
              <a:ext uri="{FF2B5EF4-FFF2-40B4-BE49-F238E27FC236}">
                <a16:creationId xmlns:a16="http://schemas.microsoft.com/office/drawing/2014/main" id="{EC810E2C-C81F-B2D6-8ADB-6B7EED4C03E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9" name="Straight Connector 3268">
              <a:extLst>
                <a:ext uri="{FF2B5EF4-FFF2-40B4-BE49-F238E27FC236}">
                  <a16:creationId xmlns:a16="http://schemas.microsoft.com/office/drawing/2014/main" id="{8A263D7F-A7D1-274B-D8F9-8F06CFBAFE9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0" name="Straight Connector 3269">
              <a:extLst>
                <a:ext uri="{FF2B5EF4-FFF2-40B4-BE49-F238E27FC236}">
                  <a16:creationId xmlns:a16="http://schemas.microsoft.com/office/drawing/2014/main" id="{56274FFD-4CD4-7CED-4787-24339EB5677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1" name="Straight Connector 3270">
              <a:extLst>
                <a:ext uri="{FF2B5EF4-FFF2-40B4-BE49-F238E27FC236}">
                  <a16:creationId xmlns:a16="http://schemas.microsoft.com/office/drawing/2014/main" id="{77616639-97A3-6460-5E23-9387FDE277E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2" name="Straight Connector 3271">
              <a:extLst>
                <a:ext uri="{FF2B5EF4-FFF2-40B4-BE49-F238E27FC236}">
                  <a16:creationId xmlns:a16="http://schemas.microsoft.com/office/drawing/2014/main" id="{B4DDEA13-F3A7-A05C-4C9D-492D329600A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3" name="Straight Connector 3272">
              <a:extLst>
                <a:ext uri="{FF2B5EF4-FFF2-40B4-BE49-F238E27FC236}">
                  <a16:creationId xmlns:a16="http://schemas.microsoft.com/office/drawing/2014/main" id="{FFDC707A-2A1A-1B3D-D44E-FD8FE455CA3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4" name="Straight Connector 3273">
              <a:extLst>
                <a:ext uri="{FF2B5EF4-FFF2-40B4-BE49-F238E27FC236}">
                  <a16:creationId xmlns:a16="http://schemas.microsoft.com/office/drawing/2014/main" id="{32128C73-711F-203A-7CA6-0E5F6961079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68" name="Straight Connector 3267">
            <a:extLst>
              <a:ext uri="{FF2B5EF4-FFF2-40B4-BE49-F238E27FC236}">
                <a16:creationId xmlns:a16="http://schemas.microsoft.com/office/drawing/2014/main" id="{918B804A-00EE-E3D1-9493-5618E594D9E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61</xdr:row>
      <xdr:rowOff>127635</xdr:rowOff>
    </xdr:from>
    <xdr:to>
      <xdr:col>26</xdr:col>
      <xdr:colOff>238169</xdr:colOff>
      <xdr:row>64</xdr:row>
      <xdr:rowOff>1954</xdr:rowOff>
    </xdr:to>
    <xdr:grpSp>
      <xdr:nvGrpSpPr>
        <xdr:cNvPr id="3275" name="Group 3274">
          <a:extLst>
            <a:ext uri="{FF2B5EF4-FFF2-40B4-BE49-F238E27FC236}">
              <a16:creationId xmlns:a16="http://schemas.microsoft.com/office/drawing/2014/main" id="{9173E28B-C887-444B-8545-74857BD5FA5F}"/>
            </a:ext>
          </a:extLst>
        </xdr:cNvPr>
        <xdr:cNvGrpSpPr/>
      </xdr:nvGrpSpPr>
      <xdr:grpSpPr>
        <a:xfrm>
          <a:off x="13483167" y="11917468"/>
          <a:ext cx="238169" cy="392903"/>
          <a:chOff x="6143939" y="789134"/>
          <a:chExt cx="457200" cy="518966"/>
        </a:xfrm>
      </xdr:grpSpPr>
      <xdr:grpSp>
        <xdr:nvGrpSpPr>
          <xdr:cNvPr id="3276" name="Group 3275">
            <a:extLst>
              <a:ext uri="{FF2B5EF4-FFF2-40B4-BE49-F238E27FC236}">
                <a16:creationId xmlns:a16="http://schemas.microsoft.com/office/drawing/2014/main" id="{598DEDBD-5578-A988-ABBA-39FD04C0BA9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78" name="Straight Connector 3277">
              <a:extLst>
                <a:ext uri="{FF2B5EF4-FFF2-40B4-BE49-F238E27FC236}">
                  <a16:creationId xmlns:a16="http://schemas.microsoft.com/office/drawing/2014/main" id="{7DC3DF10-7973-59A7-B0C5-B5F637AD19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9" name="Straight Connector 3278">
              <a:extLst>
                <a:ext uri="{FF2B5EF4-FFF2-40B4-BE49-F238E27FC236}">
                  <a16:creationId xmlns:a16="http://schemas.microsoft.com/office/drawing/2014/main" id="{A90EF5C1-6360-DEE3-4A07-B69AE61EEA5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0" name="Straight Connector 3279">
              <a:extLst>
                <a:ext uri="{FF2B5EF4-FFF2-40B4-BE49-F238E27FC236}">
                  <a16:creationId xmlns:a16="http://schemas.microsoft.com/office/drawing/2014/main" id="{7304AE9A-4E37-95A2-C186-0F1F8C3E85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1" name="Straight Connector 3280">
              <a:extLst>
                <a:ext uri="{FF2B5EF4-FFF2-40B4-BE49-F238E27FC236}">
                  <a16:creationId xmlns:a16="http://schemas.microsoft.com/office/drawing/2014/main" id="{1B5E4124-F9ED-8313-E4C4-5C4CD78CBA3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2" name="Straight Connector 3281">
              <a:extLst>
                <a:ext uri="{FF2B5EF4-FFF2-40B4-BE49-F238E27FC236}">
                  <a16:creationId xmlns:a16="http://schemas.microsoft.com/office/drawing/2014/main" id="{6648C4B6-F046-3DBE-1D6C-60F75798BBF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3" name="Straight Connector 3282">
              <a:extLst>
                <a:ext uri="{FF2B5EF4-FFF2-40B4-BE49-F238E27FC236}">
                  <a16:creationId xmlns:a16="http://schemas.microsoft.com/office/drawing/2014/main" id="{E50BDF2A-2359-EB88-49DB-25CA80DD008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77" name="Straight Connector 3276">
            <a:extLst>
              <a:ext uri="{FF2B5EF4-FFF2-40B4-BE49-F238E27FC236}">
                <a16:creationId xmlns:a16="http://schemas.microsoft.com/office/drawing/2014/main" id="{CA2F76D5-7323-DD9D-DA9F-078DD360A39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74</xdr:row>
      <xdr:rowOff>0</xdr:rowOff>
    </xdr:from>
    <xdr:to>
      <xdr:col>8</xdr:col>
      <xdr:colOff>238169</xdr:colOff>
      <xdr:row>76</xdr:row>
      <xdr:rowOff>49</xdr:rowOff>
    </xdr:to>
    <xdr:grpSp>
      <xdr:nvGrpSpPr>
        <xdr:cNvPr id="3284" name="Group 3283">
          <a:extLst>
            <a:ext uri="{FF2B5EF4-FFF2-40B4-BE49-F238E27FC236}">
              <a16:creationId xmlns:a16="http://schemas.microsoft.com/office/drawing/2014/main" id="{DF448254-2BC7-446D-B8DE-2AC2821B22DF}"/>
            </a:ext>
          </a:extLst>
        </xdr:cNvPr>
        <xdr:cNvGrpSpPr/>
      </xdr:nvGrpSpPr>
      <xdr:grpSpPr>
        <a:xfrm>
          <a:off x="4053417" y="14022917"/>
          <a:ext cx="238169" cy="338715"/>
          <a:chOff x="6143939" y="789134"/>
          <a:chExt cx="457200" cy="518966"/>
        </a:xfrm>
      </xdr:grpSpPr>
      <xdr:grpSp>
        <xdr:nvGrpSpPr>
          <xdr:cNvPr id="3285" name="Group 3284">
            <a:extLst>
              <a:ext uri="{FF2B5EF4-FFF2-40B4-BE49-F238E27FC236}">
                <a16:creationId xmlns:a16="http://schemas.microsoft.com/office/drawing/2014/main" id="{D64E1BBA-429B-5C60-33C0-F347D8BA08A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87" name="Straight Connector 3286">
              <a:extLst>
                <a:ext uri="{FF2B5EF4-FFF2-40B4-BE49-F238E27FC236}">
                  <a16:creationId xmlns:a16="http://schemas.microsoft.com/office/drawing/2014/main" id="{A558160B-94CA-2BF7-C686-E6F07D4F3A0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8" name="Straight Connector 3287">
              <a:extLst>
                <a:ext uri="{FF2B5EF4-FFF2-40B4-BE49-F238E27FC236}">
                  <a16:creationId xmlns:a16="http://schemas.microsoft.com/office/drawing/2014/main" id="{1DF0F273-86FA-004E-5144-3C860C71BF2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9" name="Straight Connector 3288">
              <a:extLst>
                <a:ext uri="{FF2B5EF4-FFF2-40B4-BE49-F238E27FC236}">
                  <a16:creationId xmlns:a16="http://schemas.microsoft.com/office/drawing/2014/main" id="{4EEB50FF-B8B0-084E-2967-81BDC205611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0" name="Straight Connector 3289">
              <a:extLst>
                <a:ext uri="{FF2B5EF4-FFF2-40B4-BE49-F238E27FC236}">
                  <a16:creationId xmlns:a16="http://schemas.microsoft.com/office/drawing/2014/main" id="{B86ED325-9261-FF17-CEA5-0130F8F2E5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1" name="Straight Connector 3290">
              <a:extLst>
                <a:ext uri="{FF2B5EF4-FFF2-40B4-BE49-F238E27FC236}">
                  <a16:creationId xmlns:a16="http://schemas.microsoft.com/office/drawing/2014/main" id="{8C1A9614-6982-2F1D-FCD0-081BCFC07F5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2" name="Straight Connector 3291">
              <a:extLst>
                <a:ext uri="{FF2B5EF4-FFF2-40B4-BE49-F238E27FC236}">
                  <a16:creationId xmlns:a16="http://schemas.microsoft.com/office/drawing/2014/main" id="{1A898255-0144-A013-19D0-D1B15F46CB2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6AEBBDF0-DA67-4C8F-3E4C-5CBB5984FC3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49</xdr:row>
      <xdr:rowOff>107154</xdr:rowOff>
    </xdr:from>
    <xdr:to>
      <xdr:col>20</xdr:col>
      <xdr:colOff>238169</xdr:colOff>
      <xdr:row>51</xdr:row>
      <xdr:rowOff>100535</xdr:rowOff>
    </xdr:to>
    <xdr:grpSp>
      <xdr:nvGrpSpPr>
        <xdr:cNvPr id="3293" name="Group 3292">
          <a:extLst>
            <a:ext uri="{FF2B5EF4-FFF2-40B4-BE49-F238E27FC236}">
              <a16:creationId xmlns:a16="http://schemas.microsoft.com/office/drawing/2014/main" id="{600E2C4D-889E-40C4-9A91-D0CB0279BCBD}"/>
            </a:ext>
          </a:extLst>
        </xdr:cNvPr>
        <xdr:cNvGrpSpPr/>
      </xdr:nvGrpSpPr>
      <xdr:grpSpPr>
        <a:xfrm>
          <a:off x="10339917" y="9801487"/>
          <a:ext cx="238169" cy="332048"/>
          <a:chOff x="6143939" y="789134"/>
          <a:chExt cx="457200" cy="518966"/>
        </a:xfrm>
      </xdr:grpSpPr>
      <xdr:grpSp>
        <xdr:nvGrpSpPr>
          <xdr:cNvPr id="3294" name="Group 3293">
            <a:extLst>
              <a:ext uri="{FF2B5EF4-FFF2-40B4-BE49-F238E27FC236}">
                <a16:creationId xmlns:a16="http://schemas.microsoft.com/office/drawing/2014/main" id="{E85C16B4-386D-D5AD-B96E-D44223A7AC0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96" name="Straight Connector 3295">
              <a:extLst>
                <a:ext uri="{FF2B5EF4-FFF2-40B4-BE49-F238E27FC236}">
                  <a16:creationId xmlns:a16="http://schemas.microsoft.com/office/drawing/2014/main" id="{520CC407-3A34-165C-651F-E3FF2F5DCD2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7" name="Straight Connector 3296">
              <a:extLst>
                <a:ext uri="{FF2B5EF4-FFF2-40B4-BE49-F238E27FC236}">
                  <a16:creationId xmlns:a16="http://schemas.microsoft.com/office/drawing/2014/main" id="{945E90F8-00A5-CC35-DE76-602748F82D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8" name="Straight Connector 3297">
              <a:extLst>
                <a:ext uri="{FF2B5EF4-FFF2-40B4-BE49-F238E27FC236}">
                  <a16:creationId xmlns:a16="http://schemas.microsoft.com/office/drawing/2014/main" id="{75B93988-808E-CC3C-3EFD-94676B95F11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9" name="Straight Connector 3298">
              <a:extLst>
                <a:ext uri="{FF2B5EF4-FFF2-40B4-BE49-F238E27FC236}">
                  <a16:creationId xmlns:a16="http://schemas.microsoft.com/office/drawing/2014/main" id="{1CFACD1C-A313-AA3C-4940-BD86BF7EA10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0" name="Straight Connector 3299">
              <a:extLst>
                <a:ext uri="{FF2B5EF4-FFF2-40B4-BE49-F238E27FC236}">
                  <a16:creationId xmlns:a16="http://schemas.microsoft.com/office/drawing/2014/main" id="{433A42AC-F0FC-A910-FA6C-82152F2EEE0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1" name="Straight Connector 3300">
              <a:extLst>
                <a:ext uri="{FF2B5EF4-FFF2-40B4-BE49-F238E27FC236}">
                  <a16:creationId xmlns:a16="http://schemas.microsoft.com/office/drawing/2014/main" id="{7D35E0E0-7293-0210-F594-7B58EC9B67D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95" name="Straight Connector 3294">
            <a:extLst>
              <a:ext uri="{FF2B5EF4-FFF2-40B4-BE49-F238E27FC236}">
                <a16:creationId xmlns:a16="http://schemas.microsoft.com/office/drawing/2014/main" id="{D1BFEAC1-1174-73CF-EE9F-FF1F2BA0DBB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62</xdr:row>
      <xdr:rowOff>35717</xdr:rowOff>
    </xdr:from>
    <xdr:to>
      <xdr:col>28</xdr:col>
      <xdr:colOff>238169</xdr:colOff>
      <xdr:row>64</xdr:row>
      <xdr:rowOff>29098</xdr:rowOff>
    </xdr:to>
    <xdr:grpSp>
      <xdr:nvGrpSpPr>
        <xdr:cNvPr id="3311" name="Group 3310">
          <a:extLst>
            <a:ext uri="{FF2B5EF4-FFF2-40B4-BE49-F238E27FC236}">
              <a16:creationId xmlns:a16="http://schemas.microsoft.com/office/drawing/2014/main" id="{AAB832D9-4E3C-4456-B3E6-36615F035095}"/>
            </a:ext>
          </a:extLst>
        </xdr:cNvPr>
        <xdr:cNvGrpSpPr/>
      </xdr:nvGrpSpPr>
      <xdr:grpSpPr>
        <a:xfrm>
          <a:off x="14530917" y="11994884"/>
          <a:ext cx="238169" cy="342631"/>
          <a:chOff x="6143939" y="789134"/>
          <a:chExt cx="457200" cy="518966"/>
        </a:xfrm>
      </xdr:grpSpPr>
      <xdr:grpSp>
        <xdr:nvGrpSpPr>
          <xdr:cNvPr id="3312" name="Group 3311">
            <a:extLst>
              <a:ext uri="{FF2B5EF4-FFF2-40B4-BE49-F238E27FC236}">
                <a16:creationId xmlns:a16="http://schemas.microsoft.com/office/drawing/2014/main" id="{AC8D48A4-C64B-4CC1-E640-28ABDDF3B8F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14" name="Straight Connector 3313">
              <a:extLst>
                <a:ext uri="{FF2B5EF4-FFF2-40B4-BE49-F238E27FC236}">
                  <a16:creationId xmlns:a16="http://schemas.microsoft.com/office/drawing/2014/main" id="{956DDD04-922F-14A0-3F8B-BFE7560CD21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5" name="Straight Connector 3314">
              <a:extLst>
                <a:ext uri="{FF2B5EF4-FFF2-40B4-BE49-F238E27FC236}">
                  <a16:creationId xmlns:a16="http://schemas.microsoft.com/office/drawing/2014/main" id="{50ACAEE9-FF1B-AF78-4F15-1FA6B2F6FEE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6" name="Straight Connector 3315">
              <a:extLst>
                <a:ext uri="{FF2B5EF4-FFF2-40B4-BE49-F238E27FC236}">
                  <a16:creationId xmlns:a16="http://schemas.microsoft.com/office/drawing/2014/main" id="{1E5F0E37-40EC-5A63-8C46-15E8FBBE9A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7" name="Straight Connector 3316">
              <a:extLst>
                <a:ext uri="{FF2B5EF4-FFF2-40B4-BE49-F238E27FC236}">
                  <a16:creationId xmlns:a16="http://schemas.microsoft.com/office/drawing/2014/main" id="{B328B206-0F43-2B63-A26E-86FF718CB13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8" name="Straight Connector 3317">
              <a:extLst>
                <a:ext uri="{FF2B5EF4-FFF2-40B4-BE49-F238E27FC236}">
                  <a16:creationId xmlns:a16="http://schemas.microsoft.com/office/drawing/2014/main" id="{F4F37D52-2B03-22E4-3B32-3605DEBCC0D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9" name="Straight Connector 3318">
              <a:extLst>
                <a:ext uri="{FF2B5EF4-FFF2-40B4-BE49-F238E27FC236}">
                  <a16:creationId xmlns:a16="http://schemas.microsoft.com/office/drawing/2014/main" id="{B1ABC5A4-E7A7-6AB5-FDC3-6E7783157E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13" name="Straight Connector 3312">
            <a:extLst>
              <a:ext uri="{FF2B5EF4-FFF2-40B4-BE49-F238E27FC236}">
                <a16:creationId xmlns:a16="http://schemas.microsoft.com/office/drawing/2014/main" id="{C9BEC24D-8D52-C1BC-DB0F-A92A06BA2D7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404813</xdr:colOff>
      <xdr:row>45</xdr:row>
      <xdr:rowOff>11909</xdr:rowOff>
    </xdr:from>
    <xdr:to>
      <xdr:col>20</xdr:col>
      <xdr:colOff>30868</xdr:colOff>
      <xdr:row>48</xdr:row>
      <xdr:rowOff>14556</xdr:rowOff>
    </xdr:to>
    <xdr:sp macro="" textlink="">
      <xdr:nvSpPr>
        <xdr:cNvPr id="3320" name="Isosceles Triangle 3319">
          <a:extLst>
            <a:ext uri="{FF2B5EF4-FFF2-40B4-BE49-F238E27FC236}">
              <a16:creationId xmlns:a16="http://schemas.microsoft.com/office/drawing/2014/main" id="{8C55DF57-F933-4984-9765-D3050BF360F4}"/>
            </a:ext>
          </a:extLst>
        </xdr:cNvPr>
        <xdr:cNvSpPr/>
      </xdr:nvSpPr>
      <xdr:spPr>
        <a:xfrm>
          <a:off x="13747433" y="4713449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74</xdr:row>
      <xdr:rowOff>23812</xdr:rowOff>
    </xdr:from>
    <xdr:to>
      <xdr:col>18</xdr:col>
      <xdr:colOff>238169</xdr:colOff>
      <xdr:row>76</xdr:row>
      <xdr:rowOff>17193</xdr:rowOff>
    </xdr:to>
    <xdr:grpSp>
      <xdr:nvGrpSpPr>
        <xdr:cNvPr id="3321" name="Group 3320">
          <a:extLst>
            <a:ext uri="{FF2B5EF4-FFF2-40B4-BE49-F238E27FC236}">
              <a16:creationId xmlns:a16="http://schemas.microsoft.com/office/drawing/2014/main" id="{50D3F11A-CB91-401B-BB84-25D7850EFE4F}"/>
            </a:ext>
          </a:extLst>
        </xdr:cNvPr>
        <xdr:cNvGrpSpPr/>
      </xdr:nvGrpSpPr>
      <xdr:grpSpPr>
        <a:xfrm>
          <a:off x="9292167" y="14046729"/>
          <a:ext cx="238169" cy="332047"/>
          <a:chOff x="6143939" y="789134"/>
          <a:chExt cx="457200" cy="518966"/>
        </a:xfrm>
      </xdr:grpSpPr>
      <xdr:grpSp>
        <xdr:nvGrpSpPr>
          <xdr:cNvPr id="3322" name="Group 3321">
            <a:extLst>
              <a:ext uri="{FF2B5EF4-FFF2-40B4-BE49-F238E27FC236}">
                <a16:creationId xmlns:a16="http://schemas.microsoft.com/office/drawing/2014/main" id="{87FB97E9-B818-7BCE-648D-513DA70E884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24" name="Straight Connector 3323">
              <a:extLst>
                <a:ext uri="{FF2B5EF4-FFF2-40B4-BE49-F238E27FC236}">
                  <a16:creationId xmlns:a16="http://schemas.microsoft.com/office/drawing/2014/main" id="{384951D2-2FB5-2535-327F-681BC1C626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5" name="Straight Connector 3324">
              <a:extLst>
                <a:ext uri="{FF2B5EF4-FFF2-40B4-BE49-F238E27FC236}">
                  <a16:creationId xmlns:a16="http://schemas.microsoft.com/office/drawing/2014/main" id="{62AECC0C-15D8-2E99-ACB4-B6E0A7A04AB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6" name="Straight Connector 3325">
              <a:extLst>
                <a:ext uri="{FF2B5EF4-FFF2-40B4-BE49-F238E27FC236}">
                  <a16:creationId xmlns:a16="http://schemas.microsoft.com/office/drawing/2014/main" id="{262ABBAB-0C91-F8F0-F5F7-C4930F76DB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7" name="Straight Connector 3326">
              <a:extLst>
                <a:ext uri="{FF2B5EF4-FFF2-40B4-BE49-F238E27FC236}">
                  <a16:creationId xmlns:a16="http://schemas.microsoft.com/office/drawing/2014/main" id="{632EE6F2-037C-DB83-F477-B074A7791A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8" name="Straight Connector 3327">
              <a:extLst>
                <a:ext uri="{FF2B5EF4-FFF2-40B4-BE49-F238E27FC236}">
                  <a16:creationId xmlns:a16="http://schemas.microsoft.com/office/drawing/2014/main" id="{47340ECB-4466-4A73-8DDD-9B87CC788CE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9" name="Straight Connector 3328">
              <a:extLst>
                <a:ext uri="{FF2B5EF4-FFF2-40B4-BE49-F238E27FC236}">
                  <a16:creationId xmlns:a16="http://schemas.microsoft.com/office/drawing/2014/main" id="{22B2E927-E48A-FCDD-6306-343FCB91F4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23" name="Straight Connector 3322">
            <a:extLst>
              <a:ext uri="{FF2B5EF4-FFF2-40B4-BE49-F238E27FC236}">
                <a16:creationId xmlns:a16="http://schemas.microsoft.com/office/drawing/2014/main" id="{E66D7D21-59AB-28E3-0883-DFC4D15C3F2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369096</xdr:colOff>
      <xdr:row>56</xdr:row>
      <xdr:rowOff>154785</xdr:rowOff>
    </xdr:from>
    <xdr:to>
      <xdr:col>3</xdr:col>
      <xdr:colOff>554744</xdr:colOff>
      <xdr:row>59</xdr:row>
      <xdr:rowOff>157432</xdr:rowOff>
    </xdr:to>
    <xdr:sp macro="" textlink="">
      <xdr:nvSpPr>
        <xdr:cNvPr id="3330" name="Isosceles Triangle 3329">
          <a:extLst>
            <a:ext uri="{FF2B5EF4-FFF2-40B4-BE49-F238E27FC236}">
              <a16:creationId xmlns:a16="http://schemas.microsoft.com/office/drawing/2014/main" id="{4704AA2A-C80A-41B6-A1F6-383D43CB91BB}"/>
            </a:ext>
          </a:extLst>
        </xdr:cNvPr>
        <xdr:cNvSpPr/>
      </xdr:nvSpPr>
      <xdr:spPr>
        <a:xfrm>
          <a:off x="5413536" y="6723225"/>
          <a:ext cx="642848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414338</xdr:colOff>
      <xdr:row>45</xdr:row>
      <xdr:rowOff>9531</xdr:rowOff>
    </xdr:from>
    <xdr:to>
      <xdr:col>20</xdr:col>
      <xdr:colOff>40393</xdr:colOff>
      <xdr:row>48</xdr:row>
      <xdr:rowOff>12178</xdr:rowOff>
    </xdr:to>
    <xdr:sp macro="" textlink="">
      <xdr:nvSpPr>
        <xdr:cNvPr id="3331" name="Isosceles Triangle 3330">
          <a:extLst>
            <a:ext uri="{FF2B5EF4-FFF2-40B4-BE49-F238E27FC236}">
              <a16:creationId xmlns:a16="http://schemas.microsoft.com/office/drawing/2014/main" id="{2CCA08CD-8864-4154-BE2E-F6E7F7A7FBDD}"/>
            </a:ext>
          </a:extLst>
        </xdr:cNvPr>
        <xdr:cNvSpPr/>
      </xdr:nvSpPr>
      <xdr:spPr>
        <a:xfrm>
          <a:off x="13756958" y="4711071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74</xdr:row>
      <xdr:rowOff>95248</xdr:rowOff>
    </xdr:from>
    <xdr:to>
      <xdr:col>10</xdr:col>
      <xdr:colOff>238169</xdr:colOff>
      <xdr:row>76</xdr:row>
      <xdr:rowOff>88629</xdr:rowOff>
    </xdr:to>
    <xdr:grpSp>
      <xdr:nvGrpSpPr>
        <xdr:cNvPr id="3332" name="Group 3331">
          <a:extLst>
            <a:ext uri="{FF2B5EF4-FFF2-40B4-BE49-F238E27FC236}">
              <a16:creationId xmlns:a16="http://schemas.microsoft.com/office/drawing/2014/main" id="{C4497C40-5879-4841-AD4D-C300D2060942}"/>
            </a:ext>
          </a:extLst>
        </xdr:cNvPr>
        <xdr:cNvGrpSpPr/>
      </xdr:nvGrpSpPr>
      <xdr:grpSpPr>
        <a:xfrm>
          <a:off x="5101167" y="14118165"/>
          <a:ext cx="238169" cy="332047"/>
          <a:chOff x="6143939" y="789134"/>
          <a:chExt cx="457200" cy="518966"/>
        </a:xfrm>
      </xdr:grpSpPr>
      <xdr:grpSp>
        <xdr:nvGrpSpPr>
          <xdr:cNvPr id="3333" name="Group 3332">
            <a:extLst>
              <a:ext uri="{FF2B5EF4-FFF2-40B4-BE49-F238E27FC236}">
                <a16:creationId xmlns:a16="http://schemas.microsoft.com/office/drawing/2014/main" id="{74E441CF-7610-5C71-7EE2-BB809BE6832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35" name="Straight Connector 3334">
              <a:extLst>
                <a:ext uri="{FF2B5EF4-FFF2-40B4-BE49-F238E27FC236}">
                  <a16:creationId xmlns:a16="http://schemas.microsoft.com/office/drawing/2014/main" id="{8C9ABBB3-859B-814C-369A-7877AC0D30C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6" name="Straight Connector 3335">
              <a:extLst>
                <a:ext uri="{FF2B5EF4-FFF2-40B4-BE49-F238E27FC236}">
                  <a16:creationId xmlns:a16="http://schemas.microsoft.com/office/drawing/2014/main" id="{ED3C7097-4EB6-6C83-503B-B99209ED6F3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7" name="Straight Connector 3336">
              <a:extLst>
                <a:ext uri="{FF2B5EF4-FFF2-40B4-BE49-F238E27FC236}">
                  <a16:creationId xmlns:a16="http://schemas.microsoft.com/office/drawing/2014/main" id="{C2E4813F-4512-41C2-BA46-68C6A4122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8" name="Straight Connector 3337">
              <a:extLst>
                <a:ext uri="{FF2B5EF4-FFF2-40B4-BE49-F238E27FC236}">
                  <a16:creationId xmlns:a16="http://schemas.microsoft.com/office/drawing/2014/main" id="{756777F2-5A17-D288-D963-11B2D99155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9" name="Straight Connector 3338">
              <a:extLst>
                <a:ext uri="{FF2B5EF4-FFF2-40B4-BE49-F238E27FC236}">
                  <a16:creationId xmlns:a16="http://schemas.microsoft.com/office/drawing/2014/main" id="{4702D561-3B47-82E6-9904-58E9EAD662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0" name="Straight Connector 3339">
              <a:extLst>
                <a:ext uri="{FF2B5EF4-FFF2-40B4-BE49-F238E27FC236}">
                  <a16:creationId xmlns:a16="http://schemas.microsoft.com/office/drawing/2014/main" id="{68849D3B-161D-7171-AE2F-33C8A44218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34" name="Straight Connector 3333">
            <a:extLst>
              <a:ext uri="{FF2B5EF4-FFF2-40B4-BE49-F238E27FC236}">
                <a16:creationId xmlns:a16="http://schemas.microsoft.com/office/drawing/2014/main" id="{D2525BC8-D0C4-7E6C-CFBF-CFFC8A51E62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193</xdr:row>
      <xdr:rowOff>119060</xdr:rowOff>
    </xdr:from>
    <xdr:to>
      <xdr:col>6</xdr:col>
      <xdr:colOff>238169</xdr:colOff>
      <xdr:row>195</xdr:row>
      <xdr:rowOff>112441</xdr:rowOff>
    </xdr:to>
    <xdr:grpSp>
      <xdr:nvGrpSpPr>
        <xdr:cNvPr id="3341" name="Group 3340">
          <a:extLst>
            <a:ext uri="{FF2B5EF4-FFF2-40B4-BE49-F238E27FC236}">
              <a16:creationId xmlns:a16="http://schemas.microsoft.com/office/drawing/2014/main" id="{49D17694-B1D1-4874-8D40-06C9675E3173}"/>
            </a:ext>
          </a:extLst>
        </xdr:cNvPr>
        <xdr:cNvGrpSpPr/>
      </xdr:nvGrpSpPr>
      <xdr:grpSpPr>
        <a:xfrm>
          <a:off x="3005667" y="34472560"/>
          <a:ext cx="238169" cy="332048"/>
          <a:chOff x="6143939" y="789134"/>
          <a:chExt cx="457200" cy="518966"/>
        </a:xfrm>
      </xdr:grpSpPr>
      <xdr:grpSp>
        <xdr:nvGrpSpPr>
          <xdr:cNvPr id="3342" name="Group 3341">
            <a:extLst>
              <a:ext uri="{FF2B5EF4-FFF2-40B4-BE49-F238E27FC236}">
                <a16:creationId xmlns:a16="http://schemas.microsoft.com/office/drawing/2014/main" id="{859FD1C1-CF3C-C646-6249-08BFA89B789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44" name="Straight Connector 3343">
              <a:extLst>
                <a:ext uri="{FF2B5EF4-FFF2-40B4-BE49-F238E27FC236}">
                  <a16:creationId xmlns:a16="http://schemas.microsoft.com/office/drawing/2014/main" id="{8567DA34-5B4F-3CB2-D9C4-BD943756EF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5" name="Straight Connector 3344">
              <a:extLst>
                <a:ext uri="{FF2B5EF4-FFF2-40B4-BE49-F238E27FC236}">
                  <a16:creationId xmlns:a16="http://schemas.microsoft.com/office/drawing/2014/main" id="{99952B3A-3A80-50A1-11E9-384E6DF0C70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6" name="Straight Connector 3345">
              <a:extLst>
                <a:ext uri="{FF2B5EF4-FFF2-40B4-BE49-F238E27FC236}">
                  <a16:creationId xmlns:a16="http://schemas.microsoft.com/office/drawing/2014/main" id="{DEB7B617-F964-8F4A-7233-B10400E211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7" name="Straight Connector 3346">
              <a:extLst>
                <a:ext uri="{FF2B5EF4-FFF2-40B4-BE49-F238E27FC236}">
                  <a16:creationId xmlns:a16="http://schemas.microsoft.com/office/drawing/2014/main" id="{7C79243F-CFA9-C2B2-9858-327E0DCBF5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8" name="Straight Connector 3347">
              <a:extLst>
                <a:ext uri="{FF2B5EF4-FFF2-40B4-BE49-F238E27FC236}">
                  <a16:creationId xmlns:a16="http://schemas.microsoft.com/office/drawing/2014/main" id="{794C2847-0B82-8EB3-A274-FCAAEDFF3D3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9" name="Straight Connector 3348">
              <a:extLst>
                <a:ext uri="{FF2B5EF4-FFF2-40B4-BE49-F238E27FC236}">
                  <a16:creationId xmlns:a16="http://schemas.microsoft.com/office/drawing/2014/main" id="{D20E3DDA-B391-A606-6E02-49E743E111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43" name="Straight Connector 3342">
            <a:extLst>
              <a:ext uri="{FF2B5EF4-FFF2-40B4-BE49-F238E27FC236}">
                <a16:creationId xmlns:a16="http://schemas.microsoft.com/office/drawing/2014/main" id="{AF524D76-F471-5064-ABE4-121F581D06D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389510</xdr:colOff>
      <xdr:row>56</xdr:row>
      <xdr:rowOff>140501</xdr:rowOff>
    </xdr:from>
    <xdr:to>
      <xdr:col>4</xdr:col>
      <xdr:colOff>15564</xdr:colOff>
      <xdr:row>59</xdr:row>
      <xdr:rowOff>143148</xdr:rowOff>
    </xdr:to>
    <xdr:sp macro="" textlink="">
      <xdr:nvSpPr>
        <xdr:cNvPr id="3350" name="Isosceles Triangle 3349">
          <a:extLst>
            <a:ext uri="{FF2B5EF4-FFF2-40B4-BE49-F238E27FC236}">
              <a16:creationId xmlns:a16="http://schemas.microsoft.com/office/drawing/2014/main" id="{2084B287-493A-4E01-A73F-747BF18619AB}"/>
            </a:ext>
          </a:extLst>
        </xdr:cNvPr>
        <xdr:cNvSpPr/>
      </xdr:nvSpPr>
      <xdr:spPr>
        <a:xfrm>
          <a:off x="1282139" y="10993558"/>
          <a:ext cx="649311" cy="503390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411994</xdr:colOff>
      <xdr:row>45</xdr:row>
      <xdr:rowOff>26106</xdr:rowOff>
    </xdr:from>
    <xdr:to>
      <xdr:col>2</xdr:col>
      <xdr:colOff>38049</xdr:colOff>
      <xdr:row>48</xdr:row>
      <xdr:rowOff>28753</xdr:rowOff>
    </xdr:to>
    <xdr:sp macro="" textlink="">
      <xdr:nvSpPr>
        <xdr:cNvPr id="3351" name="Isosceles Triangle 3350">
          <a:extLst>
            <a:ext uri="{FF2B5EF4-FFF2-40B4-BE49-F238E27FC236}">
              <a16:creationId xmlns:a16="http://schemas.microsoft.com/office/drawing/2014/main" id="{97387E03-E921-46EA-8590-0C3639CAB531}"/>
            </a:ext>
          </a:extLst>
        </xdr:cNvPr>
        <xdr:cNvSpPr/>
      </xdr:nvSpPr>
      <xdr:spPr>
        <a:xfrm>
          <a:off x="4420114" y="4727646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404813</xdr:colOff>
      <xdr:row>44</xdr:row>
      <xdr:rowOff>154785</xdr:rowOff>
    </xdr:from>
    <xdr:to>
      <xdr:col>30</xdr:col>
      <xdr:colOff>30868</xdr:colOff>
      <xdr:row>47</xdr:row>
      <xdr:rowOff>157432</xdr:rowOff>
    </xdr:to>
    <xdr:sp macro="" textlink="">
      <xdr:nvSpPr>
        <xdr:cNvPr id="3352" name="Isosceles Triangle 3351">
          <a:extLst>
            <a:ext uri="{FF2B5EF4-FFF2-40B4-BE49-F238E27FC236}">
              <a16:creationId xmlns:a16="http://schemas.microsoft.com/office/drawing/2014/main" id="{846B0BCD-9AAD-44BD-BEA8-5F64F8F08B9B}"/>
            </a:ext>
          </a:extLst>
        </xdr:cNvPr>
        <xdr:cNvSpPr/>
      </xdr:nvSpPr>
      <xdr:spPr>
        <a:xfrm>
          <a:off x="3376613" y="6723225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416720</xdr:colOff>
      <xdr:row>92</xdr:row>
      <xdr:rowOff>2</xdr:rowOff>
    </xdr:from>
    <xdr:to>
      <xdr:col>26</xdr:col>
      <xdr:colOff>42774</xdr:colOff>
      <xdr:row>95</xdr:row>
      <xdr:rowOff>2649</xdr:rowOff>
    </xdr:to>
    <xdr:sp macro="" textlink="">
      <xdr:nvSpPr>
        <xdr:cNvPr id="3353" name="Isosceles Triangle 3352">
          <a:extLst>
            <a:ext uri="{FF2B5EF4-FFF2-40B4-BE49-F238E27FC236}">
              <a16:creationId xmlns:a16="http://schemas.microsoft.com/office/drawing/2014/main" id="{96EA1D44-76F7-471A-9580-B6DACA356655}"/>
            </a:ext>
          </a:extLst>
        </xdr:cNvPr>
        <xdr:cNvSpPr/>
      </xdr:nvSpPr>
      <xdr:spPr>
        <a:xfrm>
          <a:off x="1315880" y="15026642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26</xdr:col>
      <xdr:colOff>404813</xdr:colOff>
      <xdr:row>57</xdr:row>
      <xdr:rowOff>2</xdr:rowOff>
    </xdr:from>
    <xdr:to>
      <xdr:col>28</xdr:col>
      <xdr:colOff>30868</xdr:colOff>
      <xdr:row>60</xdr:row>
      <xdr:rowOff>2649</xdr:rowOff>
    </xdr:to>
    <xdr:sp macro="" textlink="">
      <xdr:nvSpPr>
        <xdr:cNvPr id="3355" name="Isosceles Triangle 3354">
          <a:extLst>
            <a:ext uri="{FF2B5EF4-FFF2-40B4-BE49-F238E27FC236}">
              <a16:creationId xmlns:a16="http://schemas.microsoft.com/office/drawing/2014/main" id="{64A68AA0-DBF5-4ED0-B256-158D998F9055}"/>
            </a:ext>
          </a:extLst>
        </xdr:cNvPr>
        <xdr:cNvSpPr/>
      </xdr:nvSpPr>
      <xdr:spPr>
        <a:xfrm>
          <a:off x="2340293" y="8945882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229</xdr:row>
      <xdr:rowOff>136742</xdr:rowOff>
    </xdr:from>
    <xdr:to>
      <xdr:col>18</xdr:col>
      <xdr:colOff>238169</xdr:colOff>
      <xdr:row>231</xdr:row>
      <xdr:rowOff>130123</xdr:rowOff>
    </xdr:to>
    <xdr:grpSp>
      <xdr:nvGrpSpPr>
        <xdr:cNvPr id="3356" name="Group 3355">
          <a:extLst>
            <a:ext uri="{FF2B5EF4-FFF2-40B4-BE49-F238E27FC236}">
              <a16:creationId xmlns:a16="http://schemas.microsoft.com/office/drawing/2014/main" id="{DBE7A03D-2893-4A1D-A3EB-716D45CE1A9E}"/>
            </a:ext>
          </a:extLst>
        </xdr:cNvPr>
        <xdr:cNvGrpSpPr/>
      </xdr:nvGrpSpPr>
      <xdr:grpSpPr>
        <a:xfrm>
          <a:off x="9292167" y="40586242"/>
          <a:ext cx="238169" cy="332048"/>
          <a:chOff x="6143939" y="789134"/>
          <a:chExt cx="457200" cy="518966"/>
        </a:xfrm>
      </xdr:grpSpPr>
      <xdr:grpSp>
        <xdr:nvGrpSpPr>
          <xdr:cNvPr id="3357" name="Group 3356">
            <a:extLst>
              <a:ext uri="{FF2B5EF4-FFF2-40B4-BE49-F238E27FC236}">
                <a16:creationId xmlns:a16="http://schemas.microsoft.com/office/drawing/2014/main" id="{B737A2BE-8E9E-9472-8DE3-950FE0FBECB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59" name="Straight Connector 3358">
              <a:extLst>
                <a:ext uri="{FF2B5EF4-FFF2-40B4-BE49-F238E27FC236}">
                  <a16:creationId xmlns:a16="http://schemas.microsoft.com/office/drawing/2014/main" id="{DF147D6E-599E-B23C-13B2-E58F47ED8BD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0" name="Straight Connector 3359">
              <a:extLst>
                <a:ext uri="{FF2B5EF4-FFF2-40B4-BE49-F238E27FC236}">
                  <a16:creationId xmlns:a16="http://schemas.microsoft.com/office/drawing/2014/main" id="{361CCC03-2DC6-1C13-22D7-EC4AE3E8D0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1" name="Straight Connector 3360">
              <a:extLst>
                <a:ext uri="{FF2B5EF4-FFF2-40B4-BE49-F238E27FC236}">
                  <a16:creationId xmlns:a16="http://schemas.microsoft.com/office/drawing/2014/main" id="{4E7DEF30-A285-3D75-80C0-B26B372311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2" name="Straight Connector 3361">
              <a:extLst>
                <a:ext uri="{FF2B5EF4-FFF2-40B4-BE49-F238E27FC236}">
                  <a16:creationId xmlns:a16="http://schemas.microsoft.com/office/drawing/2014/main" id="{6F5FD928-5119-A963-AC70-28548877426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3" name="Straight Connector 3362">
              <a:extLst>
                <a:ext uri="{FF2B5EF4-FFF2-40B4-BE49-F238E27FC236}">
                  <a16:creationId xmlns:a16="http://schemas.microsoft.com/office/drawing/2014/main" id="{5395960D-3752-A358-7575-EA91F81D45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4" name="Straight Connector 3363">
              <a:extLst>
                <a:ext uri="{FF2B5EF4-FFF2-40B4-BE49-F238E27FC236}">
                  <a16:creationId xmlns:a16="http://schemas.microsoft.com/office/drawing/2014/main" id="{90957C00-9F2C-F751-F652-73C49536C6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58" name="Straight Connector 3357">
            <a:extLst>
              <a:ext uri="{FF2B5EF4-FFF2-40B4-BE49-F238E27FC236}">
                <a16:creationId xmlns:a16="http://schemas.microsoft.com/office/drawing/2014/main" id="{9F83E2F6-2074-D267-8611-619E5AB7BC5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229</xdr:row>
      <xdr:rowOff>148648</xdr:rowOff>
    </xdr:from>
    <xdr:to>
      <xdr:col>28</xdr:col>
      <xdr:colOff>238169</xdr:colOff>
      <xdr:row>231</xdr:row>
      <xdr:rowOff>142029</xdr:rowOff>
    </xdr:to>
    <xdr:grpSp>
      <xdr:nvGrpSpPr>
        <xdr:cNvPr id="3365" name="Group 3364">
          <a:extLst>
            <a:ext uri="{FF2B5EF4-FFF2-40B4-BE49-F238E27FC236}">
              <a16:creationId xmlns:a16="http://schemas.microsoft.com/office/drawing/2014/main" id="{EA982CCF-2766-4B10-96AC-E036E702594F}"/>
            </a:ext>
          </a:extLst>
        </xdr:cNvPr>
        <xdr:cNvGrpSpPr/>
      </xdr:nvGrpSpPr>
      <xdr:grpSpPr>
        <a:xfrm>
          <a:off x="14530917" y="40598148"/>
          <a:ext cx="238169" cy="332048"/>
          <a:chOff x="6143939" y="789134"/>
          <a:chExt cx="457200" cy="518966"/>
        </a:xfrm>
      </xdr:grpSpPr>
      <xdr:grpSp>
        <xdr:nvGrpSpPr>
          <xdr:cNvPr id="3366" name="Group 3365">
            <a:extLst>
              <a:ext uri="{FF2B5EF4-FFF2-40B4-BE49-F238E27FC236}">
                <a16:creationId xmlns:a16="http://schemas.microsoft.com/office/drawing/2014/main" id="{BBD3881D-CD78-0939-D7AC-240F0096D3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68" name="Straight Connector 3367">
              <a:extLst>
                <a:ext uri="{FF2B5EF4-FFF2-40B4-BE49-F238E27FC236}">
                  <a16:creationId xmlns:a16="http://schemas.microsoft.com/office/drawing/2014/main" id="{439C8888-FB32-3924-D675-7119E0E99CD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9" name="Straight Connector 3368">
              <a:extLst>
                <a:ext uri="{FF2B5EF4-FFF2-40B4-BE49-F238E27FC236}">
                  <a16:creationId xmlns:a16="http://schemas.microsoft.com/office/drawing/2014/main" id="{FC9E8E0B-9C50-1C78-2707-4E6943CAB1D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0" name="Straight Connector 3369">
              <a:extLst>
                <a:ext uri="{FF2B5EF4-FFF2-40B4-BE49-F238E27FC236}">
                  <a16:creationId xmlns:a16="http://schemas.microsoft.com/office/drawing/2014/main" id="{6A47149C-69B8-1589-B3DB-A765E570B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1" name="Straight Connector 3370">
              <a:extLst>
                <a:ext uri="{FF2B5EF4-FFF2-40B4-BE49-F238E27FC236}">
                  <a16:creationId xmlns:a16="http://schemas.microsoft.com/office/drawing/2014/main" id="{64994784-B453-AD36-8F15-F32D746F92F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2" name="Straight Connector 3371">
              <a:extLst>
                <a:ext uri="{FF2B5EF4-FFF2-40B4-BE49-F238E27FC236}">
                  <a16:creationId xmlns:a16="http://schemas.microsoft.com/office/drawing/2014/main" id="{EA5F1F58-A70F-E27F-9D9D-D75E1547296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3" name="Straight Connector 3372">
              <a:extLst>
                <a:ext uri="{FF2B5EF4-FFF2-40B4-BE49-F238E27FC236}">
                  <a16:creationId xmlns:a16="http://schemas.microsoft.com/office/drawing/2014/main" id="{A914708D-9951-7579-EF6E-616624DD30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67" name="Straight Connector 3366">
            <a:extLst>
              <a:ext uri="{FF2B5EF4-FFF2-40B4-BE49-F238E27FC236}">
                <a16:creationId xmlns:a16="http://schemas.microsoft.com/office/drawing/2014/main" id="{539F3342-2A0B-F4D3-D01B-3D60BF2C214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409615</xdr:colOff>
      <xdr:row>45</xdr:row>
      <xdr:rowOff>11820</xdr:rowOff>
    </xdr:from>
    <xdr:to>
      <xdr:col>2</xdr:col>
      <xdr:colOff>35670</xdr:colOff>
      <xdr:row>48</xdr:row>
      <xdr:rowOff>14467</xdr:rowOff>
    </xdr:to>
    <xdr:sp macro="" textlink="">
      <xdr:nvSpPr>
        <xdr:cNvPr id="3374" name="Isosceles Triangle 3373">
          <a:extLst>
            <a:ext uri="{FF2B5EF4-FFF2-40B4-BE49-F238E27FC236}">
              <a16:creationId xmlns:a16="http://schemas.microsoft.com/office/drawing/2014/main" id="{44992FB4-39BB-459E-AE83-816254DCF18F}"/>
            </a:ext>
          </a:extLst>
        </xdr:cNvPr>
        <xdr:cNvSpPr/>
      </xdr:nvSpPr>
      <xdr:spPr>
        <a:xfrm>
          <a:off x="4417735" y="4713360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414341</xdr:colOff>
      <xdr:row>44</xdr:row>
      <xdr:rowOff>164313</xdr:rowOff>
    </xdr:from>
    <xdr:to>
      <xdr:col>30</xdr:col>
      <xdr:colOff>40396</xdr:colOff>
      <xdr:row>48</xdr:row>
      <xdr:rowOff>272</xdr:rowOff>
    </xdr:to>
    <xdr:sp macro="" textlink="">
      <xdr:nvSpPr>
        <xdr:cNvPr id="3375" name="Isosceles Triangle 3374">
          <a:extLst>
            <a:ext uri="{FF2B5EF4-FFF2-40B4-BE49-F238E27FC236}">
              <a16:creationId xmlns:a16="http://schemas.microsoft.com/office/drawing/2014/main" id="{CF537150-CA96-48F7-A74B-4D3679971E68}"/>
            </a:ext>
          </a:extLst>
        </xdr:cNvPr>
        <xdr:cNvSpPr/>
      </xdr:nvSpPr>
      <xdr:spPr>
        <a:xfrm>
          <a:off x="3386141" y="6732753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414326</xdr:colOff>
      <xdr:row>57</xdr:row>
      <xdr:rowOff>9530</xdr:rowOff>
    </xdr:from>
    <xdr:to>
      <xdr:col>20</xdr:col>
      <xdr:colOff>40381</xdr:colOff>
      <xdr:row>60</xdr:row>
      <xdr:rowOff>12176</xdr:rowOff>
    </xdr:to>
    <xdr:sp macro="" textlink="">
      <xdr:nvSpPr>
        <xdr:cNvPr id="3376" name="Isosceles Triangle 3375">
          <a:extLst>
            <a:ext uri="{FF2B5EF4-FFF2-40B4-BE49-F238E27FC236}">
              <a16:creationId xmlns:a16="http://schemas.microsoft.com/office/drawing/2014/main" id="{6CD72521-1276-4EFC-8DF0-389C09506639}"/>
            </a:ext>
          </a:extLst>
        </xdr:cNvPr>
        <xdr:cNvSpPr/>
      </xdr:nvSpPr>
      <xdr:spPr>
        <a:xfrm>
          <a:off x="13756946" y="6753230"/>
          <a:ext cx="662375" cy="505566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407241</xdr:colOff>
      <xdr:row>57</xdr:row>
      <xdr:rowOff>9427</xdr:rowOff>
    </xdr:from>
    <xdr:to>
      <xdr:col>28</xdr:col>
      <xdr:colOff>33296</xdr:colOff>
      <xdr:row>60</xdr:row>
      <xdr:rowOff>12074</xdr:rowOff>
    </xdr:to>
    <xdr:sp macro="" textlink="">
      <xdr:nvSpPr>
        <xdr:cNvPr id="3377" name="Isosceles Triangle 3376">
          <a:extLst>
            <a:ext uri="{FF2B5EF4-FFF2-40B4-BE49-F238E27FC236}">
              <a16:creationId xmlns:a16="http://schemas.microsoft.com/office/drawing/2014/main" id="{C2CEF02C-D170-4FEC-8433-63B6D3B11CCD}"/>
            </a:ext>
          </a:extLst>
        </xdr:cNvPr>
        <xdr:cNvSpPr/>
      </xdr:nvSpPr>
      <xdr:spPr>
        <a:xfrm>
          <a:off x="2342721" y="8955307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426248</xdr:colOff>
      <xdr:row>57</xdr:row>
      <xdr:rowOff>862</xdr:rowOff>
    </xdr:from>
    <xdr:to>
      <xdr:col>14</xdr:col>
      <xdr:colOff>52303</xdr:colOff>
      <xdr:row>60</xdr:row>
      <xdr:rowOff>3509</xdr:rowOff>
    </xdr:to>
    <xdr:sp macro="" textlink="">
      <xdr:nvSpPr>
        <xdr:cNvPr id="3378" name="Isosceles Triangle 3377">
          <a:extLst>
            <a:ext uri="{FF2B5EF4-FFF2-40B4-BE49-F238E27FC236}">
              <a16:creationId xmlns:a16="http://schemas.microsoft.com/office/drawing/2014/main" id="{56EB3B38-18B8-4CDB-99BF-93DAF80815B4}"/>
            </a:ext>
          </a:extLst>
        </xdr:cNvPr>
        <xdr:cNvSpPr/>
      </xdr:nvSpPr>
      <xdr:spPr>
        <a:xfrm>
          <a:off x="6307214" y="10889669"/>
          <a:ext cx="629066" cy="522192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411948</xdr:colOff>
      <xdr:row>56</xdr:row>
      <xdr:rowOff>161933</xdr:rowOff>
    </xdr:from>
    <xdr:to>
      <xdr:col>20</xdr:col>
      <xdr:colOff>38003</xdr:colOff>
      <xdr:row>59</xdr:row>
      <xdr:rowOff>164580</xdr:rowOff>
    </xdr:to>
    <xdr:sp macro="" textlink="">
      <xdr:nvSpPr>
        <xdr:cNvPr id="3379" name="Isosceles Triangle 3378">
          <a:extLst>
            <a:ext uri="{FF2B5EF4-FFF2-40B4-BE49-F238E27FC236}">
              <a16:creationId xmlns:a16="http://schemas.microsoft.com/office/drawing/2014/main" id="{5A2BB9A4-DAAD-4F91-8532-432F584BE39C}"/>
            </a:ext>
          </a:extLst>
        </xdr:cNvPr>
        <xdr:cNvSpPr/>
      </xdr:nvSpPr>
      <xdr:spPr>
        <a:xfrm>
          <a:off x="13754568" y="6730373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416759</xdr:colOff>
      <xdr:row>56</xdr:row>
      <xdr:rowOff>149925</xdr:rowOff>
    </xdr:from>
    <xdr:to>
      <xdr:col>30</xdr:col>
      <xdr:colOff>42814</xdr:colOff>
      <xdr:row>59</xdr:row>
      <xdr:rowOff>152571</xdr:rowOff>
    </xdr:to>
    <xdr:sp macro="" textlink="">
      <xdr:nvSpPr>
        <xdr:cNvPr id="3380" name="Isosceles Triangle 3379">
          <a:extLst>
            <a:ext uri="{FF2B5EF4-FFF2-40B4-BE49-F238E27FC236}">
              <a16:creationId xmlns:a16="http://schemas.microsoft.com/office/drawing/2014/main" id="{9D5075EC-2BE6-4BA8-BB18-18F2005A135D}"/>
            </a:ext>
          </a:extLst>
        </xdr:cNvPr>
        <xdr:cNvSpPr/>
      </xdr:nvSpPr>
      <xdr:spPr>
        <a:xfrm>
          <a:off x="3388559" y="8928165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402418</xdr:colOff>
      <xdr:row>56</xdr:row>
      <xdr:rowOff>164311</xdr:rowOff>
    </xdr:from>
    <xdr:to>
      <xdr:col>22</xdr:col>
      <xdr:colOff>28473</xdr:colOff>
      <xdr:row>60</xdr:row>
      <xdr:rowOff>270</xdr:rowOff>
    </xdr:to>
    <xdr:sp macro="" textlink="">
      <xdr:nvSpPr>
        <xdr:cNvPr id="3381" name="Isosceles Triangle 3380">
          <a:extLst>
            <a:ext uri="{FF2B5EF4-FFF2-40B4-BE49-F238E27FC236}">
              <a16:creationId xmlns:a16="http://schemas.microsoft.com/office/drawing/2014/main" id="{9467C612-EAC1-495B-A09C-0B1715CEA0B5}"/>
            </a:ext>
          </a:extLst>
        </xdr:cNvPr>
        <xdr:cNvSpPr/>
      </xdr:nvSpPr>
      <xdr:spPr>
        <a:xfrm>
          <a:off x="14781358" y="6732751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416737</xdr:colOff>
      <xdr:row>34</xdr:row>
      <xdr:rowOff>3</xdr:rowOff>
    </xdr:from>
    <xdr:to>
      <xdr:col>30</xdr:col>
      <xdr:colOff>42792</xdr:colOff>
      <xdr:row>37</xdr:row>
      <xdr:rowOff>2650</xdr:rowOff>
    </xdr:to>
    <xdr:sp macro="" textlink="">
      <xdr:nvSpPr>
        <xdr:cNvPr id="3382" name="Isosceles Triangle 3381">
          <a:extLst>
            <a:ext uri="{FF2B5EF4-FFF2-40B4-BE49-F238E27FC236}">
              <a16:creationId xmlns:a16="http://schemas.microsoft.com/office/drawing/2014/main" id="{CA19BCD4-851F-4112-9ACA-D306081F3776}"/>
            </a:ext>
          </a:extLst>
        </xdr:cNvPr>
        <xdr:cNvSpPr/>
      </xdr:nvSpPr>
      <xdr:spPr>
        <a:xfrm>
          <a:off x="3388537" y="4701543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74</xdr:row>
      <xdr:rowOff>35718</xdr:rowOff>
    </xdr:from>
    <xdr:to>
      <xdr:col>16</xdr:col>
      <xdr:colOff>238169</xdr:colOff>
      <xdr:row>76</xdr:row>
      <xdr:rowOff>29099</xdr:rowOff>
    </xdr:to>
    <xdr:grpSp>
      <xdr:nvGrpSpPr>
        <xdr:cNvPr id="3383" name="Group 3382">
          <a:extLst>
            <a:ext uri="{FF2B5EF4-FFF2-40B4-BE49-F238E27FC236}">
              <a16:creationId xmlns:a16="http://schemas.microsoft.com/office/drawing/2014/main" id="{9ADD1A55-FA1D-49CB-A2A1-D40207B0F30B}"/>
            </a:ext>
          </a:extLst>
        </xdr:cNvPr>
        <xdr:cNvGrpSpPr/>
      </xdr:nvGrpSpPr>
      <xdr:grpSpPr>
        <a:xfrm>
          <a:off x="8244417" y="14058635"/>
          <a:ext cx="238169" cy="332047"/>
          <a:chOff x="6143939" y="789134"/>
          <a:chExt cx="457200" cy="518966"/>
        </a:xfrm>
      </xdr:grpSpPr>
      <xdr:grpSp>
        <xdr:nvGrpSpPr>
          <xdr:cNvPr id="3384" name="Group 3383">
            <a:extLst>
              <a:ext uri="{FF2B5EF4-FFF2-40B4-BE49-F238E27FC236}">
                <a16:creationId xmlns:a16="http://schemas.microsoft.com/office/drawing/2014/main" id="{56678A00-A370-96C7-94A7-3B29CC02FA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86" name="Straight Connector 3385">
              <a:extLst>
                <a:ext uri="{FF2B5EF4-FFF2-40B4-BE49-F238E27FC236}">
                  <a16:creationId xmlns:a16="http://schemas.microsoft.com/office/drawing/2014/main" id="{A366E9AF-2BF5-CE07-C0CE-75D877CB858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7" name="Straight Connector 3386">
              <a:extLst>
                <a:ext uri="{FF2B5EF4-FFF2-40B4-BE49-F238E27FC236}">
                  <a16:creationId xmlns:a16="http://schemas.microsoft.com/office/drawing/2014/main" id="{AB04432D-0543-0282-C86F-EC288B3919A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8" name="Straight Connector 3387">
              <a:extLst>
                <a:ext uri="{FF2B5EF4-FFF2-40B4-BE49-F238E27FC236}">
                  <a16:creationId xmlns:a16="http://schemas.microsoft.com/office/drawing/2014/main" id="{427656F4-F0D4-1A4A-C1BD-EEB92E7FAC0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9" name="Straight Connector 3388">
              <a:extLst>
                <a:ext uri="{FF2B5EF4-FFF2-40B4-BE49-F238E27FC236}">
                  <a16:creationId xmlns:a16="http://schemas.microsoft.com/office/drawing/2014/main" id="{D2CDB024-E7BD-F63A-537A-FB0DD456603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0" name="Straight Connector 3389">
              <a:extLst>
                <a:ext uri="{FF2B5EF4-FFF2-40B4-BE49-F238E27FC236}">
                  <a16:creationId xmlns:a16="http://schemas.microsoft.com/office/drawing/2014/main" id="{8B3EEDF6-9FD3-B120-9F3F-FD2923EB5E1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1" name="Straight Connector 3390">
              <a:extLst>
                <a:ext uri="{FF2B5EF4-FFF2-40B4-BE49-F238E27FC236}">
                  <a16:creationId xmlns:a16="http://schemas.microsoft.com/office/drawing/2014/main" id="{CCC68EC4-FB81-66DB-67B4-1525BD0C966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85" name="Straight Connector 3384">
            <a:extLst>
              <a:ext uri="{FF2B5EF4-FFF2-40B4-BE49-F238E27FC236}">
                <a16:creationId xmlns:a16="http://schemas.microsoft.com/office/drawing/2014/main" id="{424E5CA3-57B0-268C-6CA3-B204E5AD696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62</xdr:row>
      <xdr:rowOff>11902</xdr:rowOff>
    </xdr:from>
    <xdr:to>
      <xdr:col>10</xdr:col>
      <xdr:colOff>238169</xdr:colOff>
      <xdr:row>64</xdr:row>
      <xdr:rowOff>5283</xdr:rowOff>
    </xdr:to>
    <xdr:grpSp>
      <xdr:nvGrpSpPr>
        <xdr:cNvPr id="3392" name="Group 3391">
          <a:extLst>
            <a:ext uri="{FF2B5EF4-FFF2-40B4-BE49-F238E27FC236}">
              <a16:creationId xmlns:a16="http://schemas.microsoft.com/office/drawing/2014/main" id="{4C09747E-93AB-47CD-915B-33B879543842}"/>
            </a:ext>
          </a:extLst>
        </xdr:cNvPr>
        <xdr:cNvGrpSpPr/>
      </xdr:nvGrpSpPr>
      <xdr:grpSpPr>
        <a:xfrm>
          <a:off x="5101167" y="11971069"/>
          <a:ext cx="238169" cy="342631"/>
          <a:chOff x="6143939" y="789134"/>
          <a:chExt cx="457200" cy="518966"/>
        </a:xfrm>
      </xdr:grpSpPr>
      <xdr:grpSp>
        <xdr:nvGrpSpPr>
          <xdr:cNvPr id="3393" name="Group 3392">
            <a:extLst>
              <a:ext uri="{FF2B5EF4-FFF2-40B4-BE49-F238E27FC236}">
                <a16:creationId xmlns:a16="http://schemas.microsoft.com/office/drawing/2014/main" id="{F48735A5-530D-3424-73B8-0D3DF4E78BE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95" name="Straight Connector 3394">
              <a:extLst>
                <a:ext uri="{FF2B5EF4-FFF2-40B4-BE49-F238E27FC236}">
                  <a16:creationId xmlns:a16="http://schemas.microsoft.com/office/drawing/2014/main" id="{ED08D970-DB6C-DBE4-3221-ECA6AD16E04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6" name="Straight Connector 3395">
              <a:extLst>
                <a:ext uri="{FF2B5EF4-FFF2-40B4-BE49-F238E27FC236}">
                  <a16:creationId xmlns:a16="http://schemas.microsoft.com/office/drawing/2014/main" id="{5855BDCC-2E25-978F-E922-D05886076DB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7" name="Straight Connector 3396">
              <a:extLst>
                <a:ext uri="{FF2B5EF4-FFF2-40B4-BE49-F238E27FC236}">
                  <a16:creationId xmlns:a16="http://schemas.microsoft.com/office/drawing/2014/main" id="{BD45322C-20E2-1DB7-0480-E629228FF63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8" name="Straight Connector 3397">
              <a:extLst>
                <a:ext uri="{FF2B5EF4-FFF2-40B4-BE49-F238E27FC236}">
                  <a16:creationId xmlns:a16="http://schemas.microsoft.com/office/drawing/2014/main" id="{F1B67902-90ED-938F-CF50-02AEB91D00C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9" name="Straight Connector 3398">
              <a:extLst>
                <a:ext uri="{FF2B5EF4-FFF2-40B4-BE49-F238E27FC236}">
                  <a16:creationId xmlns:a16="http://schemas.microsoft.com/office/drawing/2014/main" id="{11E0AE7F-12B4-A460-7729-EC2576CCB6E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0" name="Straight Connector 3399">
              <a:extLst>
                <a:ext uri="{FF2B5EF4-FFF2-40B4-BE49-F238E27FC236}">
                  <a16:creationId xmlns:a16="http://schemas.microsoft.com/office/drawing/2014/main" id="{C96D9692-ECA4-72E7-0123-081752BEA14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94" name="Straight Connector 3393">
            <a:extLst>
              <a:ext uri="{FF2B5EF4-FFF2-40B4-BE49-F238E27FC236}">
                <a16:creationId xmlns:a16="http://schemas.microsoft.com/office/drawing/2014/main" id="{646454D5-5BDB-F5A5-E3C9-2560609B835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414359</xdr:colOff>
      <xdr:row>33</xdr:row>
      <xdr:rowOff>164313</xdr:rowOff>
    </xdr:from>
    <xdr:to>
      <xdr:col>30</xdr:col>
      <xdr:colOff>40414</xdr:colOff>
      <xdr:row>37</xdr:row>
      <xdr:rowOff>272</xdr:rowOff>
    </xdr:to>
    <xdr:sp macro="" textlink="">
      <xdr:nvSpPr>
        <xdr:cNvPr id="3401" name="Isosceles Triangle 3400">
          <a:extLst>
            <a:ext uri="{FF2B5EF4-FFF2-40B4-BE49-F238E27FC236}">
              <a16:creationId xmlns:a16="http://schemas.microsoft.com/office/drawing/2014/main" id="{D4B7F8F6-029D-42E9-8EE8-3BCF9064BDC5}"/>
            </a:ext>
          </a:extLst>
        </xdr:cNvPr>
        <xdr:cNvSpPr/>
      </xdr:nvSpPr>
      <xdr:spPr>
        <a:xfrm>
          <a:off x="3386159" y="4698213"/>
          <a:ext cx="662375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57</xdr:row>
      <xdr:rowOff>2</xdr:rowOff>
    </xdr:from>
    <xdr:to>
      <xdr:col>2</xdr:col>
      <xdr:colOff>14994</xdr:colOff>
      <xdr:row>60</xdr:row>
      <xdr:rowOff>2648</xdr:rowOff>
    </xdr:to>
    <xdr:sp macro="" textlink="">
      <xdr:nvSpPr>
        <xdr:cNvPr id="3402" name="Isosceles Triangle 3401">
          <a:extLst>
            <a:ext uri="{FF2B5EF4-FFF2-40B4-BE49-F238E27FC236}">
              <a16:creationId xmlns:a16="http://schemas.microsoft.com/office/drawing/2014/main" id="{EBBE9488-C9A9-4CE7-8E11-87159831317E}"/>
            </a:ext>
          </a:extLst>
        </xdr:cNvPr>
        <xdr:cNvSpPr/>
      </xdr:nvSpPr>
      <xdr:spPr>
        <a:xfrm>
          <a:off x="254000" y="10604502"/>
          <a:ext cx="618244" cy="526521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74</xdr:row>
      <xdr:rowOff>47624</xdr:rowOff>
    </xdr:from>
    <xdr:to>
      <xdr:col>2</xdr:col>
      <xdr:colOff>238169</xdr:colOff>
      <xdr:row>76</xdr:row>
      <xdr:rowOff>41005</xdr:rowOff>
    </xdr:to>
    <xdr:grpSp>
      <xdr:nvGrpSpPr>
        <xdr:cNvPr id="3403" name="Group 3402">
          <a:extLst>
            <a:ext uri="{FF2B5EF4-FFF2-40B4-BE49-F238E27FC236}">
              <a16:creationId xmlns:a16="http://schemas.microsoft.com/office/drawing/2014/main" id="{D030AD4B-A2B9-4F08-9734-9CFF3DF5ED74}"/>
            </a:ext>
          </a:extLst>
        </xdr:cNvPr>
        <xdr:cNvGrpSpPr/>
      </xdr:nvGrpSpPr>
      <xdr:grpSpPr>
        <a:xfrm>
          <a:off x="910167" y="14070541"/>
          <a:ext cx="238169" cy="332047"/>
          <a:chOff x="6143939" y="789134"/>
          <a:chExt cx="457200" cy="518966"/>
        </a:xfrm>
      </xdr:grpSpPr>
      <xdr:grpSp>
        <xdr:nvGrpSpPr>
          <xdr:cNvPr id="3404" name="Group 3403">
            <a:extLst>
              <a:ext uri="{FF2B5EF4-FFF2-40B4-BE49-F238E27FC236}">
                <a16:creationId xmlns:a16="http://schemas.microsoft.com/office/drawing/2014/main" id="{4574E69F-93C8-AD8C-6610-3919994BC45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06" name="Straight Connector 3405">
              <a:extLst>
                <a:ext uri="{FF2B5EF4-FFF2-40B4-BE49-F238E27FC236}">
                  <a16:creationId xmlns:a16="http://schemas.microsoft.com/office/drawing/2014/main" id="{58890540-189A-FA1F-59D5-24415E6E3B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7" name="Straight Connector 3406">
              <a:extLst>
                <a:ext uri="{FF2B5EF4-FFF2-40B4-BE49-F238E27FC236}">
                  <a16:creationId xmlns:a16="http://schemas.microsoft.com/office/drawing/2014/main" id="{BF76C990-72C1-5DD0-A10F-A5577464187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8" name="Straight Connector 3407">
              <a:extLst>
                <a:ext uri="{FF2B5EF4-FFF2-40B4-BE49-F238E27FC236}">
                  <a16:creationId xmlns:a16="http://schemas.microsoft.com/office/drawing/2014/main" id="{6B706F78-BBD1-4719-EA30-79B74FFDD9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9" name="Straight Connector 3408">
              <a:extLst>
                <a:ext uri="{FF2B5EF4-FFF2-40B4-BE49-F238E27FC236}">
                  <a16:creationId xmlns:a16="http://schemas.microsoft.com/office/drawing/2014/main" id="{E90AD5F4-910D-BC1A-03C1-F34AEF22295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0" name="Straight Connector 3409">
              <a:extLst>
                <a:ext uri="{FF2B5EF4-FFF2-40B4-BE49-F238E27FC236}">
                  <a16:creationId xmlns:a16="http://schemas.microsoft.com/office/drawing/2014/main" id="{8B6676BC-445C-237D-009D-85B481C8042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1" name="Straight Connector 3410">
              <a:extLst>
                <a:ext uri="{FF2B5EF4-FFF2-40B4-BE49-F238E27FC236}">
                  <a16:creationId xmlns:a16="http://schemas.microsoft.com/office/drawing/2014/main" id="{199BCBE2-DC88-301A-7F4C-B63862547C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B3470610-32C0-CBDD-CDEE-58924066FB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74</xdr:row>
      <xdr:rowOff>83342</xdr:rowOff>
    </xdr:from>
    <xdr:to>
      <xdr:col>12</xdr:col>
      <xdr:colOff>238169</xdr:colOff>
      <xdr:row>76</xdr:row>
      <xdr:rowOff>76723</xdr:rowOff>
    </xdr:to>
    <xdr:grpSp>
      <xdr:nvGrpSpPr>
        <xdr:cNvPr id="3412" name="Group 3411">
          <a:extLst>
            <a:ext uri="{FF2B5EF4-FFF2-40B4-BE49-F238E27FC236}">
              <a16:creationId xmlns:a16="http://schemas.microsoft.com/office/drawing/2014/main" id="{DE6F216A-0DF7-4FD8-8DB4-A8E5186E0AD5}"/>
            </a:ext>
          </a:extLst>
        </xdr:cNvPr>
        <xdr:cNvGrpSpPr/>
      </xdr:nvGrpSpPr>
      <xdr:grpSpPr>
        <a:xfrm>
          <a:off x="6148917" y="14106259"/>
          <a:ext cx="238169" cy="332047"/>
          <a:chOff x="6143939" y="789134"/>
          <a:chExt cx="457200" cy="518966"/>
        </a:xfrm>
      </xdr:grpSpPr>
      <xdr:grpSp>
        <xdr:nvGrpSpPr>
          <xdr:cNvPr id="3413" name="Group 3412">
            <a:extLst>
              <a:ext uri="{FF2B5EF4-FFF2-40B4-BE49-F238E27FC236}">
                <a16:creationId xmlns:a16="http://schemas.microsoft.com/office/drawing/2014/main" id="{E87B7546-6719-CEE5-2F83-C06357F2539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15" name="Straight Connector 3414">
              <a:extLst>
                <a:ext uri="{FF2B5EF4-FFF2-40B4-BE49-F238E27FC236}">
                  <a16:creationId xmlns:a16="http://schemas.microsoft.com/office/drawing/2014/main" id="{9C279D89-D905-40D3-9B62-91E63715337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6" name="Straight Connector 3415">
              <a:extLst>
                <a:ext uri="{FF2B5EF4-FFF2-40B4-BE49-F238E27FC236}">
                  <a16:creationId xmlns:a16="http://schemas.microsoft.com/office/drawing/2014/main" id="{4FC0FA16-4D09-31B3-5D2B-345028DE0A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7" name="Straight Connector 3416">
              <a:extLst>
                <a:ext uri="{FF2B5EF4-FFF2-40B4-BE49-F238E27FC236}">
                  <a16:creationId xmlns:a16="http://schemas.microsoft.com/office/drawing/2014/main" id="{1B2BC0C1-E2DD-3AD8-20D5-07CF7348859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8" name="Straight Connector 3417">
              <a:extLst>
                <a:ext uri="{FF2B5EF4-FFF2-40B4-BE49-F238E27FC236}">
                  <a16:creationId xmlns:a16="http://schemas.microsoft.com/office/drawing/2014/main" id="{A15F8FC2-4DC3-EC51-C2EF-4645015500D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9" name="Straight Connector 3418">
              <a:extLst>
                <a:ext uri="{FF2B5EF4-FFF2-40B4-BE49-F238E27FC236}">
                  <a16:creationId xmlns:a16="http://schemas.microsoft.com/office/drawing/2014/main" id="{2CA4DA91-F090-3D14-F649-7E02D3DCF9F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0" name="Straight Connector 3419">
              <a:extLst>
                <a:ext uri="{FF2B5EF4-FFF2-40B4-BE49-F238E27FC236}">
                  <a16:creationId xmlns:a16="http://schemas.microsoft.com/office/drawing/2014/main" id="{CBFF9CC1-06EF-CDE4-859F-59765213B08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14" name="Straight Connector 3413">
            <a:extLst>
              <a:ext uri="{FF2B5EF4-FFF2-40B4-BE49-F238E27FC236}">
                <a16:creationId xmlns:a16="http://schemas.microsoft.com/office/drawing/2014/main" id="{E3CAAB07-E89F-E921-5DF0-6D466F3DB75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74</xdr:row>
      <xdr:rowOff>59530</xdr:rowOff>
    </xdr:from>
    <xdr:to>
      <xdr:col>22</xdr:col>
      <xdr:colOff>238169</xdr:colOff>
      <xdr:row>76</xdr:row>
      <xdr:rowOff>52911</xdr:rowOff>
    </xdr:to>
    <xdr:grpSp>
      <xdr:nvGrpSpPr>
        <xdr:cNvPr id="3421" name="Group 3420">
          <a:extLst>
            <a:ext uri="{FF2B5EF4-FFF2-40B4-BE49-F238E27FC236}">
              <a16:creationId xmlns:a16="http://schemas.microsoft.com/office/drawing/2014/main" id="{8C314BB2-0EE6-49C1-966D-CDB75E8AD90F}"/>
            </a:ext>
          </a:extLst>
        </xdr:cNvPr>
        <xdr:cNvGrpSpPr/>
      </xdr:nvGrpSpPr>
      <xdr:grpSpPr>
        <a:xfrm>
          <a:off x="11387667" y="14082447"/>
          <a:ext cx="238169" cy="332047"/>
          <a:chOff x="6143939" y="789134"/>
          <a:chExt cx="457200" cy="518966"/>
        </a:xfrm>
      </xdr:grpSpPr>
      <xdr:grpSp>
        <xdr:nvGrpSpPr>
          <xdr:cNvPr id="3422" name="Group 3421">
            <a:extLst>
              <a:ext uri="{FF2B5EF4-FFF2-40B4-BE49-F238E27FC236}">
                <a16:creationId xmlns:a16="http://schemas.microsoft.com/office/drawing/2014/main" id="{DFFED985-4604-8C32-C9F6-69FDEEDBC9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24" name="Straight Connector 3423">
              <a:extLst>
                <a:ext uri="{FF2B5EF4-FFF2-40B4-BE49-F238E27FC236}">
                  <a16:creationId xmlns:a16="http://schemas.microsoft.com/office/drawing/2014/main" id="{DE5B4179-78FD-7428-5883-4C7003AFA1A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5" name="Straight Connector 3424">
              <a:extLst>
                <a:ext uri="{FF2B5EF4-FFF2-40B4-BE49-F238E27FC236}">
                  <a16:creationId xmlns:a16="http://schemas.microsoft.com/office/drawing/2014/main" id="{9347B323-F9EE-A9D5-240C-CDCAFFC91A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6" name="Straight Connector 3425">
              <a:extLst>
                <a:ext uri="{FF2B5EF4-FFF2-40B4-BE49-F238E27FC236}">
                  <a16:creationId xmlns:a16="http://schemas.microsoft.com/office/drawing/2014/main" id="{8577EA79-94B0-D467-0BDE-D926E8395C6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7" name="Straight Connector 3426">
              <a:extLst>
                <a:ext uri="{FF2B5EF4-FFF2-40B4-BE49-F238E27FC236}">
                  <a16:creationId xmlns:a16="http://schemas.microsoft.com/office/drawing/2014/main" id="{9A5F8EB1-CC22-30CF-6F36-170B5809CC2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8" name="Straight Connector 3427">
              <a:extLst>
                <a:ext uri="{FF2B5EF4-FFF2-40B4-BE49-F238E27FC236}">
                  <a16:creationId xmlns:a16="http://schemas.microsoft.com/office/drawing/2014/main" id="{4B42DF27-B9B1-5E07-54BB-08F496BA1B7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9" name="Straight Connector 3428">
              <a:extLst>
                <a:ext uri="{FF2B5EF4-FFF2-40B4-BE49-F238E27FC236}">
                  <a16:creationId xmlns:a16="http://schemas.microsoft.com/office/drawing/2014/main" id="{A7F85EA9-8F2E-0B95-3065-BBA88AEE89D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23" name="Straight Connector 3422">
            <a:extLst>
              <a:ext uri="{FF2B5EF4-FFF2-40B4-BE49-F238E27FC236}">
                <a16:creationId xmlns:a16="http://schemas.microsoft.com/office/drawing/2014/main" id="{A4C08A06-D365-156D-613E-1DE9F387100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416720</xdr:colOff>
      <xdr:row>70</xdr:row>
      <xdr:rowOff>3</xdr:rowOff>
    </xdr:from>
    <xdr:to>
      <xdr:col>26</xdr:col>
      <xdr:colOff>42774</xdr:colOff>
      <xdr:row>73</xdr:row>
      <xdr:rowOff>2650</xdr:rowOff>
    </xdr:to>
    <xdr:sp macro="" textlink="">
      <xdr:nvSpPr>
        <xdr:cNvPr id="3430" name="Isosceles Triangle 3429">
          <a:extLst>
            <a:ext uri="{FF2B5EF4-FFF2-40B4-BE49-F238E27FC236}">
              <a16:creationId xmlns:a16="http://schemas.microsoft.com/office/drawing/2014/main" id="{920084A7-E697-4CBA-8303-800B44F39BA6}"/>
            </a:ext>
          </a:extLst>
        </xdr:cNvPr>
        <xdr:cNvSpPr/>
      </xdr:nvSpPr>
      <xdr:spPr>
        <a:xfrm>
          <a:off x="1315880" y="11308083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414310</xdr:colOff>
      <xdr:row>56</xdr:row>
      <xdr:rowOff>164327</xdr:rowOff>
    </xdr:from>
    <xdr:to>
      <xdr:col>12</xdr:col>
      <xdr:colOff>40365</xdr:colOff>
      <xdr:row>60</xdr:row>
      <xdr:rowOff>286</xdr:rowOff>
    </xdr:to>
    <xdr:sp macro="" textlink="">
      <xdr:nvSpPr>
        <xdr:cNvPr id="3431" name="Isosceles Triangle 3430">
          <a:extLst>
            <a:ext uri="{FF2B5EF4-FFF2-40B4-BE49-F238E27FC236}">
              <a16:creationId xmlns:a16="http://schemas.microsoft.com/office/drawing/2014/main" id="{26CBB08C-01EE-4C3A-991F-D7B3E201B5F5}"/>
            </a:ext>
          </a:extLst>
        </xdr:cNvPr>
        <xdr:cNvSpPr/>
      </xdr:nvSpPr>
      <xdr:spPr>
        <a:xfrm>
          <a:off x="9611650" y="6732767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230</xdr:row>
      <xdr:rowOff>14432</xdr:rowOff>
    </xdr:from>
    <xdr:to>
      <xdr:col>24</xdr:col>
      <xdr:colOff>238169</xdr:colOff>
      <xdr:row>232</xdr:row>
      <xdr:rowOff>14481</xdr:rowOff>
    </xdr:to>
    <xdr:grpSp>
      <xdr:nvGrpSpPr>
        <xdr:cNvPr id="3432" name="Group 3431">
          <a:extLst>
            <a:ext uri="{FF2B5EF4-FFF2-40B4-BE49-F238E27FC236}">
              <a16:creationId xmlns:a16="http://schemas.microsoft.com/office/drawing/2014/main" id="{71B7A6CA-E744-4FC9-BF1E-BE7092B4C64B}"/>
            </a:ext>
          </a:extLst>
        </xdr:cNvPr>
        <xdr:cNvGrpSpPr/>
      </xdr:nvGrpSpPr>
      <xdr:grpSpPr>
        <a:xfrm>
          <a:off x="12435417" y="40633265"/>
          <a:ext cx="238169" cy="338716"/>
          <a:chOff x="6143939" y="789134"/>
          <a:chExt cx="457200" cy="518966"/>
        </a:xfrm>
      </xdr:grpSpPr>
      <xdr:grpSp>
        <xdr:nvGrpSpPr>
          <xdr:cNvPr id="3433" name="Group 3432">
            <a:extLst>
              <a:ext uri="{FF2B5EF4-FFF2-40B4-BE49-F238E27FC236}">
                <a16:creationId xmlns:a16="http://schemas.microsoft.com/office/drawing/2014/main" id="{0E55A4F2-3E8A-76B4-20AB-901A5F86641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35" name="Straight Connector 3434">
              <a:extLst>
                <a:ext uri="{FF2B5EF4-FFF2-40B4-BE49-F238E27FC236}">
                  <a16:creationId xmlns:a16="http://schemas.microsoft.com/office/drawing/2014/main" id="{58957EAB-CFA0-7731-FB84-5FAFF1F574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6" name="Straight Connector 3435">
              <a:extLst>
                <a:ext uri="{FF2B5EF4-FFF2-40B4-BE49-F238E27FC236}">
                  <a16:creationId xmlns:a16="http://schemas.microsoft.com/office/drawing/2014/main" id="{012567B3-683D-2484-38FE-6A3E4A78753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7" name="Straight Connector 3436">
              <a:extLst>
                <a:ext uri="{FF2B5EF4-FFF2-40B4-BE49-F238E27FC236}">
                  <a16:creationId xmlns:a16="http://schemas.microsoft.com/office/drawing/2014/main" id="{E2AE1D95-C23E-2FF0-9F35-359C519A6A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8" name="Straight Connector 3437">
              <a:extLst>
                <a:ext uri="{FF2B5EF4-FFF2-40B4-BE49-F238E27FC236}">
                  <a16:creationId xmlns:a16="http://schemas.microsoft.com/office/drawing/2014/main" id="{96B5FE09-2FDF-B5CA-052D-FC114A2A50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9" name="Straight Connector 3438">
              <a:extLst>
                <a:ext uri="{FF2B5EF4-FFF2-40B4-BE49-F238E27FC236}">
                  <a16:creationId xmlns:a16="http://schemas.microsoft.com/office/drawing/2014/main" id="{8B4BFE44-56F2-F116-9F88-46BFED648B5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0" name="Straight Connector 3439">
              <a:extLst>
                <a:ext uri="{FF2B5EF4-FFF2-40B4-BE49-F238E27FC236}">
                  <a16:creationId xmlns:a16="http://schemas.microsoft.com/office/drawing/2014/main" id="{3491DFBF-1653-9E4D-C76A-83F4325D286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34" name="Straight Connector 3433">
            <a:extLst>
              <a:ext uri="{FF2B5EF4-FFF2-40B4-BE49-F238E27FC236}">
                <a16:creationId xmlns:a16="http://schemas.microsoft.com/office/drawing/2014/main" id="{A1623DDF-801C-8D4B-98C8-B32302D897A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242</xdr:row>
      <xdr:rowOff>163080</xdr:rowOff>
    </xdr:from>
    <xdr:to>
      <xdr:col>16</xdr:col>
      <xdr:colOff>238169</xdr:colOff>
      <xdr:row>244</xdr:row>
      <xdr:rowOff>156461</xdr:rowOff>
    </xdr:to>
    <xdr:grpSp>
      <xdr:nvGrpSpPr>
        <xdr:cNvPr id="3441" name="Group 3440">
          <a:extLst>
            <a:ext uri="{FF2B5EF4-FFF2-40B4-BE49-F238E27FC236}">
              <a16:creationId xmlns:a16="http://schemas.microsoft.com/office/drawing/2014/main" id="{B94F57C2-D9F9-40CA-8D8F-216708437133}"/>
            </a:ext>
          </a:extLst>
        </xdr:cNvPr>
        <xdr:cNvGrpSpPr/>
      </xdr:nvGrpSpPr>
      <xdr:grpSpPr>
        <a:xfrm>
          <a:off x="8244417" y="42813913"/>
          <a:ext cx="238169" cy="332048"/>
          <a:chOff x="6143939" y="789134"/>
          <a:chExt cx="457200" cy="518966"/>
        </a:xfrm>
      </xdr:grpSpPr>
      <xdr:grpSp>
        <xdr:nvGrpSpPr>
          <xdr:cNvPr id="3442" name="Group 3441">
            <a:extLst>
              <a:ext uri="{FF2B5EF4-FFF2-40B4-BE49-F238E27FC236}">
                <a16:creationId xmlns:a16="http://schemas.microsoft.com/office/drawing/2014/main" id="{1B9A7408-0A26-5B11-312B-24DF4DE0DDA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44" name="Straight Connector 3443">
              <a:extLst>
                <a:ext uri="{FF2B5EF4-FFF2-40B4-BE49-F238E27FC236}">
                  <a16:creationId xmlns:a16="http://schemas.microsoft.com/office/drawing/2014/main" id="{E42543A5-875B-B74A-523F-15CF72CD539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5" name="Straight Connector 3444">
              <a:extLst>
                <a:ext uri="{FF2B5EF4-FFF2-40B4-BE49-F238E27FC236}">
                  <a16:creationId xmlns:a16="http://schemas.microsoft.com/office/drawing/2014/main" id="{EACC0FFE-01A9-7C23-1C59-EFCC2899E61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6" name="Straight Connector 3445">
              <a:extLst>
                <a:ext uri="{FF2B5EF4-FFF2-40B4-BE49-F238E27FC236}">
                  <a16:creationId xmlns:a16="http://schemas.microsoft.com/office/drawing/2014/main" id="{950E2AA5-A40E-50E3-9ECE-748CF648775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7" name="Straight Connector 3446">
              <a:extLst>
                <a:ext uri="{FF2B5EF4-FFF2-40B4-BE49-F238E27FC236}">
                  <a16:creationId xmlns:a16="http://schemas.microsoft.com/office/drawing/2014/main" id="{B41F12EF-C71E-8D02-3D76-932A01EF2FE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8" name="Straight Connector 3447">
              <a:extLst>
                <a:ext uri="{FF2B5EF4-FFF2-40B4-BE49-F238E27FC236}">
                  <a16:creationId xmlns:a16="http://schemas.microsoft.com/office/drawing/2014/main" id="{CD936A4F-7383-5FC4-5151-9CFECBD9526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9" name="Straight Connector 3448">
              <a:extLst>
                <a:ext uri="{FF2B5EF4-FFF2-40B4-BE49-F238E27FC236}">
                  <a16:creationId xmlns:a16="http://schemas.microsoft.com/office/drawing/2014/main" id="{E3E11209-4810-29D0-E2FD-BBAE660B5B4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43" name="Straight Connector 3442">
            <a:extLst>
              <a:ext uri="{FF2B5EF4-FFF2-40B4-BE49-F238E27FC236}">
                <a16:creationId xmlns:a16="http://schemas.microsoft.com/office/drawing/2014/main" id="{20984BED-9280-58CE-202E-A451EBA21C1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9531</xdr:colOff>
      <xdr:row>74</xdr:row>
      <xdr:rowOff>80964</xdr:rowOff>
    </xdr:from>
    <xdr:to>
      <xdr:col>20</xdr:col>
      <xdr:colOff>247700</xdr:colOff>
      <xdr:row>76</xdr:row>
      <xdr:rowOff>74345</xdr:rowOff>
    </xdr:to>
    <xdr:grpSp>
      <xdr:nvGrpSpPr>
        <xdr:cNvPr id="3450" name="Group 3449">
          <a:extLst>
            <a:ext uri="{FF2B5EF4-FFF2-40B4-BE49-F238E27FC236}">
              <a16:creationId xmlns:a16="http://schemas.microsoft.com/office/drawing/2014/main" id="{48E7A3B8-39AD-4C31-94C9-16AC19DE4F6F}"/>
            </a:ext>
          </a:extLst>
        </xdr:cNvPr>
        <xdr:cNvGrpSpPr/>
      </xdr:nvGrpSpPr>
      <xdr:grpSpPr>
        <a:xfrm>
          <a:off x="10349448" y="14103881"/>
          <a:ext cx="238169" cy="332047"/>
          <a:chOff x="6143939" y="789134"/>
          <a:chExt cx="457200" cy="518966"/>
        </a:xfrm>
      </xdr:grpSpPr>
      <xdr:grpSp>
        <xdr:nvGrpSpPr>
          <xdr:cNvPr id="3451" name="Group 3450">
            <a:extLst>
              <a:ext uri="{FF2B5EF4-FFF2-40B4-BE49-F238E27FC236}">
                <a16:creationId xmlns:a16="http://schemas.microsoft.com/office/drawing/2014/main" id="{3FB084E2-38DA-5166-9B41-C217BB4E104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53" name="Straight Connector 3452">
              <a:extLst>
                <a:ext uri="{FF2B5EF4-FFF2-40B4-BE49-F238E27FC236}">
                  <a16:creationId xmlns:a16="http://schemas.microsoft.com/office/drawing/2014/main" id="{AB733A25-2B38-F653-5733-57C242D708F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4" name="Straight Connector 3453">
              <a:extLst>
                <a:ext uri="{FF2B5EF4-FFF2-40B4-BE49-F238E27FC236}">
                  <a16:creationId xmlns:a16="http://schemas.microsoft.com/office/drawing/2014/main" id="{0F426442-D4AF-F081-8510-D6FA6606C92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5" name="Straight Connector 3454">
              <a:extLst>
                <a:ext uri="{FF2B5EF4-FFF2-40B4-BE49-F238E27FC236}">
                  <a16:creationId xmlns:a16="http://schemas.microsoft.com/office/drawing/2014/main" id="{EAF60CED-8571-57DC-8B6D-5EC52161F3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6" name="Straight Connector 3455">
              <a:extLst>
                <a:ext uri="{FF2B5EF4-FFF2-40B4-BE49-F238E27FC236}">
                  <a16:creationId xmlns:a16="http://schemas.microsoft.com/office/drawing/2014/main" id="{92EEC4C4-D99A-85D1-34D3-93F8CB80010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7" name="Straight Connector 3456">
              <a:extLst>
                <a:ext uri="{FF2B5EF4-FFF2-40B4-BE49-F238E27FC236}">
                  <a16:creationId xmlns:a16="http://schemas.microsoft.com/office/drawing/2014/main" id="{455BA04F-9C7C-FEF7-E313-7D206EE8FC4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8" name="Straight Connector 3457">
              <a:extLst>
                <a:ext uri="{FF2B5EF4-FFF2-40B4-BE49-F238E27FC236}">
                  <a16:creationId xmlns:a16="http://schemas.microsoft.com/office/drawing/2014/main" id="{862BE145-96FC-94F6-7310-F7926F5BCDA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52" name="Straight Connector 3451">
            <a:extLst>
              <a:ext uri="{FF2B5EF4-FFF2-40B4-BE49-F238E27FC236}">
                <a16:creationId xmlns:a16="http://schemas.microsoft.com/office/drawing/2014/main" id="{B6674DCF-E8C3-AFC5-EEE7-E0C2B1EEE57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416719</xdr:colOff>
      <xdr:row>57</xdr:row>
      <xdr:rowOff>11910</xdr:rowOff>
    </xdr:from>
    <xdr:to>
      <xdr:col>8</xdr:col>
      <xdr:colOff>42774</xdr:colOff>
      <xdr:row>60</xdr:row>
      <xdr:rowOff>14556</xdr:rowOff>
    </xdr:to>
    <xdr:sp macro="" textlink="">
      <xdr:nvSpPr>
        <xdr:cNvPr id="3459" name="Isosceles Triangle 3458">
          <a:extLst>
            <a:ext uri="{FF2B5EF4-FFF2-40B4-BE49-F238E27FC236}">
              <a16:creationId xmlns:a16="http://schemas.microsoft.com/office/drawing/2014/main" id="{7AD7D56A-1FEF-4889-8E34-B2A2A201DE99}"/>
            </a:ext>
          </a:extLst>
        </xdr:cNvPr>
        <xdr:cNvSpPr/>
      </xdr:nvSpPr>
      <xdr:spPr>
        <a:xfrm>
          <a:off x="7533799" y="6755610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400053</xdr:colOff>
      <xdr:row>45</xdr:row>
      <xdr:rowOff>7151</xdr:rowOff>
    </xdr:from>
    <xdr:to>
      <xdr:col>28</xdr:col>
      <xdr:colOff>26108</xdr:colOff>
      <xdr:row>48</xdr:row>
      <xdr:rowOff>9797</xdr:rowOff>
    </xdr:to>
    <xdr:sp macro="" textlink="">
      <xdr:nvSpPr>
        <xdr:cNvPr id="3460" name="Isosceles Triangle 3459">
          <a:extLst>
            <a:ext uri="{FF2B5EF4-FFF2-40B4-BE49-F238E27FC236}">
              <a16:creationId xmlns:a16="http://schemas.microsoft.com/office/drawing/2014/main" id="{2226FA86-2C51-4DFC-A5F7-F6A1BCF64F50}"/>
            </a:ext>
          </a:extLst>
        </xdr:cNvPr>
        <xdr:cNvSpPr/>
      </xdr:nvSpPr>
      <xdr:spPr>
        <a:xfrm>
          <a:off x="2335533" y="6750851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404813</xdr:colOff>
      <xdr:row>238</xdr:row>
      <xdr:rowOff>23815</xdr:rowOff>
    </xdr:from>
    <xdr:to>
      <xdr:col>16</xdr:col>
      <xdr:colOff>30868</xdr:colOff>
      <xdr:row>241</xdr:row>
      <xdr:rowOff>16760</xdr:rowOff>
    </xdr:to>
    <xdr:sp macro="" textlink="">
      <xdr:nvSpPr>
        <xdr:cNvPr id="3461" name="Isosceles Triangle 3460">
          <a:extLst>
            <a:ext uri="{FF2B5EF4-FFF2-40B4-BE49-F238E27FC236}">
              <a16:creationId xmlns:a16="http://schemas.microsoft.com/office/drawing/2014/main" id="{AFAD55FF-5A6E-4AAC-9F63-78D4145F63CE}"/>
            </a:ext>
          </a:extLst>
        </xdr:cNvPr>
        <xdr:cNvSpPr/>
      </xdr:nvSpPr>
      <xdr:spPr>
        <a:xfrm>
          <a:off x="7521893" y="32218315"/>
          <a:ext cx="66237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9496</xdr:colOff>
      <xdr:row>107</xdr:row>
      <xdr:rowOff>116685</xdr:rowOff>
    </xdr:from>
    <xdr:to>
      <xdr:col>14</xdr:col>
      <xdr:colOff>247665</xdr:colOff>
      <xdr:row>109</xdr:row>
      <xdr:rowOff>110068</xdr:rowOff>
    </xdr:to>
    <xdr:grpSp>
      <xdr:nvGrpSpPr>
        <xdr:cNvPr id="3462" name="Group 3461">
          <a:extLst>
            <a:ext uri="{FF2B5EF4-FFF2-40B4-BE49-F238E27FC236}">
              <a16:creationId xmlns:a16="http://schemas.microsoft.com/office/drawing/2014/main" id="{E0E6CBDB-FA67-4CB7-AFB3-8AD4E654FF91}"/>
            </a:ext>
          </a:extLst>
        </xdr:cNvPr>
        <xdr:cNvGrpSpPr/>
      </xdr:nvGrpSpPr>
      <xdr:grpSpPr>
        <a:xfrm>
          <a:off x="7206163" y="19833435"/>
          <a:ext cx="238169" cy="332050"/>
          <a:chOff x="6143939" y="789134"/>
          <a:chExt cx="457200" cy="518966"/>
        </a:xfrm>
      </xdr:grpSpPr>
      <xdr:grpSp>
        <xdr:nvGrpSpPr>
          <xdr:cNvPr id="3463" name="Group 3462">
            <a:extLst>
              <a:ext uri="{FF2B5EF4-FFF2-40B4-BE49-F238E27FC236}">
                <a16:creationId xmlns:a16="http://schemas.microsoft.com/office/drawing/2014/main" id="{DDF23888-3BAE-D31C-64DD-55E1A10249C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65" name="Straight Connector 3464">
              <a:extLst>
                <a:ext uri="{FF2B5EF4-FFF2-40B4-BE49-F238E27FC236}">
                  <a16:creationId xmlns:a16="http://schemas.microsoft.com/office/drawing/2014/main" id="{D8924B85-082A-882F-01DB-7F21B1096B5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6" name="Straight Connector 3465">
              <a:extLst>
                <a:ext uri="{FF2B5EF4-FFF2-40B4-BE49-F238E27FC236}">
                  <a16:creationId xmlns:a16="http://schemas.microsoft.com/office/drawing/2014/main" id="{A7797041-EA68-A16D-F69B-F83FCB62B3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7" name="Straight Connector 3466">
              <a:extLst>
                <a:ext uri="{FF2B5EF4-FFF2-40B4-BE49-F238E27FC236}">
                  <a16:creationId xmlns:a16="http://schemas.microsoft.com/office/drawing/2014/main" id="{5FBE8428-D8A4-76A5-24C2-585165C81DC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8" name="Straight Connector 3467">
              <a:extLst>
                <a:ext uri="{FF2B5EF4-FFF2-40B4-BE49-F238E27FC236}">
                  <a16:creationId xmlns:a16="http://schemas.microsoft.com/office/drawing/2014/main" id="{F05E87DE-810E-DA37-377F-2A6B784A33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9" name="Straight Connector 3468">
              <a:extLst>
                <a:ext uri="{FF2B5EF4-FFF2-40B4-BE49-F238E27FC236}">
                  <a16:creationId xmlns:a16="http://schemas.microsoft.com/office/drawing/2014/main" id="{13CB4864-7D63-8732-E25A-B6F8CFEB0E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0" name="Straight Connector 3469">
              <a:extLst>
                <a:ext uri="{FF2B5EF4-FFF2-40B4-BE49-F238E27FC236}">
                  <a16:creationId xmlns:a16="http://schemas.microsoft.com/office/drawing/2014/main" id="{34048BAC-80AA-EFB8-8172-1E7CDADCE9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84F5E916-FC7D-5E9C-7B9E-F453D8DCB16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426239</xdr:colOff>
      <xdr:row>69</xdr:row>
      <xdr:rowOff>164303</xdr:rowOff>
    </xdr:from>
    <xdr:to>
      <xdr:col>10</xdr:col>
      <xdr:colOff>40387</xdr:colOff>
      <xdr:row>73</xdr:row>
      <xdr:rowOff>262</xdr:rowOff>
    </xdr:to>
    <xdr:sp macro="" textlink="">
      <xdr:nvSpPr>
        <xdr:cNvPr id="3471" name="Isosceles Triangle 3470">
          <a:extLst>
            <a:ext uri="{FF2B5EF4-FFF2-40B4-BE49-F238E27FC236}">
              <a16:creationId xmlns:a16="http://schemas.microsoft.com/office/drawing/2014/main" id="{A431589E-FA0C-48F1-AFF6-EED64149FEFE}"/>
            </a:ext>
          </a:extLst>
        </xdr:cNvPr>
        <xdr:cNvSpPr/>
      </xdr:nvSpPr>
      <xdr:spPr>
        <a:xfrm>
          <a:off x="8579639" y="8942543"/>
          <a:ext cx="658088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11088</xdr:colOff>
      <xdr:row>108</xdr:row>
      <xdr:rowOff>958</xdr:rowOff>
    </xdr:from>
    <xdr:to>
      <xdr:col>10</xdr:col>
      <xdr:colOff>233382</xdr:colOff>
      <xdr:row>110</xdr:row>
      <xdr:rowOff>1961</xdr:rowOff>
    </xdr:to>
    <xdr:grpSp>
      <xdr:nvGrpSpPr>
        <xdr:cNvPr id="3472" name="Group 3471">
          <a:extLst>
            <a:ext uri="{FF2B5EF4-FFF2-40B4-BE49-F238E27FC236}">
              <a16:creationId xmlns:a16="http://schemas.microsoft.com/office/drawing/2014/main" id="{122AEFDF-679F-466D-B8AB-9E52D0106E9F}"/>
            </a:ext>
          </a:extLst>
        </xdr:cNvPr>
        <xdr:cNvGrpSpPr/>
      </xdr:nvGrpSpPr>
      <xdr:grpSpPr>
        <a:xfrm>
          <a:off x="5112255" y="19887041"/>
          <a:ext cx="222294" cy="350253"/>
          <a:chOff x="6143939" y="789134"/>
          <a:chExt cx="457200" cy="518966"/>
        </a:xfrm>
      </xdr:grpSpPr>
      <xdr:grpSp>
        <xdr:nvGrpSpPr>
          <xdr:cNvPr id="3473" name="Group 3472">
            <a:extLst>
              <a:ext uri="{FF2B5EF4-FFF2-40B4-BE49-F238E27FC236}">
                <a16:creationId xmlns:a16="http://schemas.microsoft.com/office/drawing/2014/main" id="{C077FBCE-4C59-4776-D6C5-A7B5116F1D3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75" name="Straight Connector 3474">
              <a:extLst>
                <a:ext uri="{FF2B5EF4-FFF2-40B4-BE49-F238E27FC236}">
                  <a16:creationId xmlns:a16="http://schemas.microsoft.com/office/drawing/2014/main" id="{513539C5-F564-8795-EEF6-36A41D24BC8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6" name="Straight Connector 3475">
              <a:extLst>
                <a:ext uri="{FF2B5EF4-FFF2-40B4-BE49-F238E27FC236}">
                  <a16:creationId xmlns:a16="http://schemas.microsoft.com/office/drawing/2014/main" id="{6DF851D1-9E36-714B-C1FD-3B41E309E8E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7" name="Straight Connector 3476">
              <a:extLst>
                <a:ext uri="{FF2B5EF4-FFF2-40B4-BE49-F238E27FC236}">
                  <a16:creationId xmlns:a16="http://schemas.microsoft.com/office/drawing/2014/main" id="{BD3C76D8-3DE5-D600-697F-06F8F98107C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8" name="Straight Connector 3477">
              <a:extLst>
                <a:ext uri="{FF2B5EF4-FFF2-40B4-BE49-F238E27FC236}">
                  <a16:creationId xmlns:a16="http://schemas.microsoft.com/office/drawing/2014/main" id="{7C61D059-EE28-A580-E940-FAC26BE22D3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9" name="Straight Connector 3478">
              <a:extLst>
                <a:ext uri="{FF2B5EF4-FFF2-40B4-BE49-F238E27FC236}">
                  <a16:creationId xmlns:a16="http://schemas.microsoft.com/office/drawing/2014/main" id="{678335C1-41B9-0107-CDA8-36768E00FA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0" name="Straight Connector 3479">
              <a:extLst>
                <a:ext uri="{FF2B5EF4-FFF2-40B4-BE49-F238E27FC236}">
                  <a16:creationId xmlns:a16="http://schemas.microsoft.com/office/drawing/2014/main" id="{6BD10878-DA2C-116A-8172-F495D27F97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74" name="Straight Connector 3473">
            <a:extLst>
              <a:ext uri="{FF2B5EF4-FFF2-40B4-BE49-F238E27FC236}">
                <a16:creationId xmlns:a16="http://schemas.microsoft.com/office/drawing/2014/main" id="{914A49DE-3529-A073-05ED-68CE9E88969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21019</xdr:colOff>
      <xdr:row>74</xdr:row>
      <xdr:rowOff>52224</xdr:rowOff>
    </xdr:from>
    <xdr:to>
      <xdr:col>4</xdr:col>
      <xdr:colOff>259188</xdr:colOff>
      <xdr:row>76</xdr:row>
      <xdr:rowOff>45605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2531CE-9458-4E24-BF4F-D8A26172B6D2}"/>
            </a:ext>
          </a:extLst>
        </xdr:cNvPr>
        <xdr:cNvGrpSpPr/>
      </xdr:nvGrpSpPr>
      <xdr:grpSpPr>
        <a:xfrm>
          <a:off x="1978936" y="14075141"/>
          <a:ext cx="238169" cy="332047"/>
          <a:chOff x="6143939" y="789134"/>
          <a:chExt cx="457200" cy="51896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F6CC91A4-FF89-087A-A23D-F6F97FC655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" name="Straight Connector 4">
              <a:extLst>
                <a:ext uri="{FF2B5EF4-FFF2-40B4-BE49-F238E27FC236}">
                  <a16:creationId xmlns:a16="http://schemas.microsoft.com/office/drawing/2014/main" id="{AB166371-4330-1B94-1440-B0F89FC1896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" name="Straight Connector 5">
              <a:extLst>
                <a:ext uri="{FF2B5EF4-FFF2-40B4-BE49-F238E27FC236}">
                  <a16:creationId xmlns:a16="http://schemas.microsoft.com/office/drawing/2014/main" id="{F8EA61D0-2BDF-CEEA-23F6-7C88044D504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37702889-4E6F-31BF-A91D-1AE56B020CF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" name="Straight Connector 7">
              <a:extLst>
                <a:ext uri="{FF2B5EF4-FFF2-40B4-BE49-F238E27FC236}">
                  <a16:creationId xmlns:a16="http://schemas.microsoft.com/office/drawing/2014/main" id="{A437BEA1-BCBE-D37D-482A-72B7026B461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C3B83A51-D785-090E-830F-F42ABC22930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F86D7A79-CFD2-24E2-0E04-987D64BC545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55203226-1BDC-100A-3328-5E77DE5027B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551131</xdr:colOff>
      <xdr:row>74</xdr:row>
      <xdr:rowOff>56825</xdr:rowOff>
    </xdr:from>
    <xdr:to>
      <xdr:col>6</xdr:col>
      <xdr:colOff>230938</xdr:colOff>
      <xdr:row>76</xdr:row>
      <xdr:rowOff>50206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195292C-512B-4BE0-9EE8-9F04E1A2362F}"/>
            </a:ext>
          </a:extLst>
        </xdr:cNvPr>
        <xdr:cNvGrpSpPr/>
      </xdr:nvGrpSpPr>
      <xdr:grpSpPr>
        <a:xfrm>
          <a:off x="2964131" y="14079742"/>
          <a:ext cx="272474" cy="332047"/>
          <a:chOff x="6143939" y="789134"/>
          <a:chExt cx="457200" cy="518966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7CCE27F9-8549-AC9F-B1F5-4AF8677597A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12EBE684-63EC-CF4B-3BF7-745B30C84EB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D5D8345B-0FC2-E222-E3DA-BE60956C3A8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BCBAB1C6-688A-1C67-2E13-58DA0DF5335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84D1DD29-A91C-7A8A-6644-A549A62FD64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D55E14C5-1325-CDD2-60FD-88C8894E96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" name="Straight Connector 18">
              <a:extLst>
                <a:ext uri="{FF2B5EF4-FFF2-40B4-BE49-F238E27FC236}">
                  <a16:creationId xmlns:a16="http://schemas.microsoft.com/office/drawing/2014/main" id="{10088F6D-204F-9FE0-DB9F-E06BA5AA33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DE78F0C-0A58-66D1-C6ED-5221862F74C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21023</xdr:colOff>
      <xdr:row>38</xdr:row>
      <xdr:rowOff>152402</xdr:rowOff>
    </xdr:from>
    <xdr:to>
      <xdr:col>28</xdr:col>
      <xdr:colOff>259192</xdr:colOff>
      <xdr:row>40</xdr:row>
      <xdr:rowOff>152451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DD21983C-ED97-49B0-A45B-1B38B3CDD62C}"/>
            </a:ext>
          </a:extLst>
        </xdr:cNvPr>
        <xdr:cNvGrpSpPr/>
      </xdr:nvGrpSpPr>
      <xdr:grpSpPr>
        <a:xfrm>
          <a:off x="14551940" y="7835902"/>
          <a:ext cx="238169" cy="338716"/>
          <a:chOff x="6143939" y="789134"/>
          <a:chExt cx="457200" cy="518966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B6F9E29F-2234-7FAE-2D0A-5F7B6F5571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58FE80C4-F4A8-263A-2BBC-0F06532880E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Connector 23">
              <a:extLst>
                <a:ext uri="{FF2B5EF4-FFF2-40B4-BE49-F238E27FC236}">
                  <a16:creationId xmlns:a16="http://schemas.microsoft.com/office/drawing/2014/main" id="{6B15999C-15A6-B859-A590-024F7119CA0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4B2EA0A8-7328-3A21-5A78-787EE8709EB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34B214F2-7507-7C60-7FDA-720904C9B8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3F7B45EB-FD57-3045-6D51-5330C28EE9D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D8F8EB79-0453-D22C-EF8F-10EF62435F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A94F943E-31CA-D93B-0444-283EF893EDB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546537</xdr:colOff>
      <xdr:row>49</xdr:row>
      <xdr:rowOff>119560</xdr:rowOff>
    </xdr:from>
    <xdr:to>
      <xdr:col>12</xdr:col>
      <xdr:colOff>226343</xdr:colOff>
      <xdr:row>51</xdr:row>
      <xdr:rowOff>119609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BD5AB15-85C0-4DAB-99DE-7FA660297E30}"/>
            </a:ext>
          </a:extLst>
        </xdr:cNvPr>
        <xdr:cNvGrpSpPr/>
      </xdr:nvGrpSpPr>
      <xdr:grpSpPr>
        <a:xfrm>
          <a:off x="6102787" y="9813893"/>
          <a:ext cx="272473" cy="338716"/>
          <a:chOff x="6143939" y="789134"/>
          <a:chExt cx="457200" cy="518966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E5682516-A976-664A-928B-D826AA3D801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0AAC010A-14B6-BB7B-514D-E1018CE8BC5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5032977B-9CED-BA1E-8548-58B09972A04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9BD5A8AE-C567-800D-DED4-69AAF50C3A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69E888F3-3E84-1E0B-3B5B-7EC873D76A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Connector 35">
              <a:extLst>
                <a:ext uri="{FF2B5EF4-FFF2-40B4-BE49-F238E27FC236}">
                  <a16:creationId xmlns:a16="http://schemas.microsoft.com/office/drawing/2014/main" id="{36D923DF-5B8F-C965-D4D5-92217DBD551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Connector 36">
              <a:extLst>
                <a:ext uri="{FF2B5EF4-FFF2-40B4-BE49-F238E27FC236}">
                  <a16:creationId xmlns:a16="http://schemas.microsoft.com/office/drawing/2014/main" id="{55222FF3-6A5A-FEC5-A814-DA89AFF4B06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1F23074F-9473-F07A-7566-D74D02D3BCB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21028</xdr:colOff>
      <xdr:row>74</xdr:row>
      <xdr:rowOff>158147</xdr:rowOff>
    </xdr:from>
    <xdr:to>
      <xdr:col>26</xdr:col>
      <xdr:colOff>259197</xdr:colOff>
      <xdr:row>76</xdr:row>
      <xdr:rowOff>151529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A9E05036-D06C-4BBD-AD79-0ED8C079BC61}"/>
            </a:ext>
          </a:extLst>
        </xdr:cNvPr>
        <xdr:cNvGrpSpPr/>
      </xdr:nvGrpSpPr>
      <xdr:grpSpPr>
        <a:xfrm>
          <a:off x="13504195" y="14181064"/>
          <a:ext cx="238169" cy="332048"/>
          <a:chOff x="6143939" y="789134"/>
          <a:chExt cx="457200" cy="518966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BD1EB466-F987-23F0-842A-C852D11809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41" name="Straight Connector 40">
              <a:extLst>
                <a:ext uri="{FF2B5EF4-FFF2-40B4-BE49-F238E27FC236}">
                  <a16:creationId xmlns:a16="http://schemas.microsoft.com/office/drawing/2014/main" id="{C7EC218E-9E34-0184-28EE-AF10E492FE5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7FAA676C-8FB5-F007-02CC-C4F8E685DE6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AA5EC106-4119-343A-CB78-0D6F8B72C8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E37F57E2-4950-4A95-3304-E97453C366D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2DC7F00A-0762-31D0-E2A1-506023409A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B1DCAF89-4C47-B0B1-78D1-086D80ED22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2D91E35D-3A09-4946-FE92-12C1F9745E3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9196</xdr:colOff>
      <xdr:row>75</xdr:row>
      <xdr:rowOff>14946</xdr:rowOff>
    </xdr:from>
    <xdr:to>
      <xdr:col>30</xdr:col>
      <xdr:colOff>247365</xdr:colOff>
      <xdr:row>77</xdr:row>
      <xdr:rowOff>8327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F39C21C5-E484-4779-A2FE-1D0E49AC8B8D}"/>
            </a:ext>
          </a:extLst>
        </xdr:cNvPr>
        <xdr:cNvGrpSpPr/>
      </xdr:nvGrpSpPr>
      <xdr:grpSpPr>
        <a:xfrm>
          <a:off x="15587863" y="14207196"/>
          <a:ext cx="238169" cy="342631"/>
          <a:chOff x="6143939" y="789134"/>
          <a:chExt cx="457200" cy="518966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F0D3664E-6845-2787-7682-A61A0811A3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7DB9B45D-3713-1E2E-11E0-B0F6900E870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B1E9CB74-A010-C0F3-1A97-079B68F5843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DBFC8D07-A9B6-A98A-B8D4-E066492377B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8ED3D509-D871-76C6-B6F0-5AAC4128763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51C8ED3B-39A5-4587-2ABF-C5FFBA2289C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95893954-DEEC-08F8-DEFB-0B5F8D0AD0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4F6BBCD4-D7C4-3317-BB7D-B730592386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108</xdr:colOff>
      <xdr:row>85</xdr:row>
      <xdr:rowOff>134504</xdr:rowOff>
    </xdr:from>
    <xdr:to>
      <xdr:col>2</xdr:col>
      <xdr:colOff>235540</xdr:colOff>
      <xdr:row>87</xdr:row>
      <xdr:rowOff>127886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CA4B3492-A6F4-41BC-B99B-15F671FC1E9F}"/>
            </a:ext>
          </a:extLst>
        </xdr:cNvPr>
        <xdr:cNvGrpSpPr/>
      </xdr:nvGrpSpPr>
      <xdr:grpSpPr>
        <a:xfrm>
          <a:off x="910275" y="16051837"/>
          <a:ext cx="235432" cy="342632"/>
          <a:chOff x="6143939" y="789134"/>
          <a:chExt cx="457200" cy="518966"/>
        </a:xfrm>
      </xdr:grpSpPr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9627333E-0D48-128C-7059-8DFA0E2BD2E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79EC8432-415F-3CD7-D904-9529E8DF041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0" name="Straight Connector 59">
              <a:extLst>
                <a:ext uri="{FF2B5EF4-FFF2-40B4-BE49-F238E27FC236}">
                  <a16:creationId xmlns:a16="http://schemas.microsoft.com/office/drawing/2014/main" id="{3238501E-44AF-4920-CB96-93B9D8837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F61E567A-1717-433D-6152-6279633F93C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EF333329-58E9-39D4-E554-6545D90678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452599D5-52B7-1BF2-D289-5144DD56DD8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48" name="Straight Connector 2047">
              <a:extLst>
                <a:ext uri="{FF2B5EF4-FFF2-40B4-BE49-F238E27FC236}">
                  <a16:creationId xmlns:a16="http://schemas.microsoft.com/office/drawing/2014/main" id="{79DC5CBF-80AE-9037-B2BB-8BD1563AC6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90EE5D60-7940-A871-2F3F-36531D80161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18392</xdr:colOff>
      <xdr:row>86</xdr:row>
      <xdr:rowOff>7726</xdr:rowOff>
    </xdr:from>
    <xdr:to>
      <xdr:col>4</xdr:col>
      <xdr:colOff>256561</xdr:colOff>
      <xdr:row>88</xdr:row>
      <xdr:rowOff>1107</xdr:rowOff>
    </xdr:to>
    <xdr:grpSp>
      <xdr:nvGrpSpPr>
        <xdr:cNvPr id="2049" name="Group 2048">
          <a:extLst>
            <a:ext uri="{FF2B5EF4-FFF2-40B4-BE49-F238E27FC236}">
              <a16:creationId xmlns:a16="http://schemas.microsoft.com/office/drawing/2014/main" id="{67427F94-646A-4EA3-8B19-1644B0DE846C}"/>
            </a:ext>
          </a:extLst>
        </xdr:cNvPr>
        <xdr:cNvGrpSpPr/>
      </xdr:nvGrpSpPr>
      <xdr:grpSpPr>
        <a:xfrm>
          <a:off x="1976309" y="16104976"/>
          <a:ext cx="238169" cy="374381"/>
          <a:chOff x="6143939" y="789134"/>
          <a:chExt cx="457200" cy="518966"/>
        </a:xfrm>
      </xdr:grpSpPr>
      <xdr:grpSp>
        <xdr:nvGrpSpPr>
          <xdr:cNvPr id="2050" name="Group 2049">
            <a:extLst>
              <a:ext uri="{FF2B5EF4-FFF2-40B4-BE49-F238E27FC236}">
                <a16:creationId xmlns:a16="http://schemas.microsoft.com/office/drawing/2014/main" id="{915D6AD7-1B27-680D-A223-047F943F887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52" name="Straight Connector 2051">
              <a:extLst>
                <a:ext uri="{FF2B5EF4-FFF2-40B4-BE49-F238E27FC236}">
                  <a16:creationId xmlns:a16="http://schemas.microsoft.com/office/drawing/2014/main" id="{F14B7427-3843-E0D0-3A9E-41A9F5F0F82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3" name="Straight Connector 2052">
              <a:extLst>
                <a:ext uri="{FF2B5EF4-FFF2-40B4-BE49-F238E27FC236}">
                  <a16:creationId xmlns:a16="http://schemas.microsoft.com/office/drawing/2014/main" id="{C12FB929-C359-453B-38B5-729B155648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4" name="Straight Connector 2053">
              <a:extLst>
                <a:ext uri="{FF2B5EF4-FFF2-40B4-BE49-F238E27FC236}">
                  <a16:creationId xmlns:a16="http://schemas.microsoft.com/office/drawing/2014/main" id="{CD034B94-0476-942B-E44F-31E5D1DD0E8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5" name="Straight Connector 2054">
              <a:extLst>
                <a:ext uri="{FF2B5EF4-FFF2-40B4-BE49-F238E27FC236}">
                  <a16:creationId xmlns:a16="http://schemas.microsoft.com/office/drawing/2014/main" id="{19B734B7-3C00-1694-3632-48531243B89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6" name="Straight Connector 2055">
              <a:extLst>
                <a:ext uri="{FF2B5EF4-FFF2-40B4-BE49-F238E27FC236}">
                  <a16:creationId xmlns:a16="http://schemas.microsoft.com/office/drawing/2014/main" id="{465220BD-A2BE-D269-2079-8614F5BC98D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7" name="Straight Connector 2056">
              <a:extLst>
                <a:ext uri="{FF2B5EF4-FFF2-40B4-BE49-F238E27FC236}">
                  <a16:creationId xmlns:a16="http://schemas.microsoft.com/office/drawing/2014/main" id="{DF1B6B3A-D41A-0F82-C2A9-8A8BE9919B5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51" name="Straight Connector 2050">
            <a:extLst>
              <a:ext uri="{FF2B5EF4-FFF2-40B4-BE49-F238E27FC236}">
                <a16:creationId xmlns:a16="http://schemas.microsoft.com/office/drawing/2014/main" id="{934CBB61-8AC8-4419-385E-F080259CA3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21017</xdr:colOff>
      <xdr:row>96</xdr:row>
      <xdr:rowOff>135978</xdr:rowOff>
    </xdr:from>
    <xdr:to>
      <xdr:col>18</xdr:col>
      <xdr:colOff>259186</xdr:colOff>
      <xdr:row>98</xdr:row>
      <xdr:rowOff>136028</xdr:rowOff>
    </xdr:to>
    <xdr:grpSp>
      <xdr:nvGrpSpPr>
        <xdr:cNvPr id="2058" name="Group 2057">
          <a:extLst>
            <a:ext uri="{FF2B5EF4-FFF2-40B4-BE49-F238E27FC236}">
              <a16:creationId xmlns:a16="http://schemas.microsoft.com/office/drawing/2014/main" id="{9991B4AA-A2D0-43A1-857B-5C389E8E586D}"/>
            </a:ext>
          </a:extLst>
        </xdr:cNvPr>
        <xdr:cNvGrpSpPr/>
      </xdr:nvGrpSpPr>
      <xdr:grpSpPr>
        <a:xfrm>
          <a:off x="9313184" y="17968895"/>
          <a:ext cx="238169" cy="338716"/>
          <a:chOff x="6143939" y="789134"/>
          <a:chExt cx="457200" cy="518966"/>
        </a:xfrm>
      </xdr:grpSpPr>
      <xdr:grpSp>
        <xdr:nvGrpSpPr>
          <xdr:cNvPr id="2059" name="Group 2058">
            <a:extLst>
              <a:ext uri="{FF2B5EF4-FFF2-40B4-BE49-F238E27FC236}">
                <a16:creationId xmlns:a16="http://schemas.microsoft.com/office/drawing/2014/main" id="{2236ED94-A0BC-516B-1B2E-F760672DF8C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61" name="Straight Connector 2060">
              <a:extLst>
                <a:ext uri="{FF2B5EF4-FFF2-40B4-BE49-F238E27FC236}">
                  <a16:creationId xmlns:a16="http://schemas.microsoft.com/office/drawing/2014/main" id="{A41433EC-0151-2A36-D819-1BC7F2C2873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2" name="Straight Connector 2061">
              <a:extLst>
                <a:ext uri="{FF2B5EF4-FFF2-40B4-BE49-F238E27FC236}">
                  <a16:creationId xmlns:a16="http://schemas.microsoft.com/office/drawing/2014/main" id="{C11E9ACD-2D72-F376-45DC-2510E5B6549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3" name="Straight Connector 2062">
              <a:extLst>
                <a:ext uri="{FF2B5EF4-FFF2-40B4-BE49-F238E27FC236}">
                  <a16:creationId xmlns:a16="http://schemas.microsoft.com/office/drawing/2014/main" id="{14AD6CFA-613B-B07D-8377-6754FBDB13F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4" name="Straight Connector 2063">
              <a:extLst>
                <a:ext uri="{FF2B5EF4-FFF2-40B4-BE49-F238E27FC236}">
                  <a16:creationId xmlns:a16="http://schemas.microsoft.com/office/drawing/2014/main" id="{C6287DA6-C14D-929F-589D-78333EF95BC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5" name="Straight Connector 2064">
              <a:extLst>
                <a:ext uri="{FF2B5EF4-FFF2-40B4-BE49-F238E27FC236}">
                  <a16:creationId xmlns:a16="http://schemas.microsoft.com/office/drawing/2014/main" id="{85CDED00-9CCE-1CB0-2545-0F395718E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6" name="Straight Connector 2065">
              <a:extLst>
                <a:ext uri="{FF2B5EF4-FFF2-40B4-BE49-F238E27FC236}">
                  <a16:creationId xmlns:a16="http://schemas.microsoft.com/office/drawing/2014/main" id="{60DEEAEA-A6A5-053D-DBB8-4FF9D6B32E3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0" name="Straight Connector 2059">
            <a:extLst>
              <a:ext uri="{FF2B5EF4-FFF2-40B4-BE49-F238E27FC236}">
                <a16:creationId xmlns:a16="http://schemas.microsoft.com/office/drawing/2014/main" id="{62EC2F52-D54F-EDF0-278E-1C501AD5DD4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4595</xdr:colOff>
      <xdr:row>229</xdr:row>
      <xdr:rowOff>169323</xdr:rowOff>
    </xdr:from>
    <xdr:to>
      <xdr:col>26</xdr:col>
      <xdr:colOff>242764</xdr:colOff>
      <xdr:row>231</xdr:row>
      <xdr:rowOff>169372</xdr:rowOff>
    </xdr:to>
    <xdr:grpSp>
      <xdr:nvGrpSpPr>
        <xdr:cNvPr id="2067" name="Group 2066">
          <a:extLst>
            <a:ext uri="{FF2B5EF4-FFF2-40B4-BE49-F238E27FC236}">
              <a16:creationId xmlns:a16="http://schemas.microsoft.com/office/drawing/2014/main" id="{60D1B614-356A-494A-A9A8-AA91DE705845}"/>
            </a:ext>
          </a:extLst>
        </xdr:cNvPr>
        <xdr:cNvGrpSpPr/>
      </xdr:nvGrpSpPr>
      <xdr:grpSpPr>
        <a:xfrm>
          <a:off x="13487762" y="40618823"/>
          <a:ext cx="238169" cy="338716"/>
          <a:chOff x="6143939" y="789134"/>
          <a:chExt cx="457200" cy="518966"/>
        </a:xfrm>
      </xdr:grpSpPr>
      <xdr:grpSp>
        <xdr:nvGrpSpPr>
          <xdr:cNvPr id="2068" name="Group 2067">
            <a:extLst>
              <a:ext uri="{FF2B5EF4-FFF2-40B4-BE49-F238E27FC236}">
                <a16:creationId xmlns:a16="http://schemas.microsoft.com/office/drawing/2014/main" id="{5AB6E802-1B25-343F-5146-01B2B6C9803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0" name="Straight Connector 2069">
              <a:extLst>
                <a:ext uri="{FF2B5EF4-FFF2-40B4-BE49-F238E27FC236}">
                  <a16:creationId xmlns:a16="http://schemas.microsoft.com/office/drawing/2014/main" id="{FDBB1F7B-93CA-2637-73E5-B4616CB6D43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1" name="Straight Connector 2070">
              <a:extLst>
                <a:ext uri="{FF2B5EF4-FFF2-40B4-BE49-F238E27FC236}">
                  <a16:creationId xmlns:a16="http://schemas.microsoft.com/office/drawing/2014/main" id="{6830DCC8-3ABA-C5A8-84B9-C11A76662C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2" name="Straight Connector 2071">
              <a:extLst>
                <a:ext uri="{FF2B5EF4-FFF2-40B4-BE49-F238E27FC236}">
                  <a16:creationId xmlns:a16="http://schemas.microsoft.com/office/drawing/2014/main" id="{7EA02FD9-D812-365E-D064-B90C9B01732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3" name="Straight Connector 2072">
              <a:extLst>
                <a:ext uri="{FF2B5EF4-FFF2-40B4-BE49-F238E27FC236}">
                  <a16:creationId xmlns:a16="http://schemas.microsoft.com/office/drawing/2014/main" id="{8A939E06-70B0-ED78-3B19-3CD3BB9661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4" name="Straight Connector 2073">
              <a:extLst>
                <a:ext uri="{FF2B5EF4-FFF2-40B4-BE49-F238E27FC236}">
                  <a16:creationId xmlns:a16="http://schemas.microsoft.com/office/drawing/2014/main" id="{58956218-93EF-882F-F8E4-CB9D895BAE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5" name="Straight Connector 2074">
              <a:extLst>
                <a:ext uri="{FF2B5EF4-FFF2-40B4-BE49-F238E27FC236}">
                  <a16:creationId xmlns:a16="http://schemas.microsoft.com/office/drawing/2014/main" id="{1FB6012D-9F71-2F75-EE07-F00720A2317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B3C91428-C8D6-4D9D-FC5F-4B32CB070F2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4614</xdr:colOff>
      <xdr:row>242</xdr:row>
      <xdr:rowOff>85068</xdr:rowOff>
    </xdr:from>
    <xdr:to>
      <xdr:col>6</xdr:col>
      <xdr:colOff>242783</xdr:colOff>
      <xdr:row>244</xdr:row>
      <xdr:rowOff>78449</xdr:rowOff>
    </xdr:to>
    <xdr:grpSp>
      <xdr:nvGrpSpPr>
        <xdr:cNvPr id="2076" name="Group 2075">
          <a:extLst>
            <a:ext uri="{FF2B5EF4-FFF2-40B4-BE49-F238E27FC236}">
              <a16:creationId xmlns:a16="http://schemas.microsoft.com/office/drawing/2014/main" id="{425FE0C4-DEF1-45D9-AEC8-182FBE3A91C2}"/>
            </a:ext>
          </a:extLst>
        </xdr:cNvPr>
        <xdr:cNvGrpSpPr/>
      </xdr:nvGrpSpPr>
      <xdr:grpSpPr>
        <a:xfrm>
          <a:off x="3010281" y="42735901"/>
          <a:ext cx="238169" cy="332048"/>
          <a:chOff x="6143939" y="789134"/>
          <a:chExt cx="457200" cy="518966"/>
        </a:xfrm>
      </xdr:grpSpPr>
      <xdr:grpSp>
        <xdr:nvGrpSpPr>
          <xdr:cNvPr id="2077" name="Group 2076">
            <a:extLst>
              <a:ext uri="{FF2B5EF4-FFF2-40B4-BE49-F238E27FC236}">
                <a16:creationId xmlns:a16="http://schemas.microsoft.com/office/drawing/2014/main" id="{30FE2F0D-8635-6CEF-ED73-7186D59992C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9" name="Straight Connector 2078">
              <a:extLst>
                <a:ext uri="{FF2B5EF4-FFF2-40B4-BE49-F238E27FC236}">
                  <a16:creationId xmlns:a16="http://schemas.microsoft.com/office/drawing/2014/main" id="{D25A2AD5-6C83-B51C-B1FD-818B70035E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0" name="Straight Connector 2079">
              <a:extLst>
                <a:ext uri="{FF2B5EF4-FFF2-40B4-BE49-F238E27FC236}">
                  <a16:creationId xmlns:a16="http://schemas.microsoft.com/office/drawing/2014/main" id="{04D2F080-25A0-BA0E-E6B8-AB5B7624055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1" name="Straight Connector 2080">
              <a:extLst>
                <a:ext uri="{FF2B5EF4-FFF2-40B4-BE49-F238E27FC236}">
                  <a16:creationId xmlns:a16="http://schemas.microsoft.com/office/drawing/2014/main" id="{BC298FAA-7E31-E452-4A7D-CB68B8CFE6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2" name="Straight Connector 2081">
              <a:extLst>
                <a:ext uri="{FF2B5EF4-FFF2-40B4-BE49-F238E27FC236}">
                  <a16:creationId xmlns:a16="http://schemas.microsoft.com/office/drawing/2014/main" id="{ED34B3F3-31B4-1F51-6F82-6AFFDB838DD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3" name="Straight Connector 2082">
              <a:extLst>
                <a:ext uri="{FF2B5EF4-FFF2-40B4-BE49-F238E27FC236}">
                  <a16:creationId xmlns:a16="http://schemas.microsoft.com/office/drawing/2014/main" id="{860E0CD1-757B-81DC-F7AF-EF7E33DBA79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4" name="Straight Connector 2083">
              <a:extLst>
                <a:ext uri="{FF2B5EF4-FFF2-40B4-BE49-F238E27FC236}">
                  <a16:creationId xmlns:a16="http://schemas.microsoft.com/office/drawing/2014/main" id="{D12D507F-BB4E-C1D6-5742-174203D52F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1B371A5A-9A72-8E18-7481-3ADD57E7252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4605</xdr:colOff>
      <xdr:row>229</xdr:row>
      <xdr:rowOff>152901</xdr:rowOff>
    </xdr:from>
    <xdr:to>
      <xdr:col>22</xdr:col>
      <xdr:colOff>242774</xdr:colOff>
      <xdr:row>231</xdr:row>
      <xdr:rowOff>152950</xdr:rowOff>
    </xdr:to>
    <xdr:grpSp>
      <xdr:nvGrpSpPr>
        <xdr:cNvPr id="2086" name="Group 2085">
          <a:extLst>
            <a:ext uri="{FF2B5EF4-FFF2-40B4-BE49-F238E27FC236}">
              <a16:creationId xmlns:a16="http://schemas.microsoft.com/office/drawing/2014/main" id="{27406CE3-DD1F-4330-84B5-2D992B3E6899}"/>
            </a:ext>
          </a:extLst>
        </xdr:cNvPr>
        <xdr:cNvGrpSpPr/>
      </xdr:nvGrpSpPr>
      <xdr:grpSpPr>
        <a:xfrm>
          <a:off x="11392272" y="40602401"/>
          <a:ext cx="238169" cy="338716"/>
          <a:chOff x="6143939" y="789134"/>
          <a:chExt cx="457200" cy="518966"/>
        </a:xfrm>
      </xdr:grpSpPr>
      <xdr:grpSp>
        <xdr:nvGrpSpPr>
          <xdr:cNvPr id="2087" name="Group 2086">
            <a:extLst>
              <a:ext uri="{FF2B5EF4-FFF2-40B4-BE49-F238E27FC236}">
                <a16:creationId xmlns:a16="http://schemas.microsoft.com/office/drawing/2014/main" id="{52B5C389-A28B-8939-3831-5603C42FB12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89" name="Straight Connector 2088">
              <a:extLst>
                <a:ext uri="{FF2B5EF4-FFF2-40B4-BE49-F238E27FC236}">
                  <a16:creationId xmlns:a16="http://schemas.microsoft.com/office/drawing/2014/main" id="{A55ED161-2207-850B-4791-A22D5A0837B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0" name="Straight Connector 2089">
              <a:extLst>
                <a:ext uri="{FF2B5EF4-FFF2-40B4-BE49-F238E27FC236}">
                  <a16:creationId xmlns:a16="http://schemas.microsoft.com/office/drawing/2014/main" id="{D6034625-6F84-2F2D-C8BE-10FC85EC1D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1" name="Straight Connector 2090">
              <a:extLst>
                <a:ext uri="{FF2B5EF4-FFF2-40B4-BE49-F238E27FC236}">
                  <a16:creationId xmlns:a16="http://schemas.microsoft.com/office/drawing/2014/main" id="{9246940D-83E4-E2EB-217C-00D6B78AF57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2" name="Straight Connector 2091">
              <a:extLst>
                <a:ext uri="{FF2B5EF4-FFF2-40B4-BE49-F238E27FC236}">
                  <a16:creationId xmlns:a16="http://schemas.microsoft.com/office/drawing/2014/main" id="{F7637798-42B9-D91F-7F0C-81C8D572656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3" name="Straight Connector 2092">
              <a:extLst>
                <a:ext uri="{FF2B5EF4-FFF2-40B4-BE49-F238E27FC236}">
                  <a16:creationId xmlns:a16="http://schemas.microsoft.com/office/drawing/2014/main" id="{E3C13B39-E1FE-4B82-0357-415923DD3F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4" name="Straight Connector 2093">
              <a:extLst>
                <a:ext uri="{FF2B5EF4-FFF2-40B4-BE49-F238E27FC236}">
                  <a16:creationId xmlns:a16="http://schemas.microsoft.com/office/drawing/2014/main" id="{44B5227B-8332-E674-A4B8-08B98B7ECB3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88" name="Straight Connector 2087">
            <a:extLst>
              <a:ext uri="{FF2B5EF4-FFF2-40B4-BE49-F238E27FC236}">
                <a16:creationId xmlns:a16="http://schemas.microsoft.com/office/drawing/2014/main" id="{A2303FF6-538B-2322-C79C-FDC077423C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416212</xdr:colOff>
      <xdr:row>70</xdr:row>
      <xdr:rowOff>14010</xdr:rowOff>
    </xdr:from>
    <xdr:to>
      <xdr:col>6</xdr:col>
      <xdr:colOff>42266</xdr:colOff>
      <xdr:row>73</xdr:row>
      <xdr:rowOff>6955</xdr:rowOff>
    </xdr:to>
    <xdr:sp macro="" textlink="">
      <xdr:nvSpPr>
        <xdr:cNvPr id="2095" name="Isosceles Triangle 2094">
          <a:extLst>
            <a:ext uri="{FF2B5EF4-FFF2-40B4-BE49-F238E27FC236}">
              <a16:creationId xmlns:a16="http://schemas.microsoft.com/office/drawing/2014/main" id="{7E75AB1C-5C91-40D3-AF03-B04176A20AA1}"/>
            </a:ext>
          </a:extLst>
        </xdr:cNvPr>
        <xdr:cNvSpPr/>
      </xdr:nvSpPr>
      <xdr:spPr>
        <a:xfrm>
          <a:off x="6295436" y="8734312"/>
          <a:ext cx="627821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551154</xdr:colOff>
      <xdr:row>242</xdr:row>
      <xdr:rowOff>138935</xdr:rowOff>
    </xdr:from>
    <xdr:to>
      <xdr:col>4</xdr:col>
      <xdr:colOff>230961</xdr:colOff>
      <xdr:row>244</xdr:row>
      <xdr:rowOff>132316</xdr:rowOff>
    </xdr:to>
    <xdr:grpSp>
      <xdr:nvGrpSpPr>
        <xdr:cNvPr id="2096" name="Group 2095">
          <a:extLst>
            <a:ext uri="{FF2B5EF4-FFF2-40B4-BE49-F238E27FC236}">
              <a16:creationId xmlns:a16="http://schemas.microsoft.com/office/drawing/2014/main" id="{61C0BEAD-32DE-45F1-A01E-DCAC172816E4}"/>
            </a:ext>
          </a:extLst>
        </xdr:cNvPr>
        <xdr:cNvGrpSpPr/>
      </xdr:nvGrpSpPr>
      <xdr:grpSpPr>
        <a:xfrm>
          <a:off x="1916404" y="42789768"/>
          <a:ext cx="272474" cy="332048"/>
          <a:chOff x="6143939" y="789134"/>
          <a:chExt cx="457200" cy="518966"/>
        </a:xfrm>
      </xdr:grpSpPr>
      <xdr:grpSp>
        <xdr:nvGrpSpPr>
          <xdr:cNvPr id="2097" name="Group 2096">
            <a:extLst>
              <a:ext uri="{FF2B5EF4-FFF2-40B4-BE49-F238E27FC236}">
                <a16:creationId xmlns:a16="http://schemas.microsoft.com/office/drawing/2014/main" id="{176B0D3C-C145-84E3-2DEB-159B0914E7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99" name="Straight Connector 2098">
              <a:extLst>
                <a:ext uri="{FF2B5EF4-FFF2-40B4-BE49-F238E27FC236}">
                  <a16:creationId xmlns:a16="http://schemas.microsoft.com/office/drawing/2014/main" id="{D08FC795-CB9F-1B66-D50B-09749270E2D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0" name="Straight Connector 2099">
              <a:extLst>
                <a:ext uri="{FF2B5EF4-FFF2-40B4-BE49-F238E27FC236}">
                  <a16:creationId xmlns:a16="http://schemas.microsoft.com/office/drawing/2014/main" id="{8A13CEEB-3C7C-C5EA-95CE-5860654AADC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1" name="Straight Connector 2100">
              <a:extLst>
                <a:ext uri="{FF2B5EF4-FFF2-40B4-BE49-F238E27FC236}">
                  <a16:creationId xmlns:a16="http://schemas.microsoft.com/office/drawing/2014/main" id="{E9C7904C-79BF-F8BA-CA54-CAA3C1046D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2" name="Straight Connector 2101">
              <a:extLst>
                <a:ext uri="{FF2B5EF4-FFF2-40B4-BE49-F238E27FC236}">
                  <a16:creationId xmlns:a16="http://schemas.microsoft.com/office/drawing/2014/main" id="{7B41455A-13C1-7195-D48F-7182BE1381F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3" name="Straight Connector 2102">
              <a:extLst>
                <a:ext uri="{FF2B5EF4-FFF2-40B4-BE49-F238E27FC236}">
                  <a16:creationId xmlns:a16="http://schemas.microsoft.com/office/drawing/2014/main" id="{0E185890-FF59-199E-51A4-CB2F85FE9F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4" name="Straight Connector 2103">
              <a:extLst>
                <a:ext uri="{FF2B5EF4-FFF2-40B4-BE49-F238E27FC236}">
                  <a16:creationId xmlns:a16="http://schemas.microsoft.com/office/drawing/2014/main" id="{FC5987F6-EA78-59D3-E02E-36C35F61EE8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98" name="Straight Connector 2097">
            <a:extLst>
              <a:ext uri="{FF2B5EF4-FFF2-40B4-BE49-F238E27FC236}">
                <a16:creationId xmlns:a16="http://schemas.microsoft.com/office/drawing/2014/main" id="{ADAD8D32-933D-616D-AEBD-30C1FAA8F9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21016</xdr:colOff>
      <xdr:row>49</xdr:row>
      <xdr:rowOff>128178</xdr:rowOff>
    </xdr:from>
    <xdr:to>
      <xdr:col>22</xdr:col>
      <xdr:colOff>259185</xdr:colOff>
      <xdr:row>51</xdr:row>
      <xdr:rowOff>121559</xdr:rowOff>
    </xdr:to>
    <xdr:grpSp>
      <xdr:nvGrpSpPr>
        <xdr:cNvPr id="2085" name="Group 2084">
          <a:extLst>
            <a:ext uri="{FF2B5EF4-FFF2-40B4-BE49-F238E27FC236}">
              <a16:creationId xmlns:a16="http://schemas.microsoft.com/office/drawing/2014/main" id="{513F121F-7685-431F-A3C0-200B57941FA2}"/>
            </a:ext>
          </a:extLst>
        </xdr:cNvPr>
        <xdr:cNvGrpSpPr/>
      </xdr:nvGrpSpPr>
      <xdr:grpSpPr>
        <a:xfrm>
          <a:off x="11408683" y="9822511"/>
          <a:ext cx="238169" cy="332048"/>
          <a:chOff x="6143939" y="789134"/>
          <a:chExt cx="457200" cy="518966"/>
        </a:xfrm>
      </xdr:grpSpPr>
      <xdr:grpSp>
        <xdr:nvGrpSpPr>
          <xdr:cNvPr id="2105" name="Group 2104">
            <a:extLst>
              <a:ext uri="{FF2B5EF4-FFF2-40B4-BE49-F238E27FC236}">
                <a16:creationId xmlns:a16="http://schemas.microsoft.com/office/drawing/2014/main" id="{6E705BFE-D7AD-813C-6A75-F63D489BA6F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107" name="Straight Connector 2106">
              <a:extLst>
                <a:ext uri="{FF2B5EF4-FFF2-40B4-BE49-F238E27FC236}">
                  <a16:creationId xmlns:a16="http://schemas.microsoft.com/office/drawing/2014/main" id="{7DC3C9BD-DD8F-11A3-FEBA-F82C66FA88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8" name="Straight Connector 2107">
              <a:extLst>
                <a:ext uri="{FF2B5EF4-FFF2-40B4-BE49-F238E27FC236}">
                  <a16:creationId xmlns:a16="http://schemas.microsoft.com/office/drawing/2014/main" id="{CE6269FA-BF96-D025-48A3-436CBC40B65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1" name="Straight Connector 3480">
              <a:extLst>
                <a:ext uri="{FF2B5EF4-FFF2-40B4-BE49-F238E27FC236}">
                  <a16:creationId xmlns:a16="http://schemas.microsoft.com/office/drawing/2014/main" id="{3869BE7E-D421-22AA-2D51-06CDB4160F3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2" name="Straight Connector 3481">
              <a:extLst>
                <a:ext uri="{FF2B5EF4-FFF2-40B4-BE49-F238E27FC236}">
                  <a16:creationId xmlns:a16="http://schemas.microsoft.com/office/drawing/2014/main" id="{FC7FF315-4D63-F763-62F0-F5A9ED16020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3" name="Straight Connector 3482">
              <a:extLst>
                <a:ext uri="{FF2B5EF4-FFF2-40B4-BE49-F238E27FC236}">
                  <a16:creationId xmlns:a16="http://schemas.microsoft.com/office/drawing/2014/main" id="{4EAD72D6-E381-467B-4E32-210A0E29B1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4" name="Straight Connector 3483">
              <a:extLst>
                <a:ext uri="{FF2B5EF4-FFF2-40B4-BE49-F238E27FC236}">
                  <a16:creationId xmlns:a16="http://schemas.microsoft.com/office/drawing/2014/main" id="{AB65755F-9A73-63A6-496F-28A27406E21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06" name="Straight Connector 2105">
            <a:extLst>
              <a:ext uri="{FF2B5EF4-FFF2-40B4-BE49-F238E27FC236}">
                <a16:creationId xmlns:a16="http://schemas.microsoft.com/office/drawing/2014/main" id="{41ACB29A-BA21-C1B2-125F-2CAEAA4647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552874</xdr:colOff>
      <xdr:row>49</xdr:row>
      <xdr:rowOff>148607</xdr:rowOff>
    </xdr:from>
    <xdr:to>
      <xdr:col>16</xdr:col>
      <xdr:colOff>232681</xdr:colOff>
      <xdr:row>51</xdr:row>
      <xdr:rowOff>141988</xdr:rowOff>
    </xdr:to>
    <xdr:grpSp>
      <xdr:nvGrpSpPr>
        <xdr:cNvPr id="3485" name="Group 3484">
          <a:extLst>
            <a:ext uri="{FF2B5EF4-FFF2-40B4-BE49-F238E27FC236}">
              <a16:creationId xmlns:a16="http://schemas.microsoft.com/office/drawing/2014/main" id="{6B54A9E1-7EAD-4421-992D-121E6827D6BB}"/>
            </a:ext>
          </a:extLst>
        </xdr:cNvPr>
        <xdr:cNvGrpSpPr/>
      </xdr:nvGrpSpPr>
      <xdr:grpSpPr>
        <a:xfrm>
          <a:off x="8204624" y="9842940"/>
          <a:ext cx="272474" cy="332048"/>
          <a:chOff x="6143939" y="789134"/>
          <a:chExt cx="457200" cy="518966"/>
        </a:xfrm>
      </xdr:grpSpPr>
      <xdr:grpSp>
        <xdr:nvGrpSpPr>
          <xdr:cNvPr id="3486" name="Group 3485">
            <a:extLst>
              <a:ext uri="{FF2B5EF4-FFF2-40B4-BE49-F238E27FC236}">
                <a16:creationId xmlns:a16="http://schemas.microsoft.com/office/drawing/2014/main" id="{9CF9041C-1D19-3131-FF7E-FDEDE76C966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88" name="Straight Connector 3487">
              <a:extLst>
                <a:ext uri="{FF2B5EF4-FFF2-40B4-BE49-F238E27FC236}">
                  <a16:creationId xmlns:a16="http://schemas.microsoft.com/office/drawing/2014/main" id="{AFBEA922-9A93-CF7A-6238-3F1265E156D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9" name="Straight Connector 3488">
              <a:extLst>
                <a:ext uri="{FF2B5EF4-FFF2-40B4-BE49-F238E27FC236}">
                  <a16:creationId xmlns:a16="http://schemas.microsoft.com/office/drawing/2014/main" id="{6B779E67-FB6E-3B9E-761C-D748A896AB6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0" name="Straight Connector 3489">
              <a:extLst>
                <a:ext uri="{FF2B5EF4-FFF2-40B4-BE49-F238E27FC236}">
                  <a16:creationId xmlns:a16="http://schemas.microsoft.com/office/drawing/2014/main" id="{97DC03C2-F840-849D-6BCD-33DA7619235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1" name="Straight Connector 3490">
              <a:extLst>
                <a:ext uri="{FF2B5EF4-FFF2-40B4-BE49-F238E27FC236}">
                  <a16:creationId xmlns:a16="http://schemas.microsoft.com/office/drawing/2014/main" id="{0E8CB5FC-B059-A5CD-0ACF-6DCFEB932B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2" name="Straight Connector 3491">
              <a:extLst>
                <a:ext uri="{FF2B5EF4-FFF2-40B4-BE49-F238E27FC236}">
                  <a16:creationId xmlns:a16="http://schemas.microsoft.com/office/drawing/2014/main" id="{10EE96E0-C3D5-BC43-2B0B-DCC5668BDA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3" name="Straight Connector 3492">
              <a:extLst>
                <a:ext uri="{FF2B5EF4-FFF2-40B4-BE49-F238E27FC236}">
                  <a16:creationId xmlns:a16="http://schemas.microsoft.com/office/drawing/2014/main" id="{A19A93CE-0B70-F756-DB6C-F8BE7B479BD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87" name="Straight Connector 3486">
            <a:extLst>
              <a:ext uri="{FF2B5EF4-FFF2-40B4-BE49-F238E27FC236}">
                <a16:creationId xmlns:a16="http://schemas.microsoft.com/office/drawing/2014/main" id="{90A63A8C-3606-C752-DA3B-14AD54F20E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13816</xdr:colOff>
      <xdr:row>242</xdr:row>
      <xdr:rowOff>138062</xdr:rowOff>
    </xdr:from>
    <xdr:to>
      <xdr:col>2</xdr:col>
      <xdr:colOff>284830</xdr:colOff>
      <xdr:row>244</xdr:row>
      <xdr:rowOff>131443</xdr:rowOff>
    </xdr:to>
    <xdr:grpSp>
      <xdr:nvGrpSpPr>
        <xdr:cNvPr id="3494" name="Group 3493">
          <a:extLst>
            <a:ext uri="{FF2B5EF4-FFF2-40B4-BE49-F238E27FC236}">
              <a16:creationId xmlns:a16="http://schemas.microsoft.com/office/drawing/2014/main" id="{FBB62803-472F-4660-BFC4-7DA5E65D5B7B}"/>
            </a:ext>
          </a:extLst>
        </xdr:cNvPr>
        <xdr:cNvGrpSpPr/>
      </xdr:nvGrpSpPr>
      <xdr:grpSpPr>
        <a:xfrm>
          <a:off x="923983" y="42788895"/>
          <a:ext cx="271014" cy="332048"/>
          <a:chOff x="6143939" y="789134"/>
          <a:chExt cx="457200" cy="518966"/>
        </a:xfrm>
      </xdr:grpSpPr>
      <xdr:grpSp>
        <xdr:nvGrpSpPr>
          <xdr:cNvPr id="3495" name="Group 3494">
            <a:extLst>
              <a:ext uri="{FF2B5EF4-FFF2-40B4-BE49-F238E27FC236}">
                <a16:creationId xmlns:a16="http://schemas.microsoft.com/office/drawing/2014/main" id="{A37C4799-CCE8-036F-D84A-A14A4D8733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97" name="Straight Connector 3496">
              <a:extLst>
                <a:ext uri="{FF2B5EF4-FFF2-40B4-BE49-F238E27FC236}">
                  <a16:creationId xmlns:a16="http://schemas.microsoft.com/office/drawing/2014/main" id="{13EA1D04-F103-9970-DFC9-61606DBE289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8" name="Straight Connector 3497">
              <a:extLst>
                <a:ext uri="{FF2B5EF4-FFF2-40B4-BE49-F238E27FC236}">
                  <a16:creationId xmlns:a16="http://schemas.microsoft.com/office/drawing/2014/main" id="{CB67D842-64F2-7F8D-92B8-59C1DDD09D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9" name="Straight Connector 3498">
              <a:extLst>
                <a:ext uri="{FF2B5EF4-FFF2-40B4-BE49-F238E27FC236}">
                  <a16:creationId xmlns:a16="http://schemas.microsoft.com/office/drawing/2014/main" id="{1789A5CC-028E-15C1-EC59-8AFD9B85511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0" name="Straight Connector 3499">
              <a:extLst>
                <a:ext uri="{FF2B5EF4-FFF2-40B4-BE49-F238E27FC236}">
                  <a16:creationId xmlns:a16="http://schemas.microsoft.com/office/drawing/2014/main" id="{6F3107DC-CE06-80AB-896B-D448B86BFB2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1" name="Straight Connector 3500">
              <a:extLst>
                <a:ext uri="{FF2B5EF4-FFF2-40B4-BE49-F238E27FC236}">
                  <a16:creationId xmlns:a16="http://schemas.microsoft.com/office/drawing/2014/main" id="{27C800D5-C117-2380-95AE-772B05336C0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2" name="Straight Connector 3501">
              <a:extLst>
                <a:ext uri="{FF2B5EF4-FFF2-40B4-BE49-F238E27FC236}">
                  <a16:creationId xmlns:a16="http://schemas.microsoft.com/office/drawing/2014/main" id="{1C03EF3F-1AB0-FC9C-09F4-6AF8F574F7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96" name="Straight Connector 3495">
            <a:extLst>
              <a:ext uri="{FF2B5EF4-FFF2-40B4-BE49-F238E27FC236}">
                <a16:creationId xmlns:a16="http://schemas.microsoft.com/office/drawing/2014/main" id="{3BC77F64-74D5-0F77-1F86-BEEE7D6656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23</xdr:row>
      <xdr:rowOff>4233</xdr:rowOff>
    </xdr:from>
    <xdr:to>
      <xdr:col>4</xdr:col>
      <xdr:colOff>46570</xdr:colOff>
      <xdr:row>25</xdr:row>
      <xdr:rowOff>173567</xdr:rowOff>
    </xdr:to>
    <xdr:sp macro="" textlink="">
      <xdr:nvSpPr>
        <xdr:cNvPr id="3643" name="Isosceles Triangle 3642">
          <a:extLst>
            <a:ext uri="{FF2B5EF4-FFF2-40B4-BE49-F238E27FC236}">
              <a16:creationId xmlns:a16="http://schemas.microsoft.com/office/drawing/2014/main" id="{3B815026-7AF6-4067-836D-AF15B4717C83}"/>
            </a:ext>
          </a:extLst>
        </xdr:cNvPr>
        <xdr:cNvSpPr/>
      </xdr:nvSpPr>
      <xdr:spPr>
        <a:xfrm>
          <a:off x="1340451" y="24109810"/>
          <a:ext cx="684388" cy="51125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</xdr:row>
      <xdr:rowOff>13304</xdr:rowOff>
    </xdr:from>
    <xdr:to>
      <xdr:col>8</xdr:col>
      <xdr:colOff>46570</xdr:colOff>
      <xdr:row>26</xdr:row>
      <xdr:rowOff>1209</xdr:rowOff>
    </xdr:to>
    <xdr:sp macro="" textlink="">
      <xdr:nvSpPr>
        <xdr:cNvPr id="3644" name="Isosceles Triangle 3643">
          <a:extLst>
            <a:ext uri="{FF2B5EF4-FFF2-40B4-BE49-F238E27FC236}">
              <a16:creationId xmlns:a16="http://schemas.microsoft.com/office/drawing/2014/main" id="{40558A78-3466-46CA-8922-AA1861BEA16D}"/>
            </a:ext>
          </a:extLst>
        </xdr:cNvPr>
        <xdr:cNvSpPr/>
      </xdr:nvSpPr>
      <xdr:spPr>
        <a:xfrm>
          <a:off x="3457118" y="24118881"/>
          <a:ext cx="684388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</xdr:row>
      <xdr:rowOff>15522</xdr:rowOff>
    </xdr:from>
    <xdr:to>
      <xdr:col>6</xdr:col>
      <xdr:colOff>43746</xdr:colOff>
      <xdr:row>26</xdr:row>
      <xdr:rowOff>8467</xdr:rowOff>
    </xdr:to>
    <xdr:sp macro="" textlink="">
      <xdr:nvSpPr>
        <xdr:cNvPr id="3645" name="Isosceles Triangle 3644">
          <a:extLst>
            <a:ext uri="{FF2B5EF4-FFF2-40B4-BE49-F238E27FC236}">
              <a16:creationId xmlns:a16="http://schemas.microsoft.com/office/drawing/2014/main" id="{BDFC2DA7-966D-4431-AB00-13A7D540F8EF}"/>
            </a:ext>
          </a:extLst>
        </xdr:cNvPr>
        <xdr:cNvSpPr/>
      </xdr:nvSpPr>
      <xdr:spPr>
        <a:xfrm>
          <a:off x="2395961" y="24121099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</xdr:row>
      <xdr:rowOff>18345</xdr:rowOff>
    </xdr:from>
    <xdr:to>
      <xdr:col>20</xdr:col>
      <xdr:colOff>39510</xdr:colOff>
      <xdr:row>26</xdr:row>
      <xdr:rowOff>11290</xdr:rowOff>
    </xdr:to>
    <xdr:sp macro="" textlink="">
      <xdr:nvSpPr>
        <xdr:cNvPr id="3646" name="Isosceles Triangle 3645">
          <a:extLst>
            <a:ext uri="{FF2B5EF4-FFF2-40B4-BE49-F238E27FC236}">
              <a16:creationId xmlns:a16="http://schemas.microsoft.com/office/drawing/2014/main" id="{9A0E5232-A80A-4B12-96E9-F31121876B2C}"/>
            </a:ext>
          </a:extLst>
        </xdr:cNvPr>
        <xdr:cNvSpPr/>
      </xdr:nvSpPr>
      <xdr:spPr>
        <a:xfrm>
          <a:off x="9800059" y="2412392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</xdr:row>
      <xdr:rowOff>7055</xdr:rowOff>
    </xdr:from>
    <xdr:to>
      <xdr:col>22</xdr:col>
      <xdr:colOff>49392</xdr:colOff>
      <xdr:row>26</xdr:row>
      <xdr:rowOff>0</xdr:rowOff>
    </xdr:to>
    <xdr:sp macro="" textlink="">
      <xdr:nvSpPr>
        <xdr:cNvPr id="3647" name="Isosceles Triangle 3646">
          <a:extLst>
            <a:ext uri="{FF2B5EF4-FFF2-40B4-BE49-F238E27FC236}">
              <a16:creationId xmlns:a16="http://schemas.microsoft.com/office/drawing/2014/main" id="{AC8C0716-B0BF-4B62-A73B-C2237F2F5042}"/>
            </a:ext>
          </a:extLst>
        </xdr:cNvPr>
        <xdr:cNvSpPr/>
      </xdr:nvSpPr>
      <xdr:spPr>
        <a:xfrm>
          <a:off x="10803524" y="24112632"/>
          <a:ext cx="74913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</xdr:row>
      <xdr:rowOff>13304</xdr:rowOff>
    </xdr:from>
    <xdr:to>
      <xdr:col>28</xdr:col>
      <xdr:colOff>46570</xdr:colOff>
      <xdr:row>26</xdr:row>
      <xdr:rowOff>1210</xdr:rowOff>
    </xdr:to>
    <xdr:sp macro="" textlink="">
      <xdr:nvSpPr>
        <xdr:cNvPr id="3649" name="Isosceles Triangle 3648">
          <a:extLst>
            <a:ext uri="{FF2B5EF4-FFF2-40B4-BE49-F238E27FC236}">
              <a16:creationId xmlns:a16="http://schemas.microsoft.com/office/drawing/2014/main" id="{DD008D8F-3016-4965-BFAA-8E8DC5831EEE}"/>
            </a:ext>
          </a:extLst>
        </xdr:cNvPr>
        <xdr:cNvSpPr/>
      </xdr:nvSpPr>
      <xdr:spPr>
        <a:xfrm>
          <a:off x="14040451" y="24118881"/>
          <a:ext cx="684388" cy="50079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</xdr:row>
      <xdr:rowOff>13304</xdr:rowOff>
    </xdr:from>
    <xdr:to>
      <xdr:col>24</xdr:col>
      <xdr:colOff>46569</xdr:colOff>
      <xdr:row>26</xdr:row>
      <xdr:rowOff>1210</xdr:rowOff>
    </xdr:to>
    <xdr:sp macro="" textlink="">
      <xdr:nvSpPr>
        <xdr:cNvPr id="3650" name="Isosceles Triangle 3649">
          <a:extLst>
            <a:ext uri="{FF2B5EF4-FFF2-40B4-BE49-F238E27FC236}">
              <a16:creationId xmlns:a16="http://schemas.microsoft.com/office/drawing/2014/main" id="{7A6E9B7C-BFC6-4461-8C62-1F6144D6BAA6}"/>
            </a:ext>
          </a:extLst>
        </xdr:cNvPr>
        <xdr:cNvSpPr/>
      </xdr:nvSpPr>
      <xdr:spPr>
        <a:xfrm>
          <a:off x="11923784" y="24118881"/>
          <a:ext cx="684388" cy="5007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</xdr:row>
      <xdr:rowOff>15522</xdr:rowOff>
    </xdr:from>
    <xdr:to>
      <xdr:col>26</xdr:col>
      <xdr:colOff>43746</xdr:colOff>
      <xdr:row>26</xdr:row>
      <xdr:rowOff>8467</xdr:rowOff>
    </xdr:to>
    <xdr:sp macro="" textlink="">
      <xdr:nvSpPr>
        <xdr:cNvPr id="3651" name="Isosceles Triangle 3650">
          <a:extLst>
            <a:ext uri="{FF2B5EF4-FFF2-40B4-BE49-F238E27FC236}">
              <a16:creationId xmlns:a16="http://schemas.microsoft.com/office/drawing/2014/main" id="{DA1B9349-C561-45E2-B581-80B93D3F4C31}"/>
            </a:ext>
          </a:extLst>
        </xdr:cNvPr>
        <xdr:cNvSpPr/>
      </xdr:nvSpPr>
      <xdr:spPr>
        <a:xfrm>
          <a:off x="12979295" y="24121099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</xdr:row>
      <xdr:rowOff>7056</xdr:rowOff>
    </xdr:from>
    <xdr:to>
      <xdr:col>30</xdr:col>
      <xdr:colOff>42332</xdr:colOff>
      <xdr:row>26</xdr:row>
      <xdr:rowOff>1</xdr:rowOff>
    </xdr:to>
    <xdr:sp macro="" textlink="">
      <xdr:nvSpPr>
        <xdr:cNvPr id="3652" name="Isosceles Triangle 3651">
          <a:extLst>
            <a:ext uri="{FF2B5EF4-FFF2-40B4-BE49-F238E27FC236}">
              <a16:creationId xmlns:a16="http://schemas.microsoft.com/office/drawing/2014/main" id="{0843CE72-9540-47E3-A686-116E7C7A38A3}"/>
            </a:ext>
          </a:extLst>
        </xdr:cNvPr>
        <xdr:cNvSpPr/>
      </xdr:nvSpPr>
      <xdr:spPr>
        <a:xfrm>
          <a:off x="15094547" y="24112633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33</xdr:row>
      <xdr:rowOff>159859</xdr:rowOff>
    </xdr:from>
    <xdr:to>
      <xdr:col>2</xdr:col>
      <xdr:colOff>17739</xdr:colOff>
      <xdr:row>36</xdr:row>
      <xdr:rowOff>152804</xdr:rowOff>
    </xdr:to>
    <xdr:sp macro="" textlink="">
      <xdr:nvSpPr>
        <xdr:cNvPr id="3653" name="Isosceles Triangle 3652">
          <a:extLst>
            <a:ext uri="{FF2B5EF4-FFF2-40B4-BE49-F238E27FC236}">
              <a16:creationId xmlns:a16="http://schemas.microsoft.com/office/drawing/2014/main" id="{69497C4F-1B0B-43FD-ABF6-BD4367EE1E35}"/>
            </a:ext>
          </a:extLst>
        </xdr:cNvPr>
        <xdr:cNvSpPr/>
      </xdr:nvSpPr>
      <xdr:spPr>
        <a:xfrm>
          <a:off x="300245" y="25991333"/>
          <a:ext cx="637430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34</xdr:row>
      <xdr:rowOff>7056</xdr:rowOff>
    </xdr:from>
    <xdr:to>
      <xdr:col>4</xdr:col>
      <xdr:colOff>42332</xdr:colOff>
      <xdr:row>37</xdr:row>
      <xdr:rowOff>1</xdr:rowOff>
    </xdr:to>
    <xdr:sp macro="" textlink="">
      <xdr:nvSpPr>
        <xdr:cNvPr id="3654" name="Isosceles Triangle 3653">
          <a:extLst>
            <a:ext uri="{FF2B5EF4-FFF2-40B4-BE49-F238E27FC236}">
              <a16:creationId xmlns:a16="http://schemas.microsoft.com/office/drawing/2014/main" id="{4A37DD98-DF8B-4063-B44D-83DC8654AAE2}"/>
            </a:ext>
          </a:extLst>
        </xdr:cNvPr>
        <xdr:cNvSpPr/>
      </xdr:nvSpPr>
      <xdr:spPr>
        <a:xfrm>
          <a:off x="1336214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34</xdr:row>
      <xdr:rowOff>18345</xdr:rowOff>
    </xdr:from>
    <xdr:to>
      <xdr:col>6</xdr:col>
      <xdr:colOff>39510</xdr:colOff>
      <xdr:row>37</xdr:row>
      <xdr:rowOff>11290</xdr:rowOff>
    </xdr:to>
    <xdr:sp macro="" textlink="">
      <xdr:nvSpPr>
        <xdr:cNvPr id="3655" name="Isosceles Triangle 3654">
          <a:extLst>
            <a:ext uri="{FF2B5EF4-FFF2-40B4-BE49-F238E27FC236}">
              <a16:creationId xmlns:a16="http://schemas.microsoft.com/office/drawing/2014/main" id="{87A7E971-803D-491F-A5A6-9EBC4CB42092}"/>
            </a:ext>
          </a:extLst>
        </xdr:cNvPr>
        <xdr:cNvSpPr/>
      </xdr:nvSpPr>
      <xdr:spPr>
        <a:xfrm>
          <a:off x="2391725" y="2602078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34</xdr:row>
      <xdr:rowOff>7056</xdr:rowOff>
    </xdr:from>
    <xdr:to>
      <xdr:col>8</xdr:col>
      <xdr:colOff>42332</xdr:colOff>
      <xdr:row>37</xdr:row>
      <xdr:rowOff>1</xdr:rowOff>
    </xdr:to>
    <xdr:sp macro="" textlink="">
      <xdr:nvSpPr>
        <xdr:cNvPr id="3656" name="Isosceles Triangle 3655">
          <a:extLst>
            <a:ext uri="{FF2B5EF4-FFF2-40B4-BE49-F238E27FC236}">
              <a16:creationId xmlns:a16="http://schemas.microsoft.com/office/drawing/2014/main" id="{F4502403-A57D-4EC2-9166-506BF6C4040C}"/>
            </a:ext>
          </a:extLst>
        </xdr:cNvPr>
        <xdr:cNvSpPr/>
      </xdr:nvSpPr>
      <xdr:spPr>
        <a:xfrm>
          <a:off x="3452881" y="2600949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34</xdr:row>
      <xdr:rowOff>18345</xdr:rowOff>
    </xdr:from>
    <xdr:to>
      <xdr:col>10</xdr:col>
      <xdr:colOff>39510</xdr:colOff>
      <xdr:row>37</xdr:row>
      <xdr:rowOff>11290</xdr:rowOff>
    </xdr:to>
    <xdr:sp macro="" textlink="">
      <xdr:nvSpPr>
        <xdr:cNvPr id="3657" name="Isosceles Triangle 3656">
          <a:extLst>
            <a:ext uri="{FF2B5EF4-FFF2-40B4-BE49-F238E27FC236}">
              <a16:creationId xmlns:a16="http://schemas.microsoft.com/office/drawing/2014/main" id="{0046A415-6AD2-4CBF-900D-124F4D111723}"/>
            </a:ext>
          </a:extLst>
        </xdr:cNvPr>
        <xdr:cNvSpPr/>
      </xdr:nvSpPr>
      <xdr:spPr>
        <a:xfrm>
          <a:off x="4508392" y="26020781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34</xdr:row>
      <xdr:rowOff>7055</xdr:rowOff>
    </xdr:from>
    <xdr:to>
      <xdr:col>12</xdr:col>
      <xdr:colOff>49392</xdr:colOff>
      <xdr:row>37</xdr:row>
      <xdr:rowOff>0</xdr:rowOff>
    </xdr:to>
    <xdr:sp macro="" textlink="">
      <xdr:nvSpPr>
        <xdr:cNvPr id="3658" name="Isosceles Triangle 3657">
          <a:extLst>
            <a:ext uri="{FF2B5EF4-FFF2-40B4-BE49-F238E27FC236}">
              <a16:creationId xmlns:a16="http://schemas.microsoft.com/office/drawing/2014/main" id="{8BE4D37C-AFF4-4203-B720-CF68D2B9289A}"/>
            </a:ext>
          </a:extLst>
        </xdr:cNvPr>
        <xdr:cNvSpPr/>
      </xdr:nvSpPr>
      <xdr:spPr>
        <a:xfrm>
          <a:off x="5566926" y="26009491"/>
          <a:ext cx="694069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34</xdr:row>
      <xdr:rowOff>13304</xdr:rowOff>
    </xdr:from>
    <xdr:to>
      <xdr:col>18</xdr:col>
      <xdr:colOff>46570</xdr:colOff>
      <xdr:row>37</xdr:row>
      <xdr:rowOff>1209</xdr:rowOff>
    </xdr:to>
    <xdr:sp macro="" textlink="">
      <xdr:nvSpPr>
        <xdr:cNvPr id="3660" name="Isosceles Triangle 3659">
          <a:extLst>
            <a:ext uri="{FF2B5EF4-FFF2-40B4-BE49-F238E27FC236}">
              <a16:creationId xmlns:a16="http://schemas.microsoft.com/office/drawing/2014/main" id="{8B47A19C-1377-45F3-AF2A-EDBBFB49F2EA}"/>
            </a:ext>
          </a:extLst>
        </xdr:cNvPr>
        <xdr:cNvSpPr/>
      </xdr:nvSpPr>
      <xdr:spPr>
        <a:xfrm>
          <a:off x="8748784" y="26015740"/>
          <a:ext cx="684389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34</xdr:row>
      <xdr:rowOff>15522</xdr:rowOff>
    </xdr:from>
    <xdr:to>
      <xdr:col>16</xdr:col>
      <xdr:colOff>43746</xdr:colOff>
      <xdr:row>37</xdr:row>
      <xdr:rowOff>8467</xdr:rowOff>
    </xdr:to>
    <xdr:sp macro="" textlink="">
      <xdr:nvSpPr>
        <xdr:cNvPr id="3662" name="Isosceles Triangle 3661">
          <a:extLst>
            <a:ext uri="{FF2B5EF4-FFF2-40B4-BE49-F238E27FC236}">
              <a16:creationId xmlns:a16="http://schemas.microsoft.com/office/drawing/2014/main" id="{A9D9D2B5-03EE-4C21-9B49-8533767B6304}"/>
            </a:ext>
          </a:extLst>
        </xdr:cNvPr>
        <xdr:cNvSpPr/>
      </xdr:nvSpPr>
      <xdr:spPr>
        <a:xfrm>
          <a:off x="7687628" y="26017958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34</xdr:row>
      <xdr:rowOff>7056</xdr:rowOff>
    </xdr:from>
    <xdr:to>
      <xdr:col>20</xdr:col>
      <xdr:colOff>42332</xdr:colOff>
      <xdr:row>37</xdr:row>
      <xdr:rowOff>1</xdr:rowOff>
    </xdr:to>
    <xdr:sp macro="" textlink="">
      <xdr:nvSpPr>
        <xdr:cNvPr id="3663" name="Isosceles Triangle 3662">
          <a:extLst>
            <a:ext uri="{FF2B5EF4-FFF2-40B4-BE49-F238E27FC236}">
              <a16:creationId xmlns:a16="http://schemas.microsoft.com/office/drawing/2014/main" id="{DB838F7C-5822-4621-B7BD-34B2E2221E07}"/>
            </a:ext>
          </a:extLst>
        </xdr:cNvPr>
        <xdr:cNvSpPr/>
      </xdr:nvSpPr>
      <xdr:spPr>
        <a:xfrm>
          <a:off x="9802881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34</xdr:row>
      <xdr:rowOff>18345</xdr:rowOff>
    </xdr:from>
    <xdr:to>
      <xdr:col>22</xdr:col>
      <xdr:colOff>39510</xdr:colOff>
      <xdr:row>37</xdr:row>
      <xdr:rowOff>11290</xdr:rowOff>
    </xdr:to>
    <xdr:sp macro="" textlink="">
      <xdr:nvSpPr>
        <xdr:cNvPr id="3664" name="Isosceles Triangle 3663">
          <a:extLst>
            <a:ext uri="{FF2B5EF4-FFF2-40B4-BE49-F238E27FC236}">
              <a16:creationId xmlns:a16="http://schemas.microsoft.com/office/drawing/2014/main" id="{9A87574E-1CBE-45C0-B8F4-686DCF743A0A}"/>
            </a:ext>
          </a:extLst>
        </xdr:cNvPr>
        <xdr:cNvSpPr/>
      </xdr:nvSpPr>
      <xdr:spPr>
        <a:xfrm>
          <a:off x="10858392" y="26020781"/>
          <a:ext cx="684387" cy="505830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22</xdr:row>
      <xdr:rowOff>173181</xdr:rowOff>
    </xdr:from>
    <xdr:to>
      <xdr:col>3</xdr:col>
      <xdr:colOff>294410</xdr:colOff>
      <xdr:row>23</xdr:row>
      <xdr:rowOff>121226</xdr:rowOff>
    </xdr:to>
    <xdr:sp macro="" textlink="">
      <xdr:nvSpPr>
        <xdr:cNvPr id="3669" name="Freeform 10707">
          <a:extLst>
            <a:ext uri="{FF2B5EF4-FFF2-40B4-BE49-F238E27FC236}">
              <a16:creationId xmlns:a16="http://schemas.microsoft.com/office/drawing/2014/main" id="{11861FFB-ADCA-4C41-AD4A-380E3961BFA5}"/>
            </a:ext>
          </a:extLst>
        </xdr:cNvPr>
        <xdr:cNvSpPr>
          <a:spLocks/>
        </xdr:cNvSpPr>
      </xdr:nvSpPr>
      <xdr:spPr bwMode="auto">
        <a:xfrm>
          <a:off x="6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</xdr:row>
      <xdr:rowOff>173181</xdr:rowOff>
    </xdr:from>
    <xdr:to>
      <xdr:col>5</xdr:col>
      <xdr:colOff>294410</xdr:colOff>
      <xdr:row>23</xdr:row>
      <xdr:rowOff>121226</xdr:rowOff>
    </xdr:to>
    <xdr:sp macro="" textlink="">
      <xdr:nvSpPr>
        <xdr:cNvPr id="3670" name="Freeform 10707">
          <a:extLst>
            <a:ext uri="{FF2B5EF4-FFF2-40B4-BE49-F238E27FC236}">
              <a16:creationId xmlns:a16="http://schemas.microsoft.com/office/drawing/2014/main" id="{858127E8-17CF-4135-A8AA-EAF803FAB684}"/>
            </a:ext>
          </a:extLst>
        </xdr:cNvPr>
        <xdr:cNvSpPr>
          <a:spLocks/>
        </xdr:cNvSpPr>
      </xdr:nvSpPr>
      <xdr:spPr bwMode="auto">
        <a:xfrm>
          <a:off x="16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</xdr:row>
      <xdr:rowOff>173181</xdr:rowOff>
    </xdr:from>
    <xdr:to>
      <xdr:col>7</xdr:col>
      <xdr:colOff>294410</xdr:colOff>
      <xdr:row>23</xdr:row>
      <xdr:rowOff>121226</xdr:rowOff>
    </xdr:to>
    <xdr:sp macro="" textlink="">
      <xdr:nvSpPr>
        <xdr:cNvPr id="3671" name="Freeform 10707">
          <a:extLst>
            <a:ext uri="{FF2B5EF4-FFF2-40B4-BE49-F238E27FC236}">
              <a16:creationId xmlns:a16="http://schemas.microsoft.com/office/drawing/2014/main" id="{4D73D925-05E7-4715-97ED-2F3B0CFC7B22}"/>
            </a:ext>
          </a:extLst>
        </xdr:cNvPr>
        <xdr:cNvSpPr>
          <a:spLocks/>
        </xdr:cNvSpPr>
      </xdr:nvSpPr>
      <xdr:spPr bwMode="auto">
        <a:xfrm>
          <a:off x="27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</xdr:row>
      <xdr:rowOff>173181</xdr:rowOff>
    </xdr:from>
    <xdr:to>
      <xdr:col>9</xdr:col>
      <xdr:colOff>294410</xdr:colOff>
      <xdr:row>23</xdr:row>
      <xdr:rowOff>121226</xdr:rowOff>
    </xdr:to>
    <xdr:sp macro="" textlink="">
      <xdr:nvSpPr>
        <xdr:cNvPr id="3672" name="Freeform 10707">
          <a:extLst>
            <a:ext uri="{FF2B5EF4-FFF2-40B4-BE49-F238E27FC236}">
              <a16:creationId xmlns:a16="http://schemas.microsoft.com/office/drawing/2014/main" id="{8021C3D6-E36D-4670-AF25-5C61E8BA7EAC}"/>
            </a:ext>
          </a:extLst>
        </xdr:cNvPr>
        <xdr:cNvSpPr>
          <a:spLocks/>
        </xdr:cNvSpPr>
      </xdr:nvSpPr>
      <xdr:spPr bwMode="auto">
        <a:xfrm>
          <a:off x="378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</xdr:row>
      <xdr:rowOff>173181</xdr:rowOff>
    </xdr:from>
    <xdr:to>
      <xdr:col>11</xdr:col>
      <xdr:colOff>294410</xdr:colOff>
      <xdr:row>23</xdr:row>
      <xdr:rowOff>121226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F4EA1F82-246F-46D8-AEF3-71529F4E325E}"/>
            </a:ext>
          </a:extLst>
        </xdr:cNvPr>
        <xdr:cNvSpPr>
          <a:spLocks/>
        </xdr:cNvSpPr>
      </xdr:nvSpPr>
      <xdr:spPr bwMode="auto">
        <a:xfrm>
          <a:off x="484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</xdr:row>
      <xdr:rowOff>173181</xdr:rowOff>
    </xdr:from>
    <xdr:to>
      <xdr:col>13</xdr:col>
      <xdr:colOff>294410</xdr:colOff>
      <xdr:row>23</xdr:row>
      <xdr:rowOff>121226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8938B8B7-EC2C-45E4-8169-F033B4EA6C37}"/>
            </a:ext>
          </a:extLst>
        </xdr:cNvPr>
        <xdr:cNvSpPr>
          <a:spLocks/>
        </xdr:cNvSpPr>
      </xdr:nvSpPr>
      <xdr:spPr bwMode="auto">
        <a:xfrm>
          <a:off x="590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</xdr:row>
      <xdr:rowOff>173181</xdr:rowOff>
    </xdr:from>
    <xdr:to>
      <xdr:col>15</xdr:col>
      <xdr:colOff>294410</xdr:colOff>
      <xdr:row>23</xdr:row>
      <xdr:rowOff>121226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EAF9E47A-BEBE-4C38-9D49-7BC7FB920D01}"/>
            </a:ext>
          </a:extLst>
        </xdr:cNvPr>
        <xdr:cNvSpPr>
          <a:spLocks/>
        </xdr:cNvSpPr>
      </xdr:nvSpPr>
      <xdr:spPr bwMode="auto">
        <a:xfrm>
          <a:off x="696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</xdr:row>
      <xdr:rowOff>173181</xdr:rowOff>
    </xdr:from>
    <xdr:to>
      <xdr:col>17</xdr:col>
      <xdr:colOff>294410</xdr:colOff>
      <xdr:row>23</xdr:row>
      <xdr:rowOff>121226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5BB3DEC0-6CBD-426B-85F4-D44A31439B9F}"/>
            </a:ext>
          </a:extLst>
        </xdr:cNvPr>
        <xdr:cNvSpPr>
          <a:spLocks/>
        </xdr:cNvSpPr>
      </xdr:nvSpPr>
      <xdr:spPr bwMode="auto">
        <a:xfrm>
          <a:off x="802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</xdr:row>
      <xdr:rowOff>173181</xdr:rowOff>
    </xdr:from>
    <xdr:to>
      <xdr:col>19</xdr:col>
      <xdr:colOff>294410</xdr:colOff>
      <xdr:row>23</xdr:row>
      <xdr:rowOff>121226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04DF241D-99D1-46CD-B227-B983DC22FB36}"/>
            </a:ext>
          </a:extLst>
        </xdr:cNvPr>
        <xdr:cNvSpPr>
          <a:spLocks/>
        </xdr:cNvSpPr>
      </xdr:nvSpPr>
      <xdr:spPr bwMode="auto">
        <a:xfrm>
          <a:off x="908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</xdr:row>
      <xdr:rowOff>173181</xdr:rowOff>
    </xdr:from>
    <xdr:to>
      <xdr:col>21</xdr:col>
      <xdr:colOff>294410</xdr:colOff>
      <xdr:row>23</xdr:row>
      <xdr:rowOff>121226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8EC03728-461C-4566-B7D2-377E9A2C8760}"/>
            </a:ext>
          </a:extLst>
        </xdr:cNvPr>
        <xdr:cNvSpPr>
          <a:spLocks/>
        </xdr:cNvSpPr>
      </xdr:nvSpPr>
      <xdr:spPr bwMode="auto">
        <a:xfrm>
          <a:off x="1013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</xdr:row>
      <xdr:rowOff>173181</xdr:rowOff>
    </xdr:from>
    <xdr:to>
      <xdr:col>23</xdr:col>
      <xdr:colOff>294410</xdr:colOff>
      <xdr:row>23</xdr:row>
      <xdr:rowOff>121226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4499C21B-26E7-4831-91AD-515584D80564}"/>
            </a:ext>
          </a:extLst>
        </xdr:cNvPr>
        <xdr:cNvSpPr>
          <a:spLocks/>
        </xdr:cNvSpPr>
      </xdr:nvSpPr>
      <xdr:spPr bwMode="auto">
        <a:xfrm>
          <a:off x="1119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</xdr:row>
      <xdr:rowOff>173181</xdr:rowOff>
    </xdr:from>
    <xdr:to>
      <xdr:col>25</xdr:col>
      <xdr:colOff>294410</xdr:colOff>
      <xdr:row>23</xdr:row>
      <xdr:rowOff>121226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0C55FA8A-73DA-4A00-878B-EEB5E464AACE}"/>
            </a:ext>
          </a:extLst>
        </xdr:cNvPr>
        <xdr:cNvSpPr>
          <a:spLocks/>
        </xdr:cNvSpPr>
      </xdr:nvSpPr>
      <xdr:spPr bwMode="auto">
        <a:xfrm>
          <a:off x="1225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</xdr:row>
      <xdr:rowOff>173181</xdr:rowOff>
    </xdr:from>
    <xdr:to>
      <xdr:col>27</xdr:col>
      <xdr:colOff>294410</xdr:colOff>
      <xdr:row>23</xdr:row>
      <xdr:rowOff>121226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4CBD1D0A-0C94-4171-BAC1-CA5A16078116}"/>
            </a:ext>
          </a:extLst>
        </xdr:cNvPr>
        <xdr:cNvSpPr>
          <a:spLocks/>
        </xdr:cNvSpPr>
      </xdr:nvSpPr>
      <xdr:spPr bwMode="auto">
        <a:xfrm>
          <a:off x="133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</xdr:row>
      <xdr:rowOff>173181</xdr:rowOff>
    </xdr:from>
    <xdr:to>
      <xdr:col>29</xdr:col>
      <xdr:colOff>294410</xdr:colOff>
      <xdr:row>23</xdr:row>
      <xdr:rowOff>121226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9587A7F7-A017-4DBB-975B-17A70D79FB72}"/>
            </a:ext>
          </a:extLst>
        </xdr:cNvPr>
        <xdr:cNvSpPr>
          <a:spLocks/>
        </xdr:cNvSpPr>
      </xdr:nvSpPr>
      <xdr:spPr bwMode="auto">
        <a:xfrm>
          <a:off x="143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</xdr:row>
      <xdr:rowOff>173181</xdr:rowOff>
    </xdr:from>
    <xdr:to>
      <xdr:col>31</xdr:col>
      <xdr:colOff>294410</xdr:colOff>
      <xdr:row>23</xdr:row>
      <xdr:rowOff>121226</xdr:rowOff>
    </xdr:to>
    <xdr:sp macro="" textlink="">
      <xdr:nvSpPr>
        <xdr:cNvPr id="3683" name="Freeform 10707">
          <a:extLst>
            <a:ext uri="{FF2B5EF4-FFF2-40B4-BE49-F238E27FC236}">
              <a16:creationId xmlns:a16="http://schemas.microsoft.com/office/drawing/2014/main" id="{16C62D50-F6BE-403C-9924-002B580777A9}"/>
            </a:ext>
          </a:extLst>
        </xdr:cNvPr>
        <xdr:cNvSpPr>
          <a:spLocks/>
        </xdr:cNvSpPr>
      </xdr:nvSpPr>
      <xdr:spPr bwMode="auto">
        <a:xfrm>
          <a:off x="154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33</xdr:row>
      <xdr:rowOff>173181</xdr:rowOff>
    </xdr:from>
    <xdr:to>
      <xdr:col>3</xdr:col>
      <xdr:colOff>294410</xdr:colOff>
      <xdr:row>34</xdr:row>
      <xdr:rowOff>121226</xdr:rowOff>
    </xdr:to>
    <xdr:sp macro="" textlink="">
      <xdr:nvSpPr>
        <xdr:cNvPr id="3684" name="Freeform 10707">
          <a:extLst>
            <a:ext uri="{FF2B5EF4-FFF2-40B4-BE49-F238E27FC236}">
              <a16:creationId xmlns:a16="http://schemas.microsoft.com/office/drawing/2014/main" id="{C1228C54-75FB-419F-9168-4932ED61EB2E}"/>
            </a:ext>
          </a:extLst>
        </xdr:cNvPr>
        <xdr:cNvSpPr>
          <a:spLocks/>
        </xdr:cNvSpPr>
      </xdr:nvSpPr>
      <xdr:spPr bwMode="auto">
        <a:xfrm>
          <a:off x="61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33</xdr:row>
      <xdr:rowOff>173181</xdr:rowOff>
    </xdr:from>
    <xdr:to>
      <xdr:col>5</xdr:col>
      <xdr:colOff>294410</xdr:colOff>
      <xdr:row>34</xdr:row>
      <xdr:rowOff>121226</xdr:rowOff>
    </xdr:to>
    <xdr:sp macro="" textlink="">
      <xdr:nvSpPr>
        <xdr:cNvPr id="3685" name="Freeform 10707">
          <a:extLst>
            <a:ext uri="{FF2B5EF4-FFF2-40B4-BE49-F238E27FC236}">
              <a16:creationId xmlns:a16="http://schemas.microsoft.com/office/drawing/2014/main" id="{1478F592-7CB2-484C-AE43-1ECD107DCC2F}"/>
            </a:ext>
          </a:extLst>
        </xdr:cNvPr>
        <xdr:cNvSpPr>
          <a:spLocks/>
        </xdr:cNvSpPr>
      </xdr:nvSpPr>
      <xdr:spPr bwMode="auto">
        <a:xfrm>
          <a:off x="167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33</xdr:row>
      <xdr:rowOff>173181</xdr:rowOff>
    </xdr:from>
    <xdr:to>
      <xdr:col>7</xdr:col>
      <xdr:colOff>294410</xdr:colOff>
      <xdr:row>34</xdr:row>
      <xdr:rowOff>121226</xdr:rowOff>
    </xdr:to>
    <xdr:sp macro="" textlink="">
      <xdr:nvSpPr>
        <xdr:cNvPr id="3686" name="Freeform 10707">
          <a:extLst>
            <a:ext uri="{FF2B5EF4-FFF2-40B4-BE49-F238E27FC236}">
              <a16:creationId xmlns:a16="http://schemas.microsoft.com/office/drawing/2014/main" id="{573D4853-B5F1-44A6-8151-4AC963CC0018}"/>
            </a:ext>
          </a:extLst>
        </xdr:cNvPr>
        <xdr:cNvSpPr>
          <a:spLocks/>
        </xdr:cNvSpPr>
      </xdr:nvSpPr>
      <xdr:spPr bwMode="auto">
        <a:xfrm>
          <a:off x="2730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33</xdr:row>
      <xdr:rowOff>173181</xdr:rowOff>
    </xdr:from>
    <xdr:to>
      <xdr:col>9</xdr:col>
      <xdr:colOff>294410</xdr:colOff>
      <xdr:row>34</xdr:row>
      <xdr:rowOff>121226</xdr:rowOff>
    </xdr:to>
    <xdr:sp macro="" textlink="">
      <xdr:nvSpPr>
        <xdr:cNvPr id="3687" name="Freeform 10707">
          <a:extLst>
            <a:ext uri="{FF2B5EF4-FFF2-40B4-BE49-F238E27FC236}">
              <a16:creationId xmlns:a16="http://schemas.microsoft.com/office/drawing/2014/main" id="{60624567-7C40-4B8E-AA2A-F523BAD03858}"/>
            </a:ext>
          </a:extLst>
        </xdr:cNvPr>
        <xdr:cNvSpPr>
          <a:spLocks/>
        </xdr:cNvSpPr>
      </xdr:nvSpPr>
      <xdr:spPr bwMode="auto">
        <a:xfrm>
          <a:off x="378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33</xdr:row>
      <xdr:rowOff>173181</xdr:rowOff>
    </xdr:from>
    <xdr:to>
      <xdr:col>11</xdr:col>
      <xdr:colOff>294410</xdr:colOff>
      <xdr:row>34</xdr:row>
      <xdr:rowOff>121226</xdr:rowOff>
    </xdr:to>
    <xdr:sp macro="" textlink="">
      <xdr:nvSpPr>
        <xdr:cNvPr id="3688" name="Freeform 10707">
          <a:extLst>
            <a:ext uri="{FF2B5EF4-FFF2-40B4-BE49-F238E27FC236}">
              <a16:creationId xmlns:a16="http://schemas.microsoft.com/office/drawing/2014/main" id="{D9D20806-6DA1-4A15-B322-9936C32FAE33}"/>
            </a:ext>
          </a:extLst>
        </xdr:cNvPr>
        <xdr:cNvSpPr>
          <a:spLocks/>
        </xdr:cNvSpPr>
      </xdr:nvSpPr>
      <xdr:spPr bwMode="auto">
        <a:xfrm>
          <a:off x="484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33</xdr:row>
      <xdr:rowOff>173181</xdr:rowOff>
    </xdr:from>
    <xdr:to>
      <xdr:col>13</xdr:col>
      <xdr:colOff>294410</xdr:colOff>
      <xdr:row>34</xdr:row>
      <xdr:rowOff>121226</xdr:rowOff>
    </xdr:to>
    <xdr:sp macro="" textlink="">
      <xdr:nvSpPr>
        <xdr:cNvPr id="3689" name="Freeform 10707">
          <a:extLst>
            <a:ext uri="{FF2B5EF4-FFF2-40B4-BE49-F238E27FC236}">
              <a16:creationId xmlns:a16="http://schemas.microsoft.com/office/drawing/2014/main" id="{DE7CF075-7B10-41E2-A83E-550A6D25BA51}"/>
            </a:ext>
          </a:extLst>
        </xdr:cNvPr>
        <xdr:cNvSpPr>
          <a:spLocks/>
        </xdr:cNvSpPr>
      </xdr:nvSpPr>
      <xdr:spPr bwMode="auto">
        <a:xfrm>
          <a:off x="5905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33</xdr:row>
      <xdr:rowOff>173181</xdr:rowOff>
    </xdr:from>
    <xdr:to>
      <xdr:col>15</xdr:col>
      <xdr:colOff>294410</xdr:colOff>
      <xdr:row>34</xdr:row>
      <xdr:rowOff>121226</xdr:rowOff>
    </xdr:to>
    <xdr:sp macro="" textlink="">
      <xdr:nvSpPr>
        <xdr:cNvPr id="3690" name="Freeform 10707">
          <a:extLst>
            <a:ext uri="{FF2B5EF4-FFF2-40B4-BE49-F238E27FC236}">
              <a16:creationId xmlns:a16="http://schemas.microsoft.com/office/drawing/2014/main" id="{938B588B-D63F-4150-8F95-406125C4A601}"/>
            </a:ext>
          </a:extLst>
        </xdr:cNvPr>
        <xdr:cNvSpPr>
          <a:spLocks/>
        </xdr:cNvSpPr>
      </xdr:nvSpPr>
      <xdr:spPr bwMode="auto">
        <a:xfrm>
          <a:off x="696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33</xdr:row>
      <xdr:rowOff>173181</xdr:rowOff>
    </xdr:from>
    <xdr:to>
      <xdr:col>17</xdr:col>
      <xdr:colOff>294410</xdr:colOff>
      <xdr:row>34</xdr:row>
      <xdr:rowOff>121226</xdr:rowOff>
    </xdr:to>
    <xdr:sp macro="" textlink="">
      <xdr:nvSpPr>
        <xdr:cNvPr id="3691" name="Freeform 10707">
          <a:extLst>
            <a:ext uri="{FF2B5EF4-FFF2-40B4-BE49-F238E27FC236}">
              <a16:creationId xmlns:a16="http://schemas.microsoft.com/office/drawing/2014/main" id="{4E0D4423-55C1-4105-A27A-ACE615751D7D}"/>
            </a:ext>
          </a:extLst>
        </xdr:cNvPr>
        <xdr:cNvSpPr>
          <a:spLocks/>
        </xdr:cNvSpPr>
      </xdr:nvSpPr>
      <xdr:spPr bwMode="auto">
        <a:xfrm>
          <a:off x="802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320390</xdr:colOff>
      <xdr:row>34</xdr:row>
      <xdr:rowOff>36656</xdr:rowOff>
    </xdr:from>
    <xdr:to>
      <xdr:col>19</xdr:col>
      <xdr:colOff>326160</xdr:colOff>
      <xdr:row>34</xdr:row>
      <xdr:rowOff>152976</xdr:rowOff>
    </xdr:to>
    <xdr:sp macro="" textlink="">
      <xdr:nvSpPr>
        <xdr:cNvPr id="3692" name="Freeform 10707">
          <a:extLst>
            <a:ext uri="{FF2B5EF4-FFF2-40B4-BE49-F238E27FC236}">
              <a16:creationId xmlns:a16="http://schemas.microsoft.com/office/drawing/2014/main" id="{62D61F13-B3D1-431C-AD03-0CC5892BFC67}"/>
            </a:ext>
          </a:extLst>
        </xdr:cNvPr>
        <xdr:cNvSpPr>
          <a:spLocks/>
        </xdr:cNvSpPr>
      </xdr:nvSpPr>
      <xdr:spPr bwMode="auto">
        <a:xfrm>
          <a:off x="8623015" y="6704156"/>
          <a:ext cx="1021770" cy="1163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33</xdr:row>
      <xdr:rowOff>173181</xdr:rowOff>
    </xdr:from>
    <xdr:to>
      <xdr:col>21</xdr:col>
      <xdr:colOff>294410</xdr:colOff>
      <xdr:row>34</xdr:row>
      <xdr:rowOff>121226</xdr:rowOff>
    </xdr:to>
    <xdr:sp macro="" textlink="">
      <xdr:nvSpPr>
        <xdr:cNvPr id="3693" name="Freeform 10707">
          <a:extLst>
            <a:ext uri="{FF2B5EF4-FFF2-40B4-BE49-F238E27FC236}">
              <a16:creationId xmlns:a16="http://schemas.microsoft.com/office/drawing/2014/main" id="{52D78C62-9046-468F-B368-29197BDEBA44}"/>
            </a:ext>
          </a:extLst>
        </xdr:cNvPr>
        <xdr:cNvSpPr>
          <a:spLocks/>
        </xdr:cNvSpPr>
      </xdr:nvSpPr>
      <xdr:spPr bwMode="auto">
        <a:xfrm>
          <a:off x="1013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33</xdr:row>
      <xdr:rowOff>173181</xdr:rowOff>
    </xdr:from>
    <xdr:to>
      <xdr:col>23</xdr:col>
      <xdr:colOff>294410</xdr:colOff>
      <xdr:row>34</xdr:row>
      <xdr:rowOff>121226</xdr:rowOff>
    </xdr:to>
    <xdr:sp macro="" textlink="">
      <xdr:nvSpPr>
        <xdr:cNvPr id="3694" name="Freeform 10707">
          <a:extLst>
            <a:ext uri="{FF2B5EF4-FFF2-40B4-BE49-F238E27FC236}">
              <a16:creationId xmlns:a16="http://schemas.microsoft.com/office/drawing/2014/main" id="{AFD538A9-830F-458C-98BB-904463255698}"/>
            </a:ext>
          </a:extLst>
        </xdr:cNvPr>
        <xdr:cNvSpPr>
          <a:spLocks/>
        </xdr:cNvSpPr>
      </xdr:nvSpPr>
      <xdr:spPr bwMode="auto">
        <a:xfrm>
          <a:off x="1119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22</xdr:row>
      <xdr:rowOff>159455</xdr:rowOff>
    </xdr:from>
    <xdr:to>
      <xdr:col>2</xdr:col>
      <xdr:colOff>32743</xdr:colOff>
      <xdr:row>25</xdr:row>
      <xdr:rowOff>152400</xdr:rowOff>
    </xdr:to>
    <xdr:sp macro="" textlink="">
      <xdr:nvSpPr>
        <xdr:cNvPr id="3700" name="Isosceles Triangle 3699">
          <a:extLst>
            <a:ext uri="{FF2B5EF4-FFF2-40B4-BE49-F238E27FC236}">
              <a16:creationId xmlns:a16="http://schemas.microsoft.com/office/drawing/2014/main" id="{6CD633E8-1E49-4929-8935-9A28B1208314}"/>
            </a:ext>
          </a:extLst>
        </xdr:cNvPr>
        <xdr:cNvSpPr/>
      </xdr:nvSpPr>
      <xdr:spPr>
        <a:xfrm>
          <a:off x="296796" y="24094070"/>
          <a:ext cx="655883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23</xdr:row>
      <xdr:rowOff>4233</xdr:rowOff>
    </xdr:from>
    <xdr:to>
      <xdr:col>4</xdr:col>
      <xdr:colOff>73463</xdr:colOff>
      <xdr:row>25</xdr:row>
      <xdr:rowOff>165947</xdr:rowOff>
    </xdr:to>
    <xdr:sp macro="" textlink="">
      <xdr:nvSpPr>
        <xdr:cNvPr id="3701" name="Isosceles Triangle 3700">
          <a:extLst>
            <a:ext uri="{FF2B5EF4-FFF2-40B4-BE49-F238E27FC236}">
              <a16:creationId xmlns:a16="http://schemas.microsoft.com/office/drawing/2014/main" id="{2AD0420C-ED21-4DAD-87B1-4BB18D23B6D7}"/>
            </a:ext>
          </a:extLst>
        </xdr:cNvPr>
        <xdr:cNvSpPr/>
      </xdr:nvSpPr>
      <xdr:spPr>
        <a:xfrm>
          <a:off x="1367345" y="24109810"/>
          <a:ext cx="684387" cy="50363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</xdr:row>
      <xdr:rowOff>7056</xdr:rowOff>
    </xdr:from>
    <xdr:to>
      <xdr:col>10</xdr:col>
      <xdr:colOff>69226</xdr:colOff>
      <xdr:row>26</xdr:row>
      <xdr:rowOff>1</xdr:rowOff>
    </xdr:to>
    <xdr:sp macro="" textlink="">
      <xdr:nvSpPr>
        <xdr:cNvPr id="3702" name="Isosceles Triangle 3701">
          <a:extLst>
            <a:ext uri="{FF2B5EF4-FFF2-40B4-BE49-F238E27FC236}">
              <a16:creationId xmlns:a16="http://schemas.microsoft.com/office/drawing/2014/main" id="{676C05C0-9BF0-4AB0-A632-DE0B1D99C4D1}"/>
            </a:ext>
          </a:extLst>
        </xdr:cNvPr>
        <xdr:cNvSpPr/>
      </xdr:nvSpPr>
      <xdr:spPr>
        <a:xfrm>
          <a:off x="4538108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</xdr:row>
      <xdr:rowOff>18345</xdr:rowOff>
    </xdr:from>
    <xdr:to>
      <xdr:col>12</xdr:col>
      <xdr:colOff>66404</xdr:colOff>
      <xdr:row>26</xdr:row>
      <xdr:rowOff>11290</xdr:rowOff>
    </xdr:to>
    <xdr:sp macro="" textlink="">
      <xdr:nvSpPr>
        <xdr:cNvPr id="3703" name="Isosceles Triangle 3702">
          <a:extLst>
            <a:ext uri="{FF2B5EF4-FFF2-40B4-BE49-F238E27FC236}">
              <a16:creationId xmlns:a16="http://schemas.microsoft.com/office/drawing/2014/main" id="{7E0FA1A7-1D7C-42E2-9975-147D956F7B23}"/>
            </a:ext>
          </a:extLst>
        </xdr:cNvPr>
        <xdr:cNvSpPr/>
      </xdr:nvSpPr>
      <xdr:spPr>
        <a:xfrm>
          <a:off x="5528506" y="24123922"/>
          <a:ext cx="749501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23</xdr:row>
      <xdr:rowOff>7056</xdr:rowOff>
    </xdr:from>
    <xdr:to>
      <xdr:col>14</xdr:col>
      <xdr:colOff>69226</xdr:colOff>
      <xdr:row>26</xdr:row>
      <xdr:rowOff>1</xdr:rowOff>
    </xdr:to>
    <xdr:sp macro="" textlink="">
      <xdr:nvSpPr>
        <xdr:cNvPr id="3704" name="Isosceles Triangle 3703">
          <a:extLst>
            <a:ext uri="{FF2B5EF4-FFF2-40B4-BE49-F238E27FC236}">
              <a16:creationId xmlns:a16="http://schemas.microsoft.com/office/drawing/2014/main" id="{0AD01F7C-0BD1-4A38-B53B-15FA630C71FE}"/>
            </a:ext>
          </a:extLst>
        </xdr:cNvPr>
        <xdr:cNvSpPr/>
      </xdr:nvSpPr>
      <xdr:spPr>
        <a:xfrm>
          <a:off x="6654775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</xdr:row>
      <xdr:rowOff>7056</xdr:rowOff>
    </xdr:from>
    <xdr:to>
      <xdr:col>18</xdr:col>
      <xdr:colOff>69226</xdr:colOff>
      <xdr:row>26</xdr:row>
      <xdr:rowOff>1</xdr:rowOff>
    </xdr:to>
    <xdr:sp macro="" textlink="">
      <xdr:nvSpPr>
        <xdr:cNvPr id="3705" name="Isosceles Triangle 3704">
          <a:extLst>
            <a:ext uri="{FF2B5EF4-FFF2-40B4-BE49-F238E27FC236}">
              <a16:creationId xmlns:a16="http://schemas.microsoft.com/office/drawing/2014/main" id="{A0FBDDEE-D26E-45E7-9BC6-77901551603C}"/>
            </a:ext>
          </a:extLst>
        </xdr:cNvPr>
        <xdr:cNvSpPr/>
      </xdr:nvSpPr>
      <xdr:spPr>
        <a:xfrm>
          <a:off x="8771441" y="24112633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</xdr:row>
      <xdr:rowOff>8964</xdr:rowOff>
    </xdr:from>
    <xdr:to>
      <xdr:col>16</xdr:col>
      <xdr:colOff>29467</xdr:colOff>
      <xdr:row>26</xdr:row>
      <xdr:rowOff>1909</xdr:rowOff>
    </xdr:to>
    <xdr:sp macro="" textlink="">
      <xdr:nvSpPr>
        <xdr:cNvPr id="3706" name="Isosceles Triangle 3705">
          <a:extLst>
            <a:ext uri="{FF2B5EF4-FFF2-40B4-BE49-F238E27FC236}">
              <a16:creationId xmlns:a16="http://schemas.microsoft.com/office/drawing/2014/main" id="{6D946FE4-DC34-4615-B102-981F1F2B3D44}"/>
            </a:ext>
          </a:extLst>
        </xdr:cNvPr>
        <xdr:cNvSpPr/>
      </xdr:nvSpPr>
      <xdr:spPr>
        <a:xfrm>
          <a:off x="7673348" y="2411454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73</xdr:col>
      <xdr:colOff>357867</xdr:colOff>
      <xdr:row>24</xdr:row>
      <xdr:rowOff>61233</xdr:rowOff>
    </xdr:from>
    <xdr:ext cx="382764" cy="351600"/>
    <xdr:pic>
      <xdr:nvPicPr>
        <xdr:cNvPr id="3708" name="Picture 3707" descr="Gas pipeline line icon concept. Gas ...">
          <a:extLst>
            <a:ext uri="{FF2B5EF4-FFF2-40B4-BE49-F238E27FC236}">
              <a16:creationId xmlns:a16="http://schemas.microsoft.com/office/drawing/2014/main" id="{7441A588-2F46-4060-AD63-4F7114908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7236167" y="5157108"/>
          <a:ext cx="382764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145596</xdr:colOff>
      <xdr:row>38</xdr:row>
      <xdr:rowOff>145597</xdr:rowOff>
    </xdr:from>
    <xdr:ext cx="153198" cy="602157"/>
    <xdr:pic>
      <xdr:nvPicPr>
        <xdr:cNvPr id="3722" name="Picture 3721">
          <a:extLst>
            <a:ext uri="{FF2B5EF4-FFF2-40B4-BE49-F238E27FC236}">
              <a16:creationId xmlns:a16="http://schemas.microsoft.com/office/drawing/2014/main" id="{E1FB7C5E-C88A-4489-8B4F-825792D10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337471" y="7670347"/>
          <a:ext cx="153198" cy="602157"/>
        </a:xfrm>
        <a:prstGeom prst="rect">
          <a:avLst/>
        </a:prstGeom>
      </xdr:spPr>
    </xdr:pic>
    <xdr:clientData/>
  </xdr:oneCellAnchor>
  <xdr:twoCellAnchor>
    <xdr:from>
      <xdr:col>22</xdr:col>
      <xdr:colOff>364448</xdr:colOff>
      <xdr:row>164</xdr:row>
      <xdr:rowOff>7055</xdr:rowOff>
    </xdr:from>
    <xdr:to>
      <xdr:col>24</xdr:col>
      <xdr:colOff>94696</xdr:colOff>
      <xdr:row>167</xdr:row>
      <xdr:rowOff>0</xdr:rowOff>
    </xdr:to>
    <xdr:sp macro="" textlink="">
      <xdr:nvSpPr>
        <xdr:cNvPr id="3723" name="Isosceles Triangle 3722">
          <a:extLst>
            <a:ext uri="{FF2B5EF4-FFF2-40B4-BE49-F238E27FC236}">
              <a16:creationId xmlns:a16="http://schemas.microsoft.com/office/drawing/2014/main" id="{F3B32834-5395-4293-8136-736A10E4D1DF}"/>
            </a:ext>
          </a:extLst>
        </xdr:cNvPr>
        <xdr:cNvSpPr/>
      </xdr:nvSpPr>
      <xdr:spPr>
        <a:xfrm>
          <a:off x="12317652" y="29239414"/>
          <a:ext cx="736410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164</xdr:row>
      <xdr:rowOff>4233</xdr:rowOff>
    </xdr:from>
    <xdr:to>
      <xdr:col>26</xdr:col>
      <xdr:colOff>46570</xdr:colOff>
      <xdr:row>166</xdr:row>
      <xdr:rowOff>173567</xdr:rowOff>
    </xdr:to>
    <xdr:sp macro="" textlink="">
      <xdr:nvSpPr>
        <xdr:cNvPr id="3724" name="Isosceles Triangle 3723">
          <a:extLst>
            <a:ext uri="{FF2B5EF4-FFF2-40B4-BE49-F238E27FC236}">
              <a16:creationId xmlns:a16="http://schemas.microsoft.com/office/drawing/2014/main" id="{1FD58D91-A434-4E7B-B686-3F8C96D43D76}"/>
            </a:ext>
          </a:extLst>
        </xdr:cNvPr>
        <xdr:cNvSpPr/>
      </xdr:nvSpPr>
      <xdr:spPr>
        <a:xfrm>
          <a:off x="1341265" y="25266650"/>
          <a:ext cx="684388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164</xdr:row>
      <xdr:rowOff>13304</xdr:rowOff>
    </xdr:from>
    <xdr:to>
      <xdr:col>30</xdr:col>
      <xdr:colOff>46570</xdr:colOff>
      <xdr:row>167</xdr:row>
      <xdr:rowOff>1210</xdr:rowOff>
    </xdr:to>
    <xdr:sp macro="" textlink="">
      <xdr:nvSpPr>
        <xdr:cNvPr id="3725" name="Isosceles Triangle 3724">
          <a:extLst>
            <a:ext uri="{FF2B5EF4-FFF2-40B4-BE49-F238E27FC236}">
              <a16:creationId xmlns:a16="http://schemas.microsoft.com/office/drawing/2014/main" id="{84607F87-E683-4842-A28E-BBE2D5007413}"/>
            </a:ext>
          </a:extLst>
        </xdr:cNvPr>
        <xdr:cNvSpPr/>
      </xdr:nvSpPr>
      <xdr:spPr>
        <a:xfrm>
          <a:off x="3457932" y="25275721"/>
          <a:ext cx="684388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164</xdr:row>
      <xdr:rowOff>13304</xdr:rowOff>
    </xdr:from>
    <xdr:to>
      <xdr:col>26</xdr:col>
      <xdr:colOff>46569</xdr:colOff>
      <xdr:row>167</xdr:row>
      <xdr:rowOff>1210</xdr:rowOff>
    </xdr:to>
    <xdr:sp macro="" textlink="">
      <xdr:nvSpPr>
        <xdr:cNvPr id="3726" name="Isosceles Triangle 3725">
          <a:extLst>
            <a:ext uri="{FF2B5EF4-FFF2-40B4-BE49-F238E27FC236}">
              <a16:creationId xmlns:a16="http://schemas.microsoft.com/office/drawing/2014/main" id="{7A27C70E-7A44-4785-8117-957BC1CD1551}"/>
            </a:ext>
          </a:extLst>
        </xdr:cNvPr>
        <xdr:cNvSpPr/>
      </xdr:nvSpPr>
      <xdr:spPr>
        <a:xfrm>
          <a:off x="1341265" y="25275721"/>
          <a:ext cx="684387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438858</xdr:colOff>
      <xdr:row>164</xdr:row>
      <xdr:rowOff>15522</xdr:rowOff>
    </xdr:from>
    <xdr:to>
      <xdr:col>28</xdr:col>
      <xdr:colOff>64912</xdr:colOff>
      <xdr:row>167</xdr:row>
      <xdr:rowOff>8467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9CFCE348-0647-4AD0-88C6-928AA4AC71D8}"/>
            </a:ext>
          </a:extLst>
        </xdr:cNvPr>
        <xdr:cNvSpPr/>
      </xdr:nvSpPr>
      <xdr:spPr>
        <a:xfrm>
          <a:off x="2417941" y="29373689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176</xdr:row>
      <xdr:rowOff>7056</xdr:rowOff>
    </xdr:from>
    <xdr:to>
      <xdr:col>2</xdr:col>
      <xdr:colOff>42332</xdr:colOff>
      <xdr:row>179</xdr:row>
      <xdr:rowOff>1</xdr:rowOff>
    </xdr:to>
    <xdr:sp macro="" textlink="">
      <xdr:nvSpPr>
        <xdr:cNvPr id="3728" name="Isosceles Triangle 3727">
          <a:extLst>
            <a:ext uri="{FF2B5EF4-FFF2-40B4-BE49-F238E27FC236}">
              <a16:creationId xmlns:a16="http://schemas.microsoft.com/office/drawing/2014/main" id="{52FF9FC6-7C50-48FF-A3FF-FBCCD51970E6}"/>
            </a:ext>
          </a:extLst>
        </xdr:cNvPr>
        <xdr:cNvSpPr/>
      </xdr:nvSpPr>
      <xdr:spPr>
        <a:xfrm>
          <a:off x="4512028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176</xdr:row>
      <xdr:rowOff>18345</xdr:rowOff>
    </xdr:from>
    <xdr:to>
      <xdr:col>4</xdr:col>
      <xdr:colOff>39510</xdr:colOff>
      <xdr:row>179</xdr:row>
      <xdr:rowOff>11290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9ABF2514-C810-4B69-97BA-D3133744561C}"/>
            </a:ext>
          </a:extLst>
        </xdr:cNvPr>
        <xdr:cNvSpPr/>
      </xdr:nvSpPr>
      <xdr:spPr>
        <a:xfrm>
          <a:off x="5567539" y="25280762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176</xdr:row>
      <xdr:rowOff>7056</xdr:rowOff>
    </xdr:from>
    <xdr:to>
      <xdr:col>6</xdr:col>
      <xdr:colOff>42332</xdr:colOff>
      <xdr:row>179</xdr:row>
      <xdr:rowOff>1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BED88928-03F7-4B30-8CF8-446E37B7631E}"/>
            </a:ext>
          </a:extLst>
        </xdr:cNvPr>
        <xdr:cNvSpPr/>
      </xdr:nvSpPr>
      <xdr:spPr>
        <a:xfrm>
          <a:off x="6628695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176</xdr:row>
      <xdr:rowOff>18345</xdr:rowOff>
    </xdr:from>
    <xdr:to>
      <xdr:col>8</xdr:col>
      <xdr:colOff>39510</xdr:colOff>
      <xdr:row>179</xdr:row>
      <xdr:rowOff>11290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BAFFCF4D-51BA-4DFC-BC98-4C99323FC3CF}"/>
            </a:ext>
          </a:extLst>
        </xdr:cNvPr>
        <xdr:cNvSpPr/>
      </xdr:nvSpPr>
      <xdr:spPr>
        <a:xfrm>
          <a:off x="7684206" y="25280762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176</xdr:row>
      <xdr:rowOff>7056</xdr:rowOff>
    </xdr:from>
    <xdr:to>
      <xdr:col>10</xdr:col>
      <xdr:colOff>42332</xdr:colOff>
      <xdr:row>179</xdr:row>
      <xdr:rowOff>1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5C6D5BC3-DA54-4EA2-81C3-D8FE8585140F}"/>
            </a:ext>
          </a:extLst>
        </xdr:cNvPr>
        <xdr:cNvSpPr/>
      </xdr:nvSpPr>
      <xdr:spPr>
        <a:xfrm>
          <a:off x="874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176</xdr:row>
      <xdr:rowOff>18345</xdr:rowOff>
    </xdr:from>
    <xdr:to>
      <xdr:col>12</xdr:col>
      <xdr:colOff>21579</xdr:colOff>
      <xdr:row>179</xdr:row>
      <xdr:rowOff>8965</xdr:rowOff>
    </xdr:to>
    <xdr:sp macro="" textlink="">
      <xdr:nvSpPr>
        <xdr:cNvPr id="3733" name="Isosceles Triangle 3732">
          <a:extLst>
            <a:ext uri="{FF2B5EF4-FFF2-40B4-BE49-F238E27FC236}">
              <a16:creationId xmlns:a16="http://schemas.microsoft.com/office/drawing/2014/main" id="{88FF4521-CEB1-4EF5-A5A3-ED9994936677}"/>
            </a:ext>
          </a:extLst>
        </xdr:cNvPr>
        <xdr:cNvSpPr/>
      </xdr:nvSpPr>
      <xdr:spPr>
        <a:xfrm>
          <a:off x="9826687" y="25280762"/>
          <a:ext cx="640642" cy="4986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176</xdr:row>
      <xdr:rowOff>7055</xdr:rowOff>
    </xdr:from>
    <xdr:to>
      <xdr:col>14</xdr:col>
      <xdr:colOff>49392</xdr:colOff>
      <xdr:row>179</xdr:row>
      <xdr:rowOff>0</xdr:rowOff>
    </xdr:to>
    <xdr:sp macro="" textlink="">
      <xdr:nvSpPr>
        <xdr:cNvPr id="3734" name="Isosceles Triangle 3733">
          <a:extLst>
            <a:ext uri="{FF2B5EF4-FFF2-40B4-BE49-F238E27FC236}">
              <a16:creationId xmlns:a16="http://schemas.microsoft.com/office/drawing/2014/main" id="{080DF006-4B2A-4310-A599-1E5F95D77492}"/>
            </a:ext>
          </a:extLst>
        </xdr:cNvPr>
        <xdr:cNvSpPr/>
      </xdr:nvSpPr>
      <xdr:spPr>
        <a:xfrm>
          <a:off x="10849162" y="25269472"/>
          <a:ext cx="704313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176</xdr:row>
      <xdr:rowOff>4233</xdr:rowOff>
    </xdr:from>
    <xdr:to>
      <xdr:col>16</xdr:col>
      <xdr:colOff>46570</xdr:colOff>
      <xdr:row>178</xdr:row>
      <xdr:rowOff>173567</xdr:rowOff>
    </xdr:to>
    <xdr:sp macro="" textlink="">
      <xdr:nvSpPr>
        <xdr:cNvPr id="3735" name="Isosceles Triangle 3734">
          <a:extLst>
            <a:ext uri="{FF2B5EF4-FFF2-40B4-BE49-F238E27FC236}">
              <a16:creationId xmlns:a16="http://schemas.microsoft.com/office/drawing/2014/main" id="{F9EE171F-2F29-461B-9F61-00CB490D5E34}"/>
            </a:ext>
          </a:extLst>
        </xdr:cNvPr>
        <xdr:cNvSpPr/>
      </xdr:nvSpPr>
      <xdr:spPr>
        <a:xfrm>
          <a:off x="11924598" y="25266650"/>
          <a:ext cx="684389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176</xdr:row>
      <xdr:rowOff>13304</xdr:rowOff>
    </xdr:from>
    <xdr:to>
      <xdr:col>20</xdr:col>
      <xdr:colOff>46570</xdr:colOff>
      <xdr:row>179</xdr:row>
      <xdr:rowOff>1209</xdr:rowOff>
    </xdr:to>
    <xdr:sp macro="" textlink="">
      <xdr:nvSpPr>
        <xdr:cNvPr id="3736" name="Isosceles Triangle 3735">
          <a:extLst>
            <a:ext uri="{FF2B5EF4-FFF2-40B4-BE49-F238E27FC236}">
              <a16:creationId xmlns:a16="http://schemas.microsoft.com/office/drawing/2014/main" id="{A0300A9F-A75E-416B-A06F-41390940951D}"/>
            </a:ext>
          </a:extLst>
        </xdr:cNvPr>
        <xdr:cNvSpPr/>
      </xdr:nvSpPr>
      <xdr:spPr>
        <a:xfrm>
          <a:off x="14041265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176</xdr:row>
      <xdr:rowOff>13304</xdr:rowOff>
    </xdr:from>
    <xdr:to>
      <xdr:col>16</xdr:col>
      <xdr:colOff>46569</xdr:colOff>
      <xdr:row>179</xdr:row>
      <xdr:rowOff>1209</xdr:rowOff>
    </xdr:to>
    <xdr:sp macro="" textlink="">
      <xdr:nvSpPr>
        <xdr:cNvPr id="3737" name="Isosceles Triangle 3736">
          <a:extLst>
            <a:ext uri="{FF2B5EF4-FFF2-40B4-BE49-F238E27FC236}">
              <a16:creationId xmlns:a16="http://schemas.microsoft.com/office/drawing/2014/main" id="{18904E24-D947-4CBB-94E7-996477C87936}"/>
            </a:ext>
          </a:extLst>
        </xdr:cNvPr>
        <xdr:cNvSpPr/>
      </xdr:nvSpPr>
      <xdr:spPr>
        <a:xfrm>
          <a:off x="11924598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176</xdr:row>
      <xdr:rowOff>15522</xdr:rowOff>
    </xdr:from>
    <xdr:to>
      <xdr:col>18</xdr:col>
      <xdr:colOff>43746</xdr:colOff>
      <xdr:row>179</xdr:row>
      <xdr:rowOff>8467</xdr:rowOff>
    </xdr:to>
    <xdr:sp macro="" textlink="">
      <xdr:nvSpPr>
        <xdr:cNvPr id="3738" name="Isosceles Triangle 3737">
          <a:extLst>
            <a:ext uri="{FF2B5EF4-FFF2-40B4-BE49-F238E27FC236}">
              <a16:creationId xmlns:a16="http://schemas.microsoft.com/office/drawing/2014/main" id="{B1CF878A-6762-42A6-9DC6-F3CBFFC61A35}"/>
            </a:ext>
          </a:extLst>
        </xdr:cNvPr>
        <xdr:cNvSpPr/>
      </xdr:nvSpPr>
      <xdr:spPr>
        <a:xfrm>
          <a:off x="12980109" y="25277939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176</xdr:row>
      <xdr:rowOff>7056</xdr:rowOff>
    </xdr:from>
    <xdr:to>
      <xdr:col>22</xdr:col>
      <xdr:colOff>42332</xdr:colOff>
      <xdr:row>179</xdr:row>
      <xdr:rowOff>1</xdr:rowOff>
    </xdr:to>
    <xdr:sp macro="" textlink="">
      <xdr:nvSpPr>
        <xdr:cNvPr id="3739" name="Isosceles Triangle 3738">
          <a:extLst>
            <a:ext uri="{FF2B5EF4-FFF2-40B4-BE49-F238E27FC236}">
              <a16:creationId xmlns:a16="http://schemas.microsoft.com/office/drawing/2014/main" id="{F4383A27-66A8-4020-A75B-8BBA6537D75C}"/>
            </a:ext>
          </a:extLst>
        </xdr:cNvPr>
        <xdr:cNvSpPr/>
      </xdr:nvSpPr>
      <xdr:spPr>
        <a:xfrm>
          <a:off x="1509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163</xdr:row>
      <xdr:rowOff>173181</xdr:rowOff>
    </xdr:from>
    <xdr:to>
      <xdr:col>25</xdr:col>
      <xdr:colOff>294410</xdr:colOff>
      <xdr:row>164</xdr:row>
      <xdr:rowOff>121226</xdr:rowOff>
    </xdr:to>
    <xdr:sp macro="" textlink="">
      <xdr:nvSpPr>
        <xdr:cNvPr id="3740" name="Freeform 10707">
          <a:extLst>
            <a:ext uri="{FF2B5EF4-FFF2-40B4-BE49-F238E27FC236}">
              <a16:creationId xmlns:a16="http://schemas.microsoft.com/office/drawing/2014/main" id="{65E95D4A-4C8D-4EBC-AEF9-639520EF87E8}"/>
            </a:ext>
          </a:extLst>
        </xdr:cNvPr>
        <xdr:cNvSpPr>
          <a:spLocks/>
        </xdr:cNvSpPr>
      </xdr:nvSpPr>
      <xdr:spPr bwMode="auto">
        <a:xfrm>
          <a:off x="6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163</xdr:row>
      <xdr:rowOff>173181</xdr:rowOff>
    </xdr:from>
    <xdr:to>
      <xdr:col>27</xdr:col>
      <xdr:colOff>294410</xdr:colOff>
      <xdr:row>164</xdr:row>
      <xdr:rowOff>121226</xdr:rowOff>
    </xdr:to>
    <xdr:sp macro="" textlink="">
      <xdr:nvSpPr>
        <xdr:cNvPr id="3741" name="Freeform 10707">
          <a:extLst>
            <a:ext uri="{FF2B5EF4-FFF2-40B4-BE49-F238E27FC236}">
              <a16:creationId xmlns:a16="http://schemas.microsoft.com/office/drawing/2014/main" id="{4FD66BF9-D916-45B5-BB7B-4E43AA869353}"/>
            </a:ext>
          </a:extLst>
        </xdr:cNvPr>
        <xdr:cNvSpPr>
          <a:spLocks/>
        </xdr:cNvSpPr>
      </xdr:nvSpPr>
      <xdr:spPr bwMode="auto">
        <a:xfrm>
          <a:off x="16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163</xdr:row>
      <xdr:rowOff>173181</xdr:rowOff>
    </xdr:from>
    <xdr:to>
      <xdr:col>29</xdr:col>
      <xdr:colOff>294410</xdr:colOff>
      <xdr:row>164</xdr:row>
      <xdr:rowOff>121226</xdr:rowOff>
    </xdr:to>
    <xdr:sp macro="" textlink="">
      <xdr:nvSpPr>
        <xdr:cNvPr id="3742" name="Freeform 10707">
          <a:extLst>
            <a:ext uri="{FF2B5EF4-FFF2-40B4-BE49-F238E27FC236}">
              <a16:creationId xmlns:a16="http://schemas.microsoft.com/office/drawing/2014/main" id="{5BC7647C-BA3F-446E-919E-28D747EEED75}"/>
            </a:ext>
          </a:extLst>
        </xdr:cNvPr>
        <xdr:cNvSpPr>
          <a:spLocks/>
        </xdr:cNvSpPr>
      </xdr:nvSpPr>
      <xdr:spPr bwMode="auto">
        <a:xfrm>
          <a:off x="27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163</xdr:row>
      <xdr:rowOff>173181</xdr:rowOff>
    </xdr:from>
    <xdr:to>
      <xdr:col>31</xdr:col>
      <xdr:colOff>294410</xdr:colOff>
      <xdr:row>164</xdr:row>
      <xdr:rowOff>121226</xdr:rowOff>
    </xdr:to>
    <xdr:sp macro="" textlink="">
      <xdr:nvSpPr>
        <xdr:cNvPr id="3743" name="Freeform 10707">
          <a:extLst>
            <a:ext uri="{FF2B5EF4-FFF2-40B4-BE49-F238E27FC236}">
              <a16:creationId xmlns:a16="http://schemas.microsoft.com/office/drawing/2014/main" id="{512C5786-97AB-4A03-BE65-3B02A50246CA}"/>
            </a:ext>
          </a:extLst>
        </xdr:cNvPr>
        <xdr:cNvSpPr>
          <a:spLocks/>
        </xdr:cNvSpPr>
      </xdr:nvSpPr>
      <xdr:spPr bwMode="auto">
        <a:xfrm>
          <a:off x="379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175</xdr:row>
      <xdr:rowOff>173181</xdr:rowOff>
    </xdr:from>
    <xdr:to>
      <xdr:col>3</xdr:col>
      <xdr:colOff>294410</xdr:colOff>
      <xdr:row>176</xdr:row>
      <xdr:rowOff>121226</xdr:rowOff>
    </xdr:to>
    <xdr:sp macro="" textlink="">
      <xdr:nvSpPr>
        <xdr:cNvPr id="3744" name="Freeform 10707">
          <a:extLst>
            <a:ext uri="{FF2B5EF4-FFF2-40B4-BE49-F238E27FC236}">
              <a16:creationId xmlns:a16="http://schemas.microsoft.com/office/drawing/2014/main" id="{5B59BFE5-20F7-433D-9AE7-08EA7592FC4D}"/>
            </a:ext>
          </a:extLst>
        </xdr:cNvPr>
        <xdr:cNvSpPr>
          <a:spLocks/>
        </xdr:cNvSpPr>
      </xdr:nvSpPr>
      <xdr:spPr bwMode="auto">
        <a:xfrm>
          <a:off x="485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175</xdr:row>
      <xdr:rowOff>173181</xdr:rowOff>
    </xdr:from>
    <xdr:to>
      <xdr:col>5</xdr:col>
      <xdr:colOff>294410</xdr:colOff>
      <xdr:row>176</xdr:row>
      <xdr:rowOff>121226</xdr:rowOff>
    </xdr:to>
    <xdr:sp macro="" textlink="">
      <xdr:nvSpPr>
        <xdr:cNvPr id="3745" name="Freeform 10707">
          <a:extLst>
            <a:ext uri="{FF2B5EF4-FFF2-40B4-BE49-F238E27FC236}">
              <a16:creationId xmlns:a16="http://schemas.microsoft.com/office/drawing/2014/main" id="{C2C36C57-AB68-4A72-8F90-40A5241793BD}"/>
            </a:ext>
          </a:extLst>
        </xdr:cNvPr>
        <xdr:cNvSpPr>
          <a:spLocks/>
        </xdr:cNvSpPr>
      </xdr:nvSpPr>
      <xdr:spPr bwMode="auto">
        <a:xfrm>
          <a:off x="590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175</xdr:row>
      <xdr:rowOff>173181</xdr:rowOff>
    </xdr:from>
    <xdr:to>
      <xdr:col>7</xdr:col>
      <xdr:colOff>294410</xdr:colOff>
      <xdr:row>176</xdr:row>
      <xdr:rowOff>121226</xdr:rowOff>
    </xdr:to>
    <xdr:sp macro="" textlink="">
      <xdr:nvSpPr>
        <xdr:cNvPr id="3746" name="Freeform 10707">
          <a:extLst>
            <a:ext uri="{FF2B5EF4-FFF2-40B4-BE49-F238E27FC236}">
              <a16:creationId xmlns:a16="http://schemas.microsoft.com/office/drawing/2014/main" id="{A762E6F2-3221-4B04-A041-1C4B277842D2}"/>
            </a:ext>
          </a:extLst>
        </xdr:cNvPr>
        <xdr:cNvSpPr>
          <a:spLocks/>
        </xdr:cNvSpPr>
      </xdr:nvSpPr>
      <xdr:spPr bwMode="auto">
        <a:xfrm>
          <a:off x="696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175</xdr:row>
      <xdr:rowOff>173181</xdr:rowOff>
    </xdr:from>
    <xdr:to>
      <xdr:col>9</xdr:col>
      <xdr:colOff>294410</xdr:colOff>
      <xdr:row>176</xdr:row>
      <xdr:rowOff>121226</xdr:rowOff>
    </xdr:to>
    <xdr:sp macro="" textlink="">
      <xdr:nvSpPr>
        <xdr:cNvPr id="3747" name="Freeform 10707">
          <a:extLst>
            <a:ext uri="{FF2B5EF4-FFF2-40B4-BE49-F238E27FC236}">
              <a16:creationId xmlns:a16="http://schemas.microsoft.com/office/drawing/2014/main" id="{73C008D2-630F-4F0C-B3FE-C375F9D4D1A7}"/>
            </a:ext>
          </a:extLst>
        </xdr:cNvPr>
        <xdr:cNvSpPr>
          <a:spLocks/>
        </xdr:cNvSpPr>
      </xdr:nvSpPr>
      <xdr:spPr bwMode="auto">
        <a:xfrm>
          <a:off x="802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175</xdr:row>
      <xdr:rowOff>173181</xdr:rowOff>
    </xdr:from>
    <xdr:to>
      <xdr:col>11</xdr:col>
      <xdr:colOff>294410</xdr:colOff>
      <xdr:row>176</xdr:row>
      <xdr:rowOff>121226</xdr:rowOff>
    </xdr:to>
    <xdr:sp macro="" textlink="">
      <xdr:nvSpPr>
        <xdr:cNvPr id="3748" name="Freeform 10707">
          <a:extLst>
            <a:ext uri="{FF2B5EF4-FFF2-40B4-BE49-F238E27FC236}">
              <a16:creationId xmlns:a16="http://schemas.microsoft.com/office/drawing/2014/main" id="{5DD323CB-B58C-4CCF-96FD-93D8C7BAFACA}"/>
            </a:ext>
          </a:extLst>
        </xdr:cNvPr>
        <xdr:cNvSpPr>
          <a:spLocks/>
        </xdr:cNvSpPr>
      </xdr:nvSpPr>
      <xdr:spPr bwMode="auto">
        <a:xfrm>
          <a:off x="908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175</xdr:row>
      <xdr:rowOff>173181</xdr:rowOff>
    </xdr:from>
    <xdr:to>
      <xdr:col>13</xdr:col>
      <xdr:colOff>294410</xdr:colOff>
      <xdr:row>176</xdr:row>
      <xdr:rowOff>121226</xdr:rowOff>
    </xdr:to>
    <xdr:sp macro="" textlink="">
      <xdr:nvSpPr>
        <xdr:cNvPr id="3749" name="Freeform 10707">
          <a:extLst>
            <a:ext uri="{FF2B5EF4-FFF2-40B4-BE49-F238E27FC236}">
              <a16:creationId xmlns:a16="http://schemas.microsoft.com/office/drawing/2014/main" id="{98A1CF4A-A2A6-48B5-BF16-5A313CBAD13E}"/>
            </a:ext>
          </a:extLst>
        </xdr:cNvPr>
        <xdr:cNvSpPr>
          <a:spLocks/>
        </xdr:cNvSpPr>
      </xdr:nvSpPr>
      <xdr:spPr bwMode="auto">
        <a:xfrm>
          <a:off x="1014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175</xdr:row>
      <xdr:rowOff>173181</xdr:rowOff>
    </xdr:from>
    <xdr:to>
      <xdr:col>15</xdr:col>
      <xdr:colOff>294410</xdr:colOff>
      <xdr:row>176</xdr:row>
      <xdr:rowOff>121226</xdr:rowOff>
    </xdr:to>
    <xdr:sp macro="" textlink="">
      <xdr:nvSpPr>
        <xdr:cNvPr id="3750" name="Freeform 10707">
          <a:extLst>
            <a:ext uri="{FF2B5EF4-FFF2-40B4-BE49-F238E27FC236}">
              <a16:creationId xmlns:a16="http://schemas.microsoft.com/office/drawing/2014/main" id="{DA959E48-CCA8-4D23-A346-811A370D43D0}"/>
            </a:ext>
          </a:extLst>
        </xdr:cNvPr>
        <xdr:cNvSpPr>
          <a:spLocks/>
        </xdr:cNvSpPr>
      </xdr:nvSpPr>
      <xdr:spPr bwMode="auto">
        <a:xfrm>
          <a:off x="1120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175</xdr:row>
      <xdr:rowOff>173181</xdr:rowOff>
    </xdr:from>
    <xdr:to>
      <xdr:col>17</xdr:col>
      <xdr:colOff>294410</xdr:colOff>
      <xdr:row>176</xdr:row>
      <xdr:rowOff>121226</xdr:rowOff>
    </xdr:to>
    <xdr:sp macro="" textlink="">
      <xdr:nvSpPr>
        <xdr:cNvPr id="3751" name="Freeform 10707">
          <a:extLst>
            <a:ext uri="{FF2B5EF4-FFF2-40B4-BE49-F238E27FC236}">
              <a16:creationId xmlns:a16="http://schemas.microsoft.com/office/drawing/2014/main" id="{CADA4968-03DC-4B17-A155-2DB3E1F5E230}"/>
            </a:ext>
          </a:extLst>
        </xdr:cNvPr>
        <xdr:cNvSpPr>
          <a:spLocks/>
        </xdr:cNvSpPr>
      </xdr:nvSpPr>
      <xdr:spPr bwMode="auto">
        <a:xfrm>
          <a:off x="1225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175</xdr:row>
      <xdr:rowOff>173181</xdr:rowOff>
    </xdr:from>
    <xdr:to>
      <xdr:col>19</xdr:col>
      <xdr:colOff>294410</xdr:colOff>
      <xdr:row>176</xdr:row>
      <xdr:rowOff>121226</xdr:rowOff>
    </xdr:to>
    <xdr:sp macro="" textlink="">
      <xdr:nvSpPr>
        <xdr:cNvPr id="3752" name="Freeform 10707">
          <a:extLst>
            <a:ext uri="{FF2B5EF4-FFF2-40B4-BE49-F238E27FC236}">
              <a16:creationId xmlns:a16="http://schemas.microsoft.com/office/drawing/2014/main" id="{8226449F-94EA-48F8-AD9D-C89A39A0FC4D}"/>
            </a:ext>
          </a:extLst>
        </xdr:cNvPr>
        <xdr:cNvSpPr>
          <a:spLocks/>
        </xdr:cNvSpPr>
      </xdr:nvSpPr>
      <xdr:spPr bwMode="auto">
        <a:xfrm>
          <a:off x="133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175</xdr:row>
      <xdr:rowOff>173181</xdr:rowOff>
    </xdr:from>
    <xdr:to>
      <xdr:col>21</xdr:col>
      <xdr:colOff>294410</xdr:colOff>
      <xdr:row>176</xdr:row>
      <xdr:rowOff>121226</xdr:rowOff>
    </xdr:to>
    <xdr:sp macro="" textlink="">
      <xdr:nvSpPr>
        <xdr:cNvPr id="3753" name="Freeform 10707">
          <a:extLst>
            <a:ext uri="{FF2B5EF4-FFF2-40B4-BE49-F238E27FC236}">
              <a16:creationId xmlns:a16="http://schemas.microsoft.com/office/drawing/2014/main" id="{93303917-0589-4312-AEE2-D35AD250EE40}"/>
            </a:ext>
          </a:extLst>
        </xdr:cNvPr>
        <xdr:cNvSpPr>
          <a:spLocks/>
        </xdr:cNvSpPr>
      </xdr:nvSpPr>
      <xdr:spPr bwMode="auto">
        <a:xfrm>
          <a:off x="143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175</xdr:row>
      <xdr:rowOff>173181</xdr:rowOff>
    </xdr:from>
    <xdr:to>
      <xdr:col>23</xdr:col>
      <xdr:colOff>294410</xdr:colOff>
      <xdr:row>176</xdr:row>
      <xdr:rowOff>121226</xdr:rowOff>
    </xdr:to>
    <xdr:sp macro="" textlink="">
      <xdr:nvSpPr>
        <xdr:cNvPr id="3754" name="Freeform 10707">
          <a:extLst>
            <a:ext uri="{FF2B5EF4-FFF2-40B4-BE49-F238E27FC236}">
              <a16:creationId xmlns:a16="http://schemas.microsoft.com/office/drawing/2014/main" id="{5294E966-1471-4DF5-A7BF-9261E808AB88}"/>
            </a:ext>
          </a:extLst>
        </xdr:cNvPr>
        <xdr:cNvSpPr>
          <a:spLocks/>
        </xdr:cNvSpPr>
      </xdr:nvSpPr>
      <xdr:spPr bwMode="auto">
        <a:xfrm>
          <a:off x="154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26</xdr:col>
      <xdr:colOff>177800</xdr:colOff>
      <xdr:row>165</xdr:row>
      <xdr:rowOff>36284</xdr:rowOff>
    </xdr:from>
    <xdr:to>
      <xdr:col>26</xdr:col>
      <xdr:colOff>234950</xdr:colOff>
      <xdr:row>167</xdr:row>
      <xdr:rowOff>155120</xdr:rowOff>
    </xdr:to>
    <xdr:sp macro="" textlink="">
      <xdr:nvSpPr>
        <xdr:cNvPr id="3755" name="Rectangle 11590" descr="Light horizontal">
          <a:extLst>
            <a:ext uri="{FF2B5EF4-FFF2-40B4-BE49-F238E27FC236}">
              <a16:creationId xmlns:a16="http://schemas.microsoft.com/office/drawing/2014/main" id="{477F30DE-B27F-465A-905D-5A22B4DAFF0F}"/>
            </a:ext>
          </a:extLst>
        </xdr:cNvPr>
        <xdr:cNvSpPr>
          <a:spLocks noChangeArrowheads="1"/>
        </xdr:cNvSpPr>
      </xdr:nvSpPr>
      <xdr:spPr bwMode="auto">
        <a:xfrm>
          <a:off x="2156883" y="25468034"/>
          <a:ext cx="57150" cy="457503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26</xdr:col>
      <xdr:colOff>152400</xdr:colOff>
      <xdr:row>169</xdr:row>
      <xdr:rowOff>32657</xdr:rowOff>
    </xdr:from>
    <xdr:ext cx="108857" cy="550604"/>
    <xdr:pic>
      <xdr:nvPicPr>
        <xdr:cNvPr id="3756" name="Picture 11595">
          <a:extLst>
            <a:ext uri="{FF2B5EF4-FFF2-40B4-BE49-F238E27FC236}">
              <a16:creationId xmlns:a16="http://schemas.microsoft.com/office/drawing/2014/main" id="{F3C1127F-F5CE-4EE6-A041-F90FAD3E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83" y="2614174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0</xdr:colOff>
      <xdr:row>177</xdr:row>
      <xdr:rowOff>0</xdr:rowOff>
    </xdr:from>
    <xdr:ext cx="382764" cy="348344"/>
    <xdr:pic>
      <xdr:nvPicPr>
        <xdr:cNvPr id="3757" name="Picture 3756" descr="Gas pipeline line icon concept. Gas ...">
          <a:extLst>
            <a:ext uri="{FF2B5EF4-FFF2-40B4-BE49-F238E27FC236}">
              <a16:creationId xmlns:a16="http://schemas.microsoft.com/office/drawing/2014/main" id="{390D441A-6EF9-40CF-97CC-5399D2F52D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504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177</xdr:row>
      <xdr:rowOff>0</xdr:rowOff>
    </xdr:from>
    <xdr:ext cx="382764" cy="348344"/>
    <xdr:pic>
      <xdr:nvPicPr>
        <xdr:cNvPr id="3758" name="Picture 3757" descr="Gas pipeline line icon concept. Gas ...">
          <a:extLst>
            <a:ext uri="{FF2B5EF4-FFF2-40B4-BE49-F238E27FC236}">
              <a16:creationId xmlns:a16="http://schemas.microsoft.com/office/drawing/2014/main" id="{0B9EF246-A9A5-4993-9EE1-34EEF52C2E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679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119743</xdr:colOff>
      <xdr:row>169</xdr:row>
      <xdr:rowOff>10886</xdr:rowOff>
    </xdr:from>
    <xdr:ext cx="153198" cy="559647"/>
    <xdr:pic>
      <xdr:nvPicPr>
        <xdr:cNvPr id="3759" name="Picture 3758">
          <a:extLst>
            <a:ext uri="{FF2B5EF4-FFF2-40B4-BE49-F238E27FC236}">
              <a16:creationId xmlns:a16="http://schemas.microsoft.com/office/drawing/2014/main" id="{EE36ECDF-BC24-424F-B1C7-6924206F5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15493" y="26119969"/>
          <a:ext cx="153198" cy="559647"/>
        </a:xfrm>
        <a:prstGeom prst="rect">
          <a:avLst/>
        </a:prstGeom>
      </xdr:spPr>
    </xdr:pic>
    <xdr:clientData/>
  </xdr:oneCellAnchor>
  <xdr:oneCellAnchor>
    <xdr:from>
      <xdr:col>10</xdr:col>
      <xdr:colOff>130628</xdr:colOff>
      <xdr:row>181</xdr:row>
      <xdr:rowOff>21771</xdr:rowOff>
    </xdr:from>
    <xdr:ext cx="153198" cy="559647"/>
    <xdr:pic>
      <xdr:nvPicPr>
        <xdr:cNvPr id="3760" name="Picture 3759">
          <a:extLst>
            <a:ext uri="{FF2B5EF4-FFF2-40B4-BE49-F238E27FC236}">
              <a16:creationId xmlns:a16="http://schemas.microsoft.com/office/drawing/2014/main" id="{EBFFBC04-A869-42E4-9280-FFD3491F9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18045" y="26130854"/>
          <a:ext cx="153198" cy="559647"/>
        </a:xfrm>
        <a:prstGeom prst="rect">
          <a:avLst/>
        </a:prstGeom>
      </xdr:spPr>
    </xdr:pic>
    <xdr:clientData/>
  </xdr:oneCellAnchor>
  <xdr:oneCellAnchor>
    <xdr:from>
      <xdr:col>2</xdr:col>
      <xdr:colOff>123266</xdr:colOff>
      <xdr:row>28</xdr:row>
      <xdr:rowOff>33616</xdr:rowOff>
    </xdr:from>
    <xdr:ext cx="153198" cy="559647"/>
    <xdr:pic>
      <xdr:nvPicPr>
        <xdr:cNvPr id="3714" name="Picture 3713">
          <a:extLst>
            <a:ext uri="{FF2B5EF4-FFF2-40B4-BE49-F238E27FC236}">
              <a16:creationId xmlns:a16="http://schemas.microsoft.com/office/drawing/2014/main" id="{960EEDB8-B4EB-4F6C-BEAB-AA296B827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6119" y="5782234"/>
          <a:ext cx="153198" cy="559647"/>
        </a:xfrm>
        <a:prstGeom prst="rect">
          <a:avLst/>
        </a:prstGeom>
      </xdr:spPr>
    </xdr:pic>
    <xdr:clientData/>
  </xdr:oneCellAnchor>
  <xdr:oneCellAnchor>
    <xdr:from>
      <xdr:col>4</xdr:col>
      <xdr:colOff>156884</xdr:colOff>
      <xdr:row>28</xdr:row>
      <xdr:rowOff>44824</xdr:rowOff>
    </xdr:from>
    <xdr:ext cx="156881" cy="495950"/>
    <xdr:pic>
      <xdr:nvPicPr>
        <xdr:cNvPr id="3761" name="Picture 11595">
          <a:extLst>
            <a:ext uri="{FF2B5EF4-FFF2-40B4-BE49-F238E27FC236}">
              <a16:creationId xmlns:a16="http://schemas.microsoft.com/office/drawing/2014/main" id="{5CAB78BD-9A77-49D5-B050-B2F952C90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60" y="5793442"/>
          <a:ext cx="156881" cy="49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145678</xdr:colOff>
      <xdr:row>28</xdr:row>
      <xdr:rowOff>0</xdr:rowOff>
    </xdr:from>
    <xdr:ext cx="153198" cy="559647"/>
    <xdr:pic>
      <xdr:nvPicPr>
        <xdr:cNvPr id="3767" name="Picture 3766">
          <a:extLst>
            <a:ext uri="{FF2B5EF4-FFF2-40B4-BE49-F238E27FC236}">
              <a16:creationId xmlns:a16="http://schemas.microsoft.com/office/drawing/2014/main" id="{765F7C8A-725F-489B-9772-FAE6476A6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00502" y="5748618"/>
          <a:ext cx="153198" cy="559647"/>
        </a:xfrm>
        <a:prstGeom prst="rect">
          <a:avLst/>
        </a:prstGeom>
      </xdr:spPr>
    </xdr:pic>
    <xdr:clientData/>
  </xdr:oneCellAnchor>
  <xdr:oneCellAnchor>
    <xdr:from>
      <xdr:col>12</xdr:col>
      <xdr:colOff>156882</xdr:colOff>
      <xdr:row>28</xdr:row>
      <xdr:rowOff>11206</xdr:rowOff>
    </xdr:from>
    <xdr:ext cx="153198" cy="559647"/>
    <xdr:pic>
      <xdr:nvPicPr>
        <xdr:cNvPr id="3769" name="Picture 3768">
          <a:extLst>
            <a:ext uri="{FF2B5EF4-FFF2-40B4-BE49-F238E27FC236}">
              <a16:creationId xmlns:a16="http://schemas.microsoft.com/office/drawing/2014/main" id="{D547956A-888B-4514-83E7-CC0CAED2F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353" y="5759824"/>
          <a:ext cx="153198" cy="559647"/>
        </a:xfrm>
        <a:prstGeom prst="rect">
          <a:avLst/>
        </a:prstGeom>
      </xdr:spPr>
    </xdr:pic>
    <xdr:clientData/>
  </xdr:oneCellAnchor>
  <xdr:twoCellAnchor>
    <xdr:from>
      <xdr:col>16</xdr:col>
      <xdr:colOff>108856</xdr:colOff>
      <xdr:row>39</xdr:row>
      <xdr:rowOff>54431</xdr:rowOff>
    </xdr:from>
    <xdr:to>
      <xdr:col>16</xdr:col>
      <xdr:colOff>258535</xdr:colOff>
      <xdr:row>40</xdr:row>
      <xdr:rowOff>285753</xdr:rowOff>
    </xdr:to>
    <xdr:sp macro="" textlink="">
      <xdr:nvSpPr>
        <xdr:cNvPr id="2252" name="AutoShape 10732">
          <a:extLst>
            <a:ext uri="{FF2B5EF4-FFF2-40B4-BE49-F238E27FC236}">
              <a16:creationId xmlns:a16="http://schemas.microsoft.com/office/drawing/2014/main" id="{DA920574-546A-4361-B93F-A35279B9242E}"/>
            </a:ext>
          </a:extLst>
        </xdr:cNvPr>
        <xdr:cNvSpPr>
          <a:spLocks noChangeArrowheads="1"/>
        </xdr:cNvSpPr>
      </xdr:nvSpPr>
      <xdr:spPr bwMode="auto">
        <a:xfrm rot="5400000">
          <a:off x="7796892" y="7851324"/>
          <a:ext cx="394607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149677</xdr:colOff>
      <xdr:row>39</xdr:row>
      <xdr:rowOff>81642</xdr:rowOff>
    </xdr:from>
    <xdr:to>
      <xdr:col>18</xdr:col>
      <xdr:colOff>285749</xdr:colOff>
      <xdr:row>40</xdr:row>
      <xdr:rowOff>285753</xdr:rowOff>
    </xdr:to>
    <xdr:sp macro="" textlink="">
      <xdr:nvSpPr>
        <xdr:cNvPr id="2253" name="AutoShape 10732">
          <a:extLst>
            <a:ext uri="{FF2B5EF4-FFF2-40B4-BE49-F238E27FC236}">
              <a16:creationId xmlns:a16="http://schemas.microsoft.com/office/drawing/2014/main" id="{52709CC6-E449-49DB-B2CA-29ED4AB93500}"/>
            </a:ext>
          </a:extLst>
        </xdr:cNvPr>
        <xdr:cNvSpPr>
          <a:spLocks noChangeArrowheads="1"/>
        </xdr:cNvSpPr>
      </xdr:nvSpPr>
      <xdr:spPr bwMode="auto">
        <a:xfrm rot="5400000">
          <a:off x="8851444" y="7871733"/>
          <a:ext cx="367396" cy="136072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oneCellAnchor>
    <xdr:from>
      <xdr:col>14</xdr:col>
      <xdr:colOff>142875</xdr:colOff>
      <xdr:row>28</xdr:row>
      <xdr:rowOff>38100</xdr:rowOff>
    </xdr:from>
    <xdr:ext cx="134698" cy="425823"/>
    <xdr:pic>
      <xdr:nvPicPr>
        <xdr:cNvPr id="3712" name="Picture 11595">
          <a:extLst>
            <a:ext uri="{FF2B5EF4-FFF2-40B4-BE49-F238E27FC236}">
              <a16:creationId xmlns:a16="http://schemas.microsoft.com/office/drawing/2014/main" id="{08FDA6F0-80C3-4527-B049-FA33FDC3F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5781675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171450</xdr:colOff>
      <xdr:row>27</xdr:row>
      <xdr:rowOff>133350</xdr:rowOff>
    </xdr:from>
    <xdr:ext cx="153198" cy="559647"/>
    <xdr:pic>
      <xdr:nvPicPr>
        <xdr:cNvPr id="3713" name="Picture 3712">
          <a:extLst>
            <a:ext uri="{FF2B5EF4-FFF2-40B4-BE49-F238E27FC236}">
              <a16:creationId xmlns:a16="http://schemas.microsoft.com/office/drawing/2014/main" id="{DE318731-0A36-4BF8-95C5-ADD33BCD7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67700" y="5715000"/>
          <a:ext cx="153198" cy="559647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39</xdr:row>
      <xdr:rowOff>0</xdr:rowOff>
    </xdr:from>
    <xdr:to>
      <xdr:col>30</xdr:col>
      <xdr:colOff>238169</xdr:colOff>
      <xdr:row>40</xdr:row>
      <xdr:rowOff>161974</xdr:rowOff>
    </xdr:to>
    <xdr:grpSp>
      <xdr:nvGrpSpPr>
        <xdr:cNvPr id="3715" name="Group 3714">
          <a:extLst>
            <a:ext uri="{FF2B5EF4-FFF2-40B4-BE49-F238E27FC236}">
              <a16:creationId xmlns:a16="http://schemas.microsoft.com/office/drawing/2014/main" id="{445D9F8F-CBC3-4C45-8D61-921247C9EC59}"/>
            </a:ext>
          </a:extLst>
        </xdr:cNvPr>
        <xdr:cNvGrpSpPr/>
      </xdr:nvGrpSpPr>
      <xdr:grpSpPr>
        <a:xfrm>
          <a:off x="15578667" y="7852833"/>
          <a:ext cx="238169" cy="331308"/>
          <a:chOff x="6143939" y="789134"/>
          <a:chExt cx="457200" cy="518966"/>
        </a:xfrm>
      </xdr:grpSpPr>
      <xdr:grpSp>
        <xdr:nvGrpSpPr>
          <xdr:cNvPr id="3716" name="Group 3715">
            <a:extLst>
              <a:ext uri="{FF2B5EF4-FFF2-40B4-BE49-F238E27FC236}">
                <a16:creationId xmlns:a16="http://schemas.microsoft.com/office/drawing/2014/main" id="{E12CE1DC-4290-D802-37EB-96FB69EC958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18" name="Straight Connector 3717">
              <a:extLst>
                <a:ext uri="{FF2B5EF4-FFF2-40B4-BE49-F238E27FC236}">
                  <a16:creationId xmlns:a16="http://schemas.microsoft.com/office/drawing/2014/main" id="{0419280F-9F7F-CE74-BBD6-4DDBE119EFE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9" name="Straight Connector 3718">
              <a:extLst>
                <a:ext uri="{FF2B5EF4-FFF2-40B4-BE49-F238E27FC236}">
                  <a16:creationId xmlns:a16="http://schemas.microsoft.com/office/drawing/2014/main" id="{13F0F86D-0415-8B52-D6FC-039F8D02CB5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0" name="Straight Connector 3719">
              <a:extLst>
                <a:ext uri="{FF2B5EF4-FFF2-40B4-BE49-F238E27FC236}">
                  <a16:creationId xmlns:a16="http://schemas.microsoft.com/office/drawing/2014/main" id="{5EE05DF6-F4FB-F780-0DE9-13797165897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1" name="Straight Connector 3720">
              <a:extLst>
                <a:ext uri="{FF2B5EF4-FFF2-40B4-BE49-F238E27FC236}">
                  <a16:creationId xmlns:a16="http://schemas.microsoft.com/office/drawing/2014/main" id="{8C5E81CC-A16B-81EE-2094-8A704CAC118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2" name="Straight Connector 3761">
              <a:extLst>
                <a:ext uri="{FF2B5EF4-FFF2-40B4-BE49-F238E27FC236}">
                  <a16:creationId xmlns:a16="http://schemas.microsoft.com/office/drawing/2014/main" id="{E334803E-9331-D1BC-19A3-C679D3E9E8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3" name="Straight Connector 3762">
              <a:extLst>
                <a:ext uri="{FF2B5EF4-FFF2-40B4-BE49-F238E27FC236}">
                  <a16:creationId xmlns:a16="http://schemas.microsoft.com/office/drawing/2014/main" id="{28B22724-7328-4598-6D4B-F1D67E01E42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17" name="Straight Connector 3716">
            <a:extLst>
              <a:ext uri="{FF2B5EF4-FFF2-40B4-BE49-F238E27FC236}">
                <a16:creationId xmlns:a16="http://schemas.microsoft.com/office/drawing/2014/main" id="{E4CA113D-0461-8E09-FF21-A64A55597A3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414617</xdr:colOff>
      <xdr:row>34</xdr:row>
      <xdr:rowOff>0</xdr:rowOff>
    </xdr:from>
    <xdr:to>
      <xdr:col>14</xdr:col>
      <xdr:colOff>40672</xdr:colOff>
      <xdr:row>36</xdr:row>
      <xdr:rowOff>149827</xdr:rowOff>
    </xdr:to>
    <xdr:sp macro="" textlink="">
      <xdr:nvSpPr>
        <xdr:cNvPr id="3764" name="Isosceles Triangle 3763">
          <a:extLst>
            <a:ext uri="{FF2B5EF4-FFF2-40B4-BE49-F238E27FC236}">
              <a16:creationId xmlns:a16="http://schemas.microsoft.com/office/drawing/2014/main" id="{78490C72-99C7-4036-8B04-66F35D413E18}"/>
            </a:ext>
          </a:extLst>
        </xdr:cNvPr>
        <xdr:cNvSpPr/>
      </xdr:nvSpPr>
      <xdr:spPr>
        <a:xfrm>
          <a:off x="6264088" y="6858000"/>
          <a:ext cx="623378" cy="46359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39</xdr:row>
      <xdr:rowOff>0</xdr:rowOff>
    </xdr:from>
    <xdr:to>
      <xdr:col>24</xdr:col>
      <xdr:colOff>238169</xdr:colOff>
      <xdr:row>40</xdr:row>
      <xdr:rowOff>156932</xdr:rowOff>
    </xdr:to>
    <xdr:grpSp>
      <xdr:nvGrpSpPr>
        <xdr:cNvPr id="3765" name="Group 3764">
          <a:extLst>
            <a:ext uri="{FF2B5EF4-FFF2-40B4-BE49-F238E27FC236}">
              <a16:creationId xmlns:a16="http://schemas.microsoft.com/office/drawing/2014/main" id="{A54AFD5A-6CAB-4CFC-8F14-433CB1E971EB}"/>
            </a:ext>
          </a:extLst>
        </xdr:cNvPr>
        <xdr:cNvGrpSpPr/>
      </xdr:nvGrpSpPr>
      <xdr:grpSpPr>
        <a:xfrm>
          <a:off x="12435417" y="7852833"/>
          <a:ext cx="238169" cy="326266"/>
          <a:chOff x="6143939" y="789134"/>
          <a:chExt cx="457200" cy="518966"/>
        </a:xfrm>
      </xdr:grpSpPr>
      <xdr:grpSp>
        <xdr:nvGrpSpPr>
          <xdr:cNvPr id="3766" name="Group 3765">
            <a:extLst>
              <a:ext uri="{FF2B5EF4-FFF2-40B4-BE49-F238E27FC236}">
                <a16:creationId xmlns:a16="http://schemas.microsoft.com/office/drawing/2014/main" id="{91690BC4-8F89-23EA-C98A-83221C55F3C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1" name="Straight Connector 3770">
              <a:extLst>
                <a:ext uri="{FF2B5EF4-FFF2-40B4-BE49-F238E27FC236}">
                  <a16:creationId xmlns:a16="http://schemas.microsoft.com/office/drawing/2014/main" id="{2865CA40-3821-902D-E57B-1162663BF9C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2" name="Straight Connector 3771">
              <a:extLst>
                <a:ext uri="{FF2B5EF4-FFF2-40B4-BE49-F238E27FC236}">
                  <a16:creationId xmlns:a16="http://schemas.microsoft.com/office/drawing/2014/main" id="{9A12561B-EC47-55CE-4E35-15BFF20CC42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3" name="Straight Connector 3772">
              <a:extLst>
                <a:ext uri="{FF2B5EF4-FFF2-40B4-BE49-F238E27FC236}">
                  <a16:creationId xmlns:a16="http://schemas.microsoft.com/office/drawing/2014/main" id="{016C6FA6-8689-62E6-7811-6BDA436646D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4" name="Straight Connector 3773">
              <a:extLst>
                <a:ext uri="{FF2B5EF4-FFF2-40B4-BE49-F238E27FC236}">
                  <a16:creationId xmlns:a16="http://schemas.microsoft.com/office/drawing/2014/main" id="{31B32D51-C9D5-80A2-F856-CEE074D1D1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9" name="Straight Connector 2108">
              <a:extLst>
                <a:ext uri="{FF2B5EF4-FFF2-40B4-BE49-F238E27FC236}">
                  <a16:creationId xmlns:a16="http://schemas.microsoft.com/office/drawing/2014/main" id="{652D1450-F4B0-C677-3186-754E108FB9F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28" name="Straight Connector 2127">
              <a:extLst>
                <a:ext uri="{FF2B5EF4-FFF2-40B4-BE49-F238E27FC236}">
                  <a16:creationId xmlns:a16="http://schemas.microsoft.com/office/drawing/2014/main" id="{5E4D85BC-E84F-6F7E-B4EB-F98DE1EDD4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0" name="Straight Connector 3769">
            <a:extLst>
              <a:ext uri="{FF2B5EF4-FFF2-40B4-BE49-F238E27FC236}">
                <a16:creationId xmlns:a16="http://schemas.microsoft.com/office/drawing/2014/main" id="{949C99DE-24B9-D3E3-0F83-08E5F062122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39</xdr:row>
      <xdr:rowOff>0</xdr:rowOff>
    </xdr:from>
    <xdr:to>
      <xdr:col>26</xdr:col>
      <xdr:colOff>238169</xdr:colOff>
      <xdr:row>40</xdr:row>
      <xdr:rowOff>156932</xdr:rowOff>
    </xdr:to>
    <xdr:grpSp>
      <xdr:nvGrpSpPr>
        <xdr:cNvPr id="2129" name="Group 2128">
          <a:extLst>
            <a:ext uri="{FF2B5EF4-FFF2-40B4-BE49-F238E27FC236}">
              <a16:creationId xmlns:a16="http://schemas.microsoft.com/office/drawing/2014/main" id="{C3D90225-BEBE-422E-BADA-E5D9DBCC85F9}"/>
            </a:ext>
          </a:extLst>
        </xdr:cNvPr>
        <xdr:cNvGrpSpPr/>
      </xdr:nvGrpSpPr>
      <xdr:grpSpPr>
        <a:xfrm>
          <a:off x="13483167" y="7852833"/>
          <a:ext cx="238169" cy="326266"/>
          <a:chOff x="6143939" y="789134"/>
          <a:chExt cx="457200" cy="518966"/>
        </a:xfrm>
      </xdr:grpSpPr>
      <xdr:grpSp>
        <xdr:nvGrpSpPr>
          <xdr:cNvPr id="2251" name="Group 2250">
            <a:extLst>
              <a:ext uri="{FF2B5EF4-FFF2-40B4-BE49-F238E27FC236}">
                <a16:creationId xmlns:a16="http://schemas.microsoft.com/office/drawing/2014/main" id="{6E2B34AC-E003-7322-F4E6-70A07925EB5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55" name="Straight Connector 2254">
              <a:extLst>
                <a:ext uri="{FF2B5EF4-FFF2-40B4-BE49-F238E27FC236}">
                  <a16:creationId xmlns:a16="http://schemas.microsoft.com/office/drawing/2014/main" id="{3DB0FFB8-973E-EA06-3C8D-EF28D45BCBD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6" name="Straight Connector 2255">
              <a:extLst>
                <a:ext uri="{FF2B5EF4-FFF2-40B4-BE49-F238E27FC236}">
                  <a16:creationId xmlns:a16="http://schemas.microsoft.com/office/drawing/2014/main" id="{82503F91-7668-ADBB-E663-A988D204F52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7" name="Straight Connector 2256">
              <a:extLst>
                <a:ext uri="{FF2B5EF4-FFF2-40B4-BE49-F238E27FC236}">
                  <a16:creationId xmlns:a16="http://schemas.microsoft.com/office/drawing/2014/main" id="{F94FBB39-715C-5FEA-A6C1-E031C700987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8" name="Straight Connector 2257">
              <a:extLst>
                <a:ext uri="{FF2B5EF4-FFF2-40B4-BE49-F238E27FC236}">
                  <a16:creationId xmlns:a16="http://schemas.microsoft.com/office/drawing/2014/main" id="{C8392C4A-8695-1253-D322-E022DF4E3D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9" name="Straight Connector 2258">
              <a:extLst>
                <a:ext uri="{FF2B5EF4-FFF2-40B4-BE49-F238E27FC236}">
                  <a16:creationId xmlns:a16="http://schemas.microsoft.com/office/drawing/2014/main" id="{4191723A-46FB-CA2E-4102-84E69391218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0" name="Straight Connector 2259">
              <a:extLst>
                <a:ext uri="{FF2B5EF4-FFF2-40B4-BE49-F238E27FC236}">
                  <a16:creationId xmlns:a16="http://schemas.microsoft.com/office/drawing/2014/main" id="{EFD89A1F-4F1E-34A2-5ABA-744FD8E98C3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54" name="Straight Connector 2253">
            <a:extLst>
              <a:ext uri="{FF2B5EF4-FFF2-40B4-BE49-F238E27FC236}">
                <a16:creationId xmlns:a16="http://schemas.microsoft.com/office/drawing/2014/main" id="{81B03AC9-13B2-D8AF-5DF3-774D0926B8E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50</xdr:row>
      <xdr:rowOff>0</xdr:rowOff>
    </xdr:from>
    <xdr:to>
      <xdr:col>30</xdr:col>
      <xdr:colOff>238169</xdr:colOff>
      <xdr:row>52</xdr:row>
      <xdr:rowOff>49</xdr:rowOff>
    </xdr:to>
    <xdr:grpSp>
      <xdr:nvGrpSpPr>
        <xdr:cNvPr id="2261" name="Group 2260">
          <a:extLst>
            <a:ext uri="{FF2B5EF4-FFF2-40B4-BE49-F238E27FC236}">
              <a16:creationId xmlns:a16="http://schemas.microsoft.com/office/drawing/2014/main" id="{F3B51C2D-DA73-418A-82D2-AA1D5CD4C07B}"/>
            </a:ext>
          </a:extLst>
        </xdr:cNvPr>
        <xdr:cNvGrpSpPr/>
      </xdr:nvGrpSpPr>
      <xdr:grpSpPr>
        <a:xfrm>
          <a:off x="15578667" y="9863667"/>
          <a:ext cx="238169" cy="349299"/>
          <a:chOff x="6143939" y="789134"/>
          <a:chExt cx="457200" cy="518966"/>
        </a:xfrm>
      </xdr:grpSpPr>
      <xdr:grpSp>
        <xdr:nvGrpSpPr>
          <xdr:cNvPr id="2262" name="Group 2261">
            <a:extLst>
              <a:ext uri="{FF2B5EF4-FFF2-40B4-BE49-F238E27FC236}">
                <a16:creationId xmlns:a16="http://schemas.microsoft.com/office/drawing/2014/main" id="{D93DE450-A1B9-10F0-EC96-63A5F5797DF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64" name="Straight Connector 2263">
              <a:extLst>
                <a:ext uri="{FF2B5EF4-FFF2-40B4-BE49-F238E27FC236}">
                  <a16:creationId xmlns:a16="http://schemas.microsoft.com/office/drawing/2014/main" id="{6CE3B0D3-E978-7269-CFDC-9C3D3701A8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5" name="Straight Connector 2264">
              <a:extLst>
                <a:ext uri="{FF2B5EF4-FFF2-40B4-BE49-F238E27FC236}">
                  <a16:creationId xmlns:a16="http://schemas.microsoft.com/office/drawing/2014/main" id="{83A54A62-0BAF-01AD-548C-6F8FAE75326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6" name="Straight Connector 2265">
              <a:extLst>
                <a:ext uri="{FF2B5EF4-FFF2-40B4-BE49-F238E27FC236}">
                  <a16:creationId xmlns:a16="http://schemas.microsoft.com/office/drawing/2014/main" id="{38001499-12D7-6641-CF96-BE63AB383EF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7" name="Straight Connector 2266">
              <a:extLst>
                <a:ext uri="{FF2B5EF4-FFF2-40B4-BE49-F238E27FC236}">
                  <a16:creationId xmlns:a16="http://schemas.microsoft.com/office/drawing/2014/main" id="{8DA85D95-78A9-E664-A88A-CD0BAF7BDF1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8" name="Straight Connector 2267">
              <a:extLst>
                <a:ext uri="{FF2B5EF4-FFF2-40B4-BE49-F238E27FC236}">
                  <a16:creationId xmlns:a16="http://schemas.microsoft.com/office/drawing/2014/main" id="{0A3A92EF-9016-E015-3A45-AF57A145992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9" name="Straight Connector 2268">
              <a:extLst>
                <a:ext uri="{FF2B5EF4-FFF2-40B4-BE49-F238E27FC236}">
                  <a16:creationId xmlns:a16="http://schemas.microsoft.com/office/drawing/2014/main" id="{58B1BDF4-D2A9-098A-252A-4CCFB2206BA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63" name="Straight Connector 2262">
            <a:extLst>
              <a:ext uri="{FF2B5EF4-FFF2-40B4-BE49-F238E27FC236}">
                <a16:creationId xmlns:a16="http://schemas.microsoft.com/office/drawing/2014/main" id="{86A05E6B-615C-BF22-CCC0-3DC376956EF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50</xdr:row>
      <xdr:rowOff>0</xdr:rowOff>
    </xdr:from>
    <xdr:to>
      <xdr:col>28</xdr:col>
      <xdr:colOff>238169</xdr:colOff>
      <xdr:row>52</xdr:row>
      <xdr:rowOff>49</xdr:rowOff>
    </xdr:to>
    <xdr:grpSp>
      <xdr:nvGrpSpPr>
        <xdr:cNvPr id="2270" name="Group 2269">
          <a:extLst>
            <a:ext uri="{FF2B5EF4-FFF2-40B4-BE49-F238E27FC236}">
              <a16:creationId xmlns:a16="http://schemas.microsoft.com/office/drawing/2014/main" id="{026487E1-80CD-475D-9627-AF621BE91EF3}"/>
            </a:ext>
          </a:extLst>
        </xdr:cNvPr>
        <xdr:cNvGrpSpPr/>
      </xdr:nvGrpSpPr>
      <xdr:grpSpPr>
        <a:xfrm>
          <a:off x="14530917" y="9863667"/>
          <a:ext cx="238169" cy="349299"/>
          <a:chOff x="6143939" y="789134"/>
          <a:chExt cx="457200" cy="518966"/>
        </a:xfrm>
      </xdr:grpSpPr>
      <xdr:grpSp>
        <xdr:nvGrpSpPr>
          <xdr:cNvPr id="2271" name="Group 2270">
            <a:extLst>
              <a:ext uri="{FF2B5EF4-FFF2-40B4-BE49-F238E27FC236}">
                <a16:creationId xmlns:a16="http://schemas.microsoft.com/office/drawing/2014/main" id="{0DE58359-C0D3-E3C5-9094-30F5C8B743D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73" name="Straight Connector 2272">
              <a:extLst>
                <a:ext uri="{FF2B5EF4-FFF2-40B4-BE49-F238E27FC236}">
                  <a16:creationId xmlns:a16="http://schemas.microsoft.com/office/drawing/2014/main" id="{AB405701-0913-C5FB-D86D-0D37808A9C5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4" name="Straight Connector 2273">
              <a:extLst>
                <a:ext uri="{FF2B5EF4-FFF2-40B4-BE49-F238E27FC236}">
                  <a16:creationId xmlns:a16="http://schemas.microsoft.com/office/drawing/2014/main" id="{F61FA4DE-1ED4-04DF-2264-67C60EB6EB7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5" name="Straight Connector 2274">
              <a:extLst>
                <a:ext uri="{FF2B5EF4-FFF2-40B4-BE49-F238E27FC236}">
                  <a16:creationId xmlns:a16="http://schemas.microsoft.com/office/drawing/2014/main" id="{01607322-C023-9F5F-F97F-C61201B3BB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6" name="Straight Connector 2275">
              <a:extLst>
                <a:ext uri="{FF2B5EF4-FFF2-40B4-BE49-F238E27FC236}">
                  <a16:creationId xmlns:a16="http://schemas.microsoft.com/office/drawing/2014/main" id="{7819DF2C-794B-2972-3DC8-2206C3B645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7" name="Straight Connector 2276">
              <a:extLst>
                <a:ext uri="{FF2B5EF4-FFF2-40B4-BE49-F238E27FC236}">
                  <a16:creationId xmlns:a16="http://schemas.microsoft.com/office/drawing/2014/main" id="{DE52BB70-3C40-8D68-3D33-D76D9CD3552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8" name="Straight Connector 2277">
              <a:extLst>
                <a:ext uri="{FF2B5EF4-FFF2-40B4-BE49-F238E27FC236}">
                  <a16:creationId xmlns:a16="http://schemas.microsoft.com/office/drawing/2014/main" id="{263DBAA7-D23F-0E68-9981-502F4740736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72" name="Straight Connector 2271">
            <a:extLst>
              <a:ext uri="{FF2B5EF4-FFF2-40B4-BE49-F238E27FC236}">
                <a16:creationId xmlns:a16="http://schemas.microsoft.com/office/drawing/2014/main" id="{7B176DD9-2FD8-7146-A6E0-9B82DE1D0DB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62</xdr:row>
      <xdr:rowOff>0</xdr:rowOff>
    </xdr:from>
    <xdr:to>
      <xdr:col>4</xdr:col>
      <xdr:colOff>238169</xdr:colOff>
      <xdr:row>64</xdr:row>
      <xdr:rowOff>49</xdr:rowOff>
    </xdr:to>
    <xdr:grpSp>
      <xdr:nvGrpSpPr>
        <xdr:cNvPr id="2279" name="Group 2278">
          <a:extLst>
            <a:ext uri="{FF2B5EF4-FFF2-40B4-BE49-F238E27FC236}">
              <a16:creationId xmlns:a16="http://schemas.microsoft.com/office/drawing/2014/main" id="{5A3CB6F1-EF28-4CBD-BE45-56EFEC4FFE0E}"/>
            </a:ext>
          </a:extLst>
        </xdr:cNvPr>
        <xdr:cNvGrpSpPr/>
      </xdr:nvGrpSpPr>
      <xdr:grpSpPr>
        <a:xfrm>
          <a:off x="1957917" y="11959167"/>
          <a:ext cx="238169" cy="349299"/>
          <a:chOff x="6143939" y="789134"/>
          <a:chExt cx="457200" cy="518966"/>
        </a:xfrm>
      </xdr:grpSpPr>
      <xdr:grpSp>
        <xdr:nvGrpSpPr>
          <xdr:cNvPr id="2280" name="Group 2279">
            <a:extLst>
              <a:ext uri="{FF2B5EF4-FFF2-40B4-BE49-F238E27FC236}">
                <a16:creationId xmlns:a16="http://schemas.microsoft.com/office/drawing/2014/main" id="{F50AF68D-F4BC-C4F0-392B-994F9F0646D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82" name="Straight Connector 2281">
              <a:extLst>
                <a:ext uri="{FF2B5EF4-FFF2-40B4-BE49-F238E27FC236}">
                  <a16:creationId xmlns:a16="http://schemas.microsoft.com/office/drawing/2014/main" id="{74F0357F-DE2D-3A25-7DC5-13D720D3189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3" name="Straight Connector 2282">
              <a:extLst>
                <a:ext uri="{FF2B5EF4-FFF2-40B4-BE49-F238E27FC236}">
                  <a16:creationId xmlns:a16="http://schemas.microsoft.com/office/drawing/2014/main" id="{9ED3F89B-92C1-0E90-0C1C-DA44A56B22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4" name="Straight Connector 2283">
              <a:extLst>
                <a:ext uri="{FF2B5EF4-FFF2-40B4-BE49-F238E27FC236}">
                  <a16:creationId xmlns:a16="http://schemas.microsoft.com/office/drawing/2014/main" id="{AD0E22A5-87D9-7AC7-96D2-B0D50712212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5" name="Straight Connector 2284">
              <a:extLst>
                <a:ext uri="{FF2B5EF4-FFF2-40B4-BE49-F238E27FC236}">
                  <a16:creationId xmlns:a16="http://schemas.microsoft.com/office/drawing/2014/main" id="{11B4C2CF-3014-E8C6-5DFF-EE8D844049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6" name="Straight Connector 2285">
              <a:extLst>
                <a:ext uri="{FF2B5EF4-FFF2-40B4-BE49-F238E27FC236}">
                  <a16:creationId xmlns:a16="http://schemas.microsoft.com/office/drawing/2014/main" id="{B8DE6548-FF46-D25A-CC7D-50A8073DED2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7" name="Straight Connector 2286">
              <a:extLst>
                <a:ext uri="{FF2B5EF4-FFF2-40B4-BE49-F238E27FC236}">
                  <a16:creationId xmlns:a16="http://schemas.microsoft.com/office/drawing/2014/main" id="{496A4103-FCCB-64C8-4CEC-F1DA9BFACED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81" name="Straight Connector 2280">
            <a:extLst>
              <a:ext uri="{FF2B5EF4-FFF2-40B4-BE49-F238E27FC236}">
                <a16:creationId xmlns:a16="http://schemas.microsoft.com/office/drawing/2014/main" id="{29B02B55-77E4-EEA5-98B6-7D99E918B8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62</xdr:row>
      <xdr:rowOff>0</xdr:rowOff>
    </xdr:from>
    <xdr:to>
      <xdr:col>6</xdr:col>
      <xdr:colOff>238169</xdr:colOff>
      <xdr:row>64</xdr:row>
      <xdr:rowOff>49</xdr:rowOff>
    </xdr:to>
    <xdr:grpSp>
      <xdr:nvGrpSpPr>
        <xdr:cNvPr id="2288" name="Group 2287">
          <a:extLst>
            <a:ext uri="{FF2B5EF4-FFF2-40B4-BE49-F238E27FC236}">
              <a16:creationId xmlns:a16="http://schemas.microsoft.com/office/drawing/2014/main" id="{37AE7359-500B-44B5-A1FB-5D9FC8CF146C}"/>
            </a:ext>
          </a:extLst>
        </xdr:cNvPr>
        <xdr:cNvGrpSpPr/>
      </xdr:nvGrpSpPr>
      <xdr:grpSpPr>
        <a:xfrm>
          <a:off x="3005667" y="11959167"/>
          <a:ext cx="238169" cy="349299"/>
          <a:chOff x="6143939" y="789134"/>
          <a:chExt cx="457200" cy="518966"/>
        </a:xfrm>
      </xdr:grpSpPr>
      <xdr:grpSp>
        <xdr:nvGrpSpPr>
          <xdr:cNvPr id="2289" name="Group 2288">
            <a:extLst>
              <a:ext uri="{FF2B5EF4-FFF2-40B4-BE49-F238E27FC236}">
                <a16:creationId xmlns:a16="http://schemas.microsoft.com/office/drawing/2014/main" id="{C5B2DE43-A89D-0014-9DC3-A2899D7FD7E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91" name="Straight Connector 2290">
              <a:extLst>
                <a:ext uri="{FF2B5EF4-FFF2-40B4-BE49-F238E27FC236}">
                  <a16:creationId xmlns:a16="http://schemas.microsoft.com/office/drawing/2014/main" id="{DDD43DF4-64DE-9C16-933C-78C9090CC4F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5" name="Straight Connector 2294">
              <a:extLst>
                <a:ext uri="{FF2B5EF4-FFF2-40B4-BE49-F238E27FC236}">
                  <a16:creationId xmlns:a16="http://schemas.microsoft.com/office/drawing/2014/main" id="{379C5372-419D-BF31-8621-1284C53F446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6" name="Straight Connector 2295">
              <a:extLst>
                <a:ext uri="{FF2B5EF4-FFF2-40B4-BE49-F238E27FC236}">
                  <a16:creationId xmlns:a16="http://schemas.microsoft.com/office/drawing/2014/main" id="{A114C8BD-C921-EC25-9173-37D7B069AD1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7" name="Straight Connector 2296">
              <a:extLst>
                <a:ext uri="{FF2B5EF4-FFF2-40B4-BE49-F238E27FC236}">
                  <a16:creationId xmlns:a16="http://schemas.microsoft.com/office/drawing/2014/main" id="{B2695E68-6297-6FE3-00E3-A5875C16ADA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9" name="Straight Connector 2298">
              <a:extLst>
                <a:ext uri="{FF2B5EF4-FFF2-40B4-BE49-F238E27FC236}">
                  <a16:creationId xmlns:a16="http://schemas.microsoft.com/office/drawing/2014/main" id="{931B3F04-DB36-351E-7493-ADD69EF176A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2" name="Straight Connector 2431">
              <a:extLst>
                <a:ext uri="{FF2B5EF4-FFF2-40B4-BE49-F238E27FC236}">
                  <a16:creationId xmlns:a16="http://schemas.microsoft.com/office/drawing/2014/main" id="{AB6E710C-41DD-BC0B-82BA-BBD5F4FC283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90" name="Straight Connector 2289">
            <a:extLst>
              <a:ext uri="{FF2B5EF4-FFF2-40B4-BE49-F238E27FC236}">
                <a16:creationId xmlns:a16="http://schemas.microsoft.com/office/drawing/2014/main" id="{CB68986E-1F6C-A52C-AE02-2ED56FBE03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62</xdr:row>
      <xdr:rowOff>0</xdr:rowOff>
    </xdr:from>
    <xdr:to>
      <xdr:col>12</xdr:col>
      <xdr:colOff>238169</xdr:colOff>
      <xdr:row>64</xdr:row>
      <xdr:rowOff>49</xdr:rowOff>
    </xdr:to>
    <xdr:grpSp>
      <xdr:nvGrpSpPr>
        <xdr:cNvPr id="2433" name="Group 2432">
          <a:extLst>
            <a:ext uri="{FF2B5EF4-FFF2-40B4-BE49-F238E27FC236}">
              <a16:creationId xmlns:a16="http://schemas.microsoft.com/office/drawing/2014/main" id="{55775012-877E-493D-A90C-3CEBDDD12B04}"/>
            </a:ext>
          </a:extLst>
        </xdr:cNvPr>
        <xdr:cNvGrpSpPr/>
      </xdr:nvGrpSpPr>
      <xdr:grpSpPr>
        <a:xfrm>
          <a:off x="6148917" y="11959167"/>
          <a:ext cx="238169" cy="349299"/>
          <a:chOff x="6143939" y="789134"/>
          <a:chExt cx="457200" cy="518966"/>
        </a:xfrm>
      </xdr:grpSpPr>
      <xdr:grpSp>
        <xdr:nvGrpSpPr>
          <xdr:cNvPr id="2434" name="Group 2433">
            <a:extLst>
              <a:ext uri="{FF2B5EF4-FFF2-40B4-BE49-F238E27FC236}">
                <a16:creationId xmlns:a16="http://schemas.microsoft.com/office/drawing/2014/main" id="{957E816D-F528-3458-07BF-6BCB7EB66F4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36" name="Straight Connector 2435">
              <a:extLst>
                <a:ext uri="{FF2B5EF4-FFF2-40B4-BE49-F238E27FC236}">
                  <a16:creationId xmlns:a16="http://schemas.microsoft.com/office/drawing/2014/main" id="{87C8483C-F062-2FAC-E31E-6F446D70E81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7" name="Straight Connector 2436">
              <a:extLst>
                <a:ext uri="{FF2B5EF4-FFF2-40B4-BE49-F238E27FC236}">
                  <a16:creationId xmlns:a16="http://schemas.microsoft.com/office/drawing/2014/main" id="{F8A72C16-C0A1-88FC-4D4F-2D3C019839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8" name="Straight Connector 2437">
              <a:extLst>
                <a:ext uri="{FF2B5EF4-FFF2-40B4-BE49-F238E27FC236}">
                  <a16:creationId xmlns:a16="http://schemas.microsoft.com/office/drawing/2014/main" id="{38EAAD2A-2A38-AA28-A903-A8C3FA221EA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9" name="Straight Connector 2438">
              <a:extLst>
                <a:ext uri="{FF2B5EF4-FFF2-40B4-BE49-F238E27FC236}">
                  <a16:creationId xmlns:a16="http://schemas.microsoft.com/office/drawing/2014/main" id="{57B101BF-92F7-5999-4441-DCADC2077C0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0" name="Straight Connector 2439">
              <a:extLst>
                <a:ext uri="{FF2B5EF4-FFF2-40B4-BE49-F238E27FC236}">
                  <a16:creationId xmlns:a16="http://schemas.microsoft.com/office/drawing/2014/main" id="{439B3604-DE91-00FD-550D-7DE94C7F1D6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1" name="Straight Connector 2440">
              <a:extLst>
                <a:ext uri="{FF2B5EF4-FFF2-40B4-BE49-F238E27FC236}">
                  <a16:creationId xmlns:a16="http://schemas.microsoft.com/office/drawing/2014/main" id="{7FD73CCC-4AED-840B-471F-2C2CAA59470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35" name="Straight Connector 2434">
            <a:extLst>
              <a:ext uri="{FF2B5EF4-FFF2-40B4-BE49-F238E27FC236}">
                <a16:creationId xmlns:a16="http://schemas.microsoft.com/office/drawing/2014/main" id="{50B83DD3-26CA-8D4D-7380-62EEB0BA507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62</xdr:row>
      <xdr:rowOff>0</xdr:rowOff>
    </xdr:from>
    <xdr:to>
      <xdr:col>20</xdr:col>
      <xdr:colOff>238169</xdr:colOff>
      <xdr:row>64</xdr:row>
      <xdr:rowOff>49</xdr:rowOff>
    </xdr:to>
    <xdr:grpSp>
      <xdr:nvGrpSpPr>
        <xdr:cNvPr id="2442" name="Group 2441">
          <a:extLst>
            <a:ext uri="{FF2B5EF4-FFF2-40B4-BE49-F238E27FC236}">
              <a16:creationId xmlns:a16="http://schemas.microsoft.com/office/drawing/2014/main" id="{C2D1A5D6-97F1-475B-9EB7-66B691EABB7B}"/>
            </a:ext>
          </a:extLst>
        </xdr:cNvPr>
        <xdr:cNvGrpSpPr/>
      </xdr:nvGrpSpPr>
      <xdr:grpSpPr>
        <a:xfrm>
          <a:off x="10339917" y="11959167"/>
          <a:ext cx="238169" cy="349299"/>
          <a:chOff x="6143939" y="789134"/>
          <a:chExt cx="457200" cy="518966"/>
        </a:xfrm>
      </xdr:grpSpPr>
      <xdr:grpSp>
        <xdr:nvGrpSpPr>
          <xdr:cNvPr id="2443" name="Group 2442">
            <a:extLst>
              <a:ext uri="{FF2B5EF4-FFF2-40B4-BE49-F238E27FC236}">
                <a16:creationId xmlns:a16="http://schemas.microsoft.com/office/drawing/2014/main" id="{B45AE982-4997-B90E-DADF-E7D09ECF145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45" name="Straight Connector 2444">
              <a:extLst>
                <a:ext uri="{FF2B5EF4-FFF2-40B4-BE49-F238E27FC236}">
                  <a16:creationId xmlns:a16="http://schemas.microsoft.com/office/drawing/2014/main" id="{547F9396-02D3-6DB4-7EE3-287D19BB4A7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6" name="Straight Connector 2445">
              <a:extLst>
                <a:ext uri="{FF2B5EF4-FFF2-40B4-BE49-F238E27FC236}">
                  <a16:creationId xmlns:a16="http://schemas.microsoft.com/office/drawing/2014/main" id="{49DAE99A-0EF8-7847-1713-D5CDC7D8EB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7" name="Straight Connector 2446">
              <a:extLst>
                <a:ext uri="{FF2B5EF4-FFF2-40B4-BE49-F238E27FC236}">
                  <a16:creationId xmlns:a16="http://schemas.microsoft.com/office/drawing/2014/main" id="{EDE4666A-B2F4-9045-95EB-A8EDF8CC1D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8" name="Straight Connector 2447">
              <a:extLst>
                <a:ext uri="{FF2B5EF4-FFF2-40B4-BE49-F238E27FC236}">
                  <a16:creationId xmlns:a16="http://schemas.microsoft.com/office/drawing/2014/main" id="{19113D5F-9839-CB63-0A2F-1B2485E22B8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9" name="Straight Connector 2448">
              <a:extLst>
                <a:ext uri="{FF2B5EF4-FFF2-40B4-BE49-F238E27FC236}">
                  <a16:creationId xmlns:a16="http://schemas.microsoft.com/office/drawing/2014/main" id="{2D4452E6-4444-0127-5FD7-D2374ED44B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0" name="Straight Connector 2449">
              <a:extLst>
                <a:ext uri="{FF2B5EF4-FFF2-40B4-BE49-F238E27FC236}">
                  <a16:creationId xmlns:a16="http://schemas.microsoft.com/office/drawing/2014/main" id="{6306DEF7-4450-BC7D-431B-3DCA2AA0B0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44" name="Straight Connector 2443">
            <a:extLst>
              <a:ext uri="{FF2B5EF4-FFF2-40B4-BE49-F238E27FC236}">
                <a16:creationId xmlns:a16="http://schemas.microsoft.com/office/drawing/2014/main" id="{3F24E3A1-6235-F88A-CBBF-00D8989964E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10</xdr:col>
      <xdr:colOff>187614</xdr:colOff>
      <xdr:row>61</xdr:row>
      <xdr:rowOff>151534</xdr:rowOff>
    </xdr:from>
    <xdr:to>
      <xdr:col>10</xdr:col>
      <xdr:colOff>340812</xdr:colOff>
      <xdr:row>65</xdr:row>
      <xdr:rowOff>8830</xdr:rowOff>
    </xdr:to>
    <xdr:pic>
      <xdr:nvPicPr>
        <xdr:cNvPr id="2451" name="Picture 2450">
          <a:extLst>
            <a:ext uri="{FF2B5EF4-FFF2-40B4-BE49-F238E27FC236}">
              <a16:creationId xmlns:a16="http://schemas.microsoft.com/office/drawing/2014/main" id="{DD8D8A18-86B1-4E26-86C3-55179CAFE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65569" y="11733068"/>
          <a:ext cx="153198" cy="550023"/>
        </a:xfrm>
        <a:prstGeom prst="rect">
          <a:avLst/>
        </a:prstGeom>
      </xdr:spPr>
    </xdr:pic>
    <xdr:clientData/>
  </xdr:twoCellAnchor>
  <xdr:oneCellAnchor>
    <xdr:from>
      <xdr:col>6</xdr:col>
      <xdr:colOff>26458</xdr:colOff>
      <xdr:row>82</xdr:row>
      <xdr:rowOff>0</xdr:rowOff>
    </xdr:from>
    <xdr:ext cx="382764" cy="287082"/>
    <xdr:pic>
      <xdr:nvPicPr>
        <xdr:cNvPr id="2452" name="Picture 2451" descr="Gas pipeline line icon concept. Gas ...">
          <a:extLst>
            <a:ext uri="{FF2B5EF4-FFF2-40B4-BE49-F238E27FC236}">
              <a16:creationId xmlns:a16="http://schemas.microsoft.com/office/drawing/2014/main" id="{07245E02-CFC5-4694-B0E7-8BEC57FE68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70729" y="15253229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6</xdr:col>
      <xdr:colOff>26458</xdr:colOff>
      <xdr:row>85</xdr:row>
      <xdr:rowOff>145520</xdr:rowOff>
    </xdr:from>
    <xdr:ext cx="125542" cy="396875"/>
    <xdr:pic>
      <xdr:nvPicPr>
        <xdr:cNvPr id="2453" name="Picture 11595">
          <a:extLst>
            <a:ext uri="{FF2B5EF4-FFF2-40B4-BE49-F238E27FC236}">
              <a16:creationId xmlns:a16="http://schemas.microsoft.com/office/drawing/2014/main" id="{6B612CC5-6337-4F38-86CB-3E07C95B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0729" y="15914687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6</xdr:col>
      <xdr:colOff>264584</xdr:colOff>
      <xdr:row>85</xdr:row>
      <xdr:rowOff>132293</xdr:rowOff>
    </xdr:from>
    <xdr:to>
      <xdr:col>6</xdr:col>
      <xdr:colOff>410104</xdr:colOff>
      <xdr:row>88</xdr:row>
      <xdr:rowOff>98799</xdr:rowOff>
    </xdr:to>
    <xdr:pic>
      <xdr:nvPicPr>
        <xdr:cNvPr id="2454" name="Picture 2453">
          <a:extLst>
            <a:ext uri="{FF2B5EF4-FFF2-40B4-BE49-F238E27FC236}">
              <a16:creationId xmlns:a16="http://schemas.microsoft.com/office/drawing/2014/main" id="{F6CC3A64-D299-4620-ACD2-04270E711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08855" y="15901460"/>
          <a:ext cx="145520" cy="522132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97</xdr:row>
      <xdr:rowOff>0</xdr:rowOff>
    </xdr:from>
    <xdr:to>
      <xdr:col>2</xdr:col>
      <xdr:colOff>238169</xdr:colOff>
      <xdr:row>99</xdr:row>
      <xdr:rowOff>50</xdr:rowOff>
    </xdr:to>
    <xdr:grpSp>
      <xdr:nvGrpSpPr>
        <xdr:cNvPr id="2455" name="Group 2454">
          <a:extLst>
            <a:ext uri="{FF2B5EF4-FFF2-40B4-BE49-F238E27FC236}">
              <a16:creationId xmlns:a16="http://schemas.microsoft.com/office/drawing/2014/main" id="{ABEF20D8-6149-4929-B417-45188DAED013}"/>
            </a:ext>
          </a:extLst>
        </xdr:cNvPr>
        <xdr:cNvGrpSpPr/>
      </xdr:nvGrpSpPr>
      <xdr:grpSpPr>
        <a:xfrm>
          <a:off x="910167" y="18002250"/>
          <a:ext cx="238169" cy="349300"/>
          <a:chOff x="6143939" y="789134"/>
          <a:chExt cx="457200" cy="518966"/>
        </a:xfrm>
      </xdr:grpSpPr>
      <xdr:grpSp>
        <xdr:nvGrpSpPr>
          <xdr:cNvPr id="2456" name="Group 2455">
            <a:extLst>
              <a:ext uri="{FF2B5EF4-FFF2-40B4-BE49-F238E27FC236}">
                <a16:creationId xmlns:a16="http://schemas.microsoft.com/office/drawing/2014/main" id="{AFB68005-4E8F-E5D6-D2F7-237202E71DF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58" name="Straight Connector 2457">
              <a:extLst>
                <a:ext uri="{FF2B5EF4-FFF2-40B4-BE49-F238E27FC236}">
                  <a16:creationId xmlns:a16="http://schemas.microsoft.com/office/drawing/2014/main" id="{0E179437-3C03-CFCB-E40F-7D6E6E4027B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9" name="Straight Connector 2458">
              <a:extLst>
                <a:ext uri="{FF2B5EF4-FFF2-40B4-BE49-F238E27FC236}">
                  <a16:creationId xmlns:a16="http://schemas.microsoft.com/office/drawing/2014/main" id="{5CAA4934-AD67-A834-57F7-6F4CA88D62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0" name="Straight Connector 2459">
              <a:extLst>
                <a:ext uri="{FF2B5EF4-FFF2-40B4-BE49-F238E27FC236}">
                  <a16:creationId xmlns:a16="http://schemas.microsoft.com/office/drawing/2014/main" id="{DF57546D-739B-C42A-E3DE-7613DC9850F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1" name="Straight Connector 2460">
              <a:extLst>
                <a:ext uri="{FF2B5EF4-FFF2-40B4-BE49-F238E27FC236}">
                  <a16:creationId xmlns:a16="http://schemas.microsoft.com/office/drawing/2014/main" id="{F70E2600-002D-2400-5EB5-EB240A909DB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2" name="Straight Connector 2461">
              <a:extLst>
                <a:ext uri="{FF2B5EF4-FFF2-40B4-BE49-F238E27FC236}">
                  <a16:creationId xmlns:a16="http://schemas.microsoft.com/office/drawing/2014/main" id="{1153B1DD-A790-5B2A-161F-993EB475AE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3" name="Straight Connector 2462">
              <a:extLst>
                <a:ext uri="{FF2B5EF4-FFF2-40B4-BE49-F238E27FC236}">
                  <a16:creationId xmlns:a16="http://schemas.microsoft.com/office/drawing/2014/main" id="{01F22046-3637-862B-F811-F89915708C4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57" name="Straight Connector 2456">
            <a:extLst>
              <a:ext uri="{FF2B5EF4-FFF2-40B4-BE49-F238E27FC236}">
                <a16:creationId xmlns:a16="http://schemas.microsoft.com/office/drawing/2014/main" id="{014AAB55-5604-81E4-02B6-3AC16D53E1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97</xdr:row>
      <xdr:rowOff>0</xdr:rowOff>
    </xdr:from>
    <xdr:to>
      <xdr:col>4</xdr:col>
      <xdr:colOff>238169</xdr:colOff>
      <xdr:row>99</xdr:row>
      <xdr:rowOff>50</xdr:rowOff>
    </xdr:to>
    <xdr:grpSp>
      <xdr:nvGrpSpPr>
        <xdr:cNvPr id="2464" name="Group 2463">
          <a:extLst>
            <a:ext uri="{FF2B5EF4-FFF2-40B4-BE49-F238E27FC236}">
              <a16:creationId xmlns:a16="http://schemas.microsoft.com/office/drawing/2014/main" id="{08553C29-73E5-47DF-8C8E-C7292BB011FD}"/>
            </a:ext>
          </a:extLst>
        </xdr:cNvPr>
        <xdr:cNvGrpSpPr/>
      </xdr:nvGrpSpPr>
      <xdr:grpSpPr>
        <a:xfrm>
          <a:off x="1957917" y="18002250"/>
          <a:ext cx="238169" cy="349300"/>
          <a:chOff x="6143939" y="789134"/>
          <a:chExt cx="457200" cy="518966"/>
        </a:xfrm>
      </xdr:grpSpPr>
      <xdr:grpSp>
        <xdr:nvGrpSpPr>
          <xdr:cNvPr id="2465" name="Group 2464">
            <a:extLst>
              <a:ext uri="{FF2B5EF4-FFF2-40B4-BE49-F238E27FC236}">
                <a16:creationId xmlns:a16="http://schemas.microsoft.com/office/drawing/2014/main" id="{A3B1FD98-A04D-1171-8B38-C502663380B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21" name="Straight Connector 2520">
              <a:extLst>
                <a:ext uri="{FF2B5EF4-FFF2-40B4-BE49-F238E27FC236}">
                  <a16:creationId xmlns:a16="http://schemas.microsoft.com/office/drawing/2014/main" id="{CDAE37DD-CF7C-4844-8B28-F057DDD6997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2" name="Straight Connector 2521">
              <a:extLst>
                <a:ext uri="{FF2B5EF4-FFF2-40B4-BE49-F238E27FC236}">
                  <a16:creationId xmlns:a16="http://schemas.microsoft.com/office/drawing/2014/main" id="{B233B7C1-58E3-4434-81C4-2FCC6D98D0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3" name="Straight Connector 2522">
              <a:extLst>
                <a:ext uri="{FF2B5EF4-FFF2-40B4-BE49-F238E27FC236}">
                  <a16:creationId xmlns:a16="http://schemas.microsoft.com/office/drawing/2014/main" id="{CE33C56A-FD1D-72D0-414C-0EAD6A4750A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4" name="Straight Connector 2523">
              <a:extLst>
                <a:ext uri="{FF2B5EF4-FFF2-40B4-BE49-F238E27FC236}">
                  <a16:creationId xmlns:a16="http://schemas.microsoft.com/office/drawing/2014/main" id="{62F33102-EC8E-39FC-0314-A833C0BB34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5" name="Straight Connector 2524">
              <a:extLst>
                <a:ext uri="{FF2B5EF4-FFF2-40B4-BE49-F238E27FC236}">
                  <a16:creationId xmlns:a16="http://schemas.microsoft.com/office/drawing/2014/main" id="{315A827B-99A7-A486-A71B-5276E7E9D29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6" name="Straight Connector 2525">
              <a:extLst>
                <a:ext uri="{FF2B5EF4-FFF2-40B4-BE49-F238E27FC236}">
                  <a16:creationId xmlns:a16="http://schemas.microsoft.com/office/drawing/2014/main" id="{D08959D5-0F0B-47E6-416F-9AD4CA8F838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6" name="Straight Connector 2465">
            <a:extLst>
              <a:ext uri="{FF2B5EF4-FFF2-40B4-BE49-F238E27FC236}">
                <a16:creationId xmlns:a16="http://schemas.microsoft.com/office/drawing/2014/main" id="{0B836D5C-F98E-15A4-E395-8CF33CE9B7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97</xdr:row>
      <xdr:rowOff>0</xdr:rowOff>
    </xdr:from>
    <xdr:to>
      <xdr:col>6</xdr:col>
      <xdr:colOff>238169</xdr:colOff>
      <xdr:row>99</xdr:row>
      <xdr:rowOff>50</xdr:rowOff>
    </xdr:to>
    <xdr:grpSp>
      <xdr:nvGrpSpPr>
        <xdr:cNvPr id="2527" name="Group 2526">
          <a:extLst>
            <a:ext uri="{FF2B5EF4-FFF2-40B4-BE49-F238E27FC236}">
              <a16:creationId xmlns:a16="http://schemas.microsoft.com/office/drawing/2014/main" id="{594B5A93-4B98-4B6E-B2FA-ACB2B6A248E5}"/>
            </a:ext>
          </a:extLst>
        </xdr:cNvPr>
        <xdr:cNvGrpSpPr/>
      </xdr:nvGrpSpPr>
      <xdr:grpSpPr>
        <a:xfrm>
          <a:off x="3005667" y="18002250"/>
          <a:ext cx="238169" cy="349300"/>
          <a:chOff x="6143939" y="789134"/>
          <a:chExt cx="457200" cy="518966"/>
        </a:xfrm>
      </xdr:grpSpPr>
      <xdr:grpSp>
        <xdr:nvGrpSpPr>
          <xdr:cNvPr id="2528" name="Group 2527">
            <a:extLst>
              <a:ext uri="{FF2B5EF4-FFF2-40B4-BE49-F238E27FC236}">
                <a16:creationId xmlns:a16="http://schemas.microsoft.com/office/drawing/2014/main" id="{DBF651F6-4779-F560-7DA0-B441448D39D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0" name="Straight Connector 2529">
              <a:extLst>
                <a:ext uri="{FF2B5EF4-FFF2-40B4-BE49-F238E27FC236}">
                  <a16:creationId xmlns:a16="http://schemas.microsoft.com/office/drawing/2014/main" id="{E2F9B618-D951-471E-8938-F12E196A494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1" name="Straight Connector 2530">
              <a:extLst>
                <a:ext uri="{FF2B5EF4-FFF2-40B4-BE49-F238E27FC236}">
                  <a16:creationId xmlns:a16="http://schemas.microsoft.com/office/drawing/2014/main" id="{8DEB5261-56D3-333D-3C72-1A7D23C195F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2" name="Straight Connector 2531">
              <a:extLst>
                <a:ext uri="{FF2B5EF4-FFF2-40B4-BE49-F238E27FC236}">
                  <a16:creationId xmlns:a16="http://schemas.microsoft.com/office/drawing/2014/main" id="{C318B57A-01B8-893B-34B1-D2FA0457CC2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3" name="Straight Connector 2532">
              <a:extLst>
                <a:ext uri="{FF2B5EF4-FFF2-40B4-BE49-F238E27FC236}">
                  <a16:creationId xmlns:a16="http://schemas.microsoft.com/office/drawing/2014/main" id="{52554B29-80A8-32C0-29ED-766FCD000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4" name="Straight Connector 2533">
              <a:extLst>
                <a:ext uri="{FF2B5EF4-FFF2-40B4-BE49-F238E27FC236}">
                  <a16:creationId xmlns:a16="http://schemas.microsoft.com/office/drawing/2014/main" id="{8F2FC286-7DFE-6D67-E98D-3E50A21AF0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5" name="Straight Connector 2534">
              <a:extLst>
                <a:ext uri="{FF2B5EF4-FFF2-40B4-BE49-F238E27FC236}">
                  <a16:creationId xmlns:a16="http://schemas.microsoft.com/office/drawing/2014/main" id="{2998CC27-FE2A-2EE5-1F89-755220EFFF0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29" name="Straight Connector 2528">
            <a:extLst>
              <a:ext uri="{FF2B5EF4-FFF2-40B4-BE49-F238E27FC236}">
                <a16:creationId xmlns:a16="http://schemas.microsoft.com/office/drawing/2014/main" id="{1C402680-DC3F-37D1-E551-5694A113745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97</xdr:row>
      <xdr:rowOff>0</xdr:rowOff>
    </xdr:from>
    <xdr:to>
      <xdr:col>8</xdr:col>
      <xdr:colOff>238169</xdr:colOff>
      <xdr:row>99</xdr:row>
      <xdr:rowOff>50</xdr:rowOff>
    </xdr:to>
    <xdr:grpSp>
      <xdr:nvGrpSpPr>
        <xdr:cNvPr id="2536" name="Group 2535">
          <a:extLst>
            <a:ext uri="{FF2B5EF4-FFF2-40B4-BE49-F238E27FC236}">
              <a16:creationId xmlns:a16="http://schemas.microsoft.com/office/drawing/2014/main" id="{34775AA9-11CE-480D-86BD-0FD530E0C1C9}"/>
            </a:ext>
          </a:extLst>
        </xdr:cNvPr>
        <xdr:cNvGrpSpPr/>
      </xdr:nvGrpSpPr>
      <xdr:grpSpPr>
        <a:xfrm>
          <a:off x="4053417" y="18002250"/>
          <a:ext cx="238169" cy="349300"/>
          <a:chOff x="6143939" y="789134"/>
          <a:chExt cx="457200" cy="518966"/>
        </a:xfrm>
      </xdr:grpSpPr>
      <xdr:grpSp>
        <xdr:nvGrpSpPr>
          <xdr:cNvPr id="2537" name="Group 2536">
            <a:extLst>
              <a:ext uri="{FF2B5EF4-FFF2-40B4-BE49-F238E27FC236}">
                <a16:creationId xmlns:a16="http://schemas.microsoft.com/office/drawing/2014/main" id="{ABADCF7B-C5A1-D43F-2F4E-AF71DEFC2B2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9" name="Straight Connector 2538">
              <a:extLst>
                <a:ext uri="{FF2B5EF4-FFF2-40B4-BE49-F238E27FC236}">
                  <a16:creationId xmlns:a16="http://schemas.microsoft.com/office/drawing/2014/main" id="{71429078-560D-320E-1A80-CD0A2FD7F70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0" name="Straight Connector 2539">
              <a:extLst>
                <a:ext uri="{FF2B5EF4-FFF2-40B4-BE49-F238E27FC236}">
                  <a16:creationId xmlns:a16="http://schemas.microsoft.com/office/drawing/2014/main" id="{40ADB786-7C17-66E1-E22E-B3D755453D2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1" name="Straight Connector 2540">
              <a:extLst>
                <a:ext uri="{FF2B5EF4-FFF2-40B4-BE49-F238E27FC236}">
                  <a16:creationId xmlns:a16="http://schemas.microsoft.com/office/drawing/2014/main" id="{F6689F90-13EE-B07D-9F81-4E89EB21A64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2" name="Straight Connector 2541">
              <a:extLst>
                <a:ext uri="{FF2B5EF4-FFF2-40B4-BE49-F238E27FC236}">
                  <a16:creationId xmlns:a16="http://schemas.microsoft.com/office/drawing/2014/main" id="{3569CAAB-7D8F-41C2-4D72-854A3DF674D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3" name="Straight Connector 2542">
              <a:extLst>
                <a:ext uri="{FF2B5EF4-FFF2-40B4-BE49-F238E27FC236}">
                  <a16:creationId xmlns:a16="http://schemas.microsoft.com/office/drawing/2014/main" id="{D786C14B-F329-6B4E-3255-F7343743620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4" name="Straight Connector 2543">
              <a:extLst>
                <a:ext uri="{FF2B5EF4-FFF2-40B4-BE49-F238E27FC236}">
                  <a16:creationId xmlns:a16="http://schemas.microsoft.com/office/drawing/2014/main" id="{D4D19735-32E9-D14A-0B14-2A7DCD859AE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38" name="Straight Connector 2537">
            <a:extLst>
              <a:ext uri="{FF2B5EF4-FFF2-40B4-BE49-F238E27FC236}">
                <a16:creationId xmlns:a16="http://schemas.microsoft.com/office/drawing/2014/main" id="{279E3A86-1CC6-C439-A053-A2B966D44DC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97</xdr:row>
      <xdr:rowOff>0</xdr:rowOff>
    </xdr:from>
    <xdr:to>
      <xdr:col>10</xdr:col>
      <xdr:colOff>238169</xdr:colOff>
      <xdr:row>99</xdr:row>
      <xdr:rowOff>50</xdr:rowOff>
    </xdr:to>
    <xdr:grpSp>
      <xdr:nvGrpSpPr>
        <xdr:cNvPr id="2545" name="Group 2544">
          <a:extLst>
            <a:ext uri="{FF2B5EF4-FFF2-40B4-BE49-F238E27FC236}">
              <a16:creationId xmlns:a16="http://schemas.microsoft.com/office/drawing/2014/main" id="{AFB5C5AF-9DD9-4A05-AFAF-5E0B7AFAB41F}"/>
            </a:ext>
          </a:extLst>
        </xdr:cNvPr>
        <xdr:cNvGrpSpPr/>
      </xdr:nvGrpSpPr>
      <xdr:grpSpPr>
        <a:xfrm>
          <a:off x="5101167" y="18002250"/>
          <a:ext cx="238169" cy="349300"/>
          <a:chOff x="6143939" y="789134"/>
          <a:chExt cx="457200" cy="518966"/>
        </a:xfrm>
      </xdr:grpSpPr>
      <xdr:grpSp>
        <xdr:nvGrpSpPr>
          <xdr:cNvPr id="2546" name="Group 2545">
            <a:extLst>
              <a:ext uri="{FF2B5EF4-FFF2-40B4-BE49-F238E27FC236}">
                <a16:creationId xmlns:a16="http://schemas.microsoft.com/office/drawing/2014/main" id="{B4877CF3-7D53-E8E3-9868-CA7BD09DE36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48" name="Straight Connector 2547">
              <a:extLst>
                <a:ext uri="{FF2B5EF4-FFF2-40B4-BE49-F238E27FC236}">
                  <a16:creationId xmlns:a16="http://schemas.microsoft.com/office/drawing/2014/main" id="{9F8E2BFB-9AA5-7FEF-5232-3EEFE78CCED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9" name="Straight Connector 2548">
              <a:extLst>
                <a:ext uri="{FF2B5EF4-FFF2-40B4-BE49-F238E27FC236}">
                  <a16:creationId xmlns:a16="http://schemas.microsoft.com/office/drawing/2014/main" id="{25582BEC-EE7B-73B4-0D40-932E454F88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0" name="Straight Connector 2549">
              <a:extLst>
                <a:ext uri="{FF2B5EF4-FFF2-40B4-BE49-F238E27FC236}">
                  <a16:creationId xmlns:a16="http://schemas.microsoft.com/office/drawing/2014/main" id="{70813975-3EAE-5AC8-EBF2-1685C3D1DC9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1" name="Straight Connector 2550">
              <a:extLst>
                <a:ext uri="{FF2B5EF4-FFF2-40B4-BE49-F238E27FC236}">
                  <a16:creationId xmlns:a16="http://schemas.microsoft.com/office/drawing/2014/main" id="{912191D0-7908-7B1C-9F33-D308E182577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2" name="Straight Connector 2551">
              <a:extLst>
                <a:ext uri="{FF2B5EF4-FFF2-40B4-BE49-F238E27FC236}">
                  <a16:creationId xmlns:a16="http://schemas.microsoft.com/office/drawing/2014/main" id="{763C0031-EB2C-ED56-8BD4-1A481114DD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3" name="Straight Connector 2552">
              <a:extLst>
                <a:ext uri="{FF2B5EF4-FFF2-40B4-BE49-F238E27FC236}">
                  <a16:creationId xmlns:a16="http://schemas.microsoft.com/office/drawing/2014/main" id="{F13A2EFF-7E9D-247A-5FF2-55FCB39BC9F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47" name="Straight Connector 2546">
            <a:extLst>
              <a:ext uri="{FF2B5EF4-FFF2-40B4-BE49-F238E27FC236}">
                <a16:creationId xmlns:a16="http://schemas.microsoft.com/office/drawing/2014/main" id="{D3319D00-2B06-7A13-E3AF-18EBD407B94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97</xdr:row>
      <xdr:rowOff>0</xdr:rowOff>
    </xdr:from>
    <xdr:to>
      <xdr:col>14</xdr:col>
      <xdr:colOff>238169</xdr:colOff>
      <xdr:row>99</xdr:row>
      <xdr:rowOff>50</xdr:rowOff>
    </xdr:to>
    <xdr:grpSp>
      <xdr:nvGrpSpPr>
        <xdr:cNvPr id="2554" name="Group 2553">
          <a:extLst>
            <a:ext uri="{FF2B5EF4-FFF2-40B4-BE49-F238E27FC236}">
              <a16:creationId xmlns:a16="http://schemas.microsoft.com/office/drawing/2014/main" id="{909BE18C-85B2-4E0F-9A0A-EB18E693E6B9}"/>
            </a:ext>
          </a:extLst>
        </xdr:cNvPr>
        <xdr:cNvGrpSpPr/>
      </xdr:nvGrpSpPr>
      <xdr:grpSpPr>
        <a:xfrm>
          <a:off x="7196667" y="18002250"/>
          <a:ext cx="238169" cy="349300"/>
          <a:chOff x="6143939" y="789134"/>
          <a:chExt cx="457200" cy="518966"/>
        </a:xfrm>
      </xdr:grpSpPr>
      <xdr:grpSp>
        <xdr:nvGrpSpPr>
          <xdr:cNvPr id="2555" name="Group 2554">
            <a:extLst>
              <a:ext uri="{FF2B5EF4-FFF2-40B4-BE49-F238E27FC236}">
                <a16:creationId xmlns:a16="http://schemas.microsoft.com/office/drawing/2014/main" id="{77B1780B-6012-34B8-DADB-811EE195F64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57" name="Straight Connector 2556">
              <a:extLst>
                <a:ext uri="{FF2B5EF4-FFF2-40B4-BE49-F238E27FC236}">
                  <a16:creationId xmlns:a16="http://schemas.microsoft.com/office/drawing/2014/main" id="{1E5A2AF4-721D-161C-285C-4BF5E827ACD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8" name="Straight Connector 2557">
              <a:extLst>
                <a:ext uri="{FF2B5EF4-FFF2-40B4-BE49-F238E27FC236}">
                  <a16:creationId xmlns:a16="http://schemas.microsoft.com/office/drawing/2014/main" id="{49631DA3-52EC-5F2F-CE4C-64857A91301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9" name="Straight Connector 2558">
              <a:extLst>
                <a:ext uri="{FF2B5EF4-FFF2-40B4-BE49-F238E27FC236}">
                  <a16:creationId xmlns:a16="http://schemas.microsoft.com/office/drawing/2014/main" id="{F8E5BA76-B2CC-E832-7774-BFC59373B68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4" name="Straight Connector 2623">
              <a:extLst>
                <a:ext uri="{FF2B5EF4-FFF2-40B4-BE49-F238E27FC236}">
                  <a16:creationId xmlns:a16="http://schemas.microsoft.com/office/drawing/2014/main" id="{0F1DBCA6-5102-3736-C17E-16A7D50FF89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5" name="Straight Connector 2624">
              <a:extLst>
                <a:ext uri="{FF2B5EF4-FFF2-40B4-BE49-F238E27FC236}">
                  <a16:creationId xmlns:a16="http://schemas.microsoft.com/office/drawing/2014/main" id="{10120097-A607-DAB1-D3FD-7D2FA000FBE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6" name="Straight Connector 2625">
              <a:extLst>
                <a:ext uri="{FF2B5EF4-FFF2-40B4-BE49-F238E27FC236}">
                  <a16:creationId xmlns:a16="http://schemas.microsoft.com/office/drawing/2014/main" id="{33592113-078C-4C5B-4B83-246A8043BD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56" name="Straight Connector 2555">
            <a:extLst>
              <a:ext uri="{FF2B5EF4-FFF2-40B4-BE49-F238E27FC236}">
                <a16:creationId xmlns:a16="http://schemas.microsoft.com/office/drawing/2014/main" id="{4892D9BB-BFA1-2E4C-97F6-43C1C1F8A6F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86</xdr:row>
      <xdr:rowOff>0</xdr:rowOff>
    </xdr:from>
    <xdr:to>
      <xdr:col>12</xdr:col>
      <xdr:colOff>238169</xdr:colOff>
      <xdr:row>87</xdr:row>
      <xdr:rowOff>173231</xdr:rowOff>
    </xdr:to>
    <xdr:grpSp>
      <xdr:nvGrpSpPr>
        <xdr:cNvPr id="2627" name="Group 2626">
          <a:extLst>
            <a:ext uri="{FF2B5EF4-FFF2-40B4-BE49-F238E27FC236}">
              <a16:creationId xmlns:a16="http://schemas.microsoft.com/office/drawing/2014/main" id="{5780E56C-8490-4107-9258-30B57DE6412D}"/>
            </a:ext>
          </a:extLst>
        </xdr:cNvPr>
        <xdr:cNvGrpSpPr/>
      </xdr:nvGrpSpPr>
      <xdr:grpSpPr>
        <a:xfrm>
          <a:off x="6148917" y="16097250"/>
          <a:ext cx="238169" cy="342564"/>
          <a:chOff x="6143939" y="789134"/>
          <a:chExt cx="457200" cy="518966"/>
        </a:xfrm>
      </xdr:grpSpPr>
      <xdr:grpSp>
        <xdr:nvGrpSpPr>
          <xdr:cNvPr id="2628" name="Group 2627">
            <a:extLst>
              <a:ext uri="{FF2B5EF4-FFF2-40B4-BE49-F238E27FC236}">
                <a16:creationId xmlns:a16="http://schemas.microsoft.com/office/drawing/2014/main" id="{36FF6CC3-28AE-03A1-4FF4-D009C074227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0" name="Straight Connector 2629">
              <a:extLst>
                <a:ext uri="{FF2B5EF4-FFF2-40B4-BE49-F238E27FC236}">
                  <a16:creationId xmlns:a16="http://schemas.microsoft.com/office/drawing/2014/main" id="{CD6CDF7A-7B4B-7706-0CB7-E59BA68F2D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1" name="Straight Connector 2630">
              <a:extLst>
                <a:ext uri="{FF2B5EF4-FFF2-40B4-BE49-F238E27FC236}">
                  <a16:creationId xmlns:a16="http://schemas.microsoft.com/office/drawing/2014/main" id="{CDF362F6-4BDF-45F0-A08E-B726CA82923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2" name="Straight Connector 2631">
              <a:extLst>
                <a:ext uri="{FF2B5EF4-FFF2-40B4-BE49-F238E27FC236}">
                  <a16:creationId xmlns:a16="http://schemas.microsoft.com/office/drawing/2014/main" id="{8C12FF6F-4FF4-37F3-7532-204D6B315B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3" name="Straight Connector 2632">
              <a:extLst>
                <a:ext uri="{FF2B5EF4-FFF2-40B4-BE49-F238E27FC236}">
                  <a16:creationId xmlns:a16="http://schemas.microsoft.com/office/drawing/2014/main" id="{0BE32F17-1426-19D1-256A-B2DB1912F2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4" name="Straight Connector 2633">
              <a:extLst>
                <a:ext uri="{FF2B5EF4-FFF2-40B4-BE49-F238E27FC236}">
                  <a16:creationId xmlns:a16="http://schemas.microsoft.com/office/drawing/2014/main" id="{B1C33530-02EF-39DA-BC16-A095345A332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5" name="Straight Connector 2634">
              <a:extLst>
                <a:ext uri="{FF2B5EF4-FFF2-40B4-BE49-F238E27FC236}">
                  <a16:creationId xmlns:a16="http://schemas.microsoft.com/office/drawing/2014/main" id="{6964E8CE-13AD-5091-AB10-0504CE085E3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29" name="Straight Connector 2628">
            <a:extLst>
              <a:ext uri="{FF2B5EF4-FFF2-40B4-BE49-F238E27FC236}">
                <a16:creationId xmlns:a16="http://schemas.microsoft.com/office/drawing/2014/main" id="{DCAB367F-A451-2E1B-6E13-D49825ED4B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86</xdr:row>
      <xdr:rowOff>0</xdr:rowOff>
    </xdr:from>
    <xdr:to>
      <xdr:col>14</xdr:col>
      <xdr:colOff>238169</xdr:colOff>
      <xdr:row>87</xdr:row>
      <xdr:rowOff>173231</xdr:rowOff>
    </xdr:to>
    <xdr:grpSp>
      <xdr:nvGrpSpPr>
        <xdr:cNvPr id="2636" name="Group 2635">
          <a:extLst>
            <a:ext uri="{FF2B5EF4-FFF2-40B4-BE49-F238E27FC236}">
              <a16:creationId xmlns:a16="http://schemas.microsoft.com/office/drawing/2014/main" id="{70B01DD5-FD01-4D1E-AA9D-FA42A12E855E}"/>
            </a:ext>
          </a:extLst>
        </xdr:cNvPr>
        <xdr:cNvGrpSpPr/>
      </xdr:nvGrpSpPr>
      <xdr:grpSpPr>
        <a:xfrm>
          <a:off x="7196667" y="16097250"/>
          <a:ext cx="238169" cy="342564"/>
          <a:chOff x="6143939" y="789134"/>
          <a:chExt cx="457200" cy="518966"/>
        </a:xfrm>
      </xdr:grpSpPr>
      <xdr:grpSp>
        <xdr:nvGrpSpPr>
          <xdr:cNvPr id="2637" name="Group 2636">
            <a:extLst>
              <a:ext uri="{FF2B5EF4-FFF2-40B4-BE49-F238E27FC236}">
                <a16:creationId xmlns:a16="http://schemas.microsoft.com/office/drawing/2014/main" id="{8EFA8824-8AD9-8B52-4E34-CF02FBA70DB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9" name="Straight Connector 2638">
              <a:extLst>
                <a:ext uri="{FF2B5EF4-FFF2-40B4-BE49-F238E27FC236}">
                  <a16:creationId xmlns:a16="http://schemas.microsoft.com/office/drawing/2014/main" id="{785AC85F-88B1-8823-4613-FE57C0544C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0" name="Straight Connector 2639">
              <a:extLst>
                <a:ext uri="{FF2B5EF4-FFF2-40B4-BE49-F238E27FC236}">
                  <a16:creationId xmlns:a16="http://schemas.microsoft.com/office/drawing/2014/main" id="{E6C78AF4-D1BC-2D83-8FC0-1BABA8605AF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1" name="Straight Connector 2640">
              <a:extLst>
                <a:ext uri="{FF2B5EF4-FFF2-40B4-BE49-F238E27FC236}">
                  <a16:creationId xmlns:a16="http://schemas.microsoft.com/office/drawing/2014/main" id="{39675C81-1F89-B688-784E-9110253254E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2" name="Straight Connector 2641">
              <a:extLst>
                <a:ext uri="{FF2B5EF4-FFF2-40B4-BE49-F238E27FC236}">
                  <a16:creationId xmlns:a16="http://schemas.microsoft.com/office/drawing/2014/main" id="{4790A0FA-52B3-A65F-7357-817D3DB93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3" name="Straight Connector 2642">
              <a:extLst>
                <a:ext uri="{FF2B5EF4-FFF2-40B4-BE49-F238E27FC236}">
                  <a16:creationId xmlns:a16="http://schemas.microsoft.com/office/drawing/2014/main" id="{DA395315-1237-A8F9-0D38-F95EBA67230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4" name="Straight Connector 2643">
              <a:extLst>
                <a:ext uri="{FF2B5EF4-FFF2-40B4-BE49-F238E27FC236}">
                  <a16:creationId xmlns:a16="http://schemas.microsoft.com/office/drawing/2014/main" id="{32B8D277-8BD1-2173-742B-597349BF35C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E7D49049-AC74-3DDA-34E8-8B22291A6C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86</xdr:row>
      <xdr:rowOff>0</xdr:rowOff>
    </xdr:from>
    <xdr:to>
      <xdr:col>16</xdr:col>
      <xdr:colOff>238169</xdr:colOff>
      <xdr:row>87</xdr:row>
      <xdr:rowOff>173231</xdr:rowOff>
    </xdr:to>
    <xdr:grpSp>
      <xdr:nvGrpSpPr>
        <xdr:cNvPr id="2645" name="Group 2644">
          <a:extLst>
            <a:ext uri="{FF2B5EF4-FFF2-40B4-BE49-F238E27FC236}">
              <a16:creationId xmlns:a16="http://schemas.microsoft.com/office/drawing/2014/main" id="{19FE8109-9902-41AD-AB1F-758F19F28CC2}"/>
            </a:ext>
          </a:extLst>
        </xdr:cNvPr>
        <xdr:cNvGrpSpPr/>
      </xdr:nvGrpSpPr>
      <xdr:grpSpPr>
        <a:xfrm>
          <a:off x="8244417" y="16097250"/>
          <a:ext cx="238169" cy="342564"/>
          <a:chOff x="6143939" y="789134"/>
          <a:chExt cx="457200" cy="518966"/>
        </a:xfrm>
      </xdr:grpSpPr>
      <xdr:grpSp>
        <xdr:nvGrpSpPr>
          <xdr:cNvPr id="2646" name="Group 2645">
            <a:extLst>
              <a:ext uri="{FF2B5EF4-FFF2-40B4-BE49-F238E27FC236}">
                <a16:creationId xmlns:a16="http://schemas.microsoft.com/office/drawing/2014/main" id="{81D5C975-C969-311F-D5AA-F0BD799AB00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58" name="Straight Connector 2657">
              <a:extLst>
                <a:ext uri="{FF2B5EF4-FFF2-40B4-BE49-F238E27FC236}">
                  <a16:creationId xmlns:a16="http://schemas.microsoft.com/office/drawing/2014/main" id="{AE4B1394-9DD6-CF0D-D6D0-92B23F74EC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59" name="Straight Connector 2658">
              <a:extLst>
                <a:ext uri="{FF2B5EF4-FFF2-40B4-BE49-F238E27FC236}">
                  <a16:creationId xmlns:a16="http://schemas.microsoft.com/office/drawing/2014/main" id="{7033CFBE-BD4C-5BF5-6BEA-F04BA28CEF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4" name="Straight Connector 2703">
              <a:extLst>
                <a:ext uri="{FF2B5EF4-FFF2-40B4-BE49-F238E27FC236}">
                  <a16:creationId xmlns:a16="http://schemas.microsoft.com/office/drawing/2014/main" id="{9D467B8B-C233-32F7-AB60-100D5E022E2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5" name="Straight Connector 2704">
              <a:extLst>
                <a:ext uri="{FF2B5EF4-FFF2-40B4-BE49-F238E27FC236}">
                  <a16:creationId xmlns:a16="http://schemas.microsoft.com/office/drawing/2014/main" id="{5BEE2630-4E08-8812-6C56-2A380D44BB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6" name="Straight Connector 2705">
              <a:extLst>
                <a:ext uri="{FF2B5EF4-FFF2-40B4-BE49-F238E27FC236}">
                  <a16:creationId xmlns:a16="http://schemas.microsoft.com/office/drawing/2014/main" id="{C821A278-1DB6-3EA1-928F-2D9AEA27CFE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7" name="Straight Connector 2706">
              <a:extLst>
                <a:ext uri="{FF2B5EF4-FFF2-40B4-BE49-F238E27FC236}">
                  <a16:creationId xmlns:a16="http://schemas.microsoft.com/office/drawing/2014/main" id="{DD6B352B-42EC-5E44-ADA0-1BA6CCCFFC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57" name="Straight Connector 2656">
            <a:extLst>
              <a:ext uri="{FF2B5EF4-FFF2-40B4-BE49-F238E27FC236}">
                <a16:creationId xmlns:a16="http://schemas.microsoft.com/office/drawing/2014/main" id="{7E5650CB-BE09-3E21-EF77-C9DE147E9CD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86</xdr:row>
      <xdr:rowOff>0</xdr:rowOff>
    </xdr:from>
    <xdr:to>
      <xdr:col>18</xdr:col>
      <xdr:colOff>238169</xdr:colOff>
      <xdr:row>87</xdr:row>
      <xdr:rowOff>173231</xdr:rowOff>
    </xdr:to>
    <xdr:grpSp>
      <xdr:nvGrpSpPr>
        <xdr:cNvPr id="2708" name="Group 2707">
          <a:extLst>
            <a:ext uri="{FF2B5EF4-FFF2-40B4-BE49-F238E27FC236}">
              <a16:creationId xmlns:a16="http://schemas.microsoft.com/office/drawing/2014/main" id="{BD4B946B-AB9F-4C51-A06D-B2A84A3DAABA}"/>
            </a:ext>
          </a:extLst>
        </xdr:cNvPr>
        <xdr:cNvGrpSpPr/>
      </xdr:nvGrpSpPr>
      <xdr:grpSpPr>
        <a:xfrm>
          <a:off x="9292167" y="16097250"/>
          <a:ext cx="238169" cy="342564"/>
          <a:chOff x="6143939" y="789134"/>
          <a:chExt cx="457200" cy="518966"/>
        </a:xfrm>
      </xdr:grpSpPr>
      <xdr:grpSp>
        <xdr:nvGrpSpPr>
          <xdr:cNvPr id="2709" name="Group 2708">
            <a:extLst>
              <a:ext uri="{FF2B5EF4-FFF2-40B4-BE49-F238E27FC236}">
                <a16:creationId xmlns:a16="http://schemas.microsoft.com/office/drawing/2014/main" id="{B29FD8D6-43AA-9273-FA0B-DDA57288521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29" name="Straight Connector 2728">
              <a:extLst>
                <a:ext uri="{FF2B5EF4-FFF2-40B4-BE49-F238E27FC236}">
                  <a16:creationId xmlns:a16="http://schemas.microsoft.com/office/drawing/2014/main" id="{D2CCC873-0E58-F49B-5A71-8BF6C9B1191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0" name="Straight Connector 2729">
              <a:extLst>
                <a:ext uri="{FF2B5EF4-FFF2-40B4-BE49-F238E27FC236}">
                  <a16:creationId xmlns:a16="http://schemas.microsoft.com/office/drawing/2014/main" id="{7BC1FD8A-FB9B-BF52-1B8E-59D5A05148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1" name="Straight Connector 2730">
              <a:extLst>
                <a:ext uri="{FF2B5EF4-FFF2-40B4-BE49-F238E27FC236}">
                  <a16:creationId xmlns:a16="http://schemas.microsoft.com/office/drawing/2014/main" id="{6FCB99DF-558E-BDF6-1F1D-32E62E56CE9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2" name="Straight Connector 2731">
              <a:extLst>
                <a:ext uri="{FF2B5EF4-FFF2-40B4-BE49-F238E27FC236}">
                  <a16:creationId xmlns:a16="http://schemas.microsoft.com/office/drawing/2014/main" id="{ADAB98B8-C9FC-7857-85EF-4202BD6A65F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3" name="Straight Connector 2732">
              <a:extLst>
                <a:ext uri="{FF2B5EF4-FFF2-40B4-BE49-F238E27FC236}">
                  <a16:creationId xmlns:a16="http://schemas.microsoft.com/office/drawing/2014/main" id="{522E2E7D-B272-4F08-0A08-8BA08CF7DB5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4" name="Straight Connector 2733">
              <a:extLst>
                <a:ext uri="{FF2B5EF4-FFF2-40B4-BE49-F238E27FC236}">
                  <a16:creationId xmlns:a16="http://schemas.microsoft.com/office/drawing/2014/main" id="{C99CD15A-736F-9655-C760-2AF9260509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10" name="Straight Connector 2709">
            <a:extLst>
              <a:ext uri="{FF2B5EF4-FFF2-40B4-BE49-F238E27FC236}">
                <a16:creationId xmlns:a16="http://schemas.microsoft.com/office/drawing/2014/main" id="{AA9D3FCE-6432-B13F-8D92-D0B04BEB2B9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86</xdr:row>
      <xdr:rowOff>0</xdr:rowOff>
    </xdr:from>
    <xdr:to>
      <xdr:col>20</xdr:col>
      <xdr:colOff>238169</xdr:colOff>
      <xdr:row>87</xdr:row>
      <xdr:rowOff>173231</xdr:rowOff>
    </xdr:to>
    <xdr:grpSp>
      <xdr:nvGrpSpPr>
        <xdr:cNvPr id="2735" name="Group 2734">
          <a:extLst>
            <a:ext uri="{FF2B5EF4-FFF2-40B4-BE49-F238E27FC236}">
              <a16:creationId xmlns:a16="http://schemas.microsoft.com/office/drawing/2014/main" id="{E3EFB97B-C381-486F-A97A-B06B3FA35A7F}"/>
            </a:ext>
          </a:extLst>
        </xdr:cNvPr>
        <xdr:cNvGrpSpPr/>
      </xdr:nvGrpSpPr>
      <xdr:grpSpPr>
        <a:xfrm>
          <a:off x="10339917" y="16097250"/>
          <a:ext cx="238169" cy="342564"/>
          <a:chOff x="6143939" y="789134"/>
          <a:chExt cx="457200" cy="518966"/>
        </a:xfrm>
      </xdr:grpSpPr>
      <xdr:grpSp>
        <xdr:nvGrpSpPr>
          <xdr:cNvPr id="2736" name="Group 2735">
            <a:extLst>
              <a:ext uri="{FF2B5EF4-FFF2-40B4-BE49-F238E27FC236}">
                <a16:creationId xmlns:a16="http://schemas.microsoft.com/office/drawing/2014/main" id="{8FE2306B-660D-EE47-B85B-F2BBF3E761A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63" name="Straight Connector 2962">
              <a:extLst>
                <a:ext uri="{FF2B5EF4-FFF2-40B4-BE49-F238E27FC236}">
                  <a16:creationId xmlns:a16="http://schemas.microsoft.com/office/drawing/2014/main" id="{65111306-C2D0-ABAF-2BEB-AA339A0670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5" name="Straight Connector 2964">
              <a:extLst>
                <a:ext uri="{FF2B5EF4-FFF2-40B4-BE49-F238E27FC236}">
                  <a16:creationId xmlns:a16="http://schemas.microsoft.com/office/drawing/2014/main" id="{67098454-E108-452A-1666-C08F93AD668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6" name="Straight Connector 2965">
              <a:extLst>
                <a:ext uri="{FF2B5EF4-FFF2-40B4-BE49-F238E27FC236}">
                  <a16:creationId xmlns:a16="http://schemas.microsoft.com/office/drawing/2014/main" id="{9C6000CB-1B5F-173A-DC26-3F9BFF2B766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7" name="Straight Connector 2966">
              <a:extLst>
                <a:ext uri="{FF2B5EF4-FFF2-40B4-BE49-F238E27FC236}">
                  <a16:creationId xmlns:a16="http://schemas.microsoft.com/office/drawing/2014/main" id="{1EE7C7C8-97E5-0551-6202-C6D75942F45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8" name="Straight Connector 2967">
              <a:extLst>
                <a:ext uri="{FF2B5EF4-FFF2-40B4-BE49-F238E27FC236}">
                  <a16:creationId xmlns:a16="http://schemas.microsoft.com/office/drawing/2014/main" id="{989CC96C-2ED3-3CCD-44A0-B880E69F6DB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9" name="Straight Connector 2968">
              <a:extLst>
                <a:ext uri="{FF2B5EF4-FFF2-40B4-BE49-F238E27FC236}">
                  <a16:creationId xmlns:a16="http://schemas.microsoft.com/office/drawing/2014/main" id="{F47B1237-B9C5-50A5-61AF-5EA34086EA1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37" name="Straight Connector 2736">
            <a:extLst>
              <a:ext uri="{FF2B5EF4-FFF2-40B4-BE49-F238E27FC236}">
                <a16:creationId xmlns:a16="http://schemas.microsoft.com/office/drawing/2014/main" id="{009ACBD0-FB63-A18A-41D2-AEAC25E79D5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86</xdr:row>
      <xdr:rowOff>0</xdr:rowOff>
    </xdr:from>
    <xdr:to>
      <xdr:col>22</xdr:col>
      <xdr:colOff>238169</xdr:colOff>
      <xdr:row>87</xdr:row>
      <xdr:rowOff>173231</xdr:rowOff>
    </xdr:to>
    <xdr:grpSp>
      <xdr:nvGrpSpPr>
        <xdr:cNvPr id="2970" name="Group 2969">
          <a:extLst>
            <a:ext uri="{FF2B5EF4-FFF2-40B4-BE49-F238E27FC236}">
              <a16:creationId xmlns:a16="http://schemas.microsoft.com/office/drawing/2014/main" id="{78703646-C607-46F0-AA7F-83B80832E672}"/>
            </a:ext>
          </a:extLst>
        </xdr:cNvPr>
        <xdr:cNvGrpSpPr/>
      </xdr:nvGrpSpPr>
      <xdr:grpSpPr>
        <a:xfrm>
          <a:off x="11387667" y="16097250"/>
          <a:ext cx="238169" cy="342564"/>
          <a:chOff x="6143939" y="789134"/>
          <a:chExt cx="457200" cy="518966"/>
        </a:xfrm>
      </xdr:grpSpPr>
      <xdr:grpSp>
        <xdr:nvGrpSpPr>
          <xdr:cNvPr id="2971" name="Group 2970">
            <a:extLst>
              <a:ext uri="{FF2B5EF4-FFF2-40B4-BE49-F238E27FC236}">
                <a16:creationId xmlns:a16="http://schemas.microsoft.com/office/drawing/2014/main" id="{C96043DB-FEBA-3C8A-CE01-B44D6285D7E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92" name="Straight Connector 2991">
              <a:extLst>
                <a:ext uri="{FF2B5EF4-FFF2-40B4-BE49-F238E27FC236}">
                  <a16:creationId xmlns:a16="http://schemas.microsoft.com/office/drawing/2014/main" id="{F86F6D3F-BFC5-37FC-02D9-27FA26409AB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3" name="Straight Connector 2992">
              <a:extLst>
                <a:ext uri="{FF2B5EF4-FFF2-40B4-BE49-F238E27FC236}">
                  <a16:creationId xmlns:a16="http://schemas.microsoft.com/office/drawing/2014/main" id="{F3ABA9B1-184E-5899-57CA-FB99FEAE9E8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4" name="Straight Connector 2993">
              <a:extLst>
                <a:ext uri="{FF2B5EF4-FFF2-40B4-BE49-F238E27FC236}">
                  <a16:creationId xmlns:a16="http://schemas.microsoft.com/office/drawing/2014/main" id="{BFD21A43-5684-6E82-A455-5131320E867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5" name="Straight Connector 2994">
              <a:extLst>
                <a:ext uri="{FF2B5EF4-FFF2-40B4-BE49-F238E27FC236}">
                  <a16:creationId xmlns:a16="http://schemas.microsoft.com/office/drawing/2014/main" id="{87E776CD-6D3E-4063-DA62-212EDA9E2F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6" name="Straight Connector 2995">
              <a:extLst>
                <a:ext uri="{FF2B5EF4-FFF2-40B4-BE49-F238E27FC236}">
                  <a16:creationId xmlns:a16="http://schemas.microsoft.com/office/drawing/2014/main" id="{742E6698-EE75-AD0B-0AD6-31DBF3F004F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7" name="Straight Connector 2996">
              <a:extLst>
                <a:ext uri="{FF2B5EF4-FFF2-40B4-BE49-F238E27FC236}">
                  <a16:creationId xmlns:a16="http://schemas.microsoft.com/office/drawing/2014/main" id="{C43DCB8B-3285-3D0D-45E6-8328F412A72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91" name="Straight Connector 2990">
            <a:extLst>
              <a:ext uri="{FF2B5EF4-FFF2-40B4-BE49-F238E27FC236}">
                <a16:creationId xmlns:a16="http://schemas.microsoft.com/office/drawing/2014/main" id="{7C36C8C1-D5EC-CB08-24E6-B90B7E33CC3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86</xdr:row>
      <xdr:rowOff>0</xdr:rowOff>
    </xdr:from>
    <xdr:to>
      <xdr:col>24</xdr:col>
      <xdr:colOff>238169</xdr:colOff>
      <xdr:row>87</xdr:row>
      <xdr:rowOff>173231</xdr:rowOff>
    </xdr:to>
    <xdr:grpSp>
      <xdr:nvGrpSpPr>
        <xdr:cNvPr id="2998" name="Group 2997">
          <a:extLst>
            <a:ext uri="{FF2B5EF4-FFF2-40B4-BE49-F238E27FC236}">
              <a16:creationId xmlns:a16="http://schemas.microsoft.com/office/drawing/2014/main" id="{57A24742-AB6E-4EE2-B55E-08271256A6D2}"/>
            </a:ext>
          </a:extLst>
        </xdr:cNvPr>
        <xdr:cNvGrpSpPr/>
      </xdr:nvGrpSpPr>
      <xdr:grpSpPr>
        <a:xfrm>
          <a:off x="12435417" y="16097250"/>
          <a:ext cx="238169" cy="342564"/>
          <a:chOff x="6143939" y="789134"/>
          <a:chExt cx="457200" cy="518966"/>
        </a:xfrm>
      </xdr:grpSpPr>
      <xdr:grpSp>
        <xdr:nvGrpSpPr>
          <xdr:cNvPr id="2999" name="Group 2998">
            <a:extLst>
              <a:ext uri="{FF2B5EF4-FFF2-40B4-BE49-F238E27FC236}">
                <a16:creationId xmlns:a16="http://schemas.microsoft.com/office/drawing/2014/main" id="{FEFF8192-4E7B-0248-89B8-9C48C9F645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001" name="Straight Connector 3000">
              <a:extLst>
                <a:ext uri="{FF2B5EF4-FFF2-40B4-BE49-F238E27FC236}">
                  <a16:creationId xmlns:a16="http://schemas.microsoft.com/office/drawing/2014/main" id="{4C3C0F48-A631-66BA-209B-E7766EEABBB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2" name="Straight Connector 3001">
              <a:extLst>
                <a:ext uri="{FF2B5EF4-FFF2-40B4-BE49-F238E27FC236}">
                  <a16:creationId xmlns:a16="http://schemas.microsoft.com/office/drawing/2014/main" id="{C5FF9FC7-6621-EE1A-F2D4-0183FCF1100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0" name="Straight Connector 3019">
              <a:extLst>
                <a:ext uri="{FF2B5EF4-FFF2-40B4-BE49-F238E27FC236}">
                  <a16:creationId xmlns:a16="http://schemas.microsoft.com/office/drawing/2014/main" id="{5AC2ED9B-4CC7-9D44-0C2B-B2941F77F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1" name="Straight Connector 3020">
              <a:extLst>
                <a:ext uri="{FF2B5EF4-FFF2-40B4-BE49-F238E27FC236}">
                  <a16:creationId xmlns:a16="http://schemas.microsoft.com/office/drawing/2014/main" id="{22EE1E86-27F9-1A5E-5117-73A75DC8722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2" name="Straight Connector 3021">
              <a:extLst>
                <a:ext uri="{FF2B5EF4-FFF2-40B4-BE49-F238E27FC236}">
                  <a16:creationId xmlns:a16="http://schemas.microsoft.com/office/drawing/2014/main" id="{6CA98456-B62F-7B35-E7C7-AF8DB6F502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3" name="Straight Connector 3022">
              <a:extLst>
                <a:ext uri="{FF2B5EF4-FFF2-40B4-BE49-F238E27FC236}">
                  <a16:creationId xmlns:a16="http://schemas.microsoft.com/office/drawing/2014/main" id="{D5495C97-E3FF-55B7-D9BC-2E3B13AD67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000" name="Straight Connector 2999">
            <a:extLst>
              <a:ext uri="{FF2B5EF4-FFF2-40B4-BE49-F238E27FC236}">
                <a16:creationId xmlns:a16="http://schemas.microsoft.com/office/drawing/2014/main" id="{5A922F35-FE11-6CE0-D6C1-F24E483E165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86</xdr:row>
      <xdr:rowOff>0</xdr:rowOff>
    </xdr:from>
    <xdr:to>
      <xdr:col>26</xdr:col>
      <xdr:colOff>238169</xdr:colOff>
      <xdr:row>87</xdr:row>
      <xdr:rowOff>173231</xdr:rowOff>
    </xdr:to>
    <xdr:grpSp>
      <xdr:nvGrpSpPr>
        <xdr:cNvPr id="3024" name="Group 3023">
          <a:extLst>
            <a:ext uri="{FF2B5EF4-FFF2-40B4-BE49-F238E27FC236}">
              <a16:creationId xmlns:a16="http://schemas.microsoft.com/office/drawing/2014/main" id="{BFBD76C7-C36A-4BE1-AEFB-08C94BC60C20}"/>
            </a:ext>
          </a:extLst>
        </xdr:cNvPr>
        <xdr:cNvGrpSpPr/>
      </xdr:nvGrpSpPr>
      <xdr:grpSpPr>
        <a:xfrm>
          <a:off x="13483167" y="16097250"/>
          <a:ext cx="238169" cy="342564"/>
          <a:chOff x="6143939" y="789134"/>
          <a:chExt cx="457200" cy="518966"/>
        </a:xfrm>
      </xdr:grpSpPr>
      <xdr:grpSp>
        <xdr:nvGrpSpPr>
          <xdr:cNvPr id="3146" name="Group 3145">
            <a:extLst>
              <a:ext uri="{FF2B5EF4-FFF2-40B4-BE49-F238E27FC236}">
                <a16:creationId xmlns:a16="http://schemas.microsoft.com/office/drawing/2014/main" id="{A8715C3B-62C8-D344-9D76-97BE59C5D30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153" name="Straight Connector 3152">
              <a:extLst>
                <a:ext uri="{FF2B5EF4-FFF2-40B4-BE49-F238E27FC236}">
                  <a16:creationId xmlns:a16="http://schemas.microsoft.com/office/drawing/2014/main" id="{AE9700CB-7594-9957-A75D-E6173177692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4" name="Straight Connector 3153">
              <a:extLst>
                <a:ext uri="{FF2B5EF4-FFF2-40B4-BE49-F238E27FC236}">
                  <a16:creationId xmlns:a16="http://schemas.microsoft.com/office/drawing/2014/main" id="{1D2B9096-139C-3CA3-089B-CFC6111FA61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5" name="Straight Connector 3154">
              <a:extLst>
                <a:ext uri="{FF2B5EF4-FFF2-40B4-BE49-F238E27FC236}">
                  <a16:creationId xmlns:a16="http://schemas.microsoft.com/office/drawing/2014/main" id="{52888542-D437-8A15-D97E-0A616BD3807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6" name="Straight Connector 3155">
              <a:extLst>
                <a:ext uri="{FF2B5EF4-FFF2-40B4-BE49-F238E27FC236}">
                  <a16:creationId xmlns:a16="http://schemas.microsoft.com/office/drawing/2014/main" id="{6B9C4517-6F7B-7A6F-F671-F5437AFDC12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7" name="Straight Connector 3156">
              <a:extLst>
                <a:ext uri="{FF2B5EF4-FFF2-40B4-BE49-F238E27FC236}">
                  <a16:creationId xmlns:a16="http://schemas.microsoft.com/office/drawing/2014/main" id="{027F2456-6F6D-F75F-7BDC-28590C9CE8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8" name="Straight Connector 3157">
              <a:extLst>
                <a:ext uri="{FF2B5EF4-FFF2-40B4-BE49-F238E27FC236}">
                  <a16:creationId xmlns:a16="http://schemas.microsoft.com/office/drawing/2014/main" id="{540A2EA1-72F7-EF0E-A000-DAF0E9E7190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52" name="Straight Connector 3151">
            <a:extLst>
              <a:ext uri="{FF2B5EF4-FFF2-40B4-BE49-F238E27FC236}">
                <a16:creationId xmlns:a16="http://schemas.microsoft.com/office/drawing/2014/main" id="{57B19387-EDD0-B32F-C870-C4C62CB8E3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86</xdr:row>
      <xdr:rowOff>0</xdr:rowOff>
    </xdr:from>
    <xdr:to>
      <xdr:col>28</xdr:col>
      <xdr:colOff>238169</xdr:colOff>
      <xdr:row>87</xdr:row>
      <xdr:rowOff>173231</xdr:rowOff>
    </xdr:to>
    <xdr:grpSp>
      <xdr:nvGrpSpPr>
        <xdr:cNvPr id="3503" name="Group 3502">
          <a:extLst>
            <a:ext uri="{FF2B5EF4-FFF2-40B4-BE49-F238E27FC236}">
              <a16:creationId xmlns:a16="http://schemas.microsoft.com/office/drawing/2014/main" id="{1D22D655-BEAF-4CE9-B656-6080F934E3F1}"/>
            </a:ext>
          </a:extLst>
        </xdr:cNvPr>
        <xdr:cNvGrpSpPr/>
      </xdr:nvGrpSpPr>
      <xdr:grpSpPr>
        <a:xfrm>
          <a:off x="14530917" y="16097250"/>
          <a:ext cx="238169" cy="342564"/>
          <a:chOff x="6143939" y="789134"/>
          <a:chExt cx="457200" cy="518966"/>
        </a:xfrm>
      </xdr:grpSpPr>
      <xdr:grpSp>
        <xdr:nvGrpSpPr>
          <xdr:cNvPr id="3504" name="Group 3503">
            <a:extLst>
              <a:ext uri="{FF2B5EF4-FFF2-40B4-BE49-F238E27FC236}">
                <a16:creationId xmlns:a16="http://schemas.microsoft.com/office/drawing/2014/main" id="{2C0906A8-E439-A3F5-A8A5-29E5E6CEB3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06" name="Straight Connector 3505">
              <a:extLst>
                <a:ext uri="{FF2B5EF4-FFF2-40B4-BE49-F238E27FC236}">
                  <a16:creationId xmlns:a16="http://schemas.microsoft.com/office/drawing/2014/main" id="{2C2A745C-FE62-9250-EB8E-055B384C12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7" name="Straight Connector 3506">
              <a:extLst>
                <a:ext uri="{FF2B5EF4-FFF2-40B4-BE49-F238E27FC236}">
                  <a16:creationId xmlns:a16="http://schemas.microsoft.com/office/drawing/2014/main" id="{2BA06E63-60EF-A5D5-371B-0E23105F57B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8" name="Straight Connector 3507">
              <a:extLst>
                <a:ext uri="{FF2B5EF4-FFF2-40B4-BE49-F238E27FC236}">
                  <a16:creationId xmlns:a16="http://schemas.microsoft.com/office/drawing/2014/main" id="{9C042372-2D01-9788-3ED2-446ADC96DCF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9" name="Straight Connector 3508">
              <a:extLst>
                <a:ext uri="{FF2B5EF4-FFF2-40B4-BE49-F238E27FC236}">
                  <a16:creationId xmlns:a16="http://schemas.microsoft.com/office/drawing/2014/main" id="{71D00007-6821-207C-E5C2-B692FC58FAE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0" name="Straight Connector 3509">
              <a:extLst>
                <a:ext uri="{FF2B5EF4-FFF2-40B4-BE49-F238E27FC236}">
                  <a16:creationId xmlns:a16="http://schemas.microsoft.com/office/drawing/2014/main" id="{C5E81A14-BE5F-2441-5DE5-3E64EC04E3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1" name="Straight Connector 3510">
              <a:extLst>
                <a:ext uri="{FF2B5EF4-FFF2-40B4-BE49-F238E27FC236}">
                  <a16:creationId xmlns:a16="http://schemas.microsoft.com/office/drawing/2014/main" id="{67CB9F5A-0711-1F56-53BC-DFBC29F7A5B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05" name="Straight Connector 3504">
            <a:extLst>
              <a:ext uri="{FF2B5EF4-FFF2-40B4-BE49-F238E27FC236}">
                <a16:creationId xmlns:a16="http://schemas.microsoft.com/office/drawing/2014/main" id="{FA4E7074-AC17-BCEF-805A-DA9B2D81EB7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86</xdr:row>
      <xdr:rowOff>0</xdr:rowOff>
    </xdr:from>
    <xdr:to>
      <xdr:col>30</xdr:col>
      <xdr:colOff>238169</xdr:colOff>
      <xdr:row>87</xdr:row>
      <xdr:rowOff>173231</xdr:rowOff>
    </xdr:to>
    <xdr:grpSp>
      <xdr:nvGrpSpPr>
        <xdr:cNvPr id="3512" name="Group 3511">
          <a:extLst>
            <a:ext uri="{FF2B5EF4-FFF2-40B4-BE49-F238E27FC236}">
              <a16:creationId xmlns:a16="http://schemas.microsoft.com/office/drawing/2014/main" id="{8CD554F2-6A16-4E60-AD95-EE5DF434F50D}"/>
            </a:ext>
          </a:extLst>
        </xdr:cNvPr>
        <xdr:cNvGrpSpPr/>
      </xdr:nvGrpSpPr>
      <xdr:grpSpPr>
        <a:xfrm>
          <a:off x="15578667" y="16097250"/>
          <a:ext cx="238169" cy="342564"/>
          <a:chOff x="6143939" y="789134"/>
          <a:chExt cx="457200" cy="518966"/>
        </a:xfrm>
      </xdr:grpSpPr>
      <xdr:grpSp>
        <xdr:nvGrpSpPr>
          <xdr:cNvPr id="3513" name="Group 3512">
            <a:extLst>
              <a:ext uri="{FF2B5EF4-FFF2-40B4-BE49-F238E27FC236}">
                <a16:creationId xmlns:a16="http://schemas.microsoft.com/office/drawing/2014/main" id="{40CABD58-62CC-8922-1B91-F2642EA9C5A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15" name="Straight Connector 3514">
              <a:extLst>
                <a:ext uri="{FF2B5EF4-FFF2-40B4-BE49-F238E27FC236}">
                  <a16:creationId xmlns:a16="http://schemas.microsoft.com/office/drawing/2014/main" id="{42F3ABF8-55A5-42D4-4A20-97FA0CCEED2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6" name="Straight Connector 3515">
              <a:extLst>
                <a:ext uri="{FF2B5EF4-FFF2-40B4-BE49-F238E27FC236}">
                  <a16:creationId xmlns:a16="http://schemas.microsoft.com/office/drawing/2014/main" id="{559ACB6F-93C0-8A2A-77E6-CF692F32705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7" name="Straight Connector 3516">
              <a:extLst>
                <a:ext uri="{FF2B5EF4-FFF2-40B4-BE49-F238E27FC236}">
                  <a16:creationId xmlns:a16="http://schemas.microsoft.com/office/drawing/2014/main" id="{E5FA946A-B43F-3580-9294-9C8D014F3AC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8" name="Straight Connector 3517">
              <a:extLst>
                <a:ext uri="{FF2B5EF4-FFF2-40B4-BE49-F238E27FC236}">
                  <a16:creationId xmlns:a16="http://schemas.microsoft.com/office/drawing/2014/main" id="{55ABF53D-B1ED-715E-CB7F-96343EB567A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9" name="Straight Connector 3518">
              <a:extLst>
                <a:ext uri="{FF2B5EF4-FFF2-40B4-BE49-F238E27FC236}">
                  <a16:creationId xmlns:a16="http://schemas.microsoft.com/office/drawing/2014/main" id="{A4EC576F-3C43-1A99-1315-265E2BE4B93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4" name="Straight Connector 3583">
              <a:extLst>
                <a:ext uri="{FF2B5EF4-FFF2-40B4-BE49-F238E27FC236}">
                  <a16:creationId xmlns:a16="http://schemas.microsoft.com/office/drawing/2014/main" id="{A72E0017-3D9E-C295-0B85-C9478D035BD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14" name="Straight Connector 3513">
            <a:extLst>
              <a:ext uri="{FF2B5EF4-FFF2-40B4-BE49-F238E27FC236}">
                <a16:creationId xmlns:a16="http://schemas.microsoft.com/office/drawing/2014/main" id="{BC7C3C5B-A119-5151-1BEC-B6D4663D930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108</xdr:row>
      <xdr:rowOff>0</xdr:rowOff>
    </xdr:from>
    <xdr:to>
      <xdr:col>18</xdr:col>
      <xdr:colOff>238169</xdr:colOff>
      <xdr:row>110</xdr:row>
      <xdr:rowOff>50</xdr:rowOff>
    </xdr:to>
    <xdr:grpSp>
      <xdr:nvGrpSpPr>
        <xdr:cNvPr id="3585" name="Group 3584">
          <a:extLst>
            <a:ext uri="{FF2B5EF4-FFF2-40B4-BE49-F238E27FC236}">
              <a16:creationId xmlns:a16="http://schemas.microsoft.com/office/drawing/2014/main" id="{079CE9B7-FC51-4F92-A0F0-4B2187089487}"/>
            </a:ext>
          </a:extLst>
        </xdr:cNvPr>
        <xdr:cNvGrpSpPr/>
      </xdr:nvGrpSpPr>
      <xdr:grpSpPr>
        <a:xfrm>
          <a:off x="9292167" y="19886083"/>
          <a:ext cx="238169" cy="349300"/>
          <a:chOff x="6143939" y="789134"/>
          <a:chExt cx="457200" cy="518966"/>
        </a:xfrm>
      </xdr:grpSpPr>
      <xdr:grpSp>
        <xdr:nvGrpSpPr>
          <xdr:cNvPr id="3586" name="Group 3585">
            <a:extLst>
              <a:ext uri="{FF2B5EF4-FFF2-40B4-BE49-F238E27FC236}">
                <a16:creationId xmlns:a16="http://schemas.microsoft.com/office/drawing/2014/main" id="{7BC99F11-EEA8-BF22-14BB-DD5FB92C5A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88" name="Straight Connector 3587">
              <a:extLst>
                <a:ext uri="{FF2B5EF4-FFF2-40B4-BE49-F238E27FC236}">
                  <a16:creationId xmlns:a16="http://schemas.microsoft.com/office/drawing/2014/main" id="{6497A0D3-7F14-E7C5-2091-A1BEC3858A9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9" name="Straight Connector 3588">
              <a:extLst>
                <a:ext uri="{FF2B5EF4-FFF2-40B4-BE49-F238E27FC236}">
                  <a16:creationId xmlns:a16="http://schemas.microsoft.com/office/drawing/2014/main" id="{CBFD0677-73CA-A9FB-5941-1DB880731DC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0" name="Straight Connector 3589">
              <a:extLst>
                <a:ext uri="{FF2B5EF4-FFF2-40B4-BE49-F238E27FC236}">
                  <a16:creationId xmlns:a16="http://schemas.microsoft.com/office/drawing/2014/main" id="{635F70F5-FD59-A11D-0E2D-2C97E1670D5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1" name="Straight Connector 3590">
              <a:extLst>
                <a:ext uri="{FF2B5EF4-FFF2-40B4-BE49-F238E27FC236}">
                  <a16:creationId xmlns:a16="http://schemas.microsoft.com/office/drawing/2014/main" id="{B3967CF1-644C-9EB7-C7E8-29AE4137D57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2" name="Straight Connector 3591">
              <a:extLst>
                <a:ext uri="{FF2B5EF4-FFF2-40B4-BE49-F238E27FC236}">
                  <a16:creationId xmlns:a16="http://schemas.microsoft.com/office/drawing/2014/main" id="{2A973F47-1691-0BD2-D367-347DD210473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3" name="Straight Connector 3592">
              <a:extLst>
                <a:ext uri="{FF2B5EF4-FFF2-40B4-BE49-F238E27FC236}">
                  <a16:creationId xmlns:a16="http://schemas.microsoft.com/office/drawing/2014/main" id="{2784875B-F582-24F9-61E7-970763D83FE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87" name="Straight Connector 3586">
            <a:extLst>
              <a:ext uri="{FF2B5EF4-FFF2-40B4-BE49-F238E27FC236}">
                <a16:creationId xmlns:a16="http://schemas.microsoft.com/office/drawing/2014/main" id="{5F8259E1-D0B2-91AA-0A56-F6B14396BA4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130</xdr:row>
      <xdr:rowOff>0</xdr:rowOff>
    </xdr:from>
    <xdr:to>
      <xdr:col>30</xdr:col>
      <xdr:colOff>238169</xdr:colOff>
      <xdr:row>132</xdr:row>
      <xdr:rowOff>50</xdr:rowOff>
    </xdr:to>
    <xdr:grpSp>
      <xdr:nvGrpSpPr>
        <xdr:cNvPr id="3594" name="Group 3593">
          <a:extLst>
            <a:ext uri="{FF2B5EF4-FFF2-40B4-BE49-F238E27FC236}">
              <a16:creationId xmlns:a16="http://schemas.microsoft.com/office/drawing/2014/main" id="{9AA3E68F-0103-44DB-9C8A-EBBA2C95EC66}"/>
            </a:ext>
          </a:extLst>
        </xdr:cNvPr>
        <xdr:cNvGrpSpPr/>
      </xdr:nvGrpSpPr>
      <xdr:grpSpPr>
        <a:xfrm>
          <a:off x="15578667" y="23653750"/>
          <a:ext cx="238169" cy="349300"/>
          <a:chOff x="6143939" y="789134"/>
          <a:chExt cx="457200" cy="518966"/>
        </a:xfrm>
      </xdr:grpSpPr>
      <xdr:grpSp>
        <xdr:nvGrpSpPr>
          <xdr:cNvPr id="3595" name="Group 3594">
            <a:extLst>
              <a:ext uri="{FF2B5EF4-FFF2-40B4-BE49-F238E27FC236}">
                <a16:creationId xmlns:a16="http://schemas.microsoft.com/office/drawing/2014/main" id="{41DDF4B1-A12F-91C4-A794-AA27DA434B5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97" name="Straight Connector 3596">
              <a:extLst>
                <a:ext uri="{FF2B5EF4-FFF2-40B4-BE49-F238E27FC236}">
                  <a16:creationId xmlns:a16="http://schemas.microsoft.com/office/drawing/2014/main" id="{5745EA9D-71A7-1F62-135C-469A011E793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8" name="Straight Connector 3597">
              <a:extLst>
                <a:ext uri="{FF2B5EF4-FFF2-40B4-BE49-F238E27FC236}">
                  <a16:creationId xmlns:a16="http://schemas.microsoft.com/office/drawing/2014/main" id="{EC76932A-C385-1541-5724-88AC4C069CC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9" name="Straight Connector 3598">
              <a:extLst>
                <a:ext uri="{FF2B5EF4-FFF2-40B4-BE49-F238E27FC236}">
                  <a16:creationId xmlns:a16="http://schemas.microsoft.com/office/drawing/2014/main" id="{8749C27C-6EE8-6561-20A0-6F83FDA0493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0" name="Straight Connector 3599">
              <a:extLst>
                <a:ext uri="{FF2B5EF4-FFF2-40B4-BE49-F238E27FC236}">
                  <a16:creationId xmlns:a16="http://schemas.microsoft.com/office/drawing/2014/main" id="{C48259BA-7E1A-EA6B-A869-0DA6F8714EC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1" name="Straight Connector 3600">
              <a:extLst>
                <a:ext uri="{FF2B5EF4-FFF2-40B4-BE49-F238E27FC236}">
                  <a16:creationId xmlns:a16="http://schemas.microsoft.com/office/drawing/2014/main" id="{4F50B38D-4595-5E9D-E70E-6C837772D38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2" name="Straight Connector 3601">
              <a:extLst>
                <a:ext uri="{FF2B5EF4-FFF2-40B4-BE49-F238E27FC236}">
                  <a16:creationId xmlns:a16="http://schemas.microsoft.com/office/drawing/2014/main" id="{92596157-8503-01BE-AFA7-B1AF7C984D0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96" name="Straight Connector 3595">
            <a:extLst>
              <a:ext uri="{FF2B5EF4-FFF2-40B4-BE49-F238E27FC236}">
                <a16:creationId xmlns:a16="http://schemas.microsoft.com/office/drawing/2014/main" id="{5F963E8B-FF17-F3BF-9968-7886872470A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143</xdr:row>
      <xdr:rowOff>0</xdr:rowOff>
    </xdr:from>
    <xdr:to>
      <xdr:col>2</xdr:col>
      <xdr:colOff>238169</xdr:colOff>
      <xdr:row>145</xdr:row>
      <xdr:rowOff>49</xdr:rowOff>
    </xdr:to>
    <xdr:grpSp>
      <xdr:nvGrpSpPr>
        <xdr:cNvPr id="3603" name="Group 3602">
          <a:extLst>
            <a:ext uri="{FF2B5EF4-FFF2-40B4-BE49-F238E27FC236}">
              <a16:creationId xmlns:a16="http://schemas.microsoft.com/office/drawing/2014/main" id="{4737D03C-B7FB-42E8-9B19-231A4E7619C0}"/>
            </a:ext>
          </a:extLst>
        </xdr:cNvPr>
        <xdr:cNvGrpSpPr/>
      </xdr:nvGrpSpPr>
      <xdr:grpSpPr>
        <a:xfrm>
          <a:off x="910167" y="25876250"/>
          <a:ext cx="238169" cy="349299"/>
          <a:chOff x="6143939" y="789134"/>
          <a:chExt cx="457200" cy="518966"/>
        </a:xfrm>
      </xdr:grpSpPr>
      <xdr:grpSp>
        <xdr:nvGrpSpPr>
          <xdr:cNvPr id="3604" name="Group 3603">
            <a:extLst>
              <a:ext uri="{FF2B5EF4-FFF2-40B4-BE49-F238E27FC236}">
                <a16:creationId xmlns:a16="http://schemas.microsoft.com/office/drawing/2014/main" id="{E0164791-FDD9-916B-65F2-A0E33D9E047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06" name="Straight Connector 3605">
              <a:extLst>
                <a:ext uri="{FF2B5EF4-FFF2-40B4-BE49-F238E27FC236}">
                  <a16:creationId xmlns:a16="http://schemas.microsoft.com/office/drawing/2014/main" id="{06E4A974-47D0-9535-CD2F-B536CA11B63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7" name="Straight Connector 3606">
              <a:extLst>
                <a:ext uri="{FF2B5EF4-FFF2-40B4-BE49-F238E27FC236}">
                  <a16:creationId xmlns:a16="http://schemas.microsoft.com/office/drawing/2014/main" id="{1699CC01-C0A8-0B15-9DB9-D08F0778DF4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8" name="Straight Connector 3607">
              <a:extLst>
                <a:ext uri="{FF2B5EF4-FFF2-40B4-BE49-F238E27FC236}">
                  <a16:creationId xmlns:a16="http://schemas.microsoft.com/office/drawing/2014/main" id="{4A92792C-2E0F-6263-988D-0CA50CAB275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9" name="Straight Connector 3608">
              <a:extLst>
                <a:ext uri="{FF2B5EF4-FFF2-40B4-BE49-F238E27FC236}">
                  <a16:creationId xmlns:a16="http://schemas.microsoft.com/office/drawing/2014/main" id="{F19E0907-6A6B-15C9-FB0B-39DD0E1687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0" name="Straight Connector 3609">
              <a:extLst>
                <a:ext uri="{FF2B5EF4-FFF2-40B4-BE49-F238E27FC236}">
                  <a16:creationId xmlns:a16="http://schemas.microsoft.com/office/drawing/2014/main" id="{4CBD2D91-D834-8405-9FA7-76393FDE0B8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1" name="Straight Connector 3610">
              <a:extLst>
                <a:ext uri="{FF2B5EF4-FFF2-40B4-BE49-F238E27FC236}">
                  <a16:creationId xmlns:a16="http://schemas.microsoft.com/office/drawing/2014/main" id="{71BB1C92-7DF5-7E4E-4918-FE24D89D10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05" name="Straight Connector 3604">
            <a:extLst>
              <a:ext uri="{FF2B5EF4-FFF2-40B4-BE49-F238E27FC236}">
                <a16:creationId xmlns:a16="http://schemas.microsoft.com/office/drawing/2014/main" id="{0D0FB49E-445E-66E9-3765-89CC5200708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143</xdr:row>
      <xdr:rowOff>0</xdr:rowOff>
    </xdr:from>
    <xdr:to>
      <xdr:col>4</xdr:col>
      <xdr:colOff>238169</xdr:colOff>
      <xdr:row>145</xdr:row>
      <xdr:rowOff>49</xdr:rowOff>
    </xdr:to>
    <xdr:grpSp>
      <xdr:nvGrpSpPr>
        <xdr:cNvPr id="3612" name="Group 3611">
          <a:extLst>
            <a:ext uri="{FF2B5EF4-FFF2-40B4-BE49-F238E27FC236}">
              <a16:creationId xmlns:a16="http://schemas.microsoft.com/office/drawing/2014/main" id="{D94C8ACD-C07E-4B4B-96CD-F9C431B71150}"/>
            </a:ext>
          </a:extLst>
        </xdr:cNvPr>
        <xdr:cNvGrpSpPr/>
      </xdr:nvGrpSpPr>
      <xdr:grpSpPr>
        <a:xfrm>
          <a:off x="1957917" y="25876250"/>
          <a:ext cx="238169" cy="349299"/>
          <a:chOff x="6143939" y="789134"/>
          <a:chExt cx="457200" cy="518966"/>
        </a:xfrm>
      </xdr:grpSpPr>
      <xdr:grpSp>
        <xdr:nvGrpSpPr>
          <xdr:cNvPr id="3613" name="Group 3612">
            <a:extLst>
              <a:ext uri="{FF2B5EF4-FFF2-40B4-BE49-F238E27FC236}">
                <a16:creationId xmlns:a16="http://schemas.microsoft.com/office/drawing/2014/main" id="{A459F0B2-7897-9958-2BFC-9E87BEFD3BE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15" name="Straight Connector 3614">
              <a:extLst>
                <a:ext uri="{FF2B5EF4-FFF2-40B4-BE49-F238E27FC236}">
                  <a16:creationId xmlns:a16="http://schemas.microsoft.com/office/drawing/2014/main" id="{AE0A9686-E2EA-F6B8-9FFF-693A9835576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6" name="Straight Connector 3615">
              <a:extLst>
                <a:ext uri="{FF2B5EF4-FFF2-40B4-BE49-F238E27FC236}">
                  <a16:creationId xmlns:a16="http://schemas.microsoft.com/office/drawing/2014/main" id="{148586FE-3DE6-9BF6-39EC-712F032FF86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7" name="Straight Connector 3616">
              <a:extLst>
                <a:ext uri="{FF2B5EF4-FFF2-40B4-BE49-F238E27FC236}">
                  <a16:creationId xmlns:a16="http://schemas.microsoft.com/office/drawing/2014/main" id="{4C5D8B13-31B7-8E70-4E3E-1FA33FF8274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8" name="Straight Connector 3617">
              <a:extLst>
                <a:ext uri="{FF2B5EF4-FFF2-40B4-BE49-F238E27FC236}">
                  <a16:creationId xmlns:a16="http://schemas.microsoft.com/office/drawing/2014/main" id="{1B31F6A3-1881-794E-330A-11844CDA22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9" name="Straight Connector 3618">
              <a:extLst>
                <a:ext uri="{FF2B5EF4-FFF2-40B4-BE49-F238E27FC236}">
                  <a16:creationId xmlns:a16="http://schemas.microsoft.com/office/drawing/2014/main" id="{005CCF91-64CF-89C6-BECE-EE586EA1876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0" name="Straight Connector 3619">
              <a:extLst>
                <a:ext uri="{FF2B5EF4-FFF2-40B4-BE49-F238E27FC236}">
                  <a16:creationId xmlns:a16="http://schemas.microsoft.com/office/drawing/2014/main" id="{C6D275EC-ADB6-9EC8-892C-23E6A449E40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14" name="Straight Connector 3613">
            <a:extLst>
              <a:ext uri="{FF2B5EF4-FFF2-40B4-BE49-F238E27FC236}">
                <a16:creationId xmlns:a16="http://schemas.microsoft.com/office/drawing/2014/main" id="{CE5254F5-987B-E0CD-2886-7DD6A698E8D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143</xdr:row>
      <xdr:rowOff>0</xdr:rowOff>
    </xdr:from>
    <xdr:to>
      <xdr:col>6</xdr:col>
      <xdr:colOff>238169</xdr:colOff>
      <xdr:row>145</xdr:row>
      <xdr:rowOff>49</xdr:rowOff>
    </xdr:to>
    <xdr:grpSp>
      <xdr:nvGrpSpPr>
        <xdr:cNvPr id="3621" name="Group 3620">
          <a:extLst>
            <a:ext uri="{FF2B5EF4-FFF2-40B4-BE49-F238E27FC236}">
              <a16:creationId xmlns:a16="http://schemas.microsoft.com/office/drawing/2014/main" id="{72F658E7-CC56-421F-98FB-0DDA9A541404}"/>
            </a:ext>
          </a:extLst>
        </xdr:cNvPr>
        <xdr:cNvGrpSpPr/>
      </xdr:nvGrpSpPr>
      <xdr:grpSpPr>
        <a:xfrm>
          <a:off x="3005667" y="25876250"/>
          <a:ext cx="238169" cy="349299"/>
          <a:chOff x="6143939" y="789134"/>
          <a:chExt cx="457200" cy="518966"/>
        </a:xfrm>
      </xdr:grpSpPr>
      <xdr:grpSp>
        <xdr:nvGrpSpPr>
          <xdr:cNvPr id="3622" name="Group 3621">
            <a:extLst>
              <a:ext uri="{FF2B5EF4-FFF2-40B4-BE49-F238E27FC236}">
                <a16:creationId xmlns:a16="http://schemas.microsoft.com/office/drawing/2014/main" id="{3558DDC0-7DD6-84F1-2529-192B643E478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24" name="Straight Connector 3623">
              <a:extLst>
                <a:ext uri="{FF2B5EF4-FFF2-40B4-BE49-F238E27FC236}">
                  <a16:creationId xmlns:a16="http://schemas.microsoft.com/office/drawing/2014/main" id="{B0F67A69-8BD7-3A09-D7CA-777DA767AD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5" name="Straight Connector 3624">
              <a:extLst>
                <a:ext uri="{FF2B5EF4-FFF2-40B4-BE49-F238E27FC236}">
                  <a16:creationId xmlns:a16="http://schemas.microsoft.com/office/drawing/2014/main" id="{799D26BB-D495-F30A-DF23-269460F17DC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6" name="Straight Connector 3625">
              <a:extLst>
                <a:ext uri="{FF2B5EF4-FFF2-40B4-BE49-F238E27FC236}">
                  <a16:creationId xmlns:a16="http://schemas.microsoft.com/office/drawing/2014/main" id="{91EC7434-1BA5-2FB3-850E-D0305F706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7" name="Straight Connector 3626">
              <a:extLst>
                <a:ext uri="{FF2B5EF4-FFF2-40B4-BE49-F238E27FC236}">
                  <a16:creationId xmlns:a16="http://schemas.microsoft.com/office/drawing/2014/main" id="{947931BF-E17B-8E0E-12BF-C931E155BF8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8" name="Straight Connector 3627">
              <a:extLst>
                <a:ext uri="{FF2B5EF4-FFF2-40B4-BE49-F238E27FC236}">
                  <a16:creationId xmlns:a16="http://schemas.microsoft.com/office/drawing/2014/main" id="{1BA0A8B4-ECE7-C0E7-1CA9-2EF5848B68F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9" name="Straight Connector 3628">
              <a:extLst>
                <a:ext uri="{FF2B5EF4-FFF2-40B4-BE49-F238E27FC236}">
                  <a16:creationId xmlns:a16="http://schemas.microsoft.com/office/drawing/2014/main" id="{37B70606-5E78-003C-B997-09165B7A27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23" name="Straight Connector 3622">
            <a:extLst>
              <a:ext uri="{FF2B5EF4-FFF2-40B4-BE49-F238E27FC236}">
                <a16:creationId xmlns:a16="http://schemas.microsoft.com/office/drawing/2014/main" id="{0AF385E4-3730-2242-A229-65BD3A4964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230</xdr:row>
      <xdr:rowOff>0</xdr:rowOff>
    </xdr:from>
    <xdr:to>
      <xdr:col>20</xdr:col>
      <xdr:colOff>238169</xdr:colOff>
      <xdr:row>232</xdr:row>
      <xdr:rowOff>49</xdr:rowOff>
    </xdr:to>
    <xdr:grpSp>
      <xdr:nvGrpSpPr>
        <xdr:cNvPr id="3630" name="Group 3629">
          <a:extLst>
            <a:ext uri="{FF2B5EF4-FFF2-40B4-BE49-F238E27FC236}">
              <a16:creationId xmlns:a16="http://schemas.microsoft.com/office/drawing/2014/main" id="{AB9480AC-A498-49B0-A538-CBF726900417}"/>
            </a:ext>
          </a:extLst>
        </xdr:cNvPr>
        <xdr:cNvGrpSpPr/>
      </xdr:nvGrpSpPr>
      <xdr:grpSpPr>
        <a:xfrm>
          <a:off x="10339917" y="40618833"/>
          <a:ext cx="238169" cy="338716"/>
          <a:chOff x="6143939" y="789134"/>
          <a:chExt cx="457200" cy="518966"/>
        </a:xfrm>
      </xdr:grpSpPr>
      <xdr:grpSp>
        <xdr:nvGrpSpPr>
          <xdr:cNvPr id="3631" name="Group 3630">
            <a:extLst>
              <a:ext uri="{FF2B5EF4-FFF2-40B4-BE49-F238E27FC236}">
                <a16:creationId xmlns:a16="http://schemas.microsoft.com/office/drawing/2014/main" id="{2D4DAAA0-BDD5-1E9F-3198-ACCC12F5B21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33" name="Straight Connector 3632">
              <a:extLst>
                <a:ext uri="{FF2B5EF4-FFF2-40B4-BE49-F238E27FC236}">
                  <a16:creationId xmlns:a16="http://schemas.microsoft.com/office/drawing/2014/main" id="{1EF0EC3F-CE43-3C44-8B89-94203B2F017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4" name="Straight Connector 3633">
              <a:extLst>
                <a:ext uri="{FF2B5EF4-FFF2-40B4-BE49-F238E27FC236}">
                  <a16:creationId xmlns:a16="http://schemas.microsoft.com/office/drawing/2014/main" id="{003C7F8B-44BD-A0FC-5CA6-70D16C019E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5" name="Straight Connector 3634">
              <a:extLst>
                <a:ext uri="{FF2B5EF4-FFF2-40B4-BE49-F238E27FC236}">
                  <a16:creationId xmlns:a16="http://schemas.microsoft.com/office/drawing/2014/main" id="{8F52992E-0F80-238D-78BA-216A5131BE4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6" name="Straight Connector 3635">
              <a:extLst>
                <a:ext uri="{FF2B5EF4-FFF2-40B4-BE49-F238E27FC236}">
                  <a16:creationId xmlns:a16="http://schemas.microsoft.com/office/drawing/2014/main" id="{2F355AD8-5D91-1F3A-25A7-B49F6722856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7" name="Straight Connector 3636">
              <a:extLst>
                <a:ext uri="{FF2B5EF4-FFF2-40B4-BE49-F238E27FC236}">
                  <a16:creationId xmlns:a16="http://schemas.microsoft.com/office/drawing/2014/main" id="{F1558D4A-94C0-BD9D-6531-4B7E9F00769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8" name="Straight Connector 3637">
              <a:extLst>
                <a:ext uri="{FF2B5EF4-FFF2-40B4-BE49-F238E27FC236}">
                  <a16:creationId xmlns:a16="http://schemas.microsoft.com/office/drawing/2014/main" id="{FCC8D92B-8DA5-A920-70A5-8CDE879BC4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24BEC3F6-175C-A1F3-EC0B-60D10F0E533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243</xdr:row>
      <xdr:rowOff>0</xdr:rowOff>
    </xdr:from>
    <xdr:to>
      <xdr:col>10</xdr:col>
      <xdr:colOff>238169</xdr:colOff>
      <xdr:row>245</xdr:row>
      <xdr:rowOff>50</xdr:rowOff>
    </xdr:to>
    <xdr:grpSp>
      <xdr:nvGrpSpPr>
        <xdr:cNvPr id="3639" name="Group 3638">
          <a:extLst>
            <a:ext uri="{FF2B5EF4-FFF2-40B4-BE49-F238E27FC236}">
              <a16:creationId xmlns:a16="http://schemas.microsoft.com/office/drawing/2014/main" id="{674BF926-16E6-4DF9-A0EC-108CF5E959B8}"/>
            </a:ext>
          </a:extLst>
        </xdr:cNvPr>
        <xdr:cNvGrpSpPr/>
      </xdr:nvGrpSpPr>
      <xdr:grpSpPr>
        <a:xfrm>
          <a:off x="5101167" y="42820167"/>
          <a:ext cx="238169" cy="338716"/>
          <a:chOff x="6143939" y="789134"/>
          <a:chExt cx="457200" cy="518966"/>
        </a:xfrm>
      </xdr:grpSpPr>
      <xdr:grpSp>
        <xdr:nvGrpSpPr>
          <xdr:cNvPr id="3640" name="Group 3639">
            <a:extLst>
              <a:ext uri="{FF2B5EF4-FFF2-40B4-BE49-F238E27FC236}">
                <a16:creationId xmlns:a16="http://schemas.microsoft.com/office/drawing/2014/main" id="{CDA52312-8E25-ADE4-8A77-55C697D77E8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42" name="Straight Connector 3641">
              <a:extLst>
                <a:ext uri="{FF2B5EF4-FFF2-40B4-BE49-F238E27FC236}">
                  <a16:creationId xmlns:a16="http://schemas.microsoft.com/office/drawing/2014/main" id="{221F7FCD-E631-3747-B442-5EF359E7A24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48" name="Straight Connector 3647">
              <a:extLst>
                <a:ext uri="{FF2B5EF4-FFF2-40B4-BE49-F238E27FC236}">
                  <a16:creationId xmlns:a16="http://schemas.microsoft.com/office/drawing/2014/main" id="{85EED373-B9E6-4F1A-935D-F05F3B16E03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1" name="Straight Connector 3660">
              <a:extLst>
                <a:ext uri="{FF2B5EF4-FFF2-40B4-BE49-F238E27FC236}">
                  <a16:creationId xmlns:a16="http://schemas.microsoft.com/office/drawing/2014/main" id="{9FC86A25-1C6C-BC08-C1C7-5FDA86EDE85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5" name="Straight Connector 3664">
              <a:extLst>
                <a:ext uri="{FF2B5EF4-FFF2-40B4-BE49-F238E27FC236}">
                  <a16:creationId xmlns:a16="http://schemas.microsoft.com/office/drawing/2014/main" id="{2CC4FC9E-8B69-0CA1-E313-09685C42E29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6" name="Straight Connector 3665">
              <a:extLst>
                <a:ext uri="{FF2B5EF4-FFF2-40B4-BE49-F238E27FC236}">
                  <a16:creationId xmlns:a16="http://schemas.microsoft.com/office/drawing/2014/main" id="{9BC139D4-B20A-4DE7-99EF-85118648751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7" name="Straight Connector 3666">
              <a:extLst>
                <a:ext uri="{FF2B5EF4-FFF2-40B4-BE49-F238E27FC236}">
                  <a16:creationId xmlns:a16="http://schemas.microsoft.com/office/drawing/2014/main" id="{249CDE4D-FC18-1A34-A9A5-FB56ACDCBD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41" name="Straight Connector 3640">
            <a:extLst>
              <a:ext uri="{FF2B5EF4-FFF2-40B4-BE49-F238E27FC236}">
                <a16:creationId xmlns:a16="http://schemas.microsoft.com/office/drawing/2014/main" id="{0732DD54-DF52-722E-1598-F2C23585656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243</xdr:row>
      <xdr:rowOff>0</xdr:rowOff>
    </xdr:from>
    <xdr:to>
      <xdr:col>12</xdr:col>
      <xdr:colOff>238169</xdr:colOff>
      <xdr:row>245</xdr:row>
      <xdr:rowOff>50</xdr:rowOff>
    </xdr:to>
    <xdr:grpSp>
      <xdr:nvGrpSpPr>
        <xdr:cNvPr id="3668" name="Group 3667">
          <a:extLst>
            <a:ext uri="{FF2B5EF4-FFF2-40B4-BE49-F238E27FC236}">
              <a16:creationId xmlns:a16="http://schemas.microsoft.com/office/drawing/2014/main" id="{A9AD0C6A-0A6D-40E9-A723-3CC1A35075DE}"/>
            </a:ext>
          </a:extLst>
        </xdr:cNvPr>
        <xdr:cNvGrpSpPr/>
      </xdr:nvGrpSpPr>
      <xdr:grpSpPr>
        <a:xfrm>
          <a:off x="6148917" y="42820167"/>
          <a:ext cx="238169" cy="338716"/>
          <a:chOff x="6143939" y="789134"/>
          <a:chExt cx="457200" cy="518966"/>
        </a:xfrm>
      </xdr:grpSpPr>
      <xdr:grpSp>
        <xdr:nvGrpSpPr>
          <xdr:cNvPr id="3695" name="Group 3694">
            <a:extLst>
              <a:ext uri="{FF2B5EF4-FFF2-40B4-BE49-F238E27FC236}">
                <a16:creationId xmlns:a16="http://schemas.microsoft.com/office/drawing/2014/main" id="{274B743F-58D2-2675-E58B-705281F68C0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97" name="Straight Connector 3696">
              <a:extLst>
                <a:ext uri="{FF2B5EF4-FFF2-40B4-BE49-F238E27FC236}">
                  <a16:creationId xmlns:a16="http://schemas.microsoft.com/office/drawing/2014/main" id="{7A0E2F32-9769-C885-101B-7CE16EAD313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8" name="Straight Connector 3697">
              <a:extLst>
                <a:ext uri="{FF2B5EF4-FFF2-40B4-BE49-F238E27FC236}">
                  <a16:creationId xmlns:a16="http://schemas.microsoft.com/office/drawing/2014/main" id="{C967E9F4-8F9F-4399-054A-162E1033BAF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9" name="Straight Connector 3698">
              <a:extLst>
                <a:ext uri="{FF2B5EF4-FFF2-40B4-BE49-F238E27FC236}">
                  <a16:creationId xmlns:a16="http://schemas.microsoft.com/office/drawing/2014/main" id="{20031716-EB1A-A932-2363-C8FA6503546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7" name="Straight Connector 3706">
              <a:extLst>
                <a:ext uri="{FF2B5EF4-FFF2-40B4-BE49-F238E27FC236}">
                  <a16:creationId xmlns:a16="http://schemas.microsoft.com/office/drawing/2014/main" id="{5507093E-9D8B-FEF5-B724-AFF2B2B470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9" name="Straight Connector 3708">
              <a:extLst>
                <a:ext uri="{FF2B5EF4-FFF2-40B4-BE49-F238E27FC236}">
                  <a16:creationId xmlns:a16="http://schemas.microsoft.com/office/drawing/2014/main" id="{07328133-458A-47CD-4483-8194357276D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0" name="Straight Connector 3709">
              <a:extLst>
                <a:ext uri="{FF2B5EF4-FFF2-40B4-BE49-F238E27FC236}">
                  <a16:creationId xmlns:a16="http://schemas.microsoft.com/office/drawing/2014/main" id="{D40261FE-AB9C-BE2F-FDC0-5039500842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96" name="Straight Connector 3695">
            <a:extLst>
              <a:ext uri="{FF2B5EF4-FFF2-40B4-BE49-F238E27FC236}">
                <a16:creationId xmlns:a16="http://schemas.microsoft.com/office/drawing/2014/main" id="{5B47EEFD-F0E1-F732-337D-34AB3D87420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243</xdr:row>
      <xdr:rowOff>0</xdr:rowOff>
    </xdr:from>
    <xdr:to>
      <xdr:col>14</xdr:col>
      <xdr:colOff>238169</xdr:colOff>
      <xdr:row>245</xdr:row>
      <xdr:rowOff>50</xdr:rowOff>
    </xdr:to>
    <xdr:grpSp>
      <xdr:nvGrpSpPr>
        <xdr:cNvPr id="3711" name="Group 3710">
          <a:extLst>
            <a:ext uri="{FF2B5EF4-FFF2-40B4-BE49-F238E27FC236}">
              <a16:creationId xmlns:a16="http://schemas.microsoft.com/office/drawing/2014/main" id="{D4B27873-A598-4DC2-99F9-A360E4DC5BFF}"/>
            </a:ext>
          </a:extLst>
        </xdr:cNvPr>
        <xdr:cNvGrpSpPr/>
      </xdr:nvGrpSpPr>
      <xdr:grpSpPr>
        <a:xfrm>
          <a:off x="7196667" y="42820167"/>
          <a:ext cx="238169" cy="338716"/>
          <a:chOff x="6143939" y="789134"/>
          <a:chExt cx="457200" cy="518966"/>
        </a:xfrm>
      </xdr:grpSpPr>
      <xdr:grpSp>
        <xdr:nvGrpSpPr>
          <xdr:cNvPr id="3776" name="Group 3775">
            <a:extLst>
              <a:ext uri="{FF2B5EF4-FFF2-40B4-BE49-F238E27FC236}">
                <a16:creationId xmlns:a16="http://schemas.microsoft.com/office/drawing/2014/main" id="{074122F0-61FF-C56E-D0BA-C0179B465C7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8" name="Straight Connector 3777">
              <a:extLst>
                <a:ext uri="{FF2B5EF4-FFF2-40B4-BE49-F238E27FC236}">
                  <a16:creationId xmlns:a16="http://schemas.microsoft.com/office/drawing/2014/main" id="{7D783015-5CE6-41C6-281A-0245B3AA42D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9" name="Straight Connector 3778">
              <a:extLst>
                <a:ext uri="{FF2B5EF4-FFF2-40B4-BE49-F238E27FC236}">
                  <a16:creationId xmlns:a16="http://schemas.microsoft.com/office/drawing/2014/main" id="{C5AC9977-8611-7004-E078-AA6B21FC78C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0" name="Straight Connector 3779">
              <a:extLst>
                <a:ext uri="{FF2B5EF4-FFF2-40B4-BE49-F238E27FC236}">
                  <a16:creationId xmlns:a16="http://schemas.microsoft.com/office/drawing/2014/main" id="{187FFD08-5517-E7E6-ADC3-0315DE41A3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1" name="Straight Connector 3780">
              <a:extLst>
                <a:ext uri="{FF2B5EF4-FFF2-40B4-BE49-F238E27FC236}">
                  <a16:creationId xmlns:a16="http://schemas.microsoft.com/office/drawing/2014/main" id="{3CB234AA-C7CF-6447-C99C-76E80A4272A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2" name="Straight Connector 3781">
              <a:extLst>
                <a:ext uri="{FF2B5EF4-FFF2-40B4-BE49-F238E27FC236}">
                  <a16:creationId xmlns:a16="http://schemas.microsoft.com/office/drawing/2014/main" id="{4A579216-66CE-0C09-4931-3C0208BF5E6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3" name="Straight Connector 3782">
              <a:extLst>
                <a:ext uri="{FF2B5EF4-FFF2-40B4-BE49-F238E27FC236}">
                  <a16:creationId xmlns:a16="http://schemas.microsoft.com/office/drawing/2014/main" id="{9F54FBB1-F732-D75E-697D-B014F1F09F4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7" name="Straight Connector 3776">
            <a:extLst>
              <a:ext uri="{FF2B5EF4-FFF2-40B4-BE49-F238E27FC236}">
                <a16:creationId xmlns:a16="http://schemas.microsoft.com/office/drawing/2014/main" id="{0FC4C258-83C3-38F3-C2A4-0EEE03B45E8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173184</xdr:colOff>
      <xdr:row>86</xdr:row>
      <xdr:rowOff>0</xdr:rowOff>
    </xdr:from>
    <xdr:to>
      <xdr:col>10</xdr:col>
      <xdr:colOff>261470</xdr:colOff>
      <xdr:row>88</xdr:row>
      <xdr:rowOff>37353</xdr:rowOff>
    </xdr:to>
    <xdr:sp macro="" textlink="">
      <xdr:nvSpPr>
        <xdr:cNvPr id="3784" name="Rectangle 11590" descr="Light horizontal">
          <a:extLst>
            <a:ext uri="{FF2B5EF4-FFF2-40B4-BE49-F238E27FC236}">
              <a16:creationId xmlns:a16="http://schemas.microsoft.com/office/drawing/2014/main" id="{2D3A0237-3089-48D2-BEA0-B0944CC089F7}"/>
            </a:ext>
          </a:extLst>
        </xdr:cNvPr>
        <xdr:cNvSpPr>
          <a:spLocks noChangeArrowheads="1"/>
        </xdr:cNvSpPr>
      </xdr:nvSpPr>
      <xdr:spPr bwMode="auto">
        <a:xfrm>
          <a:off x="5038405" y="15669559"/>
          <a:ext cx="88286" cy="410882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12</xdr:col>
      <xdr:colOff>214777</xdr:colOff>
      <xdr:row>85</xdr:row>
      <xdr:rowOff>158750</xdr:rowOff>
    </xdr:from>
    <xdr:to>
      <xdr:col>12</xdr:col>
      <xdr:colOff>360297</xdr:colOff>
      <xdr:row>88</xdr:row>
      <xdr:rowOff>125256</xdr:rowOff>
    </xdr:to>
    <xdr:pic>
      <xdr:nvPicPr>
        <xdr:cNvPr id="3785" name="Picture 3784">
          <a:extLst>
            <a:ext uri="{FF2B5EF4-FFF2-40B4-BE49-F238E27FC236}">
              <a16:creationId xmlns:a16="http://schemas.microsoft.com/office/drawing/2014/main" id="{D8EB8F36-627F-4247-8FAB-5BCE728AA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9189" y="15660221"/>
          <a:ext cx="145520" cy="508124"/>
        </a:xfrm>
        <a:prstGeom prst="rect">
          <a:avLst/>
        </a:prstGeom>
      </xdr:spPr>
    </xdr:pic>
    <xdr:clientData/>
  </xdr:twoCellAnchor>
  <xdr:oneCellAnchor>
    <xdr:from>
      <xdr:col>22</xdr:col>
      <xdr:colOff>261470</xdr:colOff>
      <xdr:row>86</xdr:row>
      <xdr:rowOff>0</xdr:rowOff>
    </xdr:from>
    <xdr:ext cx="125542" cy="396875"/>
    <xdr:pic>
      <xdr:nvPicPr>
        <xdr:cNvPr id="3786" name="Picture 11595">
          <a:extLst>
            <a:ext uri="{FF2B5EF4-FFF2-40B4-BE49-F238E27FC236}">
              <a16:creationId xmlns:a16="http://schemas.microsoft.com/office/drawing/2014/main" id="{5ED2535B-5562-4E2B-8A5F-D85AAC529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1176" y="15669559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24</xdr:col>
      <xdr:colOff>182242</xdr:colOff>
      <xdr:row>85</xdr:row>
      <xdr:rowOff>149412</xdr:rowOff>
    </xdr:from>
    <xdr:to>
      <xdr:col>24</xdr:col>
      <xdr:colOff>307936</xdr:colOff>
      <xdr:row>88</xdr:row>
      <xdr:rowOff>46690</xdr:rowOff>
    </xdr:to>
    <xdr:pic>
      <xdr:nvPicPr>
        <xdr:cNvPr id="3787" name="Picture 3786">
          <a:extLst>
            <a:ext uri="{FF2B5EF4-FFF2-40B4-BE49-F238E27FC236}">
              <a16:creationId xmlns:a16="http://schemas.microsoft.com/office/drawing/2014/main" id="{50408610-CFD0-4DCE-AD1A-CB646973A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03855" y="16014170"/>
          <a:ext cx="125694" cy="450344"/>
        </a:xfrm>
        <a:prstGeom prst="rect">
          <a:avLst/>
        </a:prstGeom>
      </xdr:spPr>
    </xdr:pic>
    <xdr:clientData/>
  </xdr:twoCellAnchor>
  <xdr:twoCellAnchor>
    <xdr:from>
      <xdr:col>24</xdr:col>
      <xdr:colOff>252430</xdr:colOff>
      <xdr:row>85</xdr:row>
      <xdr:rowOff>113869</xdr:rowOff>
    </xdr:from>
    <xdr:to>
      <xdr:col>25</xdr:col>
      <xdr:colOff>29741</xdr:colOff>
      <xdr:row>88</xdr:row>
      <xdr:rowOff>25083</xdr:rowOff>
    </xdr:to>
    <xdr:sp macro="" textlink="">
      <xdr:nvSpPr>
        <xdr:cNvPr id="3788" name="Equals 2636">
          <a:extLst>
            <a:ext uri="{FF2B5EF4-FFF2-40B4-BE49-F238E27FC236}">
              <a16:creationId xmlns:a16="http://schemas.microsoft.com/office/drawing/2014/main" id="{0498A352-B3B9-4240-A102-BC87857AE3F7}"/>
            </a:ext>
          </a:extLst>
        </xdr:cNvPr>
        <xdr:cNvSpPr/>
      </xdr:nvSpPr>
      <xdr:spPr>
        <a:xfrm rot="5400000">
          <a:off x="12050760" y="16101910"/>
          <a:ext cx="464279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184356</xdr:colOff>
      <xdr:row>97</xdr:row>
      <xdr:rowOff>0</xdr:rowOff>
    </xdr:from>
    <xdr:to>
      <xdr:col>8</xdr:col>
      <xdr:colOff>334035</xdr:colOff>
      <xdr:row>99</xdr:row>
      <xdr:rowOff>46967</xdr:rowOff>
    </xdr:to>
    <xdr:sp macro="" textlink="">
      <xdr:nvSpPr>
        <xdr:cNvPr id="3789" name="AutoShape 10732">
          <a:extLst>
            <a:ext uri="{FF2B5EF4-FFF2-40B4-BE49-F238E27FC236}">
              <a16:creationId xmlns:a16="http://schemas.microsoft.com/office/drawing/2014/main" id="{63CC68E9-F456-4B98-862D-A03469D1E196}"/>
            </a:ext>
          </a:extLst>
        </xdr:cNvPr>
        <xdr:cNvSpPr>
          <a:spLocks noChangeArrowheads="1"/>
        </xdr:cNvSpPr>
      </xdr:nvSpPr>
      <xdr:spPr bwMode="auto">
        <a:xfrm rot="5400000">
          <a:off x="3943293" y="18107596"/>
          <a:ext cx="395193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24</xdr:col>
      <xdr:colOff>254885</xdr:colOff>
      <xdr:row>97</xdr:row>
      <xdr:rowOff>0</xdr:rowOff>
    </xdr:from>
    <xdr:to>
      <xdr:col>24</xdr:col>
      <xdr:colOff>402463</xdr:colOff>
      <xdr:row>100</xdr:row>
      <xdr:rowOff>14248</xdr:rowOff>
    </xdr:to>
    <xdr:pic>
      <xdr:nvPicPr>
        <xdr:cNvPr id="3775" name="Picture 3774">
          <a:extLst>
            <a:ext uri="{FF2B5EF4-FFF2-40B4-BE49-F238E27FC236}">
              <a16:creationId xmlns:a16="http://schemas.microsoft.com/office/drawing/2014/main" id="{AE0074D9-E296-4FA0-B317-E6CD715A5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08089" y="17963345"/>
          <a:ext cx="147578" cy="537452"/>
        </a:xfrm>
        <a:prstGeom prst="rect">
          <a:avLst/>
        </a:prstGeom>
      </xdr:spPr>
    </xdr:pic>
    <xdr:clientData/>
  </xdr:twoCellAnchor>
  <xdr:oneCellAnchor>
    <xdr:from>
      <xdr:col>14</xdr:col>
      <xdr:colOff>228055</xdr:colOff>
      <xdr:row>108</xdr:row>
      <xdr:rowOff>0</xdr:rowOff>
    </xdr:from>
    <xdr:ext cx="125542" cy="396875"/>
    <xdr:pic>
      <xdr:nvPicPr>
        <xdr:cNvPr id="3790" name="Picture 11595">
          <a:extLst>
            <a:ext uri="{FF2B5EF4-FFF2-40B4-BE49-F238E27FC236}">
              <a16:creationId xmlns:a16="http://schemas.microsoft.com/office/drawing/2014/main" id="{82999399-4880-4A68-B7B0-64DE317D1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7034" y="19881761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28</xdr:col>
      <xdr:colOff>0</xdr:colOff>
      <xdr:row>108</xdr:row>
      <xdr:rowOff>0</xdr:rowOff>
    </xdr:from>
    <xdr:to>
      <xdr:col>28</xdr:col>
      <xdr:colOff>382764</xdr:colOff>
      <xdr:row>110</xdr:row>
      <xdr:rowOff>9680</xdr:rowOff>
    </xdr:to>
    <xdr:pic>
      <xdr:nvPicPr>
        <xdr:cNvPr id="3791" name="Picture 3790" descr="Gas pipeline line icon concept. Gas ...">
          <a:extLst>
            <a:ext uri="{FF2B5EF4-FFF2-40B4-BE49-F238E27FC236}">
              <a16:creationId xmlns:a16="http://schemas.microsoft.com/office/drawing/2014/main" id="{082B1C4D-3B3D-4F6E-8689-6E7C3EF24A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881761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40245</xdr:colOff>
      <xdr:row>115</xdr:row>
      <xdr:rowOff>0</xdr:rowOff>
    </xdr:from>
    <xdr:to>
      <xdr:col>10</xdr:col>
      <xdr:colOff>423009</xdr:colOff>
      <xdr:row>117</xdr:row>
      <xdr:rowOff>9678</xdr:rowOff>
    </xdr:to>
    <xdr:pic>
      <xdr:nvPicPr>
        <xdr:cNvPr id="3794" name="Picture 3793" descr="Gas pipeline line icon concept. Gas ...">
          <a:extLst>
            <a:ext uri="{FF2B5EF4-FFF2-40B4-BE49-F238E27FC236}">
              <a16:creationId xmlns:a16="http://schemas.microsoft.com/office/drawing/2014/main" id="{1A203409-8233-46E1-90DA-E9B8382C32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936900" y="2110257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187810</xdr:colOff>
      <xdr:row>130</xdr:row>
      <xdr:rowOff>0</xdr:rowOff>
    </xdr:from>
    <xdr:to>
      <xdr:col>14</xdr:col>
      <xdr:colOff>314606</xdr:colOff>
      <xdr:row>132</xdr:row>
      <xdr:rowOff>109461</xdr:rowOff>
    </xdr:to>
    <xdr:pic>
      <xdr:nvPicPr>
        <xdr:cNvPr id="3795" name="Picture 3794">
          <a:extLst>
            <a:ext uri="{FF2B5EF4-FFF2-40B4-BE49-F238E27FC236}">
              <a16:creationId xmlns:a16="http://schemas.microsoft.com/office/drawing/2014/main" id="{ECB017CC-1899-4F6B-9C58-2364910CB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96789" y="23718592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143</xdr:row>
      <xdr:rowOff>0</xdr:rowOff>
    </xdr:from>
    <xdr:to>
      <xdr:col>20</xdr:col>
      <xdr:colOff>382764</xdr:colOff>
      <xdr:row>145</xdr:row>
      <xdr:rowOff>9676</xdr:rowOff>
    </xdr:to>
    <xdr:pic>
      <xdr:nvPicPr>
        <xdr:cNvPr id="3796" name="Picture 3795" descr="Gas pipeline line icon concept. Gas ...">
          <a:extLst>
            <a:ext uri="{FF2B5EF4-FFF2-40B4-BE49-F238E27FC236}">
              <a16:creationId xmlns:a16="http://schemas.microsoft.com/office/drawing/2014/main" id="{0BCA969C-F201-4FF4-B365-B32BFC35DA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25985810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420515</xdr:colOff>
      <xdr:row>138</xdr:row>
      <xdr:rowOff>13304</xdr:rowOff>
    </xdr:from>
    <xdr:to>
      <xdr:col>28</xdr:col>
      <xdr:colOff>46570</xdr:colOff>
      <xdr:row>141</xdr:row>
      <xdr:rowOff>1209</xdr:rowOff>
    </xdr:to>
    <xdr:sp macro="" textlink="">
      <xdr:nvSpPr>
        <xdr:cNvPr id="3792" name="Isosceles Triangle 3791">
          <a:extLst>
            <a:ext uri="{FF2B5EF4-FFF2-40B4-BE49-F238E27FC236}">
              <a16:creationId xmlns:a16="http://schemas.microsoft.com/office/drawing/2014/main" id="{9BFBE92B-7677-44D0-835D-C985DB99B444}"/>
            </a:ext>
          </a:extLst>
        </xdr:cNvPr>
        <xdr:cNvSpPr/>
      </xdr:nvSpPr>
      <xdr:spPr>
        <a:xfrm>
          <a:off x="13379881" y="29245663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138</xdr:row>
      <xdr:rowOff>7056</xdr:rowOff>
    </xdr:from>
    <xdr:to>
      <xdr:col>30</xdr:col>
      <xdr:colOff>42332</xdr:colOff>
      <xdr:row>141</xdr:row>
      <xdr:rowOff>1</xdr:rowOff>
    </xdr:to>
    <xdr:sp macro="" textlink="">
      <xdr:nvSpPr>
        <xdr:cNvPr id="3793" name="Isosceles Triangle 3792">
          <a:extLst>
            <a:ext uri="{FF2B5EF4-FFF2-40B4-BE49-F238E27FC236}">
              <a16:creationId xmlns:a16="http://schemas.microsoft.com/office/drawing/2014/main" id="{CF7B188B-4C7D-4F7F-88C2-CCF2CC172FC0}"/>
            </a:ext>
          </a:extLst>
        </xdr:cNvPr>
        <xdr:cNvSpPr/>
      </xdr:nvSpPr>
      <xdr:spPr>
        <a:xfrm>
          <a:off x="14381806" y="29239415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288640</xdr:colOff>
      <xdr:row>137</xdr:row>
      <xdr:rowOff>173181</xdr:rowOff>
    </xdr:from>
    <xdr:to>
      <xdr:col>29</xdr:col>
      <xdr:colOff>294410</xdr:colOff>
      <xdr:row>138</xdr:row>
      <xdr:rowOff>121226</xdr:rowOff>
    </xdr:to>
    <xdr:sp macro="" textlink="">
      <xdr:nvSpPr>
        <xdr:cNvPr id="3797" name="Freeform 10707">
          <a:extLst>
            <a:ext uri="{FF2B5EF4-FFF2-40B4-BE49-F238E27FC236}">
              <a16:creationId xmlns:a16="http://schemas.microsoft.com/office/drawing/2014/main" id="{31F39346-145B-40E6-AA0F-98292F31B53C}"/>
            </a:ext>
          </a:extLst>
        </xdr:cNvPr>
        <xdr:cNvSpPr>
          <a:spLocks/>
        </xdr:cNvSpPr>
      </xdr:nvSpPr>
      <xdr:spPr bwMode="auto">
        <a:xfrm>
          <a:off x="13690717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137</xdr:row>
      <xdr:rowOff>173181</xdr:rowOff>
    </xdr:from>
    <xdr:to>
      <xdr:col>31</xdr:col>
      <xdr:colOff>294410</xdr:colOff>
      <xdr:row>138</xdr:row>
      <xdr:rowOff>121226</xdr:rowOff>
    </xdr:to>
    <xdr:sp macro="" textlink="">
      <xdr:nvSpPr>
        <xdr:cNvPr id="3798" name="Freeform 10707">
          <a:extLst>
            <a:ext uri="{FF2B5EF4-FFF2-40B4-BE49-F238E27FC236}">
              <a16:creationId xmlns:a16="http://schemas.microsoft.com/office/drawing/2014/main" id="{AD86CE5C-E249-4B58-8F20-AC5DD632F31F}"/>
            </a:ext>
          </a:extLst>
        </xdr:cNvPr>
        <xdr:cNvSpPr>
          <a:spLocks/>
        </xdr:cNvSpPr>
      </xdr:nvSpPr>
      <xdr:spPr bwMode="auto">
        <a:xfrm>
          <a:off x="14696879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297373</xdr:colOff>
      <xdr:row>151</xdr:row>
      <xdr:rowOff>7055</xdr:rowOff>
    </xdr:from>
    <xdr:to>
      <xdr:col>2</xdr:col>
      <xdr:colOff>27621</xdr:colOff>
      <xdr:row>154</xdr:row>
      <xdr:rowOff>0</xdr:rowOff>
    </xdr:to>
    <xdr:sp macro="" textlink="">
      <xdr:nvSpPr>
        <xdr:cNvPr id="3800" name="Isosceles Triangle 3799">
          <a:extLst>
            <a:ext uri="{FF2B5EF4-FFF2-40B4-BE49-F238E27FC236}">
              <a16:creationId xmlns:a16="http://schemas.microsoft.com/office/drawing/2014/main" id="{702BAF3A-1195-4C19-B3E7-24A8FC488CAB}"/>
            </a:ext>
          </a:extLst>
        </xdr:cNvPr>
        <xdr:cNvSpPr/>
      </xdr:nvSpPr>
      <xdr:spPr>
        <a:xfrm>
          <a:off x="297373" y="29400400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151</xdr:row>
      <xdr:rowOff>4233</xdr:rowOff>
    </xdr:from>
    <xdr:to>
      <xdr:col>4</xdr:col>
      <xdr:colOff>46570</xdr:colOff>
      <xdr:row>153</xdr:row>
      <xdr:rowOff>173567</xdr:rowOff>
    </xdr:to>
    <xdr:sp macro="" textlink="">
      <xdr:nvSpPr>
        <xdr:cNvPr id="3801" name="Isosceles Triangle 3800">
          <a:extLst>
            <a:ext uri="{FF2B5EF4-FFF2-40B4-BE49-F238E27FC236}">
              <a16:creationId xmlns:a16="http://schemas.microsoft.com/office/drawing/2014/main" id="{2F0641C0-20E7-4BFA-A2C6-DCAEBA0D57F5}"/>
            </a:ext>
          </a:extLst>
        </xdr:cNvPr>
        <xdr:cNvSpPr/>
      </xdr:nvSpPr>
      <xdr:spPr>
        <a:xfrm>
          <a:off x="1292522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151</xdr:row>
      <xdr:rowOff>13304</xdr:rowOff>
    </xdr:from>
    <xdr:to>
      <xdr:col>8</xdr:col>
      <xdr:colOff>46570</xdr:colOff>
      <xdr:row>154</xdr:row>
      <xdr:rowOff>1210</xdr:rowOff>
    </xdr:to>
    <xdr:sp macro="" textlink="">
      <xdr:nvSpPr>
        <xdr:cNvPr id="3802" name="Isosceles Triangle 3801">
          <a:extLst>
            <a:ext uri="{FF2B5EF4-FFF2-40B4-BE49-F238E27FC236}">
              <a16:creationId xmlns:a16="http://schemas.microsoft.com/office/drawing/2014/main" id="{7A5F5065-BA9F-420A-95D5-EE3510C59380}"/>
            </a:ext>
          </a:extLst>
        </xdr:cNvPr>
        <xdr:cNvSpPr/>
      </xdr:nvSpPr>
      <xdr:spPr>
        <a:xfrm>
          <a:off x="3304846" y="29406649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151</xdr:row>
      <xdr:rowOff>13304</xdr:rowOff>
    </xdr:from>
    <xdr:to>
      <xdr:col>4</xdr:col>
      <xdr:colOff>46569</xdr:colOff>
      <xdr:row>154</xdr:row>
      <xdr:rowOff>1210</xdr:rowOff>
    </xdr:to>
    <xdr:sp macro="" textlink="">
      <xdr:nvSpPr>
        <xdr:cNvPr id="3803" name="Isosceles Triangle 3802">
          <a:extLst>
            <a:ext uri="{FF2B5EF4-FFF2-40B4-BE49-F238E27FC236}">
              <a16:creationId xmlns:a16="http://schemas.microsoft.com/office/drawing/2014/main" id="{F8C5E841-CD8A-4F45-B533-4A0F5A833B98}"/>
            </a:ext>
          </a:extLst>
        </xdr:cNvPr>
        <xdr:cNvSpPr/>
      </xdr:nvSpPr>
      <xdr:spPr>
        <a:xfrm>
          <a:off x="1292522" y="29406649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151</xdr:row>
      <xdr:rowOff>15522</xdr:rowOff>
    </xdr:from>
    <xdr:to>
      <xdr:col>6</xdr:col>
      <xdr:colOff>64912</xdr:colOff>
      <xdr:row>154</xdr:row>
      <xdr:rowOff>8467</xdr:rowOff>
    </xdr:to>
    <xdr:sp macro="" textlink="">
      <xdr:nvSpPr>
        <xdr:cNvPr id="3804" name="Isosceles Triangle 3803">
          <a:extLst>
            <a:ext uri="{FF2B5EF4-FFF2-40B4-BE49-F238E27FC236}">
              <a16:creationId xmlns:a16="http://schemas.microsoft.com/office/drawing/2014/main" id="{136B178E-EE60-4AD0-805D-911EEB85190D}"/>
            </a:ext>
          </a:extLst>
        </xdr:cNvPr>
        <xdr:cNvSpPr/>
      </xdr:nvSpPr>
      <xdr:spPr>
        <a:xfrm>
          <a:off x="2317027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151</xdr:row>
      <xdr:rowOff>7056</xdr:rowOff>
    </xdr:from>
    <xdr:to>
      <xdr:col>10</xdr:col>
      <xdr:colOff>42332</xdr:colOff>
      <xdr:row>154</xdr:row>
      <xdr:rowOff>1</xdr:rowOff>
    </xdr:to>
    <xdr:sp macro="" textlink="">
      <xdr:nvSpPr>
        <xdr:cNvPr id="3805" name="Isosceles Triangle 3804">
          <a:extLst>
            <a:ext uri="{FF2B5EF4-FFF2-40B4-BE49-F238E27FC236}">
              <a16:creationId xmlns:a16="http://schemas.microsoft.com/office/drawing/2014/main" id="{59EE9DAF-4D97-42D4-9D01-01C109A400D3}"/>
            </a:ext>
          </a:extLst>
        </xdr:cNvPr>
        <xdr:cNvSpPr/>
      </xdr:nvSpPr>
      <xdr:spPr>
        <a:xfrm>
          <a:off x="4306771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151</xdr:row>
      <xdr:rowOff>18345</xdr:rowOff>
    </xdr:from>
    <xdr:to>
      <xdr:col>12</xdr:col>
      <xdr:colOff>39510</xdr:colOff>
      <xdr:row>154</xdr:row>
      <xdr:rowOff>11290</xdr:rowOff>
    </xdr:to>
    <xdr:sp macro="" textlink="">
      <xdr:nvSpPr>
        <xdr:cNvPr id="3806" name="Isosceles Triangle 3805">
          <a:extLst>
            <a:ext uri="{FF2B5EF4-FFF2-40B4-BE49-F238E27FC236}">
              <a16:creationId xmlns:a16="http://schemas.microsoft.com/office/drawing/2014/main" id="{E03E0CC8-5FDB-4E8E-94D9-875462AAD4A4}"/>
            </a:ext>
          </a:extLst>
        </xdr:cNvPr>
        <xdr:cNvSpPr/>
      </xdr:nvSpPr>
      <xdr:spPr>
        <a:xfrm>
          <a:off x="5310111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151</xdr:row>
      <xdr:rowOff>7056</xdr:rowOff>
    </xdr:from>
    <xdr:to>
      <xdr:col>14</xdr:col>
      <xdr:colOff>42332</xdr:colOff>
      <xdr:row>154</xdr:row>
      <xdr:rowOff>1</xdr:rowOff>
    </xdr:to>
    <xdr:sp macro="" textlink="">
      <xdr:nvSpPr>
        <xdr:cNvPr id="3807" name="Isosceles Triangle 3806">
          <a:extLst>
            <a:ext uri="{FF2B5EF4-FFF2-40B4-BE49-F238E27FC236}">
              <a16:creationId xmlns:a16="http://schemas.microsoft.com/office/drawing/2014/main" id="{EEB4CF0B-CF99-4DD5-B16D-9E06ADB7A8F2}"/>
            </a:ext>
          </a:extLst>
        </xdr:cNvPr>
        <xdr:cNvSpPr/>
      </xdr:nvSpPr>
      <xdr:spPr>
        <a:xfrm>
          <a:off x="6319095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151</xdr:row>
      <xdr:rowOff>18345</xdr:rowOff>
    </xdr:from>
    <xdr:to>
      <xdr:col>16</xdr:col>
      <xdr:colOff>39510</xdr:colOff>
      <xdr:row>154</xdr:row>
      <xdr:rowOff>11290</xdr:rowOff>
    </xdr:to>
    <xdr:sp macro="" textlink="">
      <xdr:nvSpPr>
        <xdr:cNvPr id="3808" name="Isosceles Triangle 3807">
          <a:extLst>
            <a:ext uri="{FF2B5EF4-FFF2-40B4-BE49-F238E27FC236}">
              <a16:creationId xmlns:a16="http://schemas.microsoft.com/office/drawing/2014/main" id="{2FCCDCD5-FA3C-4B2A-B26B-B3D9B8D691B9}"/>
            </a:ext>
          </a:extLst>
        </xdr:cNvPr>
        <xdr:cNvSpPr/>
      </xdr:nvSpPr>
      <xdr:spPr>
        <a:xfrm>
          <a:off x="7322435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151</xdr:row>
      <xdr:rowOff>7056</xdr:rowOff>
    </xdr:from>
    <xdr:to>
      <xdr:col>18</xdr:col>
      <xdr:colOff>42332</xdr:colOff>
      <xdr:row>154</xdr:row>
      <xdr:rowOff>1</xdr:rowOff>
    </xdr:to>
    <xdr:sp macro="" textlink="">
      <xdr:nvSpPr>
        <xdr:cNvPr id="3809" name="Isosceles Triangle 3808">
          <a:extLst>
            <a:ext uri="{FF2B5EF4-FFF2-40B4-BE49-F238E27FC236}">
              <a16:creationId xmlns:a16="http://schemas.microsoft.com/office/drawing/2014/main" id="{ABFCADBB-2D49-4F3E-A76C-31BC075F200F}"/>
            </a:ext>
          </a:extLst>
        </xdr:cNvPr>
        <xdr:cNvSpPr/>
      </xdr:nvSpPr>
      <xdr:spPr>
        <a:xfrm>
          <a:off x="8331419" y="29400401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151</xdr:row>
      <xdr:rowOff>18345</xdr:rowOff>
    </xdr:from>
    <xdr:to>
      <xdr:col>20</xdr:col>
      <xdr:colOff>21579</xdr:colOff>
      <xdr:row>154</xdr:row>
      <xdr:rowOff>8965</xdr:rowOff>
    </xdr:to>
    <xdr:sp macro="" textlink="">
      <xdr:nvSpPr>
        <xdr:cNvPr id="3810" name="Isosceles Triangle 3809">
          <a:extLst>
            <a:ext uri="{FF2B5EF4-FFF2-40B4-BE49-F238E27FC236}">
              <a16:creationId xmlns:a16="http://schemas.microsoft.com/office/drawing/2014/main" id="{8ECDB759-DEC3-400B-AE67-C10B5159D914}"/>
            </a:ext>
          </a:extLst>
        </xdr:cNvPr>
        <xdr:cNvSpPr/>
      </xdr:nvSpPr>
      <xdr:spPr>
        <a:xfrm>
          <a:off x="9373988" y="29411690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151</xdr:row>
      <xdr:rowOff>7055</xdr:rowOff>
    </xdr:from>
    <xdr:to>
      <xdr:col>22</xdr:col>
      <xdr:colOff>49392</xdr:colOff>
      <xdr:row>154</xdr:row>
      <xdr:rowOff>0</xdr:rowOff>
    </xdr:to>
    <xdr:sp macro="" textlink="">
      <xdr:nvSpPr>
        <xdr:cNvPr id="3811" name="Isosceles Triangle 3810">
          <a:extLst>
            <a:ext uri="{FF2B5EF4-FFF2-40B4-BE49-F238E27FC236}">
              <a16:creationId xmlns:a16="http://schemas.microsoft.com/office/drawing/2014/main" id="{AD07F959-C408-4B52-8DBA-F85C0A52DAB0}"/>
            </a:ext>
          </a:extLst>
        </xdr:cNvPr>
        <xdr:cNvSpPr/>
      </xdr:nvSpPr>
      <xdr:spPr>
        <a:xfrm>
          <a:off x="10344292" y="29400400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151</xdr:row>
      <xdr:rowOff>4233</xdr:rowOff>
    </xdr:from>
    <xdr:to>
      <xdr:col>24</xdr:col>
      <xdr:colOff>46570</xdr:colOff>
      <xdr:row>153</xdr:row>
      <xdr:rowOff>173567</xdr:rowOff>
    </xdr:to>
    <xdr:sp macro="" textlink="">
      <xdr:nvSpPr>
        <xdr:cNvPr id="3812" name="Isosceles Triangle 3811">
          <a:extLst>
            <a:ext uri="{FF2B5EF4-FFF2-40B4-BE49-F238E27FC236}">
              <a16:creationId xmlns:a16="http://schemas.microsoft.com/office/drawing/2014/main" id="{4C1FE68A-8D0B-4FD6-A9E3-025B448F40F0}"/>
            </a:ext>
          </a:extLst>
        </xdr:cNvPr>
        <xdr:cNvSpPr/>
      </xdr:nvSpPr>
      <xdr:spPr>
        <a:xfrm>
          <a:off x="11367557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151</xdr:row>
      <xdr:rowOff>13304</xdr:rowOff>
    </xdr:from>
    <xdr:to>
      <xdr:col>28</xdr:col>
      <xdr:colOff>46570</xdr:colOff>
      <xdr:row>154</xdr:row>
      <xdr:rowOff>1209</xdr:rowOff>
    </xdr:to>
    <xdr:sp macro="" textlink="">
      <xdr:nvSpPr>
        <xdr:cNvPr id="3813" name="Isosceles Triangle 3812">
          <a:extLst>
            <a:ext uri="{FF2B5EF4-FFF2-40B4-BE49-F238E27FC236}">
              <a16:creationId xmlns:a16="http://schemas.microsoft.com/office/drawing/2014/main" id="{84C73E3B-A46E-4B6D-9609-D67BD1F92257}"/>
            </a:ext>
          </a:extLst>
        </xdr:cNvPr>
        <xdr:cNvSpPr/>
      </xdr:nvSpPr>
      <xdr:spPr>
        <a:xfrm>
          <a:off x="13379881" y="29406649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151</xdr:row>
      <xdr:rowOff>13304</xdr:rowOff>
    </xdr:from>
    <xdr:to>
      <xdr:col>24</xdr:col>
      <xdr:colOff>46569</xdr:colOff>
      <xdr:row>154</xdr:row>
      <xdr:rowOff>1209</xdr:rowOff>
    </xdr:to>
    <xdr:sp macro="" textlink="">
      <xdr:nvSpPr>
        <xdr:cNvPr id="3814" name="Isosceles Triangle 3813">
          <a:extLst>
            <a:ext uri="{FF2B5EF4-FFF2-40B4-BE49-F238E27FC236}">
              <a16:creationId xmlns:a16="http://schemas.microsoft.com/office/drawing/2014/main" id="{40E5BCDF-A3AC-42D3-9F13-A389DFFD11EA}"/>
            </a:ext>
          </a:extLst>
        </xdr:cNvPr>
        <xdr:cNvSpPr/>
      </xdr:nvSpPr>
      <xdr:spPr>
        <a:xfrm>
          <a:off x="11367557" y="29406649"/>
          <a:ext cx="632216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151</xdr:row>
      <xdr:rowOff>15522</xdr:rowOff>
    </xdr:from>
    <xdr:to>
      <xdr:col>26</xdr:col>
      <xdr:colOff>43746</xdr:colOff>
      <xdr:row>154</xdr:row>
      <xdr:rowOff>8467</xdr:rowOff>
    </xdr:to>
    <xdr:sp macro="" textlink="">
      <xdr:nvSpPr>
        <xdr:cNvPr id="3815" name="Isosceles Triangle 3814">
          <a:extLst>
            <a:ext uri="{FF2B5EF4-FFF2-40B4-BE49-F238E27FC236}">
              <a16:creationId xmlns:a16="http://schemas.microsoft.com/office/drawing/2014/main" id="{1181AA84-161B-4254-8E16-E055000490D5}"/>
            </a:ext>
          </a:extLst>
        </xdr:cNvPr>
        <xdr:cNvSpPr/>
      </xdr:nvSpPr>
      <xdr:spPr>
        <a:xfrm>
          <a:off x="12370896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151</xdr:row>
      <xdr:rowOff>7056</xdr:rowOff>
    </xdr:from>
    <xdr:to>
      <xdr:col>30</xdr:col>
      <xdr:colOff>42332</xdr:colOff>
      <xdr:row>154</xdr:row>
      <xdr:rowOff>1</xdr:rowOff>
    </xdr:to>
    <xdr:sp macro="" textlink="">
      <xdr:nvSpPr>
        <xdr:cNvPr id="3816" name="Isosceles Triangle 3815">
          <a:extLst>
            <a:ext uri="{FF2B5EF4-FFF2-40B4-BE49-F238E27FC236}">
              <a16:creationId xmlns:a16="http://schemas.microsoft.com/office/drawing/2014/main" id="{887DBFBC-1FA6-4239-BCC2-3CD378AD5421}"/>
            </a:ext>
          </a:extLst>
        </xdr:cNvPr>
        <xdr:cNvSpPr/>
      </xdr:nvSpPr>
      <xdr:spPr>
        <a:xfrm>
          <a:off x="14381806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150</xdr:row>
      <xdr:rowOff>173181</xdr:rowOff>
    </xdr:from>
    <xdr:to>
      <xdr:col>3</xdr:col>
      <xdr:colOff>294410</xdr:colOff>
      <xdr:row>151</xdr:row>
      <xdr:rowOff>121226</xdr:rowOff>
    </xdr:to>
    <xdr:sp macro="" textlink="">
      <xdr:nvSpPr>
        <xdr:cNvPr id="3817" name="Freeform 10707">
          <a:extLst>
            <a:ext uri="{FF2B5EF4-FFF2-40B4-BE49-F238E27FC236}">
              <a16:creationId xmlns:a16="http://schemas.microsoft.com/office/drawing/2014/main" id="{07B60024-3944-4926-ABEC-B61E7FDDBC9F}"/>
            </a:ext>
          </a:extLst>
        </xdr:cNvPr>
        <xdr:cNvSpPr>
          <a:spLocks/>
        </xdr:cNvSpPr>
      </xdr:nvSpPr>
      <xdr:spPr bwMode="auto">
        <a:xfrm>
          <a:off x="59719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150</xdr:row>
      <xdr:rowOff>173181</xdr:rowOff>
    </xdr:from>
    <xdr:to>
      <xdr:col>5</xdr:col>
      <xdr:colOff>294410</xdr:colOff>
      <xdr:row>151</xdr:row>
      <xdr:rowOff>121226</xdr:rowOff>
    </xdr:to>
    <xdr:sp macro="" textlink="">
      <xdr:nvSpPr>
        <xdr:cNvPr id="3818" name="Freeform 10707">
          <a:extLst>
            <a:ext uri="{FF2B5EF4-FFF2-40B4-BE49-F238E27FC236}">
              <a16:creationId xmlns:a16="http://schemas.microsoft.com/office/drawing/2014/main" id="{ABA5D842-6162-4BD9-99D5-A27A87152DC6}"/>
            </a:ext>
          </a:extLst>
        </xdr:cNvPr>
        <xdr:cNvSpPr>
          <a:spLocks/>
        </xdr:cNvSpPr>
      </xdr:nvSpPr>
      <xdr:spPr bwMode="auto">
        <a:xfrm>
          <a:off x="160335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150</xdr:row>
      <xdr:rowOff>173181</xdr:rowOff>
    </xdr:from>
    <xdr:to>
      <xdr:col>7</xdr:col>
      <xdr:colOff>294410</xdr:colOff>
      <xdr:row>151</xdr:row>
      <xdr:rowOff>121226</xdr:rowOff>
    </xdr:to>
    <xdr:sp macro="" textlink="">
      <xdr:nvSpPr>
        <xdr:cNvPr id="3819" name="Freeform 10707">
          <a:extLst>
            <a:ext uri="{FF2B5EF4-FFF2-40B4-BE49-F238E27FC236}">
              <a16:creationId xmlns:a16="http://schemas.microsoft.com/office/drawing/2014/main" id="{276D56E0-8B5C-4A10-AF0C-8ED55B4A6A73}"/>
            </a:ext>
          </a:extLst>
        </xdr:cNvPr>
        <xdr:cNvSpPr>
          <a:spLocks/>
        </xdr:cNvSpPr>
      </xdr:nvSpPr>
      <xdr:spPr bwMode="auto">
        <a:xfrm>
          <a:off x="260952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150</xdr:row>
      <xdr:rowOff>173181</xdr:rowOff>
    </xdr:from>
    <xdr:to>
      <xdr:col>9</xdr:col>
      <xdr:colOff>294410</xdr:colOff>
      <xdr:row>151</xdr:row>
      <xdr:rowOff>121226</xdr:rowOff>
    </xdr:to>
    <xdr:sp macro="" textlink="">
      <xdr:nvSpPr>
        <xdr:cNvPr id="3820" name="Freeform 10707">
          <a:extLst>
            <a:ext uri="{FF2B5EF4-FFF2-40B4-BE49-F238E27FC236}">
              <a16:creationId xmlns:a16="http://schemas.microsoft.com/office/drawing/2014/main" id="{338103D8-2E27-4510-AE23-CE1D7169052F}"/>
            </a:ext>
          </a:extLst>
        </xdr:cNvPr>
        <xdr:cNvSpPr>
          <a:spLocks/>
        </xdr:cNvSpPr>
      </xdr:nvSpPr>
      <xdr:spPr bwMode="auto">
        <a:xfrm>
          <a:off x="361568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150</xdr:row>
      <xdr:rowOff>173181</xdr:rowOff>
    </xdr:from>
    <xdr:to>
      <xdr:col>11</xdr:col>
      <xdr:colOff>294410</xdr:colOff>
      <xdr:row>151</xdr:row>
      <xdr:rowOff>121226</xdr:rowOff>
    </xdr:to>
    <xdr:sp macro="" textlink="">
      <xdr:nvSpPr>
        <xdr:cNvPr id="3821" name="Freeform 10707">
          <a:extLst>
            <a:ext uri="{FF2B5EF4-FFF2-40B4-BE49-F238E27FC236}">
              <a16:creationId xmlns:a16="http://schemas.microsoft.com/office/drawing/2014/main" id="{D1996FA4-EF11-4D02-9180-9A8C97AE325E}"/>
            </a:ext>
          </a:extLst>
        </xdr:cNvPr>
        <xdr:cNvSpPr>
          <a:spLocks/>
        </xdr:cNvSpPr>
      </xdr:nvSpPr>
      <xdr:spPr bwMode="auto">
        <a:xfrm>
          <a:off x="4621844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150</xdr:row>
      <xdr:rowOff>173181</xdr:rowOff>
    </xdr:from>
    <xdr:to>
      <xdr:col>13</xdr:col>
      <xdr:colOff>294410</xdr:colOff>
      <xdr:row>151</xdr:row>
      <xdr:rowOff>121226</xdr:rowOff>
    </xdr:to>
    <xdr:sp macro="" textlink="">
      <xdr:nvSpPr>
        <xdr:cNvPr id="3822" name="Freeform 10707">
          <a:extLst>
            <a:ext uri="{FF2B5EF4-FFF2-40B4-BE49-F238E27FC236}">
              <a16:creationId xmlns:a16="http://schemas.microsoft.com/office/drawing/2014/main" id="{4AC2E0F9-41CA-4C8A-9B28-A16AD1E15322}"/>
            </a:ext>
          </a:extLst>
        </xdr:cNvPr>
        <xdr:cNvSpPr>
          <a:spLocks/>
        </xdr:cNvSpPr>
      </xdr:nvSpPr>
      <xdr:spPr bwMode="auto">
        <a:xfrm>
          <a:off x="562800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150</xdr:row>
      <xdr:rowOff>173181</xdr:rowOff>
    </xdr:from>
    <xdr:to>
      <xdr:col>15</xdr:col>
      <xdr:colOff>294410</xdr:colOff>
      <xdr:row>151</xdr:row>
      <xdr:rowOff>121226</xdr:rowOff>
    </xdr:to>
    <xdr:sp macro="" textlink="">
      <xdr:nvSpPr>
        <xdr:cNvPr id="3823" name="Freeform 10707">
          <a:extLst>
            <a:ext uri="{FF2B5EF4-FFF2-40B4-BE49-F238E27FC236}">
              <a16:creationId xmlns:a16="http://schemas.microsoft.com/office/drawing/2014/main" id="{8458504E-1712-40FE-825E-D75DE1786ED6}"/>
            </a:ext>
          </a:extLst>
        </xdr:cNvPr>
        <xdr:cNvSpPr>
          <a:spLocks/>
        </xdr:cNvSpPr>
      </xdr:nvSpPr>
      <xdr:spPr bwMode="auto">
        <a:xfrm>
          <a:off x="663416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150</xdr:row>
      <xdr:rowOff>173181</xdr:rowOff>
    </xdr:from>
    <xdr:to>
      <xdr:col>17</xdr:col>
      <xdr:colOff>294410</xdr:colOff>
      <xdr:row>151</xdr:row>
      <xdr:rowOff>121226</xdr:rowOff>
    </xdr:to>
    <xdr:sp macro="" textlink="">
      <xdr:nvSpPr>
        <xdr:cNvPr id="3824" name="Freeform 10707">
          <a:extLst>
            <a:ext uri="{FF2B5EF4-FFF2-40B4-BE49-F238E27FC236}">
              <a16:creationId xmlns:a16="http://schemas.microsoft.com/office/drawing/2014/main" id="{E46506C0-7720-4FBA-AA4D-514F06CF7510}"/>
            </a:ext>
          </a:extLst>
        </xdr:cNvPr>
        <xdr:cNvSpPr>
          <a:spLocks/>
        </xdr:cNvSpPr>
      </xdr:nvSpPr>
      <xdr:spPr bwMode="auto">
        <a:xfrm>
          <a:off x="764033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150</xdr:row>
      <xdr:rowOff>173181</xdr:rowOff>
    </xdr:from>
    <xdr:to>
      <xdr:col>19</xdr:col>
      <xdr:colOff>294410</xdr:colOff>
      <xdr:row>151</xdr:row>
      <xdr:rowOff>121226</xdr:rowOff>
    </xdr:to>
    <xdr:sp macro="" textlink="">
      <xdr:nvSpPr>
        <xdr:cNvPr id="3825" name="Freeform 10707">
          <a:extLst>
            <a:ext uri="{FF2B5EF4-FFF2-40B4-BE49-F238E27FC236}">
              <a16:creationId xmlns:a16="http://schemas.microsoft.com/office/drawing/2014/main" id="{7A3159AB-4190-4A40-91DB-EDF1B9F81AE1}"/>
            </a:ext>
          </a:extLst>
        </xdr:cNvPr>
        <xdr:cNvSpPr>
          <a:spLocks/>
        </xdr:cNvSpPr>
      </xdr:nvSpPr>
      <xdr:spPr bwMode="auto">
        <a:xfrm>
          <a:off x="8646492" y="29396015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150</xdr:row>
      <xdr:rowOff>173181</xdr:rowOff>
    </xdr:from>
    <xdr:to>
      <xdr:col>21</xdr:col>
      <xdr:colOff>294410</xdr:colOff>
      <xdr:row>151</xdr:row>
      <xdr:rowOff>121226</xdr:rowOff>
    </xdr:to>
    <xdr:sp macro="" textlink="">
      <xdr:nvSpPr>
        <xdr:cNvPr id="3826" name="Freeform 10707">
          <a:extLst>
            <a:ext uri="{FF2B5EF4-FFF2-40B4-BE49-F238E27FC236}">
              <a16:creationId xmlns:a16="http://schemas.microsoft.com/office/drawing/2014/main" id="{3D8DAD23-EB60-4B5C-BFD5-2D1206AF2932}"/>
            </a:ext>
          </a:extLst>
        </xdr:cNvPr>
        <xdr:cNvSpPr>
          <a:spLocks/>
        </xdr:cNvSpPr>
      </xdr:nvSpPr>
      <xdr:spPr bwMode="auto">
        <a:xfrm>
          <a:off x="966607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150</xdr:row>
      <xdr:rowOff>173181</xdr:rowOff>
    </xdr:from>
    <xdr:to>
      <xdr:col>23</xdr:col>
      <xdr:colOff>294410</xdr:colOff>
      <xdr:row>151</xdr:row>
      <xdr:rowOff>121226</xdr:rowOff>
    </xdr:to>
    <xdr:sp macro="" textlink="">
      <xdr:nvSpPr>
        <xdr:cNvPr id="3827" name="Freeform 10707">
          <a:extLst>
            <a:ext uri="{FF2B5EF4-FFF2-40B4-BE49-F238E27FC236}">
              <a16:creationId xmlns:a16="http://schemas.microsoft.com/office/drawing/2014/main" id="{DE9614D6-FB35-48EC-BCDB-238761502AB9}"/>
            </a:ext>
          </a:extLst>
        </xdr:cNvPr>
        <xdr:cNvSpPr>
          <a:spLocks/>
        </xdr:cNvSpPr>
      </xdr:nvSpPr>
      <xdr:spPr bwMode="auto">
        <a:xfrm>
          <a:off x="1067223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150</xdr:row>
      <xdr:rowOff>173181</xdr:rowOff>
    </xdr:from>
    <xdr:to>
      <xdr:col>25</xdr:col>
      <xdr:colOff>294410</xdr:colOff>
      <xdr:row>151</xdr:row>
      <xdr:rowOff>121226</xdr:rowOff>
    </xdr:to>
    <xdr:sp macro="" textlink="">
      <xdr:nvSpPr>
        <xdr:cNvPr id="3828" name="Freeform 10707">
          <a:extLst>
            <a:ext uri="{FF2B5EF4-FFF2-40B4-BE49-F238E27FC236}">
              <a16:creationId xmlns:a16="http://schemas.microsoft.com/office/drawing/2014/main" id="{F46A0BD1-2B5F-41E3-AEDE-1EEF136B64C3}"/>
            </a:ext>
          </a:extLst>
        </xdr:cNvPr>
        <xdr:cNvSpPr>
          <a:spLocks/>
        </xdr:cNvSpPr>
      </xdr:nvSpPr>
      <xdr:spPr bwMode="auto">
        <a:xfrm>
          <a:off x="11678394" y="29396015"/>
          <a:ext cx="1011931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150</xdr:row>
      <xdr:rowOff>173181</xdr:rowOff>
    </xdr:from>
    <xdr:to>
      <xdr:col>27</xdr:col>
      <xdr:colOff>294410</xdr:colOff>
      <xdr:row>151</xdr:row>
      <xdr:rowOff>121226</xdr:rowOff>
    </xdr:to>
    <xdr:sp macro="" textlink="">
      <xdr:nvSpPr>
        <xdr:cNvPr id="3829" name="Freeform 10707">
          <a:extLst>
            <a:ext uri="{FF2B5EF4-FFF2-40B4-BE49-F238E27FC236}">
              <a16:creationId xmlns:a16="http://schemas.microsoft.com/office/drawing/2014/main" id="{3B424FF4-AC02-4775-A65F-84023DE1CC74}"/>
            </a:ext>
          </a:extLst>
        </xdr:cNvPr>
        <xdr:cNvSpPr>
          <a:spLocks/>
        </xdr:cNvSpPr>
      </xdr:nvSpPr>
      <xdr:spPr bwMode="auto">
        <a:xfrm>
          <a:off x="12684555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150</xdr:row>
      <xdr:rowOff>173181</xdr:rowOff>
    </xdr:from>
    <xdr:to>
      <xdr:col>29</xdr:col>
      <xdr:colOff>294410</xdr:colOff>
      <xdr:row>151</xdr:row>
      <xdr:rowOff>121226</xdr:rowOff>
    </xdr:to>
    <xdr:sp macro="" textlink="">
      <xdr:nvSpPr>
        <xdr:cNvPr id="3830" name="Freeform 10707">
          <a:extLst>
            <a:ext uri="{FF2B5EF4-FFF2-40B4-BE49-F238E27FC236}">
              <a16:creationId xmlns:a16="http://schemas.microsoft.com/office/drawing/2014/main" id="{BDEAD4FF-FEE8-4EE6-AC18-2B023F5B245D}"/>
            </a:ext>
          </a:extLst>
        </xdr:cNvPr>
        <xdr:cNvSpPr>
          <a:spLocks/>
        </xdr:cNvSpPr>
      </xdr:nvSpPr>
      <xdr:spPr bwMode="auto">
        <a:xfrm>
          <a:off x="13690717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150</xdr:row>
      <xdr:rowOff>173181</xdr:rowOff>
    </xdr:from>
    <xdr:to>
      <xdr:col>31</xdr:col>
      <xdr:colOff>294410</xdr:colOff>
      <xdr:row>151</xdr:row>
      <xdr:rowOff>121226</xdr:rowOff>
    </xdr:to>
    <xdr:sp macro="" textlink="">
      <xdr:nvSpPr>
        <xdr:cNvPr id="3831" name="Freeform 10707">
          <a:extLst>
            <a:ext uri="{FF2B5EF4-FFF2-40B4-BE49-F238E27FC236}">
              <a16:creationId xmlns:a16="http://schemas.microsoft.com/office/drawing/2014/main" id="{A279577C-B87A-49C7-9C6B-03E7B8C11CBD}"/>
            </a:ext>
          </a:extLst>
        </xdr:cNvPr>
        <xdr:cNvSpPr>
          <a:spLocks/>
        </xdr:cNvSpPr>
      </xdr:nvSpPr>
      <xdr:spPr bwMode="auto">
        <a:xfrm>
          <a:off x="14696879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152</xdr:row>
      <xdr:rowOff>36284</xdr:rowOff>
    </xdr:from>
    <xdr:to>
      <xdr:col>4</xdr:col>
      <xdr:colOff>234950</xdr:colOff>
      <xdr:row>154</xdr:row>
      <xdr:rowOff>155120</xdr:rowOff>
    </xdr:to>
    <xdr:sp macro="" textlink="">
      <xdr:nvSpPr>
        <xdr:cNvPr id="3832" name="Rectangle 11590" descr="Light horizontal">
          <a:extLst>
            <a:ext uri="{FF2B5EF4-FFF2-40B4-BE49-F238E27FC236}">
              <a16:creationId xmlns:a16="http://schemas.microsoft.com/office/drawing/2014/main" id="{5439AE20-8508-443C-B071-A72E99E42B67}"/>
            </a:ext>
          </a:extLst>
        </xdr:cNvPr>
        <xdr:cNvSpPr>
          <a:spLocks noChangeArrowheads="1"/>
        </xdr:cNvSpPr>
      </xdr:nvSpPr>
      <xdr:spPr bwMode="auto">
        <a:xfrm>
          <a:off x="2055969" y="29590615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156</xdr:row>
      <xdr:rowOff>32657</xdr:rowOff>
    </xdr:from>
    <xdr:ext cx="108857" cy="550604"/>
    <xdr:pic>
      <xdr:nvPicPr>
        <xdr:cNvPr id="3833" name="Picture 11595">
          <a:extLst>
            <a:ext uri="{FF2B5EF4-FFF2-40B4-BE49-F238E27FC236}">
              <a16:creationId xmlns:a16="http://schemas.microsoft.com/office/drawing/2014/main" id="{46B79072-5BE7-4120-A4BC-147754A72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30230932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152</xdr:row>
      <xdr:rowOff>0</xdr:rowOff>
    </xdr:from>
    <xdr:ext cx="382764" cy="348344"/>
    <xdr:pic>
      <xdr:nvPicPr>
        <xdr:cNvPr id="3834" name="Picture 3833" descr="Gas pipeline line icon concept. Gas ...">
          <a:extLst>
            <a:ext uri="{FF2B5EF4-FFF2-40B4-BE49-F238E27FC236}">
              <a16:creationId xmlns:a16="http://schemas.microsoft.com/office/drawing/2014/main" id="{60222A03-1D72-4E98-99C7-CA3C2BA7D9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152</xdr:row>
      <xdr:rowOff>0</xdr:rowOff>
    </xdr:from>
    <xdr:ext cx="382764" cy="348344"/>
    <xdr:pic>
      <xdr:nvPicPr>
        <xdr:cNvPr id="3835" name="Picture 3834" descr="Gas pipeline line icon concept. Gas ...">
          <a:extLst>
            <a:ext uri="{FF2B5EF4-FFF2-40B4-BE49-F238E27FC236}">
              <a16:creationId xmlns:a16="http://schemas.microsoft.com/office/drawing/2014/main" id="{00E721F4-8B23-4140-8272-D1209C2669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156</xdr:row>
      <xdr:rowOff>10886</xdr:rowOff>
    </xdr:from>
    <xdr:ext cx="153198" cy="559647"/>
    <xdr:pic>
      <xdr:nvPicPr>
        <xdr:cNvPr id="3836" name="Picture 3835">
          <a:extLst>
            <a:ext uri="{FF2B5EF4-FFF2-40B4-BE49-F238E27FC236}">
              <a16:creationId xmlns:a16="http://schemas.microsoft.com/office/drawing/2014/main" id="{2A27389E-8E90-44E1-ACBC-09BFE17FC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30209161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156</xdr:row>
      <xdr:rowOff>21771</xdr:rowOff>
    </xdr:from>
    <xdr:ext cx="153198" cy="559647"/>
    <xdr:pic>
      <xdr:nvPicPr>
        <xdr:cNvPr id="3837" name="Picture 3836">
          <a:extLst>
            <a:ext uri="{FF2B5EF4-FFF2-40B4-BE49-F238E27FC236}">
              <a16:creationId xmlns:a16="http://schemas.microsoft.com/office/drawing/2014/main" id="{60DD7CCD-3C48-47B7-B405-03DCFE037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30220046"/>
          <a:ext cx="153198" cy="559647"/>
        </a:xfrm>
        <a:prstGeom prst="rect">
          <a:avLst/>
        </a:prstGeom>
      </xdr:spPr>
    </xdr:pic>
    <xdr:clientData/>
  </xdr:oneCellAnchor>
  <xdr:twoCellAnchor>
    <xdr:from>
      <xdr:col>0</xdr:col>
      <xdr:colOff>297373</xdr:colOff>
      <xdr:row>164</xdr:row>
      <xdr:rowOff>7055</xdr:rowOff>
    </xdr:from>
    <xdr:to>
      <xdr:col>2</xdr:col>
      <xdr:colOff>27621</xdr:colOff>
      <xdr:row>167</xdr:row>
      <xdr:rowOff>0</xdr:rowOff>
    </xdr:to>
    <xdr:sp macro="" textlink="">
      <xdr:nvSpPr>
        <xdr:cNvPr id="3851" name="Isosceles Triangle 3850">
          <a:extLst>
            <a:ext uri="{FF2B5EF4-FFF2-40B4-BE49-F238E27FC236}">
              <a16:creationId xmlns:a16="http://schemas.microsoft.com/office/drawing/2014/main" id="{D5B00C10-00D3-4CAB-986B-6EEBBF350777}"/>
            </a:ext>
          </a:extLst>
        </xdr:cNvPr>
        <xdr:cNvSpPr/>
      </xdr:nvSpPr>
      <xdr:spPr>
        <a:xfrm>
          <a:off x="297373" y="27307583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164</xdr:row>
      <xdr:rowOff>4233</xdr:rowOff>
    </xdr:from>
    <xdr:to>
      <xdr:col>4</xdr:col>
      <xdr:colOff>46570</xdr:colOff>
      <xdr:row>166</xdr:row>
      <xdr:rowOff>173567</xdr:rowOff>
    </xdr:to>
    <xdr:sp macro="" textlink="">
      <xdr:nvSpPr>
        <xdr:cNvPr id="3852" name="Isosceles Triangle 3851">
          <a:extLst>
            <a:ext uri="{FF2B5EF4-FFF2-40B4-BE49-F238E27FC236}">
              <a16:creationId xmlns:a16="http://schemas.microsoft.com/office/drawing/2014/main" id="{586F36E1-93C4-456B-B3D0-D294A4D943A4}"/>
            </a:ext>
          </a:extLst>
        </xdr:cNvPr>
        <xdr:cNvSpPr/>
      </xdr:nvSpPr>
      <xdr:spPr>
        <a:xfrm>
          <a:off x="1292522" y="27304761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164</xdr:row>
      <xdr:rowOff>13304</xdr:rowOff>
    </xdr:from>
    <xdr:to>
      <xdr:col>8</xdr:col>
      <xdr:colOff>46570</xdr:colOff>
      <xdr:row>167</xdr:row>
      <xdr:rowOff>1210</xdr:rowOff>
    </xdr:to>
    <xdr:sp macro="" textlink="">
      <xdr:nvSpPr>
        <xdr:cNvPr id="3853" name="Isosceles Triangle 3852">
          <a:extLst>
            <a:ext uri="{FF2B5EF4-FFF2-40B4-BE49-F238E27FC236}">
              <a16:creationId xmlns:a16="http://schemas.microsoft.com/office/drawing/2014/main" id="{32028495-FDBF-40E0-897D-5AD61C04AC75}"/>
            </a:ext>
          </a:extLst>
        </xdr:cNvPr>
        <xdr:cNvSpPr/>
      </xdr:nvSpPr>
      <xdr:spPr>
        <a:xfrm>
          <a:off x="3304846" y="27313832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164</xdr:row>
      <xdr:rowOff>13304</xdr:rowOff>
    </xdr:from>
    <xdr:to>
      <xdr:col>4</xdr:col>
      <xdr:colOff>46569</xdr:colOff>
      <xdr:row>167</xdr:row>
      <xdr:rowOff>1210</xdr:rowOff>
    </xdr:to>
    <xdr:sp macro="" textlink="">
      <xdr:nvSpPr>
        <xdr:cNvPr id="3854" name="Isosceles Triangle 3853">
          <a:extLst>
            <a:ext uri="{FF2B5EF4-FFF2-40B4-BE49-F238E27FC236}">
              <a16:creationId xmlns:a16="http://schemas.microsoft.com/office/drawing/2014/main" id="{3F6DEE9C-1876-45EA-B661-4AE2DC3AB340}"/>
            </a:ext>
          </a:extLst>
        </xdr:cNvPr>
        <xdr:cNvSpPr/>
      </xdr:nvSpPr>
      <xdr:spPr>
        <a:xfrm>
          <a:off x="1292522" y="27313832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164</xdr:row>
      <xdr:rowOff>15522</xdr:rowOff>
    </xdr:from>
    <xdr:to>
      <xdr:col>6</xdr:col>
      <xdr:colOff>64912</xdr:colOff>
      <xdr:row>167</xdr:row>
      <xdr:rowOff>8467</xdr:rowOff>
    </xdr:to>
    <xdr:sp macro="" textlink="">
      <xdr:nvSpPr>
        <xdr:cNvPr id="3855" name="Isosceles Triangle 3854">
          <a:extLst>
            <a:ext uri="{FF2B5EF4-FFF2-40B4-BE49-F238E27FC236}">
              <a16:creationId xmlns:a16="http://schemas.microsoft.com/office/drawing/2014/main" id="{9E2EAF1C-FF06-46EC-80D3-4CDA5779A026}"/>
            </a:ext>
          </a:extLst>
        </xdr:cNvPr>
        <xdr:cNvSpPr/>
      </xdr:nvSpPr>
      <xdr:spPr>
        <a:xfrm>
          <a:off x="2317027" y="2731605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164</xdr:row>
      <xdr:rowOff>7056</xdr:rowOff>
    </xdr:from>
    <xdr:to>
      <xdr:col>10</xdr:col>
      <xdr:colOff>42332</xdr:colOff>
      <xdr:row>167</xdr:row>
      <xdr:rowOff>1</xdr:rowOff>
    </xdr:to>
    <xdr:sp macro="" textlink="">
      <xdr:nvSpPr>
        <xdr:cNvPr id="3856" name="Isosceles Triangle 3855">
          <a:extLst>
            <a:ext uri="{FF2B5EF4-FFF2-40B4-BE49-F238E27FC236}">
              <a16:creationId xmlns:a16="http://schemas.microsoft.com/office/drawing/2014/main" id="{53267D9E-6C35-43FB-B409-A9507804B17F}"/>
            </a:ext>
          </a:extLst>
        </xdr:cNvPr>
        <xdr:cNvSpPr/>
      </xdr:nvSpPr>
      <xdr:spPr>
        <a:xfrm>
          <a:off x="4306771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164</xdr:row>
      <xdr:rowOff>18345</xdr:rowOff>
    </xdr:from>
    <xdr:to>
      <xdr:col>12</xdr:col>
      <xdr:colOff>39510</xdr:colOff>
      <xdr:row>167</xdr:row>
      <xdr:rowOff>11290</xdr:rowOff>
    </xdr:to>
    <xdr:sp macro="" textlink="">
      <xdr:nvSpPr>
        <xdr:cNvPr id="3857" name="Isosceles Triangle 3856">
          <a:extLst>
            <a:ext uri="{FF2B5EF4-FFF2-40B4-BE49-F238E27FC236}">
              <a16:creationId xmlns:a16="http://schemas.microsoft.com/office/drawing/2014/main" id="{3A09ABAA-C13F-4B7C-B177-FE6165F4031A}"/>
            </a:ext>
          </a:extLst>
        </xdr:cNvPr>
        <xdr:cNvSpPr/>
      </xdr:nvSpPr>
      <xdr:spPr>
        <a:xfrm>
          <a:off x="5310111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164</xdr:row>
      <xdr:rowOff>7056</xdr:rowOff>
    </xdr:from>
    <xdr:to>
      <xdr:col>14</xdr:col>
      <xdr:colOff>42332</xdr:colOff>
      <xdr:row>167</xdr:row>
      <xdr:rowOff>1</xdr:rowOff>
    </xdr:to>
    <xdr:sp macro="" textlink="">
      <xdr:nvSpPr>
        <xdr:cNvPr id="3858" name="Isosceles Triangle 3857">
          <a:extLst>
            <a:ext uri="{FF2B5EF4-FFF2-40B4-BE49-F238E27FC236}">
              <a16:creationId xmlns:a16="http://schemas.microsoft.com/office/drawing/2014/main" id="{1D674DA6-9721-45E2-B590-07B25306BB57}"/>
            </a:ext>
          </a:extLst>
        </xdr:cNvPr>
        <xdr:cNvSpPr/>
      </xdr:nvSpPr>
      <xdr:spPr>
        <a:xfrm>
          <a:off x="6319095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164</xdr:row>
      <xdr:rowOff>18345</xdr:rowOff>
    </xdr:from>
    <xdr:to>
      <xdr:col>16</xdr:col>
      <xdr:colOff>39510</xdr:colOff>
      <xdr:row>167</xdr:row>
      <xdr:rowOff>11290</xdr:rowOff>
    </xdr:to>
    <xdr:sp macro="" textlink="">
      <xdr:nvSpPr>
        <xdr:cNvPr id="3859" name="Isosceles Triangle 3858">
          <a:extLst>
            <a:ext uri="{FF2B5EF4-FFF2-40B4-BE49-F238E27FC236}">
              <a16:creationId xmlns:a16="http://schemas.microsoft.com/office/drawing/2014/main" id="{D1972543-6A68-4E9E-9B89-62196240DABE}"/>
            </a:ext>
          </a:extLst>
        </xdr:cNvPr>
        <xdr:cNvSpPr/>
      </xdr:nvSpPr>
      <xdr:spPr>
        <a:xfrm>
          <a:off x="7322435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164</xdr:row>
      <xdr:rowOff>7056</xdr:rowOff>
    </xdr:from>
    <xdr:to>
      <xdr:col>18</xdr:col>
      <xdr:colOff>42332</xdr:colOff>
      <xdr:row>167</xdr:row>
      <xdr:rowOff>1</xdr:rowOff>
    </xdr:to>
    <xdr:sp macro="" textlink="">
      <xdr:nvSpPr>
        <xdr:cNvPr id="3860" name="Isosceles Triangle 3859">
          <a:extLst>
            <a:ext uri="{FF2B5EF4-FFF2-40B4-BE49-F238E27FC236}">
              <a16:creationId xmlns:a16="http://schemas.microsoft.com/office/drawing/2014/main" id="{49AC069F-B34A-4361-B160-66F2113F9875}"/>
            </a:ext>
          </a:extLst>
        </xdr:cNvPr>
        <xdr:cNvSpPr/>
      </xdr:nvSpPr>
      <xdr:spPr>
        <a:xfrm>
          <a:off x="8331419" y="27307584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164</xdr:row>
      <xdr:rowOff>18345</xdr:rowOff>
    </xdr:from>
    <xdr:to>
      <xdr:col>20</xdr:col>
      <xdr:colOff>21579</xdr:colOff>
      <xdr:row>167</xdr:row>
      <xdr:rowOff>8965</xdr:rowOff>
    </xdr:to>
    <xdr:sp macro="" textlink="">
      <xdr:nvSpPr>
        <xdr:cNvPr id="3861" name="Isosceles Triangle 3860">
          <a:extLst>
            <a:ext uri="{FF2B5EF4-FFF2-40B4-BE49-F238E27FC236}">
              <a16:creationId xmlns:a16="http://schemas.microsoft.com/office/drawing/2014/main" id="{F247076C-DCB1-485E-AB41-BC2EF460ABC0}"/>
            </a:ext>
          </a:extLst>
        </xdr:cNvPr>
        <xdr:cNvSpPr/>
      </xdr:nvSpPr>
      <xdr:spPr>
        <a:xfrm>
          <a:off x="9373988" y="27318873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164</xdr:row>
      <xdr:rowOff>7055</xdr:rowOff>
    </xdr:from>
    <xdr:to>
      <xdr:col>22</xdr:col>
      <xdr:colOff>49392</xdr:colOff>
      <xdr:row>167</xdr:row>
      <xdr:rowOff>0</xdr:rowOff>
    </xdr:to>
    <xdr:sp macro="" textlink="">
      <xdr:nvSpPr>
        <xdr:cNvPr id="3862" name="Isosceles Triangle 3861">
          <a:extLst>
            <a:ext uri="{FF2B5EF4-FFF2-40B4-BE49-F238E27FC236}">
              <a16:creationId xmlns:a16="http://schemas.microsoft.com/office/drawing/2014/main" id="{BE2F71D8-CF14-4459-B685-216816A79609}"/>
            </a:ext>
          </a:extLst>
        </xdr:cNvPr>
        <xdr:cNvSpPr/>
      </xdr:nvSpPr>
      <xdr:spPr>
        <a:xfrm>
          <a:off x="10344292" y="27307583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163</xdr:row>
      <xdr:rowOff>173181</xdr:rowOff>
    </xdr:from>
    <xdr:to>
      <xdr:col>3</xdr:col>
      <xdr:colOff>294410</xdr:colOff>
      <xdr:row>164</xdr:row>
      <xdr:rowOff>121226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56C2FBD3-D539-4C05-8F45-CED51671ECA7}"/>
            </a:ext>
          </a:extLst>
        </xdr:cNvPr>
        <xdr:cNvSpPr>
          <a:spLocks/>
        </xdr:cNvSpPr>
      </xdr:nvSpPr>
      <xdr:spPr bwMode="auto">
        <a:xfrm>
          <a:off x="59719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163</xdr:row>
      <xdr:rowOff>173181</xdr:rowOff>
    </xdr:from>
    <xdr:to>
      <xdr:col>5</xdr:col>
      <xdr:colOff>294410</xdr:colOff>
      <xdr:row>164</xdr:row>
      <xdr:rowOff>121226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4B44FA1E-DEA4-45AF-B9B6-67B1971BD55C}"/>
            </a:ext>
          </a:extLst>
        </xdr:cNvPr>
        <xdr:cNvSpPr>
          <a:spLocks/>
        </xdr:cNvSpPr>
      </xdr:nvSpPr>
      <xdr:spPr bwMode="auto">
        <a:xfrm>
          <a:off x="160335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163</xdr:row>
      <xdr:rowOff>173181</xdr:rowOff>
    </xdr:from>
    <xdr:to>
      <xdr:col>7</xdr:col>
      <xdr:colOff>294410</xdr:colOff>
      <xdr:row>164</xdr:row>
      <xdr:rowOff>121226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1024CA20-B9EC-414F-94B1-1E72A2FE2646}"/>
            </a:ext>
          </a:extLst>
        </xdr:cNvPr>
        <xdr:cNvSpPr>
          <a:spLocks/>
        </xdr:cNvSpPr>
      </xdr:nvSpPr>
      <xdr:spPr bwMode="auto">
        <a:xfrm>
          <a:off x="260952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163</xdr:row>
      <xdr:rowOff>173181</xdr:rowOff>
    </xdr:from>
    <xdr:to>
      <xdr:col>9</xdr:col>
      <xdr:colOff>294410</xdr:colOff>
      <xdr:row>164</xdr:row>
      <xdr:rowOff>121226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44EC3B0-EF00-40BE-8D84-91F8F62749F2}"/>
            </a:ext>
          </a:extLst>
        </xdr:cNvPr>
        <xdr:cNvSpPr>
          <a:spLocks/>
        </xdr:cNvSpPr>
      </xdr:nvSpPr>
      <xdr:spPr bwMode="auto">
        <a:xfrm>
          <a:off x="361568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163</xdr:row>
      <xdr:rowOff>173181</xdr:rowOff>
    </xdr:from>
    <xdr:to>
      <xdr:col>11</xdr:col>
      <xdr:colOff>294410</xdr:colOff>
      <xdr:row>164</xdr:row>
      <xdr:rowOff>121226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2B062466-F1EA-4F0A-A335-C43693CE2E42}"/>
            </a:ext>
          </a:extLst>
        </xdr:cNvPr>
        <xdr:cNvSpPr>
          <a:spLocks/>
        </xdr:cNvSpPr>
      </xdr:nvSpPr>
      <xdr:spPr bwMode="auto">
        <a:xfrm>
          <a:off x="4621844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163</xdr:row>
      <xdr:rowOff>173181</xdr:rowOff>
    </xdr:from>
    <xdr:to>
      <xdr:col>13</xdr:col>
      <xdr:colOff>294410</xdr:colOff>
      <xdr:row>164</xdr:row>
      <xdr:rowOff>121226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FD6E2E85-05D1-4089-AEC2-551EC0117A87}"/>
            </a:ext>
          </a:extLst>
        </xdr:cNvPr>
        <xdr:cNvSpPr>
          <a:spLocks/>
        </xdr:cNvSpPr>
      </xdr:nvSpPr>
      <xdr:spPr bwMode="auto">
        <a:xfrm>
          <a:off x="562800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163</xdr:row>
      <xdr:rowOff>173181</xdr:rowOff>
    </xdr:from>
    <xdr:to>
      <xdr:col>15</xdr:col>
      <xdr:colOff>294410</xdr:colOff>
      <xdr:row>164</xdr:row>
      <xdr:rowOff>121226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4F93EC7-98E3-4F0B-9A6E-EF1A35BC925B}"/>
            </a:ext>
          </a:extLst>
        </xdr:cNvPr>
        <xdr:cNvSpPr>
          <a:spLocks/>
        </xdr:cNvSpPr>
      </xdr:nvSpPr>
      <xdr:spPr bwMode="auto">
        <a:xfrm>
          <a:off x="663416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163</xdr:row>
      <xdr:rowOff>173181</xdr:rowOff>
    </xdr:from>
    <xdr:to>
      <xdr:col>17</xdr:col>
      <xdr:colOff>294410</xdr:colOff>
      <xdr:row>164</xdr:row>
      <xdr:rowOff>121226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4BC7CA02-43E4-4781-88E0-D61F93A3A261}"/>
            </a:ext>
          </a:extLst>
        </xdr:cNvPr>
        <xdr:cNvSpPr>
          <a:spLocks/>
        </xdr:cNvSpPr>
      </xdr:nvSpPr>
      <xdr:spPr bwMode="auto">
        <a:xfrm>
          <a:off x="764033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163</xdr:row>
      <xdr:rowOff>173181</xdr:rowOff>
    </xdr:from>
    <xdr:to>
      <xdr:col>19</xdr:col>
      <xdr:colOff>294410</xdr:colOff>
      <xdr:row>164</xdr:row>
      <xdr:rowOff>121226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9A26E6B5-8B3E-4B1F-9B44-E35AFB965161}"/>
            </a:ext>
          </a:extLst>
        </xdr:cNvPr>
        <xdr:cNvSpPr>
          <a:spLocks/>
        </xdr:cNvSpPr>
      </xdr:nvSpPr>
      <xdr:spPr bwMode="auto">
        <a:xfrm>
          <a:off x="8646492" y="27303198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163</xdr:row>
      <xdr:rowOff>173181</xdr:rowOff>
    </xdr:from>
    <xdr:to>
      <xdr:col>21</xdr:col>
      <xdr:colOff>294410</xdr:colOff>
      <xdr:row>164</xdr:row>
      <xdr:rowOff>121226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9A2CAD77-651A-4E83-8EDB-748CCB08857F}"/>
            </a:ext>
          </a:extLst>
        </xdr:cNvPr>
        <xdr:cNvSpPr>
          <a:spLocks/>
        </xdr:cNvSpPr>
      </xdr:nvSpPr>
      <xdr:spPr bwMode="auto">
        <a:xfrm>
          <a:off x="966607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163</xdr:row>
      <xdr:rowOff>173181</xdr:rowOff>
    </xdr:from>
    <xdr:to>
      <xdr:col>23</xdr:col>
      <xdr:colOff>294410</xdr:colOff>
      <xdr:row>164</xdr:row>
      <xdr:rowOff>121226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2A9C3D63-7D31-4D4F-BFE0-142848B04082}"/>
            </a:ext>
          </a:extLst>
        </xdr:cNvPr>
        <xdr:cNvSpPr>
          <a:spLocks/>
        </xdr:cNvSpPr>
      </xdr:nvSpPr>
      <xdr:spPr bwMode="auto">
        <a:xfrm>
          <a:off x="1067223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165</xdr:row>
      <xdr:rowOff>36284</xdr:rowOff>
    </xdr:from>
    <xdr:to>
      <xdr:col>4</xdr:col>
      <xdr:colOff>234950</xdr:colOff>
      <xdr:row>167</xdr:row>
      <xdr:rowOff>155120</xdr:rowOff>
    </xdr:to>
    <xdr:sp macro="" textlink="">
      <xdr:nvSpPr>
        <xdr:cNvPr id="3877" name="Rectangle 11590" descr="Light horizontal">
          <a:extLst>
            <a:ext uri="{FF2B5EF4-FFF2-40B4-BE49-F238E27FC236}">
              <a16:creationId xmlns:a16="http://schemas.microsoft.com/office/drawing/2014/main" id="{6C9A8E79-0F33-464A-B675-8175BFF05714}"/>
            </a:ext>
          </a:extLst>
        </xdr:cNvPr>
        <xdr:cNvSpPr>
          <a:spLocks noChangeArrowheads="1"/>
        </xdr:cNvSpPr>
      </xdr:nvSpPr>
      <xdr:spPr bwMode="auto">
        <a:xfrm>
          <a:off x="2055969" y="27497798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169</xdr:row>
      <xdr:rowOff>32657</xdr:rowOff>
    </xdr:from>
    <xdr:ext cx="108857" cy="550604"/>
    <xdr:pic>
      <xdr:nvPicPr>
        <xdr:cNvPr id="3878" name="Picture 11595">
          <a:extLst>
            <a:ext uri="{FF2B5EF4-FFF2-40B4-BE49-F238E27FC236}">
              <a16:creationId xmlns:a16="http://schemas.microsoft.com/office/drawing/2014/main" id="{66E1DDA1-DD8C-4147-B14E-6AD188B2F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28138115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165</xdr:row>
      <xdr:rowOff>0</xdr:rowOff>
    </xdr:from>
    <xdr:ext cx="382764" cy="348344"/>
    <xdr:pic>
      <xdr:nvPicPr>
        <xdr:cNvPr id="3879" name="Picture 3878" descr="Gas pipeline line icon concept. Gas ...">
          <a:extLst>
            <a:ext uri="{FF2B5EF4-FFF2-40B4-BE49-F238E27FC236}">
              <a16:creationId xmlns:a16="http://schemas.microsoft.com/office/drawing/2014/main" id="{0B4AC0F5-5D7E-4C10-B535-E22824BE17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7461514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169</xdr:row>
      <xdr:rowOff>10886</xdr:rowOff>
    </xdr:from>
    <xdr:ext cx="153198" cy="559647"/>
    <xdr:pic>
      <xdr:nvPicPr>
        <xdr:cNvPr id="3880" name="Picture 3879">
          <a:extLst>
            <a:ext uri="{FF2B5EF4-FFF2-40B4-BE49-F238E27FC236}">
              <a16:creationId xmlns:a16="http://schemas.microsoft.com/office/drawing/2014/main" id="{B918DF74-E710-4252-8916-69420C658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28116344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169</xdr:row>
      <xdr:rowOff>21771</xdr:rowOff>
    </xdr:from>
    <xdr:ext cx="153198" cy="559647"/>
    <xdr:pic>
      <xdr:nvPicPr>
        <xdr:cNvPr id="3881" name="Picture 3880">
          <a:extLst>
            <a:ext uri="{FF2B5EF4-FFF2-40B4-BE49-F238E27FC236}">
              <a16:creationId xmlns:a16="http://schemas.microsoft.com/office/drawing/2014/main" id="{1677B7EB-F3B6-4362-B776-BDA8C9E4A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8127229"/>
          <a:ext cx="153198" cy="559647"/>
        </a:xfrm>
        <a:prstGeom prst="rect">
          <a:avLst/>
        </a:prstGeom>
      </xdr:spPr>
    </xdr:pic>
    <xdr:clientData/>
  </xdr:oneCellAnchor>
  <xdr:twoCellAnchor>
    <xdr:from>
      <xdr:col>28</xdr:col>
      <xdr:colOff>404277</xdr:colOff>
      <xdr:row>175</xdr:row>
      <xdr:rowOff>163092</xdr:rowOff>
    </xdr:from>
    <xdr:to>
      <xdr:col>30</xdr:col>
      <xdr:colOff>30331</xdr:colOff>
      <xdr:row>178</xdr:row>
      <xdr:rowOff>156037</xdr:rowOff>
    </xdr:to>
    <xdr:sp macro="" textlink="">
      <xdr:nvSpPr>
        <xdr:cNvPr id="3882" name="Isosceles Triangle 3881">
          <a:extLst>
            <a:ext uri="{FF2B5EF4-FFF2-40B4-BE49-F238E27FC236}">
              <a16:creationId xmlns:a16="http://schemas.microsoft.com/office/drawing/2014/main" id="{36615F94-DCD0-4C8C-B6F1-8E26B8B0B266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175</xdr:row>
      <xdr:rowOff>173181</xdr:rowOff>
    </xdr:from>
    <xdr:to>
      <xdr:col>31</xdr:col>
      <xdr:colOff>294410</xdr:colOff>
      <xdr:row>176</xdr:row>
      <xdr:rowOff>121226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995FD57D-ED14-4AF7-A961-6C749E2168BA}"/>
            </a:ext>
          </a:extLst>
        </xdr:cNvPr>
        <xdr:cNvSpPr>
          <a:spLocks/>
        </xdr:cNvSpPr>
      </xdr:nvSpPr>
      <xdr:spPr bwMode="auto">
        <a:xfrm>
          <a:off x="13690717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201</xdr:row>
      <xdr:rowOff>173181</xdr:rowOff>
    </xdr:from>
    <xdr:to>
      <xdr:col>25</xdr:col>
      <xdr:colOff>0</xdr:colOff>
      <xdr:row>202</xdr:row>
      <xdr:rowOff>121226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6D32BD9D-F572-4782-807E-42C3B4E4919E}"/>
            </a:ext>
          </a:extLst>
        </xdr:cNvPr>
        <xdr:cNvSpPr>
          <a:spLocks/>
        </xdr:cNvSpPr>
      </xdr:nvSpPr>
      <xdr:spPr bwMode="auto">
        <a:xfrm>
          <a:off x="11678394" y="31404449"/>
          <a:ext cx="1011931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201</xdr:row>
      <xdr:rowOff>159455</xdr:rowOff>
    </xdr:from>
    <xdr:to>
      <xdr:col>24</xdr:col>
      <xdr:colOff>99818</xdr:colOff>
      <xdr:row>204</xdr:row>
      <xdr:rowOff>152400</xdr:rowOff>
    </xdr:to>
    <xdr:sp macro="" textlink="">
      <xdr:nvSpPr>
        <xdr:cNvPr id="4008" name="Isosceles Triangle 4007">
          <a:extLst>
            <a:ext uri="{FF2B5EF4-FFF2-40B4-BE49-F238E27FC236}">
              <a16:creationId xmlns:a16="http://schemas.microsoft.com/office/drawing/2014/main" id="{23E83724-4BCD-42C6-ACB4-3940E44EB022}"/>
            </a:ext>
          </a:extLst>
        </xdr:cNvPr>
        <xdr:cNvSpPr/>
      </xdr:nvSpPr>
      <xdr:spPr>
        <a:xfrm>
          <a:off x="11310913" y="31390723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202</xdr:row>
      <xdr:rowOff>7056</xdr:rowOff>
    </xdr:from>
    <xdr:to>
      <xdr:col>2</xdr:col>
      <xdr:colOff>42332</xdr:colOff>
      <xdr:row>205</xdr:row>
      <xdr:rowOff>1</xdr:rowOff>
    </xdr:to>
    <xdr:sp macro="" textlink="">
      <xdr:nvSpPr>
        <xdr:cNvPr id="4010" name="Isosceles Triangle 4009">
          <a:extLst>
            <a:ext uri="{FF2B5EF4-FFF2-40B4-BE49-F238E27FC236}">
              <a16:creationId xmlns:a16="http://schemas.microsoft.com/office/drawing/2014/main" id="{619C976A-3224-4BD3-AA07-472CA78CF971}"/>
            </a:ext>
          </a:extLst>
        </xdr:cNvPr>
        <xdr:cNvSpPr/>
      </xdr:nvSpPr>
      <xdr:spPr>
        <a:xfrm>
          <a:off x="301978" y="31412725"/>
          <a:ext cx="61236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202</xdr:row>
      <xdr:rowOff>18345</xdr:rowOff>
    </xdr:from>
    <xdr:to>
      <xdr:col>4</xdr:col>
      <xdr:colOff>39510</xdr:colOff>
      <xdr:row>205</xdr:row>
      <xdr:rowOff>11290</xdr:rowOff>
    </xdr:to>
    <xdr:sp macro="" textlink="">
      <xdr:nvSpPr>
        <xdr:cNvPr id="4011" name="Isosceles Triangle 4010">
          <a:extLst>
            <a:ext uri="{FF2B5EF4-FFF2-40B4-BE49-F238E27FC236}">
              <a16:creationId xmlns:a16="http://schemas.microsoft.com/office/drawing/2014/main" id="{52E202C2-A31C-49EA-9931-A78352E703BB}"/>
            </a:ext>
          </a:extLst>
        </xdr:cNvPr>
        <xdr:cNvSpPr/>
      </xdr:nvSpPr>
      <xdr:spPr>
        <a:xfrm>
          <a:off x="1285463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202</xdr:row>
      <xdr:rowOff>7056</xdr:rowOff>
    </xdr:from>
    <xdr:to>
      <xdr:col>6</xdr:col>
      <xdr:colOff>42332</xdr:colOff>
      <xdr:row>205</xdr:row>
      <xdr:rowOff>1</xdr:rowOff>
    </xdr:to>
    <xdr:sp macro="" textlink="">
      <xdr:nvSpPr>
        <xdr:cNvPr id="4012" name="Isosceles Triangle 4011">
          <a:extLst>
            <a:ext uri="{FF2B5EF4-FFF2-40B4-BE49-F238E27FC236}">
              <a16:creationId xmlns:a16="http://schemas.microsoft.com/office/drawing/2014/main" id="{D31F04B0-35B4-4AE2-A598-6E89344C42E1}"/>
            </a:ext>
          </a:extLst>
        </xdr:cNvPr>
        <xdr:cNvSpPr/>
      </xdr:nvSpPr>
      <xdr:spPr>
        <a:xfrm>
          <a:off x="2294447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202</xdr:row>
      <xdr:rowOff>18345</xdr:rowOff>
    </xdr:from>
    <xdr:to>
      <xdr:col>8</xdr:col>
      <xdr:colOff>39510</xdr:colOff>
      <xdr:row>205</xdr:row>
      <xdr:rowOff>11290</xdr:rowOff>
    </xdr:to>
    <xdr:sp macro="" textlink="">
      <xdr:nvSpPr>
        <xdr:cNvPr id="4013" name="Isosceles Triangle 4012">
          <a:extLst>
            <a:ext uri="{FF2B5EF4-FFF2-40B4-BE49-F238E27FC236}">
              <a16:creationId xmlns:a16="http://schemas.microsoft.com/office/drawing/2014/main" id="{7D9E0B1E-F288-4E52-B923-09B1B8A60A28}"/>
            </a:ext>
          </a:extLst>
        </xdr:cNvPr>
        <xdr:cNvSpPr/>
      </xdr:nvSpPr>
      <xdr:spPr>
        <a:xfrm>
          <a:off x="3297787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202</xdr:row>
      <xdr:rowOff>7056</xdr:rowOff>
    </xdr:from>
    <xdr:to>
      <xdr:col>10</xdr:col>
      <xdr:colOff>42332</xdr:colOff>
      <xdr:row>205</xdr:row>
      <xdr:rowOff>1</xdr:rowOff>
    </xdr:to>
    <xdr:sp macro="" textlink="">
      <xdr:nvSpPr>
        <xdr:cNvPr id="4014" name="Isosceles Triangle 4013">
          <a:extLst>
            <a:ext uri="{FF2B5EF4-FFF2-40B4-BE49-F238E27FC236}">
              <a16:creationId xmlns:a16="http://schemas.microsoft.com/office/drawing/2014/main" id="{D055789D-8720-4C26-A91F-AEC682010AB4}"/>
            </a:ext>
          </a:extLst>
        </xdr:cNvPr>
        <xdr:cNvSpPr/>
      </xdr:nvSpPr>
      <xdr:spPr>
        <a:xfrm>
          <a:off x="4306771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202</xdr:row>
      <xdr:rowOff>18345</xdr:rowOff>
    </xdr:from>
    <xdr:to>
      <xdr:col>12</xdr:col>
      <xdr:colOff>21579</xdr:colOff>
      <xdr:row>205</xdr:row>
      <xdr:rowOff>8965</xdr:rowOff>
    </xdr:to>
    <xdr:sp macro="" textlink="">
      <xdr:nvSpPr>
        <xdr:cNvPr id="4015" name="Isosceles Triangle 4014">
          <a:extLst>
            <a:ext uri="{FF2B5EF4-FFF2-40B4-BE49-F238E27FC236}">
              <a16:creationId xmlns:a16="http://schemas.microsoft.com/office/drawing/2014/main" id="{460A4931-4F87-410E-B59F-834482DBE7F9}"/>
            </a:ext>
          </a:extLst>
        </xdr:cNvPr>
        <xdr:cNvSpPr/>
      </xdr:nvSpPr>
      <xdr:spPr>
        <a:xfrm>
          <a:off x="5335925" y="31424014"/>
          <a:ext cx="588471" cy="51382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202</xdr:row>
      <xdr:rowOff>7055</xdr:rowOff>
    </xdr:from>
    <xdr:to>
      <xdr:col>14</xdr:col>
      <xdr:colOff>49392</xdr:colOff>
      <xdr:row>205</xdr:row>
      <xdr:rowOff>0</xdr:rowOff>
    </xdr:to>
    <xdr:sp macro="" textlink="">
      <xdr:nvSpPr>
        <xdr:cNvPr id="4016" name="Isosceles Triangle 4015">
          <a:extLst>
            <a:ext uri="{FF2B5EF4-FFF2-40B4-BE49-F238E27FC236}">
              <a16:creationId xmlns:a16="http://schemas.microsoft.com/office/drawing/2014/main" id="{22C0103D-0CF8-4D12-AE21-D73DE5D900C5}"/>
            </a:ext>
          </a:extLst>
        </xdr:cNvPr>
        <xdr:cNvSpPr/>
      </xdr:nvSpPr>
      <xdr:spPr>
        <a:xfrm>
          <a:off x="6306229" y="31412724"/>
          <a:ext cx="652142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202</xdr:row>
      <xdr:rowOff>4233</xdr:rowOff>
    </xdr:from>
    <xdr:to>
      <xdr:col>16</xdr:col>
      <xdr:colOff>46570</xdr:colOff>
      <xdr:row>204</xdr:row>
      <xdr:rowOff>173567</xdr:rowOff>
    </xdr:to>
    <xdr:sp macro="" textlink="">
      <xdr:nvSpPr>
        <xdr:cNvPr id="4017" name="Isosceles Triangle 4016">
          <a:extLst>
            <a:ext uri="{FF2B5EF4-FFF2-40B4-BE49-F238E27FC236}">
              <a16:creationId xmlns:a16="http://schemas.microsoft.com/office/drawing/2014/main" id="{2D4A7682-482F-4413-AA53-E1F537F69D63}"/>
            </a:ext>
          </a:extLst>
        </xdr:cNvPr>
        <xdr:cNvSpPr/>
      </xdr:nvSpPr>
      <xdr:spPr>
        <a:xfrm>
          <a:off x="7329494" y="31409902"/>
          <a:ext cx="632217" cy="51813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202</xdr:row>
      <xdr:rowOff>13304</xdr:rowOff>
    </xdr:from>
    <xdr:to>
      <xdr:col>20</xdr:col>
      <xdr:colOff>46570</xdr:colOff>
      <xdr:row>205</xdr:row>
      <xdr:rowOff>1209</xdr:rowOff>
    </xdr:to>
    <xdr:sp macro="" textlink="">
      <xdr:nvSpPr>
        <xdr:cNvPr id="4018" name="Isosceles Triangle 4017">
          <a:extLst>
            <a:ext uri="{FF2B5EF4-FFF2-40B4-BE49-F238E27FC236}">
              <a16:creationId xmlns:a16="http://schemas.microsoft.com/office/drawing/2014/main" id="{5AB871C8-B5D6-4B9C-848D-1C58ACAB3815}"/>
            </a:ext>
          </a:extLst>
        </xdr:cNvPr>
        <xdr:cNvSpPr/>
      </xdr:nvSpPr>
      <xdr:spPr>
        <a:xfrm>
          <a:off x="9355233" y="31418973"/>
          <a:ext cx="632217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202</xdr:row>
      <xdr:rowOff>13304</xdr:rowOff>
    </xdr:from>
    <xdr:to>
      <xdr:col>16</xdr:col>
      <xdr:colOff>46569</xdr:colOff>
      <xdr:row>205</xdr:row>
      <xdr:rowOff>1209</xdr:rowOff>
    </xdr:to>
    <xdr:sp macro="" textlink="">
      <xdr:nvSpPr>
        <xdr:cNvPr id="4019" name="Isosceles Triangle 4018">
          <a:extLst>
            <a:ext uri="{FF2B5EF4-FFF2-40B4-BE49-F238E27FC236}">
              <a16:creationId xmlns:a16="http://schemas.microsoft.com/office/drawing/2014/main" id="{3215816C-132B-4FF4-B670-E361D4DE1B21}"/>
            </a:ext>
          </a:extLst>
        </xdr:cNvPr>
        <xdr:cNvSpPr/>
      </xdr:nvSpPr>
      <xdr:spPr>
        <a:xfrm>
          <a:off x="7329494" y="31418973"/>
          <a:ext cx="632216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202</xdr:row>
      <xdr:rowOff>15522</xdr:rowOff>
    </xdr:from>
    <xdr:to>
      <xdr:col>18</xdr:col>
      <xdr:colOff>43746</xdr:colOff>
      <xdr:row>205</xdr:row>
      <xdr:rowOff>8467</xdr:rowOff>
    </xdr:to>
    <xdr:sp macro="" textlink="">
      <xdr:nvSpPr>
        <xdr:cNvPr id="4020" name="Isosceles Triangle 4019">
          <a:extLst>
            <a:ext uri="{FF2B5EF4-FFF2-40B4-BE49-F238E27FC236}">
              <a16:creationId xmlns:a16="http://schemas.microsoft.com/office/drawing/2014/main" id="{35D669FB-467C-471F-8DDD-F13ED279CE50}"/>
            </a:ext>
          </a:extLst>
        </xdr:cNvPr>
        <xdr:cNvSpPr/>
      </xdr:nvSpPr>
      <xdr:spPr>
        <a:xfrm>
          <a:off x="8332833" y="31421191"/>
          <a:ext cx="64563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202</xdr:row>
      <xdr:rowOff>7056</xdr:rowOff>
    </xdr:from>
    <xdr:to>
      <xdr:col>22</xdr:col>
      <xdr:colOff>42332</xdr:colOff>
      <xdr:row>205</xdr:row>
      <xdr:rowOff>1</xdr:rowOff>
    </xdr:to>
    <xdr:sp macro="" textlink="">
      <xdr:nvSpPr>
        <xdr:cNvPr id="4021" name="Isosceles Triangle 4020">
          <a:extLst>
            <a:ext uri="{FF2B5EF4-FFF2-40B4-BE49-F238E27FC236}">
              <a16:creationId xmlns:a16="http://schemas.microsoft.com/office/drawing/2014/main" id="{4D022248-22FD-4080-A63E-D5A92C9E1A8A}"/>
            </a:ext>
          </a:extLst>
        </xdr:cNvPr>
        <xdr:cNvSpPr/>
      </xdr:nvSpPr>
      <xdr:spPr>
        <a:xfrm>
          <a:off x="10357158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201</xdr:row>
      <xdr:rowOff>173181</xdr:rowOff>
    </xdr:from>
    <xdr:to>
      <xdr:col>3</xdr:col>
      <xdr:colOff>294410</xdr:colOff>
      <xdr:row>202</xdr:row>
      <xdr:rowOff>121226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D1B751EA-0F5E-4BEB-880D-94E58B793B8C}"/>
            </a:ext>
          </a:extLst>
        </xdr:cNvPr>
        <xdr:cNvSpPr>
          <a:spLocks/>
        </xdr:cNvSpPr>
      </xdr:nvSpPr>
      <xdr:spPr bwMode="auto">
        <a:xfrm>
          <a:off x="59719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201</xdr:row>
      <xdr:rowOff>173181</xdr:rowOff>
    </xdr:from>
    <xdr:to>
      <xdr:col>5</xdr:col>
      <xdr:colOff>294410</xdr:colOff>
      <xdr:row>202</xdr:row>
      <xdr:rowOff>121226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8BEB2334-115A-418D-B7EC-9EF9D5AA1B02}"/>
            </a:ext>
          </a:extLst>
        </xdr:cNvPr>
        <xdr:cNvSpPr>
          <a:spLocks/>
        </xdr:cNvSpPr>
      </xdr:nvSpPr>
      <xdr:spPr bwMode="auto">
        <a:xfrm>
          <a:off x="160335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201</xdr:row>
      <xdr:rowOff>173181</xdr:rowOff>
    </xdr:from>
    <xdr:to>
      <xdr:col>7</xdr:col>
      <xdr:colOff>294410</xdr:colOff>
      <xdr:row>202</xdr:row>
      <xdr:rowOff>121226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0016457-ABCD-4644-B821-DD3564CCE8F1}"/>
            </a:ext>
          </a:extLst>
        </xdr:cNvPr>
        <xdr:cNvSpPr>
          <a:spLocks/>
        </xdr:cNvSpPr>
      </xdr:nvSpPr>
      <xdr:spPr bwMode="auto">
        <a:xfrm>
          <a:off x="260952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201</xdr:row>
      <xdr:rowOff>173181</xdr:rowOff>
    </xdr:from>
    <xdr:to>
      <xdr:col>9</xdr:col>
      <xdr:colOff>294410</xdr:colOff>
      <xdr:row>202</xdr:row>
      <xdr:rowOff>121226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8E784052-6719-448B-B938-8A067481E20F}"/>
            </a:ext>
          </a:extLst>
        </xdr:cNvPr>
        <xdr:cNvSpPr>
          <a:spLocks/>
        </xdr:cNvSpPr>
      </xdr:nvSpPr>
      <xdr:spPr bwMode="auto">
        <a:xfrm>
          <a:off x="361568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201</xdr:row>
      <xdr:rowOff>173181</xdr:rowOff>
    </xdr:from>
    <xdr:to>
      <xdr:col>11</xdr:col>
      <xdr:colOff>294410</xdr:colOff>
      <xdr:row>202</xdr:row>
      <xdr:rowOff>121226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802D1A97-70F7-4706-9908-A2A000459575}"/>
            </a:ext>
          </a:extLst>
        </xdr:cNvPr>
        <xdr:cNvSpPr>
          <a:spLocks/>
        </xdr:cNvSpPr>
      </xdr:nvSpPr>
      <xdr:spPr bwMode="auto">
        <a:xfrm>
          <a:off x="4621844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201</xdr:row>
      <xdr:rowOff>173181</xdr:rowOff>
    </xdr:from>
    <xdr:to>
      <xdr:col>13</xdr:col>
      <xdr:colOff>294410</xdr:colOff>
      <xdr:row>202</xdr:row>
      <xdr:rowOff>121226</xdr:rowOff>
    </xdr:to>
    <xdr:sp macro="" textlink="">
      <xdr:nvSpPr>
        <xdr:cNvPr id="4027" name="Freeform 10707">
          <a:extLst>
            <a:ext uri="{FF2B5EF4-FFF2-40B4-BE49-F238E27FC236}">
              <a16:creationId xmlns:a16="http://schemas.microsoft.com/office/drawing/2014/main" id="{C5ABACBD-E000-4D60-9879-D977E2D02AAE}"/>
            </a:ext>
          </a:extLst>
        </xdr:cNvPr>
        <xdr:cNvSpPr>
          <a:spLocks/>
        </xdr:cNvSpPr>
      </xdr:nvSpPr>
      <xdr:spPr bwMode="auto">
        <a:xfrm>
          <a:off x="562800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201</xdr:row>
      <xdr:rowOff>173181</xdr:rowOff>
    </xdr:from>
    <xdr:to>
      <xdr:col>15</xdr:col>
      <xdr:colOff>294410</xdr:colOff>
      <xdr:row>202</xdr:row>
      <xdr:rowOff>121226</xdr:rowOff>
    </xdr:to>
    <xdr:sp macro="" textlink="">
      <xdr:nvSpPr>
        <xdr:cNvPr id="4028" name="Freeform 10707">
          <a:extLst>
            <a:ext uri="{FF2B5EF4-FFF2-40B4-BE49-F238E27FC236}">
              <a16:creationId xmlns:a16="http://schemas.microsoft.com/office/drawing/2014/main" id="{C4887CBB-432B-4045-BC99-9DE74609D900}"/>
            </a:ext>
          </a:extLst>
        </xdr:cNvPr>
        <xdr:cNvSpPr>
          <a:spLocks/>
        </xdr:cNvSpPr>
      </xdr:nvSpPr>
      <xdr:spPr bwMode="auto">
        <a:xfrm>
          <a:off x="663416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201</xdr:row>
      <xdr:rowOff>173181</xdr:rowOff>
    </xdr:from>
    <xdr:to>
      <xdr:col>17</xdr:col>
      <xdr:colOff>294410</xdr:colOff>
      <xdr:row>202</xdr:row>
      <xdr:rowOff>121226</xdr:rowOff>
    </xdr:to>
    <xdr:sp macro="" textlink="">
      <xdr:nvSpPr>
        <xdr:cNvPr id="4029" name="Freeform 10707">
          <a:extLst>
            <a:ext uri="{FF2B5EF4-FFF2-40B4-BE49-F238E27FC236}">
              <a16:creationId xmlns:a16="http://schemas.microsoft.com/office/drawing/2014/main" id="{A30F5656-F024-4F1B-A640-9EAE8A686114}"/>
            </a:ext>
          </a:extLst>
        </xdr:cNvPr>
        <xdr:cNvSpPr>
          <a:spLocks/>
        </xdr:cNvSpPr>
      </xdr:nvSpPr>
      <xdr:spPr bwMode="auto">
        <a:xfrm>
          <a:off x="764033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201</xdr:row>
      <xdr:rowOff>173181</xdr:rowOff>
    </xdr:from>
    <xdr:to>
      <xdr:col>19</xdr:col>
      <xdr:colOff>294410</xdr:colOff>
      <xdr:row>202</xdr:row>
      <xdr:rowOff>121226</xdr:rowOff>
    </xdr:to>
    <xdr:sp macro="" textlink="">
      <xdr:nvSpPr>
        <xdr:cNvPr id="4030" name="Freeform 10707">
          <a:extLst>
            <a:ext uri="{FF2B5EF4-FFF2-40B4-BE49-F238E27FC236}">
              <a16:creationId xmlns:a16="http://schemas.microsoft.com/office/drawing/2014/main" id="{3B5F3ADD-CE95-46E7-A489-8F0102CCD92E}"/>
            </a:ext>
          </a:extLst>
        </xdr:cNvPr>
        <xdr:cNvSpPr>
          <a:spLocks/>
        </xdr:cNvSpPr>
      </xdr:nvSpPr>
      <xdr:spPr bwMode="auto">
        <a:xfrm>
          <a:off x="8646492" y="31404449"/>
          <a:ext cx="1025348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201</xdr:row>
      <xdr:rowOff>173181</xdr:rowOff>
    </xdr:from>
    <xdr:to>
      <xdr:col>21</xdr:col>
      <xdr:colOff>294410</xdr:colOff>
      <xdr:row>202</xdr:row>
      <xdr:rowOff>121226</xdr:rowOff>
    </xdr:to>
    <xdr:sp macro="" textlink="">
      <xdr:nvSpPr>
        <xdr:cNvPr id="4031" name="Freeform 10707">
          <a:extLst>
            <a:ext uri="{FF2B5EF4-FFF2-40B4-BE49-F238E27FC236}">
              <a16:creationId xmlns:a16="http://schemas.microsoft.com/office/drawing/2014/main" id="{281D5D5F-1769-425F-8B69-7C8F83A59A84}"/>
            </a:ext>
          </a:extLst>
        </xdr:cNvPr>
        <xdr:cNvSpPr>
          <a:spLocks/>
        </xdr:cNvSpPr>
      </xdr:nvSpPr>
      <xdr:spPr bwMode="auto">
        <a:xfrm>
          <a:off x="966607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201</xdr:row>
      <xdr:rowOff>173181</xdr:rowOff>
    </xdr:from>
    <xdr:to>
      <xdr:col>23</xdr:col>
      <xdr:colOff>294410</xdr:colOff>
      <xdr:row>202</xdr:row>
      <xdr:rowOff>121226</xdr:rowOff>
    </xdr:to>
    <xdr:sp macro="" textlink="">
      <xdr:nvSpPr>
        <xdr:cNvPr id="4032" name="Freeform 10707">
          <a:extLst>
            <a:ext uri="{FF2B5EF4-FFF2-40B4-BE49-F238E27FC236}">
              <a16:creationId xmlns:a16="http://schemas.microsoft.com/office/drawing/2014/main" id="{B1C74C57-FCB4-4099-9232-EB93F8D05D25}"/>
            </a:ext>
          </a:extLst>
        </xdr:cNvPr>
        <xdr:cNvSpPr>
          <a:spLocks/>
        </xdr:cNvSpPr>
      </xdr:nvSpPr>
      <xdr:spPr bwMode="auto">
        <a:xfrm>
          <a:off x="1067223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oneCellAnchor>
    <xdr:from>
      <xdr:col>14</xdr:col>
      <xdr:colOff>0</xdr:colOff>
      <xdr:row>203</xdr:row>
      <xdr:rowOff>0</xdr:rowOff>
    </xdr:from>
    <xdr:ext cx="382764" cy="348344"/>
    <xdr:pic>
      <xdr:nvPicPr>
        <xdr:cNvPr id="4033" name="Picture 4032" descr="Gas pipeline line icon concept. Gas ...">
          <a:extLst>
            <a:ext uri="{FF2B5EF4-FFF2-40B4-BE49-F238E27FC236}">
              <a16:creationId xmlns:a16="http://schemas.microsoft.com/office/drawing/2014/main" id="{8D3D0BC4-4648-4ACB-A305-28E8DCAAD7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08979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203</xdr:row>
      <xdr:rowOff>0</xdr:rowOff>
    </xdr:from>
    <xdr:ext cx="382764" cy="348344"/>
    <xdr:pic>
      <xdr:nvPicPr>
        <xdr:cNvPr id="4034" name="Picture 4033" descr="Gas pipeline line icon concept. Gas ...">
          <a:extLst>
            <a:ext uri="{FF2B5EF4-FFF2-40B4-BE49-F238E27FC236}">
              <a16:creationId xmlns:a16="http://schemas.microsoft.com/office/drawing/2014/main" id="{83A5C433-6FFA-41D8-AAB8-F4952D136A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130628</xdr:colOff>
      <xdr:row>207</xdr:row>
      <xdr:rowOff>21771</xdr:rowOff>
    </xdr:from>
    <xdr:ext cx="153198" cy="559647"/>
    <xdr:pic>
      <xdr:nvPicPr>
        <xdr:cNvPr id="4035" name="Picture 4034">
          <a:extLst>
            <a:ext uri="{FF2B5EF4-FFF2-40B4-BE49-F238E27FC236}">
              <a16:creationId xmlns:a16="http://schemas.microsoft.com/office/drawing/2014/main" id="{BF5E0C64-3817-4B64-BABE-FFA8D43B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7283" y="32299447"/>
          <a:ext cx="153198" cy="559647"/>
        </a:xfrm>
        <a:prstGeom prst="rect">
          <a:avLst/>
        </a:prstGeom>
      </xdr:spPr>
    </xdr:pic>
    <xdr:clientData/>
  </xdr:oneCellAnchor>
  <xdr:twoCellAnchor>
    <xdr:from>
      <xdr:col>2</xdr:col>
      <xdr:colOff>420515</xdr:colOff>
      <xdr:row>251</xdr:row>
      <xdr:rowOff>4233</xdr:rowOff>
    </xdr:from>
    <xdr:to>
      <xdr:col>4</xdr:col>
      <xdr:colOff>46570</xdr:colOff>
      <xdr:row>253</xdr:row>
      <xdr:rowOff>173567</xdr:rowOff>
    </xdr:to>
    <xdr:sp macro="" textlink="">
      <xdr:nvSpPr>
        <xdr:cNvPr id="4038" name="Isosceles Triangle 4037">
          <a:extLst>
            <a:ext uri="{FF2B5EF4-FFF2-40B4-BE49-F238E27FC236}">
              <a16:creationId xmlns:a16="http://schemas.microsoft.com/office/drawing/2014/main" id="{F6A565A8-F641-4B2F-87B1-F78452397B4A}"/>
            </a:ext>
          </a:extLst>
        </xdr:cNvPr>
        <xdr:cNvSpPr/>
      </xdr:nvSpPr>
      <xdr:spPr>
        <a:xfrm>
          <a:off x="1286424" y="37688597"/>
          <a:ext cx="613191" cy="51569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251</xdr:row>
      <xdr:rowOff>13304</xdr:rowOff>
    </xdr:from>
    <xdr:to>
      <xdr:col>8</xdr:col>
      <xdr:colOff>46570</xdr:colOff>
      <xdr:row>254</xdr:row>
      <xdr:rowOff>1209</xdr:rowOff>
    </xdr:to>
    <xdr:sp macro="" textlink="">
      <xdr:nvSpPr>
        <xdr:cNvPr id="4039" name="Isosceles Triangle 4038">
          <a:extLst>
            <a:ext uri="{FF2B5EF4-FFF2-40B4-BE49-F238E27FC236}">
              <a16:creationId xmlns:a16="http://schemas.microsoft.com/office/drawing/2014/main" id="{14F31B28-D035-4853-BB06-20FA428E75E9}"/>
            </a:ext>
          </a:extLst>
        </xdr:cNvPr>
        <xdr:cNvSpPr/>
      </xdr:nvSpPr>
      <xdr:spPr>
        <a:xfrm>
          <a:off x="3260697" y="37697668"/>
          <a:ext cx="613191" cy="50745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251</xdr:row>
      <xdr:rowOff>15522</xdr:rowOff>
    </xdr:from>
    <xdr:to>
      <xdr:col>6</xdr:col>
      <xdr:colOff>43746</xdr:colOff>
      <xdr:row>254</xdr:row>
      <xdr:rowOff>8467</xdr:rowOff>
    </xdr:to>
    <xdr:sp macro="" textlink="">
      <xdr:nvSpPr>
        <xdr:cNvPr id="4040" name="Isosceles Triangle 4039">
          <a:extLst>
            <a:ext uri="{FF2B5EF4-FFF2-40B4-BE49-F238E27FC236}">
              <a16:creationId xmlns:a16="http://schemas.microsoft.com/office/drawing/2014/main" id="{A61C322F-2BF3-459D-B977-ECAEE9B468CF}"/>
            </a:ext>
          </a:extLst>
        </xdr:cNvPr>
        <xdr:cNvSpPr/>
      </xdr:nvSpPr>
      <xdr:spPr>
        <a:xfrm>
          <a:off x="2270737" y="37699886"/>
          <a:ext cx="613191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251</xdr:row>
      <xdr:rowOff>18345</xdr:rowOff>
    </xdr:from>
    <xdr:to>
      <xdr:col>20</xdr:col>
      <xdr:colOff>39510</xdr:colOff>
      <xdr:row>254</xdr:row>
      <xdr:rowOff>11290</xdr:rowOff>
    </xdr:to>
    <xdr:sp macro="" textlink="">
      <xdr:nvSpPr>
        <xdr:cNvPr id="4041" name="Isosceles Triangle 4040">
          <a:extLst>
            <a:ext uri="{FF2B5EF4-FFF2-40B4-BE49-F238E27FC236}">
              <a16:creationId xmlns:a16="http://schemas.microsoft.com/office/drawing/2014/main" id="{B908D4D5-5EAA-4B5D-A048-68245236433F}"/>
            </a:ext>
          </a:extLst>
        </xdr:cNvPr>
        <xdr:cNvSpPr/>
      </xdr:nvSpPr>
      <xdr:spPr>
        <a:xfrm>
          <a:off x="9193774" y="37702709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251</xdr:row>
      <xdr:rowOff>16020</xdr:rowOff>
    </xdr:from>
    <xdr:to>
      <xdr:col>22</xdr:col>
      <xdr:colOff>31461</xdr:colOff>
      <xdr:row>253</xdr:row>
      <xdr:rowOff>161365</xdr:rowOff>
    </xdr:to>
    <xdr:sp macro="" textlink="">
      <xdr:nvSpPr>
        <xdr:cNvPr id="4042" name="Isosceles Triangle 4041">
          <a:extLst>
            <a:ext uri="{FF2B5EF4-FFF2-40B4-BE49-F238E27FC236}">
              <a16:creationId xmlns:a16="http://schemas.microsoft.com/office/drawing/2014/main" id="{2B0264E3-631D-4000-814B-0666EE54FF44}"/>
            </a:ext>
          </a:extLst>
        </xdr:cNvPr>
        <xdr:cNvSpPr/>
      </xdr:nvSpPr>
      <xdr:spPr>
        <a:xfrm>
          <a:off x="10188795" y="37700384"/>
          <a:ext cx="597257" cy="491708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251</xdr:row>
      <xdr:rowOff>4233</xdr:rowOff>
    </xdr:from>
    <xdr:to>
      <xdr:col>24</xdr:col>
      <xdr:colOff>46570</xdr:colOff>
      <xdr:row>253</xdr:row>
      <xdr:rowOff>173567</xdr:rowOff>
    </xdr:to>
    <xdr:sp macro="" textlink="">
      <xdr:nvSpPr>
        <xdr:cNvPr id="4043" name="Isosceles Triangle 4042">
          <a:extLst>
            <a:ext uri="{FF2B5EF4-FFF2-40B4-BE49-F238E27FC236}">
              <a16:creationId xmlns:a16="http://schemas.microsoft.com/office/drawing/2014/main" id="{659EAD07-AA8F-4377-9935-30233782A13D}"/>
            </a:ext>
          </a:extLst>
        </xdr:cNvPr>
        <xdr:cNvSpPr/>
      </xdr:nvSpPr>
      <xdr:spPr>
        <a:xfrm>
          <a:off x="11175106" y="37688597"/>
          <a:ext cx="613191" cy="51569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251</xdr:row>
      <xdr:rowOff>13304</xdr:rowOff>
    </xdr:from>
    <xdr:to>
      <xdr:col>28</xdr:col>
      <xdr:colOff>46570</xdr:colOff>
      <xdr:row>254</xdr:row>
      <xdr:rowOff>1210</xdr:rowOff>
    </xdr:to>
    <xdr:sp macro="" textlink="">
      <xdr:nvSpPr>
        <xdr:cNvPr id="4044" name="Isosceles Triangle 4043">
          <a:extLst>
            <a:ext uri="{FF2B5EF4-FFF2-40B4-BE49-F238E27FC236}">
              <a16:creationId xmlns:a16="http://schemas.microsoft.com/office/drawing/2014/main" id="{A796C89D-D8D2-43B1-AFD7-7A3E7C94694F}"/>
            </a:ext>
          </a:extLst>
        </xdr:cNvPr>
        <xdr:cNvSpPr/>
      </xdr:nvSpPr>
      <xdr:spPr>
        <a:xfrm>
          <a:off x="13149379" y="37697668"/>
          <a:ext cx="613191" cy="50745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251</xdr:row>
      <xdr:rowOff>13304</xdr:rowOff>
    </xdr:from>
    <xdr:to>
      <xdr:col>24</xdr:col>
      <xdr:colOff>46569</xdr:colOff>
      <xdr:row>254</xdr:row>
      <xdr:rowOff>1210</xdr:rowOff>
    </xdr:to>
    <xdr:sp macro="" textlink="">
      <xdr:nvSpPr>
        <xdr:cNvPr id="4045" name="Isosceles Triangle 4044">
          <a:extLst>
            <a:ext uri="{FF2B5EF4-FFF2-40B4-BE49-F238E27FC236}">
              <a16:creationId xmlns:a16="http://schemas.microsoft.com/office/drawing/2014/main" id="{32CE9131-C689-4395-BCDA-2259494992FA}"/>
            </a:ext>
          </a:extLst>
        </xdr:cNvPr>
        <xdr:cNvSpPr/>
      </xdr:nvSpPr>
      <xdr:spPr>
        <a:xfrm>
          <a:off x="11175106" y="37697668"/>
          <a:ext cx="613190" cy="50745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251</xdr:row>
      <xdr:rowOff>15522</xdr:rowOff>
    </xdr:from>
    <xdr:to>
      <xdr:col>26</xdr:col>
      <xdr:colOff>43746</xdr:colOff>
      <xdr:row>254</xdr:row>
      <xdr:rowOff>8467</xdr:rowOff>
    </xdr:to>
    <xdr:sp macro="" textlink="">
      <xdr:nvSpPr>
        <xdr:cNvPr id="4046" name="Isosceles Triangle 4045">
          <a:extLst>
            <a:ext uri="{FF2B5EF4-FFF2-40B4-BE49-F238E27FC236}">
              <a16:creationId xmlns:a16="http://schemas.microsoft.com/office/drawing/2014/main" id="{F9B47F18-7E6E-4EB0-A95B-08ABC620EA02}"/>
            </a:ext>
          </a:extLst>
        </xdr:cNvPr>
        <xdr:cNvSpPr/>
      </xdr:nvSpPr>
      <xdr:spPr>
        <a:xfrm>
          <a:off x="12159419" y="37699886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251</xdr:row>
      <xdr:rowOff>7056</xdr:rowOff>
    </xdr:from>
    <xdr:to>
      <xdr:col>30</xdr:col>
      <xdr:colOff>42332</xdr:colOff>
      <xdr:row>254</xdr:row>
      <xdr:rowOff>1</xdr:rowOff>
    </xdr:to>
    <xdr:sp macro="" textlink="">
      <xdr:nvSpPr>
        <xdr:cNvPr id="4047" name="Isosceles Triangle 4046">
          <a:extLst>
            <a:ext uri="{FF2B5EF4-FFF2-40B4-BE49-F238E27FC236}">
              <a16:creationId xmlns:a16="http://schemas.microsoft.com/office/drawing/2014/main" id="{8A4C9FA3-8A7E-40CE-AD9F-2C054753B524}"/>
            </a:ext>
          </a:extLst>
        </xdr:cNvPr>
        <xdr:cNvSpPr/>
      </xdr:nvSpPr>
      <xdr:spPr>
        <a:xfrm>
          <a:off x="14132278" y="37691420"/>
          <a:ext cx="613190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250</xdr:row>
      <xdr:rowOff>173181</xdr:rowOff>
    </xdr:from>
    <xdr:to>
      <xdr:col>3</xdr:col>
      <xdr:colOff>294410</xdr:colOff>
      <xdr:row>251</xdr:row>
      <xdr:rowOff>121226</xdr:rowOff>
    </xdr:to>
    <xdr:sp macro="" textlink="">
      <xdr:nvSpPr>
        <xdr:cNvPr id="4048" name="Freeform 10707">
          <a:extLst>
            <a:ext uri="{FF2B5EF4-FFF2-40B4-BE49-F238E27FC236}">
              <a16:creationId xmlns:a16="http://schemas.microsoft.com/office/drawing/2014/main" id="{E7EA46AD-C2E3-43E0-8DD9-643FA1AD82C9}"/>
            </a:ext>
          </a:extLst>
        </xdr:cNvPr>
        <xdr:cNvSpPr>
          <a:spLocks/>
        </xdr:cNvSpPr>
      </xdr:nvSpPr>
      <xdr:spPr bwMode="auto">
        <a:xfrm>
          <a:off x="600367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250</xdr:row>
      <xdr:rowOff>173181</xdr:rowOff>
    </xdr:from>
    <xdr:to>
      <xdr:col>5</xdr:col>
      <xdr:colOff>294410</xdr:colOff>
      <xdr:row>251</xdr:row>
      <xdr:rowOff>121226</xdr:rowOff>
    </xdr:to>
    <xdr:sp macro="" textlink="">
      <xdr:nvSpPr>
        <xdr:cNvPr id="4049" name="Freeform 10707">
          <a:extLst>
            <a:ext uri="{FF2B5EF4-FFF2-40B4-BE49-F238E27FC236}">
              <a16:creationId xmlns:a16="http://schemas.microsoft.com/office/drawing/2014/main" id="{6A927DCA-940D-41F7-85D0-6E1A7136E796}"/>
            </a:ext>
          </a:extLst>
        </xdr:cNvPr>
        <xdr:cNvSpPr>
          <a:spLocks/>
        </xdr:cNvSpPr>
      </xdr:nvSpPr>
      <xdr:spPr bwMode="auto">
        <a:xfrm>
          <a:off x="1587504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250</xdr:row>
      <xdr:rowOff>173181</xdr:rowOff>
    </xdr:from>
    <xdr:to>
      <xdr:col>7</xdr:col>
      <xdr:colOff>294410</xdr:colOff>
      <xdr:row>251</xdr:row>
      <xdr:rowOff>121226</xdr:rowOff>
    </xdr:to>
    <xdr:sp macro="" textlink="">
      <xdr:nvSpPr>
        <xdr:cNvPr id="4050" name="Freeform 10707">
          <a:extLst>
            <a:ext uri="{FF2B5EF4-FFF2-40B4-BE49-F238E27FC236}">
              <a16:creationId xmlns:a16="http://schemas.microsoft.com/office/drawing/2014/main" id="{0FD92D92-3565-454A-8210-20976E9F40D5}"/>
            </a:ext>
          </a:extLst>
        </xdr:cNvPr>
        <xdr:cNvSpPr>
          <a:spLocks/>
        </xdr:cNvSpPr>
      </xdr:nvSpPr>
      <xdr:spPr bwMode="auto">
        <a:xfrm>
          <a:off x="2574640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250</xdr:row>
      <xdr:rowOff>173181</xdr:rowOff>
    </xdr:from>
    <xdr:to>
      <xdr:col>9</xdr:col>
      <xdr:colOff>294410</xdr:colOff>
      <xdr:row>251</xdr:row>
      <xdr:rowOff>121226</xdr:rowOff>
    </xdr:to>
    <xdr:sp macro="" textlink="">
      <xdr:nvSpPr>
        <xdr:cNvPr id="4051" name="Freeform 10707">
          <a:extLst>
            <a:ext uri="{FF2B5EF4-FFF2-40B4-BE49-F238E27FC236}">
              <a16:creationId xmlns:a16="http://schemas.microsoft.com/office/drawing/2014/main" id="{938B4857-AF5C-412D-81EC-37D24FEA6B50}"/>
            </a:ext>
          </a:extLst>
        </xdr:cNvPr>
        <xdr:cNvSpPr>
          <a:spLocks/>
        </xdr:cNvSpPr>
      </xdr:nvSpPr>
      <xdr:spPr bwMode="auto">
        <a:xfrm>
          <a:off x="3561776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250</xdr:row>
      <xdr:rowOff>173181</xdr:rowOff>
    </xdr:from>
    <xdr:to>
      <xdr:col>11</xdr:col>
      <xdr:colOff>294410</xdr:colOff>
      <xdr:row>251</xdr:row>
      <xdr:rowOff>121226</xdr:rowOff>
    </xdr:to>
    <xdr:sp macro="" textlink="">
      <xdr:nvSpPr>
        <xdr:cNvPr id="4052" name="Freeform 10707">
          <a:extLst>
            <a:ext uri="{FF2B5EF4-FFF2-40B4-BE49-F238E27FC236}">
              <a16:creationId xmlns:a16="http://schemas.microsoft.com/office/drawing/2014/main" id="{6C0CED01-7B3A-4A0C-A86C-BE7A4DC07C7D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250</xdr:row>
      <xdr:rowOff>173181</xdr:rowOff>
    </xdr:from>
    <xdr:to>
      <xdr:col>13</xdr:col>
      <xdr:colOff>294410</xdr:colOff>
      <xdr:row>251</xdr:row>
      <xdr:rowOff>121226</xdr:rowOff>
    </xdr:to>
    <xdr:sp macro="" textlink="">
      <xdr:nvSpPr>
        <xdr:cNvPr id="4053" name="Freeform 10707">
          <a:extLst>
            <a:ext uri="{FF2B5EF4-FFF2-40B4-BE49-F238E27FC236}">
              <a16:creationId xmlns:a16="http://schemas.microsoft.com/office/drawing/2014/main" id="{2E58C1A8-B33A-48AF-AE35-C0377B083F73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250</xdr:row>
      <xdr:rowOff>173181</xdr:rowOff>
    </xdr:from>
    <xdr:to>
      <xdr:col>15</xdr:col>
      <xdr:colOff>294410</xdr:colOff>
      <xdr:row>251</xdr:row>
      <xdr:rowOff>121226</xdr:rowOff>
    </xdr:to>
    <xdr:sp macro="" textlink="">
      <xdr:nvSpPr>
        <xdr:cNvPr id="4054" name="Freeform 10707">
          <a:extLst>
            <a:ext uri="{FF2B5EF4-FFF2-40B4-BE49-F238E27FC236}">
              <a16:creationId xmlns:a16="http://schemas.microsoft.com/office/drawing/2014/main" id="{750AEC8A-306C-4DAB-B7A7-477AFDAD7138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250</xdr:row>
      <xdr:rowOff>173181</xdr:rowOff>
    </xdr:from>
    <xdr:to>
      <xdr:col>17</xdr:col>
      <xdr:colOff>294410</xdr:colOff>
      <xdr:row>251</xdr:row>
      <xdr:rowOff>121226</xdr:rowOff>
    </xdr:to>
    <xdr:sp macro="" textlink="">
      <xdr:nvSpPr>
        <xdr:cNvPr id="4055" name="Freeform 10707">
          <a:extLst>
            <a:ext uri="{FF2B5EF4-FFF2-40B4-BE49-F238E27FC236}">
              <a16:creationId xmlns:a16="http://schemas.microsoft.com/office/drawing/2014/main" id="{56C29166-04F4-48BF-808B-A4CA48437E33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250</xdr:row>
      <xdr:rowOff>173181</xdr:rowOff>
    </xdr:from>
    <xdr:to>
      <xdr:col>19</xdr:col>
      <xdr:colOff>294410</xdr:colOff>
      <xdr:row>251</xdr:row>
      <xdr:rowOff>121226</xdr:rowOff>
    </xdr:to>
    <xdr:sp macro="" textlink="">
      <xdr:nvSpPr>
        <xdr:cNvPr id="4056" name="Freeform 10707">
          <a:extLst>
            <a:ext uri="{FF2B5EF4-FFF2-40B4-BE49-F238E27FC236}">
              <a16:creationId xmlns:a16="http://schemas.microsoft.com/office/drawing/2014/main" id="{DECCDCD7-2086-4773-8949-4DBA04D610E6}"/>
            </a:ext>
          </a:extLst>
        </xdr:cNvPr>
        <xdr:cNvSpPr>
          <a:spLocks/>
        </xdr:cNvSpPr>
      </xdr:nvSpPr>
      <xdr:spPr bwMode="auto">
        <a:xfrm>
          <a:off x="8497458" y="37684363"/>
          <a:ext cx="1010225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250</xdr:row>
      <xdr:rowOff>173181</xdr:rowOff>
    </xdr:from>
    <xdr:to>
      <xdr:col>21</xdr:col>
      <xdr:colOff>294410</xdr:colOff>
      <xdr:row>251</xdr:row>
      <xdr:rowOff>121226</xdr:rowOff>
    </xdr:to>
    <xdr:sp macro="" textlink="">
      <xdr:nvSpPr>
        <xdr:cNvPr id="4057" name="Freeform 10707">
          <a:extLst>
            <a:ext uri="{FF2B5EF4-FFF2-40B4-BE49-F238E27FC236}">
              <a16:creationId xmlns:a16="http://schemas.microsoft.com/office/drawing/2014/main" id="{B9C4BE37-01AD-4564-B55C-D70049BC0B78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250</xdr:row>
      <xdr:rowOff>173181</xdr:rowOff>
    </xdr:from>
    <xdr:to>
      <xdr:col>23</xdr:col>
      <xdr:colOff>294410</xdr:colOff>
      <xdr:row>251</xdr:row>
      <xdr:rowOff>121226</xdr:rowOff>
    </xdr:to>
    <xdr:sp macro="" textlink="">
      <xdr:nvSpPr>
        <xdr:cNvPr id="4058" name="Freeform 10707">
          <a:extLst>
            <a:ext uri="{FF2B5EF4-FFF2-40B4-BE49-F238E27FC236}">
              <a16:creationId xmlns:a16="http://schemas.microsoft.com/office/drawing/2014/main" id="{54D642A9-6814-4788-AA47-85DC200A175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250</xdr:row>
      <xdr:rowOff>173181</xdr:rowOff>
    </xdr:from>
    <xdr:to>
      <xdr:col>25</xdr:col>
      <xdr:colOff>294410</xdr:colOff>
      <xdr:row>251</xdr:row>
      <xdr:rowOff>121226</xdr:rowOff>
    </xdr:to>
    <xdr:sp macro="" textlink="">
      <xdr:nvSpPr>
        <xdr:cNvPr id="4059" name="Freeform 10707">
          <a:extLst>
            <a:ext uri="{FF2B5EF4-FFF2-40B4-BE49-F238E27FC236}">
              <a16:creationId xmlns:a16="http://schemas.microsoft.com/office/drawing/2014/main" id="{7EC3545C-5349-4F73-B89A-ADCE75649CAF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250</xdr:row>
      <xdr:rowOff>173181</xdr:rowOff>
    </xdr:from>
    <xdr:to>
      <xdr:col>27</xdr:col>
      <xdr:colOff>294410</xdr:colOff>
      <xdr:row>251</xdr:row>
      <xdr:rowOff>121226</xdr:rowOff>
    </xdr:to>
    <xdr:sp macro="" textlink="">
      <xdr:nvSpPr>
        <xdr:cNvPr id="4060" name="Freeform 10707">
          <a:extLst>
            <a:ext uri="{FF2B5EF4-FFF2-40B4-BE49-F238E27FC236}">
              <a16:creationId xmlns:a16="http://schemas.microsoft.com/office/drawing/2014/main" id="{15C4A78C-3D0F-4196-BB48-5495F3A99F44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250</xdr:row>
      <xdr:rowOff>173181</xdr:rowOff>
    </xdr:from>
    <xdr:to>
      <xdr:col>29</xdr:col>
      <xdr:colOff>294410</xdr:colOff>
      <xdr:row>251</xdr:row>
      <xdr:rowOff>121226</xdr:rowOff>
    </xdr:to>
    <xdr:sp macro="" textlink="">
      <xdr:nvSpPr>
        <xdr:cNvPr id="4061" name="Freeform 10707">
          <a:extLst>
            <a:ext uri="{FF2B5EF4-FFF2-40B4-BE49-F238E27FC236}">
              <a16:creationId xmlns:a16="http://schemas.microsoft.com/office/drawing/2014/main" id="{4741C7D3-2FE7-44F1-8D4C-7F193D57D185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250</xdr:row>
      <xdr:rowOff>173181</xdr:rowOff>
    </xdr:from>
    <xdr:to>
      <xdr:col>31</xdr:col>
      <xdr:colOff>294410</xdr:colOff>
      <xdr:row>251</xdr:row>
      <xdr:rowOff>121226</xdr:rowOff>
    </xdr:to>
    <xdr:sp macro="" textlink="">
      <xdr:nvSpPr>
        <xdr:cNvPr id="4062" name="Freeform 10707">
          <a:extLst>
            <a:ext uri="{FF2B5EF4-FFF2-40B4-BE49-F238E27FC236}">
              <a16:creationId xmlns:a16="http://schemas.microsoft.com/office/drawing/2014/main" id="{D19717D1-1D66-4E66-B265-FD1A525D0B40}"/>
            </a:ext>
          </a:extLst>
        </xdr:cNvPr>
        <xdr:cNvSpPr>
          <a:spLocks/>
        </xdr:cNvSpPr>
      </xdr:nvSpPr>
      <xdr:spPr bwMode="auto">
        <a:xfrm>
          <a:off x="14437595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250</xdr:row>
      <xdr:rowOff>159455</xdr:rowOff>
    </xdr:from>
    <xdr:to>
      <xdr:col>2</xdr:col>
      <xdr:colOff>32743</xdr:colOff>
      <xdr:row>253</xdr:row>
      <xdr:rowOff>152400</xdr:rowOff>
    </xdr:to>
    <xdr:sp macro="" textlink="">
      <xdr:nvSpPr>
        <xdr:cNvPr id="4063" name="Isosceles Triangle 4062">
          <a:extLst>
            <a:ext uri="{FF2B5EF4-FFF2-40B4-BE49-F238E27FC236}">
              <a16:creationId xmlns:a16="http://schemas.microsoft.com/office/drawing/2014/main" id="{62A9D184-E296-4DE6-83C7-7E1FB66369AF}"/>
            </a:ext>
          </a:extLst>
        </xdr:cNvPr>
        <xdr:cNvSpPr/>
      </xdr:nvSpPr>
      <xdr:spPr>
        <a:xfrm>
          <a:off x="296796" y="37670637"/>
          <a:ext cx="601856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251</xdr:row>
      <xdr:rowOff>4233</xdr:rowOff>
    </xdr:from>
    <xdr:to>
      <xdr:col>4</xdr:col>
      <xdr:colOff>73463</xdr:colOff>
      <xdr:row>253</xdr:row>
      <xdr:rowOff>165947</xdr:rowOff>
    </xdr:to>
    <xdr:sp macro="" textlink="">
      <xdr:nvSpPr>
        <xdr:cNvPr id="4064" name="Isosceles Triangle 4063">
          <a:extLst>
            <a:ext uri="{FF2B5EF4-FFF2-40B4-BE49-F238E27FC236}">
              <a16:creationId xmlns:a16="http://schemas.microsoft.com/office/drawing/2014/main" id="{4380D07E-5703-42EB-A006-7F1206DD5216}"/>
            </a:ext>
          </a:extLst>
        </xdr:cNvPr>
        <xdr:cNvSpPr/>
      </xdr:nvSpPr>
      <xdr:spPr>
        <a:xfrm>
          <a:off x="1303793" y="37688597"/>
          <a:ext cx="622715" cy="50807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251</xdr:row>
      <xdr:rowOff>7056</xdr:rowOff>
    </xdr:from>
    <xdr:to>
      <xdr:col>10</xdr:col>
      <xdr:colOff>45413</xdr:colOff>
      <xdr:row>254</xdr:row>
      <xdr:rowOff>1</xdr:rowOff>
    </xdr:to>
    <xdr:sp macro="" textlink="">
      <xdr:nvSpPr>
        <xdr:cNvPr id="4065" name="Isosceles Triangle 4064">
          <a:extLst>
            <a:ext uri="{FF2B5EF4-FFF2-40B4-BE49-F238E27FC236}">
              <a16:creationId xmlns:a16="http://schemas.microsoft.com/office/drawing/2014/main" id="{BC2A39EF-C8BB-4E08-8F07-16D7CE0DA75F}"/>
            </a:ext>
          </a:extLst>
        </xdr:cNvPr>
        <xdr:cNvSpPr/>
      </xdr:nvSpPr>
      <xdr:spPr>
        <a:xfrm>
          <a:off x="4246677" y="37691420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251</xdr:row>
      <xdr:rowOff>18345</xdr:rowOff>
    </xdr:from>
    <xdr:to>
      <xdr:col>12</xdr:col>
      <xdr:colOff>66404</xdr:colOff>
      <xdr:row>254</xdr:row>
      <xdr:rowOff>11290</xdr:rowOff>
    </xdr:to>
    <xdr:sp macro="" textlink="">
      <xdr:nvSpPr>
        <xdr:cNvPr id="4066" name="Isosceles Triangle 4065">
          <a:extLst>
            <a:ext uri="{FF2B5EF4-FFF2-40B4-BE49-F238E27FC236}">
              <a16:creationId xmlns:a16="http://schemas.microsoft.com/office/drawing/2014/main" id="{171EFADA-7526-4E82-A9D2-32F58379F74F}"/>
            </a:ext>
          </a:extLst>
        </xdr:cNvPr>
        <xdr:cNvSpPr/>
      </xdr:nvSpPr>
      <xdr:spPr>
        <a:xfrm>
          <a:off x="5189692" y="37702709"/>
          <a:ext cx="67830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251</xdr:row>
      <xdr:rowOff>7056</xdr:rowOff>
    </xdr:from>
    <xdr:to>
      <xdr:col>14</xdr:col>
      <xdr:colOff>69226</xdr:colOff>
      <xdr:row>254</xdr:row>
      <xdr:rowOff>1</xdr:rowOff>
    </xdr:to>
    <xdr:sp macro="" textlink="">
      <xdr:nvSpPr>
        <xdr:cNvPr id="4067" name="Isosceles Triangle 4066">
          <a:extLst>
            <a:ext uri="{FF2B5EF4-FFF2-40B4-BE49-F238E27FC236}">
              <a16:creationId xmlns:a16="http://schemas.microsoft.com/office/drawing/2014/main" id="{36C06556-D45B-4BBD-BF3A-0C044A95C7B1}"/>
            </a:ext>
          </a:extLst>
        </xdr:cNvPr>
        <xdr:cNvSpPr/>
      </xdr:nvSpPr>
      <xdr:spPr>
        <a:xfrm>
          <a:off x="6235238" y="37691420"/>
          <a:ext cx="622715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251</xdr:row>
      <xdr:rowOff>7056</xdr:rowOff>
    </xdr:from>
    <xdr:to>
      <xdr:col>18</xdr:col>
      <xdr:colOff>69226</xdr:colOff>
      <xdr:row>254</xdr:row>
      <xdr:rowOff>1</xdr:rowOff>
    </xdr:to>
    <xdr:sp macro="" textlink="">
      <xdr:nvSpPr>
        <xdr:cNvPr id="4068" name="Isosceles Triangle 4067">
          <a:extLst>
            <a:ext uri="{FF2B5EF4-FFF2-40B4-BE49-F238E27FC236}">
              <a16:creationId xmlns:a16="http://schemas.microsoft.com/office/drawing/2014/main" id="{57F2C7B5-4E97-4955-B9EB-D498292276B7}"/>
            </a:ext>
          </a:extLst>
        </xdr:cNvPr>
        <xdr:cNvSpPr/>
      </xdr:nvSpPr>
      <xdr:spPr>
        <a:xfrm>
          <a:off x="8209511" y="37691420"/>
          <a:ext cx="64003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251</xdr:row>
      <xdr:rowOff>8964</xdr:rowOff>
    </xdr:from>
    <xdr:to>
      <xdr:col>16</xdr:col>
      <xdr:colOff>29467</xdr:colOff>
      <xdr:row>254</xdr:row>
      <xdr:rowOff>1909</xdr:rowOff>
    </xdr:to>
    <xdr:sp macro="" textlink="">
      <xdr:nvSpPr>
        <xdr:cNvPr id="4069" name="Isosceles Triangle 4068">
          <a:extLst>
            <a:ext uri="{FF2B5EF4-FFF2-40B4-BE49-F238E27FC236}">
              <a16:creationId xmlns:a16="http://schemas.microsoft.com/office/drawing/2014/main" id="{AA98682A-5772-4303-B92E-E8B343F1EC52}"/>
            </a:ext>
          </a:extLst>
        </xdr:cNvPr>
        <xdr:cNvSpPr/>
      </xdr:nvSpPr>
      <xdr:spPr>
        <a:xfrm>
          <a:off x="7192139" y="37693328"/>
          <a:ext cx="613192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252</xdr:row>
      <xdr:rowOff>0</xdr:rowOff>
    </xdr:from>
    <xdr:ext cx="382764" cy="264403"/>
    <xdr:pic>
      <xdr:nvPicPr>
        <xdr:cNvPr id="4070" name="Picture 4069" descr="Gas pipeline line icon concept. Gas ...">
          <a:extLst>
            <a:ext uri="{FF2B5EF4-FFF2-40B4-BE49-F238E27FC236}">
              <a16:creationId xmlns:a16="http://schemas.microsoft.com/office/drawing/2014/main" id="{3ABD9221-EAA7-4470-84EA-6063879975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40182" y="37857545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288640</xdr:colOff>
      <xdr:row>250</xdr:row>
      <xdr:rowOff>173181</xdr:rowOff>
    </xdr:from>
    <xdr:to>
      <xdr:col>11</xdr:col>
      <xdr:colOff>294410</xdr:colOff>
      <xdr:row>251</xdr:row>
      <xdr:rowOff>121226</xdr:rowOff>
    </xdr:to>
    <xdr:sp macro="" textlink="">
      <xdr:nvSpPr>
        <xdr:cNvPr id="4071" name="Freeform 10707">
          <a:extLst>
            <a:ext uri="{FF2B5EF4-FFF2-40B4-BE49-F238E27FC236}">
              <a16:creationId xmlns:a16="http://schemas.microsoft.com/office/drawing/2014/main" id="{11732190-AAF7-45D0-AD92-72364AC08E4E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250</xdr:row>
      <xdr:rowOff>173181</xdr:rowOff>
    </xdr:from>
    <xdr:to>
      <xdr:col>13</xdr:col>
      <xdr:colOff>294410</xdr:colOff>
      <xdr:row>251</xdr:row>
      <xdr:rowOff>121226</xdr:rowOff>
    </xdr:to>
    <xdr:sp macro="" textlink="">
      <xdr:nvSpPr>
        <xdr:cNvPr id="4072" name="Freeform 10707">
          <a:extLst>
            <a:ext uri="{FF2B5EF4-FFF2-40B4-BE49-F238E27FC236}">
              <a16:creationId xmlns:a16="http://schemas.microsoft.com/office/drawing/2014/main" id="{8E2515BF-C325-400F-BB00-3DDEC4BDB876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250</xdr:row>
      <xdr:rowOff>173181</xdr:rowOff>
    </xdr:from>
    <xdr:to>
      <xdr:col>15</xdr:col>
      <xdr:colOff>294410</xdr:colOff>
      <xdr:row>251</xdr:row>
      <xdr:rowOff>121226</xdr:rowOff>
    </xdr:to>
    <xdr:sp macro="" textlink="">
      <xdr:nvSpPr>
        <xdr:cNvPr id="4073" name="Freeform 10707">
          <a:extLst>
            <a:ext uri="{FF2B5EF4-FFF2-40B4-BE49-F238E27FC236}">
              <a16:creationId xmlns:a16="http://schemas.microsoft.com/office/drawing/2014/main" id="{B274859D-36BB-4EB9-8A76-3C430B76F464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250</xdr:row>
      <xdr:rowOff>173181</xdr:rowOff>
    </xdr:from>
    <xdr:to>
      <xdr:col>17</xdr:col>
      <xdr:colOff>294410</xdr:colOff>
      <xdr:row>251</xdr:row>
      <xdr:rowOff>121226</xdr:rowOff>
    </xdr:to>
    <xdr:sp macro="" textlink="">
      <xdr:nvSpPr>
        <xdr:cNvPr id="4074" name="Freeform 10707">
          <a:extLst>
            <a:ext uri="{FF2B5EF4-FFF2-40B4-BE49-F238E27FC236}">
              <a16:creationId xmlns:a16="http://schemas.microsoft.com/office/drawing/2014/main" id="{FBC4ABC3-D16F-42C8-8368-F656EDB5A0A1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250</xdr:row>
      <xdr:rowOff>173181</xdr:rowOff>
    </xdr:from>
    <xdr:to>
      <xdr:col>21</xdr:col>
      <xdr:colOff>294410</xdr:colOff>
      <xdr:row>251</xdr:row>
      <xdr:rowOff>121226</xdr:rowOff>
    </xdr:to>
    <xdr:sp macro="" textlink="">
      <xdr:nvSpPr>
        <xdr:cNvPr id="4075" name="Freeform 10707">
          <a:extLst>
            <a:ext uri="{FF2B5EF4-FFF2-40B4-BE49-F238E27FC236}">
              <a16:creationId xmlns:a16="http://schemas.microsoft.com/office/drawing/2014/main" id="{2DC63428-34C2-40E9-8E67-1489A4E7121D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250</xdr:row>
      <xdr:rowOff>173181</xdr:rowOff>
    </xdr:from>
    <xdr:to>
      <xdr:col>23</xdr:col>
      <xdr:colOff>294410</xdr:colOff>
      <xdr:row>251</xdr:row>
      <xdr:rowOff>121226</xdr:rowOff>
    </xdr:to>
    <xdr:sp macro="" textlink="">
      <xdr:nvSpPr>
        <xdr:cNvPr id="4076" name="Freeform 10707">
          <a:extLst>
            <a:ext uri="{FF2B5EF4-FFF2-40B4-BE49-F238E27FC236}">
              <a16:creationId xmlns:a16="http://schemas.microsoft.com/office/drawing/2014/main" id="{004BC93A-E919-4EBA-828A-87B218D972C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250</xdr:row>
      <xdr:rowOff>173181</xdr:rowOff>
    </xdr:from>
    <xdr:to>
      <xdr:col>25</xdr:col>
      <xdr:colOff>294410</xdr:colOff>
      <xdr:row>251</xdr:row>
      <xdr:rowOff>121226</xdr:rowOff>
    </xdr:to>
    <xdr:sp macro="" textlink="">
      <xdr:nvSpPr>
        <xdr:cNvPr id="4077" name="Freeform 10707">
          <a:extLst>
            <a:ext uri="{FF2B5EF4-FFF2-40B4-BE49-F238E27FC236}">
              <a16:creationId xmlns:a16="http://schemas.microsoft.com/office/drawing/2014/main" id="{06F18B8E-D90C-461A-9638-2AEEFA50EAE7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250</xdr:row>
      <xdr:rowOff>173181</xdr:rowOff>
    </xdr:from>
    <xdr:to>
      <xdr:col>27</xdr:col>
      <xdr:colOff>294410</xdr:colOff>
      <xdr:row>251</xdr:row>
      <xdr:rowOff>121226</xdr:rowOff>
    </xdr:to>
    <xdr:sp macro="" textlink="">
      <xdr:nvSpPr>
        <xdr:cNvPr id="4078" name="Freeform 10707">
          <a:extLst>
            <a:ext uri="{FF2B5EF4-FFF2-40B4-BE49-F238E27FC236}">
              <a16:creationId xmlns:a16="http://schemas.microsoft.com/office/drawing/2014/main" id="{4AA04337-19D9-4A85-89F3-C15953408621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250</xdr:row>
      <xdr:rowOff>173181</xdr:rowOff>
    </xdr:from>
    <xdr:to>
      <xdr:col>29</xdr:col>
      <xdr:colOff>294410</xdr:colOff>
      <xdr:row>251</xdr:row>
      <xdr:rowOff>121226</xdr:rowOff>
    </xdr:to>
    <xdr:sp macro="" textlink="">
      <xdr:nvSpPr>
        <xdr:cNvPr id="4079" name="Freeform 10707">
          <a:extLst>
            <a:ext uri="{FF2B5EF4-FFF2-40B4-BE49-F238E27FC236}">
              <a16:creationId xmlns:a16="http://schemas.microsoft.com/office/drawing/2014/main" id="{FC86AF38-2B90-4E22-B209-761B3AB6610C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420515</xdr:colOff>
      <xdr:row>274</xdr:row>
      <xdr:rowOff>4233</xdr:rowOff>
    </xdr:from>
    <xdr:to>
      <xdr:col>4</xdr:col>
      <xdr:colOff>46570</xdr:colOff>
      <xdr:row>276</xdr:row>
      <xdr:rowOff>173567</xdr:rowOff>
    </xdr:to>
    <xdr:sp macro="" textlink="">
      <xdr:nvSpPr>
        <xdr:cNvPr id="4113" name="Isosceles Triangle 4112">
          <a:extLst>
            <a:ext uri="{FF2B5EF4-FFF2-40B4-BE49-F238E27FC236}">
              <a16:creationId xmlns:a16="http://schemas.microsoft.com/office/drawing/2014/main" id="{FDAD4125-6BA4-4831-84B3-0B9189606DDC}"/>
            </a:ext>
          </a:extLst>
        </xdr:cNvPr>
        <xdr:cNvSpPr/>
      </xdr:nvSpPr>
      <xdr:spPr>
        <a:xfrm>
          <a:off x="1283368" y="43258939"/>
          <a:ext cx="623378" cy="5055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274</xdr:row>
      <xdr:rowOff>13304</xdr:rowOff>
    </xdr:from>
    <xdr:to>
      <xdr:col>7</xdr:col>
      <xdr:colOff>0</xdr:colOff>
      <xdr:row>277</xdr:row>
      <xdr:rowOff>1209</xdr:rowOff>
    </xdr:to>
    <xdr:sp macro="" textlink="">
      <xdr:nvSpPr>
        <xdr:cNvPr id="4114" name="Isosceles Triangle 4113">
          <a:extLst>
            <a:ext uri="{FF2B5EF4-FFF2-40B4-BE49-F238E27FC236}">
              <a16:creationId xmlns:a16="http://schemas.microsoft.com/office/drawing/2014/main" id="{5A9BB324-B142-4ABC-9C3A-0FC3CAEE9FC9}"/>
            </a:ext>
          </a:extLst>
        </xdr:cNvPr>
        <xdr:cNvSpPr/>
      </xdr:nvSpPr>
      <xdr:spPr>
        <a:xfrm>
          <a:off x="3278015" y="43268010"/>
          <a:ext cx="623379" cy="49217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274</xdr:row>
      <xdr:rowOff>15522</xdr:rowOff>
    </xdr:from>
    <xdr:to>
      <xdr:col>6</xdr:col>
      <xdr:colOff>43746</xdr:colOff>
      <xdr:row>277</xdr:row>
      <xdr:rowOff>8467</xdr:rowOff>
    </xdr:to>
    <xdr:sp macro="" textlink="">
      <xdr:nvSpPr>
        <xdr:cNvPr id="4115" name="Isosceles Triangle 4114">
          <a:extLst>
            <a:ext uri="{FF2B5EF4-FFF2-40B4-BE49-F238E27FC236}">
              <a16:creationId xmlns:a16="http://schemas.microsoft.com/office/drawing/2014/main" id="{E74A0AA3-A133-4506-B54E-4818EA6D5D69}"/>
            </a:ext>
          </a:extLst>
        </xdr:cNvPr>
        <xdr:cNvSpPr/>
      </xdr:nvSpPr>
      <xdr:spPr>
        <a:xfrm>
          <a:off x="2277868" y="43270228"/>
          <a:ext cx="623378" cy="4972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273</xdr:row>
      <xdr:rowOff>173181</xdr:rowOff>
    </xdr:from>
    <xdr:to>
      <xdr:col>3</xdr:col>
      <xdr:colOff>294410</xdr:colOff>
      <xdr:row>274</xdr:row>
      <xdr:rowOff>121226</xdr:rowOff>
    </xdr:to>
    <xdr:sp macro="" textlink="">
      <xdr:nvSpPr>
        <xdr:cNvPr id="4116" name="Freeform 10707">
          <a:extLst>
            <a:ext uri="{FF2B5EF4-FFF2-40B4-BE49-F238E27FC236}">
              <a16:creationId xmlns:a16="http://schemas.microsoft.com/office/drawing/2014/main" id="{57A76E56-B19E-4DED-B310-24D96EF0C8C2}"/>
            </a:ext>
          </a:extLst>
        </xdr:cNvPr>
        <xdr:cNvSpPr>
          <a:spLocks/>
        </xdr:cNvSpPr>
      </xdr:nvSpPr>
      <xdr:spPr bwMode="auto">
        <a:xfrm>
          <a:off x="591199" y="43259799"/>
          <a:ext cx="1003093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273</xdr:row>
      <xdr:rowOff>173181</xdr:rowOff>
    </xdr:from>
    <xdr:to>
      <xdr:col>5</xdr:col>
      <xdr:colOff>294410</xdr:colOff>
      <xdr:row>274</xdr:row>
      <xdr:rowOff>121226</xdr:rowOff>
    </xdr:to>
    <xdr:sp macro="" textlink="">
      <xdr:nvSpPr>
        <xdr:cNvPr id="4117" name="Freeform 10707">
          <a:extLst>
            <a:ext uri="{FF2B5EF4-FFF2-40B4-BE49-F238E27FC236}">
              <a16:creationId xmlns:a16="http://schemas.microsoft.com/office/drawing/2014/main" id="{A5FC799C-CF1A-400D-83B3-956A685AF543}"/>
            </a:ext>
          </a:extLst>
        </xdr:cNvPr>
        <xdr:cNvSpPr>
          <a:spLocks/>
        </xdr:cNvSpPr>
      </xdr:nvSpPr>
      <xdr:spPr bwMode="auto">
        <a:xfrm>
          <a:off x="1588522" y="43259799"/>
          <a:ext cx="1003094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273</xdr:row>
      <xdr:rowOff>159455</xdr:rowOff>
    </xdr:from>
    <xdr:to>
      <xdr:col>2</xdr:col>
      <xdr:colOff>32743</xdr:colOff>
      <xdr:row>276</xdr:row>
      <xdr:rowOff>152400</xdr:rowOff>
    </xdr:to>
    <xdr:sp macro="" textlink="">
      <xdr:nvSpPr>
        <xdr:cNvPr id="4121" name="Isosceles Triangle 4120">
          <a:extLst>
            <a:ext uri="{FF2B5EF4-FFF2-40B4-BE49-F238E27FC236}">
              <a16:creationId xmlns:a16="http://schemas.microsoft.com/office/drawing/2014/main" id="{199CCF99-E816-4B4A-AC82-E81BB4AD8025}"/>
            </a:ext>
          </a:extLst>
        </xdr:cNvPr>
        <xdr:cNvSpPr/>
      </xdr:nvSpPr>
      <xdr:spPr>
        <a:xfrm>
          <a:off x="296796" y="43246073"/>
          <a:ext cx="598800" cy="49720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274</xdr:row>
      <xdr:rowOff>4233</xdr:rowOff>
    </xdr:from>
    <xdr:to>
      <xdr:col>4</xdr:col>
      <xdr:colOff>73463</xdr:colOff>
      <xdr:row>276</xdr:row>
      <xdr:rowOff>165947</xdr:rowOff>
    </xdr:to>
    <xdr:sp macro="" textlink="">
      <xdr:nvSpPr>
        <xdr:cNvPr id="4122" name="Isosceles Triangle 4121">
          <a:extLst>
            <a:ext uri="{FF2B5EF4-FFF2-40B4-BE49-F238E27FC236}">
              <a16:creationId xmlns:a16="http://schemas.microsoft.com/office/drawing/2014/main" id="{01A85041-A17B-429C-8A90-922C4CE77859}"/>
            </a:ext>
          </a:extLst>
        </xdr:cNvPr>
        <xdr:cNvSpPr/>
      </xdr:nvSpPr>
      <xdr:spPr>
        <a:xfrm>
          <a:off x="1300737" y="43258939"/>
          <a:ext cx="632902" cy="497890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E6EADC0-B662-41D7-B6C0-1082491FA9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7E7D2D32-C0CC-470E-AC2F-592A63AC1F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F68B6B-C3A6-4F6D-A9C0-5ADD883028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B19A971-B8ED-4013-AAFF-3BF7F23017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74EDF25-65A4-4431-B442-92848A825D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356CB2C1-C948-47FD-A71B-B9A8A8111D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BC83A8-3623-4EB3-ACF5-44AAB91C24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DA79FF1-5D7C-44E8-A3AB-8B4BCFE03C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5136716-3526-4BD8-B783-0DA1299FB7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1174C547-A18B-48A0-8DFE-8785FF50338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52F375B-3B0B-4459-AB32-5C6BB773D82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AB0722D0-3DA6-4B60-B99A-067BB9B96B9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041B3B5-3E9C-4867-8216-32300D4D01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DF13D51D-0B4B-4368-ACBB-8872687919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BB383F7-180B-4A9C-8111-E96768083E0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E41DAD7-B0D4-4506-A57D-10A151CE22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951718A-6DDC-4492-AD73-744B2B9212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451FC742-1EF8-40A7-99E8-B635C98EEB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D30FF6A-C4EE-4B2C-99BB-BB8508C9090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30918AA-057F-49C0-88AE-9D020BAAF1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D5BE0D6-5301-4BF6-839F-95D3566D5A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EA269354-F3FC-49C0-AE43-BA8B0B23BC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F192DC0-0B8D-4E61-8C99-4A4229D240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6E7D1B8-E9C7-4F4D-B27C-7661208045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2A1FFB4-F187-4E4A-846D-559579705C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11FA368D-4701-44BB-A42D-A80FA9B3355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1A49C2F-49C4-4A0B-83FD-73B49BAC99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9204E139-F590-4395-85BD-1425FDE684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17A6514-284B-4033-B00F-AFFEA5A799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6A5F89CA-8BBE-4F47-AE46-BDAF6531669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35BE07C-639F-405B-8DED-2F14CEF7E43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955EFDD-1A20-4114-8298-A1FD784497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9666D73-E0AE-4C6E-AEE6-87BF8F93DD5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C748C90A-FF3A-443F-B335-471064551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4709CA5-E23C-4C0C-B264-F480291105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E5F8AC70-0FEA-4722-B2F3-305D2ABD9B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E9FBB41-074D-4E49-8BD1-9F5D1B6A42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C7E24B1-95C2-487D-97C3-E68424662C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EBE11E9-1FCA-4759-9CC3-28C4242D2E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28F0F43E-3053-4A0C-BA7E-83C5D6C83E5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1D4A8A6-3FF0-4E8A-8965-CB071FE2BE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4C23988-360A-472C-ABC9-3B8E53221B1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8136993-D05C-4D31-BE84-39F030FD9A9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C114D947-92BA-460C-8DC6-D1934DFDFB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7BCAD2C-63EA-4FF5-BF57-9C149EB0B91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74796A68-2E89-4AA9-B8A2-54B308BC12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D95E9AE-69DD-4F40-BE6B-19C7868D9B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94877B2-A6E8-4B5A-9D24-BADBF8EE99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62B5955-8B51-4EEE-8F7D-736F015F9AE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A5094CCD-07D4-463A-A83F-544B5DD90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7FA1DDD-D607-4727-AEA3-BD956DE8242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8E605054-C6F4-449F-9E36-61F32F93138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56AE84AA-27D8-44F2-A3E9-3E3F1C7487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9B66F96E-B1FF-48D4-BBFA-537EBCD38F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32E3C90D-3C5A-490A-9889-3AE53140E47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5E3C119-F270-455E-8C8B-5C265A224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FCAA7F7-46F4-49EF-A39F-F0BB0FA7D8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A94A9D50-6D9E-4F1B-9BA4-2D986AF138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1F56AD7-78E3-4399-AE3F-D4D029849CC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1217DD31-080E-45DE-923A-E3543F539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C698782-5AD8-402B-B401-6988399FE2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D08DD3CE-5E13-49B5-9006-C4D918DBD4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2CC8B39-CD07-471B-B4E8-57113F480F0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46C95A53-8350-4487-B543-13AFA7F707B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46C471A-20E6-4B1C-A01B-E15AFBAE3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58B55A47-E699-4EF2-A724-DC6C7E6EAB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11E5B7CB-6067-4167-93AC-A75CDACB022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9B4367AD-6859-4023-9B00-842CBA9025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C911E1B-E4F8-4CCF-B742-CF415CD716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38A1E9B7-7607-4111-8890-81016B8CFF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3C26817-A54C-4592-8E85-FD85390C2F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2A5BA2AB-FC1C-4324-944A-8AFE1D40C4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256F2366-2617-4317-9D7D-B9D418DDC7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D94EE00-EE74-4676-AB12-F8D6E534C7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A5534DF-E12D-40A7-A5DF-FB0958D8C1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87423921-891B-476B-813D-51E30A448C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BF8D4E8-9240-4835-A5FF-04EF0F82B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44476D48-F5AD-4B13-8BF5-BBBA25D9C6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BBA003B-2D31-446A-8677-0C96AF135D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773C9A6-E9C8-4FF1-91F9-E6D152BFFA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7C46A93-A404-4C64-8F27-BB26D134D2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2AFF56C-861B-4C2F-92A9-E2E2FF263C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BE1271E6-D49E-402B-82F4-D9C024CD5C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D2820903-DDC9-4D89-AB34-0498C52F8D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0242AC0-7EA5-45C6-9B0E-19C06213C0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851D0A45-24D4-4A6C-8B82-39BCB5DF07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520F3259-1845-4309-8C2C-17F9181BEB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AEF1AEA-DC40-4C1D-B4BD-0D1379232A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516884FB-D03F-43AE-97DF-A0944B95A4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FCA95219-99A1-4B52-B059-D6A4ED4065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FFB67EA-D647-4D94-B8B1-5B241C09E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9A3FAEC-035E-4CB0-8E58-D6B69910C5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EE6AF9A4-3FF1-4F6F-A894-30BA754171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E684CC3B-EEBF-4FEC-97CF-8CD935113E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7B47296-E73E-4D88-BB95-43E16894CA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1980FFB1-C695-44A5-978B-8719E0B420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107893E7-BB55-4B58-8C9C-70341C99C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6ADA5A04-C091-4FCD-B6C5-5F853C2E156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ED08F66-83D2-4C60-A807-54E30C3B4C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D5341D2-BF0A-408C-9E79-71BFC672C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94A54A2-194A-436B-B990-6C2AE77CAD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1DA5D398-140C-4C2A-85CC-0A84D4DACBC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EBEE0D6C-E8C3-4514-A635-EEE2CBEA5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953EF2BA-2497-4E98-9D51-416201A77F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3AAD03C0-64EE-4E78-B962-EC1A2B6B7F0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744440E0-62E9-49B2-A356-3C8FF7F48A4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82648FB-82D4-4F01-B0C1-0454C6A7BC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6F8C428E-B5A6-439D-935C-82070E9E65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58A33C6A-78A8-4DCB-9D89-38B2421D4E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56301490-5E2C-4227-AC97-9B30CE6312E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A2356936-0CC2-454E-AC9E-95D387A005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3D082617-840D-4DC1-B76E-88FB5FD08F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997F4D32-9355-447F-8B03-34248344E9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367A18-1905-451A-9E90-19D4366019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3C8F840-F9F6-48C8-8C4C-FEC8A62661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62560EBC-53FD-414C-A6AE-9E2B24D125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F3AD172-FB8A-4010-831A-A2F8C7AC941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F31DAFE3-75DF-400A-9215-52FF0302C40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1FD0DCE-3326-4BA5-B204-36A0BD9AB9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0CE645F9-CBFA-498F-A67D-3FB2342CD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14EE51B-22F0-414C-875C-486B7F53B2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483C31C6-EBA0-44B8-AD7A-C1B1FCE22B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DF82DA51-AA74-4067-BB7E-36D6E84B2D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3C9197B-8115-405A-86B4-71BC5BB790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8BA171E9-4E36-4866-B5A1-CA2C720CCE2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E9CF382F-16FE-41BC-8B58-E142BA57881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DE1E0B6-86D6-47CC-890B-0BBC2F0DB9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26B2DBF9-5AF7-4A0E-97A8-AD44A6D426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46B746C-EB84-4AA1-815C-94561C2823C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D06B0DE-FAE1-4AE5-A152-10F7782B06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840EA358-D795-4DC6-929E-06A0E930FF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3EE3F684-C3CA-4BDF-ABAF-C2EDE648B86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C9157167-D4DE-4B8C-A056-4613833DA4F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E10B990A-B2D2-4E18-8304-3AE013116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B76776E3-86A9-4572-B135-BFE6F30D930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FD14B65-C486-4CBB-A007-E2B20229A8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354A017-1FA1-4AAF-A571-B370A683CC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6E7EA459-1526-42E1-8715-50ADF413F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A9B3D72-C344-4FDB-ACE6-99C7FFB76E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BCFF6A05-01B8-4B10-B4D3-92F0DCAA99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DCEED20-8AD0-4095-87F4-B0502237CB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F62F3F3-53D8-4086-AE90-9F005E80E3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84DBA88F-9D7F-4796-B51F-72B0352255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0B618CBF-8890-42C1-AA2A-3B78AA04EF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E1B1799A-2FF1-4617-8B8A-B5C14A09D5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4E2E5920-7B8C-4BC1-937D-8C5DC1DBD6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C91D69BD-6844-4D9B-9A5D-D757CCCF3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9B42376-53D6-445D-887C-52118666B4A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9C49E1F1-C977-4241-9A1D-68A5D5D882F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5AD864AF-5FAA-4B80-81B9-2CA6326486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100BB81-692A-4D83-A686-23063E87DD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76556F7-8715-44C2-9BF1-BB52C8D6285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A3A5FB1D-3247-4773-BA22-65606435D21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BB128D02-29E8-4526-88B0-BA4973E482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5F708E3-19AA-48CB-A67F-B08519DC7B0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3A16683F-99C8-4085-A5E1-EA668E5C9E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C59B2040-781A-4E61-90AD-AF237970BDB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7F2A5ED1-0A41-4C5B-A4E0-EC237D39E9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0C08D4-00A7-4B23-9C6F-66E8A8FE41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0B85AFB-2D4C-4041-8FBD-24CD894FAAA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CBD1C88-88F0-4BB2-B6A6-1DE209ABE3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E73B49E8-D48F-447A-AF72-50D9B55E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FD6B225F-0EF8-4EFE-813E-DEA62B27247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A3276CCF-71B0-414D-B038-5F3E414B3F4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CB717BF4-3D97-4659-B906-D8180D0FE5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AD917CE-886D-4DFA-B757-32742F4F35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E802DAD3-9158-4C60-8009-1F6D7FA1697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CFD5864-5B0E-4366-8B1F-3C73865C56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7D11B16D-9958-4FBF-8EB6-3CAA771C14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21890838-D444-4989-BCA2-18921737C6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938717C-58C0-4470-A2B6-91473AB5F5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B4EE5B13-081A-4242-B43B-0AE1D35FF0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DB6BEC2F-39C7-4669-AEAD-0D2DA027B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62A3C8C9-3A91-490D-97A5-D642D6923AD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DAAB0762-9669-4B32-93E9-5BEEE2418D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5F4E51-74FE-4815-982A-86E7142967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5737CAB0-A14E-458A-A005-DC1C2289C7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E4603572-6416-4E40-894A-F4E4FCD344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16544971-4351-4922-8ADC-F71920C9DA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DAEF21FC-39CC-4360-BD7C-9D2A9E3B1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9DA0029E-BF8E-450D-9AEF-D4306C05CE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DA50F67C-5028-44F9-967C-82097D3B64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380DF107-C1DC-49A2-B404-0E8531ECCF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8637C51E-F518-4D34-B723-E768B4E3A2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4FD1CA5-0E70-4B3C-8300-E3F37975A0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C87A4E72-06F5-4B21-829B-560819F4C1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E2D96F61-A4D6-43F0-BDC2-33C143EDF7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3E707DC8-D382-41EF-B983-9A1286E0673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D47C076-B697-4073-A361-66F0FD02C6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76FB62D8-C98E-4D6A-B632-B4BA72434B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2AB15F76-926B-4240-9C90-0FDB4EE5C6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5F9772AB-49AF-443E-BE6F-FA655F7210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2945A78F-F1AD-4CF3-AEDE-5538433A0F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12895FB9-4690-4519-9485-789F71B68BF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8198E992-DCCC-4CC6-9E7A-214F8B5E26A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22E08CF5-4DEC-4F6B-99ED-9845B1BA4F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C2508238-7694-4F41-9529-670962A9A1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C4F13C03-0DAD-4628-A52C-2C2B09AD8A4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32A05F35-7D53-4858-8C1A-2D88D4F600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E1F64756-4244-4576-A45F-69C00370251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2042441-26C7-4605-8365-B572B05F90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88C32D9-572A-4246-B249-5432BA303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8312FB0B-AFCD-4E46-8A15-AABCE7C5F2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5CD35AFD-B0B2-4FCF-8465-3B7C713BB8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3219FAF1-FF11-47C2-AC46-B84EC0868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26E148F4-388A-4E19-AF23-48CBAC794C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83E2DC-1BD0-4E19-8E2E-716710EE20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36B2722A-B63E-4C6B-9360-630428611A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005A9015-8D0A-48F3-A65B-BEB3231CE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70EAEEBC-8F89-44BE-952F-FDAD79B1EB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9606BFA6-D4A8-4311-833C-54C2EBA291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86F99D87-E7CB-4B87-AEC9-508575D270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C6BE549A-EEED-46A0-AA78-C564A10A61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A13FD1BD-341A-49AF-9609-2F5DB7DE8DD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B0992C7-983F-4AE2-91EC-C2E3BB1C8D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7D63D64B-7BE1-4E7C-B4FC-B376AF725C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8C32BEF0-2757-4258-8862-84B959035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B27F605C-85D6-4B85-91DB-A3257CDA68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893551F2-8CCF-42F3-8386-B9BAE3F3EA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942E8CE6-CFA3-4E87-9A1F-7798D4AF66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1D5626F6-5B70-4D44-95CA-A8CB35FECC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5C45E29F-05F0-449B-A3BC-2B5051AF85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3E0D5809-6D02-4965-814F-4C5C790ED1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1304DB25-FED4-478E-808D-1830282696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D0A25D0-CBF4-4EEB-9995-9A6A205438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9F37C4-6DCD-48C0-A250-9A5F2AC716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E3493530-826F-41FC-A27C-67B13DCD73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A89F3CA2-E74D-4541-9F62-023A01D32EA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6C6ED8A1-56D3-4F58-A56C-3F670D5194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77439AB4-C901-452C-BEB3-A2963D0C3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F42E7AB8-49A3-43F5-853E-1C043243C5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59E1DFFA-0EAD-4743-A6A2-C1FEF966616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CC217BE-F7E2-4530-A21E-DBCFACF20D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D26B45F7-519D-42B4-A0FE-237B6ACE99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E38D2C0C-276A-4BAE-A747-64F8670897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775BAE31-29C0-4A4B-9471-60DA0531F7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CCE8AEB4-FFBB-4560-83CC-E672F178E9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3B2B5BAC-126F-4BE9-AAEA-DC1A28DA9A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2DBC626F-9815-47A0-96F9-06302712C9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293EA6C9-764D-4339-90C2-178106440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1751DBF-C416-49C7-9F7B-2BD582515D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8060418F-EAC3-4F27-852A-82B8D657BA4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CBE2AF6D-ADD1-4E39-8313-9CBF65C4AB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0C101FB-7367-413C-AEBE-FCBFDCA59B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71F2CFD7-B010-4686-9FA3-1EA972E5C0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5828792-AE19-4241-821B-6C3ACAF02A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0DC3970-0F88-4F02-B3A4-8BB60A38517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3F88544D-3F9C-485D-BDAA-E4263A895AD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0C8A0921-B85D-42CA-B8E9-6489D668C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FFE562E1-B503-4E7A-8CCE-E7A0DA0542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8091FA1D-32F2-427B-AE52-8E48D5776D7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07364DC4-F924-4A1A-BEB5-C274425969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8A7CFA97-D547-48CC-9056-9089838DC4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9AB6A5FE-1CA2-431A-9D79-FA01B8290D5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A84BEDE9-03BB-4F42-8A2A-BD1D8817FA4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B5DFF5F4-8D08-4555-9652-8E8ACB8070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7750B771-370B-4721-B463-CB837DCB4CC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E34831E8-5460-4F99-8644-8493AB71A21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03658D2E-DD73-4366-9AD9-AB082C60AFF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66EBD27D-98FE-4BBE-9EEC-3ECC8EBD3FE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6E6B75BE-5413-49C3-B71E-175F329444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54E74042-1A73-4580-9FDA-AFF9A5E0C0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F97D1886-8B9C-44FE-96FC-29C61ED9FE8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33190201-387C-4D5F-8C1A-32AC73E33F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E7C635A7-F5E0-4F57-A4DF-AA377592B7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4836D3E2-2F4E-4191-968A-DFD51E105A5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CC716A5-07E0-48F6-9EFB-D08BAD9909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4106BA9-F0C6-4786-BE59-1CD71291D9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2999F71D-4536-4A6F-AEFB-6CD40ED62C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7D3F443E-2206-4DC8-907F-F050445E2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BAA62686-1A17-4A69-A611-6E2329A33C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30F03E1-184F-4639-AC66-DD6DE62875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70FC44F3-65AF-48AD-8CCE-DD0049BCD5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84225C7-FD6A-45E5-B5B3-31684607DA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AC6CD2CA-3A2D-4AC0-AA3E-B1E9F30FEC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97B82735-8A2E-4852-801A-B3A296735C2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3F02D6E-178B-4BD8-A95A-4ABA78C3AE5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0716475D-F882-4D8C-91A2-4CCB8EC7763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5871D54-55E5-4DBD-B1A6-7C07153C473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DDC2FC7C-598C-4C75-A19B-425321AB35E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C7EB2EC-1286-4D6E-BB7F-323821A15D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C0983A60-BF96-4D77-ACAA-0C244561167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321A9234-BF11-4FC8-B704-84006D185B4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166D838E-D4CB-41B5-B894-EA5F794B70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E77091EF-1496-4393-9D80-9CC949F8F9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2E13099A-7C40-486E-833E-A463180F98B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8AFDA18-5D8F-421D-857D-DF6E8E600B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57904358-D558-43F0-A430-15E91D6C4C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0C355959-50F8-4BDE-8991-B3B700B5AC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6A48214A-AAEE-4649-A2E3-C154584DA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73F9CDBC-79BF-4139-A0B6-8C6932E03D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3F029C4A-CC1B-459C-9470-9679F33E66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464122CA-5081-4D45-A857-1D22AE165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299FC330-3BF4-4550-A750-C5E2F7A971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DAB5F9D6-F560-42F5-A3CC-FDFF2CDC02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A77BE07E-D9DC-40DD-9717-CF1F258E83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F467A41D-1E67-464B-9047-A995158E32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F42699A0-12CF-4C64-ADB0-C4FEFC1D56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7796D5E-3B8C-493A-914E-031834F30DC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F4808AD-6873-4436-ACC3-2D0434F7F88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EA08F62E-9C9F-4AEF-986D-0C2C3D6C5B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01CE6687-20D3-4520-89BC-D955C76580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9C8B7A1D-292D-4021-B396-EA75236A9B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483CA4EB-2CE9-43CC-BF06-27D278A9AB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7477D19C-7650-4BD0-968A-28DC6913D1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97457AD-D1E3-425E-9A0E-8CE1B3013C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4C7A5296-9B55-4534-BD77-582A002707D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D5F7C90B-1F40-4BAA-B5E4-0620EAD575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C659C84B-690D-43A7-80B1-902F282830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C96C9A7-145C-4E78-8BDD-807BFD21A8D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BDF10843-185F-4B94-A7A1-0AF440CD1C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37E00D2-99FE-4E9D-AA6C-03B40C1DDC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F58CAFCB-468A-4DF6-999B-919382892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7B0C4C4B-30CD-4E09-A165-BB15AA6E231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7CBDD02D-65CA-4284-8EA4-441EAF8E2E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A083307-8AD5-416D-AEEE-BF2D98CD01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B31F6208-13C2-4BD3-8A06-851F033227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BD1B3D8D-5C20-43B3-9B37-C2E610350A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6977AA2D-7508-407E-8131-957C90BD533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78EEFEB0-C495-4CC0-81BA-53755AA4D0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54114B3-0E09-43F5-A32A-EA266D43FC0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2CEED49F-8856-421F-9C9D-0383F2CAC1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305E3A8E-56F7-4AD3-BBB8-F43BDCE692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CC1E6520-FBE8-461A-937F-19BE7D102D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FC4DE981-EA26-43B7-8F2C-48F2E037C5D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9448FFA4-B5CF-4C12-AE99-E1297A8A59B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10386079-FBC8-46AE-BBDC-96A601843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4C63AF97-726B-4658-83A8-BDC639EDA14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C55B7167-3B9F-47DD-BF5C-5361C9F383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E206684-DEDC-4A21-B883-ECD242D3E2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FE509F3E-A90B-4802-B25A-F4373A2F63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DD537807-FCF7-4FB2-B729-B564EAC853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4FDFC830-6048-4A65-A574-5C6427DDF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AE18FEEC-767F-4836-99FF-0DB12ED4BD0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5F74C52D-D1A8-4CE7-BAF2-6FDA487762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EDD245A-758D-48CD-B9E8-9F2A24DCC2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383B4737-D80D-4C2B-B0F0-902B45A2C50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E10196F-2FEC-48F2-B903-576C7791B98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2A826C1-C63E-4BE9-84BD-63203838A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53E74C-BDD0-4410-A6C9-217293F51B9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8DB61FCD-D808-432C-BDA0-7E6E281F39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3125D873-B932-4E3E-8AD2-F0628C247E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9352690-CFAE-40AD-B2E1-9584EBB761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824041E3-9C2C-45F0-8C32-E6C3745CA4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EB08E310-C085-4B72-9272-D9C9B8936A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92B5131-65E3-47E0-8F7A-2EBE868E2A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9D2B92F3-6CA9-408C-B820-40B65ABECF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801722F2-075D-4F32-86F6-1323CE0DB0E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A07277D3-5B44-40FA-889E-E7F28CAE9F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1880A09B-8B8F-4437-95C5-46004B896BA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F0136F30-9AD5-47A9-B050-6B930B633E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848A5ACE-40A9-4924-8EA8-56D086A5A06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8085C47A-15B9-4825-A1CC-4C1FA4F411F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03C757DD-E7FD-42CA-92F9-21FFA8DDE5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4643DFCA-F8AE-4560-A3CA-9AE7FF0F0E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2DE4BA45-1DB8-4439-90D1-C1A39B70C6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F16E1C25-EE97-481C-AF7D-09A6A8FF53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D1CD07-2536-4275-A73D-A844EB7ED4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880466D-9254-4C7D-97D8-3F2D826726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A3130AC-CF62-4A56-8027-46A6833F0B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C296F76-5D58-45CC-93F8-93A4651D2C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079FBEE6-C6A6-4CC6-A076-FC22CE8317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AF9EF266-DD82-4A33-9105-72FBCB1C8C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C3DC6A8D-B60F-4508-9F65-B68BDB94F2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11888D9-0168-46DD-AFE4-18A51182BB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AC12D0E4-3C9C-417B-80A7-625F4A39D4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FCEA422F-E4B3-4A6B-916A-8B2E831A70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41541D2-25CC-4E3A-B9CC-554E689F4D2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D9991C4D-EE40-402D-8037-D993D634E2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0DA0AA96-3D37-4677-A117-C8BFF542615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F9363EFE-B654-46C1-AFCF-FE9849F76B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2E591654-A4E1-452D-9B74-47204F2DEB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153F7AC4-A600-47E8-AB34-06621737D2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E187E0E7-8325-456D-974A-FF6083A4DA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5A9F12C-F031-4C79-B39B-E7FDCF06FC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F52A6CAE-5866-438D-AE39-1C391FBFB8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EFC255C6-0E15-4C51-BF3E-21E4526E44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C087EF7-76E3-470C-B57C-CC69F9916F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7D0E47E3-4D93-4A2F-81AD-58CC454E6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62896543-602F-47B2-AE83-0325778D57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C0B027B-7FC8-48AC-8D02-805977EEA8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280B8D19-BAF7-4CBD-A64B-0E04115687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E1FD8389-35A2-47AE-B1B8-19D70E1239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950ACF23-8A75-4A2B-AE8D-4A682A89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487803F7-A18E-43A1-BBBC-6FCA8E17C0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1E61DB4-4039-4328-A835-DE6BED049E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B9297380-ACE8-4D24-BABD-6EDD3F3E36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C53A3623-44C0-489C-8864-3E4E367E9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13810D28-07D5-4609-96A1-06697E3A8E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26599957-C4B6-41A8-8E9F-88FDDAA8022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C8091FB-5A44-40A9-AC81-1D900D0370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1FEE2CF-6180-4F8E-9FD0-551E21D6C2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FD027677-9FD8-4EEA-B310-1CC350C2CF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28B9C935-FB7E-425F-949D-207406229C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AD955465-E158-4B3C-A182-1A08606C52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46EDD4E2-423B-43D9-A95C-3808A94288F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801B73A2-10BF-48C3-B021-E0E94C21A65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0F5BD59-D94F-4C2A-AF1C-84DAFB7837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CD1A01A9-6BD7-49DE-BF0D-7CBFE4F66D7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67DA1027-DFFB-4344-96F2-04B862481C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7C851D07-1005-4917-BB73-91168E60D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722C774-6F8E-4B16-8880-D948539E85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56EE2564-69CE-4DD5-B95F-1C03FD0478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0E08A846-F085-476A-8FE3-6942347C08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2E343D14-31C9-4940-BBFD-690A71D74DB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CCB1E220-4657-43B9-80A1-2543FB39A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07E56214-9BD8-4E73-97BB-8B429F8734C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62369751-44B8-4268-9578-C26EA7D9E2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DA237383-DDF7-4BB7-8089-61DFE1CECF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E5DD11E6-0DC1-4F45-998F-B58824078C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E896DD1-833E-43E7-AD33-6B2EB3E136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A280F59C-F30F-4653-99F2-6D8311C0AE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185ACB5A-79F9-4A34-ACB8-E6DC3767AA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3E0C12-DB6D-4889-A70A-A02247A189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AABFAE3F-D397-4B69-9A7F-5E8338B30DD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DFD53087-FFCE-45A9-935F-5236ECDEDD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D31B1C3-2DF9-44DF-B959-219541A5E3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551A4D19-FD14-41F1-92FC-6DFEC22D19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2A4FC7C0-196D-43BD-8D3D-145CF46D04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8A8F6E2-65C6-4ABC-BD4D-5DD1A19E79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0B8640F-75C7-4920-B6BE-EB97B54D34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2CDB86B-EE1F-4D6F-AEB9-EA1330A5BC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CB93BF4F-F4C7-42F0-8F93-6B7CDF2A65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6622D08-9554-4AF1-B1C1-EABE8E7E5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66FCE3B6-6366-495B-B6EE-256DDDBAA9E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63E09F8D-2820-47C1-A959-1BA2F23BA9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01CCCC8C-7A9E-4F19-B64F-BE0583794A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6294606A-9CFF-4563-B88B-E32A0A9E82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A51B50AD-17D1-4D64-9D66-F3B8877687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250A79FF-CDB3-49CC-B7D1-6EC577C35C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3B77C5EB-C41A-43C3-B024-C683B30FD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1CD2926-C571-4219-8C25-C9F2B0D33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952579DC-55F9-402C-9592-E7FEA5D45A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A1C84A87-15EF-47A4-8293-28EBAC68BE4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09C8DC7-D20F-42A5-ABF5-0AF045F7D4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4661E64C-2DAD-49F8-B92E-F12D3AD4AD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9FB19147-4AF7-4AAF-BD99-DC310F23E3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26E3887-CB6A-4739-8C0A-DBCD38DFC0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1D7DFC20-A61F-46EE-B2B7-C4AD2F90A8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C43516D2-A3AD-47A4-BC28-13A7265A31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601379FA-0E20-4B24-B9BF-C221EFC98D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946BE37D-3D4E-4407-AD56-F898F0FD5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89178739-5409-4467-A382-6A51C38BAEA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8B92EC04-4274-4AE6-8675-D3C230D8628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A7AD6C24-3942-4FD5-BA34-AC302281CE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53216E06-746B-4E4E-9A50-FFB60869A0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271A7C70-1EF3-45F9-9CB1-AE3D48417F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39C5653B-3BD8-4194-A5C1-13D9940CB6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B3E71BAB-0A7F-41EC-8FA4-B1F3F3327C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0CD0D506-A483-445E-99C9-BB369380BB9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0C35363B-EEB2-4931-B1A2-D679B712E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38F6AE5-6ADC-4877-BD8F-83D814817A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8AD83D-EE16-4F94-BCF8-471D3D8A03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D310688B-BE96-4B83-9B53-E916780F48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27B98BA6-2A91-4936-B30C-3ABAE6E4585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F6A9ADE-7D3A-4919-A255-C4C5D789D1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210D7CDC-F65F-4F1B-A3A0-E148F0A7D21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16304348-BBD0-44AF-A552-8F44CD9D78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EE9A9206-0A75-496D-9FEF-D77A4FF419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74216F93-C8A7-4BE8-922A-A0EB7FCE35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CED4A41-A3FB-4B2B-859D-019A8EAE663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E3FAE060-5A10-499F-AAB9-5FB5F58E56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3EE9C8DB-3DE6-4032-96DB-EE9CC39EC9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51CCB8E5-7778-429E-AFA7-5985EF660A8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C94F04-22CE-439D-B505-09821697A9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3CECF78-16D5-42B4-A662-278174BA37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22CA23E8-BC0C-42F9-A3D6-632651EAA44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0CD561E1-00AA-4267-B2C2-585F55A4BA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C2043F8-89AD-4E40-BB10-D5018242F9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10A9BDC-232C-4BF8-9025-B588A79C7F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C0084F4B-9470-40E0-9F26-A2A8481D7C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5D396FA4-A65F-448B-9CF0-75E32A0FD5D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1489A19-2766-4309-9150-31AC33AED4E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0D87B17C-96B8-4843-8C82-B1C574BE192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11286EA9-968E-45D9-90B0-FC8CC11CA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F0DC8EE-4C15-4080-ACDE-C29EA79D16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F936C3A7-DE6D-4B10-828C-8876C9C27F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29D50FB-4171-4C9A-AFF9-059FE306F7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8DEF17B1-E0C8-46AB-9BF0-0D758DF038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0A5371D6-4E77-43D3-B758-BA51720D29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2037F655-224E-4CB7-A028-52805FD282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24140A6A-DD5E-465A-91CA-74C6E83069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42623024-E0A9-4FF3-98F2-1B5666051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00964F8F-3209-4B5B-9526-8167168175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78426B-156C-4FA1-ACD3-877843D411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C53DBAFF-C4FA-46C3-ACA7-72A0A06B7E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24F949A2-4E83-46B3-ADBA-9A70B1BACA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45A624C1-7AE5-441C-9CC1-8BFC8FBA00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83E028A2-74D9-4FAA-B3E6-79BD8CFB2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0AD025BC-542A-42CB-B6D3-D14DE53670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AC406330-EFDE-4F50-AFD2-505D553813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9C062B57-8F4D-419F-81E5-F5B741F46A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4A26720A-4BC0-40C1-8103-D59931431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A085812D-2B4B-4FFC-9085-403D6EB745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796A5C9-19B2-4FB4-B142-20E4797133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A3E4AEDC-64F1-433A-8FAE-BC70B28F0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04508411-2469-4E6F-9820-2BD07F79A53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D3ADE6D-47B2-4919-92BC-3E69EEFF20A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200B334-8B34-4809-BFE3-5D09384F82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9D2C345A-264A-4297-89F2-0CEFD8959F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E6EE0DCC-CDEB-4AF3-8207-E4E4FE2AAD8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66D51D5B-761B-4F52-AC77-94BAFBD8AE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0A54E017-850F-4D68-A0F1-EF1EBFEA3D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135E247C-6153-47CC-8FF5-22178C511F1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CB5EEAA5-0D4B-4B41-94EA-C947486ECC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555BF74-8A36-491E-857D-D299D02364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2EF2A29-3651-4F5A-AD3B-E74BD5FC9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EF4CD108-62DB-421A-A312-CAA2662622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163D7F5C-BAD2-4A10-81B3-3626370FBE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154ED983-C06A-415E-87C8-82FED9377A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EBAE09FB-C19F-4745-8369-B4471DBFBA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868AA122-555C-483E-AD2D-F77B4F2F5A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221F1905-42CB-4CEC-A3D3-B5C60E9A22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6101FC2B-ACB5-4EFC-B55A-81FC8BB11D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CDEC5BE9-AFA6-40B5-B1F9-73AC639010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4698CC9E-DA42-47BC-B99F-47D6F8FDF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60D32AFE-8357-4A7E-B8D9-3DEAF6E2C1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994D00F-96E2-4D6C-BF34-56A875C5D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7C5DC754-B20A-477C-90F3-912B5BFEA4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F9B07C3-8E17-4DC6-9CD4-8B6FB718FF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D7D5A3FD-3007-4729-835A-5F76EB1549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88C9CBC-DB18-41D6-B159-ECCB78338C7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B3802FF5-0DCB-4867-972D-ADBF959466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571E3661-F440-490A-AD50-83B3B151FD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D1C69D2-B36F-4E81-A871-83790E5D08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DD87285C-87D5-4FAB-9AD0-290163B6EB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196EE2A2-5440-490D-93AE-8217D39801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6B0FD31A-D5B4-470E-AC12-6988291B6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33931AD2-45D1-4014-A416-193769011C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E563EB1-3953-469F-8620-5B61238A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16EDC953-4EC0-4CE0-B499-9079FA1E1A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B3542AA9-10AD-4290-87DA-EF86298B4B6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C974BAE5-B628-4252-BE86-28C5753663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A50D95F-A29B-4C52-BC9C-145B58A663F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A4954995-050B-4819-822B-2BDD658DE8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05ED520-EFA9-4A46-A7B5-A340943108A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DD6C687-4F3B-48E7-9499-5CF49CDE192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0BF388E6-1287-44B2-95FD-EABE2629E3F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A6A0A5D-BDD3-4A67-B8E0-E10F5FDCDC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2631D256-F5FC-4C8C-843D-FB1206C2856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FD1FEF8E-507D-49F6-88F2-75463E8643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CE3196F3-0AD6-41C8-8822-0182A4AFDE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D7DA1AA4-8FB4-46F4-8E5B-09B9AB2941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A92DE3BB-F8CF-4819-8AB4-2E9264800B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90B20A1B-5BFB-4ACB-9BB5-B0ADCFCAB8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0BC065D-EC76-4F61-9715-9177F909FF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7FEB806D-0FD0-4390-89D6-3D0A752BAB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5660AF30-5AC4-4710-A5C4-00FCFBE437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B6975610-AE7B-46CF-85FD-5315DE0F85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5E34BC06-9185-4545-B7FD-EFC7E8CA3FE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59ECEE2-4F35-4C13-A411-BE77AFD7C6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84EE56E7-E01F-4010-82E9-7722EFE7E6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02E8C375-E904-48FE-9D39-F456D0962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F5265F91-682B-4A83-AF95-A7A9775530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C1F527CD-AE5F-45E1-8C27-16E9B5BBA9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E826B183-BBE2-41AB-96E7-75F073966E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5DBA9A57-3309-47DE-91F8-9821C9FF17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67DC0A3-F502-45A5-804C-89967D9F76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6EA93B44-BE37-4007-B064-A9B93E3637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AA6A56D1-AE64-4625-8D72-2751051F0A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6B406DFF-07C2-4651-B947-CF79F20CC3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E8FF5372-11C1-4C8E-A824-D7B8125C87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5A08699F-F06D-47BC-BA12-2DB8F1DF8D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5D2EE562-55D0-4694-875E-F915D26B7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F633DA6-8DD8-4F55-9E51-2BE5D58EBB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B01C5A2-47AC-44A8-9ADC-6E11FEBE423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443B56AB-D7FF-4BC6-95E3-F725EED7449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A6BAD23-F1E9-4F39-B837-86C23C577DD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0396B7BA-0898-4A1F-96A8-24F4C59311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5B705D43-C530-4232-8629-48211E6D98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55248DC-5316-4121-87B3-C52AD57179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0077F61-AF0B-4112-9A12-90A3ADC6C17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F7C490C-FE02-42DC-AB12-D28578E4EA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31353387-49F7-42EA-8FE2-4278FEA8699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F33D1575-D059-4AE4-A387-43F9827A3C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C4D3E66E-2866-43C8-AFB0-B3E164B767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0A87DABF-0173-40F9-AD2D-6DAB75C61D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14ED746-34DC-4C69-902D-29C181AC0EE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FCBB27C5-8138-4ABB-9416-24500EE468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0C4F544D-B02D-4C8C-B473-0476E27D4D7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D507068-C7C5-4A8A-B77E-1D046DC3D5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35B847DE-15B7-48C7-B5E8-411CF0C205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CFB95BF3-E8AF-4CF2-9656-EE3CCC7241A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517588BA-59C9-41B2-A2CC-CD51C9BAD46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95548AC-76CE-4375-9B38-A9359B4C19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BE358274-547D-4B71-9FF3-8BCCBA7268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86F49ECA-3CFB-4ADC-9218-0846D63F4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C0602229-8A4C-474E-BE23-04AE0FF226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86F3E55C-7D82-4818-A82D-3F805AEBAA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E18C21E9-8C82-4B18-B44E-F5DE846DFB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577302E8-327B-4A6B-A23C-9B6FBFDF7A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57B5C2D8-8867-471A-BBD7-7EF1F75F08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D59FAF44-29FD-4942-9666-0C6D0BF80FE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D0D154AB-0A1A-42B0-9C1E-40BB64FEC4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AE92046-BAEB-403A-BED7-7455E84915D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72BA72BF-AE6E-404B-A163-F392971D96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EDB4E5E4-2562-4AC4-BEED-8BFADB245A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98FA5A73-08CF-4D93-9D0D-8D1217BE17D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DF22DAFF-EE6C-47BD-B317-835AF3995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FECBDB7A-405B-4C72-BC2E-5CEBF6BF85C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390BB5C7-15CB-44DB-9A19-EDF0E1BFC14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6021F601-F16B-4206-B1ED-71C1EE5331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EE6F1B10-E6F4-4B4E-B668-BB4A63D496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9E375EBC-7407-4F6E-9438-001234C0F06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99D0E149-9B97-45CE-B53C-74011C285F3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BE060573-34BA-4122-AFA8-70265CA64B0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3C7EFD7-EFBA-4C96-98E8-71023F62CDE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AF9D19-F238-4279-848A-9F22F1D2458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F73AA186-2E79-4072-AD2A-115DF5C642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5728BD06-CA83-4DA1-9E4C-199419972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404634DD-A90C-43D1-9556-E91783240F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BD47558-5EA2-4B52-81A7-83DA9E287A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5F2B56A5-D5E5-427F-99A2-EB274CA314C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43E6F71B-DE5A-4BD9-8DB0-6B8429686B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2A0BB3C4-49FF-42C6-A002-C3B56FD368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1E1ADA4-A05D-4D2A-BF85-F57AF5797B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0097D516-8E30-428E-B965-E0C539CBB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B52C0BE4-F43A-466B-90A2-B04935C35B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A1FF215F-8942-4215-B0FC-324EC6F0BF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877746F7-EFC7-4A52-883B-A1E98033BE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C2AFD072-6961-48FD-B5DC-1D8BDC2B10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F7444CBD-5AE1-4B55-BF5F-A95BFD7F51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05F46DAC-46F5-4466-A12E-51AA262813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3C27B1D4-9EE3-42E7-89EF-5AE73FAD73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A5AF6849-3754-41F5-B138-AF2726FFE9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B1CADFA7-AB35-4737-BB0C-99CD5B797D1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EBF15805-3167-469E-97E4-E23490ADC1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83DFA89B-02A1-45B8-9F83-12FBCDF493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8C83F50A-B0F0-40FB-8090-905FD370EFE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3FAB3587-82B9-4AB4-8DA3-8F9B96833B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267358-6780-4905-9953-C3E9FF77A2B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F1685600-1CBD-4067-9F16-10FBD41BFC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1B2B8952-B6E6-4AA0-AA07-2B255A8F259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451CBBFA-62A4-45FD-A7D8-FF09D39555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131BC155-4CC2-480B-B62B-DD6572A944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2CBDF760-A4AD-4920-A88D-E4760C9409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77122EC6-F22A-4C29-9998-C5652D15DC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C2050929-354A-443D-83B8-C653FC814B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1BD91588-DE3F-4259-812A-FD351D479AF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1DE5433D-BDF2-4082-85C7-4E3A345C509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823E47D6-AEDA-4DFA-93A2-0829C8C65F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1F3A3AC0-CE93-41F7-B7A0-0CF5915A20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111819BA-29DE-41AE-AFE8-5ED2B58ACA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D075CA82-5163-4000-BF2D-06B7B66DC93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66BB838C-E6CD-4F23-BD15-D776F1DE6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DB7713B1-FB63-40ED-8C4E-B13B0DFB78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B158920B-F993-4B58-B598-AD9879EE8F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7AF393F0-BC50-45E7-809D-0B512912F7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1824734F-2BA4-4D0D-AF94-242E01C92B9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2912C098-5116-499E-8489-D1FD9673C9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17E1460F-9BAE-4684-BD57-98608AB1B2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ABAFF54D-ADD5-4B3D-BAC5-900CD6A995C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68A139E2-7048-418B-9780-B947DE2934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E70E9FB2-31A3-4ACF-B023-00CE9CEEB40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FCF17C54-6790-40E6-A789-1550022E21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94A6F846-0E5C-4DC2-AEAB-9DD8D1EBAC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70F8272-0191-4DE1-9619-C5EDC951E9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857EBDF8-04A5-49B0-8BF3-29FAB2D5DF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B0D996FC-C885-4F94-9738-55503E682A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B69B72BA-F2A7-4004-A77C-FBEE9ACD601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C63C19C7-E683-4F85-AD4C-1AD603D68E1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AFEA431-CE3E-4DEA-AB79-266805722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84394A-03CA-4CB8-8107-54599B26AE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9BB530C-99D4-47DB-A051-B90EFDCC7D6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CBD0D097-A5F4-438F-AEC4-9DBFC4392C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76AC1B7C-4BE4-4CE1-AA31-F07C44D6B8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A910FD43-DAAB-4BFB-B87E-296E29AF7FE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C92536D2-32F8-487A-820C-DA9AC0934E2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C4076B32-EB47-4615-8243-2BD061A68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1ECF88B-D97A-4903-AE40-55D56FB728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D4C0931A-E1D8-4091-99E8-63C72FB2B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99F71FE-333F-48B5-A7B7-306DA5C7943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9FF045D3-A925-4C41-890C-15C15D19C5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58B3B4CA-08BA-457B-B377-6544414C36A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2BE8BE20-D78B-4FEF-A3C6-25F77BF70A1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C963910-4D9D-48BB-A59E-B11E0FB6FE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8C9532BD-DA65-4866-A750-651A6F26D65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D53FDFBD-3FF6-4AAC-AD94-D538530AD6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0E98362C-AFD9-4C75-80E3-484D79B4003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ACF99003-AADB-4C99-991C-CBD27D6D7C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5F6A57F-09D7-4C5A-BA7C-2D6EC98FE2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7B4C8CFD-A79C-4C37-965F-F3DF5CDD1A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603AADC0-AB0A-4F43-ADC7-BB5DAEE4BA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D04346E-5767-4ED8-9F8C-FA5B1363005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733B92CC-B85E-46D8-A9B7-187945121F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1FDBC15-6750-45EC-9CAF-1AB2CC327A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9541D0E7-1BF4-48F7-ACFC-3321183520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E692B68-8FC6-4E57-828B-5AF6EE466C4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56A9C2FA-2764-41DF-8777-EEB33EAFE58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F62D0183-53C0-480B-BB50-3E1B8152CA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881AB3DD-AD7F-42E6-8655-2090B2E0CF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D7C4D9C-8B24-46EF-A7A9-8DA4A0B9C4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CACC439D-311D-43D8-B5A4-B78E802A13A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C233AF0-FED8-42CB-8872-E06F4C8A84B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BA1938FA-D651-4F2D-A220-F34EC839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995C368-4119-448A-AFA5-0FC55994F0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098D8094-4EF0-420C-9771-38FF0BE93D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E26E62D0-A06F-4B37-8A58-3EC692C139C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E4BB40E-41CE-40A8-ABF8-3EA50D85F7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B4F2B2C-691B-4192-BF16-8F73752408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38320D8F-FE6D-4269-B812-66A919E850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A8A67356-04FB-4CE5-9379-4B0C91E6EE8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EE311C7C-48F3-470C-8002-0B93DB0F93E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9F36589A-BD4E-4BB4-B778-A0C0646B0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5E277299-EBFA-4E2A-BF65-A30B767FACB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54C3C25B-2059-4DB6-BE1E-70901CAEFF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1CB4B522-54E7-4D98-80C7-FD698C023D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4EAA919-C1B9-4291-9E6B-1B35AC00A12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A9703852-3CEC-4D75-894E-6FDCA25927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3C8241C7-E0AA-404A-97AC-07A7CCC080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E3989263-3344-4EC9-8D75-B86C95AF99E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063FE35F-24B1-4B18-A4DC-EDD3EF0E649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1EF7FC42-150C-4DC3-819A-0412920F59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53E0C62D-58A7-424F-B5E8-40D88BF82E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F3583D22-5687-44CD-96D8-9E98E86CE2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5A1C0CA-B767-4550-97AB-340C841123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943B2A3F-755F-4F77-8C4C-4BA5B4A17D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835AFEF8-B0C3-4F31-B13C-5EDD13D095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E9E10C7-3E25-4907-998B-A416F265FA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E897A71A-C2FE-40A2-B325-CCA3FDF83FA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476AD3A0-BF72-4543-A821-F5DA3A2518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6ED8C4B2-5CE5-48BA-A63E-C2ECFC1556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2E7207A7-4010-414F-917B-BE0F38C56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2587C0A-E735-4ACB-990F-D2486AB3355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E1EA1E7F-B18E-464A-B0A1-5BBA6B30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C6F599EB-64EB-4647-8991-F504803CFD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5931838-4E99-4885-94E5-2F528AD42D8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861C3856-A9A9-43A2-9521-325F256B4B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9D28DE9D-5E9F-4939-90BB-FD046922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7F70B0C2-FFCD-43B6-8DD8-6A6BCE1806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8829256C-099F-4FFC-8043-313A855805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ECED2D5E-D535-48A5-B2A1-C86D4D99AE3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F41786B4-7227-4198-AC86-370AD733F8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BF755BEE-0E1F-418B-9611-20A96B909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8EA10557-2B8D-4FF6-924E-D5FCA7C71E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5FA669A7-DB8E-41E6-AE91-ACA0ECB5E01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150636CD-B3F3-4A2E-9C73-B6AB068EB97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13DF620-6F6B-42B3-BF84-8064A9E1FB2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89631F9F-3F85-47A7-AB7D-7584FFD21C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4917F072-81C4-4C9E-AD47-359648F52A1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5080BFB8-E246-4F47-BEDA-211B1E1B61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CBCF58F9-A20D-446D-B1EB-3122F8C5E8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781E21B8-9BD8-489E-8571-5D767E8637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5D718E17-229C-4F9A-B3EC-B477503947A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00B8BFEF-66FC-4B1A-9035-5BF5AF0AA0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55FB4680-98A9-4115-9AAC-A6CE9400E79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364CB805-6AA0-4033-8921-C1D684A3EF9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FA397B82-5FF4-497C-BC53-FBED03FAB6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41E6861B-CB62-41FA-9FED-6C40CB2AB5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3B54E6EB-3077-4294-B843-9B62D8D11D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0C09D0CE-3A91-43B0-BF3F-3C1C3A06057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DE8E14B2-2B8A-40EB-ABC0-27D793B148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E6DD43D3-5FAF-40EF-9788-DB2C837A94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77FA8B68-1BDE-4B0B-921E-9BB880FBFE1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31DF0AD2-F2BE-4037-93A6-88393293E7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4A8FFAD4-9CCD-4FEE-A260-DE82F9D037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FA7048E3-E3F0-492A-AFE7-3508CED748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D944E97-2E7D-490E-BBE5-E386C61CC0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22885566-A6A4-4423-B833-A83F7DDA01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E4E00276-5ECE-4094-8EBC-EAE1E3791D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F6DDC868-A487-4B4E-AA66-FCD4858106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671C296-3EE3-4924-86AC-A2375EC4CE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FBDA309C-7EE4-40AD-AFE4-92C9447C5B7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B82E2E8-D99B-441E-B752-16A1FE295C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6E30D08-3E53-483A-8EA6-F494B8784C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3E2C908-D809-41AE-800E-FA389C6633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717EBD49-BE5B-4A5F-BA54-E88FD23FDD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A69244E8-8DA9-46DC-AE8E-D396EB601A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9B1B8479-F306-42EB-92CF-CE58924A116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C34639A9-56C3-4A5F-BFEE-FD08EDE5EA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891D189A-6074-44DA-A91F-955AE9BDF5A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16882007-7801-406F-A516-2B5E62CA463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CBE99EA2-FC9A-4218-BE62-45902BEBF6E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AEB16730-1A8F-4077-A335-C0BD5228A17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8A76E09B-9893-47FA-976A-02F44808749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9A37F5A9-8562-4D09-B66B-8C07D908F1D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014F8E0E-1E29-4396-B485-281217115D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3EEEEEB4-D928-4ADB-9E8C-FF8C247AB1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01C21881-89D4-4495-BA67-D0B8D53FD5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297C8F2C-3145-4F16-84C7-B6A3DC1C3D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2FA161BE-4F41-41DB-9E63-05C9E8F6F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078F264F-2679-4393-A472-6C527652BD8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0B5D172F-CB8C-425B-B4EC-FF1CE2943D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2D5E4D8-2495-4F48-82D4-2BA42CD481C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4C4ECEFC-6ADF-4E1E-9B86-58F1340578B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92519CA-B804-4CAC-B865-8C60F68DC6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056FBFE7-601F-479B-AE32-C7A45ACC09F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DAD498B0-1862-4AE9-8454-923A3F8462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64A59FAB-5C2D-47B2-8A64-3C80BCEF749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49F53E9A-007F-47F2-A72A-FE9F694B464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1856E033-77DB-443D-84B2-1BB27E1033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5A6DA05F-409C-4BCF-BF4D-6F1CA2D98B0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F9DF51AB-AC4F-4CC3-9444-A9BFF3CE7C7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DABE359-9D6E-4B02-8F6C-0D091FA5FD0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0A87D8FE-A67D-46B4-A630-408B3B0CFD4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E6A3D1B6-F482-4962-B859-49EC0B0E54D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90502B58-6C7D-4A83-B3E3-915531B10E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B05498E4-0857-42BB-AEEF-DE09875C432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D53A1CA-7A11-4CF2-BB6B-85AABC1CF1A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0D001800-9B56-46A1-93E7-6C1765F3A0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FFEB0D11-BC9B-402A-8A50-F2D615B2F3E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D8DB8933-B7DE-40F7-982F-F2C6F34FEC3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95D7E3A6-82DD-4493-8FBA-3410AC96536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2A5349-CEEA-4269-97C4-FBA240EC29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8DA7ED1C-B1AF-4E41-9DB6-85353438C0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F35CF014-7EBC-4B88-B82E-43E05A1C95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243C8B0F-5D5E-4368-815B-1366145B3B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5C0D8D0-4112-48F8-B771-601B926DC2E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0FBD5C83-6957-4F51-A5D0-FFD2D80B54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481B0BD3-DE74-4637-903C-54C655572AD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A2983058-D245-4639-8DBC-AD98F04D219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57FF64AB-744D-4EE0-859A-5537620AB0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6A73A251-2432-4171-9D4E-C3486407CF8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CC1EB226-A6CE-44B1-99E6-4717EFBA6C9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2774011-ABFC-487C-9468-7DF979FFEC4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A0348911-C756-44D9-8ECE-6941ECCC259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D2523DCD-FFD2-46D6-99E0-405086D5BA2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FC33E1AD-B54E-4C35-A948-22EECDA53C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407F1A82-22F4-406D-AAEC-89B983DBFE8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885CA883-7D46-40BE-806A-8FF0C2AB8DC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F81D7B7C-A25D-48A8-AA23-9EE51DA6EDA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0448E41-FD79-4FB9-A071-4B275245DEE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0927F645-D9C7-4907-B5F3-63E472EF00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98B285BF-BC48-4195-AA59-F5D585ADCB0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3FEBBB5E-4542-4377-9E86-646ECCAB869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80DF8CD-92D6-4349-B3A3-F70779EDDAC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13D4D4BC-DE58-42D9-9A05-A9D9F72B3C5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3A83121-6C77-4981-A8B0-4944EFBF073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1E82A85-82C8-43A2-A463-09704DBC911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273A4B9D-F809-4E91-AD65-D525A4AD344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CC990B5-4625-431E-8826-BAE6899251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203F7D05-EBB1-4AE3-B4D6-8ADBEB5DBBB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479E3A74-FA15-4C28-9CF4-6C6CBEBAC5A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BC3C31AC-E151-4FAE-92C0-6669DFE89E8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8B21EDE1-FF94-4178-A9C0-73811C98701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A9B382FC-9BA5-4C9C-8355-BD35BC09301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119FDCDA-75EF-4152-8F24-CCD7920785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B3B41AEA-4A23-4461-A2EC-2B74C4F097F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68C1A31-8B39-4827-A15C-01F99DE1E80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AEE5643F-B390-4C64-991C-2037B5D9D7C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D8CD7A9-AFF8-4175-8B80-69EA046F15F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CCB606E-18DA-4180-AE28-6F7C68F4D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01C8A4F0-B97B-4E79-B085-F1FBE085A07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2F705A5-5666-447A-9BB3-105A3132E83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3149CAF6-3611-4EB1-8592-6E3115D492D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02A5E62-E2B1-44C2-97AE-D980CBF5309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4439C2AF-BC09-4B8E-92AE-93EABAA6BAF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8C729DBB-C565-463F-A605-4E7FDDD72FD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8F3BFEAD-711E-4F73-9ABC-B3A47C911E3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2F64EF6-9512-47C0-9FBC-F6EEA2E9200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38FD3ED4-B4FB-45EF-AF0A-40E400E691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989E42-450B-41F1-A2E7-A78741E2C0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0A870F5B-D6AB-4343-AD87-344F20F8DB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86F41B5D-55EF-4D54-83C5-92C145F588E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EA32F48-E94D-4758-B92E-4D9806A7940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6E61803-5B25-402C-984F-BB970342875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862C4B6D-886F-409D-A56E-E662B3F7F41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C82B971-DDCB-42F6-B9B3-1D21B995581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BFCD4EEA-BBF2-468D-90BA-C33B72FBF36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AA73432C-8051-4B26-97E0-4F0F660EFDA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C140D728-5FB2-4C28-9C63-CCB6A6E4311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C8791B4E-61C4-46E6-A45E-EBAAEC1C4179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3DE749F5-1CC5-44DD-941D-0E09A3F59C2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2229F97C-D850-47D6-8F98-CB0E99AE51C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C145D2EA-9BE5-4A84-B7E0-8606DD57923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E20E65FD-2902-4E30-86D4-C8BF7787B2B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CF6C30A-8609-4BC8-8258-41F497695DC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16145C2-D9FD-44E8-96AE-3839249A7A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281310E2-CE35-496F-A7DE-EE019F15CE6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3BFB5773-8591-4D68-ABB0-F6772EFBD62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0734D040-7ECE-4106-A387-46BBE3CC2E5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6C0DF3C9-4D1F-47C3-9E76-25D81A7206B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7F06F9F-4C80-454C-ADCD-2F002A2A79E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73964E49-7F3A-4932-A82C-013CA8F333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12020C72-69E6-484F-A126-4F9D0600015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7E09E605-06B6-4276-8D98-DEAB7B67D07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BE2D7631-7A8A-4905-8D1D-94B54FC215D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DF3AA23C-FF01-41CA-BD0F-5FCEFA0C0E9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4CC1D94A-F974-4ACF-BCFA-F4EAE7E84C3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CB37A1B2-CC0D-46D7-927A-5B9274C866E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053DFCB5-ADF7-4AFB-846B-3CC8A89F3A8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925014AB-E03F-4F0B-9A8B-83473361D7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51E54610-3502-4846-99C7-92F157AEF37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4122795D-675F-4CE8-B0CB-1E9B906EFCE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6784201F-C7E8-49F1-AF8C-6100D9239D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03062F7B-04B2-4187-A5B6-F2CCDE5C164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16847FDE-7729-4739-9B4C-EAFB5F122C8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CE826C83-5518-43B3-BF0B-04162F0E3A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EB63E78E-DA3A-4748-BABE-F351509E2E8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9F8543F8-F7D6-4A0B-B3D6-9C2B561265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71C2284-A470-45D7-9993-D1293EDBA9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55889C13-575D-4779-BBDF-8CBD34019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5509324-C190-4E44-8EE6-23302C9F82E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4FD6152-7BE9-4486-B906-1AED91BB1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E9CB06F3-27C9-408E-8738-3FE4ED3B20E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2BC04E3-86A7-44F4-8FBA-866C5B9CEDB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7405C175-C1F6-4368-8A5B-DE5FFC66FC6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521B04F6-A042-41E8-869A-92FB7DC0985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31F139A-3D1B-41C1-A8A5-6BD737FB63D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A99FBF22-5537-485F-96B6-B263B111BDE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704ACFC3-6B74-4BC1-B953-8C03782392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A849420E-C209-4325-9C4C-576C16FF552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CC808804-ADAA-4FA7-8A6B-69A3E4BF31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F2BC76F9-15B6-45F8-A526-85A05F35D35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F54ADF4B-F2F5-4F47-836F-48B42544E9A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531AD655-FE4A-485D-983B-FF66D129AC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3A5C0319-A0BA-4498-80BD-ACEB88E828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BE2DBF8A-7514-4096-8C4D-CB42CCE24EC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C8D37A42-6DEB-4130-A58C-3622A3CEBC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56CAA79E-111F-402C-A6AE-45C983EA8D1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DE08B9F7-3776-4547-B4FB-62C3915EBD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CE2A1403-5C92-43D8-80E9-94124184B5D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80F745B-3998-4634-B6FC-E861DDFB4F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95B04C09-B218-48BA-8D53-BC7449F151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0440DFF3-65C8-47E2-B4EA-A013F0BEC25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49A37B-D237-4A14-B836-62D1B32850C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67F591C4-9A48-4BE2-AF34-BF2CF73A2E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34F8D955-9252-4A74-ADC3-0C8FE185273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F7049FF6-8298-4808-9F57-650CAD3F3A3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2F1B0B36-DA95-465A-B2A6-296FCE7CCC6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A620B1AC-60D6-411E-AC3F-0119F482039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9A5FAC3-C2FF-409A-8E2C-8F66502455C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4D4897AF-0F74-4693-9ABA-709EA96E005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37356BAF-C246-4BE6-A237-83A29B58B6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60A83BE8-B1C6-40A3-9A5B-05C5A900E62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61953D5-1962-45E7-9FF4-C81CE949FFC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9B02A5-0E43-40A9-8171-A3539D48A9D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09874239-C494-4DA7-A354-7C415A3B7B8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1BCD75FF-A354-4A36-9E29-A35110ADE13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8E6B9414-8D05-445B-8824-D9CAAA27678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30411B79-026E-43A5-9DA1-3AD42C841F6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FE8C0893-9766-45D6-A46A-0EDB8D298BA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86E4B209-4BC0-424A-AF1A-0F672A648E6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1E74AF00-E65F-4B04-948C-2884721AFF1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D877BDB3-6AC0-4D26-A44C-FE69D34E19D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AA7BBEE5-A0C4-4BF0-A289-0813ED8A57A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F6FAF51-68E0-4336-BF28-F3FA53DE1C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F5F6C86D-3EB1-45E5-8F0D-B0449550FAC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7EFB2B11-5BD0-493B-A425-3DFA06BACDE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DBADA212-6F45-4A2B-B078-3065A369F30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96203F4A-4ED9-4E1A-9103-DB3012215FF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934D64F-E73E-4BEA-8508-C6AD0336044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2EAA5F87-A0C9-443E-B975-B09E4CEDEED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9AAC1B3A-6F72-4AD3-BE13-3330CEA508B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0A2AF023-9617-4DF5-A1EF-270B201BA6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FD4D3E4-AD9B-4044-95CD-0C49EAAD17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EB7E8591-D54C-4FB6-8647-BF847372B25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28433038-EFFF-4583-B66D-31577900A5F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EA05A596-8589-4F9D-88B7-2AB1704BFA3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633EA39-F9FB-4371-A060-32718C619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AE2CB345-D617-4C84-AB22-B88B12023D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852BD1D9-DB03-4491-9932-C0B25BA9273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7B3DDE36-3195-487D-A4DB-A3A51DF53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5E03B2B-B18B-4F2B-BF70-5BC4CD2C846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77C14CAA-A9D7-42C4-AB43-24F3D2A0D93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30D5C870-35BF-483C-920F-ED60824BF1A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6352E0AF-AF1F-43E8-9934-EF0083B277A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112A0985-512D-4C98-B647-A07AE37A520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4DE1EB1E-912A-4FB4-8E1F-ADF0F53499A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4B40E924-A804-40C7-A52D-7D20483C5B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5555071-86A5-4106-AF2C-3762EAA5A55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D2E086F5-FBD8-4F72-8221-495A1541BB3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EB1D29E4-E0EA-4CE9-A31A-05B9B70DBA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AED1D5E-8B1D-4316-AA79-BF67785055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7F41D359-6FD9-4913-970A-966CE1391DE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F8C73362-45A6-4A1C-BEC3-7DD99917092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CFDA637C-CC22-4E76-A065-E2CAF340B7A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AC998A75-5A91-49BE-BA18-9C8AF0F7E4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B3724AA6-33D8-4929-93FE-59A797348D0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CFB46336-E72D-4B08-A0CB-551DA18ED24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5E2F6111-D4FE-4CFB-95A5-8792B27220D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3554181-19B6-4760-B78C-C01FCB04A0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927FE01A-1004-461E-B4CD-F089F5C420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173B19EF-574C-4A4C-B4ED-29BD7DCC774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B299CFE3-5B22-4B94-BD9D-5AF962D3FD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23EB232B-D88B-48F8-820C-663B86F9C76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6A2D37F8-B765-4097-A2DE-B58749D567D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55C3A7C4-4659-4DC3-B6C0-BEA822FF3A0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2FB2B937-F5B7-4386-BDF9-32E0237E21E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23AC5EC9-4DAC-45BA-99A7-23CFEBC2414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429D7595-6206-4FD8-BAE9-53E963623F7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5AE718EB-A8E4-4D9F-8900-497D00AE2C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3F3F6388-D438-442A-BF4B-FE767D1465A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0F3447BB-C88A-4F1B-8A1B-84C39320CFC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F2584071-F764-4531-A954-F0469C6CC86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6BC5EF14-E34F-4226-8C06-17E64E20240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3469493D-F206-4588-B1D3-D57B7A8A43E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3B73F202-F34D-4A1C-B324-08CAE685FC7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CBF9184-5800-4752-AAA7-4F3CD089CBA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BD1F36E2-AB0C-47AA-A09B-BFA427AC4A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4AA3E0B-7112-4EE2-84B3-E65543AB3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79484EA7-DAB0-42BE-8645-FB9DD3B9FE1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22037A1C-AB99-4A46-8223-2CBF02F56A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5D1511C-B94B-4628-9123-283ECAB791C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80B47AE-DA58-4DD8-92E4-3D9B88AF70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B619A11-E442-45CF-A282-F13889AB7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FB15429E-5F01-4A9B-8694-EE3C57F1027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4A752EA6-2F1C-4B2B-9B88-790DC661F1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F7644A79-D1DF-4A79-8B06-03D0807182A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2ABF3955-295F-4EA4-826A-98C0CC98C3C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37E9629A-AB9B-43B0-97D5-2F6A847ED1B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5B9ECBA9-3E93-4B22-948E-3339D78D3C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6976798D-A7EF-41B7-8C9B-B4E07D93D6B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9C0B370A-C148-4808-BFD5-BBE765F2A83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9183FBE7-A080-4BC6-BEC4-C2A5F403DE5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A3545BFC-A0F6-4377-B35D-537AF5656E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C01EE8B6-CFEB-44FD-81D0-5D3012557B5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D0471308-1152-4B95-9D87-A9F6D466578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93CB1991-1211-4383-B163-EE7621BD4A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0A899CE9-D8C8-4DCA-B068-BBDEB2FB64C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ACAE011D-734D-471B-B93D-63C9C1C418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DCACFF1-59C5-4731-83A6-6920075B2A3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3DBB15C8-5472-4E60-BC53-FB722EE7D7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0E5BF76E-F103-4FEC-B5B3-8458B74F909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16FC51D3-D7F6-4F29-B339-D98AB8C851B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B15D1C4F-71AC-46CF-A1B2-C426946A3D4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B95E9F24-04F1-472F-BBEF-423F8BCECED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8287C012-E77C-47AC-A368-F6E543B2DE5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DDE93B8C-9086-497E-9487-1B482002F66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960DF94-D760-41D9-9499-0D6A14D4922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39CD78C-1D7F-4EC7-893E-786D666DC97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26410604-3DB8-4D8E-ADA3-64F185619C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B18A9C40-AC14-432D-BECA-A4CC2743263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93E04F7D-1E9C-4931-A126-FC6B93B0C3C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03233302-FEF5-44E1-8029-CDB8DB6B4C5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3F7CF6E5-B5A5-4501-8ED6-0219283CFCF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43B235F2-04AA-4300-9BC3-C717327427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F4F9B0A-76F9-44FE-B6EF-848BB31E394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C51FA52C-1EE8-4C11-BFD7-6C97143C436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F8A6D6DC-DB4B-4BCE-B813-89D4F075E99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C8F1544-5BD0-4E14-8A42-12B37E84EF2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AD3CF950-E3F7-4A56-B15A-F00CD8664CD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DFF72BFF-442F-4A24-B2D9-E1F68D11DD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D76A825-0788-45E1-9A43-0B712A9C86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70070793-023F-40D3-B96E-03BFC171A4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EBF1C90D-FED5-4CAE-B37F-22A81B8CBD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B10A4EA9-A9CF-48D8-8D48-47F65D6395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5176D4F6-E743-4BCF-AC15-870AD1BD5B8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C0411DD2-9C2B-43E0-A117-0B580B62362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1915AD8-8708-4A21-810C-795EDEDA53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50C489D7-171F-4EB5-AC69-8171835EC08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5C7DF87E-8C09-4A32-B142-D9745A30C7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241BD649-7C74-476D-8B6A-30C1BAFE34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A93413AC-6799-424E-B94D-07776D55888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BC49C19-0C42-4150-898B-99506823ECE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706190F1-1DC8-46B7-BECD-6347F1F6EA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18A9B773-D476-4C6F-952B-0E6687ADED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CA234E43-5CEB-4C6E-8D74-25C31549C3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D03B3154-E9DC-404E-8379-B606050309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D7E06429-EC85-46C7-92F0-728C8978A7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F42E8CE9-6049-48B4-87EB-FEEE5E844A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B79901D1-835E-4EB1-8790-D540F8E4776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A063E661-BD2F-42DA-9E77-D61209FE10E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A751038-CF47-4D53-B929-6F45983C237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F20DB3A2-452F-440F-8E8E-5E76EEC35E4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82EE20D8-E2A9-4043-A34A-970A2804CF0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8E84648D-6751-4D0E-B95C-C5F3226B467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E135D4BD-319F-498F-A5B7-24027CD51DF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EDFC5EE7-56D5-4BA5-AC90-C3D48EDBD10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F2681BCE-7B3F-45B4-A0C5-73823B32E04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0F7DBA56-D912-478E-A80A-7FC91920C9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858BC679-84FE-471A-948E-0347F3A01E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EF2E293-8ED1-417B-8088-F0105F23718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8145DC3-7A97-4E8F-B4E1-3DDDE81188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DD519870-9F5B-448F-9DCC-EBB73FD5637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2E89D51-E6C6-46AA-89A3-B51C96B0BC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3C262EA2-95F1-4CA5-9CF6-25B3DD9BF11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7A541591-0C6C-42CA-A418-4E44C37210B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B32A58D2-DB09-45A4-9FC9-10E59D55611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78B822E2-4306-4B5B-ABCA-4CA9A9E4DC3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429BDC1B-2390-4C91-80B7-9BC344BC8C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BEB38B7A-D23A-4BF3-B696-78436D5A7C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459C8552-11A2-4493-9861-94DB3A3DCB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6A366F6D-2388-4EE7-9289-8F1456DEE39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CCF5EC29-EB6D-42D0-8155-9489A15AB7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479E5352-B23A-450B-8682-ACC54284E8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3F75AFBF-0ED3-4EA3-8A93-21CA039DA6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5714AED-F87F-4F72-B259-FFFF994CD5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0F86C4-0AA8-4E00-9070-3E4EB0AF3DF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AF651E9-D905-4E4C-B5CA-F7810E15F8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9FC2F68F-9434-4710-8BBF-8E3DE350119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AA2F6FD4-BF9B-4B81-B142-4E6B8158EB0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97042540-F38A-4886-95DA-94DBFD2634A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C14EE0CA-0EEB-45E9-9A4A-7272D185F9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2B144FAD-D8DB-4F19-931E-885202AAC8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922D3FC-2568-461E-949B-A127B75E704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BD1A3B0A-8415-4A51-BC89-A24D2B30AF7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EDA9247-431B-4D67-B2BC-C2E19AE5F10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5E45E2A6-E381-47DD-81B6-405F23EBCA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003A6632-13C6-4AA3-A1C2-BDECF90C129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CA8A6EC-AB65-49A4-8B5C-173FF6FC66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19A0B294-5D70-4C14-8CB1-ED1BC87F3D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940883CC-F19D-4AA9-AD92-EF5592E079C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10B9A977-9DCF-4B9C-B072-30286A5BE20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D5F5537A-54EE-47C8-9326-D5E8BBA69AA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4902D97A-69D2-48E2-801A-2AD5F49598A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AEC638E6-98D1-4CEC-844A-4BB368B971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A4746C22-BF64-4B1D-8BE7-E8BB3FF7B29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705D11A-EA11-4141-B2FE-9DEDE765D2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9603924-3AE6-49A5-98A3-BA0EC6F4539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8927EBC7-B4B1-468A-88FF-65135204235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6493E7AF-0673-460B-9BD2-15C084FB55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8413830A-765F-44D9-BAF8-7E0B330334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2CBE6CF6-D362-45FB-94A1-5CAF3D49BE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34B0C567-3024-41CE-B0B0-32E3E646FE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11DD210-71E0-424E-B27E-83B5343E3D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BEEC99C7-F07E-4DA4-928C-F89B55E676D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2D5CDB3A-3715-4D3A-8723-FE1A9C9BC8A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000D43F0-EF59-4A7A-97CD-168C8A04FF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9EC25F66-C3AE-4464-8987-DC07D2E9CA4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023AAFD3-F8DD-41F6-A02D-DB7FD3E0F42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2EAD517E-6D0C-4400-905E-FCC04821A26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525D7DCB-42CB-4E70-B75D-17523F65F93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3F15615D-7DF0-41CB-906E-1C09DA05F06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2CD7075A-B37E-4D64-B210-14BC0C4A8A4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5979C2A3-4733-4E0A-B0B8-6EC2A9A24EE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90BBEF5D-B7CB-4C95-A7C7-E3BD9A1F25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E50FCAAF-1346-4D48-96B0-D8467677F80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6DE672D-B46D-471C-BB8C-291EC6C3C3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C17CA0F6-4E4E-47FF-B85B-1DE7D1BF748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C32C0BFA-1D90-4951-A81D-085DE075665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4C31C225-3628-4036-B138-620A0FD002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060D36B0-37B4-476E-A980-C62793F21C5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C62E398-4EF7-49C9-967E-4C18CA30715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BDA4EBC0-EB12-4ED0-BE63-A8C3F636D96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4DB745AA-D6DB-457F-BE76-DCE6316E421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AD00D22F-36B5-492B-A64E-F3FEEDB4704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3B21A8A-33B0-48C1-9191-3E008CA10B0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F2A4ABA-F1DF-40AE-80DA-43891711D0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FAB69784-1B32-45CC-BF8A-0C6ED3B05E4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B2EE0432-123C-40A0-87D0-60AF79D8FE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0EC52E51-7FE5-430A-BCE3-D9D1C86C6F65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4A156CD2-14F6-4E01-AF76-D717A3130E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8C68AE2A-ECDA-44D1-A953-49BAF80CA9D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D73AEDE6-6D6A-46F1-B3B3-33D9DB88C5C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2EB2615F-AB42-48DE-AC16-343EF62603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9822FA8-8AC8-4F30-8867-ED248FE059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BC04C81A-6148-46B4-BDC5-D973BF6985B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C9FCFBAC-2B3D-421A-BECE-8454F6101B5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FD9CC728-BBD0-4388-9163-69B4DB56BAF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2C7A7715-11C1-4881-8C84-0D8710314D7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9CD5E9B-98C9-4C80-9BBC-7F170D60D5E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70DD308-8AD9-40E9-AFF3-68374EC27A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1388E489-AA07-4A63-87AF-91AB919C26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BA12154B-B3AE-42F8-B993-11CE9B81900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738B97DF-BA8C-4162-9B91-9BDAF71137B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746BBE87-9CA1-43C8-A9E9-1B5ACBBFCC3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D9A818-149F-4602-9D1B-FED14D8FC7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8742529A-BEA3-4DCC-9AFA-A61A2B75D37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26E935D0-E886-4BD9-8AB2-651BC32BEB8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FA555678-2F7E-4441-9C1E-7DD0276138F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356877B1-DABB-4AF0-AAC7-D84EC52FC8B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1010A0A9-4F6B-40FA-A9C0-0E3F066954C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CAF6B8FE-D30E-493F-9533-498C5B45E8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A9BCF8AB-741D-4561-B8DB-C384C629835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51C403FB-F2AA-4B0A-A69B-39924254C9F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CA8B412B-BBCC-45C8-9BF1-22FDCF3B712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B2478592-8EBF-4F67-A101-6C38F65C56B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EDD9A21-E9E1-4F10-B899-1233E108F37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FBA14E9D-B439-4115-9DE8-5A74E95C696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0EF53DB7-FAAD-459B-B9E0-533D36CBCF1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7ACBAED9-081A-443D-BDA1-F7EBDDD47D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114442F4-12D9-4352-8EFE-BD9B0B49CF6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FDF79C89-7D72-406D-93CC-4EA8EBB18ED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B84E2E38-F5D8-47EF-985C-200A5DA0F28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01F10335-3BC0-4709-B5CC-2273AF59459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88BB994-AB2F-46B5-BFF2-04990D2E4DD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8D8127D5-7750-447C-A369-E6A55BE6665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9ADB74DC-CF04-4275-869F-F99A44803B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D45E761B-0DAC-44DC-BC2B-E7B6B17B7C0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0A702132-27D2-4020-A83B-F0B9A2CF151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3A755E3-F35C-488F-99EE-FD717C8C31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9C6FE372-D956-4892-80E6-44E77C4F631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906B3EA1-AAD5-49FB-8C16-AC8806C0CD2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05BC9FC6-EFF9-4035-9740-4C700FC8C23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7643F2D8-AC46-4C0F-A320-7571EADD87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08F6B27-0CA7-4A88-A8AA-FE4029B4B19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F50BFB7C-BE95-4088-89CE-8FAE991466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E7E6837F-C393-48AE-B6B3-BC8BE02E743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6274F7-62A4-42D6-9454-ED4A25C0A83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5AD9FBBA-BB61-4C9E-9220-EF29435B86E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7797B7E9-C31D-47D5-A52E-D5E27909A04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5E7EB83-C7B0-4E66-97A5-203C3ABA63A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A296BC3B-FBAF-4D64-AFA0-C9E347BD2B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A5AF7DDA-9BCD-49C4-B71B-FA35A92606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C94BEF6E-F953-4F4A-97A8-D3CD12967A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1939D8B-5419-4F8D-AE95-47E7CAE03F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0A1F65F6-4A8F-4DE9-9747-05240E67900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BCE278F-1ADF-48B3-8EE9-E516C4AA960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C478E37C-E98C-4AD8-8C15-63F09F5E2A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31B3BEF0-7ACF-42FA-9646-B7DDA10D222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72E1018C-D2A3-4C87-9FA7-82129C64DCA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8F3388AB-ADD0-445E-A222-A4913831800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2036BF7-EA91-4A58-AD23-1682DCD6F14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E2943699-336D-4756-868D-DCB69286F13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6D40D54D-8EAA-400A-8FA0-8436D9CFACE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E81B8656-DC42-4A26-9510-139E5399BD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4D1EB6C0-8278-4374-9D38-96DEDB60B9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01A5DCD4-2BF1-4360-A216-67D79A1DE7C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C6EEEEB-B665-4323-B7F8-DB828318A67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DC0A1433-35FA-43E9-A1A2-EE002965CD3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0B9E2ACC-CAEF-403A-8304-41950847BEC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BDAD9FD0-4E9A-475D-91DA-9E68FB1200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974DBB0B-CE5D-452C-B2E9-BD8D73A485A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1A68ABD2-AB4E-431A-8CBD-3BFC015E2B2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18E86436-B7DE-4460-987C-88FD96E5794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5E33F901-250D-418A-B1D8-C3AFB811CCB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1008C0CD-E990-4BF6-BC9C-ABD48B783F9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523F58A7-C133-490C-9B3F-A2C2F923CC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90C9F3EE-5A2F-4DD6-8FED-ABED128CB2A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ADC0183D-B0E6-4AD9-83DD-6306984E9DB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3686CAC4-6271-4014-A9CC-AFBED9424CB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D93E6A7-3A70-4F8F-82CC-D92C38B175B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8EDDA3E0-D1F3-422D-B125-E504434BDFE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71E26FC1-36E2-4312-8182-FD41551563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B3D154A9-9EAD-4007-B425-E994945E81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1E162295-6FC3-416A-9E3B-B94BAC06949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10EB3489-C353-4448-96BE-D8FC1CC2BF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9FAA84A8-63A9-4CE7-8516-D45EE94F288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D1085682-6408-4F4B-839B-CDBA2A4C43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F6416E90-750D-4722-ACE1-D666ACF4F4B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063F181E-845B-4387-B9D8-C06769A7EEF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9D6AEEB7-BC54-4050-953A-DF5BC7E534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13530B3-167A-4FD4-9BF2-9779BB0474F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A6B367A2-B6A8-4063-BF4C-92E3EC2B5C7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A67FF4BD-EBA8-4E78-8600-AB74B669498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7AA2F9E-2285-4651-9BAA-FAB04C48300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5F8FA9D1-8E13-4729-8469-639C07E8527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DE782174-84AB-453F-9B79-B1D5C8354F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E28371A-1EC7-49D9-A3E1-35C8F7BEDC1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90AC23F8-2A62-4FA4-AB88-783D7376A6F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E796ABAC-D51F-4514-B022-0BE2961FCD9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ABFBA8D9-B525-4C5D-BD0B-6DE96C28C6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18D3599F-DCD0-43C4-B354-2DD4FE5DBB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3454D5E4-5ED9-4836-A0EF-8AF2600DC0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555EF98D-6835-442D-B3A4-42AD61B9FA8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2DFE60AC-28A7-411B-B856-73963D603CD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264C669-4A2C-4639-9691-7672D330C2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2146D91D-9DF3-4074-A8B2-6826B40675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4C23860F-5753-4F42-9089-333A99A093F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3C99398A-94BA-4D14-998B-43FAC9770F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17346DCF-69F7-4B09-92CD-6BE56371DAD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93649C38-AE75-4F3C-AE8C-30D5272E839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18B98F9B-2B87-4909-BB55-CB4904C523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F82F3FE7-7A03-4474-A2AE-7BC3748562E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F27F92C-E0C4-4BF1-8C86-A3CE7F885EE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8387F477-C5EE-4DE5-9918-AECD9AE1C29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69AFE22F-60D6-4B2D-8FE7-211E802BC6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74F254C-F859-4B6C-AAA4-04B1B3A36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4A69C91F-B0D7-49A4-9B6C-DFF2104A04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6A857164-75A2-4509-8CD3-304EC33B575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DC05A88-C8A4-4549-B6B3-C4326588A01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8537B422-C368-4F95-AAC4-45A21652F86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163ED894-A7D5-47A7-874E-C53438B1BF4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9F2B8A57-B727-4E3B-9C4F-30123DD3312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6548E212-BD60-41FC-8CDC-FFE69010074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CA682E3-2BBD-42FA-BD9D-C12364592AE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B22AF8D5-AA01-422C-95E3-70BB9034F28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0924225B-9C8B-407C-86F6-D4128B67C2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F7CDB4B5-9CA4-43CC-A888-D436245554F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46C1303A-A443-4F78-833B-2E3AF20C1E0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3B994691-FA1E-40F5-94B6-EC4AB5F20E3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F1E8DFD0-C7C2-463E-BBA0-E9E45E9D2E7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BCC57960-0614-42F1-A31B-EF8A48361DE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8D785E70-2048-4F71-85FC-A9C7061BE47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7F51EEA8-E097-4954-91F6-D421D478C2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0AA2147-0032-4B5C-9FA1-5CCEE7A1F57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397B7499-F6CC-4DEB-A896-ED883A02369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CE8EF9B-3DC7-43ED-A7A4-1703BCD0E53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E515396-ABD0-4FD3-A901-B2A60B13E5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8D38BB9A-768E-4D58-A73C-575C0AAEE9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FC322E3-77D6-487D-BF0B-52C5157572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314C9A14-BB83-4C06-85A0-C938E8C52EF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E5C00F81-CF6A-44B7-8443-6CFDE95DEB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7FC120D9-30CA-459B-B1B1-9F08C94C69D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599592E-0436-4216-A54F-98BFFCBAF5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6A6BE80F-D61C-4C7E-9FB4-D4C1522D4F7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0D548C43-2258-4FB7-AE7E-EBC95365253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B4684C0C-6A92-4FF3-8B26-7755D15418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8325861F-4886-4E53-B828-C0BBAF32D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978569E1-5362-4E00-A039-8AF2A87F761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789F6524-105B-446B-B454-E3811B01C53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BECC283C-929C-4162-AD82-36953A4D6BD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BD4CA4-AC7D-4BE0-86EE-4386BD56B20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D7B8C1CD-071A-4132-85D8-FE101458CE0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8FD65803-F63F-41F5-8B8B-E8AE4D16B0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9C4E0C38-7FBF-4C7B-9B11-3239A34034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086744B8-F565-424C-ACA4-EEAABC6857B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B84637D-B9E1-4811-B5D8-69D910E20EB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37D52CE6-069C-48BA-908B-F6C188C155F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89EE9066-0F45-44A6-B044-582F63C71CA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F1AD89E-B5C2-4DC7-A22F-6BE3634528A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F0FCD0B4-C474-4244-A69F-1896D24C2D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E68B8CEC-4608-47F3-B81B-20657CE5464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9049C2EE-E1FD-4E07-B793-BD503A89DE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3ADB31-F6F6-4E2D-A331-0EC20AEE7D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112F129-73BF-44A5-B0C2-EB111E0976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11FCE40F-515F-407F-A2B8-A385A4151C3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D7C333DC-A425-4CC5-9A8D-BAE803A6A0F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A2E6FED-0EEE-421D-87C8-AB92D69D56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0313659D-333E-48C9-A00C-5DEE5AE8900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9CCE0E5A-D7C9-4750-80E3-85E08B3AD5B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1C04727E-BBAA-47E8-BE45-A2782361C0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1AB5A99A-EB3B-44B5-ACE2-8CD4AEBFA62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6420F27-636D-4B1A-BFDC-6A159EAAF33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E176811D-0209-4668-AB5C-7FBCBAC1D0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2646774B-5165-474C-83FA-9BDE6F5C285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BDD68324-9A9B-4E07-BF62-F8DFDF09F9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DE72F967-3054-4AA0-801B-1CF3B40578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61C0B1CE-BD33-4BA3-A74F-91D2079C7F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4086C4B7-F8BA-4A04-89A7-0506CEC1B7E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D7551BA4-D0CA-4E36-8E80-098F1908B3C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C7491FDD-3364-4B0E-B712-DDD4E621FA8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B5F0C1AF-559C-4605-8269-E19A1D7BAFC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D5DC44D5-E65D-4915-BB27-8C977D2CB38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63228968-772F-46D5-A418-5325ABFACC6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4801253C-121F-4FBB-9203-1B03421FA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48E79AB2-0CE7-4EFA-BEA2-F0717503DD1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202F6CA5-4143-473A-866E-5892E45462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D1EFDE32-C35E-4DE7-9DEF-F9DB45848EF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A9671000-5E71-4F7F-9064-2C012FF9D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30E3EE2A-DCDA-4743-BCFE-D2176C7DD22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C0E0963-FE24-472A-AA4D-DFAD392538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C95046C-47F1-40C1-8699-CD215783A54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AEC2F776-3C9F-4DD0-B305-52BF94F985E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89D92E5-3EF2-4E45-B9AC-33F5F80732F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9FE24465-0312-456C-992F-E6FBE314CAE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930AF0-9F6D-49C4-A195-2E17DD6F957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DF0C4CF-21D9-4FDF-8DDE-AF20E9BA85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EAB271B-D321-4906-8983-702540A2168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5E06742A-7C7F-4CEE-823E-540BDA0F74B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D29C7F63-3133-41AD-9FB2-ED08A80DD87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F47F2BBF-4D2D-4568-ADEA-D61D9D80CE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CB2658FC-D6FD-4CEA-B9F9-AC2729F6D98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0CA98752-A2D4-4C87-BF5C-2DD6A78B062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31B1AA3-07F9-490C-B8A0-027EA74E49D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79B85C0D-EC51-40EC-B96C-5ADA4841B69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5FE6C74E-08B3-4A8C-8C38-018E75D9FC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8D5768A5-B42C-42DC-97C5-28C5E8A14B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83C489AA-E4E9-4514-83B3-0BDF6E90496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DA1356AE-23D5-40B9-841C-842F9764EC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863E0576-B749-4561-9631-3F993748F6C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58CBC302-AFCB-40A3-8B16-9D8A77F45E9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CC4E61D1-8F72-4252-923E-91080DB251C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B7578465-3BE9-4C25-B9F0-2FABBBD3C0C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2036154A-1DBC-42C2-A9B9-825301E7F1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AA08AE7-3792-4E2D-B65C-6FD52153A7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844A901-B618-4838-A90A-917CDFFAB49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4B176EA3-813B-4215-B4F8-03D5BF8FB28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DEA1465D-C718-44E0-9D38-AB8F6646447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54BF27-95AA-4706-B82B-E5704A53B90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3C1966B-8FC4-4C71-8E5E-DCE4B1F8923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0C1F5FD-9B46-46C3-BF56-CED3B9879CA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EB9C065C-1A2E-40A4-B07A-9625D56A4A3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C6B882F8-C410-4802-B88A-40A47D78504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EE20E45B-AF60-471A-BCF9-83F6406EA16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555C42F9-7852-4EA8-9C04-DFAB50FC61D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6A6730F-6240-4E40-82FF-2C3FF362B75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BE4F9EFC-11C4-4B36-A0B9-9A44FA7AAF1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B32928B5-0409-4EA0-AAE9-A979426BB40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A699CF47-EF69-4D8A-B789-6942768F3D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394DF40-B250-433A-8B0B-787E7B082D8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E7420BC4-B6D0-458E-982A-087A9419CAD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AF567152-32CD-47B6-8595-8C4C0EAC7D8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62DB7A9D-28CC-46C1-A45E-69FD5CB27C9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D14F75B4-7C93-47C2-BA00-8EF7CC3D9AC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DE5D52C3-65BA-4B47-A173-1BA35B376DA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91C80F48-A073-4E3D-A7AD-D53114BCE9E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99332933-D658-4A3B-B377-29D1E32863C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81169F85-67B4-404B-ADD4-D0FC40ECE7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9B6018A1-8752-4B3B-B80F-3B27967145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F58E701F-6A1D-493A-BE7B-6EF0BF9E3E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ADB385AC-A6DB-4880-AB24-370BDCCE63B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E2EC1D0-7619-41FC-94F1-705E051EA90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672D7ED-9D2F-4838-A624-6B54F5C1936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5C2C683-BB3B-464F-80F8-568B83B622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2358283-6D63-42F2-B688-B6A86A1C82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FFCA9C6B-0D80-45A7-9BCB-756D18578F2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4755F8C8-DD7B-4736-BFC6-905FFF822D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BC563C2A-3D17-49F4-AA97-EEA3F9C74A1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36D2083-F33A-41D4-AEDD-F6CDB4170CC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244417A-9428-4F89-8627-EFBC7AA78FB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71448036-CFFF-44E0-955B-1D0E2FC0BB7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AECE2CA1-24DC-4E92-8AE8-9A0CBFBA04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49072F70-77E4-48A0-B31A-3C50F4784BD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9A26F45C-E29C-4C1A-B958-14717EDBEF1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A1DE9CC6-F7B0-467D-9350-B3062812341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8BF52482-74DF-4F1D-8B03-CA9169CFFA4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2AB457F-4407-4ECB-A71C-090C1262048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F998BAEC-9B9F-40BA-A298-D6E686DA706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811A83AB-0DCD-4EAC-92C5-660F3527081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1DD5E99C-2BB9-4473-B573-EB5D66225E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6AA468DE-9506-4EF8-A7E6-19F071356B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18838B4E-124B-4B57-B1DD-393BE015984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C2A3BEC-5928-4E7C-8E22-4B3C427596F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7351621-D588-41EC-8463-6792B39166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76347B29-077F-471A-AD88-F46953539A5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0BA30794-C732-4B4E-8983-96F63912DA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E2E96CC3-5F11-41C7-BE71-790475400A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C680032C-BA88-4C56-9C90-000109F88F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2743496F-3317-4B85-9FAF-2E7AB4B3FB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A601632-F605-4CB5-92E4-A6811A5AAF1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A3D84F0-93F5-4954-B00C-57BE73B0BF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E0ECFDF7-9258-496B-8AE0-65084FC972B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0666F63E-5896-424F-B0DE-915441359D8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95A5AA85-839B-416B-AA83-D24E9F48A33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244D69-C4F1-4DC0-81B0-1200E2CA9E7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186651B6-73EC-482D-ABC5-31E0BE5EAC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0CACF5A-9814-4C09-89BA-6FDB1F0BD4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846A931F-A2D4-4974-896B-05CDF30D266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953492FE-FBE8-44F0-85B5-8A951D5EAF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6F08F6A7-58FE-4BF9-B7DB-64C888D650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C4676223-7BC2-4E1C-B611-F3625671E2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65791403-5F1F-48F5-85D6-20DF1D1A555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602C794-C263-41DC-B888-0266CE5D19C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5BBC5F15-5FFB-493B-B5D9-CCDAEE1830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88DB9FD2-0EE5-4F4A-A288-DA517CDEE13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424F24CD-1127-4306-B47C-0BF2F2BE0D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635957D5-AE6F-4D0F-A319-C860B7E582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4C214CC2-6E71-4D7D-B962-18D13962CE8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DC9136B5-5654-451C-B725-F95F83A98FD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F174A190-B195-4AF5-9A9A-223AA0032EA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252E2055-F75A-47CC-9E65-E01A89C222F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B190F427-B807-46D9-8D4F-B1ED1E5A694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985C857E-1B5A-4F0B-B24C-46DAB1BCF5E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D228C8B7-B682-49DC-B938-18EC0133B9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1ED1BB6E-2C68-4C7B-B7E5-D3B8DA1B4D5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70FC1810-B642-46EB-A278-2BCB2190B5C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57C7AA25-5BE6-40D7-B0C8-4A003F7D09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9E6D699-C1FA-4791-B32F-0ABE9D0D590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8D079C3-325F-4713-8586-F36DBD4CFCA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14DDEA0A-B436-4563-BB20-CE499CEE7C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D9807B24-7980-48B4-9BA2-95665EE65B3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B4B2A2D0-186A-4800-96C2-4E9BD0894B8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683B30B0-F359-4B44-BAAF-039961FEEF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83C9FF5F-197B-4E9D-8CAE-A0EFF588EC4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C9F92EA0-10ED-4C8B-81AB-9A0EC8CF862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12F777B4-BDED-4CFF-94DE-4BBF0471AF5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40428998-4E61-4470-99B8-F80F96CAE13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1E3CE6EE-A9D2-4B05-AB4B-B2994F36F49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3"/>
  <dimension ref="A1:O20"/>
  <sheetViews>
    <sheetView zoomScale="40" zoomScaleNormal="40" workbookViewId="0">
      <selection activeCell="N17" sqref="N17:O17"/>
    </sheetView>
  </sheetViews>
  <sheetFormatPr defaultRowHeight="14.5"/>
  <cols>
    <col min="1" max="1" width="17.81640625" bestFit="1" customWidth="1"/>
    <col min="2" max="2" width="20.1796875" customWidth="1"/>
    <col min="3" max="3" width="21.453125" customWidth="1"/>
    <col min="4" max="4" width="24" customWidth="1"/>
    <col min="5" max="5" width="24" style="106" customWidth="1"/>
    <col min="6" max="6" width="27.453125" style="68" customWidth="1"/>
    <col min="7" max="7" width="25" customWidth="1"/>
    <col min="8" max="8" width="29.453125" customWidth="1"/>
    <col min="9" max="9" width="34.54296875" customWidth="1"/>
    <col min="10" max="10" width="26.54296875" customWidth="1"/>
    <col min="11" max="11" width="20.453125" style="107" customWidth="1"/>
    <col min="12" max="12" width="19.453125" style="68" customWidth="1"/>
    <col min="13" max="13" width="13.453125" style="68" customWidth="1"/>
    <col min="14" max="14" width="24.453125" customWidth="1"/>
    <col min="15" max="15" width="36.453125" customWidth="1"/>
  </cols>
  <sheetData>
    <row r="1" spans="1:15" ht="32.15" customHeight="1" thickBot="1">
      <c r="A1" s="640"/>
      <c r="B1" s="69" t="s">
        <v>0</v>
      </c>
      <c r="C1" s="70" t="s">
        <v>1</v>
      </c>
      <c r="D1" s="71" t="s">
        <v>2</v>
      </c>
      <c r="E1" s="72"/>
      <c r="F1" s="73">
        <f ca="1">TODAY()-1</f>
        <v>46245</v>
      </c>
      <c r="G1" s="74"/>
      <c r="H1" s="75" t="s">
        <v>3</v>
      </c>
      <c r="I1" s="76" t="s">
        <v>4</v>
      </c>
      <c r="J1" s="77"/>
      <c r="K1" s="78"/>
      <c r="L1" s="79"/>
    </row>
    <row r="2" spans="1:15" ht="39" customHeight="1" thickBot="1">
      <c r="A2" s="641"/>
      <c r="B2" s="80" t="s">
        <v>5</v>
      </c>
      <c r="C2" s="643" t="s">
        <v>6</v>
      </c>
      <c r="D2" s="644"/>
      <c r="E2" s="645"/>
      <c r="F2" s="81" t="s">
        <v>7</v>
      </c>
      <c r="G2" s="82">
        <v>45363</v>
      </c>
      <c r="H2" s="83" t="s">
        <v>8</v>
      </c>
      <c r="I2" s="76" t="s">
        <v>9</v>
      </c>
      <c r="J2" s="84"/>
      <c r="K2" s="78"/>
      <c r="L2" s="79"/>
    </row>
    <row r="3" spans="1:15" ht="29.25" customHeight="1" thickBot="1">
      <c r="A3" s="641"/>
      <c r="B3" s="80" t="s">
        <v>10</v>
      </c>
      <c r="C3" s="643" t="s">
        <v>11</v>
      </c>
      <c r="D3" s="644"/>
      <c r="E3" s="645"/>
      <c r="F3" s="81" t="s">
        <v>12</v>
      </c>
      <c r="G3" s="82">
        <v>46002</v>
      </c>
      <c r="H3" s="83" t="s">
        <v>13</v>
      </c>
      <c r="I3" s="76" t="s">
        <v>14</v>
      </c>
      <c r="J3" s="84"/>
      <c r="K3" s="78"/>
      <c r="L3" s="85"/>
    </row>
    <row r="4" spans="1:15" ht="49.5" customHeight="1" thickBot="1">
      <c r="A4" s="642"/>
      <c r="B4" s="80" t="s">
        <v>15</v>
      </c>
      <c r="C4" s="646">
        <v>46153</v>
      </c>
      <c r="D4" s="646"/>
      <c r="E4" s="647"/>
      <c r="F4" s="81" t="s">
        <v>16</v>
      </c>
      <c r="G4" s="76" t="s">
        <v>17</v>
      </c>
      <c r="H4" s="83" t="s">
        <v>18</v>
      </c>
      <c r="I4" s="76" t="s">
        <v>19</v>
      </c>
      <c r="J4" s="84"/>
      <c r="K4" s="78"/>
      <c r="L4" s="85"/>
    </row>
    <row r="5" spans="1:15">
      <c r="A5" s="637" t="s">
        <v>20</v>
      </c>
      <c r="B5" s="637"/>
      <c r="C5" s="637"/>
      <c r="D5" s="637"/>
      <c r="E5" s="637"/>
      <c r="F5" s="637"/>
      <c r="G5" s="637"/>
      <c r="H5" s="637"/>
      <c r="I5" s="637"/>
      <c r="J5" s="637"/>
      <c r="K5" s="637"/>
      <c r="L5" s="637"/>
      <c r="M5"/>
    </row>
    <row r="6" spans="1:15" ht="28.5">
      <c r="A6" s="639" t="s">
        <v>21</v>
      </c>
      <c r="B6" s="639"/>
      <c r="C6" s="639"/>
      <c r="D6" s="639"/>
      <c r="E6" s="639"/>
      <c r="F6" s="639"/>
      <c r="G6" s="639"/>
      <c r="H6" s="639"/>
      <c r="I6" s="639"/>
      <c r="J6" s="639"/>
      <c r="K6" s="639"/>
      <c r="L6" s="639"/>
      <c r="M6"/>
    </row>
    <row r="7" spans="1:15" ht="49.5" customHeight="1">
      <c r="A7" s="86" t="s">
        <v>22</v>
      </c>
      <c r="B7" s="86" t="s">
        <v>23</v>
      </c>
      <c r="C7" s="86" t="s">
        <v>24</v>
      </c>
      <c r="D7" s="86" t="s">
        <v>25</v>
      </c>
      <c r="E7" s="87" t="s">
        <v>26</v>
      </c>
      <c r="F7" s="86" t="s">
        <v>27</v>
      </c>
      <c r="G7" s="86" t="s">
        <v>28</v>
      </c>
      <c r="H7" s="86" t="s">
        <v>29</v>
      </c>
      <c r="I7" s="86" t="s">
        <v>30</v>
      </c>
      <c r="J7" s="86" t="s">
        <v>31</v>
      </c>
      <c r="K7" s="86" t="s">
        <v>32</v>
      </c>
      <c r="L7" s="86" t="s">
        <v>33</v>
      </c>
      <c r="M7"/>
    </row>
    <row r="8" spans="1:15" ht="49.5" customHeight="1">
      <c r="A8" s="88" t="s">
        <v>34</v>
      </c>
      <c r="B8" s="89" t="s">
        <v>35</v>
      </c>
      <c r="C8" s="90">
        <v>127.854</v>
      </c>
      <c r="D8" s="90">
        <f t="shared" ref="D8:F10" si="0">C8</f>
        <v>127.854</v>
      </c>
      <c r="E8" s="90">
        <f t="shared" si="0"/>
        <v>127.854</v>
      </c>
      <c r="F8" s="90">
        <f t="shared" si="0"/>
        <v>127.854</v>
      </c>
      <c r="G8" s="90"/>
      <c r="H8" s="90"/>
      <c r="I8" s="90"/>
      <c r="J8" s="91"/>
      <c r="K8" s="92">
        <f>F8+J8</f>
        <v>127.854</v>
      </c>
      <c r="L8" s="93" t="s">
        <v>36</v>
      </c>
      <c r="M8"/>
    </row>
    <row r="9" spans="1:15" ht="49.5" customHeight="1">
      <c r="A9" s="88" t="s">
        <v>37</v>
      </c>
      <c r="B9" s="89" t="s">
        <v>35</v>
      </c>
      <c r="C9" s="90">
        <f>C8</f>
        <v>127.854</v>
      </c>
      <c r="D9" s="90">
        <f t="shared" si="0"/>
        <v>127.854</v>
      </c>
      <c r="E9" s="90">
        <f t="shared" si="0"/>
        <v>127.854</v>
      </c>
      <c r="F9" s="90">
        <f t="shared" si="0"/>
        <v>127.854</v>
      </c>
      <c r="G9" s="90"/>
      <c r="H9" s="90"/>
      <c r="I9" s="90"/>
      <c r="J9" s="91"/>
      <c r="K9" s="94">
        <f>E9+J9</f>
        <v>127.854</v>
      </c>
      <c r="L9" s="93" t="s">
        <v>36</v>
      </c>
      <c r="M9"/>
    </row>
    <row r="10" spans="1:15" ht="49.5" customHeight="1">
      <c r="A10" s="95" t="s">
        <v>21</v>
      </c>
      <c r="B10" s="89" t="s">
        <v>35</v>
      </c>
      <c r="C10" s="90">
        <f>C9</f>
        <v>127.854</v>
      </c>
      <c r="D10" s="90">
        <f t="shared" si="0"/>
        <v>127.854</v>
      </c>
      <c r="E10" s="90">
        <f t="shared" si="0"/>
        <v>127.854</v>
      </c>
      <c r="F10" s="90">
        <f t="shared" si="0"/>
        <v>127.854</v>
      </c>
      <c r="G10" s="90"/>
      <c r="H10" s="90"/>
      <c r="I10" s="96"/>
      <c r="J10" s="91"/>
      <c r="K10" s="94">
        <f>E10+J10</f>
        <v>127.854</v>
      </c>
      <c r="L10" s="93" t="s">
        <v>38</v>
      </c>
      <c r="M10"/>
    </row>
    <row r="12" spans="1:15" ht="31.5" customHeight="1">
      <c r="A12" s="648" t="s">
        <v>39</v>
      </c>
      <c r="B12" s="648"/>
      <c r="C12" s="648"/>
      <c r="D12" s="648"/>
      <c r="E12" s="648"/>
      <c r="F12" s="648"/>
      <c r="G12" s="648"/>
      <c r="H12" s="648"/>
      <c r="I12" s="648"/>
      <c r="J12" s="648"/>
      <c r="K12" s="648"/>
      <c r="L12" s="648"/>
      <c r="M12" s="648"/>
      <c r="N12" s="648"/>
      <c r="O12" s="648"/>
    </row>
    <row r="13" spans="1:15" ht="87.65" customHeight="1">
      <c r="A13" s="97" t="s">
        <v>22</v>
      </c>
      <c r="B13" s="97" t="s">
        <v>40</v>
      </c>
      <c r="C13" s="97" t="s">
        <v>41</v>
      </c>
      <c r="D13" s="97" t="s">
        <v>42</v>
      </c>
      <c r="E13" s="97" t="s">
        <v>43</v>
      </c>
      <c r="F13" s="97" t="s">
        <v>44</v>
      </c>
      <c r="G13" s="97" t="s">
        <v>45</v>
      </c>
      <c r="H13" s="97" t="s">
        <v>46</v>
      </c>
      <c r="I13" s="97" t="s">
        <v>47</v>
      </c>
      <c r="J13" s="97" t="s">
        <v>48</v>
      </c>
      <c r="K13" s="97" t="s">
        <v>49</v>
      </c>
      <c r="L13" s="97" t="s">
        <v>50</v>
      </c>
      <c r="M13" s="97" t="s">
        <v>51</v>
      </c>
      <c r="N13" s="649" t="s">
        <v>33</v>
      </c>
      <c r="O13" s="649"/>
    </row>
    <row r="14" spans="1:15" ht="50.15" customHeight="1">
      <c r="A14" s="98" t="s">
        <v>52</v>
      </c>
      <c r="B14" s="99">
        <v>28</v>
      </c>
      <c r="C14" s="99"/>
      <c r="D14" s="99">
        <f>C14</f>
        <v>0</v>
      </c>
      <c r="E14" s="99">
        <v>0</v>
      </c>
      <c r="F14" s="99">
        <v>0</v>
      </c>
      <c r="G14" s="100"/>
      <c r="H14" s="100"/>
      <c r="I14" s="99">
        <f t="shared" ref="I14:I19" si="1">C14+E14</f>
        <v>0</v>
      </c>
      <c r="J14" s="101">
        <v>28</v>
      </c>
      <c r="K14" s="102">
        <f t="shared" ref="K14:K19" si="2">B14-J14</f>
        <v>0</v>
      </c>
      <c r="L14" s="99"/>
      <c r="M14" s="99"/>
      <c r="N14" s="650" t="s">
        <v>53</v>
      </c>
      <c r="O14" s="650"/>
    </row>
    <row r="15" spans="1:15" ht="80.150000000000006" customHeight="1">
      <c r="A15" s="98" t="s">
        <v>54</v>
      </c>
      <c r="B15" s="99">
        <v>351</v>
      </c>
      <c r="C15" s="99"/>
      <c r="D15" s="99">
        <v>266</v>
      </c>
      <c r="E15" s="99">
        <v>0</v>
      </c>
      <c r="F15" s="99">
        <v>45</v>
      </c>
      <c r="G15" s="100">
        <f>'AOTL - KEC'!G11</f>
        <v>0</v>
      </c>
      <c r="H15" s="100">
        <f>'AOTL - KEC'!H11</f>
        <v>0</v>
      </c>
      <c r="I15" s="99">
        <f>C15+E15</f>
        <v>0</v>
      </c>
      <c r="J15" s="101">
        <f>D15+H15</f>
        <v>266</v>
      </c>
      <c r="K15" s="102">
        <f t="shared" si="2"/>
        <v>85</v>
      </c>
      <c r="L15" s="99">
        <f>'AOTL - KEC'!K11</f>
        <v>0</v>
      </c>
      <c r="M15" s="99">
        <f>'AOTL - KEC'!L11</f>
        <v>0</v>
      </c>
      <c r="N15" s="627"/>
      <c r="O15" s="627"/>
    </row>
    <row r="16" spans="1:15" s="105" customFormat="1" ht="23.5">
      <c r="A16" s="103" t="s">
        <v>55</v>
      </c>
      <c r="B16" s="99">
        <v>351</v>
      </c>
      <c r="C16" s="99"/>
      <c r="D16" s="99">
        <v>236</v>
      </c>
      <c r="E16" s="99">
        <v>0</v>
      </c>
      <c r="F16" s="99">
        <v>45</v>
      </c>
      <c r="G16" s="100" t="str">
        <f>'AOTL - KEC'!G13</f>
        <v xml:space="preserve"> </v>
      </c>
      <c r="H16" s="100">
        <f>'AOTL - KEC'!H13</f>
        <v>0</v>
      </c>
      <c r="I16" s="99">
        <f t="shared" si="1"/>
        <v>0</v>
      </c>
      <c r="J16" s="101">
        <f t="shared" ref="J16:J19" si="3">D16+H16</f>
        <v>236</v>
      </c>
      <c r="K16" s="102">
        <f t="shared" si="2"/>
        <v>115</v>
      </c>
      <c r="L16" s="104"/>
      <c r="M16" s="104"/>
      <c r="N16" s="627"/>
      <c r="O16" s="627"/>
    </row>
    <row r="17" spans="1:15" ht="76.5" customHeight="1">
      <c r="A17" s="98" t="s">
        <v>56</v>
      </c>
      <c r="B17" s="99">
        <v>351</v>
      </c>
      <c r="C17" s="99"/>
      <c r="D17" s="99">
        <v>123</v>
      </c>
      <c r="E17" s="99">
        <v>0</v>
      </c>
      <c r="F17" s="99">
        <v>100</v>
      </c>
      <c r="G17" s="100" t="str">
        <f>'AOTL - KEC'!G14</f>
        <v xml:space="preserve"> </v>
      </c>
      <c r="H17" s="100" t="str">
        <f>'AOTL - KEC'!H14</f>
        <v xml:space="preserve"> </v>
      </c>
      <c r="I17" s="99">
        <f t="shared" si="1"/>
        <v>0</v>
      </c>
      <c r="J17" s="101" t="e">
        <f>D17+H17</f>
        <v>#VALUE!</v>
      </c>
      <c r="K17" s="102" t="e">
        <f t="shared" si="2"/>
        <v>#VALUE!</v>
      </c>
      <c r="L17" s="99">
        <f>'AOTL - KEC'!K14</f>
        <v>1</v>
      </c>
      <c r="M17" s="99">
        <f>'AOTL - KEC'!L14</f>
        <v>1</v>
      </c>
      <c r="N17" s="627"/>
      <c r="O17" s="627"/>
    </row>
    <row r="18" spans="1:15" ht="38.5" customHeight="1">
      <c r="A18" s="98" t="s">
        <v>57</v>
      </c>
      <c r="B18" s="99">
        <v>351</v>
      </c>
      <c r="C18" s="99"/>
      <c r="D18" s="99">
        <v>35</v>
      </c>
      <c r="E18" s="99">
        <v>0</v>
      </c>
      <c r="F18" s="99">
        <v>45</v>
      </c>
      <c r="G18" s="100">
        <v>1</v>
      </c>
      <c r="H18" s="100">
        <f>'AOTL - KEC'!H15</f>
        <v>0</v>
      </c>
      <c r="I18" s="99">
        <f t="shared" si="1"/>
        <v>0</v>
      </c>
      <c r="J18" s="101">
        <f t="shared" si="3"/>
        <v>35</v>
      </c>
      <c r="K18" s="102">
        <f t="shared" si="2"/>
        <v>316</v>
      </c>
      <c r="L18" s="99">
        <v>2</v>
      </c>
      <c r="M18" s="99">
        <v>2</v>
      </c>
      <c r="N18" s="627"/>
      <c r="O18" s="627"/>
    </row>
    <row r="19" spans="1:15" ht="64.400000000000006" customHeight="1">
      <c r="A19" s="98" t="s">
        <v>58</v>
      </c>
      <c r="B19" s="99">
        <v>127.854</v>
      </c>
      <c r="C19" s="99"/>
      <c r="D19" s="99"/>
      <c r="E19" s="99">
        <v>0</v>
      </c>
      <c r="F19" s="99">
        <v>8.7240000000000002</v>
      </c>
      <c r="G19" s="100"/>
      <c r="H19" s="100"/>
      <c r="I19" s="99">
        <f t="shared" si="1"/>
        <v>0</v>
      </c>
      <c r="J19" s="101">
        <f t="shared" si="3"/>
        <v>0</v>
      </c>
      <c r="K19" s="102">
        <f t="shared" si="2"/>
        <v>127.854</v>
      </c>
      <c r="L19" s="99"/>
      <c r="M19" s="99"/>
      <c r="N19" s="628"/>
      <c r="O19" s="628"/>
    </row>
    <row r="20" spans="1:15" ht="24" customHeight="1">
      <c r="N20" s="629"/>
      <c r="O20" s="629"/>
    </row>
  </sheetData>
  <mergeCells count="15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</mergeCells>
  <pageMargins left="0.27559055118110237" right="0.31496062992125984" top="0.35433070866141736" bottom="0.39370078740157483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59D9-DE9E-4BF7-9955-77488DB0E642}">
  <sheetPr codeName="Sheet4"/>
  <dimension ref="A1:O47"/>
  <sheetViews>
    <sheetView tabSelected="1" zoomScale="50" zoomScaleNormal="50" zoomScaleSheetLayoutView="40" workbookViewId="0">
      <selection activeCell="I10" sqref="I10"/>
    </sheetView>
  </sheetViews>
  <sheetFormatPr defaultColWidth="9.1796875" defaultRowHeight="14.5"/>
  <cols>
    <col min="1" max="1" width="23.1796875" customWidth="1"/>
    <col min="2" max="2" width="20.1796875" customWidth="1"/>
    <col min="3" max="3" width="21.453125" customWidth="1"/>
    <col min="4" max="4" width="27.81640625" customWidth="1"/>
    <col min="5" max="5" width="19.54296875" style="106" customWidth="1"/>
    <col min="6" max="6" width="27.453125" style="68" customWidth="1"/>
    <col min="7" max="7" width="25.453125" customWidth="1"/>
    <col min="8" max="8" width="26.54296875" bestFit="1" customWidth="1"/>
    <col min="9" max="9" width="31.453125" customWidth="1"/>
    <col min="10" max="10" width="20.54296875" customWidth="1"/>
    <col min="11" max="11" width="20.54296875" style="107" bestFit="1" customWidth="1"/>
    <col min="12" max="12" width="19.1796875" style="68" customWidth="1"/>
    <col min="13" max="13" width="13.453125" style="68" customWidth="1"/>
    <col min="14" max="14" width="24.453125" customWidth="1"/>
    <col min="15" max="15" width="15.54296875" customWidth="1"/>
  </cols>
  <sheetData>
    <row r="1" spans="1:15" ht="21">
      <c r="A1" s="634"/>
      <c r="B1" s="270" t="s">
        <v>0</v>
      </c>
      <c r="C1" s="638" t="s">
        <v>59</v>
      </c>
      <c r="D1" s="638"/>
      <c r="E1" s="638"/>
      <c r="F1" s="270" t="s">
        <v>2</v>
      </c>
      <c r="G1" s="274">
        <v>46246</v>
      </c>
      <c r="H1" s="270" t="s">
        <v>3</v>
      </c>
      <c r="I1" s="275" t="s">
        <v>4</v>
      </c>
      <c r="J1" s="77"/>
      <c r="K1" s="78"/>
      <c r="L1" s="79"/>
    </row>
    <row r="2" spans="1:15" ht="21">
      <c r="A2" s="634"/>
      <c r="B2" s="270" t="s">
        <v>5</v>
      </c>
      <c r="C2" s="635" t="s">
        <v>60</v>
      </c>
      <c r="D2" s="635"/>
      <c r="E2" s="635"/>
      <c r="F2" s="270" t="s">
        <v>7</v>
      </c>
      <c r="G2" s="274">
        <v>45622</v>
      </c>
      <c r="H2" s="270" t="s">
        <v>8</v>
      </c>
      <c r="I2" s="275" t="s">
        <v>9</v>
      </c>
      <c r="J2" s="84"/>
      <c r="K2" s="78"/>
      <c r="L2" s="79"/>
    </row>
    <row r="3" spans="1:15" ht="21">
      <c r="A3" s="634"/>
      <c r="B3" s="270" t="s">
        <v>10</v>
      </c>
      <c r="C3" s="635" t="s">
        <v>61</v>
      </c>
      <c r="D3" s="635"/>
      <c r="E3" s="635"/>
      <c r="F3" s="270" t="s">
        <v>12</v>
      </c>
      <c r="G3" s="274">
        <v>46320</v>
      </c>
      <c r="H3" s="270" t="s">
        <v>13</v>
      </c>
      <c r="I3" s="275" t="s">
        <v>62</v>
      </c>
      <c r="J3" s="84"/>
      <c r="K3" s="78"/>
      <c r="L3" s="85"/>
    </row>
    <row r="4" spans="1:15" ht="42">
      <c r="A4" s="634"/>
      <c r="B4" s="270" t="s">
        <v>15</v>
      </c>
      <c r="C4" s="636"/>
      <c r="D4" s="636"/>
      <c r="E4" s="636"/>
      <c r="F4" s="270" t="s">
        <v>16</v>
      </c>
      <c r="G4" s="275" t="s">
        <v>63</v>
      </c>
      <c r="H4" s="270" t="s">
        <v>18</v>
      </c>
      <c r="I4" s="275" t="s">
        <v>64</v>
      </c>
      <c r="J4" s="84"/>
      <c r="K4" s="78"/>
      <c r="L4" s="85"/>
      <c r="O4" s="6"/>
    </row>
    <row r="5" spans="1:15">
      <c r="A5" s="637"/>
      <c r="B5" s="637"/>
      <c r="C5" s="637"/>
      <c r="D5" s="637"/>
      <c r="E5" s="637"/>
      <c r="F5" s="637"/>
      <c r="G5" s="637"/>
      <c r="H5" s="637"/>
      <c r="I5" s="637"/>
      <c r="J5" s="637"/>
      <c r="K5" s="637"/>
      <c r="L5" s="637"/>
      <c r="M5"/>
    </row>
    <row r="6" spans="1:15" ht="28.5">
      <c r="A6" s="633" t="s">
        <v>65</v>
      </c>
      <c r="B6" s="633"/>
      <c r="C6" s="633"/>
      <c r="D6" s="633"/>
      <c r="E6" s="633"/>
      <c r="F6" s="633"/>
      <c r="G6" s="633"/>
      <c r="H6" s="633"/>
      <c r="I6" s="633"/>
      <c r="J6" s="633"/>
      <c r="K6" s="633"/>
      <c r="L6" s="633"/>
      <c r="M6"/>
    </row>
    <row r="7" spans="1:15" ht="42">
      <c r="A7" s="270" t="s">
        <v>22</v>
      </c>
      <c r="B7" s="270" t="s">
        <v>23</v>
      </c>
      <c r="C7" s="270" t="s">
        <v>24</v>
      </c>
      <c r="D7" s="270" t="s">
        <v>25</v>
      </c>
      <c r="E7" s="271" t="s">
        <v>26</v>
      </c>
      <c r="F7" s="270" t="s">
        <v>27</v>
      </c>
      <c r="G7" s="270" t="s">
        <v>28</v>
      </c>
      <c r="H7" s="270" t="s">
        <v>29</v>
      </c>
      <c r="I7" s="270" t="s">
        <v>30</v>
      </c>
      <c r="J7" s="270" t="s">
        <v>31</v>
      </c>
      <c r="K7" s="270" t="s">
        <v>32</v>
      </c>
      <c r="L7" s="270" t="s">
        <v>33</v>
      </c>
      <c r="M7"/>
    </row>
    <row r="8" spans="1:15" ht="40.4" customHeight="1">
      <c r="A8" s="88" t="s">
        <v>34</v>
      </c>
      <c r="B8" s="89" t="s">
        <v>66</v>
      </c>
      <c r="C8" s="90">
        <v>114.51600000000001</v>
      </c>
      <c r="D8" s="90">
        <v>114.51600000000001</v>
      </c>
      <c r="E8" s="90">
        <v>114.51600000000001</v>
      </c>
      <c r="F8" s="90">
        <v>114.51600000000001</v>
      </c>
      <c r="G8" s="90">
        <f>C8-E8</f>
        <v>0</v>
      </c>
      <c r="H8" s="90">
        <f>E8-K8</f>
        <v>0</v>
      </c>
      <c r="I8" s="90">
        <f>C8-E8</f>
        <v>0</v>
      </c>
      <c r="J8" s="272">
        <v>0</v>
      </c>
      <c r="K8" s="92">
        <f>F8+J8</f>
        <v>114.51600000000001</v>
      </c>
      <c r="L8" s="93" t="s">
        <v>38</v>
      </c>
      <c r="M8"/>
    </row>
    <row r="9" spans="1:15" ht="40.4" customHeight="1">
      <c r="A9" s="88" t="s">
        <v>37</v>
      </c>
      <c r="B9" s="89" t="s">
        <v>66</v>
      </c>
      <c r="C9" s="90">
        <v>114.51600000000001</v>
      </c>
      <c r="D9" s="90">
        <v>114.51600000000001</v>
      </c>
      <c r="E9" s="90">
        <f>'Survey Anx'!E39</f>
        <v>114.38447999999998</v>
      </c>
      <c r="F9" s="90">
        <f>'Survey Anx'!F39</f>
        <v>107.97099999999999</v>
      </c>
      <c r="G9" s="90">
        <f>D9-E9</f>
        <v>0.13152000000002317</v>
      </c>
      <c r="H9" s="90">
        <f>D9-F9</f>
        <v>6.5450000000000159</v>
      </c>
      <c r="I9" s="90">
        <v>0</v>
      </c>
      <c r="J9" s="273">
        <v>0</v>
      </c>
      <c r="K9" s="272">
        <f>'Survey Anx'!F39</f>
        <v>107.97099999999999</v>
      </c>
      <c r="L9" s="273"/>
      <c r="M9"/>
      <c r="O9" s="207"/>
    </row>
    <row r="10" spans="1:15" s="23" customFormat="1" ht="40.4" customHeight="1">
      <c r="A10" s="88" t="s">
        <v>21</v>
      </c>
      <c r="B10" s="89" t="s">
        <v>66</v>
      </c>
      <c r="C10" s="90">
        <v>114.51600000000001</v>
      </c>
      <c r="D10" s="90">
        <v>114.51600000000001</v>
      </c>
      <c r="E10" s="90">
        <f>'Survey Anx'!G39</f>
        <v>103.45700000000001</v>
      </c>
      <c r="F10" s="90">
        <v>94.51900000000002</v>
      </c>
      <c r="G10" s="90">
        <f>'Survey Anx'!H44</f>
        <v>10.927479999999974</v>
      </c>
      <c r="H10" s="90">
        <f>'Survey Anx'!I44</f>
        <v>8.9379999999999882</v>
      </c>
      <c r="I10" s="90">
        <v>0</v>
      </c>
      <c r="J10" s="272">
        <v>0</v>
      </c>
      <c r="K10" s="272">
        <f>'Survey Anx'!I39</f>
        <v>94.51900000000002</v>
      </c>
      <c r="L10" s="273"/>
      <c r="O10" s="157"/>
    </row>
    <row r="12" spans="1:15" ht="31">
      <c r="A12" s="630" t="s">
        <v>39</v>
      </c>
      <c r="B12" s="630"/>
      <c r="C12" s="630"/>
      <c r="D12" s="630"/>
      <c r="E12" s="630"/>
      <c r="F12" s="630"/>
      <c r="G12" s="630"/>
      <c r="H12" s="630"/>
      <c r="I12" s="630"/>
      <c r="J12" s="630"/>
      <c r="K12" s="630"/>
      <c r="L12" s="630"/>
      <c r="M12" s="630"/>
      <c r="N12" s="630"/>
      <c r="O12" s="630"/>
    </row>
    <row r="13" spans="1:15" ht="70.5">
      <c r="A13" s="269" t="s">
        <v>22</v>
      </c>
      <c r="B13" s="269" t="s">
        <v>40</v>
      </c>
      <c r="C13" s="269" t="s">
        <v>1118</v>
      </c>
      <c r="D13" s="269" t="s">
        <v>1119</v>
      </c>
      <c r="E13" s="269" t="s">
        <v>43</v>
      </c>
      <c r="F13" s="269" t="s">
        <v>44</v>
      </c>
      <c r="G13" s="269" t="s">
        <v>45</v>
      </c>
      <c r="H13" s="269" t="s">
        <v>46</v>
      </c>
      <c r="I13" s="269" t="s">
        <v>47</v>
      </c>
      <c r="J13" s="269" t="s">
        <v>48</v>
      </c>
      <c r="K13" s="269" t="s">
        <v>49</v>
      </c>
      <c r="L13" s="269" t="s">
        <v>50</v>
      </c>
      <c r="M13" s="269" t="s">
        <v>51</v>
      </c>
      <c r="N13" s="631" t="s">
        <v>33</v>
      </c>
      <c r="O13" s="631"/>
    </row>
    <row r="14" spans="1:15" ht="40.4" customHeight="1">
      <c r="A14" s="98" t="s">
        <v>52</v>
      </c>
      <c r="B14" s="99">
        <v>30</v>
      </c>
      <c r="C14" s="99">
        <v>0</v>
      </c>
      <c r="D14" s="99">
        <v>30</v>
      </c>
      <c r="E14" s="99">
        <v>0</v>
      </c>
      <c r="F14" s="99">
        <v>0</v>
      </c>
      <c r="G14" s="100"/>
      <c r="H14" s="100"/>
      <c r="I14" s="99">
        <v>0</v>
      </c>
      <c r="J14" s="101">
        <v>30</v>
      </c>
      <c r="K14" s="102">
        <f t="shared" ref="K14:K19" si="0">B14-J14</f>
        <v>0</v>
      </c>
      <c r="L14" s="99"/>
      <c r="M14" s="99"/>
      <c r="N14" s="632"/>
      <c r="O14" s="632"/>
    </row>
    <row r="15" spans="1:15" ht="75.75" customHeight="1">
      <c r="A15" s="98" t="s">
        <v>54</v>
      </c>
      <c r="B15" s="99">
        <v>299</v>
      </c>
      <c r="C15" s="99">
        <v>0</v>
      </c>
      <c r="D15" s="99">
        <v>95</v>
      </c>
      <c r="E15" s="99">
        <v>0</v>
      </c>
      <c r="F15" s="99">
        <v>20</v>
      </c>
      <c r="G15" s="100" t="s">
        <v>67</v>
      </c>
      <c r="H15" s="100"/>
      <c r="I15" s="99">
        <v>293</v>
      </c>
      <c r="J15" s="101">
        <v>95</v>
      </c>
      <c r="K15" s="102">
        <f>B15-J15</f>
        <v>204</v>
      </c>
      <c r="L15" s="99">
        <v>1</v>
      </c>
      <c r="M15" s="99">
        <v>1</v>
      </c>
      <c r="N15" s="632" t="s">
        <v>1184</v>
      </c>
      <c r="O15" s="632"/>
    </row>
    <row r="16" spans="1:15" s="105" customFormat="1" ht="40.4" customHeight="1">
      <c r="A16" s="103" t="s">
        <v>55</v>
      </c>
      <c r="B16" s="99">
        <v>299</v>
      </c>
      <c r="C16" s="99">
        <v>0</v>
      </c>
      <c r="D16" s="99">
        <v>92</v>
      </c>
      <c r="E16" s="99">
        <v>0</v>
      </c>
      <c r="F16" s="99">
        <v>26</v>
      </c>
      <c r="G16" s="100"/>
      <c r="H16" s="100"/>
      <c r="I16" s="99">
        <v>293</v>
      </c>
      <c r="J16" s="101">
        <v>92</v>
      </c>
      <c r="K16" s="102">
        <f t="shared" si="0"/>
        <v>207</v>
      </c>
      <c r="L16" s="104"/>
      <c r="M16" s="104"/>
      <c r="N16" s="632"/>
      <c r="O16" s="632"/>
    </row>
    <row r="17" spans="1:15" ht="40.4" customHeight="1">
      <c r="A17" s="98" t="s">
        <v>56</v>
      </c>
      <c r="B17" s="99">
        <v>299</v>
      </c>
      <c r="C17" s="99">
        <v>0</v>
      </c>
      <c r="D17" s="99">
        <v>48</v>
      </c>
      <c r="E17" s="99">
        <v>0</v>
      </c>
      <c r="F17" s="99">
        <v>15</v>
      </c>
      <c r="G17" s="100" t="s">
        <v>67</v>
      </c>
      <c r="H17" s="100" t="s">
        <v>67</v>
      </c>
      <c r="I17" s="99">
        <v>293</v>
      </c>
      <c r="J17" s="101">
        <v>48</v>
      </c>
      <c r="K17" s="102">
        <f>B17-J17</f>
        <v>251</v>
      </c>
      <c r="L17" s="99">
        <v>1</v>
      </c>
      <c r="M17" s="99">
        <v>1</v>
      </c>
      <c r="N17" s="632"/>
      <c r="O17" s="632"/>
    </row>
    <row r="18" spans="1:15" ht="40.4" customHeight="1">
      <c r="A18" s="98" t="s">
        <v>57</v>
      </c>
      <c r="B18" s="99">
        <v>299</v>
      </c>
      <c r="C18" s="99">
        <v>0</v>
      </c>
      <c r="D18" s="99">
        <v>13</v>
      </c>
      <c r="E18" s="99">
        <v>0</v>
      </c>
      <c r="F18" s="99">
        <v>15</v>
      </c>
      <c r="G18" s="100"/>
      <c r="H18" s="100"/>
      <c r="I18" s="99">
        <v>293</v>
      </c>
      <c r="J18" s="101">
        <v>13</v>
      </c>
      <c r="K18" s="102">
        <f>B18-J18</f>
        <v>286</v>
      </c>
      <c r="L18" s="99"/>
      <c r="M18" s="99" t="s">
        <v>337</v>
      </c>
      <c r="N18" s="627"/>
      <c r="O18" s="627"/>
    </row>
    <row r="19" spans="1:15" ht="40.4" customHeight="1">
      <c r="A19" s="98" t="s">
        <v>58</v>
      </c>
      <c r="B19" s="99">
        <v>114.51600000000001</v>
      </c>
      <c r="C19" s="99">
        <v>9</v>
      </c>
      <c r="D19" s="99">
        <v>0</v>
      </c>
      <c r="E19" s="99">
        <v>7.27</v>
      </c>
      <c r="F19" s="99">
        <v>0</v>
      </c>
      <c r="G19" s="100"/>
      <c r="H19" s="100"/>
      <c r="I19" s="99">
        <f>K19-E19</f>
        <v>107.24600000000001</v>
      </c>
      <c r="J19" s="101">
        <f t="shared" ref="J19" si="1">D19+H19</f>
        <v>0</v>
      </c>
      <c r="K19" s="102">
        <f t="shared" si="0"/>
        <v>114.51600000000001</v>
      </c>
      <c r="L19" s="99"/>
      <c r="M19" s="99"/>
      <c r="N19" s="628"/>
      <c r="O19" s="628"/>
    </row>
    <row r="20" spans="1:15" ht="40.4" customHeight="1">
      <c r="N20" s="629"/>
      <c r="O20" s="629"/>
    </row>
    <row r="47" spans="9:9">
      <c r="I47">
        <f>'Survey Anx'!H44</f>
        <v>10.927479999999974</v>
      </c>
    </row>
  </sheetData>
  <mergeCells count="16">
    <mergeCell ref="A6:L6"/>
    <mergeCell ref="A1:A4"/>
    <mergeCell ref="C2:E2"/>
    <mergeCell ref="C3:E3"/>
    <mergeCell ref="C4:E4"/>
    <mergeCell ref="A5:L5"/>
    <mergeCell ref="C1:E1"/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</mergeCells>
  <pageMargins left="0.7" right="0.7" top="0.75" bottom="0.75" header="0.3" footer="0.3"/>
  <pageSetup scale="2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5"/>
  <dimension ref="A1:K11"/>
  <sheetViews>
    <sheetView zoomScale="85" zoomScaleNormal="85" workbookViewId="0">
      <selection activeCell="J16" sqref="J16"/>
    </sheetView>
  </sheetViews>
  <sheetFormatPr defaultRowHeight="14.5"/>
  <cols>
    <col min="1" max="1" width="11.453125" bestFit="1" customWidth="1"/>
    <col min="2" max="2" width="35.453125" customWidth="1"/>
    <col min="3" max="3" width="19.54296875" bestFit="1" customWidth="1"/>
    <col min="4" max="4" width="13.54296875" bestFit="1" customWidth="1"/>
    <col min="5" max="5" width="12.1796875" bestFit="1" customWidth="1"/>
    <col min="6" max="6" width="16.453125" bestFit="1" customWidth="1"/>
    <col min="7" max="7" width="12.54296875" bestFit="1" customWidth="1"/>
    <col min="8" max="8" width="20.54296875" bestFit="1" customWidth="1"/>
    <col min="9" max="10" width="15.1796875" bestFit="1" customWidth="1"/>
    <col min="11" max="11" width="27.1796875" customWidth="1"/>
  </cols>
  <sheetData>
    <row r="1" spans="1:11">
      <c r="A1" s="62" t="s">
        <v>0</v>
      </c>
      <c r="B1" s="62" t="s">
        <v>5</v>
      </c>
      <c r="C1" s="62" t="s">
        <v>10</v>
      </c>
      <c r="D1" s="62" t="s">
        <v>7</v>
      </c>
      <c r="E1" s="62" t="s">
        <v>12</v>
      </c>
      <c r="F1" s="62" t="s">
        <v>16</v>
      </c>
      <c r="G1" s="62" t="s">
        <v>8</v>
      </c>
      <c r="H1" s="62" t="s">
        <v>13</v>
      </c>
      <c r="I1" s="62" t="s">
        <v>68</v>
      </c>
      <c r="J1" s="62" t="s">
        <v>69</v>
      </c>
      <c r="K1" s="62" t="s">
        <v>70</v>
      </c>
    </row>
    <row r="2" spans="1:11" ht="43.5">
      <c r="A2" s="51" t="s">
        <v>59</v>
      </c>
      <c r="B2" s="66" t="s">
        <v>71</v>
      </c>
      <c r="C2" s="205" t="s">
        <v>72</v>
      </c>
      <c r="D2" s="64">
        <v>45363</v>
      </c>
      <c r="E2" s="64">
        <v>46002</v>
      </c>
      <c r="F2" s="63" t="s">
        <v>63</v>
      </c>
      <c r="G2" s="63" t="s">
        <v>73</v>
      </c>
      <c r="H2" s="63" t="s">
        <v>74</v>
      </c>
      <c r="I2" s="63" t="s">
        <v>75</v>
      </c>
      <c r="J2" s="27" t="s">
        <v>76</v>
      </c>
      <c r="K2" s="140" t="s">
        <v>77</v>
      </c>
    </row>
    <row r="3" spans="1:11" ht="14.5" customHeight="1">
      <c r="C3" s="65"/>
      <c r="D3" s="65"/>
      <c r="E3" s="65"/>
      <c r="F3" s="65"/>
      <c r="G3" s="65"/>
      <c r="H3" s="65"/>
      <c r="I3" s="65"/>
      <c r="J3" s="29"/>
      <c r="K3" s="140" t="s">
        <v>78</v>
      </c>
    </row>
    <row r="4" spans="1:11">
      <c r="E4" s="61"/>
      <c r="J4" s="65"/>
      <c r="K4" s="140" t="s">
        <v>79</v>
      </c>
    </row>
    <row r="5" spans="1:11">
      <c r="K5" s="27" t="s">
        <v>80</v>
      </c>
    </row>
    <row r="6" spans="1:11">
      <c r="K6" s="27" t="s">
        <v>81</v>
      </c>
    </row>
    <row r="7" spans="1:11">
      <c r="B7" s="61"/>
      <c r="K7" s="140" t="s">
        <v>82</v>
      </c>
    </row>
    <row r="8" spans="1:11">
      <c r="K8" s="27" t="s">
        <v>83</v>
      </c>
    </row>
    <row r="9" spans="1:11">
      <c r="K9" s="27" t="s">
        <v>84</v>
      </c>
    </row>
    <row r="10" spans="1:11">
      <c r="K10" s="27" t="s">
        <v>85</v>
      </c>
    </row>
    <row r="11" spans="1:11">
      <c r="K11" s="2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872A-F696-4208-BB30-C386C6A759C0}">
  <sheetPr codeName="Sheet6"/>
  <dimension ref="B7:B77"/>
  <sheetViews>
    <sheetView workbookViewId="0">
      <selection activeCell="G21" sqref="G21"/>
    </sheetView>
  </sheetViews>
  <sheetFormatPr defaultRowHeight="14.5"/>
  <sheetData>
    <row r="7" spans="2:2">
      <c r="B7" s="67" t="s">
        <v>135</v>
      </c>
    </row>
    <row r="8" spans="2:2">
      <c r="B8" s="67" t="s">
        <v>136</v>
      </c>
    </row>
    <row r="9" spans="2:2">
      <c r="B9" s="67" t="s">
        <v>137</v>
      </c>
    </row>
    <row r="10" spans="2:2">
      <c r="B10" s="67" t="s">
        <v>138</v>
      </c>
    </row>
    <row r="11" spans="2:2">
      <c r="B11" s="67" t="s">
        <v>139</v>
      </c>
    </row>
    <row r="12" spans="2:2">
      <c r="B12" s="67" t="s">
        <v>140</v>
      </c>
    </row>
    <row r="13" spans="2:2">
      <c r="B13" s="67" t="s">
        <v>141</v>
      </c>
    </row>
    <row r="14" spans="2:2">
      <c r="B14" s="67" t="s">
        <v>142</v>
      </c>
    </row>
    <row r="15" spans="2:2">
      <c r="B15" s="67" t="s">
        <v>143</v>
      </c>
    </row>
    <row r="16" spans="2:2">
      <c r="B16" s="67" t="s">
        <v>144</v>
      </c>
    </row>
    <row r="17" spans="2:2">
      <c r="B17" s="67" t="s">
        <v>145</v>
      </c>
    </row>
    <row r="18" spans="2:2">
      <c r="B18" s="67" t="s">
        <v>146</v>
      </c>
    </row>
    <row r="19" spans="2:2">
      <c r="B19" s="67" t="s">
        <v>147</v>
      </c>
    </row>
    <row r="20" spans="2:2">
      <c r="B20" s="67" t="s">
        <v>148</v>
      </c>
    </row>
    <row r="21" spans="2:2">
      <c r="B21" s="67" t="s">
        <v>149</v>
      </c>
    </row>
    <row r="22" spans="2:2">
      <c r="B22" s="67" t="s">
        <v>150</v>
      </c>
    </row>
    <row r="23" spans="2:2">
      <c r="B23" s="67" t="s">
        <v>151</v>
      </c>
    </row>
    <row r="24" spans="2:2">
      <c r="B24" s="67" t="s">
        <v>152</v>
      </c>
    </row>
    <row r="25" spans="2:2">
      <c r="B25" s="67" t="s">
        <v>153</v>
      </c>
    </row>
    <row r="26" spans="2:2">
      <c r="B26" s="67" t="s">
        <v>154</v>
      </c>
    </row>
    <row r="27" spans="2:2">
      <c r="B27" s="67" t="s">
        <v>155</v>
      </c>
    </row>
    <row r="28" spans="2:2">
      <c r="B28" s="67" t="s">
        <v>156</v>
      </c>
    </row>
    <row r="29" spans="2:2">
      <c r="B29" s="67" t="s">
        <v>157</v>
      </c>
    </row>
    <row r="30" spans="2:2">
      <c r="B30" s="67" t="s">
        <v>158</v>
      </c>
    </row>
    <row r="31" spans="2:2">
      <c r="B31" s="67" t="s">
        <v>159</v>
      </c>
    </row>
    <row r="32" spans="2:2">
      <c r="B32" s="67" t="s">
        <v>160</v>
      </c>
    </row>
    <row r="33" spans="2:2">
      <c r="B33" s="67" t="s">
        <v>161</v>
      </c>
    </row>
    <row r="34" spans="2:2">
      <c r="B34" s="67" t="s">
        <v>162</v>
      </c>
    </row>
    <row r="35" spans="2:2">
      <c r="B35" s="67" t="s">
        <v>163</v>
      </c>
    </row>
    <row r="36" spans="2:2">
      <c r="B36" s="67" t="s">
        <v>164</v>
      </c>
    </row>
    <row r="37" spans="2:2">
      <c r="B37" s="67" t="s">
        <v>165</v>
      </c>
    </row>
    <row r="38" spans="2:2">
      <c r="B38" s="67" t="s">
        <v>166</v>
      </c>
    </row>
    <row r="41" spans="2:2">
      <c r="B41" s="55" t="s">
        <v>135</v>
      </c>
    </row>
    <row r="42" spans="2:2">
      <c r="B42" s="56" t="s">
        <v>167</v>
      </c>
    </row>
    <row r="43" spans="2:2">
      <c r="B43" s="56" t="s">
        <v>136</v>
      </c>
    </row>
    <row r="44" spans="2:2">
      <c r="B44" s="55" t="s">
        <v>137</v>
      </c>
    </row>
    <row r="45" spans="2:2">
      <c r="B45" s="56" t="s">
        <v>138</v>
      </c>
    </row>
    <row r="46" spans="2:2">
      <c r="B46" s="55" t="s">
        <v>139</v>
      </c>
    </row>
    <row r="47" spans="2:2">
      <c r="B47" s="55" t="s">
        <v>140</v>
      </c>
    </row>
    <row r="48" spans="2:2">
      <c r="B48" s="55" t="s">
        <v>168</v>
      </c>
    </row>
    <row r="49" spans="2:2">
      <c r="B49" s="55" t="s">
        <v>169</v>
      </c>
    </row>
    <row r="50" spans="2:2">
      <c r="B50" s="55" t="s">
        <v>165</v>
      </c>
    </row>
    <row r="51" spans="2:2">
      <c r="B51" s="55" t="s">
        <v>141</v>
      </c>
    </row>
    <row r="52" spans="2:2">
      <c r="B52" s="55" t="s">
        <v>142</v>
      </c>
    </row>
    <row r="53" spans="2:2">
      <c r="B53" s="55" t="s">
        <v>143</v>
      </c>
    </row>
    <row r="54" spans="2:2">
      <c r="B54" s="55" t="s">
        <v>144</v>
      </c>
    </row>
    <row r="55" spans="2:2">
      <c r="B55" s="55" t="s">
        <v>145</v>
      </c>
    </row>
    <row r="56" spans="2:2">
      <c r="B56" s="55" t="s">
        <v>146</v>
      </c>
    </row>
    <row r="57" spans="2:2">
      <c r="B57" s="55" t="s">
        <v>147</v>
      </c>
    </row>
    <row r="58" spans="2:2">
      <c r="B58" s="55" t="s">
        <v>148</v>
      </c>
    </row>
    <row r="59" spans="2:2">
      <c r="B59" s="55" t="s">
        <v>149</v>
      </c>
    </row>
    <row r="60" spans="2:2">
      <c r="B60" s="55" t="s">
        <v>150</v>
      </c>
    </row>
    <row r="61" spans="2:2">
      <c r="B61" s="47" t="s">
        <v>151</v>
      </c>
    </row>
    <row r="62" spans="2:2">
      <c r="B62" s="55" t="s">
        <v>152</v>
      </c>
    </row>
    <row r="63" spans="2:2">
      <c r="B63" s="55" t="s">
        <v>153</v>
      </c>
    </row>
    <row r="64" spans="2:2">
      <c r="B64" s="55" t="s">
        <v>154</v>
      </c>
    </row>
    <row r="65" spans="2:2">
      <c r="B65" s="55" t="s">
        <v>155</v>
      </c>
    </row>
    <row r="66" spans="2:2">
      <c r="B66" s="55" t="s">
        <v>156</v>
      </c>
    </row>
    <row r="67" spans="2:2">
      <c r="B67" s="55" t="s">
        <v>157</v>
      </c>
    </row>
    <row r="68" spans="2:2">
      <c r="B68" s="35" t="s">
        <v>170</v>
      </c>
    </row>
    <row r="69" spans="2:2">
      <c r="B69" s="57" t="s">
        <v>171</v>
      </c>
    </row>
    <row r="70" spans="2:2">
      <c r="B70" s="55" t="s">
        <v>158</v>
      </c>
    </row>
    <row r="71" spans="2:2">
      <c r="B71" s="55" t="s">
        <v>159</v>
      </c>
    </row>
    <row r="72" spans="2:2">
      <c r="B72" s="55" t="s">
        <v>160</v>
      </c>
    </row>
    <row r="73" spans="2:2">
      <c r="B73" s="55" t="s">
        <v>161</v>
      </c>
    </row>
    <row r="74" spans="2:2">
      <c r="B74" s="55" t="s">
        <v>162</v>
      </c>
    </row>
    <row r="75" spans="2:2">
      <c r="B75" s="58" t="s">
        <v>163</v>
      </c>
    </row>
    <row r="76" spans="2:2">
      <c r="B76" s="55" t="s">
        <v>164</v>
      </c>
    </row>
    <row r="77" spans="2:2">
      <c r="B77" s="55" t="s">
        <v>166</v>
      </c>
    </row>
  </sheetData>
  <conditionalFormatting sqref="B1:B1048576">
    <cfRule type="duplicateValues" dxfId="224" priority="1"/>
  </conditionalFormatting>
  <conditionalFormatting sqref="B7:B38">
    <cfRule type="duplicateValues" dxfId="223" priority="10"/>
    <cfRule type="duplicateValues" dxfId="222" priority="11"/>
    <cfRule type="duplicateValues" dxfId="221" priority="12"/>
    <cfRule type="duplicateValues" dxfId="220" priority="13"/>
    <cfRule type="duplicateValues" dxfId="219" priority="14"/>
    <cfRule type="duplicateValues" dxfId="218" priority="15"/>
    <cfRule type="duplicateValues" dxfId="217" priority="16"/>
    <cfRule type="duplicateValues" dxfId="216" priority="17"/>
  </conditionalFormatting>
  <conditionalFormatting sqref="B41:B77">
    <cfRule type="duplicateValues" dxfId="215" priority="2"/>
    <cfRule type="duplicateValues" dxfId="214" priority="3"/>
    <cfRule type="duplicateValues" dxfId="213" priority="4"/>
    <cfRule type="duplicateValues" dxfId="212" priority="5"/>
    <cfRule type="duplicateValues" dxfId="211" priority="6"/>
    <cfRule type="duplicateValues" dxfId="210" priority="7"/>
    <cfRule type="duplicateValues" dxfId="209" priority="8"/>
    <cfRule type="duplicateValues" dxfId="208" priority="9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A209-0BFA-49EC-B29C-1AC85C80E437}">
  <sheetPr codeName="Sheet7"/>
  <dimension ref="A1:D26"/>
  <sheetViews>
    <sheetView workbookViewId="0">
      <selection activeCell="D5" sqref="D5"/>
    </sheetView>
  </sheetViews>
  <sheetFormatPr defaultRowHeight="14.5"/>
  <sheetData>
    <row r="1" spans="1:4">
      <c r="A1" t="s">
        <v>172</v>
      </c>
    </row>
    <row r="2" spans="1:4">
      <c r="A2" s="56" t="s">
        <v>173</v>
      </c>
      <c r="D2" t="str">
        <f>_xlfn.CONCAT(A2,A3,A4,A5,A6,A7,A8,A9,A10,A11,A12,A13,A14,A15,A16,A17,A18,A19,A20,A21,A22,A23,A24,A25,A26)</f>
        <v>127/2128/0135/0139/0139/2141/1141/2145/5145/6148/3161/0166/0175/1182/0183/0183/1183/3194/0214/3214/6217/4225/3244/0244/2250/2</v>
      </c>
    </row>
    <row r="3" spans="1:4">
      <c r="A3" s="56" t="s">
        <v>167</v>
      </c>
    </row>
    <row r="4" spans="1:4">
      <c r="A4" s="56" t="s">
        <v>136</v>
      </c>
    </row>
    <row r="5" spans="1:4">
      <c r="A5" s="56" t="s">
        <v>174</v>
      </c>
      <c r="D5" t="s">
        <v>175</v>
      </c>
    </row>
    <row r="6" spans="1:4">
      <c r="A6" s="56" t="s">
        <v>138</v>
      </c>
    </row>
    <row r="7" spans="1:4">
      <c r="A7" s="56" t="s">
        <v>176</v>
      </c>
    </row>
    <row r="8" spans="1:4">
      <c r="A8" s="56" t="s">
        <v>177</v>
      </c>
    </row>
    <row r="9" spans="1:4">
      <c r="A9" s="56" t="s">
        <v>178</v>
      </c>
    </row>
    <row r="10" spans="1:4">
      <c r="A10" s="56" t="s">
        <v>179</v>
      </c>
    </row>
    <row r="11" spans="1:4">
      <c r="A11" s="56" t="s">
        <v>180</v>
      </c>
    </row>
    <row r="12" spans="1:4">
      <c r="A12" s="55" t="s">
        <v>181</v>
      </c>
    </row>
    <row r="13" spans="1:4">
      <c r="A13" s="55" t="s">
        <v>182</v>
      </c>
    </row>
    <row r="14" spans="1:4">
      <c r="A14" s="55" t="s">
        <v>183</v>
      </c>
    </row>
    <row r="15" spans="1:4">
      <c r="A15" s="55" t="s">
        <v>184</v>
      </c>
    </row>
    <row r="16" spans="1:4">
      <c r="A16" s="55" t="s">
        <v>185</v>
      </c>
    </row>
    <row r="17" spans="1:1">
      <c r="A17" s="55" t="s">
        <v>186</v>
      </c>
    </row>
    <row r="18" spans="1:1">
      <c r="A18" s="55" t="s">
        <v>147</v>
      </c>
    </row>
    <row r="19" spans="1:1">
      <c r="A19" s="55" t="s">
        <v>151</v>
      </c>
    </row>
    <row r="20" spans="1:1">
      <c r="A20" s="55" t="s">
        <v>187</v>
      </c>
    </row>
    <row r="21" spans="1:1">
      <c r="A21" s="55" t="s">
        <v>188</v>
      </c>
    </row>
    <row r="22" spans="1:1">
      <c r="A22" s="55" t="s">
        <v>189</v>
      </c>
    </row>
    <row r="23" spans="1:1">
      <c r="A23" s="55" t="s">
        <v>190</v>
      </c>
    </row>
    <row r="24" spans="1:1">
      <c r="A24" s="57" t="s">
        <v>171</v>
      </c>
    </row>
    <row r="25" spans="1:1">
      <c r="A25" s="57" t="s">
        <v>191</v>
      </c>
    </row>
    <row r="26" spans="1:1">
      <c r="A26" s="57" t="s">
        <v>192</v>
      </c>
    </row>
  </sheetData>
  <autoFilter ref="A1:A26" xr:uid="{5038A209-0BFA-49EC-B29C-1AC85C80E437}">
    <sortState xmlns:xlrd2="http://schemas.microsoft.com/office/spreadsheetml/2017/richdata2" ref="A2:A26">
      <sortCondition ref="A1:A26"/>
    </sortState>
  </autoFilter>
  <conditionalFormatting sqref="A2:A26">
    <cfRule type="duplicateValues" dxfId="207" priority="1"/>
    <cfRule type="duplicateValues" dxfId="206" priority="2"/>
    <cfRule type="duplicateValues" dxfId="205" priority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8D75-9DF1-4325-82E8-69E9981B3392}">
  <sheetPr codeName="Sheet8"/>
  <dimension ref="A2:G5"/>
  <sheetViews>
    <sheetView workbookViewId="0">
      <selection activeCell="G3" sqref="G3:G5"/>
    </sheetView>
  </sheetViews>
  <sheetFormatPr defaultRowHeight="14.5"/>
  <cols>
    <col min="2" max="2" width="9.453125" bestFit="1" customWidth="1"/>
  </cols>
  <sheetData>
    <row r="2" spans="1:7">
      <c r="A2" s="44" t="s">
        <v>193</v>
      </c>
      <c r="B2" s="44" t="s">
        <v>194</v>
      </c>
      <c r="C2" s="44" t="s">
        <v>195</v>
      </c>
      <c r="D2" s="44" t="s">
        <v>196</v>
      </c>
      <c r="E2" s="44" t="s">
        <v>197</v>
      </c>
      <c r="F2" s="44" t="s">
        <v>198</v>
      </c>
      <c r="G2" s="44" t="s">
        <v>199</v>
      </c>
    </row>
    <row r="3" spans="1:7">
      <c r="A3" s="44" t="s">
        <v>200</v>
      </c>
      <c r="B3" s="29">
        <v>14</v>
      </c>
      <c r="C3" s="29">
        <v>9</v>
      </c>
      <c r="D3" s="29">
        <v>14</v>
      </c>
      <c r="E3" s="29">
        <v>4</v>
      </c>
      <c r="F3" s="29">
        <v>1</v>
      </c>
      <c r="G3" s="29"/>
    </row>
    <row r="4" spans="1:7">
      <c r="A4" s="44" t="s">
        <v>201</v>
      </c>
      <c r="B4" s="29"/>
      <c r="C4" s="29"/>
      <c r="D4" s="29"/>
      <c r="E4" s="29">
        <v>4</v>
      </c>
      <c r="F4" s="29">
        <v>17</v>
      </c>
      <c r="G4" s="29">
        <v>4</v>
      </c>
    </row>
    <row r="5" spans="1:7">
      <c r="A5" s="44" t="s">
        <v>202</v>
      </c>
      <c r="B5" s="29">
        <v>4</v>
      </c>
      <c r="C5" s="29">
        <v>7</v>
      </c>
      <c r="D5" s="29">
        <v>6</v>
      </c>
      <c r="E5" s="29">
        <v>2</v>
      </c>
      <c r="F5" s="29"/>
      <c r="G5" s="2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2"/>
  <sheetViews>
    <sheetView zoomScale="67" zoomScaleNormal="90" zoomScaleSheetLayoutView="50" workbookViewId="0">
      <pane xSplit="2" ySplit="5" topLeftCell="C13" activePane="bottomRight" state="frozen"/>
      <selection pane="topRight" activeCell="C1" sqref="C1"/>
      <selection pane="bottomLeft" activeCell="A7" sqref="A7"/>
      <selection pane="bottomRight" activeCell="I16" sqref="I16"/>
    </sheetView>
  </sheetViews>
  <sheetFormatPr defaultColWidth="9.453125" defaultRowHeight="16"/>
  <cols>
    <col min="1" max="1" width="7.453125" style="232" customWidth="1"/>
    <col min="2" max="2" width="23.453125" style="208" bestFit="1" customWidth="1"/>
    <col min="3" max="3" width="15.453125" style="208" bestFit="1" customWidth="1"/>
    <col min="4" max="4" width="21.453125" style="208" customWidth="1"/>
    <col min="5" max="5" width="19.453125" style="232" bestFit="1" customWidth="1"/>
    <col min="6" max="6" width="17" style="232" bestFit="1" customWidth="1"/>
    <col min="7" max="7" width="8.81640625" style="208" bestFit="1" customWidth="1"/>
    <col min="8" max="8" width="11.453125" style="208" bestFit="1" customWidth="1"/>
    <col min="9" max="9" width="14.54296875" style="208" customWidth="1"/>
    <col min="10" max="10" width="10.453125" style="208" customWidth="1"/>
    <col min="11" max="11" width="4.54296875" style="208" bestFit="1" customWidth="1"/>
    <col min="12" max="12" width="6.54296875" style="232" bestFit="1" customWidth="1"/>
    <col min="13" max="13" width="16.7265625" style="208" customWidth="1"/>
    <col min="14" max="14" width="25.54296875" style="208" hidden="1" customWidth="1"/>
    <col min="15" max="15" width="11.54296875" style="208" bestFit="1" customWidth="1"/>
    <col min="16" max="16384" width="9.453125" style="208"/>
  </cols>
  <sheetData>
    <row r="1" spans="1:15" ht="21" customHeight="1">
      <c r="A1" s="651" t="s">
        <v>86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246">
        <f>'765KV ASOTL'!G1</f>
        <v>46246</v>
      </c>
    </row>
    <row r="2" spans="1:15" s="209" customFormat="1">
      <c r="A2" s="235" t="s">
        <v>87</v>
      </c>
      <c r="B2" s="236"/>
      <c r="C2" s="652" t="s">
        <v>72</v>
      </c>
      <c r="D2" s="652"/>
      <c r="E2" s="652"/>
      <c r="F2" s="652"/>
      <c r="G2" s="652"/>
      <c r="H2" s="652"/>
      <c r="I2" s="652"/>
      <c r="J2" s="652"/>
      <c r="K2" s="652"/>
      <c r="L2" s="652"/>
      <c r="M2" s="652"/>
    </row>
    <row r="3" spans="1:15" s="209" customFormat="1">
      <c r="A3" s="235" t="s">
        <v>88</v>
      </c>
      <c r="B3" s="236"/>
      <c r="C3" s="652" t="s">
        <v>89</v>
      </c>
      <c r="D3" s="652"/>
      <c r="E3" s="652"/>
      <c r="F3" s="652"/>
      <c r="G3" s="652"/>
      <c r="H3" s="652"/>
      <c r="I3" s="652"/>
      <c r="J3" s="652"/>
      <c r="K3" s="652"/>
      <c r="L3" s="652"/>
      <c r="M3" s="652"/>
    </row>
    <row r="4" spans="1:15" s="209" customFormat="1">
      <c r="A4" s="237" t="s">
        <v>90</v>
      </c>
      <c r="B4" s="237"/>
      <c r="C4" s="653" t="s">
        <v>91</v>
      </c>
      <c r="D4" s="653"/>
      <c r="E4" s="653"/>
      <c r="F4" s="653"/>
      <c r="G4" s="653"/>
      <c r="H4" s="653"/>
      <c r="I4" s="653"/>
      <c r="J4" s="653"/>
      <c r="K4" s="653"/>
      <c r="L4" s="653"/>
      <c r="M4" s="653"/>
      <c r="O4" s="211"/>
    </row>
    <row r="5" spans="1:15" s="209" customFormat="1" ht="62">
      <c r="A5" s="238" t="s">
        <v>92</v>
      </c>
      <c r="B5" s="238" t="s">
        <v>22</v>
      </c>
      <c r="C5" s="238" t="s">
        <v>93</v>
      </c>
      <c r="D5" s="238" t="s">
        <v>1120</v>
      </c>
      <c r="E5" s="238" t="s">
        <v>1121</v>
      </c>
      <c r="F5" s="238" t="s">
        <v>1122</v>
      </c>
      <c r="G5" s="238" t="s">
        <v>45</v>
      </c>
      <c r="H5" s="238" t="s">
        <v>94</v>
      </c>
      <c r="I5" s="238" t="s">
        <v>95</v>
      </c>
      <c r="J5" s="238" t="s">
        <v>96</v>
      </c>
      <c r="K5" s="238" t="s">
        <v>97</v>
      </c>
      <c r="L5" s="238" t="s">
        <v>98</v>
      </c>
      <c r="M5" s="238" t="s">
        <v>99</v>
      </c>
      <c r="O5" s="211"/>
    </row>
    <row r="6" spans="1:15" s="209" customFormat="1" ht="25.4" customHeight="1">
      <c r="A6" s="239">
        <v>1</v>
      </c>
      <c r="B6" s="212" t="s">
        <v>100</v>
      </c>
      <c r="C6" s="213">
        <v>114.51600000000001</v>
      </c>
      <c r="D6" s="214">
        <v>114.51600000000001</v>
      </c>
      <c r="E6" s="214">
        <v>0</v>
      </c>
      <c r="F6" s="213">
        <f>C6-D6</f>
        <v>0</v>
      </c>
      <c r="G6" s="214"/>
      <c r="H6" s="214"/>
      <c r="I6" s="215">
        <f t="shared" ref="I6:I19" si="0">D6+H6</f>
        <v>114.51600000000001</v>
      </c>
      <c r="J6" s="215">
        <f t="shared" ref="J6:J19" si="1">C6-I6</f>
        <v>0</v>
      </c>
      <c r="K6" s="214"/>
      <c r="L6" s="214"/>
      <c r="M6" s="240"/>
      <c r="N6" s="216"/>
      <c r="O6" s="211"/>
    </row>
    <row r="7" spans="1:15" s="209" customFormat="1" ht="25.4" customHeight="1">
      <c r="A7" s="239">
        <v>2</v>
      </c>
      <c r="B7" s="212" t="s">
        <v>101</v>
      </c>
      <c r="C7" s="213">
        <v>114.51600000000001</v>
      </c>
      <c r="D7" s="213">
        <f>'Survey Anx'!F39</f>
        <v>107.97099999999999</v>
      </c>
      <c r="E7" s="214">
        <v>0</v>
      </c>
      <c r="F7" s="213">
        <f t="shared" ref="F7:F9" si="2">C7-D7</f>
        <v>6.5450000000000159</v>
      </c>
      <c r="G7" s="214"/>
      <c r="H7" s="214"/>
      <c r="I7" s="215">
        <f t="shared" si="0"/>
        <v>107.97099999999999</v>
      </c>
      <c r="J7" s="215">
        <f>C7-I7</f>
        <v>6.5450000000000159</v>
      </c>
      <c r="K7" s="214"/>
      <c r="L7" s="214"/>
      <c r="M7" s="241"/>
      <c r="N7" s="216"/>
      <c r="O7" s="211"/>
    </row>
    <row r="8" spans="1:15" s="222" customFormat="1" ht="25.4" customHeight="1">
      <c r="A8" s="242">
        <v>3</v>
      </c>
      <c r="B8" s="217" t="s">
        <v>102</v>
      </c>
      <c r="C8" s="218">
        <v>114.51600000000001</v>
      </c>
      <c r="D8" s="218">
        <f>'Survey Anx'!C39-'Survey Anx'!C38</f>
        <v>107.65647999999999</v>
      </c>
      <c r="E8" s="233">
        <v>0</v>
      </c>
      <c r="F8" s="213">
        <f t="shared" si="2"/>
        <v>6.8595200000000176</v>
      </c>
      <c r="G8" s="218"/>
      <c r="H8" s="219"/>
      <c r="I8" s="220">
        <f t="shared" si="0"/>
        <v>107.65647999999999</v>
      </c>
      <c r="J8" s="220">
        <f t="shared" si="1"/>
        <v>6.8595200000000176</v>
      </c>
      <c r="K8" s="219"/>
      <c r="L8" s="219"/>
      <c r="M8" s="240"/>
      <c r="N8" s="221"/>
      <c r="O8" s="221"/>
    </row>
    <row r="9" spans="1:15" s="209" customFormat="1" ht="25.4" customHeight="1">
      <c r="A9" s="239">
        <v>4</v>
      </c>
      <c r="B9" s="212" t="s">
        <v>103</v>
      </c>
      <c r="C9" s="213">
        <v>114.51600000000001</v>
      </c>
      <c r="D9" s="213">
        <f>'Survey Anx'!I39</f>
        <v>94.51900000000002</v>
      </c>
      <c r="E9" s="214">
        <v>0</v>
      </c>
      <c r="F9" s="213">
        <f t="shared" si="2"/>
        <v>19.996999999999986</v>
      </c>
      <c r="G9" s="214"/>
      <c r="H9" s="214"/>
      <c r="I9" s="215">
        <f t="shared" si="0"/>
        <v>94.51900000000002</v>
      </c>
      <c r="J9" s="215">
        <f t="shared" si="1"/>
        <v>19.996999999999986</v>
      </c>
      <c r="K9" s="214"/>
      <c r="L9" s="214"/>
      <c r="M9" s="243"/>
      <c r="O9" s="211"/>
    </row>
    <row r="10" spans="1:15" s="209" customFormat="1" ht="25.4" customHeight="1">
      <c r="A10" s="239">
        <v>5</v>
      </c>
      <c r="B10" s="223" t="s">
        <v>104</v>
      </c>
      <c r="C10" s="214">
        <v>30</v>
      </c>
      <c r="D10" s="214">
        <v>30</v>
      </c>
      <c r="E10" s="214">
        <v>0</v>
      </c>
      <c r="F10" s="214">
        <f>C10-D10</f>
        <v>0</v>
      </c>
      <c r="G10" s="214"/>
      <c r="H10" s="214"/>
      <c r="I10" s="224">
        <v>30</v>
      </c>
      <c r="J10" s="224">
        <f t="shared" si="1"/>
        <v>0</v>
      </c>
      <c r="K10" s="214"/>
      <c r="L10" s="214"/>
      <c r="M10" s="241"/>
    </row>
    <row r="11" spans="1:15" s="209" customFormat="1" ht="25.4" customHeight="1">
      <c r="A11" s="239">
        <v>6</v>
      </c>
      <c r="B11" s="212" t="s">
        <v>105</v>
      </c>
      <c r="C11" s="214">
        <v>293</v>
      </c>
      <c r="D11" s="214">
        <v>96</v>
      </c>
      <c r="E11" s="214">
        <v>0</v>
      </c>
      <c r="F11" s="214">
        <v>34</v>
      </c>
      <c r="G11" s="214"/>
      <c r="H11" s="214"/>
      <c r="I11" s="224">
        <v>97</v>
      </c>
      <c r="J11" s="224">
        <f t="shared" si="1"/>
        <v>196</v>
      </c>
      <c r="K11" s="214"/>
      <c r="L11" s="214"/>
      <c r="M11" s="244"/>
      <c r="N11" s="211"/>
    </row>
    <row r="12" spans="1:15" s="209" customFormat="1" ht="53.25" customHeight="1">
      <c r="A12" s="239">
        <v>7</v>
      </c>
      <c r="B12" s="212" t="s">
        <v>106</v>
      </c>
      <c r="C12" s="214">
        <v>293</v>
      </c>
      <c r="D12" s="214">
        <v>95</v>
      </c>
      <c r="E12" s="214">
        <v>293</v>
      </c>
      <c r="F12" s="214">
        <v>20</v>
      </c>
      <c r="G12" s="214" t="s">
        <v>67</v>
      </c>
      <c r="H12" s="214"/>
      <c r="I12" s="224">
        <v>95</v>
      </c>
      <c r="J12" s="224">
        <f t="shared" si="1"/>
        <v>198</v>
      </c>
      <c r="K12" s="214">
        <v>1</v>
      </c>
      <c r="L12" s="214">
        <v>1</v>
      </c>
      <c r="M12" s="654" t="s">
        <v>1185</v>
      </c>
      <c r="N12" s="654"/>
    </row>
    <row r="13" spans="1:15" s="222" customFormat="1" ht="25.4" customHeight="1">
      <c r="A13" s="242">
        <v>8</v>
      </c>
      <c r="B13" s="217" t="s">
        <v>107</v>
      </c>
      <c r="C13" s="219">
        <v>293</v>
      </c>
      <c r="D13" s="219">
        <v>89</v>
      </c>
      <c r="E13" s="219">
        <v>293</v>
      </c>
      <c r="F13" s="219">
        <v>26</v>
      </c>
      <c r="G13" s="219" t="s">
        <v>67</v>
      </c>
      <c r="H13" s="214"/>
      <c r="I13" s="225">
        <v>92</v>
      </c>
      <c r="J13" s="225">
        <f t="shared" si="1"/>
        <v>201</v>
      </c>
      <c r="K13" s="219"/>
      <c r="L13" s="219"/>
      <c r="M13" s="247"/>
    </row>
    <row r="14" spans="1:15" s="209" customFormat="1" ht="25.4" customHeight="1">
      <c r="A14" s="239">
        <v>9</v>
      </c>
      <c r="B14" s="212" t="s">
        <v>108</v>
      </c>
      <c r="C14" s="214">
        <v>293</v>
      </c>
      <c r="D14" s="214">
        <v>45</v>
      </c>
      <c r="E14" s="219">
        <v>293</v>
      </c>
      <c r="F14" s="214">
        <v>15</v>
      </c>
      <c r="G14" s="214" t="s">
        <v>67</v>
      </c>
      <c r="H14" s="214" t="s">
        <v>67</v>
      </c>
      <c r="I14" s="224">
        <v>48</v>
      </c>
      <c r="J14" s="224">
        <f t="shared" si="1"/>
        <v>245</v>
      </c>
      <c r="K14" s="214">
        <v>1</v>
      </c>
      <c r="L14" s="214">
        <v>1</v>
      </c>
      <c r="M14" s="247"/>
    </row>
    <row r="15" spans="1:15" s="209" customFormat="1" ht="25.4" customHeight="1">
      <c r="A15" s="239">
        <v>10</v>
      </c>
      <c r="B15" s="212" t="s">
        <v>109</v>
      </c>
      <c r="C15" s="214">
        <v>293</v>
      </c>
      <c r="D15" s="214">
        <v>13</v>
      </c>
      <c r="E15" s="219">
        <v>293</v>
      </c>
      <c r="F15" s="214">
        <v>15</v>
      </c>
      <c r="G15" s="214"/>
      <c r="H15" s="214"/>
      <c r="I15" s="224">
        <v>13</v>
      </c>
      <c r="J15" s="224">
        <f t="shared" si="1"/>
        <v>280</v>
      </c>
      <c r="K15" s="214"/>
      <c r="L15" s="214"/>
      <c r="M15" s="241"/>
    </row>
    <row r="16" spans="1:15" s="209" customFormat="1" ht="25.4" customHeight="1">
      <c r="A16" s="239">
        <v>11</v>
      </c>
      <c r="B16" s="212" t="s">
        <v>110</v>
      </c>
      <c r="C16" s="213">
        <v>114.51600000000001</v>
      </c>
      <c r="D16" s="213">
        <v>0</v>
      </c>
      <c r="E16" s="214">
        <f>'765KV ASOTL'!I19</f>
        <v>107.24600000000001</v>
      </c>
      <c r="F16" s="214">
        <v>0</v>
      </c>
      <c r="G16" s="214"/>
      <c r="H16" s="214"/>
      <c r="I16" s="215">
        <f t="shared" si="0"/>
        <v>0</v>
      </c>
      <c r="J16" s="215">
        <f t="shared" si="1"/>
        <v>114.51600000000001</v>
      </c>
      <c r="K16" s="213"/>
      <c r="L16" s="214"/>
      <c r="M16" s="241"/>
    </row>
    <row r="17" spans="1:15" s="209" customFormat="1" ht="25.4" customHeight="1">
      <c r="A17" s="239" t="s">
        <v>111</v>
      </c>
      <c r="B17" s="212" t="s">
        <v>112</v>
      </c>
      <c r="C17" s="213">
        <v>114.51600000000001</v>
      </c>
      <c r="D17" s="213">
        <v>0</v>
      </c>
      <c r="E17" s="214">
        <v>107.24600000000001</v>
      </c>
      <c r="F17" s="234">
        <v>0</v>
      </c>
      <c r="G17" s="214"/>
      <c r="H17" s="214"/>
      <c r="I17" s="215">
        <f t="shared" si="0"/>
        <v>0</v>
      </c>
      <c r="J17" s="215">
        <f t="shared" si="1"/>
        <v>114.51600000000001</v>
      </c>
      <c r="K17" s="226"/>
      <c r="L17" s="214"/>
      <c r="M17" s="241"/>
      <c r="N17" s="227"/>
      <c r="O17" s="216"/>
    </row>
    <row r="18" spans="1:15" s="209" customFormat="1" ht="25.4" customHeight="1">
      <c r="A18" s="239" t="s">
        <v>113</v>
      </c>
      <c r="B18" s="212" t="s">
        <v>114</v>
      </c>
      <c r="C18" s="213">
        <v>114.51600000000001</v>
      </c>
      <c r="D18" s="213">
        <v>0</v>
      </c>
      <c r="E18" s="214">
        <v>107.24600000000001</v>
      </c>
      <c r="F18" s="234">
        <v>0</v>
      </c>
      <c r="G18" s="214"/>
      <c r="H18" s="213"/>
      <c r="I18" s="215">
        <f t="shared" si="0"/>
        <v>0</v>
      </c>
      <c r="J18" s="215">
        <f t="shared" si="1"/>
        <v>114.51600000000001</v>
      </c>
      <c r="K18" s="226"/>
      <c r="L18" s="214"/>
      <c r="M18" s="241"/>
      <c r="N18" s="228"/>
      <c r="O18" s="229"/>
    </row>
    <row r="19" spans="1:15" s="209" customFormat="1" ht="25.4" customHeight="1">
      <c r="A19" s="239">
        <v>12</v>
      </c>
      <c r="B19" s="212" t="s">
        <v>115</v>
      </c>
      <c r="C19" s="213">
        <v>114.51600000000001</v>
      </c>
      <c r="D19" s="213">
        <v>0</v>
      </c>
      <c r="E19" s="214">
        <v>95</v>
      </c>
      <c r="F19" s="234">
        <v>0</v>
      </c>
      <c r="G19" s="214"/>
      <c r="H19" s="226"/>
      <c r="I19" s="215">
        <f t="shared" si="0"/>
        <v>0</v>
      </c>
      <c r="J19" s="215">
        <f t="shared" si="1"/>
        <v>114.51600000000001</v>
      </c>
      <c r="K19" s="226"/>
      <c r="L19" s="214"/>
      <c r="M19" s="245"/>
    </row>
    <row r="20" spans="1:15" s="209" customFormat="1">
      <c r="G20" s="227"/>
      <c r="H20" s="227"/>
      <c r="I20" s="227"/>
      <c r="J20" s="227"/>
      <c r="L20" s="230"/>
      <c r="M20" s="230"/>
    </row>
    <row r="21" spans="1:15" s="209" customFormat="1">
      <c r="D21" s="229"/>
      <c r="K21" s="227"/>
      <c r="L21" s="230"/>
      <c r="M21" s="231"/>
    </row>
    <row r="22" spans="1:15" s="209" customFormat="1">
      <c r="G22" s="210"/>
      <c r="L22" s="230"/>
      <c r="M22" s="230"/>
    </row>
  </sheetData>
  <mergeCells count="5">
    <mergeCell ref="A1:L1"/>
    <mergeCell ref="C2:M2"/>
    <mergeCell ref="C3:M3"/>
    <mergeCell ref="C4:M4"/>
    <mergeCell ref="M12:N12"/>
  </mergeCells>
  <pageMargins left="0.70866141732283472" right="0.70866141732283472" top="0.74803149606299213" bottom="0.74803149606299213" header="0.31496062992125984" footer="0.31496062992125984"/>
  <pageSetup scale="6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K33"/>
  <sheetViews>
    <sheetView topLeftCell="A20" zoomScaleNormal="100" zoomScaleSheetLayoutView="100" workbookViewId="0">
      <selection activeCell="D29" sqref="D29"/>
    </sheetView>
  </sheetViews>
  <sheetFormatPr defaultRowHeight="14.5"/>
  <cols>
    <col min="1" max="1" width="3.453125" customWidth="1"/>
    <col min="2" max="2" width="11.54296875" customWidth="1"/>
    <col min="3" max="3" width="15.54296875" customWidth="1"/>
    <col min="4" max="4" width="14.453125" customWidth="1"/>
    <col min="5" max="5" width="17.54296875" customWidth="1"/>
    <col min="6" max="6" width="15.453125" customWidth="1"/>
    <col min="7" max="7" width="19.453125" customWidth="1"/>
    <col min="258" max="258" width="11.54296875" customWidth="1"/>
    <col min="259" max="259" width="15.54296875" customWidth="1"/>
    <col min="260" max="260" width="14.453125" customWidth="1"/>
    <col min="261" max="261" width="16.54296875" customWidth="1"/>
    <col min="263" max="263" width="25.54296875" customWidth="1"/>
    <col min="514" max="514" width="11.54296875" customWidth="1"/>
    <col min="515" max="515" width="15.54296875" customWidth="1"/>
    <col min="516" max="516" width="14.453125" customWidth="1"/>
    <col min="517" max="517" width="16.54296875" customWidth="1"/>
    <col min="519" max="519" width="25.54296875" customWidth="1"/>
    <col min="770" max="770" width="11.54296875" customWidth="1"/>
    <col min="771" max="771" width="15.54296875" customWidth="1"/>
    <col min="772" max="772" width="14.453125" customWidth="1"/>
    <col min="773" max="773" width="16.54296875" customWidth="1"/>
    <col min="775" max="775" width="25.54296875" customWidth="1"/>
    <col min="1026" max="1026" width="11.54296875" customWidth="1"/>
    <col min="1027" max="1027" width="15.54296875" customWidth="1"/>
    <col min="1028" max="1028" width="14.453125" customWidth="1"/>
    <col min="1029" max="1029" width="16.54296875" customWidth="1"/>
    <col min="1031" max="1031" width="25.54296875" customWidth="1"/>
    <col min="1282" max="1282" width="11.54296875" customWidth="1"/>
    <col min="1283" max="1283" width="15.54296875" customWidth="1"/>
    <col min="1284" max="1284" width="14.453125" customWidth="1"/>
    <col min="1285" max="1285" width="16.54296875" customWidth="1"/>
    <col min="1287" max="1287" width="25.54296875" customWidth="1"/>
    <col min="1538" max="1538" width="11.54296875" customWidth="1"/>
    <col min="1539" max="1539" width="15.54296875" customWidth="1"/>
    <col min="1540" max="1540" width="14.453125" customWidth="1"/>
    <col min="1541" max="1541" width="16.54296875" customWidth="1"/>
    <col min="1543" max="1543" width="25.54296875" customWidth="1"/>
    <col min="1794" max="1794" width="11.54296875" customWidth="1"/>
    <col min="1795" max="1795" width="15.54296875" customWidth="1"/>
    <col min="1796" max="1796" width="14.453125" customWidth="1"/>
    <col min="1797" max="1797" width="16.54296875" customWidth="1"/>
    <col min="1799" max="1799" width="25.54296875" customWidth="1"/>
    <col min="2050" max="2050" width="11.54296875" customWidth="1"/>
    <col min="2051" max="2051" width="15.54296875" customWidth="1"/>
    <col min="2052" max="2052" width="14.453125" customWidth="1"/>
    <col min="2053" max="2053" width="16.54296875" customWidth="1"/>
    <col min="2055" max="2055" width="25.54296875" customWidth="1"/>
    <col min="2306" max="2306" width="11.54296875" customWidth="1"/>
    <col min="2307" max="2307" width="15.54296875" customWidth="1"/>
    <col min="2308" max="2308" width="14.453125" customWidth="1"/>
    <col min="2309" max="2309" width="16.54296875" customWidth="1"/>
    <col min="2311" max="2311" width="25.54296875" customWidth="1"/>
    <col min="2562" max="2562" width="11.54296875" customWidth="1"/>
    <col min="2563" max="2563" width="15.54296875" customWidth="1"/>
    <col min="2564" max="2564" width="14.453125" customWidth="1"/>
    <col min="2565" max="2565" width="16.54296875" customWidth="1"/>
    <col min="2567" max="2567" width="25.54296875" customWidth="1"/>
    <col min="2818" max="2818" width="11.54296875" customWidth="1"/>
    <col min="2819" max="2819" width="15.54296875" customWidth="1"/>
    <col min="2820" max="2820" width="14.453125" customWidth="1"/>
    <col min="2821" max="2821" width="16.54296875" customWidth="1"/>
    <col min="2823" max="2823" width="25.54296875" customWidth="1"/>
    <col min="3074" max="3074" width="11.54296875" customWidth="1"/>
    <col min="3075" max="3075" width="15.54296875" customWidth="1"/>
    <col min="3076" max="3076" width="14.453125" customWidth="1"/>
    <col min="3077" max="3077" width="16.54296875" customWidth="1"/>
    <col min="3079" max="3079" width="25.54296875" customWidth="1"/>
    <col min="3330" max="3330" width="11.54296875" customWidth="1"/>
    <col min="3331" max="3331" width="15.54296875" customWidth="1"/>
    <col min="3332" max="3332" width="14.453125" customWidth="1"/>
    <col min="3333" max="3333" width="16.54296875" customWidth="1"/>
    <col min="3335" max="3335" width="25.54296875" customWidth="1"/>
    <col min="3586" max="3586" width="11.54296875" customWidth="1"/>
    <col min="3587" max="3587" width="15.54296875" customWidth="1"/>
    <col min="3588" max="3588" width="14.453125" customWidth="1"/>
    <col min="3589" max="3589" width="16.54296875" customWidth="1"/>
    <col min="3591" max="3591" width="25.54296875" customWidth="1"/>
    <col min="3842" max="3842" width="11.54296875" customWidth="1"/>
    <col min="3843" max="3843" width="15.54296875" customWidth="1"/>
    <col min="3844" max="3844" width="14.453125" customWidth="1"/>
    <col min="3845" max="3845" width="16.54296875" customWidth="1"/>
    <col min="3847" max="3847" width="25.54296875" customWidth="1"/>
    <col min="4098" max="4098" width="11.54296875" customWidth="1"/>
    <col min="4099" max="4099" width="15.54296875" customWidth="1"/>
    <col min="4100" max="4100" width="14.453125" customWidth="1"/>
    <col min="4101" max="4101" width="16.54296875" customWidth="1"/>
    <col min="4103" max="4103" width="25.54296875" customWidth="1"/>
    <col min="4354" max="4354" width="11.54296875" customWidth="1"/>
    <col min="4355" max="4355" width="15.54296875" customWidth="1"/>
    <col min="4356" max="4356" width="14.453125" customWidth="1"/>
    <col min="4357" max="4357" width="16.54296875" customWidth="1"/>
    <col min="4359" max="4359" width="25.54296875" customWidth="1"/>
    <col min="4610" max="4610" width="11.54296875" customWidth="1"/>
    <col min="4611" max="4611" width="15.54296875" customWidth="1"/>
    <col min="4612" max="4612" width="14.453125" customWidth="1"/>
    <col min="4613" max="4613" width="16.54296875" customWidth="1"/>
    <col min="4615" max="4615" width="25.54296875" customWidth="1"/>
    <col min="4866" max="4866" width="11.54296875" customWidth="1"/>
    <col min="4867" max="4867" width="15.54296875" customWidth="1"/>
    <col min="4868" max="4868" width="14.453125" customWidth="1"/>
    <col min="4869" max="4869" width="16.54296875" customWidth="1"/>
    <col min="4871" max="4871" width="25.54296875" customWidth="1"/>
    <col min="5122" max="5122" width="11.54296875" customWidth="1"/>
    <col min="5123" max="5123" width="15.54296875" customWidth="1"/>
    <col min="5124" max="5124" width="14.453125" customWidth="1"/>
    <col min="5125" max="5125" width="16.54296875" customWidth="1"/>
    <col min="5127" max="5127" width="25.54296875" customWidth="1"/>
    <col min="5378" max="5378" width="11.54296875" customWidth="1"/>
    <col min="5379" max="5379" width="15.54296875" customWidth="1"/>
    <col min="5380" max="5380" width="14.453125" customWidth="1"/>
    <col min="5381" max="5381" width="16.54296875" customWidth="1"/>
    <col min="5383" max="5383" width="25.54296875" customWidth="1"/>
    <col min="5634" max="5634" width="11.54296875" customWidth="1"/>
    <col min="5635" max="5635" width="15.54296875" customWidth="1"/>
    <col min="5636" max="5636" width="14.453125" customWidth="1"/>
    <col min="5637" max="5637" width="16.54296875" customWidth="1"/>
    <col min="5639" max="5639" width="25.54296875" customWidth="1"/>
    <col min="5890" max="5890" width="11.54296875" customWidth="1"/>
    <col min="5891" max="5891" width="15.54296875" customWidth="1"/>
    <col min="5892" max="5892" width="14.453125" customWidth="1"/>
    <col min="5893" max="5893" width="16.54296875" customWidth="1"/>
    <col min="5895" max="5895" width="25.54296875" customWidth="1"/>
    <col min="6146" max="6146" width="11.54296875" customWidth="1"/>
    <col min="6147" max="6147" width="15.54296875" customWidth="1"/>
    <col min="6148" max="6148" width="14.453125" customWidth="1"/>
    <col min="6149" max="6149" width="16.54296875" customWidth="1"/>
    <col min="6151" max="6151" width="25.54296875" customWidth="1"/>
    <col min="6402" max="6402" width="11.54296875" customWidth="1"/>
    <col min="6403" max="6403" width="15.54296875" customWidth="1"/>
    <col min="6404" max="6404" width="14.453125" customWidth="1"/>
    <col min="6405" max="6405" width="16.54296875" customWidth="1"/>
    <col min="6407" max="6407" width="25.54296875" customWidth="1"/>
    <col min="6658" max="6658" width="11.54296875" customWidth="1"/>
    <col min="6659" max="6659" width="15.54296875" customWidth="1"/>
    <col min="6660" max="6660" width="14.453125" customWidth="1"/>
    <col min="6661" max="6661" width="16.54296875" customWidth="1"/>
    <col min="6663" max="6663" width="25.54296875" customWidth="1"/>
    <col min="6914" max="6914" width="11.54296875" customWidth="1"/>
    <col min="6915" max="6915" width="15.54296875" customWidth="1"/>
    <col min="6916" max="6916" width="14.453125" customWidth="1"/>
    <col min="6917" max="6917" width="16.54296875" customWidth="1"/>
    <col min="6919" max="6919" width="25.54296875" customWidth="1"/>
    <col min="7170" max="7170" width="11.54296875" customWidth="1"/>
    <col min="7171" max="7171" width="15.54296875" customWidth="1"/>
    <col min="7172" max="7172" width="14.453125" customWidth="1"/>
    <col min="7173" max="7173" width="16.54296875" customWidth="1"/>
    <col min="7175" max="7175" width="25.54296875" customWidth="1"/>
    <col min="7426" max="7426" width="11.54296875" customWidth="1"/>
    <col min="7427" max="7427" width="15.54296875" customWidth="1"/>
    <col min="7428" max="7428" width="14.453125" customWidth="1"/>
    <col min="7429" max="7429" width="16.54296875" customWidth="1"/>
    <col min="7431" max="7431" width="25.54296875" customWidth="1"/>
    <col min="7682" max="7682" width="11.54296875" customWidth="1"/>
    <col min="7683" max="7683" width="15.54296875" customWidth="1"/>
    <col min="7684" max="7684" width="14.453125" customWidth="1"/>
    <col min="7685" max="7685" width="16.54296875" customWidth="1"/>
    <col min="7687" max="7687" width="25.54296875" customWidth="1"/>
    <col min="7938" max="7938" width="11.54296875" customWidth="1"/>
    <col min="7939" max="7939" width="15.54296875" customWidth="1"/>
    <col min="7940" max="7940" width="14.453125" customWidth="1"/>
    <col min="7941" max="7941" width="16.54296875" customWidth="1"/>
    <col min="7943" max="7943" width="25.54296875" customWidth="1"/>
    <col min="8194" max="8194" width="11.54296875" customWidth="1"/>
    <col min="8195" max="8195" width="15.54296875" customWidth="1"/>
    <col min="8196" max="8196" width="14.453125" customWidth="1"/>
    <col min="8197" max="8197" width="16.54296875" customWidth="1"/>
    <col min="8199" max="8199" width="25.54296875" customWidth="1"/>
    <col min="8450" max="8450" width="11.54296875" customWidth="1"/>
    <col min="8451" max="8451" width="15.54296875" customWidth="1"/>
    <col min="8452" max="8452" width="14.453125" customWidth="1"/>
    <col min="8453" max="8453" width="16.54296875" customWidth="1"/>
    <col min="8455" max="8455" width="25.54296875" customWidth="1"/>
    <col min="8706" max="8706" width="11.54296875" customWidth="1"/>
    <col min="8707" max="8707" width="15.54296875" customWidth="1"/>
    <col min="8708" max="8708" width="14.453125" customWidth="1"/>
    <col min="8709" max="8709" width="16.54296875" customWidth="1"/>
    <col min="8711" max="8711" width="25.54296875" customWidth="1"/>
    <col min="8962" max="8962" width="11.54296875" customWidth="1"/>
    <col min="8963" max="8963" width="15.54296875" customWidth="1"/>
    <col min="8964" max="8964" width="14.453125" customWidth="1"/>
    <col min="8965" max="8965" width="16.54296875" customWidth="1"/>
    <col min="8967" max="8967" width="25.54296875" customWidth="1"/>
    <col min="9218" max="9218" width="11.54296875" customWidth="1"/>
    <col min="9219" max="9219" width="15.54296875" customWidth="1"/>
    <col min="9220" max="9220" width="14.453125" customWidth="1"/>
    <col min="9221" max="9221" width="16.54296875" customWidth="1"/>
    <col min="9223" max="9223" width="25.54296875" customWidth="1"/>
    <col min="9474" max="9474" width="11.54296875" customWidth="1"/>
    <col min="9475" max="9475" width="15.54296875" customWidth="1"/>
    <col min="9476" max="9476" width="14.453125" customWidth="1"/>
    <col min="9477" max="9477" width="16.54296875" customWidth="1"/>
    <col min="9479" max="9479" width="25.54296875" customWidth="1"/>
    <col min="9730" max="9730" width="11.54296875" customWidth="1"/>
    <col min="9731" max="9731" width="15.54296875" customWidth="1"/>
    <col min="9732" max="9732" width="14.453125" customWidth="1"/>
    <col min="9733" max="9733" width="16.54296875" customWidth="1"/>
    <col min="9735" max="9735" width="25.54296875" customWidth="1"/>
    <col min="9986" max="9986" width="11.54296875" customWidth="1"/>
    <col min="9987" max="9987" width="15.54296875" customWidth="1"/>
    <col min="9988" max="9988" width="14.453125" customWidth="1"/>
    <col min="9989" max="9989" width="16.54296875" customWidth="1"/>
    <col min="9991" max="9991" width="25.54296875" customWidth="1"/>
    <col min="10242" max="10242" width="11.54296875" customWidth="1"/>
    <col min="10243" max="10243" width="15.54296875" customWidth="1"/>
    <col min="10244" max="10244" width="14.453125" customWidth="1"/>
    <col min="10245" max="10245" width="16.54296875" customWidth="1"/>
    <col min="10247" max="10247" width="25.54296875" customWidth="1"/>
    <col min="10498" max="10498" width="11.54296875" customWidth="1"/>
    <col min="10499" max="10499" width="15.54296875" customWidth="1"/>
    <col min="10500" max="10500" width="14.453125" customWidth="1"/>
    <col min="10501" max="10501" width="16.54296875" customWidth="1"/>
    <col min="10503" max="10503" width="25.54296875" customWidth="1"/>
    <col min="10754" max="10754" width="11.54296875" customWidth="1"/>
    <col min="10755" max="10755" width="15.54296875" customWidth="1"/>
    <col min="10756" max="10756" width="14.453125" customWidth="1"/>
    <col min="10757" max="10757" width="16.54296875" customWidth="1"/>
    <col min="10759" max="10759" width="25.54296875" customWidth="1"/>
    <col min="11010" max="11010" width="11.54296875" customWidth="1"/>
    <col min="11011" max="11011" width="15.54296875" customWidth="1"/>
    <col min="11012" max="11012" width="14.453125" customWidth="1"/>
    <col min="11013" max="11013" width="16.54296875" customWidth="1"/>
    <col min="11015" max="11015" width="25.54296875" customWidth="1"/>
    <col min="11266" max="11266" width="11.54296875" customWidth="1"/>
    <col min="11267" max="11267" width="15.54296875" customWidth="1"/>
    <col min="11268" max="11268" width="14.453125" customWidth="1"/>
    <col min="11269" max="11269" width="16.54296875" customWidth="1"/>
    <col min="11271" max="11271" width="25.54296875" customWidth="1"/>
    <col min="11522" max="11522" width="11.54296875" customWidth="1"/>
    <col min="11523" max="11523" width="15.54296875" customWidth="1"/>
    <col min="11524" max="11524" width="14.453125" customWidth="1"/>
    <col min="11525" max="11525" width="16.54296875" customWidth="1"/>
    <col min="11527" max="11527" width="25.54296875" customWidth="1"/>
    <col min="11778" max="11778" width="11.54296875" customWidth="1"/>
    <col min="11779" max="11779" width="15.54296875" customWidth="1"/>
    <col min="11780" max="11780" width="14.453125" customWidth="1"/>
    <col min="11781" max="11781" width="16.54296875" customWidth="1"/>
    <col min="11783" max="11783" width="25.54296875" customWidth="1"/>
    <col min="12034" max="12034" width="11.54296875" customWidth="1"/>
    <col min="12035" max="12035" width="15.54296875" customWidth="1"/>
    <col min="12036" max="12036" width="14.453125" customWidth="1"/>
    <col min="12037" max="12037" width="16.54296875" customWidth="1"/>
    <col min="12039" max="12039" width="25.54296875" customWidth="1"/>
    <col min="12290" max="12290" width="11.54296875" customWidth="1"/>
    <col min="12291" max="12291" width="15.54296875" customWidth="1"/>
    <col min="12292" max="12292" width="14.453125" customWidth="1"/>
    <col min="12293" max="12293" width="16.54296875" customWidth="1"/>
    <col min="12295" max="12295" width="25.54296875" customWidth="1"/>
    <col min="12546" max="12546" width="11.54296875" customWidth="1"/>
    <col min="12547" max="12547" width="15.54296875" customWidth="1"/>
    <col min="12548" max="12548" width="14.453125" customWidth="1"/>
    <col min="12549" max="12549" width="16.54296875" customWidth="1"/>
    <col min="12551" max="12551" width="25.54296875" customWidth="1"/>
    <col min="12802" max="12802" width="11.54296875" customWidth="1"/>
    <col min="12803" max="12803" width="15.54296875" customWidth="1"/>
    <col min="12804" max="12804" width="14.453125" customWidth="1"/>
    <col min="12805" max="12805" width="16.54296875" customWidth="1"/>
    <col min="12807" max="12807" width="25.54296875" customWidth="1"/>
    <col min="13058" max="13058" width="11.54296875" customWidth="1"/>
    <col min="13059" max="13059" width="15.54296875" customWidth="1"/>
    <col min="13060" max="13060" width="14.453125" customWidth="1"/>
    <col min="13061" max="13061" width="16.54296875" customWidth="1"/>
    <col min="13063" max="13063" width="25.54296875" customWidth="1"/>
    <col min="13314" max="13314" width="11.54296875" customWidth="1"/>
    <col min="13315" max="13315" width="15.54296875" customWidth="1"/>
    <col min="13316" max="13316" width="14.453125" customWidth="1"/>
    <col min="13317" max="13317" width="16.54296875" customWidth="1"/>
    <col min="13319" max="13319" width="25.54296875" customWidth="1"/>
    <col min="13570" max="13570" width="11.54296875" customWidth="1"/>
    <col min="13571" max="13571" width="15.54296875" customWidth="1"/>
    <col min="13572" max="13572" width="14.453125" customWidth="1"/>
    <col min="13573" max="13573" width="16.54296875" customWidth="1"/>
    <col min="13575" max="13575" width="25.54296875" customWidth="1"/>
    <col min="13826" max="13826" width="11.54296875" customWidth="1"/>
    <col min="13827" max="13827" width="15.54296875" customWidth="1"/>
    <col min="13828" max="13828" width="14.453125" customWidth="1"/>
    <col min="13829" max="13829" width="16.54296875" customWidth="1"/>
    <col min="13831" max="13831" width="25.54296875" customWidth="1"/>
    <col min="14082" max="14082" width="11.54296875" customWidth="1"/>
    <col min="14083" max="14083" width="15.54296875" customWidth="1"/>
    <col min="14084" max="14084" width="14.453125" customWidth="1"/>
    <col min="14085" max="14085" width="16.54296875" customWidth="1"/>
    <col min="14087" max="14087" width="25.54296875" customWidth="1"/>
    <col min="14338" max="14338" width="11.54296875" customWidth="1"/>
    <col min="14339" max="14339" width="15.54296875" customWidth="1"/>
    <col min="14340" max="14340" width="14.453125" customWidth="1"/>
    <col min="14341" max="14341" width="16.54296875" customWidth="1"/>
    <col min="14343" max="14343" width="25.54296875" customWidth="1"/>
    <col min="14594" max="14594" width="11.54296875" customWidth="1"/>
    <col min="14595" max="14595" width="15.54296875" customWidth="1"/>
    <col min="14596" max="14596" width="14.453125" customWidth="1"/>
    <col min="14597" max="14597" width="16.54296875" customWidth="1"/>
    <col min="14599" max="14599" width="25.54296875" customWidth="1"/>
    <col min="14850" max="14850" width="11.54296875" customWidth="1"/>
    <col min="14851" max="14851" width="15.54296875" customWidth="1"/>
    <col min="14852" max="14852" width="14.453125" customWidth="1"/>
    <col min="14853" max="14853" width="16.54296875" customWidth="1"/>
    <col min="14855" max="14855" width="25.54296875" customWidth="1"/>
    <col min="15106" max="15106" width="11.54296875" customWidth="1"/>
    <col min="15107" max="15107" width="15.54296875" customWidth="1"/>
    <col min="15108" max="15108" width="14.453125" customWidth="1"/>
    <col min="15109" max="15109" width="16.54296875" customWidth="1"/>
    <col min="15111" max="15111" width="25.54296875" customWidth="1"/>
    <col min="15362" max="15362" width="11.54296875" customWidth="1"/>
    <col min="15363" max="15363" width="15.54296875" customWidth="1"/>
    <col min="15364" max="15364" width="14.453125" customWidth="1"/>
    <col min="15365" max="15365" width="16.54296875" customWidth="1"/>
    <col min="15367" max="15367" width="25.54296875" customWidth="1"/>
    <col min="15618" max="15618" width="11.54296875" customWidth="1"/>
    <col min="15619" max="15619" width="15.54296875" customWidth="1"/>
    <col min="15620" max="15620" width="14.453125" customWidth="1"/>
    <col min="15621" max="15621" width="16.54296875" customWidth="1"/>
    <col min="15623" max="15623" width="25.54296875" customWidth="1"/>
    <col min="15874" max="15874" width="11.54296875" customWidth="1"/>
    <col min="15875" max="15875" width="15.54296875" customWidth="1"/>
    <col min="15876" max="15876" width="14.453125" customWidth="1"/>
    <col min="15877" max="15877" width="16.54296875" customWidth="1"/>
    <col min="15879" max="15879" width="25.54296875" customWidth="1"/>
    <col min="16130" max="16130" width="11.54296875" customWidth="1"/>
    <col min="16131" max="16131" width="15.54296875" customWidth="1"/>
    <col min="16132" max="16132" width="14.453125" customWidth="1"/>
    <col min="16133" max="16133" width="16.54296875" customWidth="1"/>
    <col min="16135" max="16135" width="25.54296875" customWidth="1"/>
  </cols>
  <sheetData>
    <row r="1" spans="2:11" ht="15" thickBot="1"/>
    <row r="2" spans="2:11" ht="19" thickBot="1">
      <c r="B2" s="667" t="s">
        <v>86</v>
      </c>
      <c r="C2" s="668"/>
      <c r="D2" s="668"/>
      <c r="E2" s="668"/>
      <c r="F2" s="668"/>
      <c r="G2" s="669"/>
    </row>
    <row r="3" spans="2:11" ht="16" thickBot="1">
      <c r="B3" s="670" t="s">
        <v>116</v>
      </c>
      <c r="C3" s="671"/>
      <c r="D3" s="671"/>
      <c r="E3" s="671"/>
      <c r="F3" s="671"/>
      <c r="G3" s="248">
        <f>+'AOTL - KEC'!M1</f>
        <v>46246</v>
      </c>
    </row>
    <row r="4" spans="2:11" ht="16" thickBot="1">
      <c r="B4" s="672" t="s">
        <v>117</v>
      </c>
      <c r="C4" s="673"/>
      <c r="D4" s="677" t="s">
        <v>89</v>
      </c>
      <c r="E4" s="678"/>
      <c r="F4" s="678"/>
      <c r="G4" s="679"/>
    </row>
    <row r="5" spans="2:11" ht="16" thickBot="1">
      <c r="B5" s="672" t="s">
        <v>118</v>
      </c>
      <c r="C5" s="673"/>
      <c r="D5" s="674" t="s">
        <v>119</v>
      </c>
      <c r="E5" s="675"/>
      <c r="F5" s="675"/>
      <c r="G5" s="676"/>
    </row>
    <row r="6" spans="2:11" ht="16" thickBot="1">
      <c r="B6" s="48"/>
      <c r="C6" s="49"/>
      <c r="D6" s="49"/>
      <c r="E6" s="49"/>
      <c r="F6" s="49"/>
      <c r="G6" s="50"/>
    </row>
    <row r="7" spans="2:11" s="18" customFormat="1" ht="15" customHeight="1" thickBot="1">
      <c r="B7" s="664" t="s">
        <v>120</v>
      </c>
      <c r="C7" s="665"/>
      <c r="D7" s="665"/>
      <c r="E7" s="665"/>
      <c r="F7" s="665"/>
      <c r="G7" s="666"/>
    </row>
    <row r="8" spans="2:11" ht="43.5">
      <c r="B8" s="33" t="s">
        <v>121</v>
      </c>
      <c r="C8" s="34" t="s">
        <v>122</v>
      </c>
      <c r="D8" s="34" t="s">
        <v>123</v>
      </c>
      <c r="E8" s="34" t="s">
        <v>124</v>
      </c>
      <c r="F8" s="657" t="s">
        <v>125</v>
      </c>
      <c r="G8" s="658"/>
    </row>
    <row r="9" spans="2:11" ht="15" thickBot="1">
      <c r="B9" s="3">
        <f>'AOTL - KEC'!C7</f>
        <v>114.51600000000001</v>
      </c>
      <c r="C9" s="4">
        <f>'AOTL - KEC'!D6</f>
        <v>114.51600000000001</v>
      </c>
      <c r="D9" s="4">
        <f>'AOTL - KEC'!F6</f>
        <v>0</v>
      </c>
      <c r="E9" s="4">
        <f>'AOTL - KEC'!I6</f>
        <v>114.51600000000001</v>
      </c>
      <c r="F9" s="655">
        <f>'AOTL - KEC'!J6</f>
        <v>0</v>
      </c>
      <c r="G9" s="656"/>
    </row>
    <row r="10" spans="2:11" ht="15" thickBot="1">
      <c r="B10" s="661" t="s">
        <v>126</v>
      </c>
      <c r="C10" s="662"/>
      <c r="D10" s="662"/>
      <c r="E10" s="662"/>
      <c r="F10" s="662"/>
      <c r="G10" s="663"/>
    </row>
    <row r="11" spans="2:11" ht="43.5">
      <c r="B11" s="1" t="s">
        <v>121</v>
      </c>
      <c r="C11" s="2" t="s">
        <v>122</v>
      </c>
      <c r="D11" s="2" t="s">
        <v>123</v>
      </c>
      <c r="E11" s="2" t="s">
        <v>124</v>
      </c>
      <c r="F11" s="657" t="s">
        <v>125</v>
      </c>
      <c r="G11" s="658"/>
    </row>
    <row r="12" spans="2:11" ht="15" thickBot="1">
      <c r="B12" s="20">
        <v>30</v>
      </c>
      <c r="C12" s="16">
        <v>30</v>
      </c>
      <c r="D12" s="16">
        <v>0</v>
      </c>
      <c r="E12" s="16">
        <f>C12+D12</f>
        <v>30</v>
      </c>
      <c r="F12" s="659">
        <f>B12-E12</f>
        <v>0</v>
      </c>
      <c r="G12" s="660"/>
    </row>
    <row r="13" spans="2:11" ht="15" thickBot="1">
      <c r="B13" s="661" t="s">
        <v>127</v>
      </c>
      <c r="C13" s="662"/>
      <c r="D13" s="662"/>
      <c r="E13" s="662"/>
      <c r="F13" s="662"/>
      <c r="G13" s="663"/>
    </row>
    <row r="14" spans="2:11" ht="43.5">
      <c r="B14" s="1" t="s">
        <v>121</v>
      </c>
      <c r="C14" s="2" t="s">
        <v>122</v>
      </c>
      <c r="D14" s="2" t="s">
        <v>123</v>
      </c>
      <c r="E14" s="2" t="s">
        <v>124</v>
      </c>
      <c r="F14" s="657" t="s">
        <v>125</v>
      </c>
      <c r="G14" s="658"/>
    </row>
    <row r="15" spans="2:11" ht="15" thickBot="1">
      <c r="B15" s="5">
        <f>'AOTL - KEC'!C7</f>
        <v>114.51600000000001</v>
      </c>
      <c r="C15" s="4">
        <f>'Survey Anx'!F39</f>
        <v>107.97099999999999</v>
      </c>
      <c r="D15" s="4">
        <f>'AOTL - KEC'!H7</f>
        <v>0</v>
      </c>
      <c r="E15" s="4">
        <f>D15+C15</f>
        <v>107.97099999999999</v>
      </c>
      <c r="F15" s="655">
        <f>B15-E15</f>
        <v>6.5450000000000159</v>
      </c>
      <c r="G15" s="656"/>
      <c r="K15" s="6"/>
    </row>
    <row r="16" spans="2:11" ht="15" thickBot="1">
      <c r="B16" s="661" t="s">
        <v>128</v>
      </c>
      <c r="C16" s="662"/>
      <c r="D16" s="662"/>
      <c r="E16" s="662"/>
      <c r="F16" s="662"/>
      <c r="G16" s="663"/>
    </row>
    <row r="17" spans="2:11" ht="43.5">
      <c r="B17" s="1" t="s">
        <v>121</v>
      </c>
      <c r="C17" s="2" t="s">
        <v>122</v>
      </c>
      <c r="D17" s="2" t="s">
        <v>123</v>
      </c>
      <c r="E17" s="2" t="s">
        <v>124</v>
      </c>
      <c r="F17" s="657" t="s">
        <v>125</v>
      </c>
      <c r="G17" s="658"/>
    </row>
    <row r="18" spans="2:11" ht="16" thickBot="1">
      <c r="B18" s="5">
        <f>'AOTL - KEC'!C9</f>
        <v>114.51600000000001</v>
      </c>
      <c r="C18" s="4">
        <f>'Survey Anx'!I39</f>
        <v>94.51900000000002</v>
      </c>
      <c r="D18" s="342">
        <v>0</v>
      </c>
      <c r="E18" s="4">
        <f>C18+D18</f>
        <v>94.51900000000002</v>
      </c>
      <c r="F18" s="655">
        <f>B18-E18</f>
        <v>19.996999999999986</v>
      </c>
      <c r="G18" s="656"/>
      <c r="K18" s="13"/>
    </row>
    <row r="19" spans="2:11" ht="15" thickBot="1">
      <c r="B19" s="661" t="s">
        <v>129</v>
      </c>
      <c r="C19" s="662"/>
      <c r="D19" s="662"/>
      <c r="E19" s="662"/>
      <c r="F19" s="662"/>
      <c r="G19" s="663"/>
    </row>
    <row r="20" spans="2:11" ht="43.5">
      <c r="B20" s="7" t="s">
        <v>121</v>
      </c>
      <c r="C20" s="8" t="s">
        <v>122</v>
      </c>
      <c r="D20" s="8" t="s">
        <v>123</v>
      </c>
      <c r="E20" s="8" t="s">
        <v>124</v>
      </c>
      <c r="F20" s="657" t="s">
        <v>125</v>
      </c>
      <c r="G20" s="658"/>
      <c r="K20" s="14"/>
    </row>
    <row r="21" spans="2:11" ht="15" thickBot="1">
      <c r="B21" s="9">
        <f>'AOTL - KEC'!C12</f>
        <v>293</v>
      </c>
      <c r="C21" s="16">
        <v>95</v>
      </c>
      <c r="D21" s="16" t="s">
        <v>67</v>
      </c>
      <c r="E21" s="19">
        <v>95</v>
      </c>
      <c r="F21" s="659">
        <f>B21-E21</f>
        <v>198</v>
      </c>
      <c r="G21" s="660"/>
    </row>
    <row r="22" spans="2:11" ht="15" thickBot="1">
      <c r="B22" s="661" t="s">
        <v>1096</v>
      </c>
      <c r="C22" s="662"/>
      <c r="D22" s="662"/>
      <c r="E22" s="662"/>
      <c r="F22" s="662"/>
      <c r="G22" s="663"/>
    </row>
    <row r="23" spans="2:11" ht="43.5">
      <c r="B23" s="7" t="s">
        <v>130</v>
      </c>
      <c r="C23" s="8" t="s">
        <v>122</v>
      </c>
      <c r="D23" s="8" t="s">
        <v>123</v>
      </c>
      <c r="E23" s="8" t="s">
        <v>124</v>
      </c>
      <c r="F23" s="657" t="s">
        <v>125</v>
      </c>
      <c r="G23" s="658"/>
    </row>
    <row r="24" spans="2:11" ht="15" thickBot="1">
      <c r="B24" s="3">
        <f>'AOTL - KEC'!C13</f>
        <v>293</v>
      </c>
      <c r="C24" s="16">
        <v>92</v>
      </c>
      <c r="D24" s="16" t="s">
        <v>67</v>
      </c>
      <c r="E24" s="19">
        <v>89</v>
      </c>
      <c r="F24" s="659">
        <f>B24-E24</f>
        <v>204</v>
      </c>
      <c r="G24" s="660"/>
    </row>
    <row r="25" spans="2:11" ht="15" thickBot="1">
      <c r="B25" s="661" t="s">
        <v>131</v>
      </c>
      <c r="C25" s="662"/>
      <c r="D25" s="662"/>
      <c r="E25" s="662"/>
      <c r="F25" s="662"/>
      <c r="G25" s="663"/>
    </row>
    <row r="26" spans="2:11" ht="43.5">
      <c r="B26" s="7" t="s">
        <v>130</v>
      </c>
      <c r="C26" s="8" t="s">
        <v>122</v>
      </c>
      <c r="D26" s="8" t="s">
        <v>123</v>
      </c>
      <c r="E26" s="8" t="s">
        <v>124</v>
      </c>
      <c r="F26" s="657" t="s">
        <v>125</v>
      </c>
      <c r="G26" s="658"/>
    </row>
    <row r="27" spans="2:11" ht="15" thickBot="1">
      <c r="B27" s="3">
        <f>'AOTL - KEC'!C14</f>
        <v>293</v>
      </c>
      <c r="C27" s="16">
        <v>47</v>
      </c>
      <c r="D27" s="16">
        <v>1</v>
      </c>
      <c r="E27" s="12">
        <v>46</v>
      </c>
      <c r="F27" s="659">
        <f>B27-E27</f>
        <v>247</v>
      </c>
      <c r="G27" s="660"/>
    </row>
    <row r="28" spans="2:11" ht="15" thickBot="1">
      <c r="B28" s="661" t="s">
        <v>132</v>
      </c>
      <c r="C28" s="662"/>
      <c r="D28" s="662"/>
      <c r="E28" s="662"/>
      <c r="F28" s="662"/>
      <c r="G28" s="663"/>
    </row>
    <row r="29" spans="2:11" ht="43.5">
      <c r="B29" s="7" t="s">
        <v>130</v>
      </c>
      <c r="C29" s="8" t="s">
        <v>122</v>
      </c>
      <c r="D29" s="8" t="s">
        <v>123</v>
      </c>
      <c r="E29" s="8" t="s">
        <v>124</v>
      </c>
      <c r="F29" s="657" t="s">
        <v>133</v>
      </c>
      <c r="G29" s="658"/>
    </row>
    <row r="30" spans="2:11" ht="15" thickBot="1">
      <c r="B30" s="5">
        <f>'AOTL - KEC'!C16</f>
        <v>114.51600000000001</v>
      </c>
      <c r="C30" s="21">
        <v>0</v>
      </c>
      <c r="D30" s="21">
        <v>0</v>
      </c>
      <c r="E30" s="22">
        <v>0</v>
      </c>
      <c r="F30" s="655">
        <f>B30-E30</f>
        <v>114.51600000000001</v>
      </c>
      <c r="G30" s="656"/>
    </row>
    <row r="31" spans="2:11" ht="15" thickBot="1">
      <c r="B31" s="661" t="s">
        <v>134</v>
      </c>
      <c r="C31" s="662"/>
      <c r="D31" s="662"/>
      <c r="E31" s="662"/>
      <c r="F31" s="662"/>
      <c r="G31" s="663"/>
    </row>
    <row r="32" spans="2:11" ht="43.5">
      <c r="B32" s="7" t="s">
        <v>130</v>
      </c>
      <c r="C32" s="8" t="s">
        <v>122</v>
      </c>
      <c r="D32" s="8" t="s">
        <v>123</v>
      </c>
      <c r="E32" s="8" t="s">
        <v>124</v>
      </c>
      <c r="F32" s="657" t="s">
        <v>125</v>
      </c>
      <c r="G32" s="658"/>
    </row>
    <row r="33" spans="2:7" ht="15" thickBot="1">
      <c r="B33" s="31">
        <f>'AOTL - KEC'!C18</f>
        <v>114.51600000000001</v>
      </c>
      <c r="C33" s="32">
        <v>0</v>
      </c>
      <c r="D33" s="32">
        <v>0</v>
      </c>
      <c r="E33" s="32">
        <v>0</v>
      </c>
      <c r="F33" s="655">
        <f>B33-E33</f>
        <v>114.51600000000001</v>
      </c>
      <c r="G33" s="656"/>
    </row>
  </sheetData>
  <mergeCells count="33">
    <mergeCell ref="B2:G2"/>
    <mergeCell ref="B3:F3"/>
    <mergeCell ref="B4:C4"/>
    <mergeCell ref="B5:C5"/>
    <mergeCell ref="D5:G5"/>
    <mergeCell ref="D4:G4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5516-B9AE-4767-AB56-B0958135D872}">
  <sheetPr codeName="Sheet9">
    <tabColor rgb="FF00FF00"/>
    <pageSetUpPr fitToPage="1"/>
  </sheetPr>
  <dimension ref="A1:K154"/>
  <sheetViews>
    <sheetView zoomScale="80" zoomScaleNormal="80" zoomScaleSheetLayoutView="100" workbookViewId="0">
      <pane xSplit="3" ySplit="3" topLeftCell="E16" activePane="bottomRight" state="frozen"/>
      <selection activeCell="G2" sqref="G2"/>
      <selection pane="topRight" activeCell="G2" sqref="G2"/>
      <selection pane="bottomLeft" activeCell="G2" sqref="G2"/>
      <selection pane="bottomRight" activeCell="G2" sqref="G2:I2"/>
    </sheetView>
  </sheetViews>
  <sheetFormatPr defaultColWidth="9.26953125" defaultRowHeight="15.5"/>
  <cols>
    <col min="1" max="1" width="11.26953125" style="252" customWidth="1"/>
    <col min="2" max="2" width="15.1796875" style="252" bestFit="1" customWidth="1"/>
    <col min="3" max="7" width="12.54296875" style="252" customWidth="1"/>
    <col min="8" max="8" width="11.7265625" style="252" bestFit="1" customWidth="1"/>
    <col min="9" max="9" width="12.54296875" style="252" customWidth="1"/>
    <col min="10" max="11" width="12.54296875" style="252" hidden="1" customWidth="1"/>
    <col min="12" max="16384" width="9.26953125" style="252"/>
  </cols>
  <sheetData>
    <row r="1" spans="1:10">
      <c r="A1" s="680" t="s">
        <v>89</v>
      </c>
      <c r="B1" s="680"/>
      <c r="C1" s="680"/>
      <c r="D1" s="680"/>
      <c r="E1" s="680"/>
      <c r="F1" s="680"/>
      <c r="G1" s="680"/>
      <c r="H1" s="680"/>
      <c r="I1" s="680"/>
    </row>
    <row r="2" spans="1:10" ht="20.149999999999999" customHeight="1">
      <c r="A2" s="681" t="s">
        <v>193</v>
      </c>
      <c r="B2" s="681" t="s">
        <v>203</v>
      </c>
      <c r="C2" s="683" t="s">
        <v>204</v>
      </c>
      <c r="D2" s="681" t="s">
        <v>205</v>
      </c>
      <c r="E2" s="681"/>
      <c r="F2" s="681"/>
      <c r="G2" s="681" t="s">
        <v>21</v>
      </c>
      <c r="H2" s="681"/>
      <c r="I2" s="681"/>
    </row>
    <row r="3" spans="1:10" ht="20.149999999999999" customHeight="1">
      <c r="A3" s="681"/>
      <c r="B3" s="681"/>
      <c r="C3" s="684"/>
      <c r="D3" s="336" t="s">
        <v>38</v>
      </c>
      <c r="E3" s="336" t="s">
        <v>206</v>
      </c>
      <c r="F3" s="336" t="s">
        <v>207</v>
      </c>
      <c r="G3" s="336" t="s">
        <v>38</v>
      </c>
      <c r="H3" s="336" t="s">
        <v>206</v>
      </c>
      <c r="I3" s="336" t="s">
        <v>207</v>
      </c>
    </row>
    <row r="4" spans="1:10" ht="20.149999999999999" customHeight="1">
      <c r="A4" s="337" t="s">
        <v>208</v>
      </c>
      <c r="B4" s="337" t="s">
        <v>209</v>
      </c>
      <c r="C4" s="338">
        <v>0.62</v>
      </c>
      <c r="D4" s="338">
        <v>0.62</v>
      </c>
      <c r="E4" s="338">
        <v>0.62</v>
      </c>
      <c r="F4" s="338">
        <v>0.62</v>
      </c>
      <c r="G4" s="338">
        <v>0.62</v>
      </c>
      <c r="H4" s="338">
        <v>0.62</v>
      </c>
      <c r="I4" s="338">
        <v>0.62</v>
      </c>
    </row>
    <row r="5" spans="1:10" ht="20.149999999999999" customHeight="1">
      <c r="A5" s="337" t="s">
        <v>208</v>
      </c>
      <c r="B5" s="337" t="s">
        <v>210</v>
      </c>
      <c r="C5" s="338">
        <v>1.5720000000000001</v>
      </c>
      <c r="D5" s="338">
        <v>1.5720000000000001</v>
      </c>
      <c r="E5" s="338">
        <v>1.5720000000000001</v>
      </c>
      <c r="F5" s="338">
        <v>1.5720000000000001</v>
      </c>
      <c r="G5" s="338">
        <v>1.5720000000000001</v>
      </c>
      <c r="H5" s="338">
        <v>1.5720000000000001</v>
      </c>
      <c r="I5" s="338">
        <v>1.5720000000000001</v>
      </c>
    </row>
    <row r="6" spans="1:10" ht="20.149999999999999" customHeight="1">
      <c r="A6" s="337" t="s">
        <v>208</v>
      </c>
      <c r="B6" s="337" t="s">
        <v>211</v>
      </c>
      <c r="C6" s="338">
        <v>1.228</v>
      </c>
      <c r="D6" s="338">
        <v>1.228</v>
      </c>
      <c r="E6" s="338">
        <v>1.228</v>
      </c>
      <c r="F6" s="338">
        <v>1.228</v>
      </c>
      <c r="G6" s="338">
        <f>F6</f>
        <v>1.228</v>
      </c>
      <c r="H6" s="338">
        <f t="shared" ref="H6:I6" si="0">G6</f>
        <v>1.228</v>
      </c>
      <c r="I6" s="338">
        <f t="shared" si="0"/>
        <v>1.228</v>
      </c>
    </row>
    <row r="7" spans="1:10" ht="20.149999999999999" customHeight="1">
      <c r="A7" s="337" t="s">
        <v>208</v>
      </c>
      <c r="B7" s="337" t="s">
        <v>212</v>
      </c>
      <c r="C7" s="339">
        <v>3.9940000000000002</v>
      </c>
      <c r="D7" s="338">
        <f>C7</f>
        <v>3.9940000000000002</v>
      </c>
      <c r="E7" s="338">
        <f>D7</f>
        <v>3.9940000000000002</v>
      </c>
      <c r="F7" s="338">
        <f t="shared" ref="F7:I7" si="1">E7</f>
        <v>3.9940000000000002</v>
      </c>
      <c r="G7" s="338">
        <f t="shared" si="1"/>
        <v>3.9940000000000002</v>
      </c>
      <c r="H7" s="338">
        <f t="shared" si="1"/>
        <v>3.9940000000000002</v>
      </c>
      <c r="I7" s="338">
        <f t="shared" si="1"/>
        <v>3.9940000000000002</v>
      </c>
      <c r="J7" s="340"/>
    </row>
    <row r="8" spans="1:10" ht="20.149999999999999" customHeight="1">
      <c r="A8" s="337" t="s">
        <v>213</v>
      </c>
      <c r="B8" s="337" t="s">
        <v>214</v>
      </c>
      <c r="C8" s="339">
        <v>2.694</v>
      </c>
      <c r="D8" s="338">
        <v>2.694</v>
      </c>
      <c r="E8" s="338">
        <v>2.694</v>
      </c>
      <c r="F8" s="338">
        <v>2.694</v>
      </c>
      <c r="G8" s="338">
        <v>2.694</v>
      </c>
      <c r="H8" s="338">
        <v>2.694</v>
      </c>
      <c r="I8" s="338">
        <v>2.694</v>
      </c>
      <c r="J8" s="340"/>
    </row>
    <row r="9" spans="1:10" ht="20.149999999999999" customHeight="1">
      <c r="A9" s="337" t="s">
        <v>213</v>
      </c>
      <c r="B9" s="337" t="s">
        <v>215</v>
      </c>
      <c r="C9" s="338">
        <v>1.5549999999999999</v>
      </c>
      <c r="D9" s="338">
        <v>1.5549999999999999</v>
      </c>
      <c r="E9" s="338">
        <v>1.5549999999999999</v>
      </c>
      <c r="F9" s="338">
        <v>1.5549999999999999</v>
      </c>
      <c r="G9" s="338">
        <v>1.5549999999999999</v>
      </c>
      <c r="H9" s="338">
        <v>1.5549999999999999</v>
      </c>
      <c r="I9" s="338">
        <v>1.5549999999999999</v>
      </c>
    </row>
    <row r="10" spans="1:10" ht="20.149999999999999" customHeight="1">
      <c r="A10" s="337" t="s">
        <v>200</v>
      </c>
      <c r="B10" s="337" t="s">
        <v>216</v>
      </c>
      <c r="C10" s="338">
        <v>0.42199999999999999</v>
      </c>
      <c r="D10" s="338">
        <v>0.42199999999999999</v>
      </c>
      <c r="E10" s="338">
        <v>0.42199999999999999</v>
      </c>
      <c r="F10" s="338">
        <v>0.42199999999999999</v>
      </c>
      <c r="G10" s="338">
        <v>0.42199999999999999</v>
      </c>
      <c r="H10" s="338">
        <v>0.42199999999999999</v>
      </c>
      <c r="I10" s="338">
        <v>0.42199999999999999</v>
      </c>
    </row>
    <row r="11" spans="1:10" ht="20.149999999999999" customHeight="1">
      <c r="A11" s="337" t="s">
        <v>200</v>
      </c>
      <c r="B11" s="337" t="s">
        <v>217</v>
      </c>
      <c r="C11" s="338">
        <v>3.8809999999999998</v>
      </c>
      <c r="D11" s="338">
        <v>3.8809999999999998</v>
      </c>
      <c r="E11" s="338">
        <v>3.8809999999999998</v>
      </c>
      <c r="F11" s="338">
        <v>3.8809999999999998</v>
      </c>
      <c r="G11" s="338">
        <v>3.8809999999999998</v>
      </c>
      <c r="H11" s="338">
        <v>3.8809999999999998</v>
      </c>
      <c r="I11" s="338">
        <v>3.8809999999999998</v>
      </c>
    </row>
    <row r="12" spans="1:10" ht="20.149999999999999" customHeight="1">
      <c r="A12" s="337" t="s">
        <v>200</v>
      </c>
      <c r="B12" s="337" t="s">
        <v>218</v>
      </c>
      <c r="C12" s="338">
        <v>4.3280000000000003</v>
      </c>
      <c r="D12" s="338">
        <v>4.3280000000000003</v>
      </c>
      <c r="E12" s="338">
        <v>4.3280000000000003</v>
      </c>
      <c r="F12" s="338">
        <v>4.3280000000000003</v>
      </c>
      <c r="G12" s="338">
        <v>4.3280000000000003</v>
      </c>
      <c r="H12" s="338">
        <v>4.3280000000000003</v>
      </c>
      <c r="I12" s="338">
        <v>4.3280000000000003</v>
      </c>
    </row>
    <row r="13" spans="1:10" ht="20.149999999999999" customHeight="1">
      <c r="A13" s="337" t="s">
        <v>200</v>
      </c>
      <c r="B13" s="337" t="s">
        <v>219</v>
      </c>
      <c r="C13" s="338">
        <v>2.9</v>
      </c>
      <c r="D13" s="338">
        <v>2.9</v>
      </c>
      <c r="E13" s="338">
        <v>2.9</v>
      </c>
      <c r="F13" s="338">
        <v>2.9</v>
      </c>
      <c r="G13" s="338">
        <v>2.9</v>
      </c>
      <c r="H13" s="338">
        <v>2.9</v>
      </c>
      <c r="I13" s="338">
        <v>2.9</v>
      </c>
    </row>
    <row r="14" spans="1:10" ht="20.149999999999999" customHeight="1">
      <c r="A14" s="337" t="s">
        <v>200</v>
      </c>
      <c r="B14" s="337" t="s">
        <v>220</v>
      </c>
      <c r="C14" s="338">
        <v>3.5259999999999998</v>
      </c>
      <c r="D14" s="338">
        <v>3.5259999999999998</v>
      </c>
      <c r="E14" s="338">
        <v>3.5259999999999998</v>
      </c>
      <c r="F14" s="338">
        <v>3.5259999999999998</v>
      </c>
      <c r="G14" s="338">
        <v>3.5259999999999998</v>
      </c>
      <c r="H14" s="338">
        <v>3.5259999999999998</v>
      </c>
      <c r="I14" s="338">
        <v>3.5259999999999998</v>
      </c>
    </row>
    <row r="15" spans="1:10" ht="20.149999999999999" customHeight="1">
      <c r="A15" s="337" t="s">
        <v>200</v>
      </c>
      <c r="B15" s="337" t="s">
        <v>221</v>
      </c>
      <c r="C15" s="338">
        <v>2.3119999999999998</v>
      </c>
      <c r="D15" s="338">
        <v>2.3119999999999998</v>
      </c>
      <c r="E15" s="338">
        <v>2.3119999999999998</v>
      </c>
      <c r="F15" s="338">
        <v>2.3119999999999998</v>
      </c>
      <c r="G15" s="338">
        <v>2.3119999999999998</v>
      </c>
      <c r="H15" s="338">
        <v>2.3119999999999998</v>
      </c>
      <c r="I15" s="338">
        <v>2.3119999999999998</v>
      </c>
    </row>
    <row r="16" spans="1:10" ht="20.149999999999999" customHeight="1">
      <c r="A16" s="337" t="s">
        <v>200</v>
      </c>
      <c r="B16" s="337" t="s">
        <v>222</v>
      </c>
      <c r="C16" s="338">
        <v>4.7039999999999997</v>
      </c>
      <c r="D16" s="338">
        <v>4.7039999999999997</v>
      </c>
      <c r="E16" s="338">
        <v>4.7039999999999997</v>
      </c>
      <c r="F16" s="338">
        <v>4.7039999999999997</v>
      </c>
      <c r="G16" s="338">
        <v>4.7039999999999997</v>
      </c>
      <c r="H16" s="338">
        <v>4.7039999999999997</v>
      </c>
      <c r="I16" s="338">
        <v>4.7039999999999997</v>
      </c>
    </row>
    <row r="17" spans="1:11" ht="20.149999999999999" customHeight="1">
      <c r="A17" s="337" t="s">
        <v>200</v>
      </c>
      <c r="B17" s="337" t="s">
        <v>223</v>
      </c>
      <c r="C17" s="338">
        <v>1.5569999999999999</v>
      </c>
      <c r="D17" s="338">
        <v>1.5569999999999999</v>
      </c>
      <c r="E17" s="338">
        <v>1.5569999999999999</v>
      </c>
      <c r="F17" s="338">
        <v>1.5569999999999999</v>
      </c>
      <c r="G17" s="338">
        <v>1.5569999999999999</v>
      </c>
      <c r="H17" s="338">
        <v>1.5569999999999999</v>
      </c>
      <c r="I17" s="338">
        <v>1.5569999999999999</v>
      </c>
    </row>
    <row r="18" spans="1:11" ht="20.149999999999999" customHeight="1">
      <c r="A18" s="337" t="s">
        <v>200</v>
      </c>
      <c r="B18" s="337" t="s">
        <v>224</v>
      </c>
      <c r="C18" s="338">
        <v>1.9470000000000001</v>
      </c>
      <c r="D18" s="338">
        <v>1.9470000000000001</v>
      </c>
      <c r="E18" s="338">
        <v>1.9470000000000001</v>
      </c>
      <c r="F18" s="338">
        <v>1.9470000000000001</v>
      </c>
      <c r="G18" s="338">
        <v>1.9470000000000001</v>
      </c>
      <c r="H18" s="338">
        <v>1.9470000000000001</v>
      </c>
      <c r="I18" s="338">
        <v>1.9470000000000001</v>
      </c>
    </row>
    <row r="19" spans="1:11" ht="20.149999999999999" customHeight="1">
      <c r="A19" s="337" t="s">
        <v>200</v>
      </c>
      <c r="B19" s="337" t="s">
        <v>225</v>
      </c>
      <c r="C19" s="338">
        <v>0.40500000000000003</v>
      </c>
      <c r="D19" s="338">
        <v>0.40500000000000003</v>
      </c>
      <c r="E19" s="338">
        <v>0.40500000000000003</v>
      </c>
      <c r="F19" s="338">
        <v>0.40500000000000003</v>
      </c>
      <c r="G19" s="338">
        <v>0.40500000000000003</v>
      </c>
      <c r="H19" s="338">
        <v>0.40500000000000003</v>
      </c>
      <c r="I19" s="338">
        <v>0.40500000000000003</v>
      </c>
    </row>
    <row r="20" spans="1:11" ht="20.149999999999999" customHeight="1">
      <c r="A20" s="337" t="s">
        <v>200</v>
      </c>
      <c r="B20" s="337" t="s">
        <v>226</v>
      </c>
      <c r="C20" s="338">
        <f>5.966+2.39</f>
        <v>8.3559999999999999</v>
      </c>
      <c r="D20" s="338">
        <f t="shared" ref="D20:I20" si="2">5.966+2.39</f>
        <v>8.3559999999999999</v>
      </c>
      <c r="E20" s="338">
        <f t="shared" si="2"/>
        <v>8.3559999999999999</v>
      </c>
      <c r="F20" s="338">
        <f t="shared" si="2"/>
        <v>8.3559999999999999</v>
      </c>
      <c r="G20" s="338">
        <f t="shared" si="2"/>
        <v>8.3559999999999999</v>
      </c>
      <c r="H20" s="338">
        <f t="shared" si="2"/>
        <v>8.3559999999999999</v>
      </c>
      <c r="I20" s="338">
        <f t="shared" si="2"/>
        <v>8.3559999999999999</v>
      </c>
    </row>
    <row r="21" spans="1:11" ht="20.149999999999999" customHeight="1">
      <c r="A21" s="337" t="s">
        <v>200</v>
      </c>
      <c r="B21" s="337" t="s">
        <v>227</v>
      </c>
      <c r="C21" s="338">
        <v>0.81699999999999995</v>
      </c>
      <c r="D21" s="338">
        <v>0.81699999999999995</v>
      </c>
      <c r="E21" s="338">
        <v>0.81699999999999995</v>
      </c>
      <c r="F21" s="338">
        <v>0.81699999999999995</v>
      </c>
      <c r="G21" s="338">
        <v>0.81699999999999995</v>
      </c>
      <c r="H21" s="338">
        <v>0.81699999999999995</v>
      </c>
      <c r="I21" s="338">
        <v>0.81699999999999995</v>
      </c>
    </row>
    <row r="22" spans="1:11" ht="20.149999999999999" customHeight="1">
      <c r="A22" s="341" t="s">
        <v>200</v>
      </c>
      <c r="B22" s="337" t="s">
        <v>228</v>
      </c>
      <c r="C22" s="338">
        <v>5.2190000000000003</v>
      </c>
      <c r="D22" s="338">
        <v>5.2190000000000003</v>
      </c>
      <c r="E22" s="338">
        <v>5.2190000000000003</v>
      </c>
      <c r="F22" s="338">
        <v>5.2190000000000003</v>
      </c>
      <c r="G22" s="338">
        <v>5.2190000000000003</v>
      </c>
      <c r="H22" s="338">
        <v>5.2190000000000003</v>
      </c>
      <c r="I22" s="338">
        <v>5.2190000000000003</v>
      </c>
    </row>
    <row r="23" spans="1:11" ht="20.149999999999999" customHeight="1">
      <c r="A23" s="341" t="s">
        <v>200</v>
      </c>
      <c r="B23" s="337" t="s">
        <v>1098</v>
      </c>
      <c r="C23" s="338">
        <f>2.845+3.405</f>
        <v>6.25</v>
      </c>
      <c r="D23" s="338">
        <f>C23</f>
        <v>6.25</v>
      </c>
      <c r="E23" s="338">
        <f>D23</f>
        <v>6.25</v>
      </c>
      <c r="F23" s="338">
        <f>E23</f>
        <v>6.25</v>
      </c>
      <c r="G23" s="338">
        <f>F23</f>
        <v>6.25</v>
      </c>
      <c r="H23" s="338">
        <f>F23</f>
        <v>6.25</v>
      </c>
      <c r="I23" s="338">
        <f>H23</f>
        <v>6.25</v>
      </c>
      <c r="J23" s="252" t="s">
        <v>1101</v>
      </c>
      <c r="K23" s="252">
        <v>2.8450000000000002</v>
      </c>
    </row>
    <row r="24" spans="1:11" ht="20.149999999999999" customHeight="1">
      <c r="A24" s="525" t="s">
        <v>200</v>
      </c>
      <c r="B24" s="525" t="s">
        <v>1099</v>
      </c>
      <c r="C24" s="524">
        <v>5.0114799999999997</v>
      </c>
      <c r="D24" s="524">
        <f>C24</f>
        <v>5.0114799999999997</v>
      </c>
      <c r="E24" s="524">
        <f>D24</f>
        <v>5.0114799999999997</v>
      </c>
      <c r="F24" s="524"/>
      <c r="G24" s="524"/>
      <c r="H24" s="524"/>
      <c r="I24" s="524"/>
      <c r="J24" s="252" t="s">
        <v>1100</v>
      </c>
      <c r="K24" s="252">
        <v>3.4049999999999998</v>
      </c>
    </row>
    <row r="25" spans="1:11" ht="20.149999999999999" customHeight="1">
      <c r="A25" s="337" t="s">
        <v>200</v>
      </c>
      <c r="B25" s="337" t="s">
        <v>229</v>
      </c>
      <c r="C25" s="338">
        <v>5.3010000000000002</v>
      </c>
      <c r="D25" s="338">
        <f>C25</f>
        <v>5.3010000000000002</v>
      </c>
      <c r="E25" s="338">
        <f>D25</f>
        <v>5.3010000000000002</v>
      </c>
      <c r="F25" s="338">
        <f>E25</f>
        <v>5.3010000000000002</v>
      </c>
      <c r="G25" s="338">
        <v>5.3010000000000002</v>
      </c>
      <c r="H25" s="338">
        <v>5.3010000000000002</v>
      </c>
      <c r="I25" s="524">
        <v>4.49</v>
      </c>
    </row>
    <row r="26" spans="1:11" ht="20.149999999999999" customHeight="1">
      <c r="A26" s="337" t="s">
        <v>200</v>
      </c>
      <c r="B26" s="337" t="s">
        <v>230</v>
      </c>
      <c r="C26" s="338">
        <v>3.992</v>
      </c>
      <c r="D26" s="338">
        <v>3.992</v>
      </c>
      <c r="E26" s="338">
        <v>3.992</v>
      </c>
      <c r="F26" s="338">
        <f>E26</f>
        <v>3.992</v>
      </c>
      <c r="G26" s="338">
        <f t="shared" ref="G26:H26" si="3">F26</f>
        <v>3.992</v>
      </c>
      <c r="H26" s="338">
        <f t="shared" si="3"/>
        <v>3.992</v>
      </c>
      <c r="I26" s="524"/>
    </row>
    <row r="27" spans="1:11" ht="20.149999999999999" customHeight="1">
      <c r="A27" s="337" t="s">
        <v>200</v>
      </c>
      <c r="B27" s="337" t="s">
        <v>231</v>
      </c>
      <c r="C27" s="338">
        <v>3.1419999999999999</v>
      </c>
      <c r="D27" s="338">
        <v>3.1419999999999999</v>
      </c>
      <c r="E27" s="338">
        <v>3.1419999999999999</v>
      </c>
      <c r="F27" s="338">
        <v>3.1419999999999999</v>
      </c>
      <c r="G27" s="338">
        <v>3.1419999999999999</v>
      </c>
      <c r="H27" s="338">
        <v>3.1419999999999999</v>
      </c>
      <c r="I27" s="338">
        <v>3.1419999999999999</v>
      </c>
    </row>
    <row r="28" spans="1:11" ht="20.149999999999999" customHeight="1">
      <c r="A28" s="337" t="s">
        <v>200</v>
      </c>
      <c r="B28" s="337" t="s">
        <v>232</v>
      </c>
      <c r="C28" s="338">
        <v>2.4769999999999999</v>
      </c>
      <c r="D28" s="338">
        <v>2.4769999999999999</v>
      </c>
      <c r="E28" s="338">
        <v>2.4769999999999999</v>
      </c>
      <c r="F28" s="338">
        <v>2.4769999999999999</v>
      </c>
      <c r="G28" s="338">
        <v>2.4769999999999999</v>
      </c>
      <c r="H28" s="338">
        <v>2.4769999999999999</v>
      </c>
      <c r="I28" s="338">
        <v>2.4769999999999999</v>
      </c>
      <c r="J28" s="340"/>
      <c r="K28" s="252">
        <v>353.55</v>
      </c>
    </row>
    <row r="29" spans="1:11" ht="20.149999999999999" customHeight="1">
      <c r="A29" s="337" t="s">
        <v>200</v>
      </c>
      <c r="B29" s="337" t="s">
        <v>233</v>
      </c>
      <c r="C29" s="338">
        <v>1.1279999999999999</v>
      </c>
      <c r="D29" s="338">
        <v>1.1279999999999999</v>
      </c>
      <c r="E29" s="338">
        <v>1.1279999999999999</v>
      </c>
      <c r="F29" s="338">
        <v>1.1279999999999999</v>
      </c>
      <c r="G29" s="338">
        <v>1.1279999999999999</v>
      </c>
      <c r="H29" s="338">
        <v>1.1279999999999999</v>
      </c>
      <c r="I29" s="338">
        <v>1.1279999999999999</v>
      </c>
      <c r="K29" s="252">
        <v>362.84</v>
      </c>
    </row>
    <row r="30" spans="1:11" ht="20.149999999999999" customHeight="1">
      <c r="A30" s="337" t="s">
        <v>200</v>
      </c>
      <c r="B30" s="337" t="s">
        <v>234</v>
      </c>
      <c r="C30" s="338">
        <v>5.9160000000000004</v>
      </c>
      <c r="D30" s="338">
        <v>5.9160000000000004</v>
      </c>
      <c r="E30" s="338">
        <v>5.9160000000000004</v>
      </c>
      <c r="F30" s="524">
        <v>4.5140000000000002</v>
      </c>
      <c r="G30" s="524"/>
      <c r="H30" s="524"/>
      <c r="I30" s="524"/>
      <c r="J30" s="340"/>
      <c r="K30" s="252">
        <v>410.43</v>
      </c>
    </row>
    <row r="31" spans="1:11" ht="20.149999999999999" customHeight="1">
      <c r="A31" s="337" t="s">
        <v>200</v>
      </c>
      <c r="B31" s="337" t="s">
        <v>235</v>
      </c>
      <c r="C31" s="338">
        <v>0.24399999999999999</v>
      </c>
      <c r="D31" s="338">
        <v>0.24399999999999999</v>
      </c>
      <c r="E31" s="338">
        <v>0.24399999999999999</v>
      </c>
      <c r="F31" s="338">
        <v>0.24399999999999999</v>
      </c>
      <c r="G31" s="338">
        <v>0.24399999999999999</v>
      </c>
      <c r="H31" s="338">
        <v>0.24399999999999999</v>
      </c>
      <c r="I31" s="338">
        <v>0.24399999999999999</v>
      </c>
      <c r="K31" s="252">
        <v>406.38</v>
      </c>
    </row>
    <row r="32" spans="1:11" ht="20.149999999999999" customHeight="1">
      <c r="A32" s="337" t="s">
        <v>200</v>
      </c>
      <c r="B32" s="337" t="s">
        <v>236</v>
      </c>
      <c r="C32" s="338">
        <v>6.5970000000000004</v>
      </c>
      <c r="D32" s="338">
        <v>6.5970000000000004</v>
      </c>
      <c r="E32" s="338">
        <v>6.5970000000000004</v>
      </c>
      <c r="F32" s="338">
        <v>6.5970000000000004</v>
      </c>
      <c r="G32" s="338">
        <v>6.5970000000000004</v>
      </c>
      <c r="H32" s="338">
        <v>6.5970000000000004</v>
      </c>
      <c r="I32" s="338">
        <v>6.5970000000000004</v>
      </c>
      <c r="K32" s="252">
        <v>413.88</v>
      </c>
    </row>
    <row r="33" spans="1:11" ht="20.149999999999999" customHeight="1">
      <c r="A33" s="337" t="s">
        <v>200</v>
      </c>
      <c r="B33" s="337" t="s">
        <v>237</v>
      </c>
      <c r="C33" s="338">
        <v>0.24299999999999999</v>
      </c>
      <c r="D33" s="338">
        <v>0.24299999999999999</v>
      </c>
      <c r="E33" s="338">
        <v>0.24299999999999999</v>
      </c>
      <c r="F33" s="338">
        <v>0.24299999999999999</v>
      </c>
      <c r="G33" s="338">
        <v>0.24299999999999999</v>
      </c>
      <c r="H33" s="338">
        <v>0.24299999999999999</v>
      </c>
      <c r="I33" s="338">
        <v>0.24299999999999999</v>
      </c>
      <c r="K33" s="252">
        <v>397.98</v>
      </c>
    </row>
    <row r="34" spans="1:11" ht="20.149999999999999" customHeight="1">
      <c r="A34" s="337" t="s">
        <v>200</v>
      </c>
      <c r="B34" s="337" t="s">
        <v>238</v>
      </c>
      <c r="C34" s="338">
        <v>5.0609999999999999</v>
      </c>
      <c r="D34" s="338">
        <v>5.0609999999999999</v>
      </c>
      <c r="E34" s="338">
        <v>5.0609999999999999</v>
      </c>
      <c r="F34" s="338">
        <v>5.0609999999999999</v>
      </c>
      <c r="G34" s="338">
        <v>5.0609999999999999</v>
      </c>
      <c r="H34" s="338">
        <v>5.0609999999999999</v>
      </c>
      <c r="I34" s="338">
        <v>5.0609999999999999</v>
      </c>
      <c r="K34" s="252">
        <v>444.34</v>
      </c>
    </row>
    <row r="35" spans="1:11" ht="20.149999999999999" customHeight="1">
      <c r="A35" s="337" t="s">
        <v>200</v>
      </c>
      <c r="B35" s="337" t="s">
        <v>239</v>
      </c>
      <c r="C35" s="338">
        <v>4.7119999999999997</v>
      </c>
      <c r="D35" s="338">
        <v>4.7119999999999997</v>
      </c>
      <c r="E35" s="338">
        <v>4.7119999999999997</v>
      </c>
      <c r="F35" s="338">
        <v>4.7119999999999997</v>
      </c>
      <c r="G35" s="338">
        <v>4.7119999999999997</v>
      </c>
      <c r="H35" s="338">
        <v>4.7119999999999997</v>
      </c>
      <c r="I35" s="338">
        <v>4.7119999999999997</v>
      </c>
      <c r="K35" s="252">
        <v>163.1</v>
      </c>
    </row>
    <row r="36" spans="1:11" ht="20.149999999999999" customHeight="1">
      <c r="A36" s="337" t="s">
        <v>200</v>
      </c>
      <c r="B36" s="337" t="s">
        <v>240</v>
      </c>
      <c r="C36" s="338">
        <v>2.794</v>
      </c>
      <c r="D36" s="338">
        <v>2.794</v>
      </c>
      <c r="E36" s="338">
        <v>2.794</v>
      </c>
      <c r="F36" s="338">
        <v>2.794</v>
      </c>
      <c r="G36" s="338">
        <v>2.794</v>
      </c>
      <c r="H36" s="338">
        <v>2.794</v>
      </c>
      <c r="I36" s="338">
        <v>2.794</v>
      </c>
      <c r="K36" s="252">
        <v>516.34</v>
      </c>
    </row>
    <row r="37" spans="1:11" ht="20.149999999999999" customHeight="1">
      <c r="A37" s="337" t="s">
        <v>201</v>
      </c>
      <c r="B37" s="337" t="s">
        <v>241</v>
      </c>
      <c r="C37" s="338">
        <v>2.7509999999999999</v>
      </c>
      <c r="D37" s="338">
        <v>2.7509999999999999</v>
      </c>
      <c r="E37" s="338">
        <v>2.7509999999999999</v>
      </c>
      <c r="F37" s="338">
        <v>2.7509999999999999</v>
      </c>
      <c r="G37" s="338">
        <v>2.7509999999999999</v>
      </c>
      <c r="H37" s="338">
        <v>2.7509999999999999</v>
      </c>
      <c r="I37" s="338">
        <v>2.7509999999999999</v>
      </c>
      <c r="K37" s="252">
        <v>300.73</v>
      </c>
    </row>
    <row r="38" spans="1:11" ht="20.149999999999999" customHeight="1">
      <c r="A38" s="337" t="s">
        <v>201</v>
      </c>
      <c r="B38" s="337" t="s">
        <v>242</v>
      </c>
      <c r="C38" s="338">
        <v>6.7279999999999998</v>
      </c>
      <c r="D38" s="338">
        <v>6.7279999999999998</v>
      </c>
      <c r="E38" s="338">
        <v>6.7279999999999998</v>
      </c>
      <c r="F38" s="338">
        <v>6.7279999999999998</v>
      </c>
      <c r="G38" s="338">
        <f>F38</f>
        <v>6.7279999999999998</v>
      </c>
      <c r="H38" s="338">
        <f>G38</f>
        <v>6.7279999999999998</v>
      </c>
      <c r="I38" s="338">
        <v>2.593</v>
      </c>
      <c r="K38" s="252">
        <v>491.39</v>
      </c>
    </row>
    <row r="39" spans="1:11" ht="20.149999999999999" customHeight="1">
      <c r="A39" s="682"/>
      <c r="B39" s="682"/>
      <c r="C39" s="343">
        <f t="shared" ref="C39:I39" si="4">SUM(C4:C38)</f>
        <v>114.38447999999998</v>
      </c>
      <c r="D39" s="343">
        <f t="shared" si="4"/>
        <v>114.38447999999998</v>
      </c>
      <c r="E39" s="343">
        <f t="shared" si="4"/>
        <v>114.38447999999998</v>
      </c>
      <c r="F39" s="343">
        <f t="shared" si="4"/>
        <v>107.97099999999999</v>
      </c>
      <c r="G39" s="343">
        <f t="shared" si="4"/>
        <v>103.45700000000001</v>
      </c>
      <c r="H39" s="343">
        <f t="shared" si="4"/>
        <v>103.45700000000001</v>
      </c>
      <c r="I39" s="343">
        <f t="shared" si="4"/>
        <v>94.51900000000002</v>
      </c>
      <c r="K39" s="252">
        <f>SUM(K26:K38)</f>
        <v>4260.96</v>
      </c>
    </row>
    <row r="40" spans="1:11" ht="20.149999999999999" hidden="1" customHeight="1">
      <c r="E40" s="526" t="s">
        <v>1103</v>
      </c>
      <c r="F40" s="527">
        <f>C39-F39</f>
        <v>6.4134799999999927</v>
      </c>
      <c r="I40" s="527">
        <f>F39-I39</f>
        <v>13.45199999999997</v>
      </c>
    </row>
    <row r="41" spans="1:11" ht="20.149999999999999" hidden="1" customHeight="1">
      <c r="E41" s="528" t="s">
        <v>1099</v>
      </c>
      <c r="F41" s="527">
        <f>E24</f>
        <v>5.0114799999999997</v>
      </c>
      <c r="K41" s="252" t="s">
        <v>67</v>
      </c>
    </row>
    <row r="42" spans="1:11" ht="20.149999999999999" hidden="1" customHeight="1">
      <c r="E42" s="528" t="s">
        <v>1102</v>
      </c>
      <c r="F42" s="527">
        <f>E30-F30</f>
        <v>1.4020000000000001</v>
      </c>
    </row>
    <row r="43" spans="1:11" ht="20.149999999999999" hidden="1" customHeight="1">
      <c r="F43" s="340"/>
    </row>
    <row r="44" spans="1:11" ht="20.149999999999999" customHeight="1">
      <c r="H44" s="340">
        <f>C39-H39</f>
        <v>10.927479999999974</v>
      </c>
      <c r="I44" s="340">
        <f>H39-I39</f>
        <v>8.9379999999999882</v>
      </c>
      <c r="K44" s="340" t="s">
        <v>67</v>
      </c>
    </row>
    <row r="45" spans="1:11" ht="20.149999999999999" customHeight="1"/>
    <row r="46" spans="1:11" ht="20.149999999999999" customHeight="1"/>
    <row r="47" spans="1:11" ht="20.149999999999999" customHeight="1"/>
    <row r="48" spans="1:11" ht="20.149999999999999" customHeight="1"/>
    <row r="49" ht="20.149999999999999" customHeight="1"/>
    <row r="50" ht="20.149999999999999" customHeight="1"/>
    <row r="51" ht="20.149999999999999" customHeight="1"/>
    <row r="52" ht="20.149999999999999" customHeight="1"/>
    <row r="53" ht="20.149999999999999" customHeight="1"/>
    <row r="54" ht="20.149999999999999" customHeight="1"/>
    <row r="55" ht="20.149999999999999" customHeight="1"/>
    <row r="56" ht="20.149999999999999" customHeight="1"/>
    <row r="57" ht="20.149999999999999" customHeight="1"/>
    <row r="58" ht="20.149999999999999" customHeight="1"/>
    <row r="59" ht="20.149999999999999" customHeight="1"/>
    <row r="60" ht="20.149999999999999" customHeight="1"/>
    <row r="61" ht="20.149999999999999" customHeight="1"/>
    <row r="62" ht="20.149999999999999" customHeight="1"/>
    <row r="63" ht="20.149999999999999" customHeight="1"/>
    <row r="64" ht="20.149999999999999" customHeight="1"/>
    <row r="65" ht="20.149999999999999" customHeight="1"/>
    <row r="66" ht="20.149999999999999" customHeight="1"/>
    <row r="67" ht="20.149999999999999" customHeight="1"/>
    <row r="68" ht="20.149999999999999" customHeight="1"/>
    <row r="69" ht="20.149999999999999" customHeight="1"/>
    <row r="70" ht="20.149999999999999" customHeight="1"/>
    <row r="71" ht="20.149999999999999" customHeight="1"/>
    <row r="72" ht="20.149999999999999" customHeight="1"/>
    <row r="73" ht="20.149999999999999" customHeight="1"/>
    <row r="74" ht="20.149999999999999" customHeight="1"/>
    <row r="75" ht="20.149999999999999" customHeight="1"/>
    <row r="76" ht="20.149999999999999" customHeight="1"/>
    <row r="77" ht="20.149999999999999" customHeight="1"/>
    <row r="78" ht="20.149999999999999" customHeight="1"/>
    <row r="79" ht="20.149999999999999" customHeight="1"/>
    <row r="80" ht="20.149999999999999" customHeight="1"/>
    <row r="81" ht="20.149999999999999" customHeight="1"/>
    <row r="82" ht="20.149999999999999" customHeight="1"/>
    <row r="83" ht="20.149999999999999" customHeight="1"/>
    <row r="84" ht="20.149999999999999" customHeight="1"/>
    <row r="85" ht="20.149999999999999" customHeight="1"/>
    <row r="86" ht="20.149999999999999" customHeight="1"/>
    <row r="87" ht="20.149999999999999" customHeight="1"/>
    <row r="88" ht="20.149999999999999" customHeight="1"/>
    <row r="89" ht="20.149999999999999" customHeight="1"/>
    <row r="90" ht="20.149999999999999" customHeight="1"/>
    <row r="91" ht="20.149999999999999" customHeight="1"/>
    <row r="92" ht="20.149999999999999" customHeight="1"/>
    <row r="93" ht="20.149999999999999" customHeight="1"/>
    <row r="94" ht="20.149999999999999" customHeight="1"/>
    <row r="95" ht="20.149999999999999" customHeight="1"/>
    <row r="96" ht="20.149999999999999" customHeight="1"/>
    <row r="97" ht="20.149999999999999" customHeight="1"/>
    <row r="98" ht="20.149999999999999" customHeight="1"/>
    <row r="99" ht="20.149999999999999" customHeight="1"/>
    <row r="100" ht="20.149999999999999" customHeight="1"/>
    <row r="101" ht="20.149999999999999" customHeight="1"/>
    <row r="102" ht="20.149999999999999" customHeight="1"/>
    <row r="103" ht="20.149999999999999" customHeight="1"/>
    <row r="104" ht="20.149999999999999" customHeight="1"/>
    <row r="105" ht="20.149999999999999" customHeight="1"/>
    <row r="106" ht="20.149999999999999" customHeight="1"/>
    <row r="107" ht="20.149999999999999" customHeight="1"/>
    <row r="108" ht="20.149999999999999" customHeight="1"/>
    <row r="109" ht="20.149999999999999" customHeight="1"/>
    <row r="110" ht="20.149999999999999" customHeight="1"/>
    <row r="111" ht="20.149999999999999" customHeight="1"/>
    <row r="112" ht="20.149999999999999" customHeight="1"/>
    <row r="113" ht="20.149999999999999" customHeight="1"/>
    <row r="114" ht="20.149999999999999" customHeight="1"/>
    <row r="115" ht="20.149999999999999" customHeight="1"/>
    <row r="116" ht="20.149999999999999" customHeight="1"/>
    <row r="117" ht="20.149999999999999" customHeight="1"/>
    <row r="118" ht="20.149999999999999" customHeight="1"/>
    <row r="119" ht="20.149999999999999" customHeight="1"/>
    <row r="120" ht="20.149999999999999" customHeight="1"/>
    <row r="121" ht="20.149999999999999" customHeight="1"/>
    <row r="122" ht="20.149999999999999" customHeight="1"/>
    <row r="123" ht="20.149999999999999" customHeight="1"/>
    <row r="124" ht="20.149999999999999" customHeight="1"/>
    <row r="125" ht="20.149999999999999" customHeight="1"/>
    <row r="126" ht="20.149999999999999" customHeight="1"/>
    <row r="127" ht="20.149999999999999" customHeight="1"/>
    <row r="128" ht="20.149999999999999" customHeight="1"/>
    <row r="129" ht="20.149999999999999" customHeight="1"/>
    <row r="130" ht="20.149999999999999" customHeight="1"/>
    <row r="131" ht="20.149999999999999" customHeight="1"/>
    <row r="132" ht="20.149999999999999" customHeight="1"/>
    <row r="133" ht="20.149999999999999" customHeight="1"/>
    <row r="134" ht="20.149999999999999" customHeight="1"/>
    <row r="135" ht="20.149999999999999" customHeight="1"/>
    <row r="136" ht="20.149999999999999" customHeight="1"/>
    <row r="137" ht="20.149999999999999" customHeight="1"/>
    <row r="138" ht="20.149999999999999" customHeight="1"/>
    <row r="139" ht="20.149999999999999" customHeight="1"/>
    <row r="140" ht="20.149999999999999" customHeight="1"/>
    <row r="141" ht="20.149999999999999" customHeight="1"/>
    <row r="142" ht="20.149999999999999" customHeight="1"/>
    <row r="143" ht="20.149999999999999" customHeight="1"/>
    <row r="144" ht="20.149999999999999" customHeight="1"/>
    <row r="145" spans="9:9" ht="20.149999999999999" customHeight="1"/>
    <row r="146" spans="9:9" ht="20.149999999999999" customHeight="1"/>
    <row r="147" spans="9:9" ht="20.149999999999999" customHeight="1"/>
    <row r="148" spans="9:9" ht="20.149999999999999" customHeight="1"/>
    <row r="149" spans="9:9" ht="20.149999999999999" customHeight="1"/>
    <row r="150" spans="9:9" ht="20.149999999999999" customHeight="1"/>
    <row r="151" spans="9:9" ht="20.149999999999999" customHeight="1"/>
    <row r="152" spans="9:9" ht="20.149999999999999" customHeight="1"/>
    <row r="153" spans="9:9" ht="20.149999999999999" customHeight="1"/>
    <row r="154" spans="9:9" ht="20.149999999999999" customHeight="1">
      <c r="I154" s="340"/>
    </row>
  </sheetData>
  <mergeCells count="7">
    <mergeCell ref="A1:I1"/>
    <mergeCell ref="G2:I2"/>
    <mergeCell ref="A39:B39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FF00"/>
  </sheetPr>
  <dimension ref="A1:F45"/>
  <sheetViews>
    <sheetView topLeftCell="A2" zoomScaleNormal="100" workbookViewId="0">
      <selection activeCell="G2" sqref="G2:I2"/>
    </sheetView>
  </sheetViews>
  <sheetFormatPr defaultColWidth="12.81640625" defaultRowHeight="15.5"/>
  <cols>
    <col min="1" max="1" width="12.81640625" style="344"/>
    <col min="2" max="2" width="25.26953125" style="344" bestFit="1" customWidth="1"/>
    <col min="3" max="4" width="12.81640625" style="344"/>
    <col min="5" max="5" width="30.26953125" style="344" bestFit="1" customWidth="1"/>
    <col min="6" max="16384" width="12.81640625" style="344"/>
  </cols>
  <sheetData>
    <row r="1" spans="1:6">
      <c r="A1" s="471"/>
      <c r="B1" s="472"/>
      <c r="C1" s="472"/>
      <c r="D1" s="473" t="s">
        <v>2</v>
      </c>
      <c r="E1" s="474">
        <f>+'AOTL - KEC'!M1</f>
        <v>46246</v>
      </c>
    </row>
    <row r="2" spans="1:6">
      <c r="A2" s="475"/>
      <c r="E2" s="476"/>
    </row>
    <row r="3" spans="1:6">
      <c r="A3" s="685" t="s">
        <v>243</v>
      </c>
      <c r="B3" s="686"/>
      <c r="C3" s="686"/>
      <c r="D3" s="686"/>
      <c r="E3" s="687"/>
    </row>
    <row r="4" spans="1:6" s="346" customFormat="1" ht="22.4" customHeight="1">
      <c r="A4" s="477" t="s">
        <v>244</v>
      </c>
      <c r="B4" s="345" t="s">
        <v>245</v>
      </c>
      <c r="C4" s="345" t="s">
        <v>246</v>
      </c>
      <c r="D4" s="345" t="s">
        <v>247</v>
      </c>
      <c r="E4" s="478" t="s">
        <v>33</v>
      </c>
    </row>
    <row r="5" spans="1:6" s="350" customFormat="1" ht="27.65" customHeight="1">
      <c r="A5" s="479">
        <v>1</v>
      </c>
      <c r="B5" s="348" t="s">
        <v>248</v>
      </c>
      <c r="C5" s="347" t="s">
        <v>249</v>
      </c>
      <c r="D5" s="349">
        <f>'Survey Anx'!C39</f>
        <v>114.38447999999998</v>
      </c>
      <c r="E5" s="480"/>
    </row>
    <row r="6" spans="1:6" s="350" customFormat="1" ht="27.65" customHeight="1">
      <c r="A6" s="479">
        <v>2</v>
      </c>
      <c r="B6" s="348" t="s">
        <v>250</v>
      </c>
      <c r="C6" s="347" t="s">
        <v>249</v>
      </c>
      <c r="D6" s="349">
        <f>'Survey Anx'!D39</f>
        <v>114.38447999999998</v>
      </c>
      <c r="E6" s="480"/>
    </row>
    <row r="7" spans="1:6" s="350" customFormat="1" ht="27.65" customHeight="1">
      <c r="A7" s="479">
        <v>3</v>
      </c>
      <c r="B7" s="348" t="s">
        <v>28</v>
      </c>
      <c r="C7" s="347" t="s">
        <v>249</v>
      </c>
      <c r="D7" s="349">
        <f>D5-D6</f>
        <v>0</v>
      </c>
      <c r="E7" s="480" t="s">
        <v>251</v>
      </c>
      <c r="F7" s="351"/>
    </row>
    <row r="8" spans="1:6" s="350" customFormat="1" ht="27.65" customHeight="1">
      <c r="A8" s="479">
        <v>4</v>
      </c>
      <c r="B8" s="348" t="s">
        <v>252</v>
      </c>
      <c r="C8" s="347" t="s">
        <v>249</v>
      </c>
      <c r="D8" s="349">
        <f>'Survey Anx'!F39</f>
        <v>107.97099999999999</v>
      </c>
      <c r="E8" s="480"/>
    </row>
    <row r="9" spans="1:6" s="350" customFormat="1" ht="27.65" customHeight="1">
      <c r="A9" s="479">
        <v>5</v>
      </c>
      <c r="B9" s="348" t="s">
        <v>29</v>
      </c>
      <c r="C9" s="347" t="s">
        <v>249</v>
      </c>
      <c r="D9" s="349">
        <f>Survey!D6-Survey!D8</f>
        <v>6.4134799999999927</v>
      </c>
      <c r="E9" s="480" t="s">
        <v>253</v>
      </c>
    </row>
    <row r="10" spans="1:6" s="350" customFormat="1" ht="27.65" customHeight="1">
      <c r="A10" s="479">
        <v>6</v>
      </c>
      <c r="B10" s="348" t="s">
        <v>254</v>
      </c>
      <c r="C10" s="347" t="s">
        <v>249</v>
      </c>
      <c r="D10" s="349">
        <f>'Survey Anx'!G39</f>
        <v>103.45700000000001</v>
      </c>
      <c r="E10" s="481"/>
      <c r="F10" s="352"/>
    </row>
    <row r="11" spans="1:6" s="350" customFormat="1" ht="27.65" customHeight="1">
      <c r="A11" s="479">
        <v>7</v>
      </c>
      <c r="B11" s="348" t="s">
        <v>255</v>
      </c>
      <c r="C11" s="347" t="s">
        <v>249</v>
      </c>
      <c r="D11" s="349">
        <f>'Survey Anx'!I39</f>
        <v>94.51900000000002</v>
      </c>
      <c r="E11" s="480"/>
      <c r="F11" s="351"/>
    </row>
    <row r="12" spans="1:6" s="350" customFormat="1" ht="27.65" customHeight="1">
      <c r="A12" s="479">
        <v>8</v>
      </c>
      <c r="B12" s="348" t="s">
        <v>29</v>
      </c>
      <c r="C12" s="347" t="s">
        <v>249</v>
      </c>
      <c r="D12" s="349">
        <f>D10-D11</f>
        <v>8.9379999999999882</v>
      </c>
      <c r="E12" s="480"/>
    </row>
    <row r="13" spans="1:6" s="350" customFormat="1" ht="27.65" customHeight="1" thickBot="1">
      <c r="A13" s="482">
        <v>9</v>
      </c>
      <c r="B13" s="483" t="s">
        <v>256</v>
      </c>
      <c r="C13" s="484" t="s">
        <v>249</v>
      </c>
      <c r="D13" s="485">
        <f>D6-D10</f>
        <v>10.927479999999974</v>
      </c>
      <c r="E13" s="486"/>
    </row>
    <row r="14" spans="1:6" s="350" customFormat="1" ht="22.4" customHeight="1"/>
    <row r="15" spans="1:6">
      <c r="D15" s="353"/>
      <c r="E15" s="353"/>
    </row>
    <row r="16" spans="1:6">
      <c r="D16" s="353"/>
      <c r="E16" s="353"/>
    </row>
    <row r="17" spans="4:5">
      <c r="D17" s="353"/>
      <c r="E17" s="353"/>
    </row>
    <row r="18" spans="4:5">
      <c r="D18" s="353"/>
      <c r="E18" s="353"/>
    </row>
    <row r="19" spans="4:5">
      <c r="D19" s="353"/>
      <c r="E19" s="353"/>
    </row>
    <row r="20" spans="4:5">
      <c r="D20" s="353"/>
      <c r="E20" s="353"/>
    </row>
    <row r="21" spans="4:5">
      <c r="D21" s="353"/>
      <c r="E21" s="353"/>
    </row>
    <row r="22" spans="4:5">
      <c r="D22" s="353"/>
      <c r="E22" s="353"/>
    </row>
    <row r="23" spans="4:5">
      <c r="D23" s="353"/>
      <c r="E23" s="353"/>
    </row>
    <row r="24" spans="4:5">
      <c r="D24" s="353"/>
      <c r="E24" s="353"/>
    </row>
    <row r="25" spans="4:5">
      <c r="D25" s="353"/>
      <c r="E25" s="353"/>
    </row>
    <row r="26" spans="4:5">
      <c r="D26" s="353"/>
      <c r="E26" s="353"/>
    </row>
    <row r="27" spans="4:5">
      <c r="D27" s="353"/>
      <c r="E27" s="353"/>
    </row>
    <row r="28" spans="4:5">
      <c r="D28" s="353"/>
      <c r="E28" s="353"/>
    </row>
    <row r="29" spans="4:5">
      <c r="D29" s="353"/>
      <c r="E29" s="353"/>
    </row>
    <row r="30" spans="4:5">
      <c r="D30" s="353"/>
      <c r="E30" s="353"/>
    </row>
    <row r="31" spans="4:5">
      <c r="D31" s="353"/>
      <c r="E31" s="353"/>
    </row>
    <row r="32" spans="4:5">
      <c r="D32" s="353"/>
      <c r="E32" s="353"/>
    </row>
    <row r="33" spans="4:5">
      <c r="D33" s="353"/>
      <c r="E33" s="353"/>
    </row>
    <row r="34" spans="4:5">
      <c r="D34" s="353"/>
      <c r="E34" s="353"/>
    </row>
    <row r="35" spans="4:5">
      <c r="D35" s="353"/>
      <c r="E35" s="353"/>
    </row>
    <row r="36" spans="4:5">
      <c r="D36" s="353"/>
      <c r="E36" s="353"/>
    </row>
    <row r="37" spans="4:5">
      <c r="D37" s="353"/>
      <c r="E37" s="353"/>
    </row>
    <row r="38" spans="4:5">
      <c r="D38" s="353"/>
      <c r="E38" s="353"/>
    </row>
    <row r="39" spans="4:5">
      <c r="D39" s="353"/>
      <c r="E39" s="353"/>
    </row>
    <row r="40" spans="4:5">
      <c r="D40" s="353"/>
      <c r="E40" s="353"/>
    </row>
    <row r="41" spans="4:5">
      <c r="D41" s="353"/>
      <c r="E41" s="353"/>
    </row>
    <row r="42" spans="4:5">
      <c r="D42" s="353"/>
      <c r="E42" s="353"/>
    </row>
    <row r="43" spans="4:5">
      <c r="D43" s="353"/>
      <c r="E43" s="353"/>
    </row>
    <row r="44" spans="4:5">
      <c r="D44" s="353"/>
      <c r="E44" s="353"/>
    </row>
    <row r="45" spans="4:5">
      <c r="D45" s="353"/>
      <c r="E45" s="353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5CD6-295A-45C1-BBB6-D268B9B57855}">
  <sheetPr codeName="Sheet10">
    <tabColor rgb="FF00FF00"/>
  </sheetPr>
  <dimension ref="A1:K35"/>
  <sheetViews>
    <sheetView topLeftCell="A14" zoomScaleNormal="100" zoomScaleSheetLayoutView="101" workbookViewId="0">
      <selection activeCell="A13" sqref="A13:XFD13"/>
    </sheetView>
  </sheetViews>
  <sheetFormatPr defaultColWidth="8.81640625" defaultRowHeight="15.5"/>
  <cols>
    <col min="1" max="1" width="8.81640625" style="249"/>
    <col min="2" max="2" width="14.1796875" style="249" bestFit="1" customWidth="1"/>
    <col min="3" max="3" width="13.453125" style="249" bestFit="1" customWidth="1"/>
    <col min="4" max="4" width="3.453125" style="249" bestFit="1" customWidth="1"/>
    <col min="5" max="5" width="6.54296875" style="249" customWidth="1"/>
    <col min="6" max="6" width="33.7265625" style="249" customWidth="1"/>
    <col min="7" max="7" width="22.54296875" style="249" bestFit="1" customWidth="1"/>
    <col min="8" max="8" width="15.26953125" style="113" customWidth="1"/>
    <col min="9" max="9" width="17.54296875" style="113" customWidth="1"/>
    <col min="10" max="10" width="16.81640625" style="113" hidden="1" customWidth="1"/>
    <col min="11" max="11" width="16.81640625" style="249" hidden="1" customWidth="1"/>
    <col min="12" max="16384" width="8.81640625" style="249"/>
  </cols>
  <sheetData>
    <row r="1" spans="1:11" ht="14.9" customHeight="1">
      <c r="A1" s="688" t="s">
        <v>257</v>
      </c>
      <c r="B1" s="688"/>
      <c r="C1" s="688"/>
      <c r="D1" s="688"/>
      <c r="E1" s="688"/>
      <c r="F1" s="688"/>
      <c r="G1" s="688"/>
      <c r="H1" s="688"/>
      <c r="I1" s="354"/>
      <c r="J1" s="355"/>
    </row>
    <row r="2" spans="1:11" ht="31">
      <c r="A2" s="356" t="s">
        <v>244</v>
      </c>
      <c r="B2" s="356" t="s">
        <v>258</v>
      </c>
      <c r="C2" s="356" t="s">
        <v>259</v>
      </c>
      <c r="D2" s="356" t="s">
        <v>260</v>
      </c>
      <c r="E2" s="356" t="s">
        <v>261</v>
      </c>
      <c r="F2" s="356" t="s">
        <v>262</v>
      </c>
      <c r="G2" s="356" t="s">
        <v>263</v>
      </c>
      <c r="H2" s="356" t="s">
        <v>264</v>
      </c>
      <c r="I2" s="356" t="s">
        <v>33</v>
      </c>
      <c r="J2" s="356" t="s">
        <v>265</v>
      </c>
      <c r="K2" s="356" t="s">
        <v>266</v>
      </c>
    </row>
    <row r="3" spans="1:11">
      <c r="A3" s="357">
        <v>1</v>
      </c>
      <c r="B3" s="357" t="s">
        <v>267</v>
      </c>
      <c r="C3" s="358" t="s">
        <v>268</v>
      </c>
      <c r="D3" s="357"/>
      <c r="E3" s="357">
        <v>10</v>
      </c>
      <c r="F3" s="374" t="s">
        <v>207</v>
      </c>
      <c r="G3" s="375" t="s">
        <v>269</v>
      </c>
      <c r="H3" s="359">
        <v>45802</v>
      </c>
      <c r="I3" s="359"/>
      <c r="J3" s="359" t="s">
        <v>270</v>
      </c>
      <c r="K3" s="375" t="s">
        <v>271</v>
      </c>
    </row>
    <row r="4" spans="1:11">
      <c r="A4" s="357">
        <f>A3+1</f>
        <v>2</v>
      </c>
      <c r="B4" s="357" t="s">
        <v>272</v>
      </c>
      <c r="C4" s="372" t="s">
        <v>273</v>
      </c>
      <c r="D4" s="357"/>
      <c r="E4" s="357">
        <v>20</v>
      </c>
      <c r="F4" s="374" t="s">
        <v>207</v>
      </c>
      <c r="G4" s="375" t="s">
        <v>274</v>
      </c>
      <c r="H4" s="359">
        <v>46173</v>
      </c>
      <c r="I4" s="375" t="s">
        <v>275</v>
      </c>
      <c r="J4" s="362" t="s">
        <v>270</v>
      </c>
      <c r="K4" s="376" t="s">
        <v>276</v>
      </c>
    </row>
    <row r="5" spans="1:11">
      <c r="A5" s="357">
        <f t="shared" ref="A5:A34" si="0">A4+1</f>
        <v>3</v>
      </c>
      <c r="B5" s="357" t="s">
        <v>277</v>
      </c>
      <c r="C5" s="372" t="s">
        <v>278</v>
      </c>
      <c r="D5" s="357"/>
      <c r="E5" s="357">
        <v>20</v>
      </c>
      <c r="F5" s="374" t="s">
        <v>207</v>
      </c>
      <c r="G5" s="375" t="s">
        <v>279</v>
      </c>
      <c r="H5" s="359">
        <v>46173</v>
      </c>
      <c r="I5" s="497" t="s">
        <v>280</v>
      </c>
      <c r="J5" s="362" t="s">
        <v>270</v>
      </c>
      <c r="K5" s="376" t="s">
        <v>276</v>
      </c>
    </row>
    <row r="6" spans="1:11">
      <c r="A6" s="357">
        <f t="shared" si="0"/>
        <v>4</v>
      </c>
      <c r="B6" s="357" t="s">
        <v>281</v>
      </c>
      <c r="C6" s="372" t="s">
        <v>278</v>
      </c>
      <c r="D6" s="357"/>
      <c r="E6" s="357">
        <v>20</v>
      </c>
      <c r="F6" s="374" t="s">
        <v>207</v>
      </c>
      <c r="G6" s="375" t="s">
        <v>282</v>
      </c>
      <c r="H6" s="359">
        <v>46173</v>
      </c>
      <c r="I6" s="375" t="s">
        <v>283</v>
      </c>
      <c r="J6" s="362" t="s">
        <v>270</v>
      </c>
      <c r="K6" s="376" t="s">
        <v>276</v>
      </c>
    </row>
    <row r="7" spans="1:11">
      <c r="A7" s="357">
        <f t="shared" si="0"/>
        <v>5</v>
      </c>
      <c r="B7" s="357" t="s">
        <v>284</v>
      </c>
      <c r="C7" s="372" t="s">
        <v>285</v>
      </c>
      <c r="D7" s="357"/>
      <c r="E7" s="357">
        <v>20</v>
      </c>
      <c r="F7" s="374" t="s">
        <v>207</v>
      </c>
      <c r="G7" s="375" t="s">
        <v>282</v>
      </c>
      <c r="H7" s="359">
        <v>46173</v>
      </c>
      <c r="I7" s="497" t="s">
        <v>280</v>
      </c>
      <c r="J7" s="362" t="s">
        <v>270</v>
      </c>
      <c r="K7" s="376" t="s">
        <v>276</v>
      </c>
    </row>
    <row r="8" spans="1:11">
      <c r="A8" s="363">
        <f t="shared" si="0"/>
        <v>6</v>
      </c>
      <c r="B8" s="363" t="s">
        <v>286</v>
      </c>
      <c r="C8" s="364"/>
      <c r="D8" s="363"/>
      <c r="E8" s="363">
        <v>10</v>
      </c>
      <c r="F8" s="377" t="s">
        <v>207</v>
      </c>
      <c r="G8" s="378" t="s">
        <v>269</v>
      </c>
      <c r="H8" s="365">
        <v>45802</v>
      </c>
      <c r="I8" s="365" t="s">
        <v>287</v>
      </c>
      <c r="J8" s="250" t="s">
        <v>270</v>
      </c>
      <c r="K8" s="251" t="s">
        <v>271</v>
      </c>
    </row>
    <row r="9" spans="1:11">
      <c r="A9" s="366"/>
      <c r="B9" s="366" t="s">
        <v>288</v>
      </c>
      <c r="C9" s="367"/>
      <c r="D9" s="366"/>
      <c r="E9" s="366"/>
      <c r="F9" s="379"/>
      <c r="G9" s="380"/>
      <c r="H9" s="367"/>
      <c r="I9" s="368" t="s">
        <v>287</v>
      </c>
      <c r="J9" s="250" t="s">
        <v>270</v>
      </c>
      <c r="K9" s="251"/>
    </row>
    <row r="10" spans="1:11" ht="15.65" customHeight="1">
      <c r="A10" s="357">
        <f>A8+1</f>
        <v>7</v>
      </c>
      <c r="B10" s="357" t="s">
        <v>289</v>
      </c>
      <c r="C10" s="372" t="s">
        <v>290</v>
      </c>
      <c r="D10" s="358"/>
      <c r="E10" s="358">
        <v>10</v>
      </c>
      <c r="F10" s="374" t="s">
        <v>207</v>
      </c>
      <c r="G10" s="375" t="s">
        <v>274</v>
      </c>
      <c r="H10" s="359">
        <v>46160</v>
      </c>
      <c r="I10" s="358"/>
      <c r="J10" s="362" t="s">
        <v>270</v>
      </c>
      <c r="K10" s="369" t="s">
        <v>271</v>
      </c>
    </row>
    <row r="11" spans="1:11">
      <c r="A11" s="357">
        <f t="shared" si="0"/>
        <v>8</v>
      </c>
      <c r="B11" s="358" t="s">
        <v>291</v>
      </c>
      <c r="C11" s="372" t="s">
        <v>292</v>
      </c>
      <c r="D11" s="358"/>
      <c r="E11" s="358">
        <v>40</v>
      </c>
      <c r="F11" s="374" t="s">
        <v>207</v>
      </c>
      <c r="G11" s="375" t="s">
        <v>293</v>
      </c>
      <c r="H11" s="359">
        <v>46092</v>
      </c>
      <c r="I11" s="359"/>
      <c r="J11" s="359" t="s">
        <v>270</v>
      </c>
      <c r="K11" s="375" t="s">
        <v>271</v>
      </c>
    </row>
    <row r="12" spans="1:11" ht="15.65" customHeight="1">
      <c r="A12" s="357">
        <f t="shared" si="0"/>
        <v>9</v>
      </c>
      <c r="B12" s="358" t="s">
        <v>294</v>
      </c>
      <c r="C12" s="372" t="s">
        <v>295</v>
      </c>
      <c r="D12" s="358"/>
      <c r="E12" s="358">
        <v>40</v>
      </c>
      <c r="F12" s="374" t="s">
        <v>207</v>
      </c>
      <c r="G12" s="375" t="s">
        <v>293</v>
      </c>
      <c r="H12" s="359">
        <v>46160</v>
      </c>
      <c r="I12" s="358"/>
      <c r="J12" s="359" t="s">
        <v>270</v>
      </c>
      <c r="K12" s="375" t="s">
        <v>271</v>
      </c>
    </row>
    <row r="13" spans="1:11">
      <c r="A13" s="357">
        <f t="shared" si="0"/>
        <v>10</v>
      </c>
      <c r="B13" s="357" t="s">
        <v>296</v>
      </c>
      <c r="C13" s="372" t="s">
        <v>295</v>
      </c>
      <c r="D13" s="358"/>
      <c r="E13" s="358">
        <v>10</v>
      </c>
      <c r="F13" s="374" t="s">
        <v>207</v>
      </c>
      <c r="G13" s="375" t="s">
        <v>269</v>
      </c>
      <c r="H13" s="358"/>
      <c r="I13" s="358"/>
      <c r="J13" s="359" t="s">
        <v>270</v>
      </c>
      <c r="K13" s="375" t="s">
        <v>271</v>
      </c>
    </row>
    <row r="14" spans="1:11">
      <c r="A14" s="357">
        <f t="shared" si="0"/>
        <v>11</v>
      </c>
      <c r="B14" s="357" t="s">
        <v>297</v>
      </c>
      <c r="C14" s="372" t="s">
        <v>298</v>
      </c>
      <c r="D14" s="358"/>
      <c r="E14" s="358">
        <v>10</v>
      </c>
      <c r="F14" s="374" t="s">
        <v>207</v>
      </c>
      <c r="G14" s="375" t="s">
        <v>269</v>
      </c>
      <c r="H14" s="359">
        <v>45802</v>
      </c>
      <c r="I14" s="359"/>
      <c r="J14" s="359" t="s">
        <v>270</v>
      </c>
      <c r="K14" s="375" t="s">
        <v>271</v>
      </c>
    </row>
    <row r="15" spans="1:11">
      <c r="A15" s="357">
        <f t="shared" si="0"/>
        <v>12</v>
      </c>
      <c r="B15" s="357" t="s">
        <v>299</v>
      </c>
      <c r="C15" s="358" t="s">
        <v>300</v>
      </c>
      <c r="D15" s="358"/>
      <c r="E15" s="358">
        <v>10</v>
      </c>
      <c r="F15" s="374" t="s">
        <v>207</v>
      </c>
      <c r="G15" s="375" t="s">
        <v>269</v>
      </c>
      <c r="H15" s="359">
        <v>45802</v>
      </c>
      <c r="I15" s="359"/>
      <c r="J15" s="359" t="s">
        <v>270</v>
      </c>
      <c r="K15" s="375" t="s">
        <v>271</v>
      </c>
    </row>
    <row r="16" spans="1:11">
      <c r="A16" s="357">
        <f t="shared" si="0"/>
        <v>13</v>
      </c>
      <c r="B16" s="357" t="s">
        <v>301</v>
      </c>
      <c r="C16" s="358" t="s">
        <v>302</v>
      </c>
      <c r="D16" s="358"/>
      <c r="E16" s="358">
        <v>10</v>
      </c>
      <c r="F16" s="374" t="s">
        <v>207</v>
      </c>
      <c r="G16" s="375" t="s">
        <v>303</v>
      </c>
      <c r="H16" s="359">
        <v>45802</v>
      </c>
      <c r="I16" s="359"/>
      <c r="J16" s="359" t="s">
        <v>270</v>
      </c>
      <c r="K16" s="375" t="s">
        <v>271</v>
      </c>
    </row>
    <row r="17" spans="1:11">
      <c r="A17" s="357">
        <f t="shared" si="0"/>
        <v>14</v>
      </c>
      <c r="B17" s="357" t="s">
        <v>304</v>
      </c>
      <c r="C17" s="358" t="s">
        <v>305</v>
      </c>
      <c r="D17" s="358"/>
      <c r="E17" s="358">
        <v>10</v>
      </c>
      <c r="F17" s="374" t="s">
        <v>207</v>
      </c>
      <c r="G17" s="375" t="s">
        <v>306</v>
      </c>
      <c r="H17" s="359">
        <v>45802</v>
      </c>
      <c r="I17" s="359"/>
      <c r="J17" s="359" t="s">
        <v>270</v>
      </c>
      <c r="K17" s="375" t="s">
        <v>271</v>
      </c>
    </row>
    <row r="18" spans="1:11">
      <c r="A18" s="357">
        <f t="shared" si="0"/>
        <v>15</v>
      </c>
      <c r="B18" s="357" t="s">
        <v>307</v>
      </c>
      <c r="C18" s="358" t="s">
        <v>300</v>
      </c>
      <c r="D18" s="358"/>
      <c r="E18" s="358">
        <v>10</v>
      </c>
      <c r="F18" s="374" t="s">
        <v>207</v>
      </c>
      <c r="G18" s="375" t="s">
        <v>303</v>
      </c>
      <c r="H18" s="359">
        <v>45802</v>
      </c>
      <c r="I18" s="359"/>
      <c r="J18" s="359" t="s">
        <v>270</v>
      </c>
      <c r="K18" s="375" t="s">
        <v>271</v>
      </c>
    </row>
    <row r="19" spans="1:11" ht="15" customHeight="1">
      <c r="A19" s="357">
        <f t="shared" si="0"/>
        <v>16</v>
      </c>
      <c r="B19" s="357" t="s">
        <v>308</v>
      </c>
      <c r="C19" s="358" t="s">
        <v>309</v>
      </c>
      <c r="D19" s="358"/>
      <c r="E19" s="358">
        <v>10</v>
      </c>
      <c r="F19" s="374" t="s">
        <v>207</v>
      </c>
      <c r="G19" s="375" t="s">
        <v>303</v>
      </c>
      <c r="H19" s="359">
        <v>45802</v>
      </c>
      <c r="I19" s="359"/>
      <c r="J19" s="359" t="s">
        <v>270</v>
      </c>
      <c r="K19" s="375" t="s">
        <v>271</v>
      </c>
    </row>
    <row r="20" spans="1:11">
      <c r="A20" s="357">
        <f t="shared" si="0"/>
        <v>17</v>
      </c>
      <c r="B20" s="357" t="s">
        <v>310</v>
      </c>
      <c r="C20" s="358" t="s">
        <v>305</v>
      </c>
      <c r="D20" s="358"/>
      <c r="E20" s="358">
        <v>10</v>
      </c>
      <c r="F20" s="374" t="s">
        <v>207</v>
      </c>
      <c r="G20" s="375" t="s">
        <v>303</v>
      </c>
      <c r="H20" s="359">
        <v>45802</v>
      </c>
      <c r="I20" s="359"/>
      <c r="J20" s="359" t="s">
        <v>270</v>
      </c>
      <c r="K20" s="375" t="s">
        <v>271</v>
      </c>
    </row>
    <row r="21" spans="1:11">
      <c r="A21" s="357">
        <f t="shared" si="0"/>
        <v>18</v>
      </c>
      <c r="B21" s="357" t="s">
        <v>311</v>
      </c>
      <c r="C21" s="358" t="s">
        <v>305</v>
      </c>
      <c r="D21" s="358"/>
      <c r="E21" s="358">
        <v>10</v>
      </c>
      <c r="F21" s="374" t="s">
        <v>207</v>
      </c>
      <c r="G21" s="375" t="s">
        <v>303</v>
      </c>
      <c r="H21" s="359">
        <v>45802</v>
      </c>
      <c r="I21" s="359"/>
      <c r="J21" s="359" t="s">
        <v>270</v>
      </c>
      <c r="K21" s="375" t="s">
        <v>271</v>
      </c>
    </row>
    <row r="22" spans="1:11">
      <c r="A22" s="357">
        <f t="shared" si="0"/>
        <v>19</v>
      </c>
      <c r="B22" s="357" t="s">
        <v>312</v>
      </c>
      <c r="C22" s="358"/>
      <c r="D22" s="358"/>
      <c r="E22" s="358">
        <v>10</v>
      </c>
      <c r="F22" s="374" t="s">
        <v>207</v>
      </c>
      <c r="G22" s="375" t="s">
        <v>303</v>
      </c>
      <c r="H22" s="359">
        <v>45802</v>
      </c>
      <c r="I22" s="359"/>
      <c r="J22" s="359" t="s">
        <v>270</v>
      </c>
      <c r="K22" s="375" t="s">
        <v>271</v>
      </c>
    </row>
    <row r="23" spans="1:11">
      <c r="A23" s="357">
        <f t="shared" si="0"/>
        <v>20</v>
      </c>
      <c r="B23" s="357" t="s">
        <v>313</v>
      </c>
      <c r="C23" s="358"/>
      <c r="D23" s="358"/>
      <c r="E23" s="358">
        <v>10</v>
      </c>
      <c r="F23" s="374" t="s">
        <v>207</v>
      </c>
      <c r="G23" s="375" t="s">
        <v>303</v>
      </c>
      <c r="H23" s="359">
        <v>45802</v>
      </c>
      <c r="I23" s="359"/>
      <c r="J23" s="359" t="s">
        <v>270</v>
      </c>
      <c r="K23" s="375" t="s">
        <v>271</v>
      </c>
    </row>
    <row r="24" spans="1:11" ht="15.65" customHeight="1">
      <c r="A24" s="360">
        <f t="shared" si="0"/>
        <v>21</v>
      </c>
      <c r="B24" s="360" t="s">
        <v>314</v>
      </c>
      <c r="C24" s="361" t="s">
        <v>290</v>
      </c>
      <c r="D24" s="361"/>
      <c r="E24" s="361">
        <v>10</v>
      </c>
      <c r="F24" s="373" t="s">
        <v>315</v>
      </c>
      <c r="G24" s="369"/>
      <c r="H24" s="361"/>
      <c r="I24" s="361"/>
      <c r="J24" s="362" t="s">
        <v>316</v>
      </c>
      <c r="K24" s="376" t="s">
        <v>276</v>
      </c>
    </row>
    <row r="25" spans="1:11">
      <c r="A25" s="357">
        <f t="shared" si="0"/>
        <v>22</v>
      </c>
      <c r="B25" s="358" t="s">
        <v>317</v>
      </c>
      <c r="C25" s="358" t="s">
        <v>318</v>
      </c>
      <c r="D25" s="358"/>
      <c r="E25" s="358">
        <v>40</v>
      </c>
      <c r="F25" s="374" t="s">
        <v>207</v>
      </c>
      <c r="G25" s="375" t="s">
        <v>293</v>
      </c>
      <c r="H25" s="359">
        <v>46094</v>
      </c>
      <c r="I25" s="359"/>
      <c r="J25" s="359" t="s">
        <v>270</v>
      </c>
      <c r="K25" s="375" t="s">
        <v>271</v>
      </c>
    </row>
    <row r="26" spans="1:11">
      <c r="A26" s="357">
        <f t="shared" si="0"/>
        <v>23</v>
      </c>
      <c r="B26" s="357" t="s">
        <v>319</v>
      </c>
      <c r="C26" s="358" t="s">
        <v>320</v>
      </c>
      <c r="D26" s="358"/>
      <c r="E26" s="358">
        <v>40</v>
      </c>
      <c r="F26" s="374" t="s">
        <v>207</v>
      </c>
      <c r="G26" s="375" t="s">
        <v>293</v>
      </c>
      <c r="H26" s="359">
        <v>46095</v>
      </c>
      <c r="I26" s="359"/>
      <c r="J26" s="359" t="s">
        <v>270</v>
      </c>
      <c r="K26" s="375" t="s">
        <v>271</v>
      </c>
    </row>
    <row r="27" spans="1:11">
      <c r="A27" s="357">
        <f t="shared" si="0"/>
        <v>24</v>
      </c>
      <c r="B27" s="357" t="s">
        <v>321</v>
      </c>
      <c r="C27" s="358" t="s">
        <v>322</v>
      </c>
      <c r="D27" s="358"/>
      <c r="E27" s="358">
        <v>40</v>
      </c>
      <c r="F27" s="374" t="s">
        <v>207</v>
      </c>
      <c r="G27" s="375" t="s">
        <v>293</v>
      </c>
      <c r="H27" s="359">
        <v>46095</v>
      </c>
      <c r="I27" s="359"/>
      <c r="J27" s="359" t="s">
        <v>270</v>
      </c>
      <c r="K27" s="375" t="s">
        <v>271</v>
      </c>
    </row>
    <row r="28" spans="1:11">
      <c r="A28" s="360">
        <f t="shared" si="0"/>
        <v>25</v>
      </c>
      <c r="B28" s="360" t="s">
        <v>323</v>
      </c>
      <c r="C28" s="361" t="s">
        <v>324</v>
      </c>
      <c r="D28" s="361"/>
      <c r="E28" s="361">
        <v>10</v>
      </c>
      <c r="F28" s="373" t="s">
        <v>315</v>
      </c>
      <c r="G28" s="369" t="s">
        <v>303</v>
      </c>
      <c r="H28" s="361"/>
      <c r="I28" s="361"/>
      <c r="J28" s="250" t="s">
        <v>270</v>
      </c>
      <c r="K28" s="380" t="s">
        <v>276</v>
      </c>
    </row>
    <row r="29" spans="1:11">
      <c r="A29" s="360">
        <f t="shared" si="0"/>
        <v>26</v>
      </c>
      <c r="B29" s="360" t="s">
        <v>325</v>
      </c>
      <c r="C29" s="361" t="s">
        <v>326</v>
      </c>
      <c r="D29" s="361"/>
      <c r="E29" s="361">
        <v>10</v>
      </c>
      <c r="F29" s="373" t="s">
        <v>315</v>
      </c>
      <c r="G29" s="369" t="s">
        <v>279</v>
      </c>
      <c r="H29" s="361"/>
      <c r="I29" s="361"/>
      <c r="J29" s="250" t="s">
        <v>270</v>
      </c>
      <c r="K29" s="380" t="s">
        <v>276</v>
      </c>
    </row>
    <row r="30" spans="1:11">
      <c r="A30" s="370"/>
      <c r="B30" s="370" t="s">
        <v>327</v>
      </c>
      <c r="C30" s="371"/>
      <c r="D30" s="371"/>
      <c r="E30" s="371"/>
      <c r="F30" s="245"/>
      <c r="G30" s="381"/>
      <c r="H30" s="371"/>
      <c r="I30" s="381" t="s">
        <v>328</v>
      </c>
      <c r="J30" s="250"/>
      <c r="K30" s="251"/>
    </row>
    <row r="31" spans="1:11">
      <c r="A31" s="357">
        <f>A29+1</f>
        <v>27</v>
      </c>
      <c r="B31" s="357" t="s">
        <v>329</v>
      </c>
      <c r="C31" s="358" t="s">
        <v>330</v>
      </c>
      <c r="D31" s="358"/>
      <c r="E31" s="358">
        <v>10</v>
      </c>
      <c r="F31" s="374" t="s">
        <v>207</v>
      </c>
      <c r="G31" s="375" t="s">
        <v>303</v>
      </c>
      <c r="H31" s="359">
        <v>46099</v>
      </c>
      <c r="I31" s="375" t="s">
        <v>331</v>
      </c>
      <c r="J31" s="359" t="s">
        <v>270</v>
      </c>
      <c r="K31" s="375" t="s">
        <v>271</v>
      </c>
    </row>
    <row r="32" spans="1:11">
      <c r="A32" s="357">
        <f t="shared" si="0"/>
        <v>28</v>
      </c>
      <c r="B32" s="357" t="s">
        <v>332</v>
      </c>
      <c r="C32" s="358" t="s">
        <v>300</v>
      </c>
      <c r="D32" s="358"/>
      <c r="E32" s="358">
        <v>10</v>
      </c>
      <c r="F32" s="374" t="s">
        <v>207</v>
      </c>
      <c r="G32" s="375" t="s">
        <v>303</v>
      </c>
      <c r="H32" s="359">
        <v>46099</v>
      </c>
      <c r="I32" s="359"/>
      <c r="J32" s="359" t="s">
        <v>270</v>
      </c>
      <c r="K32" s="375" t="s">
        <v>271</v>
      </c>
    </row>
    <row r="33" spans="1:11">
      <c r="A33" s="357">
        <f t="shared" si="0"/>
        <v>29</v>
      </c>
      <c r="B33" s="357" t="s">
        <v>333</v>
      </c>
      <c r="C33" s="358" t="s">
        <v>330</v>
      </c>
      <c r="D33" s="358"/>
      <c r="E33" s="358">
        <v>10</v>
      </c>
      <c r="F33" s="374" t="s">
        <v>207</v>
      </c>
      <c r="G33" s="375" t="s">
        <v>303</v>
      </c>
      <c r="H33" s="359">
        <v>46099</v>
      </c>
      <c r="I33" s="359"/>
      <c r="J33" s="359" t="s">
        <v>270</v>
      </c>
      <c r="K33" s="375" t="s">
        <v>271</v>
      </c>
    </row>
    <row r="34" spans="1:11">
      <c r="A34" s="357">
        <f t="shared" si="0"/>
        <v>30</v>
      </c>
      <c r="B34" s="357" t="s">
        <v>334</v>
      </c>
      <c r="C34" s="358" t="s">
        <v>335</v>
      </c>
      <c r="D34" s="358"/>
      <c r="E34" s="358">
        <v>10</v>
      </c>
      <c r="F34" s="374" t="s">
        <v>207</v>
      </c>
      <c r="G34" s="375" t="s">
        <v>303</v>
      </c>
      <c r="H34" s="359">
        <v>46099</v>
      </c>
      <c r="I34" s="359"/>
      <c r="J34" s="359" t="s">
        <v>270</v>
      </c>
      <c r="K34" s="375" t="s">
        <v>271</v>
      </c>
    </row>
    <row r="35" spans="1:11">
      <c r="A35" s="357"/>
      <c r="B35" s="357"/>
      <c r="C35" s="358"/>
      <c r="D35" s="358"/>
      <c r="E35" s="358"/>
      <c r="F35" s="382"/>
      <c r="G35" s="375"/>
      <c r="H35" s="358"/>
      <c r="I35" s="358"/>
      <c r="J35" s="359" t="s">
        <v>270</v>
      </c>
      <c r="K35" s="375" t="s">
        <v>271</v>
      </c>
    </row>
  </sheetData>
  <autoFilter ref="A2:I35" xr:uid="{00000000-0001-0000-0200-000000000000}"/>
  <mergeCells count="1">
    <mergeCell ref="A1:H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1">
    <tabColor rgb="FF00FF00"/>
    <pageSetUpPr fitToPage="1"/>
  </sheetPr>
  <dimension ref="A1:DRM335"/>
  <sheetViews>
    <sheetView zoomScale="67" zoomScaleNormal="67" zoomScaleSheetLayoutView="81" workbookViewId="0">
      <pane ySplit="2" topLeftCell="A94" activePane="bottomLeft" state="frozen"/>
      <selection pane="bottomLeft" activeCell="G100" sqref="G100"/>
    </sheetView>
  </sheetViews>
  <sheetFormatPr defaultColWidth="9.453125" defaultRowHeight="15.5"/>
  <cols>
    <col min="1" max="4" width="13.1796875" style="350" customWidth="1"/>
    <col min="5" max="5" width="13.1796875" style="351" customWidth="1"/>
    <col min="6" max="6" width="13.1796875" style="350" customWidth="1"/>
    <col min="7" max="7" width="17.81640625" style="420" customWidth="1"/>
    <col min="8" max="8" width="13.1796875" style="387" customWidth="1"/>
    <col min="9" max="10" width="13.1796875" style="350" customWidth="1"/>
    <col min="11" max="11" width="13.1796875" style="393" customWidth="1"/>
    <col min="12" max="14" width="13.1796875" style="350" customWidth="1"/>
    <col min="15" max="16384" width="9.453125" style="383"/>
  </cols>
  <sheetData>
    <row r="1" spans="1:16" s="395" customFormat="1">
      <c r="A1" s="689" t="s">
        <v>336</v>
      </c>
      <c r="B1" s="690"/>
      <c r="C1" s="690"/>
      <c r="D1" s="690"/>
      <c r="E1" s="690"/>
      <c r="F1" s="690"/>
      <c r="G1" s="690"/>
      <c r="H1" s="690"/>
      <c r="I1" s="690"/>
      <c r="J1" s="690"/>
      <c r="K1" s="690"/>
      <c r="L1" s="690"/>
      <c r="M1" s="691"/>
      <c r="N1" s="407">
        <f>'765KV ASOTL'!G1</f>
        <v>46246</v>
      </c>
      <c r="P1" s="395" t="s">
        <v>337</v>
      </c>
    </row>
    <row r="2" spans="1:16" s="346" customFormat="1" ht="48.5">
      <c r="A2" s="384" t="s">
        <v>244</v>
      </c>
      <c r="B2" s="384" t="s">
        <v>338</v>
      </c>
      <c r="C2" s="384" t="s">
        <v>339</v>
      </c>
      <c r="D2" s="384" t="s">
        <v>263</v>
      </c>
      <c r="E2" s="385" t="s">
        <v>340</v>
      </c>
      <c r="F2" s="384" t="s">
        <v>341</v>
      </c>
      <c r="G2" s="384" t="s">
        <v>342</v>
      </c>
      <c r="H2" s="384" t="s">
        <v>343</v>
      </c>
      <c r="I2" s="384" t="s">
        <v>344</v>
      </c>
      <c r="J2" s="384" t="s">
        <v>33</v>
      </c>
      <c r="K2" s="384" t="s">
        <v>345</v>
      </c>
      <c r="L2" s="384" t="s">
        <v>346</v>
      </c>
      <c r="M2" s="384" t="s">
        <v>347</v>
      </c>
      <c r="N2" s="384" t="s">
        <v>348</v>
      </c>
    </row>
    <row r="3" spans="1:16" ht="25.15" customHeight="1">
      <c r="A3" s="423">
        <v>1</v>
      </c>
      <c r="B3" s="423" t="s">
        <v>358</v>
      </c>
      <c r="C3" s="423" t="s">
        <v>350</v>
      </c>
      <c r="D3" s="423" t="s">
        <v>274</v>
      </c>
      <c r="E3" s="424">
        <f>5.618+57.728</f>
        <v>63.346000000000004</v>
      </c>
      <c r="F3" s="425">
        <v>45700</v>
      </c>
      <c r="G3" s="426"/>
      <c r="H3" s="423" t="s">
        <v>38</v>
      </c>
      <c r="I3" s="425">
        <v>45705</v>
      </c>
      <c r="J3" s="427"/>
      <c r="K3" s="428" t="s">
        <v>352</v>
      </c>
      <c r="L3" s="423" t="s">
        <v>353</v>
      </c>
      <c r="M3" s="425">
        <v>45720</v>
      </c>
      <c r="N3" s="423"/>
    </row>
    <row r="4" spans="1:16" ht="25.15" customHeight="1">
      <c r="A4" s="423">
        <v>2</v>
      </c>
      <c r="B4" s="423" t="s">
        <v>354</v>
      </c>
      <c r="C4" s="423" t="s">
        <v>350</v>
      </c>
      <c r="D4" s="423" t="s">
        <v>351</v>
      </c>
      <c r="E4" s="424">
        <f>3.264+35.862</f>
        <v>39.126000000000005</v>
      </c>
      <c r="F4" s="425">
        <v>45706</v>
      </c>
      <c r="G4" s="426"/>
      <c r="H4" s="423" t="s">
        <v>38</v>
      </c>
      <c r="I4" s="425">
        <v>45710</v>
      </c>
      <c r="J4" s="427"/>
      <c r="K4" s="428" t="s">
        <v>355</v>
      </c>
      <c r="L4" s="423" t="s">
        <v>353</v>
      </c>
      <c r="M4" s="425">
        <v>45717</v>
      </c>
      <c r="N4" s="423"/>
    </row>
    <row r="5" spans="1:16" ht="25.15" customHeight="1">
      <c r="A5" s="423">
        <v>3</v>
      </c>
      <c r="B5" s="423" t="s">
        <v>349</v>
      </c>
      <c r="C5" s="423" t="s">
        <v>350</v>
      </c>
      <c r="D5" s="423" t="s">
        <v>351</v>
      </c>
      <c r="E5" s="424">
        <f>3.264+35.862</f>
        <v>39.126000000000005</v>
      </c>
      <c r="F5" s="425">
        <v>45706</v>
      </c>
      <c r="G5" s="426"/>
      <c r="H5" s="423" t="s">
        <v>38</v>
      </c>
      <c r="I5" s="425">
        <v>45713</v>
      </c>
      <c r="J5" s="427"/>
      <c r="K5" s="428" t="s">
        <v>352</v>
      </c>
      <c r="L5" s="423" t="s">
        <v>353</v>
      </c>
      <c r="M5" s="425">
        <v>45715</v>
      </c>
      <c r="N5" s="423"/>
    </row>
    <row r="6" spans="1:16" ht="25.15" customHeight="1">
      <c r="A6" s="423">
        <v>4</v>
      </c>
      <c r="B6" s="423" t="s">
        <v>356</v>
      </c>
      <c r="C6" s="423" t="s">
        <v>357</v>
      </c>
      <c r="D6" s="423" t="s">
        <v>351</v>
      </c>
      <c r="E6" s="424">
        <f>3.486+37.148</f>
        <v>40.634</v>
      </c>
      <c r="F6" s="425">
        <v>45711</v>
      </c>
      <c r="G6" s="426"/>
      <c r="H6" s="423" t="s">
        <v>38</v>
      </c>
      <c r="I6" s="425">
        <v>45715</v>
      </c>
      <c r="J6" s="427"/>
      <c r="K6" s="428" t="s">
        <v>355</v>
      </c>
      <c r="L6" s="423" t="s">
        <v>353</v>
      </c>
      <c r="M6" s="425">
        <v>45717</v>
      </c>
      <c r="N6" s="423"/>
    </row>
    <row r="7" spans="1:16" ht="25.15" customHeight="1">
      <c r="A7" s="423">
        <v>5</v>
      </c>
      <c r="B7" s="423" t="s">
        <v>361</v>
      </c>
      <c r="C7" s="423" t="s">
        <v>300</v>
      </c>
      <c r="D7" s="423" t="s">
        <v>351</v>
      </c>
      <c r="E7" s="424">
        <f>5.294+57.588</f>
        <v>62.881999999999998</v>
      </c>
      <c r="F7" s="425">
        <v>45721</v>
      </c>
      <c r="G7" s="426"/>
      <c r="H7" s="423" t="s">
        <v>38</v>
      </c>
      <c r="I7" s="425">
        <v>45728</v>
      </c>
      <c r="J7" s="427"/>
      <c r="K7" s="428" t="s">
        <v>355</v>
      </c>
      <c r="L7" s="423" t="s">
        <v>353</v>
      </c>
      <c r="M7" s="425">
        <v>45732</v>
      </c>
      <c r="N7" s="423"/>
    </row>
    <row r="8" spans="1:16" ht="25.15" customHeight="1">
      <c r="A8" s="423">
        <v>6</v>
      </c>
      <c r="B8" s="423" t="s">
        <v>360</v>
      </c>
      <c r="C8" s="423" t="s">
        <v>357</v>
      </c>
      <c r="D8" s="423" t="s">
        <v>274</v>
      </c>
      <c r="E8" s="424">
        <f>5.951+59.68</f>
        <v>65.631</v>
      </c>
      <c r="F8" s="425">
        <v>45721</v>
      </c>
      <c r="G8" s="426"/>
      <c r="H8" s="423" t="s">
        <v>38</v>
      </c>
      <c r="I8" s="425">
        <v>45729</v>
      </c>
      <c r="J8" s="427"/>
      <c r="K8" s="428" t="s">
        <v>352</v>
      </c>
      <c r="L8" s="423" t="s">
        <v>353</v>
      </c>
      <c r="M8" s="425">
        <v>45731</v>
      </c>
      <c r="N8" s="423"/>
    </row>
    <row r="9" spans="1:16" ht="25.15" customHeight="1">
      <c r="A9" s="423">
        <v>7</v>
      </c>
      <c r="B9" s="423" t="s">
        <v>362</v>
      </c>
      <c r="C9" s="423" t="s">
        <v>350</v>
      </c>
      <c r="D9" s="423" t="s">
        <v>351</v>
      </c>
      <c r="E9" s="424">
        <f>3.264+35.862</f>
        <v>39.126000000000005</v>
      </c>
      <c r="F9" s="425">
        <v>45729</v>
      </c>
      <c r="G9" s="426"/>
      <c r="H9" s="423" t="s">
        <v>38</v>
      </c>
      <c r="I9" s="425">
        <v>45732</v>
      </c>
      <c r="J9" s="427"/>
      <c r="K9" s="428" t="s">
        <v>355</v>
      </c>
      <c r="L9" s="423" t="s">
        <v>353</v>
      </c>
      <c r="M9" s="425">
        <v>45733</v>
      </c>
      <c r="N9" s="423"/>
    </row>
    <row r="10" spans="1:16" ht="25.15" customHeight="1">
      <c r="A10" s="423">
        <v>8</v>
      </c>
      <c r="B10" s="423" t="s">
        <v>363</v>
      </c>
      <c r="C10" s="423" t="s">
        <v>357</v>
      </c>
      <c r="D10" s="423" t="s">
        <v>351</v>
      </c>
      <c r="E10" s="424">
        <f>3.486+37.148</f>
        <v>40.634</v>
      </c>
      <c r="F10" s="425">
        <v>45737</v>
      </c>
      <c r="G10" s="426"/>
      <c r="H10" s="423" t="s">
        <v>38</v>
      </c>
      <c r="I10" s="425">
        <v>45741</v>
      </c>
      <c r="J10" s="427"/>
      <c r="K10" s="428" t="s">
        <v>352</v>
      </c>
      <c r="L10" s="423" t="s">
        <v>353</v>
      </c>
      <c r="M10" s="425">
        <v>45744</v>
      </c>
      <c r="N10" s="423"/>
    </row>
    <row r="11" spans="1:16" ht="25.15" customHeight="1">
      <c r="A11" s="423">
        <v>9</v>
      </c>
      <c r="B11" s="423" t="s">
        <v>359</v>
      </c>
      <c r="C11" s="423" t="s">
        <v>350</v>
      </c>
      <c r="D11" s="423" t="s">
        <v>351</v>
      </c>
      <c r="E11" s="424">
        <f>3.264+35.862</f>
        <v>39.126000000000005</v>
      </c>
      <c r="F11" s="425">
        <v>45742</v>
      </c>
      <c r="G11" s="426"/>
      <c r="H11" s="423" t="s">
        <v>38</v>
      </c>
      <c r="I11" s="425">
        <v>45746</v>
      </c>
      <c r="J11" s="427"/>
      <c r="K11" s="428" t="s">
        <v>352</v>
      </c>
      <c r="L11" s="423" t="s">
        <v>353</v>
      </c>
      <c r="M11" s="425">
        <v>45750</v>
      </c>
      <c r="N11" s="423"/>
    </row>
    <row r="12" spans="1:16" ht="25.15" customHeight="1">
      <c r="A12" s="423">
        <v>10</v>
      </c>
      <c r="B12" s="423" t="s">
        <v>137</v>
      </c>
      <c r="C12" s="423" t="s">
        <v>350</v>
      </c>
      <c r="D12" s="423" t="s">
        <v>351</v>
      </c>
      <c r="E12" s="424">
        <f>3.264+35.862</f>
        <v>39.126000000000005</v>
      </c>
      <c r="F12" s="425">
        <v>45742</v>
      </c>
      <c r="G12" s="426"/>
      <c r="H12" s="423" t="s">
        <v>38</v>
      </c>
      <c r="I12" s="425">
        <v>45763</v>
      </c>
      <c r="J12" s="427"/>
      <c r="K12" s="428" t="s">
        <v>366</v>
      </c>
      <c r="L12" s="423" t="s">
        <v>353</v>
      </c>
      <c r="M12" s="425">
        <v>45783</v>
      </c>
      <c r="N12" s="423"/>
    </row>
    <row r="13" spans="1:16" ht="25.15" customHeight="1">
      <c r="A13" s="423">
        <v>11</v>
      </c>
      <c r="B13" s="423" t="s">
        <v>369</v>
      </c>
      <c r="C13" s="423" t="s">
        <v>298</v>
      </c>
      <c r="D13" s="423" t="s">
        <v>351</v>
      </c>
      <c r="E13" s="424">
        <f>11.31+166.88</f>
        <v>178.19</v>
      </c>
      <c r="F13" s="425">
        <v>45752</v>
      </c>
      <c r="G13" s="426"/>
      <c r="H13" s="423" t="s">
        <v>38</v>
      </c>
      <c r="I13" s="425">
        <v>45768</v>
      </c>
      <c r="J13" s="427"/>
      <c r="K13" s="428" t="s">
        <v>366</v>
      </c>
      <c r="L13" s="423" t="s">
        <v>353</v>
      </c>
      <c r="M13" s="425">
        <v>45788</v>
      </c>
      <c r="N13" s="423"/>
    </row>
    <row r="14" spans="1:16" ht="25.15" customHeight="1">
      <c r="A14" s="423">
        <v>12</v>
      </c>
      <c r="B14" s="423" t="s">
        <v>364</v>
      </c>
      <c r="C14" s="423" t="s">
        <v>350</v>
      </c>
      <c r="D14" s="423" t="s">
        <v>351</v>
      </c>
      <c r="E14" s="424">
        <f>3.264+35.862</f>
        <v>39.126000000000005</v>
      </c>
      <c r="F14" s="425">
        <v>45761</v>
      </c>
      <c r="G14" s="426"/>
      <c r="H14" s="423" t="s">
        <v>38</v>
      </c>
      <c r="I14" s="425">
        <v>45768</v>
      </c>
      <c r="J14" s="427"/>
      <c r="K14" s="428" t="s">
        <v>355</v>
      </c>
      <c r="L14" s="423" t="s">
        <v>353</v>
      </c>
      <c r="M14" s="425">
        <v>45770</v>
      </c>
      <c r="N14" s="423"/>
    </row>
    <row r="15" spans="1:16" ht="25.15" customHeight="1">
      <c r="A15" s="423">
        <v>13</v>
      </c>
      <c r="B15" s="423" t="s">
        <v>368</v>
      </c>
      <c r="C15" s="423" t="s">
        <v>302</v>
      </c>
      <c r="D15" s="423" t="s">
        <v>351</v>
      </c>
      <c r="E15" s="424">
        <f>9.059+119.368</f>
        <v>128.42699999999999</v>
      </c>
      <c r="F15" s="425">
        <v>45761</v>
      </c>
      <c r="G15" s="426"/>
      <c r="H15" s="423" t="s">
        <v>38</v>
      </c>
      <c r="I15" s="425">
        <v>45774</v>
      </c>
      <c r="J15" s="427"/>
      <c r="K15" s="428" t="s">
        <v>366</v>
      </c>
      <c r="L15" s="423" t="s">
        <v>353</v>
      </c>
      <c r="M15" s="425">
        <v>45788</v>
      </c>
      <c r="N15" s="423"/>
    </row>
    <row r="16" spans="1:16" ht="25.15" customHeight="1">
      <c r="A16" s="423">
        <v>14</v>
      </c>
      <c r="B16" s="423" t="s">
        <v>365</v>
      </c>
      <c r="C16" s="423" t="s">
        <v>350</v>
      </c>
      <c r="D16" s="423" t="s">
        <v>351</v>
      </c>
      <c r="E16" s="424">
        <f>3.264+35.862</f>
        <v>39.126000000000005</v>
      </c>
      <c r="F16" s="425">
        <v>45770</v>
      </c>
      <c r="G16" s="426"/>
      <c r="H16" s="423" t="s">
        <v>38</v>
      </c>
      <c r="I16" s="425">
        <v>45775</v>
      </c>
      <c r="J16" s="427"/>
      <c r="K16" s="428" t="s">
        <v>355</v>
      </c>
      <c r="L16" s="423" t="s">
        <v>353</v>
      </c>
      <c r="M16" s="425">
        <v>45779</v>
      </c>
      <c r="N16" s="423"/>
    </row>
    <row r="17" spans="1:14" ht="25.15" customHeight="1">
      <c r="A17" s="423">
        <v>15</v>
      </c>
      <c r="B17" s="423" t="s">
        <v>367</v>
      </c>
      <c r="C17" s="423" t="s">
        <v>350</v>
      </c>
      <c r="D17" s="423" t="s">
        <v>351</v>
      </c>
      <c r="E17" s="424">
        <f>3.264+35.862</f>
        <v>39.126000000000005</v>
      </c>
      <c r="F17" s="425">
        <v>45761</v>
      </c>
      <c r="G17" s="426"/>
      <c r="H17" s="423" t="s">
        <v>38</v>
      </c>
      <c r="I17" s="425">
        <v>45776</v>
      </c>
      <c r="J17" s="427"/>
      <c r="K17" s="428" t="s">
        <v>366</v>
      </c>
      <c r="L17" s="423" t="s">
        <v>353</v>
      </c>
      <c r="M17" s="425">
        <v>45783</v>
      </c>
      <c r="N17" s="423"/>
    </row>
    <row r="18" spans="1:14" ht="25.15" customHeight="1">
      <c r="A18" s="423">
        <v>16</v>
      </c>
      <c r="B18" s="423" t="s">
        <v>370</v>
      </c>
      <c r="C18" s="423" t="s">
        <v>298</v>
      </c>
      <c r="D18" s="423" t="s">
        <v>351</v>
      </c>
      <c r="E18" s="424">
        <f>11.31+166.88</f>
        <v>178.19</v>
      </c>
      <c r="F18" s="425">
        <v>45772</v>
      </c>
      <c r="G18" s="426"/>
      <c r="H18" s="423" t="s">
        <v>38</v>
      </c>
      <c r="I18" s="425">
        <v>45791</v>
      </c>
      <c r="J18" s="427"/>
      <c r="K18" s="428" t="s">
        <v>366</v>
      </c>
      <c r="L18" s="423" t="s">
        <v>353</v>
      </c>
      <c r="M18" s="425">
        <v>45791</v>
      </c>
      <c r="N18" s="423"/>
    </row>
    <row r="19" spans="1:14" ht="25.15" customHeight="1">
      <c r="A19" s="423">
        <v>17</v>
      </c>
      <c r="B19" s="423" t="s">
        <v>383</v>
      </c>
      <c r="C19" s="423" t="s">
        <v>350</v>
      </c>
      <c r="D19" s="423" t="s">
        <v>274</v>
      </c>
      <c r="E19" s="424">
        <f>5.618+57.728</f>
        <v>63.346000000000004</v>
      </c>
      <c r="F19" s="425">
        <v>45780</v>
      </c>
      <c r="G19" s="426"/>
      <c r="H19" s="423" t="s">
        <v>38</v>
      </c>
      <c r="I19" s="425">
        <v>45792</v>
      </c>
      <c r="J19" s="427"/>
      <c r="K19" s="428" t="s">
        <v>355</v>
      </c>
      <c r="L19" s="423" t="s">
        <v>384</v>
      </c>
      <c r="M19" s="425"/>
      <c r="N19" s="423"/>
    </row>
    <row r="20" spans="1:14" ht="25.15" customHeight="1">
      <c r="A20" s="423">
        <v>18</v>
      </c>
      <c r="B20" s="423" t="s">
        <v>371</v>
      </c>
      <c r="C20" s="423" t="s">
        <v>357</v>
      </c>
      <c r="D20" s="423" t="s">
        <v>351</v>
      </c>
      <c r="E20" s="424">
        <f>3.486+37.148</f>
        <v>40.634</v>
      </c>
      <c r="F20" s="425">
        <v>45790</v>
      </c>
      <c r="G20" s="426"/>
      <c r="H20" s="423" t="s">
        <v>38</v>
      </c>
      <c r="I20" s="425">
        <v>45798</v>
      </c>
      <c r="J20" s="427"/>
      <c r="K20" s="428" t="s">
        <v>355</v>
      </c>
      <c r="L20" s="423" t="s">
        <v>353</v>
      </c>
      <c r="M20" s="425">
        <v>45801</v>
      </c>
      <c r="N20" s="423"/>
    </row>
    <row r="21" spans="1:14" ht="25.15" customHeight="1">
      <c r="A21" s="423">
        <v>19</v>
      </c>
      <c r="B21" s="423" t="s">
        <v>385</v>
      </c>
      <c r="C21" s="423" t="s">
        <v>350</v>
      </c>
      <c r="D21" s="423" t="s">
        <v>351</v>
      </c>
      <c r="E21" s="424">
        <f>3.264+35.862</f>
        <v>39.126000000000005</v>
      </c>
      <c r="F21" s="425">
        <v>45792</v>
      </c>
      <c r="G21" s="426"/>
      <c r="H21" s="423" t="s">
        <v>38</v>
      </c>
      <c r="I21" s="425">
        <v>45800</v>
      </c>
      <c r="J21" s="427"/>
      <c r="K21" s="428" t="s">
        <v>355</v>
      </c>
      <c r="L21" s="423" t="s">
        <v>384</v>
      </c>
      <c r="M21" s="425"/>
      <c r="N21" s="423"/>
    </row>
    <row r="22" spans="1:14" ht="25.15" customHeight="1">
      <c r="A22" s="423">
        <v>20</v>
      </c>
      <c r="B22" s="423" t="s">
        <v>372</v>
      </c>
      <c r="C22" s="423" t="s">
        <v>373</v>
      </c>
      <c r="D22" s="423" t="s">
        <v>351</v>
      </c>
      <c r="E22" s="424">
        <f>7.224+85.068</f>
        <v>92.292000000000002</v>
      </c>
      <c r="F22" s="425">
        <v>45792</v>
      </c>
      <c r="G22" s="426"/>
      <c r="H22" s="423" t="s">
        <v>38</v>
      </c>
      <c r="I22" s="425">
        <v>45802</v>
      </c>
      <c r="J22" s="427"/>
      <c r="K22" s="428" t="s">
        <v>366</v>
      </c>
      <c r="L22" s="423" t="s">
        <v>353</v>
      </c>
      <c r="M22" s="425">
        <v>45803</v>
      </c>
      <c r="N22" s="423"/>
    </row>
    <row r="23" spans="1:14" ht="25.15" customHeight="1">
      <c r="A23" s="423">
        <v>21</v>
      </c>
      <c r="B23" s="423" t="s">
        <v>387</v>
      </c>
      <c r="C23" s="423" t="s">
        <v>350</v>
      </c>
      <c r="D23" s="423" t="s">
        <v>351</v>
      </c>
      <c r="E23" s="424">
        <f>3.264+35.862</f>
        <v>39.126000000000005</v>
      </c>
      <c r="F23" s="425">
        <v>45794</v>
      </c>
      <c r="G23" s="426"/>
      <c r="H23" s="423" t="s">
        <v>38</v>
      </c>
      <c r="I23" s="425">
        <v>45805</v>
      </c>
      <c r="J23" s="427"/>
      <c r="K23" s="428" t="s">
        <v>355</v>
      </c>
      <c r="L23" s="423" t="s">
        <v>384</v>
      </c>
      <c r="M23" s="425"/>
      <c r="N23" s="423"/>
    </row>
    <row r="24" spans="1:14" ht="25.15" customHeight="1">
      <c r="A24" s="423">
        <v>22</v>
      </c>
      <c r="B24" s="423" t="s">
        <v>386</v>
      </c>
      <c r="C24" s="423" t="s">
        <v>350</v>
      </c>
      <c r="D24" s="423" t="s">
        <v>274</v>
      </c>
      <c r="E24" s="424">
        <f>5.618+57.728</f>
        <v>63.346000000000004</v>
      </c>
      <c r="F24" s="425">
        <v>45796</v>
      </c>
      <c r="G24" s="426"/>
      <c r="H24" s="423" t="s">
        <v>38</v>
      </c>
      <c r="I24" s="425">
        <v>45808</v>
      </c>
      <c r="J24" s="427"/>
      <c r="K24" s="428" t="s">
        <v>355</v>
      </c>
      <c r="L24" s="423" t="s">
        <v>384</v>
      </c>
      <c r="M24" s="425"/>
      <c r="N24" s="423"/>
    </row>
    <row r="25" spans="1:14" ht="25.15" customHeight="1">
      <c r="A25" s="423">
        <v>23</v>
      </c>
      <c r="B25" s="423" t="s">
        <v>376</v>
      </c>
      <c r="C25" s="423" t="s">
        <v>357</v>
      </c>
      <c r="D25" s="423" t="s">
        <v>351</v>
      </c>
      <c r="E25" s="424">
        <f>3.486+37.148</f>
        <v>40.634</v>
      </c>
      <c r="F25" s="425">
        <v>45802</v>
      </c>
      <c r="G25" s="426"/>
      <c r="H25" s="423" t="s">
        <v>38</v>
      </c>
      <c r="I25" s="425">
        <v>45810</v>
      </c>
      <c r="J25" s="427"/>
      <c r="K25" s="428" t="s">
        <v>375</v>
      </c>
      <c r="L25" s="423" t="s">
        <v>353</v>
      </c>
      <c r="M25" s="425">
        <v>45818</v>
      </c>
      <c r="N25" s="423"/>
    </row>
    <row r="26" spans="1:14" ht="25.15" customHeight="1">
      <c r="A26" s="423">
        <v>24</v>
      </c>
      <c r="B26" s="423" t="s">
        <v>377</v>
      </c>
      <c r="C26" s="423" t="s">
        <v>350</v>
      </c>
      <c r="D26" s="423" t="s">
        <v>351</v>
      </c>
      <c r="E26" s="424">
        <f>3.264+35.862</f>
        <v>39.126000000000005</v>
      </c>
      <c r="F26" s="425">
        <v>45807</v>
      </c>
      <c r="G26" s="426"/>
      <c r="H26" s="423" t="s">
        <v>38</v>
      </c>
      <c r="I26" s="425">
        <v>45813</v>
      </c>
      <c r="J26" s="427"/>
      <c r="K26" s="428" t="s">
        <v>375</v>
      </c>
      <c r="L26" s="423" t="s">
        <v>353</v>
      </c>
      <c r="M26" s="425">
        <v>45818</v>
      </c>
      <c r="N26" s="423"/>
    </row>
    <row r="27" spans="1:14" ht="25.15" customHeight="1">
      <c r="A27" s="423">
        <v>25</v>
      </c>
      <c r="B27" s="423" t="s">
        <v>374</v>
      </c>
      <c r="C27" s="423" t="s">
        <v>335</v>
      </c>
      <c r="D27" s="423" t="s">
        <v>351</v>
      </c>
      <c r="E27" s="424">
        <f>4.343+50.332</f>
        <v>54.674999999999997</v>
      </c>
      <c r="F27" s="425">
        <v>45809</v>
      </c>
      <c r="G27" s="426"/>
      <c r="H27" s="423" t="s">
        <v>38</v>
      </c>
      <c r="I27" s="425">
        <v>45875</v>
      </c>
      <c r="J27" s="427"/>
      <c r="K27" s="428" t="s">
        <v>375</v>
      </c>
      <c r="L27" s="423" t="s">
        <v>353</v>
      </c>
      <c r="M27" s="425">
        <v>45816</v>
      </c>
      <c r="N27" s="423"/>
    </row>
    <row r="28" spans="1:14" ht="25.15" customHeight="1">
      <c r="A28" s="423">
        <v>26</v>
      </c>
      <c r="B28" s="423" t="s">
        <v>168</v>
      </c>
      <c r="C28" s="423" t="s">
        <v>300</v>
      </c>
      <c r="D28" s="423" t="s">
        <v>351</v>
      </c>
      <c r="E28" s="424">
        <f>5.294+57.588</f>
        <v>62.881999999999998</v>
      </c>
      <c r="F28" s="425">
        <v>45861</v>
      </c>
      <c r="G28" s="426"/>
      <c r="H28" s="423" t="s">
        <v>38</v>
      </c>
      <c r="I28" s="425">
        <v>45916</v>
      </c>
      <c r="J28" s="427"/>
      <c r="K28" s="428"/>
      <c r="L28" s="423" t="s">
        <v>353</v>
      </c>
      <c r="M28" s="425">
        <v>45921</v>
      </c>
      <c r="N28" s="423"/>
    </row>
    <row r="29" spans="1:14" ht="25.15" customHeight="1">
      <c r="A29" s="423">
        <v>27</v>
      </c>
      <c r="B29" s="423" t="s">
        <v>378</v>
      </c>
      <c r="C29" s="423" t="s">
        <v>350</v>
      </c>
      <c r="D29" s="423" t="s">
        <v>351</v>
      </c>
      <c r="E29" s="424">
        <f>3.264+35.862</f>
        <v>39.126000000000005</v>
      </c>
      <c r="F29" s="425">
        <v>45900</v>
      </c>
      <c r="G29" s="426"/>
      <c r="H29" s="423" t="s">
        <v>38</v>
      </c>
      <c r="I29" s="425">
        <v>45918</v>
      </c>
      <c r="J29" s="427"/>
      <c r="K29" s="428" t="s">
        <v>355</v>
      </c>
      <c r="L29" s="423" t="s">
        <v>353</v>
      </c>
      <c r="M29" s="425">
        <v>45922</v>
      </c>
      <c r="N29" s="423"/>
    </row>
    <row r="30" spans="1:14" ht="25.15" customHeight="1">
      <c r="A30" s="423">
        <v>28</v>
      </c>
      <c r="B30" s="423" t="s">
        <v>176</v>
      </c>
      <c r="C30" s="423" t="s">
        <v>350</v>
      </c>
      <c r="D30" s="423" t="s">
        <v>351</v>
      </c>
      <c r="E30" s="424">
        <f>3.264+35.862</f>
        <v>39.126000000000005</v>
      </c>
      <c r="F30" s="425">
        <v>45921</v>
      </c>
      <c r="G30" s="426"/>
      <c r="H30" s="423" t="s">
        <v>38</v>
      </c>
      <c r="I30" s="425">
        <v>45934</v>
      </c>
      <c r="J30" s="427"/>
      <c r="K30" s="428" t="s">
        <v>379</v>
      </c>
      <c r="L30" s="423" t="s">
        <v>353</v>
      </c>
      <c r="M30" s="425">
        <v>45938</v>
      </c>
      <c r="N30" s="423"/>
    </row>
    <row r="31" spans="1:14" ht="25.15" customHeight="1">
      <c r="A31" s="423">
        <v>29</v>
      </c>
      <c r="B31" s="423" t="s">
        <v>380</v>
      </c>
      <c r="C31" s="423" t="s">
        <v>350</v>
      </c>
      <c r="D31" s="423" t="s">
        <v>351</v>
      </c>
      <c r="E31" s="424">
        <f>3.264+35.862</f>
        <v>39.126000000000005</v>
      </c>
      <c r="F31" s="425">
        <v>45919</v>
      </c>
      <c r="G31" s="426"/>
      <c r="H31" s="423" t="s">
        <v>38</v>
      </c>
      <c r="I31" s="425">
        <v>45935</v>
      </c>
      <c r="J31" s="427"/>
      <c r="K31" s="428" t="s">
        <v>381</v>
      </c>
      <c r="L31" s="423" t="s">
        <v>353</v>
      </c>
      <c r="M31" s="425">
        <v>45941</v>
      </c>
      <c r="N31" s="423"/>
    </row>
    <row r="32" spans="1:14" ht="25.15" customHeight="1">
      <c r="A32" s="423">
        <v>30</v>
      </c>
      <c r="B32" s="423" t="s">
        <v>382</v>
      </c>
      <c r="C32" s="423" t="s">
        <v>357</v>
      </c>
      <c r="D32" s="423" t="s">
        <v>351</v>
      </c>
      <c r="E32" s="424">
        <f>3.486+37.148</f>
        <v>40.634</v>
      </c>
      <c r="F32" s="425">
        <v>45924</v>
      </c>
      <c r="G32" s="426"/>
      <c r="H32" s="423" t="s">
        <v>38</v>
      </c>
      <c r="I32" s="425">
        <v>45940</v>
      </c>
      <c r="J32" s="427"/>
      <c r="K32" s="428" t="s">
        <v>379</v>
      </c>
      <c r="L32" s="423" t="s">
        <v>353</v>
      </c>
      <c r="M32" s="425">
        <v>45921</v>
      </c>
      <c r="N32" s="423"/>
    </row>
    <row r="33" spans="1:14" ht="25.15" customHeight="1">
      <c r="A33" s="423">
        <v>31</v>
      </c>
      <c r="B33" s="423" t="s">
        <v>388</v>
      </c>
      <c r="C33" s="423" t="s">
        <v>389</v>
      </c>
      <c r="D33" s="423" t="s">
        <v>351</v>
      </c>
      <c r="E33" s="424">
        <f>5.555+59.58</f>
        <v>65.134999999999991</v>
      </c>
      <c r="F33" s="425">
        <v>45925</v>
      </c>
      <c r="G33" s="426"/>
      <c r="H33" s="423" t="s">
        <v>38</v>
      </c>
      <c r="I33" s="425">
        <v>45949</v>
      </c>
      <c r="J33" s="427"/>
      <c r="K33" s="428" t="s">
        <v>381</v>
      </c>
      <c r="L33" s="423" t="s">
        <v>353</v>
      </c>
      <c r="M33" s="425">
        <v>45969</v>
      </c>
      <c r="N33" s="423"/>
    </row>
    <row r="34" spans="1:14" ht="25.15" customHeight="1">
      <c r="A34" s="423">
        <v>32</v>
      </c>
      <c r="B34" s="423" t="s">
        <v>138</v>
      </c>
      <c r="C34" s="423" t="s">
        <v>357</v>
      </c>
      <c r="D34" s="423" t="s">
        <v>351</v>
      </c>
      <c r="E34" s="424">
        <f>3.486+37.148</f>
        <v>40.634</v>
      </c>
      <c r="F34" s="425">
        <v>45945</v>
      </c>
      <c r="G34" s="426"/>
      <c r="H34" s="423" t="s">
        <v>38</v>
      </c>
      <c r="I34" s="425">
        <v>45954</v>
      </c>
      <c r="J34" s="427"/>
      <c r="K34" s="428" t="s">
        <v>379</v>
      </c>
      <c r="L34" s="423" t="s">
        <v>353</v>
      </c>
      <c r="M34" s="425">
        <v>46022</v>
      </c>
      <c r="N34" s="423"/>
    </row>
    <row r="35" spans="1:14" ht="25.15" customHeight="1">
      <c r="A35" s="423">
        <v>33</v>
      </c>
      <c r="B35" s="423" t="s">
        <v>390</v>
      </c>
      <c r="C35" s="423" t="s">
        <v>350</v>
      </c>
      <c r="D35" s="423" t="s">
        <v>351</v>
      </c>
      <c r="E35" s="424">
        <f>3.264+35.862</f>
        <v>39.126000000000005</v>
      </c>
      <c r="F35" s="425">
        <v>45910</v>
      </c>
      <c r="G35" s="426"/>
      <c r="H35" s="423" t="s">
        <v>38</v>
      </c>
      <c r="I35" s="425">
        <v>45980</v>
      </c>
      <c r="J35" s="427"/>
      <c r="K35" s="428" t="s">
        <v>379</v>
      </c>
      <c r="L35" s="423" t="s">
        <v>353</v>
      </c>
      <c r="M35" s="425">
        <v>45987</v>
      </c>
      <c r="N35" s="423"/>
    </row>
    <row r="36" spans="1:14" ht="25.15" customHeight="1">
      <c r="A36" s="423">
        <v>34</v>
      </c>
      <c r="B36" s="423" t="s">
        <v>136</v>
      </c>
      <c r="C36" s="423" t="s">
        <v>391</v>
      </c>
      <c r="D36" s="423" t="s">
        <v>351</v>
      </c>
      <c r="E36" s="424">
        <f>4.38+50.612</f>
        <v>54.992000000000004</v>
      </c>
      <c r="F36" s="425">
        <v>45972</v>
      </c>
      <c r="G36" s="426"/>
      <c r="H36" s="423" t="s">
        <v>38</v>
      </c>
      <c r="I36" s="425">
        <v>45985</v>
      </c>
      <c r="J36" s="427"/>
      <c r="K36" s="428" t="s">
        <v>355</v>
      </c>
      <c r="L36" s="423" t="s">
        <v>353</v>
      </c>
      <c r="M36" s="425">
        <v>45989</v>
      </c>
      <c r="N36" s="423"/>
    </row>
    <row r="37" spans="1:14" ht="25.15" customHeight="1">
      <c r="A37" s="423">
        <v>35</v>
      </c>
      <c r="B37" s="423" t="s">
        <v>392</v>
      </c>
      <c r="C37" s="423" t="s">
        <v>393</v>
      </c>
      <c r="D37" s="423" t="s">
        <v>351</v>
      </c>
      <c r="E37" s="424">
        <f>4.38+50.612</f>
        <v>54.992000000000004</v>
      </c>
      <c r="F37" s="425">
        <v>45972</v>
      </c>
      <c r="G37" s="426"/>
      <c r="H37" s="423" t="s">
        <v>38</v>
      </c>
      <c r="I37" s="425">
        <v>45985</v>
      </c>
      <c r="J37" s="427"/>
      <c r="K37" s="428" t="s">
        <v>394</v>
      </c>
      <c r="L37" s="423" t="s">
        <v>353</v>
      </c>
      <c r="M37" s="425">
        <v>45988</v>
      </c>
      <c r="N37" s="423"/>
    </row>
    <row r="38" spans="1:14" ht="25.15" customHeight="1">
      <c r="A38" s="423">
        <v>36</v>
      </c>
      <c r="B38" s="423" t="s">
        <v>395</v>
      </c>
      <c r="C38" s="423" t="s">
        <v>396</v>
      </c>
      <c r="D38" s="423" t="s">
        <v>351</v>
      </c>
      <c r="E38" s="424">
        <f>3.264+35.862</f>
        <v>39.126000000000005</v>
      </c>
      <c r="F38" s="425">
        <v>45979</v>
      </c>
      <c r="G38" s="426"/>
      <c r="H38" s="423" t="s">
        <v>38</v>
      </c>
      <c r="I38" s="425">
        <v>45988</v>
      </c>
      <c r="J38" s="427"/>
      <c r="K38" s="428" t="s">
        <v>379</v>
      </c>
      <c r="L38" s="423" t="s">
        <v>353</v>
      </c>
      <c r="M38" s="425">
        <v>45989</v>
      </c>
      <c r="N38" s="423"/>
    </row>
    <row r="39" spans="1:14" ht="25.15" customHeight="1">
      <c r="A39" s="423">
        <v>37</v>
      </c>
      <c r="B39" s="423" t="s">
        <v>397</v>
      </c>
      <c r="C39" s="423" t="s">
        <v>357</v>
      </c>
      <c r="D39" s="423" t="s">
        <v>274</v>
      </c>
      <c r="E39" s="424">
        <f>5.951+59.68</f>
        <v>65.631</v>
      </c>
      <c r="F39" s="425">
        <v>45976</v>
      </c>
      <c r="G39" s="426"/>
      <c r="H39" s="423" t="s">
        <v>38</v>
      </c>
      <c r="I39" s="425">
        <v>45991</v>
      </c>
      <c r="J39" s="427"/>
      <c r="K39" s="428" t="s">
        <v>398</v>
      </c>
      <c r="L39" s="423" t="s">
        <v>353</v>
      </c>
      <c r="M39" s="425">
        <v>46013</v>
      </c>
      <c r="N39" s="423"/>
    </row>
    <row r="40" spans="1:14" ht="25.15" customHeight="1">
      <c r="A40" s="423">
        <v>38</v>
      </c>
      <c r="B40" s="423" t="s">
        <v>177</v>
      </c>
      <c r="C40" s="423" t="s">
        <v>399</v>
      </c>
      <c r="D40" s="423" t="s">
        <v>351</v>
      </c>
      <c r="E40" s="424">
        <f>3.486+37.148</f>
        <v>40.634</v>
      </c>
      <c r="F40" s="425">
        <v>45991</v>
      </c>
      <c r="G40" s="426"/>
      <c r="H40" s="423" t="s">
        <v>38</v>
      </c>
      <c r="I40" s="425">
        <v>45998</v>
      </c>
      <c r="J40" s="427"/>
      <c r="K40" s="428" t="s">
        <v>394</v>
      </c>
      <c r="L40" s="423" t="s">
        <v>353</v>
      </c>
      <c r="M40" s="425">
        <v>46000</v>
      </c>
      <c r="N40" s="423"/>
    </row>
    <row r="41" spans="1:14" ht="25.15" customHeight="1">
      <c r="A41" s="423">
        <v>39</v>
      </c>
      <c r="B41" s="423" t="s">
        <v>400</v>
      </c>
      <c r="C41" s="423" t="s">
        <v>373</v>
      </c>
      <c r="D41" s="423" t="s">
        <v>351</v>
      </c>
      <c r="E41" s="424">
        <f>7.224+85.068</f>
        <v>92.292000000000002</v>
      </c>
      <c r="F41" s="425">
        <v>45991</v>
      </c>
      <c r="G41" s="426"/>
      <c r="H41" s="423" t="s">
        <v>38</v>
      </c>
      <c r="I41" s="425">
        <v>46000</v>
      </c>
      <c r="J41" s="427"/>
      <c r="K41" s="428" t="s">
        <v>379</v>
      </c>
      <c r="L41" s="423" t="s">
        <v>353</v>
      </c>
      <c r="M41" s="425">
        <v>46000</v>
      </c>
      <c r="N41" s="423"/>
    </row>
    <row r="42" spans="1:14" ht="25.15" customHeight="1">
      <c r="A42" s="423">
        <v>40</v>
      </c>
      <c r="B42" s="423" t="s">
        <v>178</v>
      </c>
      <c r="C42" s="423" t="s">
        <v>350</v>
      </c>
      <c r="D42" s="423" t="s">
        <v>351</v>
      </c>
      <c r="E42" s="424">
        <f>3.264+35.862</f>
        <v>39.126000000000005</v>
      </c>
      <c r="F42" s="425">
        <v>45976</v>
      </c>
      <c r="G42" s="426"/>
      <c r="H42" s="423" t="s">
        <v>38</v>
      </c>
      <c r="I42" s="425">
        <v>46000</v>
      </c>
      <c r="J42" s="427"/>
      <c r="K42" s="428" t="s">
        <v>401</v>
      </c>
      <c r="L42" s="423" t="s">
        <v>353</v>
      </c>
      <c r="M42" s="425">
        <v>46005</v>
      </c>
      <c r="N42" s="423"/>
    </row>
    <row r="43" spans="1:14" ht="25.15" customHeight="1">
      <c r="A43" s="423">
        <v>41</v>
      </c>
      <c r="B43" s="423" t="s">
        <v>180</v>
      </c>
      <c r="C43" s="423" t="s">
        <v>350</v>
      </c>
      <c r="D43" s="423" t="s">
        <v>274</v>
      </c>
      <c r="E43" s="424">
        <f>5.618+57.728</f>
        <v>63.346000000000004</v>
      </c>
      <c r="F43" s="425">
        <v>45988</v>
      </c>
      <c r="G43" s="426"/>
      <c r="H43" s="423" t="s">
        <v>38</v>
      </c>
      <c r="I43" s="425">
        <v>46005</v>
      </c>
      <c r="J43" s="427"/>
      <c r="K43" s="428" t="s">
        <v>402</v>
      </c>
      <c r="L43" s="423" t="s">
        <v>353</v>
      </c>
      <c r="M43" s="425">
        <v>46004</v>
      </c>
      <c r="N43" s="423"/>
    </row>
    <row r="44" spans="1:14" ht="25.15" customHeight="1">
      <c r="A44" s="423">
        <v>42</v>
      </c>
      <c r="B44" s="423" t="s">
        <v>403</v>
      </c>
      <c r="C44" s="423" t="s">
        <v>350</v>
      </c>
      <c r="D44" s="423" t="s">
        <v>274</v>
      </c>
      <c r="E44" s="424">
        <f>5.618+57.728</f>
        <v>63.346000000000004</v>
      </c>
      <c r="F44" s="425">
        <v>45992</v>
      </c>
      <c r="G44" s="426"/>
      <c r="H44" s="423" t="s">
        <v>38</v>
      </c>
      <c r="I44" s="425">
        <v>46014</v>
      </c>
      <c r="J44" s="427"/>
      <c r="K44" s="428" t="s">
        <v>398</v>
      </c>
      <c r="L44" s="423" t="s">
        <v>353</v>
      </c>
      <c r="M44" s="425">
        <v>46016</v>
      </c>
      <c r="N44" s="423"/>
    </row>
    <row r="45" spans="1:14" ht="25.15" customHeight="1">
      <c r="A45" s="423">
        <v>43</v>
      </c>
      <c r="B45" s="423" t="s">
        <v>404</v>
      </c>
      <c r="C45" s="423" t="s">
        <v>350</v>
      </c>
      <c r="D45" s="423" t="s">
        <v>274</v>
      </c>
      <c r="E45" s="424">
        <f>5.618+57.728</f>
        <v>63.346000000000004</v>
      </c>
      <c r="F45" s="425">
        <v>45992</v>
      </c>
      <c r="G45" s="426"/>
      <c r="H45" s="423" t="s">
        <v>38</v>
      </c>
      <c r="I45" s="425">
        <v>46018</v>
      </c>
      <c r="J45" s="427"/>
      <c r="K45" s="428" t="s">
        <v>381</v>
      </c>
      <c r="L45" s="423" t="s">
        <v>353</v>
      </c>
      <c r="M45" s="425">
        <v>46019</v>
      </c>
      <c r="N45" s="423"/>
    </row>
    <row r="46" spans="1:14" ht="25.15" customHeight="1">
      <c r="A46" s="423">
        <v>44</v>
      </c>
      <c r="B46" s="423" t="s">
        <v>405</v>
      </c>
      <c r="C46" s="423" t="s">
        <v>350</v>
      </c>
      <c r="D46" s="423" t="s">
        <v>274</v>
      </c>
      <c r="E46" s="424">
        <f>5.618+57.728</f>
        <v>63.346000000000004</v>
      </c>
      <c r="F46" s="425">
        <v>46001</v>
      </c>
      <c r="G46" s="426"/>
      <c r="H46" s="423" t="s">
        <v>38</v>
      </c>
      <c r="I46" s="425">
        <v>46020</v>
      </c>
      <c r="J46" s="427"/>
      <c r="K46" s="428" t="s">
        <v>394</v>
      </c>
      <c r="L46" s="423" t="s">
        <v>353</v>
      </c>
      <c r="M46" s="425">
        <v>46019</v>
      </c>
      <c r="N46" s="423"/>
    </row>
    <row r="47" spans="1:14" ht="25.15" customHeight="1">
      <c r="A47" s="423">
        <v>45</v>
      </c>
      <c r="B47" s="423" t="s">
        <v>140</v>
      </c>
      <c r="C47" s="423" t="s">
        <v>302</v>
      </c>
      <c r="D47" s="423" t="s">
        <v>351</v>
      </c>
      <c r="E47" s="424">
        <f>9.059+119.368</f>
        <v>128.42699999999999</v>
      </c>
      <c r="F47" s="425">
        <v>46007</v>
      </c>
      <c r="G47" s="426"/>
      <c r="H47" s="423" t="s">
        <v>38</v>
      </c>
      <c r="I47" s="425">
        <v>46021</v>
      </c>
      <c r="J47" s="427"/>
      <c r="K47" s="428" t="s">
        <v>379</v>
      </c>
      <c r="L47" s="423" t="s">
        <v>353</v>
      </c>
      <c r="M47" s="425">
        <v>46023</v>
      </c>
      <c r="N47" s="423"/>
    </row>
    <row r="48" spans="1:14" ht="25.15" customHeight="1">
      <c r="A48" s="423">
        <v>46</v>
      </c>
      <c r="B48" s="423" t="s">
        <v>406</v>
      </c>
      <c r="C48" s="423" t="s">
        <v>350</v>
      </c>
      <c r="D48" s="423" t="s">
        <v>274</v>
      </c>
      <c r="E48" s="424">
        <f>5.618+57.728</f>
        <v>63.346000000000004</v>
      </c>
      <c r="F48" s="425">
        <v>46012</v>
      </c>
      <c r="G48" s="426"/>
      <c r="H48" s="423" t="s">
        <v>38</v>
      </c>
      <c r="I48" s="425">
        <v>46021</v>
      </c>
      <c r="J48" s="427"/>
      <c r="K48" s="428" t="s">
        <v>402</v>
      </c>
      <c r="L48" s="423" t="s">
        <v>353</v>
      </c>
      <c r="M48" s="425">
        <v>46021</v>
      </c>
      <c r="N48" s="423"/>
    </row>
    <row r="49" spans="1:14" ht="25.15" customHeight="1">
      <c r="A49" s="423">
        <v>47</v>
      </c>
      <c r="B49" s="423" t="s">
        <v>407</v>
      </c>
      <c r="C49" s="423" t="s">
        <v>350</v>
      </c>
      <c r="D49" s="423" t="s">
        <v>274</v>
      </c>
      <c r="E49" s="424">
        <f>5.618+57.728</f>
        <v>63.346000000000004</v>
      </c>
      <c r="F49" s="425">
        <v>46001</v>
      </c>
      <c r="G49" s="426"/>
      <c r="H49" s="423" t="s">
        <v>38</v>
      </c>
      <c r="I49" s="425">
        <v>46022</v>
      </c>
      <c r="J49" s="427"/>
      <c r="K49" s="428" t="s">
        <v>379</v>
      </c>
      <c r="L49" s="423" t="s">
        <v>353</v>
      </c>
      <c r="M49" s="425">
        <v>46023</v>
      </c>
      <c r="N49" s="423"/>
    </row>
    <row r="50" spans="1:14" ht="25.15" customHeight="1">
      <c r="A50" s="423">
        <v>48</v>
      </c>
      <c r="B50" s="423" t="s">
        <v>408</v>
      </c>
      <c r="C50" s="423" t="s">
        <v>350</v>
      </c>
      <c r="D50" s="423" t="s">
        <v>274</v>
      </c>
      <c r="E50" s="424">
        <f>5.618+57.728</f>
        <v>63.346000000000004</v>
      </c>
      <c r="F50" s="425">
        <v>46012</v>
      </c>
      <c r="G50" s="426"/>
      <c r="H50" s="423" t="s">
        <v>38</v>
      </c>
      <c r="I50" s="425">
        <v>46026</v>
      </c>
      <c r="J50" s="427"/>
      <c r="K50" s="428" t="s">
        <v>409</v>
      </c>
      <c r="L50" s="423" t="s">
        <v>353</v>
      </c>
      <c r="M50" s="425">
        <v>46069</v>
      </c>
      <c r="N50" s="423"/>
    </row>
    <row r="51" spans="1:14" ht="25.15" customHeight="1">
      <c r="A51" s="423">
        <v>49</v>
      </c>
      <c r="B51" s="423" t="s">
        <v>410</v>
      </c>
      <c r="C51" s="423" t="s">
        <v>396</v>
      </c>
      <c r="D51" s="423" t="s">
        <v>351</v>
      </c>
      <c r="E51" s="424">
        <v>39.125999999999998</v>
      </c>
      <c r="F51" s="425">
        <v>46023</v>
      </c>
      <c r="G51" s="426"/>
      <c r="H51" s="423" t="s">
        <v>38</v>
      </c>
      <c r="I51" s="425">
        <v>46030</v>
      </c>
      <c r="J51" s="427"/>
      <c r="K51" s="428" t="s">
        <v>394</v>
      </c>
      <c r="L51" s="423" t="s">
        <v>353</v>
      </c>
      <c r="M51" s="425">
        <v>46031</v>
      </c>
      <c r="N51" s="423"/>
    </row>
    <row r="52" spans="1:14" ht="25.15" customHeight="1">
      <c r="A52" s="423">
        <v>50</v>
      </c>
      <c r="B52" s="423" t="s">
        <v>411</v>
      </c>
      <c r="C52" s="423" t="s">
        <v>300</v>
      </c>
      <c r="D52" s="423" t="s">
        <v>274</v>
      </c>
      <c r="E52" s="424">
        <f>83.272+6.633</f>
        <v>89.905000000000001</v>
      </c>
      <c r="F52" s="425">
        <v>46006</v>
      </c>
      <c r="G52" s="426"/>
      <c r="H52" s="423" t="s">
        <v>38</v>
      </c>
      <c r="I52" s="425">
        <v>46035</v>
      </c>
      <c r="J52" s="427"/>
      <c r="K52" s="428" t="s">
        <v>402</v>
      </c>
      <c r="L52" s="423" t="s">
        <v>353</v>
      </c>
      <c r="M52" s="425">
        <v>46035</v>
      </c>
      <c r="N52" s="423"/>
    </row>
    <row r="53" spans="1:14" ht="25.15" customHeight="1">
      <c r="A53" s="423">
        <v>51</v>
      </c>
      <c r="B53" s="423" t="s">
        <v>412</v>
      </c>
      <c r="C53" s="423" t="s">
        <v>350</v>
      </c>
      <c r="D53" s="423" t="s">
        <v>274</v>
      </c>
      <c r="E53" s="424">
        <f>5.618+57.728</f>
        <v>63.346000000000004</v>
      </c>
      <c r="F53" s="425">
        <v>46027</v>
      </c>
      <c r="G53" s="426"/>
      <c r="H53" s="423" t="s">
        <v>38</v>
      </c>
      <c r="I53" s="425">
        <v>46035</v>
      </c>
      <c r="J53" s="427"/>
      <c r="K53" s="428" t="s">
        <v>413</v>
      </c>
      <c r="L53" s="423" t="s">
        <v>353</v>
      </c>
      <c r="M53" s="425">
        <v>46031</v>
      </c>
      <c r="N53" s="423"/>
    </row>
    <row r="54" spans="1:14" ht="25.15" customHeight="1">
      <c r="A54" s="423">
        <v>52</v>
      </c>
      <c r="B54" s="423" t="s">
        <v>414</v>
      </c>
      <c r="C54" s="423" t="s">
        <v>335</v>
      </c>
      <c r="D54" s="423" t="s">
        <v>274</v>
      </c>
      <c r="E54" s="424">
        <f>72.684+7.26</f>
        <v>79.944000000000003</v>
      </c>
      <c r="F54" s="425">
        <v>46031</v>
      </c>
      <c r="G54" s="426"/>
      <c r="H54" s="423" t="s">
        <v>38</v>
      </c>
      <c r="I54" s="425">
        <v>46043</v>
      </c>
      <c r="J54" s="427"/>
      <c r="K54" s="428" t="s">
        <v>409</v>
      </c>
      <c r="L54" s="423" t="s">
        <v>353</v>
      </c>
      <c r="M54" s="425">
        <v>46045</v>
      </c>
      <c r="N54" s="423"/>
    </row>
    <row r="55" spans="1:14" ht="25.15" customHeight="1">
      <c r="A55" s="423">
        <v>53</v>
      </c>
      <c r="B55" s="423" t="s">
        <v>415</v>
      </c>
      <c r="C55" s="423" t="s">
        <v>399</v>
      </c>
      <c r="D55" s="423" t="s">
        <v>416</v>
      </c>
      <c r="E55" s="424">
        <f>8.411+86.212</f>
        <v>94.623000000000005</v>
      </c>
      <c r="F55" s="425">
        <v>46038</v>
      </c>
      <c r="G55" s="426"/>
      <c r="H55" s="423" t="s">
        <v>38</v>
      </c>
      <c r="I55" s="425">
        <v>46047</v>
      </c>
      <c r="J55" s="427"/>
      <c r="K55" s="428" t="s">
        <v>413</v>
      </c>
      <c r="L55" s="423" t="s">
        <v>353</v>
      </c>
      <c r="M55" s="425">
        <v>46049</v>
      </c>
      <c r="N55" s="423"/>
    </row>
    <row r="56" spans="1:14" ht="25.15" customHeight="1">
      <c r="A56" s="423">
        <v>54</v>
      </c>
      <c r="B56" s="423" t="s">
        <v>417</v>
      </c>
      <c r="C56" s="423" t="s">
        <v>396</v>
      </c>
      <c r="D56" s="423" t="s">
        <v>274</v>
      </c>
      <c r="E56" s="424">
        <f>5.618+57.728</f>
        <v>63.346000000000004</v>
      </c>
      <c r="F56" s="425">
        <v>46030</v>
      </c>
      <c r="G56" s="426"/>
      <c r="H56" s="423" t="s">
        <v>38</v>
      </c>
      <c r="I56" s="425">
        <v>46052</v>
      </c>
      <c r="J56" s="427"/>
      <c r="K56" s="428" t="s">
        <v>381</v>
      </c>
      <c r="L56" s="423" t="s">
        <v>353</v>
      </c>
      <c r="M56" s="425">
        <v>46055</v>
      </c>
      <c r="N56" s="423"/>
    </row>
    <row r="57" spans="1:14" ht="25.15" customHeight="1">
      <c r="A57" s="423">
        <v>55</v>
      </c>
      <c r="B57" s="423" t="s">
        <v>418</v>
      </c>
      <c r="C57" s="423" t="s">
        <v>300</v>
      </c>
      <c r="D57" s="423" t="s">
        <v>351</v>
      </c>
      <c r="E57" s="424">
        <f>57.588+5.294</f>
        <v>62.881999999999998</v>
      </c>
      <c r="F57" s="425">
        <v>46049</v>
      </c>
      <c r="G57" s="426"/>
      <c r="H57" s="423" t="s">
        <v>38</v>
      </c>
      <c r="I57" s="425">
        <v>46055</v>
      </c>
      <c r="J57" s="427"/>
      <c r="K57" s="428" t="s">
        <v>402</v>
      </c>
      <c r="L57" s="423" t="s">
        <v>353</v>
      </c>
      <c r="M57" s="425">
        <v>45690</v>
      </c>
      <c r="N57" s="423"/>
    </row>
    <row r="58" spans="1:14" ht="25.15" customHeight="1">
      <c r="A58" s="423">
        <v>56</v>
      </c>
      <c r="B58" s="423" t="s">
        <v>419</v>
      </c>
      <c r="C58" s="423" t="s">
        <v>302</v>
      </c>
      <c r="D58" s="423" t="s">
        <v>420</v>
      </c>
      <c r="E58" s="424">
        <f>289.172+21.966</f>
        <v>311.13800000000003</v>
      </c>
      <c r="F58" s="425">
        <v>46028</v>
      </c>
      <c r="G58" s="426"/>
      <c r="H58" s="423" t="s">
        <v>38</v>
      </c>
      <c r="I58" s="425">
        <v>46056</v>
      </c>
      <c r="J58" s="427"/>
      <c r="K58" s="428" t="s">
        <v>394</v>
      </c>
      <c r="L58" s="423" t="s">
        <v>353</v>
      </c>
      <c r="M58" s="425">
        <v>46057</v>
      </c>
      <c r="N58" s="423"/>
    </row>
    <row r="59" spans="1:14" ht="25.15" customHeight="1">
      <c r="A59" s="423">
        <v>57</v>
      </c>
      <c r="B59" s="423" t="s">
        <v>421</v>
      </c>
      <c r="C59" s="423" t="s">
        <v>399</v>
      </c>
      <c r="D59" s="423" t="s">
        <v>274</v>
      </c>
      <c r="E59" s="424">
        <f>5.951+59.68</f>
        <v>65.631</v>
      </c>
      <c r="F59" s="425">
        <v>46054</v>
      </c>
      <c r="G59" s="426"/>
      <c r="H59" s="423" t="s">
        <v>38</v>
      </c>
      <c r="I59" s="425">
        <v>46063</v>
      </c>
      <c r="J59" s="427"/>
      <c r="K59" s="428" t="s">
        <v>409</v>
      </c>
      <c r="L59" s="423" t="s">
        <v>353</v>
      </c>
      <c r="M59" s="425">
        <v>46065</v>
      </c>
      <c r="N59" s="423"/>
    </row>
    <row r="60" spans="1:14" ht="25.15" customHeight="1">
      <c r="A60" s="423">
        <v>58</v>
      </c>
      <c r="B60" s="423" t="s">
        <v>422</v>
      </c>
      <c r="C60" s="423" t="s">
        <v>350</v>
      </c>
      <c r="D60" s="423" t="s">
        <v>274</v>
      </c>
      <c r="E60" s="424">
        <f>5.618+57.728</f>
        <v>63.346000000000004</v>
      </c>
      <c r="F60" s="425">
        <v>46055</v>
      </c>
      <c r="G60" s="426"/>
      <c r="H60" s="423" t="s">
        <v>38</v>
      </c>
      <c r="I60" s="425">
        <v>46065</v>
      </c>
      <c r="J60" s="427"/>
      <c r="K60" s="428" t="s">
        <v>402</v>
      </c>
      <c r="L60" s="423" t="s">
        <v>353</v>
      </c>
      <c r="M60" s="425">
        <v>46066</v>
      </c>
      <c r="N60" s="423"/>
    </row>
    <row r="61" spans="1:14" ht="25.15" customHeight="1">
      <c r="A61" s="423">
        <v>59</v>
      </c>
      <c r="B61" s="423" t="s">
        <v>423</v>
      </c>
      <c r="C61" s="423" t="s">
        <v>350</v>
      </c>
      <c r="D61" s="423" t="s">
        <v>274</v>
      </c>
      <c r="E61" s="424">
        <f>5.618+57.728</f>
        <v>63.346000000000004</v>
      </c>
      <c r="F61" s="425">
        <v>46056</v>
      </c>
      <c r="G61" s="426"/>
      <c r="H61" s="423" t="s">
        <v>38</v>
      </c>
      <c r="I61" s="425">
        <v>46067</v>
      </c>
      <c r="J61" s="427"/>
      <c r="K61" s="428" t="s">
        <v>424</v>
      </c>
      <c r="L61" s="423" t="s">
        <v>353</v>
      </c>
      <c r="M61" s="425">
        <v>46067</v>
      </c>
      <c r="N61" s="423"/>
    </row>
    <row r="62" spans="1:14" ht="25.15" customHeight="1">
      <c r="A62" s="423">
        <v>60</v>
      </c>
      <c r="B62" s="423" t="s">
        <v>425</v>
      </c>
      <c r="C62" s="423" t="s">
        <v>330</v>
      </c>
      <c r="D62" s="423" t="s">
        <v>274</v>
      </c>
      <c r="E62" s="424">
        <f>107.372+9.661</f>
        <v>117.033</v>
      </c>
      <c r="F62" s="425">
        <v>46054</v>
      </c>
      <c r="G62" s="426"/>
      <c r="H62" s="423" t="s">
        <v>38</v>
      </c>
      <c r="I62" s="425">
        <v>46080</v>
      </c>
      <c r="J62" s="427"/>
      <c r="K62" s="428" t="s">
        <v>426</v>
      </c>
      <c r="L62" s="423" t="s">
        <v>353</v>
      </c>
      <c r="M62" s="425">
        <v>46080</v>
      </c>
      <c r="N62" s="423"/>
    </row>
    <row r="63" spans="1:14" ht="25.15" customHeight="1">
      <c r="A63" s="423">
        <v>61</v>
      </c>
      <c r="B63" s="423" t="s">
        <v>427</v>
      </c>
      <c r="C63" s="423" t="s">
        <v>292</v>
      </c>
      <c r="D63" s="423" t="s">
        <v>274</v>
      </c>
      <c r="E63" s="424">
        <f>178.06+14.314</f>
        <v>192.374</v>
      </c>
      <c r="F63" s="425">
        <v>46069</v>
      </c>
      <c r="G63" s="426"/>
      <c r="H63" s="423" t="s">
        <v>38</v>
      </c>
      <c r="I63" s="425">
        <v>46092</v>
      </c>
      <c r="J63" s="427"/>
      <c r="K63" s="428" t="s">
        <v>402</v>
      </c>
      <c r="L63" s="423" t="s">
        <v>353</v>
      </c>
      <c r="M63" s="425">
        <v>46096</v>
      </c>
      <c r="N63" s="423"/>
    </row>
    <row r="64" spans="1:14" ht="25.15" customHeight="1">
      <c r="A64" s="423">
        <v>62</v>
      </c>
      <c r="B64" s="423" t="s">
        <v>428</v>
      </c>
      <c r="C64" s="423" t="s">
        <v>373</v>
      </c>
      <c r="D64" s="423" t="s">
        <v>274</v>
      </c>
      <c r="E64" s="424">
        <f>123.384+11.401</f>
        <v>134.785</v>
      </c>
      <c r="F64" s="425">
        <v>46070</v>
      </c>
      <c r="G64" s="426"/>
      <c r="H64" s="423" t="s">
        <v>38</v>
      </c>
      <c r="I64" s="425">
        <v>46103</v>
      </c>
      <c r="J64" s="427"/>
      <c r="K64" s="428" t="s">
        <v>424</v>
      </c>
      <c r="L64" s="423" t="s">
        <v>353</v>
      </c>
      <c r="M64" s="425">
        <v>46103</v>
      </c>
      <c r="N64" s="423"/>
    </row>
    <row r="65" spans="1:14" ht="25.15" customHeight="1">
      <c r="A65" s="423">
        <v>63</v>
      </c>
      <c r="B65" s="423" t="s">
        <v>429</v>
      </c>
      <c r="C65" s="423" t="s">
        <v>357</v>
      </c>
      <c r="D65" s="423" t="s">
        <v>274</v>
      </c>
      <c r="E65" s="424">
        <f>59.68+5.951</f>
        <v>65.631</v>
      </c>
      <c r="F65" s="425">
        <v>46095</v>
      </c>
      <c r="G65" s="426"/>
      <c r="H65" s="423" t="s">
        <v>38</v>
      </c>
      <c r="I65" s="425">
        <v>46104</v>
      </c>
      <c r="J65" s="427"/>
      <c r="K65" s="428" t="s">
        <v>402</v>
      </c>
      <c r="L65" s="423" t="s">
        <v>353</v>
      </c>
      <c r="M65" s="425">
        <v>46105</v>
      </c>
      <c r="N65" s="423"/>
    </row>
    <row r="66" spans="1:14" ht="25.15" customHeight="1">
      <c r="A66" s="423">
        <v>64</v>
      </c>
      <c r="B66" s="423" t="s">
        <v>430</v>
      </c>
      <c r="C66" s="423" t="s">
        <v>350</v>
      </c>
      <c r="D66" s="423" t="s">
        <v>274</v>
      </c>
      <c r="E66" s="424">
        <f>57.728+5.618</f>
        <v>63.346000000000004</v>
      </c>
      <c r="F66" s="425">
        <v>46070</v>
      </c>
      <c r="G66" s="426"/>
      <c r="H66" s="423" t="s">
        <v>38</v>
      </c>
      <c r="I66" s="425">
        <v>46112</v>
      </c>
      <c r="J66" s="427"/>
      <c r="K66" s="428" t="s">
        <v>402</v>
      </c>
      <c r="L66" s="423" t="s">
        <v>353</v>
      </c>
      <c r="M66" s="425">
        <v>46112</v>
      </c>
      <c r="N66" s="423"/>
    </row>
    <row r="67" spans="1:14" ht="25.15" customHeight="1">
      <c r="A67" s="423">
        <v>65</v>
      </c>
      <c r="B67" s="423" t="s">
        <v>434</v>
      </c>
      <c r="C67" s="423" t="s">
        <v>357</v>
      </c>
      <c r="D67" s="423" t="s">
        <v>274</v>
      </c>
      <c r="E67" s="424">
        <f>59.68+5.951</f>
        <v>65.631</v>
      </c>
      <c r="F67" s="425">
        <v>46114</v>
      </c>
      <c r="G67" s="426"/>
      <c r="H67" s="423" t="s">
        <v>38</v>
      </c>
      <c r="I67" s="425">
        <v>46119</v>
      </c>
      <c r="J67" s="427"/>
      <c r="K67" s="428" t="s">
        <v>433</v>
      </c>
      <c r="L67" s="423" t="s">
        <v>353</v>
      </c>
      <c r="M67" s="425">
        <v>46119</v>
      </c>
      <c r="N67" s="423"/>
    </row>
    <row r="68" spans="1:14" ht="25.15" customHeight="1">
      <c r="A68" s="423">
        <v>66</v>
      </c>
      <c r="B68" s="423" t="s">
        <v>139</v>
      </c>
      <c r="C68" s="423" t="s">
        <v>357</v>
      </c>
      <c r="D68" s="423" t="s">
        <v>351</v>
      </c>
      <c r="E68" s="424">
        <f>37.148+3.486</f>
        <v>40.634</v>
      </c>
      <c r="F68" s="425">
        <v>46116</v>
      </c>
      <c r="G68" s="426"/>
      <c r="H68" s="423" t="s">
        <v>38</v>
      </c>
      <c r="I68" s="425">
        <v>46125</v>
      </c>
      <c r="J68" s="427"/>
      <c r="K68" s="428" t="s">
        <v>402</v>
      </c>
      <c r="L68" s="423" t="s">
        <v>353</v>
      </c>
      <c r="M68" s="425">
        <v>46133</v>
      </c>
      <c r="N68" s="423"/>
    </row>
    <row r="69" spans="1:14" ht="25.15" customHeight="1">
      <c r="A69" s="423">
        <v>67</v>
      </c>
      <c r="B69" s="423" t="s">
        <v>435</v>
      </c>
      <c r="C69" s="423" t="s">
        <v>350</v>
      </c>
      <c r="D69" s="423" t="s">
        <v>274</v>
      </c>
      <c r="E69" s="424">
        <f>57.728+5.618</f>
        <v>63.346000000000004</v>
      </c>
      <c r="F69" s="425">
        <v>46120</v>
      </c>
      <c r="G69" s="426"/>
      <c r="H69" s="423" t="s">
        <v>38</v>
      </c>
      <c r="I69" s="425">
        <v>46125</v>
      </c>
      <c r="J69" s="427"/>
      <c r="K69" s="428" t="s">
        <v>433</v>
      </c>
      <c r="L69" s="423" t="s">
        <v>353</v>
      </c>
      <c r="M69" s="425">
        <v>46126</v>
      </c>
      <c r="N69" s="423"/>
    </row>
    <row r="70" spans="1:14" ht="25.15" customHeight="1">
      <c r="A70" s="423">
        <v>68</v>
      </c>
      <c r="B70" s="423" t="s">
        <v>436</v>
      </c>
      <c r="C70" s="423" t="s">
        <v>357</v>
      </c>
      <c r="D70" s="423" t="s">
        <v>351</v>
      </c>
      <c r="E70" s="424">
        <f>3.486+37.148</f>
        <v>40.634</v>
      </c>
      <c r="F70" s="425">
        <v>46124</v>
      </c>
      <c r="G70" s="426"/>
      <c r="H70" s="423" t="s">
        <v>38</v>
      </c>
      <c r="I70" s="425">
        <v>46131</v>
      </c>
      <c r="J70" s="427"/>
      <c r="K70" s="428" t="s">
        <v>433</v>
      </c>
      <c r="L70" s="423" t="s">
        <v>353</v>
      </c>
      <c r="M70" s="425">
        <v>46131</v>
      </c>
      <c r="N70" s="423"/>
    </row>
    <row r="71" spans="1:14" ht="25.15" customHeight="1">
      <c r="A71" s="423">
        <v>69</v>
      </c>
      <c r="B71" s="423" t="s">
        <v>431</v>
      </c>
      <c r="C71" s="423" t="s">
        <v>350</v>
      </c>
      <c r="D71" s="423" t="s">
        <v>274</v>
      </c>
      <c r="E71" s="424">
        <f>57.728+5.618</f>
        <v>63.346000000000004</v>
      </c>
      <c r="F71" s="425">
        <v>46126</v>
      </c>
      <c r="G71" s="426"/>
      <c r="H71" s="423" t="s">
        <v>38</v>
      </c>
      <c r="I71" s="425">
        <v>46132</v>
      </c>
      <c r="J71" s="427"/>
      <c r="K71" s="428" t="s">
        <v>409</v>
      </c>
      <c r="L71" s="423" t="s">
        <v>353</v>
      </c>
      <c r="M71" s="425">
        <v>46160</v>
      </c>
      <c r="N71" s="423"/>
    </row>
    <row r="72" spans="1:14" ht="25.15" customHeight="1">
      <c r="A72" s="423">
        <v>70</v>
      </c>
      <c r="B72" s="423" t="s">
        <v>174</v>
      </c>
      <c r="C72" s="423" t="s">
        <v>298</v>
      </c>
      <c r="D72" s="423" t="s">
        <v>351</v>
      </c>
      <c r="E72" s="424">
        <f>166.88+11.31</f>
        <v>178.19</v>
      </c>
      <c r="F72" s="425">
        <v>46113</v>
      </c>
      <c r="G72" s="426"/>
      <c r="H72" s="423" t="s">
        <v>38</v>
      </c>
      <c r="I72" s="425">
        <v>46133</v>
      </c>
      <c r="J72" s="427"/>
      <c r="K72" s="428" t="s">
        <v>402</v>
      </c>
      <c r="L72" s="423" t="s">
        <v>353</v>
      </c>
      <c r="M72" s="425">
        <v>46134</v>
      </c>
      <c r="N72" s="423"/>
    </row>
    <row r="73" spans="1:14" ht="25.15" customHeight="1">
      <c r="A73" s="423">
        <v>71</v>
      </c>
      <c r="B73" s="423" t="s">
        <v>150</v>
      </c>
      <c r="C73" s="423" t="s">
        <v>309</v>
      </c>
      <c r="D73" s="423" t="s">
        <v>274</v>
      </c>
      <c r="E73" s="424">
        <f>9.997+110.464</f>
        <v>120.461</v>
      </c>
      <c r="F73" s="425">
        <v>46131</v>
      </c>
      <c r="G73" s="426" t="s">
        <v>67</v>
      </c>
      <c r="H73" s="423" t="s">
        <v>38</v>
      </c>
      <c r="I73" s="425">
        <v>46140</v>
      </c>
      <c r="J73" s="427"/>
      <c r="K73" s="428" t="s">
        <v>433</v>
      </c>
      <c r="L73" s="423" t="s">
        <v>353</v>
      </c>
      <c r="M73" s="425">
        <v>46140</v>
      </c>
      <c r="N73" s="423"/>
    </row>
    <row r="74" spans="1:14" ht="25.15" customHeight="1">
      <c r="A74" s="423">
        <v>72</v>
      </c>
      <c r="B74" s="423" t="s">
        <v>437</v>
      </c>
      <c r="C74" s="423" t="s">
        <v>357</v>
      </c>
      <c r="D74" s="423" t="s">
        <v>351</v>
      </c>
      <c r="E74" s="424">
        <f>3.486+37.148</f>
        <v>40.634</v>
      </c>
      <c r="F74" s="425">
        <v>46131</v>
      </c>
      <c r="G74" s="426" t="s">
        <v>67</v>
      </c>
      <c r="H74" s="423" t="s">
        <v>38</v>
      </c>
      <c r="I74" s="425">
        <v>46141</v>
      </c>
      <c r="J74" s="427"/>
      <c r="K74" s="428" t="s">
        <v>409</v>
      </c>
      <c r="L74" s="423" t="s">
        <v>353</v>
      </c>
      <c r="M74" s="425">
        <v>46171</v>
      </c>
      <c r="N74" s="423"/>
    </row>
    <row r="75" spans="1:14" ht="25.15" customHeight="1">
      <c r="A75" s="423">
        <v>73</v>
      </c>
      <c r="B75" s="423" t="s">
        <v>432</v>
      </c>
      <c r="C75" s="423" t="s">
        <v>350</v>
      </c>
      <c r="D75" s="423" t="s">
        <v>274</v>
      </c>
      <c r="E75" s="424">
        <f>57.728+5.618</f>
        <v>63.346000000000004</v>
      </c>
      <c r="F75" s="425">
        <v>46141</v>
      </c>
      <c r="G75" s="426" t="s">
        <v>67</v>
      </c>
      <c r="H75" s="423" t="s">
        <v>38</v>
      </c>
      <c r="I75" s="425">
        <v>46148</v>
      </c>
      <c r="J75" s="427"/>
      <c r="K75" s="428" t="s">
        <v>433</v>
      </c>
      <c r="L75" s="423" t="s">
        <v>353</v>
      </c>
      <c r="M75" s="425">
        <v>46150</v>
      </c>
      <c r="N75" s="423"/>
    </row>
    <row r="76" spans="1:14" ht="25.15" customHeight="1">
      <c r="A76" s="423">
        <v>74</v>
      </c>
      <c r="B76" s="423" t="s">
        <v>438</v>
      </c>
      <c r="C76" s="423" t="s">
        <v>350</v>
      </c>
      <c r="D76" s="423" t="s">
        <v>351</v>
      </c>
      <c r="E76" s="424">
        <f>3.264+35.862</f>
        <v>39.126000000000005</v>
      </c>
      <c r="F76" s="425">
        <v>46149</v>
      </c>
      <c r="G76" s="426"/>
      <c r="H76" s="423" t="s">
        <v>38</v>
      </c>
      <c r="I76" s="425">
        <v>46155</v>
      </c>
      <c r="J76" s="427"/>
      <c r="K76" s="428" t="s">
        <v>433</v>
      </c>
      <c r="L76" s="423" t="s">
        <v>353</v>
      </c>
      <c r="M76" s="425">
        <v>46157</v>
      </c>
      <c r="N76" s="423"/>
    </row>
    <row r="77" spans="1:14" ht="25.15" customHeight="1">
      <c r="A77" s="423">
        <v>75</v>
      </c>
      <c r="B77" s="423" t="s">
        <v>439</v>
      </c>
      <c r="C77" s="423" t="s">
        <v>350</v>
      </c>
      <c r="D77" s="423" t="s">
        <v>274</v>
      </c>
      <c r="E77" s="424">
        <f>57.728+5.618</f>
        <v>63.346000000000004</v>
      </c>
      <c r="F77" s="425">
        <v>46134</v>
      </c>
      <c r="G77" s="426" t="s">
        <v>67</v>
      </c>
      <c r="H77" s="423" t="s">
        <v>38</v>
      </c>
      <c r="I77" s="425">
        <v>46158</v>
      </c>
      <c r="J77" s="427"/>
      <c r="K77" s="428" t="s">
        <v>440</v>
      </c>
      <c r="L77" s="423" t="s">
        <v>353</v>
      </c>
      <c r="M77" s="425">
        <v>46159</v>
      </c>
      <c r="N77" s="423"/>
    </row>
    <row r="78" spans="1:14" ht="25.15" customHeight="1">
      <c r="A78" s="423">
        <v>76</v>
      </c>
      <c r="B78" s="423" t="s">
        <v>441</v>
      </c>
      <c r="C78" s="423" t="s">
        <v>350</v>
      </c>
      <c r="D78" s="423" t="s">
        <v>351</v>
      </c>
      <c r="E78" s="424">
        <f>3.264+35.862</f>
        <v>39.126000000000005</v>
      </c>
      <c r="F78" s="425">
        <v>46153</v>
      </c>
      <c r="G78" s="426" t="s">
        <v>67</v>
      </c>
      <c r="H78" s="423" t="s">
        <v>38</v>
      </c>
      <c r="I78" s="425">
        <v>46159</v>
      </c>
      <c r="J78" s="427"/>
      <c r="K78" s="428" t="s">
        <v>433</v>
      </c>
      <c r="L78" s="423" t="s">
        <v>353</v>
      </c>
      <c r="M78" s="425">
        <v>46160</v>
      </c>
      <c r="N78" s="423"/>
    </row>
    <row r="79" spans="1:14" ht="25.15" customHeight="1">
      <c r="A79" s="423">
        <v>77</v>
      </c>
      <c r="B79" s="423" t="s">
        <v>442</v>
      </c>
      <c r="C79" s="423" t="s">
        <v>373</v>
      </c>
      <c r="D79" s="423" t="s">
        <v>351</v>
      </c>
      <c r="E79" s="424">
        <f>7.224+85.068</f>
        <v>92.292000000000002</v>
      </c>
      <c r="F79" s="425">
        <v>46151</v>
      </c>
      <c r="G79" s="426"/>
      <c r="H79" s="423" t="s">
        <v>38</v>
      </c>
      <c r="I79" s="425">
        <v>46160</v>
      </c>
      <c r="J79" s="427"/>
      <c r="K79" s="428" t="s">
        <v>402</v>
      </c>
      <c r="L79" s="423" t="s">
        <v>353</v>
      </c>
      <c r="M79" s="425">
        <v>46159</v>
      </c>
      <c r="N79" s="423"/>
    </row>
    <row r="80" spans="1:14" ht="25.15" customHeight="1">
      <c r="A80" s="423">
        <v>78</v>
      </c>
      <c r="B80" s="423" t="s">
        <v>445</v>
      </c>
      <c r="C80" s="423" t="s">
        <v>298</v>
      </c>
      <c r="D80" s="423" t="s">
        <v>446</v>
      </c>
      <c r="E80" s="424">
        <f>19.88+286.172</f>
        <v>306.05200000000002</v>
      </c>
      <c r="F80" s="425">
        <v>46116</v>
      </c>
      <c r="G80" s="426" t="s">
        <v>67</v>
      </c>
      <c r="H80" s="423" t="s">
        <v>38</v>
      </c>
      <c r="I80" s="425">
        <v>46162</v>
      </c>
      <c r="J80" s="427"/>
      <c r="K80" s="428" t="s">
        <v>447</v>
      </c>
      <c r="L80" s="423" t="s">
        <v>353</v>
      </c>
      <c r="M80" s="425">
        <v>46150</v>
      </c>
      <c r="N80" s="423"/>
    </row>
    <row r="81" spans="1:14" ht="25.15" customHeight="1">
      <c r="A81" s="423">
        <v>79</v>
      </c>
      <c r="B81" s="423" t="s">
        <v>443</v>
      </c>
      <c r="C81" s="423" t="s">
        <v>357</v>
      </c>
      <c r="D81" s="423" t="s">
        <v>351</v>
      </c>
      <c r="E81" s="424">
        <f>37.148+3.486</f>
        <v>40.634</v>
      </c>
      <c r="F81" s="425">
        <v>46159</v>
      </c>
      <c r="G81" s="426" t="s">
        <v>67</v>
      </c>
      <c r="H81" s="423" t="s">
        <v>38</v>
      </c>
      <c r="I81" s="425">
        <v>46162</v>
      </c>
      <c r="J81" s="427"/>
      <c r="K81" s="428" t="s">
        <v>433</v>
      </c>
      <c r="L81" s="423" t="s">
        <v>353</v>
      </c>
      <c r="M81" s="425">
        <v>46162</v>
      </c>
      <c r="N81" s="423" t="s">
        <v>444</v>
      </c>
    </row>
    <row r="82" spans="1:14" ht="25.15" customHeight="1">
      <c r="A82" s="423">
        <v>80</v>
      </c>
      <c r="B82" s="423" t="s">
        <v>448</v>
      </c>
      <c r="C82" s="423" t="s">
        <v>357</v>
      </c>
      <c r="D82" s="423" t="s">
        <v>351</v>
      </c>
      <c r="E82" s="424">
        <f>37.148+3.486</f>
        <v>40.634</v>
      </c>
      <c r="F82" s="425">
        <v>46161</v>
      </c>
      <c r="G82" s="426" t="s">
        <v>67</v>
      </c>
      <c r="H82" s="423" t="s">
        <v>38</v>
      </c>
      <c r="I82" s="425">
        <v>46165</v>
      </c>
      <c r="J82" s="427"/>
      <c r="K82" s="428" t="s">
        <v>402</v>
      </c>
      <c r="L82" s="423" t="s">
        <v>353</v>
      </c>
      <c r="M82" s="425">
        <v>46166</v>
      </c>
      <c r="N82" s="423" t="s">
        <v>67</v>
      </c>
    </row>
    <row r="83" spans="1:14" ht="25.15" customHeight="1">
      <c r="A83" s="423">
        <v>81</v>
      </c>
      <c r="B83" s="423" t="s">
        <v>449</v>
      </c>
      <c r="C83" s="423" t="s">
        <v>357</v>
      </c>
      <c r="D83" s="423" t="s">
        <v>274</v>
      </c>
      <c r="E83" s="424">
        <f>59.68+5.951</f>
        <v>65.631</v>
      </c>
      <c r="F83" s="425">
        <v>46162</v>
      </c>
      <c r="G83" s="426" t="s">
        <v>67</v>
      </c>
      <c r="H83" s="423" t="s">
        <v>38</v>
      </c>
      <c r="I83" s="425">
        <v>46168</v>
      </c>
      <c r="J83" s="427"/>
      <c r="K83" s="428" t="s">
        <v>433</v>
      </c>
      <c r="L83" s="423" t="s">
        <v>353</v>
      </c>
      <c r="M83" s="425">
        <v>46169</v>
      </c>
      <c r="N83" s="423" t="s">
        <v>67</v>
      </c>
    </row>
    <row r="84" spans="1:14" ht="25.15" customHeight="1">
      <c r="A84" s="423">
        <v>82</v>
      </c>
      <c r="B84" s="423" t="s">
        <v>151</v>
      </c>
      <c r="C84" s="423" t="s">
        <v>335</v>
      </c>
      <c r="D84" s="423" t="s">
        <v>274</v>
      </c>
      <c r="E84" s="424">
        <f>72.684+7.26</f>
        <v>79.944000000000003</v>
      </c>
      <c r="F84" s="425">
        <v>46142</v>
      </c>
      <c r="G84" s="426" t="s">
        <v>67</v>
      </c>
      <c r="H84" s="423" t="s">
        <v>38</v>
      </c>
      <c r="I84" s="425">
        <v>46169</v>
      </c>
      <c r="J84" s="427"/>
      <c r="K84" s="428" t="s">
        <v>409</v>
      </c>
      <c r="L84" s="423" t="s">
        <v>353</v>
      </c>
      <c r="M84" s="425">
        <v>46173</v>
      </c>
      <c r="N84" s="423"/>
    </row>
    <row r="85" spans="1:14" ht="25.15" customHeight="1">
      <c r="A85" s="423">
        <v>83</v>
      </c>
      <c r="B85" s="423" t="s">
        <v>452</v>
      </c>
      <c r="C85" s="423" t="s">
        <v>357</v>
      </c>
      <c r="D85" s="423" t="s">
        <v>274</v>
      </c>
      <c r="E85" s="424">
        <f>59.68+5.951</f>
        <v>65.631</v>
      </c>
      <c r="F85" s="425">
        <v>46164</v>
      </c>
      <c r="G85" s="426"/>
      <c r="H85" s="423" t="s">
        <v>38</v>
      </c>
      <c r="I85" s="425">
        <v>46173</v>
      </c>
      <c r="J85" s="427"/>
      <c r="K85" s="428" t="s">
        <v>381</v>
      </c>
      <c r="L85" s="423" t="s">
        <v>353</v>
      </c>
      <c r="M85" s="425">
        <v>46182</v>
      </c>
      <c r="N85" s="423"/>
    </row>
    <row r="86" spans="1:14" ht="25.15" customHeight="1">
      <c r="A86" s="423">
        <v>84</v>
      </c>
      <c r="B86" s="423" t="s">
        <v>453</v>
      </c>
      <c r="C86" s="423" t="s">
        <v>350</v>
      </c>
      <c r="D86" s="423" t="s">
        <v>274</v>
      </c>
      <c r="E86" s="424">
        <f>57.728+5.618</f>
        <v>63.346000000000004</v>
      </c>
      <c r="F86" s="425">
        <v>46170</v>
      </c>
      <c r="G86" s="426"/>
      <c r="H86" s="423" t="s">
        <v>38</v>
      </c>
      <c r="I86" s="425">
        <v>46173</v>
      </c>
      <c r="J86" s="427"/>
      <c r="K86" s="428" t="s">
        <v>433</v>
      </c>
      <c r="L86" s="423" t="s">
        <v>353</v>
      </c>
      <c r="M86" s="425">
        <v>46176</v>
      </c>
      <c r="N86" s="423"/>
    </row>
    <row r="87" spans="1:14" ht="25.15" customHeight="1">
      <c r="A87" s="423">
        <v>85</v>
      </c>
      <c r="B87" s="423" t="s">
        <v>450</v>
      </c>
      <c r="C87" s="423" t="s">
        <v>300</v>
      </c>
      <c r="D87" s="423" t="s">
        <v>420</v>
      </c>
      <c r="E87" s="424">
        <f>111.81+15.7</f>
        <v>127.51</v>
      </c>
      <c r="F87" s="425">
        <v>46164</v>
      </c>
      <c r="G87" s="426"/>
      <c r="H87" s="423" t="s">
        <v>38</v>
      </c>
      <c r="I87" s="425">
        <v>46173</v>
      </c>
      <c r="J87" s="427"/>
      <c r="K87" s="428" t="s">
        <v>451</v>
      </c>
      <c r="L87" s="423" t="s">
        <v>353</v>
      </c>
      <c r="M87" s="425">
        <v>46181</v>
      </c>
      <c r="N87" s="423"/>
    </row>
    <row r="88" spans="1:14" ht="25.15" customHeight="1">
      <c r="A88" s="423">
        <v>86</v>
      </c>
      <c r="B88" s="423" t="s">
        <v>454</v>
      </c>
      <c r="C88" s="423" t="s">
        <v>357</v>
      </c>
      <c r="D88" s="423" t="s">
        <v>351</v>
      </c>
      <c r="E88" s="424">
        <f>37.148+3.486</f>
        <v>40.634</v>
      </c>
      <c r="F88" s="425">
        <v>46170</v>
      </c>
      <c r="G88" s="426" t="s">
        <v>67</v>
      </c>
      <c r="H88" s="423" t="s">
        <v>38</v>
      </c>
      <c r="I88" s="425">
        <v>46179</v>
      </c>
      <c r="J88" s="427"/>
      <c r="K88" s="428" t="s">
        <v>381</v>
      </c>
      <c r="L88" s="423" t="s">
        <v>353</v>
      </c>
      <c r="M88" s="425">
        <v>46181</v>
      </c>
      <c r="N88" s="423" t="s">
        <v>67</v>
      </c>
    </row>
    <row r="89" spans="1:14" ht="25.15" customHeight="1">
      <c r="A89" s="423">
        <v>87</v>
      </c>
      <c r="B89" s="423" t="s">
        <v>456</v>
      </c>
      <c r="C89" s="423" t="s">
        <v>357</v>
      </c>
      <c r="D89" s="423" t="s">
        <v>351</v>
      </c>
      <c r="E89" s="424">
        <f>37.148+3.486</f>
        <v>40.634</v>
      </c>
      <c r="F89" s="425">
        <v>46162</v>
      </c>
      <c r="G89" s="426" t="s">
        <v>67</v>
      </c>
      <c r="H89" s="423" t="s">
        <v>38</v>
      </c>
      <c r="I89" s="425">
        <v>46179</v>
      </c>
      <c r="J89" s="427"/>
      <c r="K89" s="428" t="s">
        <v>457</v>
      </c>
      <c r="L89" s="423"/>
      <c r="M89" s="425"/>
      <c r="N89" s="423" t="s">
        <v>67</v>
      </c>
    </row>
    <row r="90" spans="1:14" ht="25.15" customHeight="1">
      <c r="A90" s="423">
        <v>88</v>
      </c>
      <c r="B90" s="423" t="s">
        <v>455</v>
      </c>
      <c r="C90" s="423" t="s">
        <v>373</v>
      </c>
      <c r="D90" s="423" t="s">
        <v>446</v>
      </c>
      <c r="E90" s="424">
        <f>155.628+13.285</f>
        <v>168.91299999999998</v>
      </c>
      <c r="F90" s="425">
        <v>46170</v>
      </c>
      <c r="G90" s="426" t="s">
        <v>67</v>
      </c>
      <c r="H90" s="423" t="s">
        <v>38</v>
      </c>
      <c r="I90" s="425">
        <v>46183</v>
      </c>
      <c r="J90" s="427"/>
      <c r="K90" s="428" t="s">
        <v>433</v>
      </c>
      <c r="L90" s="423"/>
      <c r="M90" s="425"/>
      <c r="N90" s="423" t="s">
        <v>67</v>
      </c>
    </row>
    <row r="91" spans="1:14" ht="25.15" customHeight="1">
      <c r="A91" s="423">
        <v>89</v>
      </c>
      <c r="B91" s="423" t="s">
        <v>458</v>
      </c>
      <c r="C91" s="423" t="s">
        <v>357</v>
      </c>
      <c r="D91" s="423" t="s">
        <v>351</v>
      </c>
      <c r="E91" s="424">
        <f>37.148+3.486</f>
        <v>40.634</v>
      </c>
      <c r="F91" s="425">
        <v>46176</v>
      </c>
      <c r="G91" s="426" t="s">
        <v>67</v>
      </c>
      <c r="H91" s="423" t="s">
        <v>38</v>
      </c>
      <c r="I91" s="425">
        <v>46184</v>
      </c>
      <c r="J91" s="427"/>
      <c r="K91" s="428" t="s">
        <v>381</v>
      </c>
      <c r="L91" s="423"/>
      <c r="M91" s="425"/>
      <c r="N91" s="423"/>
    </row>
    <row r="92" spans="1:14" ht="25.15" customHeight="1">
      <c r="A92" s="423">
        <v>90</v>
      </c>
      <c r="B92" s="423" t="s">
        <v>459</v>
      </c>
      <c r="C92" s="423" t="s">
        <v>460</v>
      </c>
      <c r="D92" s="423" t="s">
        <v>274</v>
      </c>
      <c r="E92" s="424">
        <v>117.033</v>
      </c>
      <c r="F92" s="425">
        <v>46181</v>
      </c>
      <c r="G92" s="426" t="s">
        <v>67</v>
      </c>
      <c r="H92" s="423" t="s">
        <v>38</v>
      </c>
      <c r="I92" s="425">
        <v>46187</v>
      </c>
      <c r="J92" s="427"/>
      <c r="K92" s="428" t="s">
        <v>433</v>
      </c>
      <c r="L92" s="423" t="s">
        <v>353</v>
      </c>
      <c r="M92" s="425">
        <v>46188</v>
      </c>
      <c r="N92" s="423"/>
    </row>
    <row r="93" spans="1:14" ht="25.15" customHeight="1">
      <c r="A93" s="423">
        <v>91</v>
      </c>
      <c r="B93" s="423" t="s">
        <v>580</v>
      </c>
      <c r="C93" s="423" t="s">
        <v>350</v>
      </c>
      <c r="D93" s="423" t="s">
        <v>274</v>
      </c>
      <c r="E93" s="424">
        <v>63.346000000000004</v>
      </c>
      <c r="F93" s="425">
        <v>46181</v>
      </c>
      <c r="G93" s="426" t="s">
        <v>67</v>
      </c>
      <c r="H93" s="423" t="s">
        <v>38</v>
      </c>
      <c r="I93" s="425">
        <v>46187</v>
      </c>
      <c r="J93" s="427"/>
      <c r="K93" s="428" t="s">
        <v>402</v>
      </c>
      <c r="L93" s="423" t="s">
        <v>353</v>
      </c>
      <c r="M93" s="425">
        <v>46188</v>
      </c>
      <c r="N93" s="423"/>
    </row>
    <row r="94" spans="1:14" ht="25.15" customHeight="1">
      <c r="A94" s="423">
        <v>92</v>
      </c>
      <c r="B94" s="423" t="s">
        <v>555</v>
      </c>
      <c r="C94" s="423" t="s">
        <v>350</v>
      </c>
      <c r="D94" s="423" t="s">
        <v>351</v>
      </c>
      <c r="E94" s="424">
        <v>39.126000000000005</v>
      </c>
      <c r="F94" s="425">
        <v>46181</v>
      </c>
      <c r="G94" s="426" t="s">
        <v>67</v>
      </c>
      <c r="H94" s="423" t="s">
        <v>38</v>
      </c>
      <c r="I94" s="425">
        <v>46188</v>
      </c>
      <c r="J94" s="427"/>
      <c r="K94" s="428" t="s">
        <v>426</v>
      </c>
      <c r="L94" s="423" t="s">
        <v>353</v>
      </c>
      <c r="M94" s="425">
        <v>46189</v>
      </c>
      <c r="N94" s="423"/>
    </row>
    <row r="95" spans="1:14" ht="25.15" customHeight="1">
      <c r="A95" s="423">
        <v>93</v>
      </c>
      <c r="B95" s="423" t="s">
        <v>562</v>
      </c>
      <c r="C95" s="423" t="s">
        <v>396</v>
      </c>
      <c r="D95" s="423" t="s">
        <v>274</v>
      </c>
      <c r="E95" s="424">
        <f>5.618+57.728</f>
        <v>63.346000000000004</v>
      </c>
      <c r="F95" s="425">
        <v>46188</v>
      </c>
      <c r="G95" s="426"/>
      <c r="H95" s="423" t="s">
        <v>38</v>
      </c>
      <c r="I95" s="425">
        <v>46193</v>
      </c>
      <c r="J95" s="427"/>
      <c r="K95" s="428" t="s">
        <v>433</v>
      </c>
      <c r="L95" s="423"/>
      <c r="M95" s="425"/>
      <c r="N95" s="423"/>
    </row>
    <row r="96" spans="1:14" ht="25.15" customHeight="1">
      <c r="A96" s="423">
        <v>94</v>
      </c>
      <c r="B96" s="423" t="s">
        <v>552</v>
      </c>
      <c r="C96" s="423" t="s">
        <v>373</v>
      </c>
      <c r="D96" s="423" t="s">
        <v>274</v>
      </c>
      <c r="E96" s="424">
        <v>134.785</v>
      </c>
      <c r="F96" s="425">
        <v>46185</v>
      </c>
      <c r="G96" s="426" t="s">
        <v>67</v>
      </c>
      <c r="H96" s="423" t="s">
        <v>38</v>
      </c>
      <c r="I96" s="425">
        <v>46198</v>
      </c>
      <c r="J96" s="427"/>
      <c r="K96" s="428" t="s">
        <v>1085</v>
      </c>
      <c r="L96" s="423" t="s">
        <v>353</v>
      </c>
      <c r="M96" s="425">
        <v>46199</v>
      </c>
      <c r="N96" s="423"/>
    </row>
    <row r="97" spans="1:3185" ht="25.15" customHeight="1">
      <c r="A97" s="423">
        <v>95</v>
      </c>
      <c r="B97" s="423" t="s">
        <v>559</v>
      </c>
      <c r="C97" s="423" t="s">
        <v>561</v>
      </c>
      <c r="D97" s="423" t="s">
        <v>274</v>
      </c>
      <c r="E97" s="424">
        <v>65.631</v>
      </c>
      <c r="F97" s="425">
        <v>46194</v>
      </c>
      <c r="G97" s="426" t="s">
        <v>67</v>
      </c>
      <c r="H97" s="423" t="s">
        <v>38</v>
      </c>
      <c r="I97" s="425">
        <v>46198</v>
      </c>
      <c r="J97" s="427"/>
      <c r="K97" s="428" t="s">
        <v>433</v>
      </c>
      <c r="L97" s="423" t="s">
        <v>353</v>
      </c>
      <c r="M97" s="425">
        <v>46199</v>
      </c>
      <c r="N97" s="423"/>
    </row>
    <row r="98" spans="1:3185" ht="100.5" customHeight="1">
      <c r="A98" s="488">
        <v>96</v>
      </c>
      <c r="B98" s="494" t="s">
        <v>567</v>
      </c>
      <c r="C98" s="495" t="s">
        <v>300</v>
      </c>
      <c r="D98" s="489" t="s">
        <v>274</v>
      </c>
      <c r="E98" s="493">
        <v>89.905000000000001</v>
      </c>
      <c r="F98" s="490">
        <v>46193</v>
      </c>
      <c r="G98" s="495" t="s">
        <v>1182</v>
      </c>
      <c r="H98" s="488"/>
      <c r="I98" s="490" t="s">
        <v>67</v>
      </c>
      <c r="J98" s="491"/>
      <c r="K98" s="492" t="s">
        <v>355</v>
      </c>
      <c r="L98" s="488"/>
      <c r="M98" s="496"/>
      <c r="N98" s="488"/>
    </row>
    <row r="99" spans="1:3185" ht="3" hidden="1" customHeight="1">
      <c r="A99" s="488">
        <v>96</v>
      </c>
      <c r="B99" s="494" t="s">
        <v>579</v>
      </c>
      <c r="C99" s="495" t="s">
        <v>350</v>
      </c>
      <c r="D99" s="489" t="s">
        <v>351</v>
      </c>
      <c r="E99" s="493">
        <v>39.126000000000005</v>
      </c>
      <c r="F99" s="490" t="s">
        <v>1097</v>
      </c>
      <c r="G99" s="538" t="s">
        <v>1180</v>
      </c>
      <c r="H99" s="488"/>
      <c r="I99" s="490"/>
      <c r="J99" s="491"/>
      <c r="K99" s="492" t="s">
        <v>1089</v>
      </c>
      <c r="L99" s="490"/>
      <c r="M99" s="496"/>
      <c r="N99" s="488"/>
    </row>
    <row r="100" spans="1:3185" ht="45.65" customHeight="1">
      <c r="A100" s="488">
        <v>98</v>
      </c>
      <c r="B100" s="494" t="s">
        <v>625</v>
      </c>
      <c r="C100" s="495" t="s">
        <v>902</v>
      </c>
      <c r="D100" s="489" t="s">
        <v>274</v>
      </c>
      <c r="E100" s="493"/>
      <c r="F100" s="490"/>
      <c r="G100" s="539"/>
      <c r="H100" s="488"/>
      <c r="I100" s="490"/>
      <c r="J100" s="491"/>
      <c r="K100" s="492" t="s">
        <v>67</v>
      </c>
      <c r="L100" s="488"/>
      <c r="M100" s="496"/>
      <c r="N100" s="488"/>
    </row>
    <row r="101" spans="1:3185" ht="30" customHeight="1">
      <c r="A101" s="387"/>
      <c r="B101" s="388"/>
      <c r="C101" s="389"/>
      <c r="D101" s="390"/>
      <c r="E101" s="391"/>
      <c r="F101" s="421"/>
      <c r="G101" s="396"/>
      <c r="H101" s="392"/>
      <c r="I101" s="422"/>
      <c r="J101" s="394"/>
      <c r="K101" s="411"/>
      <c r="M101" s="408"/>
    </row>
    <row r="102" spans="1:3185" ht="30" customHeight="1">
      <c r="A102" s="387"/>
      <c r="B102" s="388"/>
      <c r="C102" s="389"/>
      <c r="D102" s="390"/>
      <c r="E102" s="391"/>
      <c r="F102" s="421"/>
      <c r="G102" s="396"/>
      <c r="H102" s="406"/>
      <c r="I102" s="422"/>
      <c r="J102" s="394"/>
      <c r="K102" s="411"/>
      <c r="M102" s="408"/>
    </row>
    <row r="103" spans="1:3185" ht="30" customHeight="1">
      <c r="A103" s="387"/>
      <c r="B103" s="388"/>
      <c r="C103" s="389"/>
      <c r="D103" s="390"/>
      <c r="E103" s="391"/>
      <c r="F103" s="421"/>
      <c r="G103" s="396"/>
      <c r="H103" s="406"/>
      <c r="I103" s="422"/>
      <c r="J103" s="394"/>
      <c r="K103" s="411"/>
    </row>
    <row r="104" spans="1:3185" ht="30" customHeight="1">
      <c r="A104" s="387"/>
      <c r="B104" s="388"/>
      <c r="C104" s="389"/>
      <c r="D104" s="390"/>
      <c r="E104" s="391"/>
      <c r="F104" s="421"/>
      <c r="G104" s="399"/>
      <c r="H104" s="406"/>
      <c r="I104" s="422"/>
      <c r="J104" s="394"/>
      <c r="K104" s="411"/>
      <c r="M104" s="408"/>
    </row>
    <row r="105" spans="1:3185" ht="30" customHeight="1">
      <c r="A105" s="387"/>
      <c r="B105" s="388"/>
      <c r="C105" s="389"/>
      <c r="D105" s="390"/>
      <c r="E105" s="391"/>
      <c r="F105" s="421"/>
      <c r="G105" s="396"/>
      <c r="H105" s="406"/>
      <c r="I105" s="422"/>
      <c r="J105" s="394"/>
      <c r="K105" s="411"/>
    </row>
    <row r="106" spans="1:3185" ht="30" customHeight="1">
      <c r="A106" s="387"/>
      <c r="B106" s="388"/>
      <c r="C106" s="389"/>
      <c r="D106" s="390"/>
      <c r="E106" s="391"/>
      <c r="F106" s="421"/>
      <c r="G106" s="396"/>
      <c r="H106" s="406"/>
      <c r="I106" s="422"/>
      <c r="J106" s="394"/>
      <c r="K106" s="411"/>
      <c r="M106" s="408"/>
    </row>
    <row r="107" spans="1:3185" ht="30" customHeight="1">
      <c r="A107" s="387"/>
      <c r="B107" s="388"/>
      <c r="C107" s="389"/>
      <c r="D107" s="390"/>
      <c r="E107" s="391"/>
      <c r="F107" s="421"/>
      <c r="G107" s="396"/>
      <c r="H107" s="406"/>
      <c r="I107" s="422"/>
      <c r="J107" s="394"/>
      <c r="K107" s="411"/>
    </row>
    <row r="108" spans="1:3185" ht="30" customHeight="1">
      <c r="A108" s="387"/>
      <c r="B108" s="388"/>
      <c r="C108" s="389"/>
      <c r="D108" s="390"/>
      <c r="E108" s="391"/>
      <c r="F108" s="421"/>
      <c r="G108" s="396"/>
      <c r="H108" s="406"/>
      <c r="I108" s="422"/>
      <c r="J108" s="394"/>
      <c r="K108" s="411"/>
    </row>
    <row r="109" spans="1:3185" ht="30" customHeight="1">
      <c r="A109" s="387"/>
      <c r="B109" s="388"/>
      <c r="C109" s="389"/>
      <c r="D109" s="390"/>
      <c r="E109" s="391"/>
      <c r="F109" s="421"/>
      <c r="G109" s="396"/>
      <c r="H109" s="406"/>
      <c r="I109" s="422"/>
      <c r="J109" s="394"/>
      <c r="K109" s="411"/>
      <c r="M109" s="408"/>
    </row>
    <row r="110" spans="1:3185" ht="30" customHeight="1">
      <c r="A110" s="387"/>
      <c r="B110" s="388"/>
      <c r="C110" s="389"/>
      <c r="D110" s="390"/>
      <c r="E110" s="391"/>
      <c r="F110" s="421"/>
      <c r="G110" s="396"/>
      <c r="H110" s="406"/>
      <c r="I110" s="422"/>
      <c r="J110" s="394"/>
      <c r="K110" s="411"/>
      <c r="O110" s="386"/>
      <c r="P110" s="386"/>
      <c r="Q110" s="386"/>
      <c r="R110" s="386"/>
      <c r="S110" s="386"/>
      <c r="T110" s="386"/>
      <c r="U110" s="386"/>
      <c r="V110" s="386"/>
      <c r="W110" s="386"/>
      <c r="X110" s="386"/>
      <c r="Y110" s="386"/>
      <c r="Z110" s="386"/>
      <c r="AA110" s="386"/>
      <c r="AB110" s="386"/>
      <c r="AC110" s="386"/>
      <c r="AD110" s="386"/>
      <c r="AE110" s="386"/>
      <c r="AF110" s="386"/>
      <c r="AG110" s="386"/>
      <c r="AH110" s="386"/>
      <c r="AI110" s="386"/>
      <c r="AJ110" s="386"/>
      <c r="AK110" s="386"/>
      <c r="AL110" s="386"/>
      <c r="AM110" s="386"/>
      <c r="AN110" s="386"/>
      <c r="AO110" s="386"/>
      <c r="AP110" s="386"/>
      <c r="AQ110" s="386"/>
      <c r="AR110" s="386"/>
      <c r="AS110" s="386"/>
      <c r="AT110" s="386"/>
      <c r="AU110" s="386"/>
      <c r="AV110" s="386"/>
      <c r="AW110" s="386"/>
      <c r="AX110" s="386"/>
      <c r="AY110" s="386"/>
      <c r="AZ110" s="386"/>
      <c r="BA110" s="386"/>
      <c r="BB110" s="386"/>
      <c r="BC110" s="386"/>
      <c r="BD110" s="386"/>
      <c r="BE110" s="386"/>
      <c r="BF110" s="386"/>
      <c r="BG110" s="386"/>
      <c r="BH110" s="386"/>
      <c r="BI110" s="386"/>
      <c r="BJ110" s="386"/>
      <c r="BK110" s="386"/>
      <c r="BL110" s="386"/>
      <c r="BM110" s="386"/>
      <c r="BN110" s="386"/>
      <c r="BO110" s="386"/>
      <c r="BP110" s="386"/>
      <c r="BQ110" s="386"/>
      <c r="BR110" s="386"/>
      <c r="BS110" s="386"/>
      <c r="BT110" s="386"/>
      <c r="BU110" s="386"/>
      <c r="BV110" s="386"/>
      <c r="BW110" s="386"/>
      <c r="BX110" s="386"/>
      <c r="BY110" s="386"/>
      <c r="BZ110" s="386"/>
      <c r="CA110" s="386"/>
      <c r="CB110" s="386"/>
      <c r="CC110" s="386"/>
      <c r="CD110" s="386"/>
      <c r="CE110" s="386"/>
      <c r="CF110" s="386"/>
      <c r="CG110" s="386"/>
      <c r="CH110" s="386"/>
      <c r="CI110" s="386"/>
      <c r="CJ110" s="386"/>
      <c r="CK110" s="386"/>
      <c r="CL110" s="386"/>
      <c r="CM110" s="386"/>
      <c r="CN110" s="386"/>
      <c r="CO110" s="386"/>
      <c r="CP110" s="386"/>
      <c r="CQ110" s="386"/>
      <c r="CR110" s="386"/>
      <c r="CS110" s="386"/>
      <c r="CT110" s="386"/>
      <c r="CU110" s="386"/>
      <c r="CV110" s="386"/>
      <c r="CW110" s="386"/>
      <c r="CX110" s="386"/>
      <c r="CY110" s="386"/>
      <c r="CZ110" s="386"/>
      <c r="DA110" s="386"/>
      <c r="DB110" s="386"/>
      <c r="DC110" s="386"/>
      <c r="DD110" s="386"/>
      <c r="DE110" s="386"/>
      <c r="DF110" s="386"/>
      <c r="DG110" s="386"/>
      <c r="DH110" s="386"/>
      <c r="DI110" s="386"/>
      <c r="DJ110" s="386"/>
      <c r="DK110" s="386"/>
      <c r="DL110" s="386"/>
      <c r="DM110" s="386"/>
      <c r="DN110" s="386"/>
      <c r="DO110" s="386"/>
      <c r="DP110" s="386"/>
      <c r="DQ110" s="386"/>
      <c r="DR110" s="386"/>
      <c r="DS110" s="386"/>
      <c r="DT110" s="386"/>
      <c r="DU110" s="386"/>
      <c r="DV110" s="386"/>
      <c r="DW110" s="386"/>
      <c r="DX110" s="386"/>
      <c r="DY110" s="386"/>
      <c r="DZ110" s="386"/>
      <c r="EA110" s="386"/>
      <c r="EB110" s="386"/>
      <c r="EC110" s="386"/>
      <c r="ED110" s="386"/>
      <c r="EE110" s="386"/>
      <c r="EF110" s="386"/>
      <c r="EG110" s="386"/>
      <c r="EH110" s="386"/>
      <c r="EI110" s="386"/>
      <c r="EJ110" s="386"/>
      <c r="EK110" s="386"/>
      <c r="EL110" s="386"/>
      <c r="EM110" s="386"/>
      <c r="EN110" s="386"/>
      <c r="EO110" s="386"/>
      <c r="EP110" s="386"/>
      <c r="EQ110" s="386"/>
      <c r="ER110" s="386"/>
      <c r="ES110" s="386"/>
      <c r="ET110" s="386"/>
      <c r="EU110" s="386"/>
      <c r="EV110" s="386"/>
      <c r="EW110" s="386"/>
      <c r="EX110" s="386"/>
      <c r="EY110" s="386"/>
      <c r="EZ110" s="386"/>
      <c r="FA110" s="386"/>
      <c r="FB110" s="386"/>
      <c r="FC110" s="386"/>
      <c r="FD110" s="386"/>
      <c r="FE110" s="386"/>
      <c r="FF110" s="386"/>
      <c r="FG110" s="386"/>
      <c r="FH110" s="386"/>
      <c r="FI110" s="386"/>
      <c r="FJ110" s="386"/>
      <c r="FK110" s="386"/>
      <c r="FL110" s="386"/>
      <c r="FM110" s="386"/>
      <c r="FN110" s="386"/>
      <c r="FO110" s="386"/>
      <c r="FP110" s="386"/>
      <c r="FQ110" s="386"/>
      <c r="FR110" s="386"/>
      <c r="FS110" s="386"/>
      <c r="FT110" s="386"/>
      <c r="FU110" s="386"/>
      <c r="FV110" s="386"/>
      <c r="FW110" s="386"/>
      <c r="FX110" s="386"/>
      <c r="FY110" s="386"/>
      <c r="FZ110" s="386"/>
      <c r="GA110" s="386"/>
      <c r="GB110" s="386"/>
      <c r="GC110" s="386"/>
      <c r="GD110" s="386"/>
      <c r="GE110" s="386"/>
      <c r="GF110" s="386"/>
      <c r="GG110" s="386"/>
      <c r="GH110" s="386"/>
      <c r="GI110" s="386"/>
      <c r="GJ110" s="386"/>
      <c r="GK110" s="386"/>
      <c r="GL110" s="386"/>
      <c r="GM110" s="386"/>
      <c r="GN110" s="386"/>
      <c r="GO110" s="386"/>
      <c r="GP110" s="386"/>
      <c r="GQ110" s="386"/>
      <c r="GR110" s="386"/>
      <c r="GS110" s="386"/>
      <c r="GT110" s="386"/>
      <c r="GU110" s="386"/>
      <c r="GV110" s="386"/>
      <c r="GW110" s="386"/>
      <c r="GX110" s="386"/>
      <c r="GY110" s="386"/>
      <c r="GZ110" s="386"/>
      <c r="HA110" s="386"/>
      <c r="HB110" s="386"/>
      <c r="HC110" s="386"/>
      <c r="HD110" s="386"/>
      <c r="HE110" s="386"/>
      <c r="HF110" s="386"/>
      <c r="HG110" s="386"/>
      <c r="HH110" s="386"/>
      <c r="HI110" s="386"/>
      <c r="HJ110" s="386"/>
      <c r="HK110" s="386"/>
      <c r="HL110" s="386"/>
      <c r="HM110" s="386"/>
      <c r="HN110" s="386"/>
      <c r="HO110" s="386"/>
      <c r="HP110" s="386"/>
      <c r="HQ110" s="386"/>
      <c r="HR110" s="386"/>
      <c r="HS110" s="386"/>
      <c r="HT110" s="386"/>
      <c r="HU110" s="386"/>
      <c r="HV110" s="386"/>
      <c r="HW110" s="386"/>
      <c r="HX110" s="386"/>
      <c r="HY110" s="386"/>
      <c r="HZ110" s="386"/>
      <c r="IA110" s="386"/>
      <c r="IB110" s="386"/>
      <c r="IC110" s="386"/>
      <c r="ID110" s="386"/>
      <c r="IE110" s="386"/>
      <c r="IF110" s="386"/>
      <c r="IG110" s="386"/>
      <c r="IH110" s="386"/>
      <c r="II110" s="386"/>
      <c r="IJ110" s="386"/>
      <c r="IK110" s="386"/>
      <c r="IL110" s="386"/>
      <c r="IM110" s="386"/>
      <c r="IN110" s="386"/>
      <c r="IO110" s="386"/>
      <c r="IP110" s="386"/>
      <c r="IQ110" s="386"/>
      <c r="IR110" s="386"/>
      <c r="IS110" s="386"/>
      <c r="IT110" s="386"/>
      <c r="IU110" s="386"/>
      <c r="IV110" s="386"/>
      <c r="IW110" s="386"/>
      <c r="IX110" s="386"/>
      <c r="IY110" s="386"/>
      <c r="IZ110" s="386"/>
      <c r="JA110" s="386"/>
      <c r="JB110" s="386"/>
      <c r="JC110" s="386"/>
      <c r="JD110" s="386"/>
      <c r="JE110" s="386"/>
      <c r="JF110" s="386"/>
      <c r="JG110" s="386"/>
      <c r="JH110" s="386"/>
      <c r="JI110" s="386"/>
      <c r="JJ110" s="386"/>
      <c r="JK110" s="386"/>
      <c r="JL110" s="386"/>
      <c r="JM110" s="386"/>
      <c r="JN110" s="386"/>
      <c r="JO110" s="386"/>
      <c r="JP110" s="386"/>
      <c r="JQ110" s="386"/>
      <c r="JR110" s="386"/>
      <c r="JS110" s="386"/>
      <c r="JT110" s="386"/>
      <c r="JU110" s="386"/>
      <c r="JV110" s="386"/>
      <c r="JW110" s="386"/>
      <c r="JX110" s="386"/>
      <c r="JY110" s="386"/>
      <c r="JZ110" s="386"/>
      <c r="KA110" s="386"/>
      <c r="KB110" s="386"/>
      <c r="KC110" s="386"/>
      <c r="KD110" s="386"/>
      <c r="KE110" s="386"/>
      <c r="KF110" s="386"/>
      <c r="KG110" s="386"/>
      <c r="KH110" s="386"/>
      <c r="KI110" s="386"/>
      <c r="KJ110" s="386"/>
      <c r="KK110" s="386"/>
      <c r="KL110" s="386"/>
      <c r="KM110" s="386"/>
      <c r="KN110" s="386"/>
      <c r="KO110" s="386"/>
      <c r="KP110" s="386"/>
      <c r="KQ110" s="386"/>
      <c r="KR110" s="386"/>
      <c r="KS110" s="386"/>
      <c r="KT110" s="386"/>
      <c r="KU110" s="386"/>
      <c r="KV110" s="386"/>
      <c r="KW110" s="386"/>
      <c r="KX110" s="386"/>
      <c r="KY110" s="386"/>
      <c r="KZ110" s="386"/>
      <c r="LA110" s="386"/>
      <c r="LB110" s="386"/>
      <c r="LC110" s="386"/>
      <c r="LD110" s="386"/>
      <c r="LE110" s="386"/>
      <c r="LF110" s="386"/>
      <c r="LG110" s="386"/>
      <c r="LH110" s="386"/>
      <c r="LI110" s="386"/>
      <c r="LJ110" s="386"/>
      <c r="LK110" s="386"/>
      <c r="LL110" s="386"/>
      <c r="LM110" s="386"/>
      <c r="LN110" s="386"/>
      <c r="LO110" s="386"/>
      <c r="LP110" s="386"/>
      <c r="LQ110" s="386"/>
      <c r="LR110" s="386"/>
      <c r="LS110" s="386"/>
      <c r="LT110" s="386"/>
      <c r="LU110" s="386"/>
      <c r="LV110" s="386"/>
      <c r="LW110" s="386"/>
      <c r="LX110" s="386"/>
      <c r="LY110" s="386"/>
      <c r="LZ110" s="386"/>
      <c r="MA110" s="386"/>
      <c r="MB110" s="386"/>
      <c r="MC110" s="386"/>
      <c r="MD110" s="386"/>
      <c r="ME110" s="386"/>
      <c r="MF110" s="386"/>
      <c r="MG110" s="386"/>
      <c r="MH110" s="386"/>
      <c r="MI110" s="386"/>
      <c r="MJ110" s="386"/>
      <c r="MK110" s="386"/>
      <c r="ML110" s="386"/>
      <c r="MM110" s="386"/>
      <c r="MN110" s="386"/>
      <c r="MO110" s="386"/>
      <c r="MP110" s="386"/>
      <c r="MQ110" s="386"/>
      <c r="MR110" s="386"/>
      <c r="MS110" s="386"/>
      <c r="MT110" s="386"/>
      <c r="MU110" s="386"/>
      <c r="MV110" s="386"/>
      <c r="MW110" s="386"/>
      <c r="MX110" s="386"/>
      <c r="MY110" s="386"/>
      <c r="MZ110" s="386"/>
      <c r="NA110" s="386"/>
      <c r="NB110" s="386"/>
      <c r="NC110" s="386"/>
      <c r="ND110" s="386"/>
      <c r="NE110" s="386"/>
      <c r="NF110" s="386"/>
      <c r="NG110" s="386"/>
      <c r="NH110" s="386"/>
      <c r="NI110" s="386"/>
      <c r="NJ110" s="386"/>
      <c r="NK110" s="386"/>
      <c r="NL110" s="386"/>
      <c r="NM110" s="386"/>
      <c r="NN110" s="386"/>
      <c r="NO110" s="386"/>
      <c r="NP110" s="386"/>
      <c r="NQ110" s="386"/>
      <c r="NR110" s="386"/>
      <c r="NS110" s="386"/>
      <c r="NT110" s="386"/>
      <c r="NU110" s="386"/>
      <c r="NV110" s="386"/>
      <c r="NW110" s="386"/>
      <c r="NX110" s="386"/>
      <c r="NY110" s="386"/>
      <c r="NZ110" s="386"/>
      <c r="OA110" s="386"/>
      <c r="OB110" s="386"/>
      <c r="OC110" s="386"/>
      <c r="OD110" s="386"/>
      <c r="OE110" s="386"/>
      <c r="OF110" s="386"/>
      <c r="OG110" s="386"/>
      <c r="OH110" s="386"/>
      <c r="OI110" s="386"/>
      <c r="OJ110" s="386"/>
      <c r="OK110" s="386"/>
      <c r="OL110" s="386"/>
      <c r="OM110" s="386"/>
      <c r="ON110" s="386"/>
      <c r="OO110" s="386"/>
      <c r="OP110" s="386"/>
      <c r="OQ110" s="386"/>
      <c r="OR110" s="386"/>
      <c r="OS110" s="386"/>
      <c r="OT110" s="386"/>
      <c r="OU110" s="386"/>
      <c r="OV110" s="386"/>
      <c r="OW110" s="386"/>
      <c r="OX110" s="386"/>
      <c r="OY110" s="386"/>
      <c r="OZ110" s="386"/>
      <c r="PA110" s="386"/>
      <c r="PB110" s="386"/>
      <c r="PC110" s="386"/>
      <c r="PD110" s="386"/>
      <c r="PE110" s="386"/>
      <c r="PF110" s="386"/>
      <c r="PG110" s="386"/>
      <c r="PH110" s="386"/>
      <c r="PI110" s="386"/>
      <c r="PJ110" s="386"/>
      <c r="PK110" s="386"/>
      <c r="PL110" s="386"/>
      <c r="PM110" s="386"/>
      <c r="PN110" s="386"/>
      <c r="PO110" s="386"/>
      <c r="PP110" s="386"/>
      <c r="PQ110" s="386"/>
      <c r="PR110" s="386"/>
      <c r="PS110" s="386"/>
      <c r="PT110" s="386"/>
      <c r="PU110" s="386"/>
      <c r="PV110" s="386"/>
      <c r="PW110" s="386"/>
      <c r="PX110" s="386"/>
      <c r="PY110" s="386"/>
      <c r="PZ110" s="386"/>
      <c r="QA110" s="386"/>
      <c r="QB110" s="386"/>
      <c r="QC110" s="386"/>
      <c r="QD110" s="386"/>
      <c r="QE110" s="386"/>
      <c r="QF110" s="386"/>
      <c r="QG110" s="386"/>
      <c r="QH110" s="386"/>
      <c r="QI110" s="386"/>
      <c r="QJ110" s="386"/>
      <c r="QK110" s="386"/>
      <c r="QL110" s="386"/>
      <c r="QM110" s="386"/>
      <c r="QN110" s="386"/>
      <c r="QO110" s="386"/>
      <c r="QP110" s="386"/>
      <c r="QQ110" s="386"/>
      <c r="QR110" s="386"/>
      <c r="QS110" s="386"/>
      <c r="QT110" s="386"/>
      <c r="QU110" s="386"/>
      <c r="QV110" s="386"/>
      <c r="QW110" s="386"/>
      <c r="QX110" s="386"/>
      <c r="QY110" s="386"/>
      <c r="QZ110" s="386"/>
      <c r="RA110" s="386"/>
      <c r="RB110" s="386"/>
      <c r="RC110" s="386"/>
      <c r="RD110" s="386"/>
      <c r="RE110" s="386"/>
      <c r="RF110" s="386"/>
      <c r="RG110" s="386"/>
      <c r="RH110" s="386"/>
      <c r="RI110" s="386"/>
      <c r="RJ110" s="386"/>
      <c r="RK110" s="386"/>
      <c r="RL110" s="386"/>
      <c r="RM110" s="386"/>
      <c r="RN110" s="386"/>
      <c r="RO110" s="386"/>
      <c r="RP110" s="386"/>
      <c r="RQ110" s="386"/>
      <c r="RR110" s="386"/>
      <c r="RS110" s="386"/>
      <c r="RT110" s="386"/>
      <c r="RU110" s="386"/>
      <c r="RV110" s="386"/>
      <c r="RW110" s="386"/>
      <c r="RX110" s="386"/>
      <c r="RY110" s="386"/>
      <c r="RZ110" s="386"/>
      <c r="SA110" s="386"/>
      <c r="SB110" s="386"/>
      <c r="SC110" s="386"/>
      <c r="SD110" s="386"/>
      <c r="SE110" s="386"/>
      <c r="SF110" s="386"/>
      <c r="SG110" s="386"/>
      <c r="SH110" s="386"/>
      <c r="SI110" s="386"/>
      <c r="SJ110" s="386"/>
      <c r="SK110" s="386"/>
      <c r="SL110" s="386"/>
      <c r="SM110" s="386"/>
      <c r="SN110" s="386"/>
      <c r="SO110" s="386"/>
      <c r="SP110" s="386"/>
      <c r="SQ110" s="386"/>
      <c r="SR110" s="386"/>
      <c r="SS110" s="386"/>
      <c r="ST110" s="386"/>
      <c r="SU110" s="386"/>
      <c r="SV110" s="386"/>
      <c r="SW110" s="386"/>
      <c r="SX110" s="386"/>
      <c r="SY110" s="386"/>
      <c r="SZ110" s="386"/>
      <c r="TA110" s="386"/>
      <c r="TB110" s="386"/>
      <c r="TC110" s="386"/>
      <c r="TD110" s="386"/>
      <c r="TE110" s="386"/>
      <c r="TF110" s="386"/>
      <c r="TG110" s="386"/>
      <c r="TH110" s="386"/>
      <c r="TI110" s="386"/>
      <c r="TJ110" s="386"/>
      <c r="TK110" s="386"/>
      <c r="TL110" s="386"/>
      <c r="TM110" s="386"/>
      <c r="TN110" s="386"/>
      <c r="TO110" s="386"/>
      <c r="TP110" s="386"/>
      <c r="TQ110" s="386"/>
      <c r="TR110" s="386"/>
      <c r="TS110" s="386"/>
      <c r="TT110" s="386"/>
      <c r="TU110" s="386"/>
      <c r="TV110" s="386"/>
      <c r="TW110" s="386"/>
      <c r="TX110" s="386"/>
      <c r="TY110" s="386"/>
      <c r="TZ110" s="386"/>
      <c r="UA110" s="386"/>
      <c r="UB110" s="386"/>
      <c r="UC110" s="386"/>
      <c r="UD110" s="386"/>
      <c r="UE110" s="386"/>
      <c r="UF110" s="386"/>
      <c r="UG110" s="386"/>
      <c r="UH110" s="386"/>
      <c r="UI110" s="386"/>
      <c r="UJ110" s="386"/>
      <c r="UK110" s="386"/>
      <c r="UL110" s="386"/>
      <c r="UM110" s="386"/>
      <c r="UN110" s="386"/>
      <c r="UO110" s="386"/>
      <c r="UP110" s="386"/>
      <c r="UQ110" s="386"/>
      <c r="UR110" s="386"/>
      <c r="US110" s="386"/>
      <c r="UT110" s="386"/>
      <c r="UU110" s="386"/>
      <c r="UV110" s="386"/>
      <c r="UW110" s="386"/>
      <c r="UX110" s="386"/>
      <c r="UY110" s="386"/>
      <c r="UZ110" s="386"/>
      <c r="VA110" s="386"/>
      <c r="VB110" s="386"/>
      <c r="VC110" s="386"/>
      <c r="VD110" s="386"/>
      <c r="VE110" s="386"/>
      <c r="VF110" s="386"/>
      <c r="VG110" s="386"/>
      <c r="VH110" s="386"/>
      <c r="VI110" s="386"/>
      <c r="VJ110" s="386"/>
      <c r="VK110" s="386"/>
      <c r="VL110" s="386"/>
      <c r="VM110" s="386"/>
      <c r="VN110" s="386"/>
      <c r="VO110" s="386"/>
      <c r="VP110" s="386"/>
      <c r="VQ110" s="386"/>
      <c r="VR110" s="386"/>
      <c r="VS110" s="386"/>
      <c r="VT110" s="386"/>
      <c r="VU110" s="386"/>
      <c r="VV110" s="386"/>
      <c r="VW110" s="386"/>
      <c r="VX110" s="386"/>
      <c r="VY110" s="386"/>
      <c r="VZ110" s="386"/>
      <c r="WA110" s="386"/>
      <c r="WB110" s="386"/>
      <c r="WC110" s="386"/>
      <c r="WD110" s="386"/>
      <c r="WE110" s="386"/>
      <c r="WF110" s="386"/>
      <c r="WG110" s="386"/>
      <c r="WH110" s="386"/>
      <c r="WI110" s="386"/>
      <c r="WJ110" s="386"/>
      <c r="WK110" s="386"/>
      <c r="WL110" s="386"/>
      <c r="WM110" s="386"/>
      <c r="WN110" s="386"/>
      <c r="WO110" s="386"/>
      <c r="WP110" s="386"/>
      <c r="WQ110" s="386"/>
      <c r="WR110" s="386"/>
      <c r="WS110" s="386"/>
      <c r="WT110" s="386"/>
      <c r="WU110" s="386"/>
      <c r="WV110" s="386"/>
      <c r="WW110" s="386"/>
      <c r="WX110" s="386"/>
      <c r="WY110" s="386"/>
      <c r="WZ110" s="386"/>
      <c r="XA110" s="386"/>
      <c r="XB110" s="386"/>
      <c r="XC110" s="386"/>
      <c r="XD110" s="386"/>
      <c r="XE110" s="386"/>
      <c r="XF110" s="386"/>
      <c r="XG110" s="386"/>
      <c r="XH110" s="386"/>
      <c r="XI110" s="386"/>
      <c r="XJ110" s="386"/>
      <c r="XK110" s="386"/>
      <c r="XL110" s="386"/>
      <c r="XM110" s="386"/>
      <c r="XN110" s="386"/>
      <c r="XO110" s="386"/>
      <c r="XP110" s="386"/>
      <c r="XQ110" s="386"/>
      <c r="XR110" s="386"/>
      <c r="XS110" s="386"/>
      <c r="XT110" s="386"/>
      <c r="XU110" s="386"/>
      <c r="XV110" s="386"/>
      <c r="XW110" s="386"/>
      <c r="XX110" s="386"/>
      <c r="XY110" s="386"/>
      <c r="XZ110" s="386"/>
      <c r="YA110" s="386"/>
      <c r="YB110" s="386"/>
      <c r="YC110" s="386"/>
      <c r="YD110" s="386"/>
      <c r="YE110" s="386"/>
      <c r="YF110" s="386"/>
      <c r="YG110" s="386"/>
      <c r="YH110" s="386"/>
      <c r="YI110" s="386"/>
      <c r="YJ110" s="386"/>
      <c r="YK110" s="386"/>
      <c r="YL110" s="386"/>
      <c r="YM110" s="386"/>
      <c r="YN110" s="386"/>
      <c r="YO110" s="386"/>
      <c r="YP110" s="386"/>
      <c r="YQ110" s="386"/>
      <c r="YR110" s="386"/>
      <c r="YS110" s="386"/>
      <c r="YT110" s="386"/>
      <c r="YU110" s="386"/>
      <c r="YV110" s="386"/>
      <c r="YW110" s="386"/>
      <c r="YX110" s="386"/>
      <c r="YY110" s="386"/>
      <c r="YZ110" s="386"/>
      <c r="ZA110" s="386"/>
      <c r="ZB110" s="386"/>
      <c r="ZC110" s="386"/>
      <c r="ZD110" s="386"/>
      <c r="ZE110" s="386"/>
      <c r="ZF110" s="386"/>
      <c r="ZG110" s="386"/>
      <c r="ZH110" s="386"/>
      <c r="ZI110" s="386"/>
      <c r="ZJ110" s="386"/>
      <c r="ZK110" s="386"/>
      <c r="ZL110" s="386"/>
      <c r="ZM110" s="386"/>
      <c r="ZN110" s="386"/>
      <c r="ZO110" s="386"/>
      <c r="ZP110" s="386"/>
      <c r="ZQ110" s="386"/>
      <c r="ZR110" s="386"/>
      <c r="ZS110" s="386"/>
      <c r="ZT110" s="386"/>
      <c r="ZU110" s="386"/>
      <c r="ZV110" s="386"/>
      <c r="ZW110" s="386"/>
      <c r="ZX110" s="386"/>
      <c r="ZY110" s="386"/>
      <c r="ZZ110" s="386"/>
      <c r="AAA110" s="386"/>
      <c r="AAB110" s="386"/>
      <c r="AAC110" s="386"/>
      <c r="AAD110" s="386"/>
      <c r="AAE110" s="386"/>
      <c r="AAF110" s="386"/>
      <c r="AAG110" s="386"/>
      <c r="AAH110" s="386"/>
      <c r="AAI110" s="386"/>
      <c r="AAJ110" s="386"/>
      <c r="AAK110" s="386"/>
      <c r="AAL110" s="386"/>
      <c r="AAM110" s="386"/>
      <c r="AAN110" s="386"/>
      <c r="AAO110" s="386"/>
      <c r="AAP110" s="386"/>
      <c r="AAQ110" s="386"/>
      <c r="AAR110" s="386"/>
      <c r="AAS110" s="386"/>
      <c r="AAT110" s="386"/>
      <c r="AAU110" s="386"/>
      <c r="AAV110" s="386"/>
      <c r="AAW110" s="386"/>
      <c r="AAX110" s="386"/>
      <c r="AAY110" s="386"/>
      <c r="AAZ110" s="386"/>
      <c r="ABA110" s="386"/>
      <c r="ABB110" s="386"/>
      <c r="ABC110" s="386"/>
      <c r="ABD110" s="386"/>
      <c r="ABE110" s="386"/>
      <c r="ABF110" s="386"/>
      <c r="ABG110" s="386"/>
      <c r="ABH110" s="386"/>
      <c r="ABI110" s="386"/>
      <c r="ABJ110" s="386"/>
      <c r="ABK110" s="386"/>
      <c r="ABL110" s="386"/>
      <c r="ABM110" s="386"/>
      <c r="ABN110" s="386"/>
      <c r="ABO110" s="386"/>
      <c r="ABP110" s="386"/>
      <c r="ABQ110" s="386"/>
      <c r="ABR110" s="386"/>
      <c r="ABS110" s="386"/>
      <c r="ABT110" s="386"/>
      <c r="ABU110" s="386"/>
      <c r="ABV110" s="386"/>
      <c r="ABW110" s="386"/>
      <c r="ABX110" s="386"/>
      <c r="ABY110" s="386"/>
      <c r="ABZ110" s="386"/>
      <c r="ACA110" s="386"/>
      <c r="ACB110" s="386"/>
      <c r="ACC110" s="386"/>
      <c r="ACD110" s="386"/>
      <c r="ACE110" s="386"/>
      <c r="ACF110" s="386"/>
      <c r="ACG110" s="386"/>
      <c r="ACH110" s="386"/>
      <c r="ACI110" s="386"/>
      <c r="ACJ110" s="386"/>
      <c r="ACK110" s="386"/>
      <c r="ACL110" s="386"/>
      <c r="ACM110" s="386"/>
      <c r="ACN110" s="386"/>
      <c r="ACO110" s="386"/>
      <c r="ACP110" s="386"/>
      <c r="ACQ110" s="386"/>
      <c r="ACR110" s="386"/>
      <c r="ACS110" s="386"/>
      <c r="ACT110" s="386"/>
      <c r="ACU110" s="386"/>
      <c r="ACV110" s="386"/>
      <c r="ACW110" s="386"/>
      <c r="ACX110" s="386"/>
      <c r="ACY110" s="386"/>
      <c r="ACZ110" s="386"/>
      <c r="ADA110" s="386"/>
      <c r="ADB110" s="386"/>
      <c r="ADC110" s="386"/>
      <c r="ADD110" s="386"/>
      <c r="ADE110" s="386"/>
      <c r="ADF110" s="386"/>
      <c r="ADG110" s="386"/>
      <c r="ADH110" s="386"/>
      <c r="ADI110" s="386"/>
      <c r="ADJ110" s="386"/>
      <c r="ADK110" s="386"/>
      <c r="ADL110" s="386"/>
      <c r="ADM110" s="386"/>
      <c r="ADN110" s="386"/>
      <c r="ADO110" s="386"/>
      <c r="ADP110" s="386"/>
      <c r="ADQ110" s="386"/>
      <c r="ADR110" s="386"/>
      <c r="ADS110" s="386"/>
      <c r="ADT110" s="386"/>
      <c r="ADU110" s="386"/>
      <c r="ADV110" s="386"/>
      <c r="ADW110" s="386"/>
      <c r="ADX110" s="386"/>
      <c r="ADY110" s="386"/>
      <c r="ADZ110" s="386"/>
      <c r="AEA110" s="386"/>
      <c r="AEB110" s="386"/>
      <c r="AEC110" s="386"/>
      <c r="AED110" s="386"/>
      <c r="AEE110" s="386"/>
      <c r="AEF110" s="386"/>
      <c r="AEG110" s="386"/>
      <c r="AEH110" s="386"/>
      <c r="AEI110" s="386"/>
      <c r="AEJ110" s="386"/>
      <c r="AEK110" s="386"/>
      <c r="AEL110" s="386"/>
      <c r="AEM110" s="386"/>
      <c r="AEN110" s="386"/>
      <c r="AEO110" s="386"/>
      <c r="AEP110" s="386"/>
      <c r="AEQ110" s="386"/>
      <c r="AER110" s="386"/>
      <c r="AES110" s="386"/>
      <c r="AET110" s="386"/>
      <c r="AEU110" s="386"/>
      <c r="AEV110" s="386"/>
      <c r="AEW110" s="386"/>
      <c r="AEX110" s="386"/>
      <c r="AEY110" s="386"/>
      <c r="AEZ110" s="386"/>
      <c r="AFA110" s="386"/>
      <c r="AFB110" s="386"/>
      <c r="AFC110" s="386"/>
      <c r="AFD110" s="386"/>
      <c r="AFE110" s="386"/>
      <c r="AFF110" s="386"/>
      <c r="AFG110" s="386"/>
      <c r="AFH110" s="386"/>
      <c r="AFI110" s="386"/>
      <c r="AFJ110" s="386"/>
      <c r="AFK110" s="386"/>
      <c r="AFL110" s="386"/>
      <c r="AFM110" s="386"/>
      <c r="AFN110" s="386"/>
      <c r="AFO110" s="386"/>
      <c r="AFP110" s="386"/>
      <c r="AFQ110" s="386"/>
      <c r="AFR110" s="386"/>
      <c r="AFS110" s="386"/>
      <c r="AFT110" s="386"/>
      <c r="AFU110" s="386"/>
      <c r="AFV110" s="386"/>
      <c r="AFW110" s="386"/>
      <c r="AFX110" s="386"/>
      <c r="AFY110" s="386"/>
      <c r="AFZ110" s="386"/>
      <c r="AGA110" s="386"/>
      <c r="AGB110" s="386"/>
      <c r="AGC110" s="386"/>
      <c r="AGD110" s="386"/>
      <c r="AGE110" s="386"/>
      <c r="AGF110" s="386"/>
      <c r="AGG110" s="386"/>
      <c r="AGH110" s="386"/>
      <c r="AGI110" s="386"/>
      <c r="AGJ110" s="386"/>
      <c r="AGK110" s="386"/>
      <c r="AGL110" s="386"/>
      <c r="AGM110" s="386"/>
      <c r="AGN110" s="386"/>
      <c r="AGO110" s="386"/>
      <c r="AGP110" s="386"/>
      <c r="AGQ110" s="386"/>
      <c r="AGR110" s="386"/>
      <c r="AGS110" s="386"/>
      <c r="AGT110" s="386"/>
      <c r="AGU110" s="386"/>
      <c r="AGV110" s="386"/>
      <c r="AGW110" s="386"/>
      <c r="AGX110" s="386"/>
      <c r="AGY110" s="386"/>
      <c r="AGZ110" s="386"/>
      <c r="AHA110" s="386"/>
      <c r="AHB110" s="386"/>
      <c r="AHC110" s="386"/>
      <c r="AHD110" s="386"/>
      <c r="AHE110" s="386"/>
      <c r="AHF110" s="386"/>
      <c r="AHG110" s="386"/>
      <c r="AHH110" s="386"/>
      <c r="AHI110" s="386"/>
      <c r="AHJ110" s="386"/>
      <c r="AHK110" s="386"/>
      <c r="AHL110" s="386"/>
      <c r="AHM110" s="386"/>
      <c r="AHN110" s="386"/>
      <c r="AHO110" s="386"/>
      <c r="AHP110" s="386"/>
      <c r="AHQ110" s="386"/>
      <c r="AHR110" s="386"/>
      <c r="AHS110" s="386"/>
      <c r="AHT110" s="386"/>
      <c r="AHU110" s="386"/>
      <c r="AHV110" s="386"/>
      <c r="AHW110" s="386"/>
      <c r="AHX110" s="386"/>
      <c r="AHY110" s="386"/>
      <c r="AHZ110" s="386"/>
      <c r="AIA110" s="386"/>
      <c r="AIB110" s="386"/>
      <c r="AIC110" s="386"/>
      <c r="AID110" s="386"/>
      <c r="AIE110" s="386"/>
      <c r="AIF110" s="386"/>
      <c r="AIG110" s="386"/>
      <c r="AIH110" s="386"/>
      <c r="AII110" s="386"/>
      <c r="AIJ110" s="386"/>
      <c r="AIK110" s="386"/>
      <c r="AIL110" s="386"/>
      <c r="AIM110" s="386"/>
      <c r="AIN110" s="386"/>
      <c r="AIO110" s="386"/>
      <c r="AIP110" s="386"/>
      <c r="AIQ110" s="386"/>
      <c r="AIR110" s="386"/>
      <c r="AIS110" s="386"/>
      <c r="AIT110" s="386"/>
      <c r="AIU110" s="386"/>
      <c r="AIV110" s="386"/>
      <c r="AIW110" s="386"/>
      <c r="AIX110" s="386"/>
      <c r="AIY110" s="386"/>
      <c r="AIZ110" s="386"/>
      <c r="AJA110" s="386"/>
      <c r="AJB110" s="386"/>
      <c r="AJC110" s="386"/>
      <c r="AJD110" s="386"/>
      <c r="AJE110" s="386"/>
      <c r="AJF110" s="386"/>
      <c r="AJG110" s="386"/>
      <c r="AJH110" s="386"/>
      <c r="AJI110" s="386"/>
      <c r="AJJ110" s="386"/>
      <c r="AJK110" s="386"/>
      <c r="AJL110" s="386"/>
      <c r="AJM110" s="386"/>
      <c r="AJN110" s="386"/>
      <c r="AJO110" s="386"/>
      <c r="AJP110" s="386"/>
      <c r="AJQ110" s="386"/>
      <c r="AJR110" s="386"/>
      <c r="AJS110" s="386"/>
      <c r="AJT110" s="386"/>
      <c r="AJU110" s="386"/>
      <c r="AJV110" s="386"/>
      <c r="AJW110" s="386"/>
      <c r="AJX110" s="386"/>
      <c r="AJY110" s="386"/>
      <c r="AJZ110" s="386"/>
      <c r="AKA110" s="386"/>
      <c r="AKB110" s="386"/>
      <c r="AKC110" s="386"/>
      <c r="AKD110" s="386"/>
      <c r="AKE110" s="386"/>
      <c r="AKF110" s="386"/>
      <c r="AKG110" s="386"/>
      <c r="AKH110" s="386"/>
      <c r="AKI110" s="386"/>
      <c r="AKJ110" s="386"/>
      <c r="AKK110" s="386"/>
      <c r="AKL110" s="386"/>
      <c r="AKM110" s="386"/>
      <c r="AKN110" s="386"/>
      <c r="AKO110" s="386"/>
      <c r="AKP110" s="386"/>
      <c r="AKQ110" s="386"/>
      <c r="AKR110" s="386"/>
      <c r="AKS110" s="386"/>
      <c r="AKT110" s="386"/>
      <c r="AKU110" s="386"/>
      <c r="AKV110" s="386"/>
      <c r="AKW110" s="386"/>
      <c r="AKX110" s="386"/>
      <c r="AKY110" s="386"/>
      <c r="AKZ110" s="386"/>
      <c r="ALA110" s="386"/>
      <c r="ALB110" s="386"/>
      <c r="ALC110" s="386"/>
      <c r="ALD110" s="386"/>
      <c r="ALE110" s="386"/>
      <c r="ALF110" s="386"/>
      <c r="ALG110" s="386"/>
      <c r="ALH110" s="386"/>
      <c r="ALI110" s="386"/>
      <c r="ALJ110" s="386"/>
      <c r="ALK110" s="386"/>
      <c r="ALL110" s="386"/>
      <c r="ALM110" s="386"/>
      <c r="ALN110" s="386"/>
      <c r="ALO110" s="386"/>
      <c r="ALP110" s="386"/>
      <c r="ALQ110" s="386"/>
      <c r="ALR110" s="386"/>
      <c r="ALS110" s="386"/>
      <c r="ALT110" s="386"/>
      <c r="ALU110" s="386"/>
      <c r="ALV110" s="386"/>
      <c r="ALW110" s="386"/>
      <c r="ALX110" s="386"/>
      <c r="ALY110" s="386"/>
      <c r="ALZ110" s="386"/>
      <c r="AMA110" s="386"/>
      <c r="AMB110" s="386"/>
      <c r="AMC110" s="386"/>
      <c r="AMD110" s="386"/>
      <c r="AME110" s="386"/>
      <c r="AMF110" s="386"/>
      <c r="AMG110" s="386"/>
      <c r="AMH110" s="386"/>
      <c r="AMI110" s="386"/>
      <c r="AMJ110" s="386"/>
      <c r="AMK110" s="386"/>
      <c r="AML110" s="386"/>
      <c r="AMM110" s="386"/>
      <c r="AMN110" s="386"/>
      <c r="AMO110" s="386"/>
      <c r="AMP110" s="386"/>
      <c r="AMQ110" s="386"/>
      <c r="AMR110" s="386"/>
      <c r="AMS110" s="386"/>
      <c r="AMT110" s="386"/>
      <c r="AMU110" s="386"/>
      <c r="AMV110" s="386"/>
      <c r="AMW110" s="386"/>
      <c r="AMX110" s="386"/>
      <c r="AMY110" s="386"/>
      <c r="AMZ110" s="386"/>
      <c r="ANA110" s="386"/>
      <c r="ANB110" s="386"/>
      <c r="ANC110" s="386"/>
      <c r="AND110" s="386"/>
      <c r="ANE110" s="386"/>
      <c r="ANF110" s="386"/>
      <c r="ANG110" s="386"/>
      <c r="ANH110" s="386"/>
      <c r="ANI110" s="386"/>
      <c r="ANJ110" s="386"/>
      <c r="ANK110" s="386"/>
      <c r="ANL110" s="386"/>
      <c r="ANM110" s="386"/>
      <c r="ANN110" s="386"/>
      <c r="ANO110" s="386"/>
      <c r="ANP110" s="386"/>
      <c r="ANQ110" s="386"/>
      <c r="ANR110" s="386"/>
      <c r="ANS110" s="386"/>
      <c r="ANT110" s="386"/>
      <c r="ANU110" s="386"/>
      <c r="ANV110" s="386"/>
      <c r="ANW110" s="386"/>
      <c r="ANX110" s="386"/>
      <c r="ANY110" s="386"/>
      <c r="ANZ110" s="386"/>
      <c r="AOA110" s="386"/>
      <c r="AOB110" s="386"/>
      <c r="AOC110" s="386"/>
      <c r="AOD110" s="386"/>
      <c r="AOE110" s="386"/>
      <c r="AOF110" s="386"/>
      <c r="AOG110" s="386"/>
      <c r="AOH110" s="386"/>
      <c r="AOI110" s="386"/>
      <c r="AOJ110" s="386"/>
      <c r="AOK110" s="386"/>
      <c r="AOL110" s="386"/>
      <c r="AOM110" s="386"/>
      <c r="AON110" s="386"/>
      <c r="AOO110" s="386"/>
      <c r="AOP110" s="386"/>
      <c r="AOQ110" s="386"/>
      <c r="AOR110" s="386"/>
      <c r="AOS110" s="386"/>
      <c r="AOT110" s="386"/>
      <c r="AOU110" s="386"/>
      <c r="AOV110" s="386"/>
      <c r="AOW110" s="386"/>
      <c r="AOX110" s="386"/>
      <c r="AOY110" s="386"/>
      <c r="AOZ110" s="386"/>
      <c r="APA110" s="386"/>
      <c r="APB110" s="386"/>
      <c r="APC110" s="386"/>
      <c r="APD110" s="386"/>
      <c r="APE110" s="386"/>
      <c r="APF110" s="386"/>
      <c r="APG110" s="386"/>
      <c r="APH110" s="386"/>
      <c r="API110" s="386"/>
      <c r="APJ110" s="386"/>
      <c r="APK110" s="386"/>
      <c r="APL110" s="386"/>
      <c r="APM110" s="386"/>
      <c r="APN110" s="386"/>
      <c r="APO110" s="386"/>
      <c r="APP110" s="386"/>
      <c r="APQ110" s="386"/>
      <c r="APR110" s="386"/>
      <c r="APS110" s="386"/>
      <c r="APT110" s="386"/>
      <c r="APU110" s="386"/>
      <c r="APV110" s="386"/>
      <c r="APW110" s="386"/>
      <c r="APX110" s="386"/>
      <c r="APY110" s="386"/>
      <c r="APZ110" s="386"/>
      <c r="AQA110" s="386"/>
      <c r="AQB110" s="386"/>
      <c r="AQC110" s="386"/>
      <c r="AQD110" s="386"/>
      <c r="AQE110" s="386"/>
      <c r="AQF110" s="386"/>
      <c r="AQG110" s="386"/>
      <c r="AQH110" s="386"/>
      <c r="AQI110" s="386"/>
      <c r="AQJ110" s="386"/>
      <c r="AQK110" s="386"/>
      <c r="AQL110" s="386"/>
      <c r="AQM110" s="386"/>
      <c r="AQN110" s="386"/>
      <c r="AQO110" s="386"/>
      <c r="AQP110" s="386"/>
      <c r="AQQ110" s="386"/>
      <c r="AQR110" s="386"/>
      <c r="AQS110" s="386"/>
      <c r="AQT110" s="386"/>
      <c r="AQU110" s="386"/>
      <c r="AQV110" s="386"/>
      <c r="AQW110" s="386"/>
      <c r="AQX110" s="386"/>
      <c r="AQY110" s="386"/>
      <c r="AQZ110" s="386"/>
      <c r="ARA110" s="386"/>
      <c r="ARB110" s="386"/>
      <c r="ARC110" s="386"/>
      <c r="ARD110" s="386"/>
      <c r="ARE110" s="386"/>
      <c r="ARF110" s="386"/>
      <c r="ARG110" s="386"/>
      <c r="ARH110" s="386"/>
      <c r="ARI110" s="386"/>
      <c r="ARJ110" s="386"/>
      <c r="ARK110" s="386"/>
      <c r="ARL110" s="386"/>
      <c r="ARM110" s="386"/>
      <c r="ARN110" s="386"/>
      <c r="ARO110" s="386"/>
      <c r="ARP110" s="386"/>
      <c r="ARQ110" s="386"/>
      <c r="ARR110" s="386"/>
      <c r="ARS110" s="386"/>
      <c r="ART110" s="386"/>
      <c r="ARU110" s="386"/>
      <c r="ARV110" s="386"/>
      <c r="ARW110" s="386"/>
      <c r="ARX110" s="386"/>
      <c r="ARY110" s="386"/>
      <c r="ARZ110" s="386"/>
      <c r="ASA110" s="386"/>
      <c r="ASB110" s="386"/>
      <c r="ASC110" s="386"/>
      <c r="ASD110" s="386"/>
      <c r="ASE110" s="386"/>
      <c r="ASF110" s="386"/>
      <c r="ASG110" s="386"/>
      <c r="ASH110" s="386"/>
      <c r="ASI110" s="386"/>
      <c r="ASJ110" s="386"/>
      <c r="ASK110" s="386"/>
      <c r="ASL110" s="386"/>
      <c r="ASM110" s="386"/>
      <c r="ASN110" s="386"/>
      <c r="ASO110" s="386"/>
      <c r="ASP110" s="386"/>
      <c r="ASQ110" s="386"/>
      <c r="ASR110" s="386"/>
      <c r="ASS110" s="386"/>
      <c r="AST110" s="386"/>
      <c r="ASU110" s="386"/>
      <c r="ASV110" s="386"/>
      <c r="ASW110" s="386"/>
      <c r="ASX110" s="386"/>
      <c r="ASY110" s="386"/>
      <c r="ASZ110" s="386"/>
      <c r="ATA110" s="386"/>
      <c r="ATB110" s="386"/>
      <c r="ATC110" s="386"/>
      <c r="ATD110" s="386"/>
      <c r="ATE110" s="386"/>
      <c r="ATF110" s="386"/>
      <c r="ATG110" s="386"/>
      <c r="ATH110" s="386"/>
      <c r="ATI110" s="386"/>
      <c r="ATJ110" s="386"/>
      <c r="ATK110" s="386"/>
      <c r="ATL110" s="386"/>
      <c r="ATM110" s="386"/>
      <c r="ATN110" s="386"/>
      <c r="ATO110" s="386"/>
      <c r="ATP110" s="386"/>
      <c r="ATQ110" s="386"/>
      <c r="ATR110" s="386"/>
      <c r="ATS110" s="386"/>
      <c r="ATT110" s="386"/>
      <c r="ATU110" s="386"/>
      <c r="ATV110" s="386"/>
      <c r="ATW110" s="386"/>
      <c r="ATX110" s="386"/>
      <c r="ATY110" s="386"/>
      <c r="ATZ110" s="386"/>
      <c r="AUA110" s="386"/>
      <c r="AUB110" s="386"/>
      <c r="AUC110" s="386"/>
      <c r="AUD110" s="386"/>
      <c r="AUE110" s="386"/>
      <c r="AUF110" s="386"/>
      <c r="AUG110" s="386"/>
      <c r="AUH110" s="386"/>
      <c r="AUI110" s="386"/>
      <c r="AUJ110" s="386"/>
      <c r="AUK110" s="386"/>
      <c r="AUL110" s="386"/>
      <c r="AUM110" s="386"/>
      <c r="AUN110" s="386"/>
      <c r="AUO110" s="386"/>
      <c r="AUP110" s="386"/>
      <c r="AUQ110" s="386"/>
      <c r="AUR110" s="386"/>
      <c r="AUS110" s="386"/>
      <c r="AUT110" s="386"/>
      <c r="AUU110" s="386"/>
      <c r="AUV110" s="386"/>
      <c r="AUW110" s="386"/>
      <c r="AUX110" s="386"/>
      <c r="AUY110" s="386"/>
      <c r="AUZ110" s="386"/>
      <c r="AVA110" s="386"/>
      <c r="AVB110" s="386"/>
      <c r="AVC110" s="386"/>
      <c r="AVD110" s="386"/>
      <c r="AVE110" s="386"/>
      <c r="AVF110" s="386"/>
      <c r="AVG110" s="386"/>
      <c r="AVH110" s="386"/>
      <c r="AVI110" s="386"/>
      <c r="AVJ110" s="386"/>
      <c r="AVK110" s="386"/>
      <c r="AVL110" s="386"/>
      <c r="AVM110" s="386"/>
      <c r="AVN110" s="386"/>
      <c r="AVO110" s="386"/>
      <c r="AVP110" s="386"/>
      <c r="AVQ110" s="386"/>
      <c r="AVR110" s="386"/>
      <c r="AVS110" s="386"/>
      <c r="AVT110" s="386"/>
      <c r="AVU110" s="386"/>
      <c r="AVV110" s="386"/>
      <c r="AVW110" s="386"/>
      <c r="AVX110" s="386"/>
      <c r="AVY110" s="386"/>
      <c r="AVZ110" s="386"/>
      <c r="AWA110" s="386"/>
      <c r="AWB110" s="386"/>
      <c r="AWC110" s="386"/>
      <c r="AWD110" s="386"/>
      <c r="AWE110" s="386"/>
      <c r="AWF110" s="386"/>
      <c r="AWG110" s="386"/>
      <c r="AWH110" s="386"/>
      <c r="AWI110" s="386"/>
      <c r="AWJ110" s="386"/>
      <c r="AWK110" s="386"/>
      <c r="AWL110" s="386"/>
      <c r="AWM110" s="386"/>
      <c r="AWN110" s="386"/>
      <c r="AWO110" s="386"/>
      <c r="AWP110" s="386"/>
      <c r="AWQ110" s="386"/>
      <c r="AWR110" s="386"/>
      <c r="AWS110" s="386"/>
      <c r="AWT110" s="386"/>
      <c r="AWU110" s="386"/>
      <c r="AWV110" s="386"/>
      <c r="AWW110" s="386"/>
      <c r="AWX110" s="386"/>
      <c r="AWY110" s="386"/>
      <c r="AWZ110" s="386"/>
      <c r="AXA110" s="386"/>
      <c r="AXB110" s="386"/>
      <c r="AXC110" s="386"/>
      <c r="AXD110" s="386"/>
      <c r="AXE110" s="386"/>
      <c r="AXF110" s="386"/>
      <c r="AXG110" s="386"/>
      <c r="AXH110" s="386"/>
      <c r="AXI110" s="386"/>
      <c r="AXJ110" s="386"/>
      <c r="AXK110" s="386"/>
      <c r="AXL110" s="386"/>
      <c r="AXM110" s="386"/>
      <c r="AXN110" s="386"/>
      <c r="AXO110" s="386"/>
      <c r="AXP110" s="386"/>
      <c r="AXQ110" s="386"/>
      <c r="AXR110" s="386"/>
      <c r="AXS110" s="386"/>
      <c r="AXT110" s="386"/>
      <c r="AXU110" s="386"/>
      <c r="AXV110" s="386"/>
      <c r="AXW110" s="386"/>
      <c r="AXX110" s="386"/>
      <c r="AXY110" s="386"/>
      <c r="AXZ110" s="386"/>
      <c r="AYA110" s="386"/>
      <c r="AYB110" s="386"/>
      <c r="AYC110" s="386"/>
      <c r="AYD110" s="386"/>
      <c r="AYE110" s="386"/>
      <c r="AYF110" s="386"/>
      <c r="AYG110" s="386"/>
      <c r="AYH110" s="386"/>
      <c r="AYI110" s="386"/>
      <c r="AYJ110" s="386"/>
      <c r="AYK110" s="386"/>
      <c r="AYL110" s="386"/>
      <c r="AYM110" s="386"/>
      <c r="AYN110" s="386"/>
      <c r="AYO110" s="386"/>
      <c r="AYP110" s="386"/>
      <c r="AYQ110" s="386"/>
      <c r="AYR110" s="386"/>
      <c r="AYS110" s="386"/>
      <c r="AYT110" s="386"/>
      <c r="AYU110" s="386"/>
      <c r="AYV110" s="386"/>
      <c r="AYW110" s="386"/>
      <c r="AYX110" s="386"/>
      <c r="AYY110" s="386"/>
      <c r="AYZ110" s="386"/>
      <c r="AZA110" s="386"/>
      <c r="AZB110" s="386"/>
      <c r="AZC110" s="386"/>
      <c r="AZD110" s="386"/>
      <c r="AZE110" s="386"/>
      <c r="AZF110" s="386"/>
      <c r="AZG110" s="386"/>
      <c r="AZH110" s="386"/>
      <c r="AZI110" s="386"/>
      <c r="AZJ110" s="386"/>
      <c r="AZK110" s="386"/>
      <c r="AZL110" s="386"/>
      <c r="AZM110" s="386"/>
      <c r="AZN110" s="386"/>
      <c r="AZO110" s="386"/>
      <c r="AZP110" s="386"/>
      <c r="AZQ110" s="386"/>
      <c r="AZR110" s="386"/>
      <c r="AZS110" s="386"/>
      <c r="AZT110" s="386"/>
      <c r="AZU110" s="386"/>
      <c r="AZV110" s="386"/>
      <c r="AZW110" s="386"/>
      <c r="AZX110" s="386"/>
      <c r="AZY110" s="386"/>
      <c r="AZZ110" s="386"/>
      <c r="BAA110" s="386"/>
      <c r="BAB110" s="386"/>
      <c r="BAC110" s="386"/>
      <c r="BAD110" s="386"/>
      <c r="BAE110" s="386"/>
      <c r="BAF110" s="386"/>
      <c r="BAG110" s="386"/>
      <c r="BAH110" s="386"/>
      <c r="BAI110" s="386"/>
      <c r="BAJ110" s="386"/>
      <c r="BAK110" s="386"/>
      <c r="BAL110" s="386"/>
      <c r="BAM110" s="386"/>
      <c r="BAN110" s="386"/>
      <c r="BAO110" s="386"/>
      <c r="BAP110" s="386"/>
      <c r="BAQ110" s="386"/>
      <c r="BAR110" s="386"/>
      <c r="BAS110" s="386"/>
      <c r="BAT110" s="386"/>
      <c r="BAU110" s="386"/>
      <c r="BAV110" s="386"/>
      <c r="BAW110" s="386"/>
      <c r="BAX110" s="386"/>
      <c r="BAY110" s="386"/>
      <c r="BAZ110" s="386"/>
      <c r="BBA110" s="386"/>
      <c r="BBB110" s="386"/>
      <c r="BBC110" s="386"/>
      <c r="BBD110" s="386"/>
      <c r="BBE110" s="386"/>
      <c r="BBF110" s="386"/>
      <c r="BBG110" s="386"/>
      <c r="BBH110" s="386"/>
      <c r="BBI110" s="386"/>
      <c r="BBJ110" s="386"/>
      <c r="BBK110" s="386"/>
      <c r="BBL110" s="386"/>
      <c r="BBM110" s="386"/>
      <c r="BBN110" s="386"/>
      <c r="BBO110" s="386"/>
      <c r="BBP110" s="386"/>
      <c r="BBQ110" s="386"/>
      <c r="BBR110" s="386"/>
      <c r="BBS110" s="386"/>
      <c r="BBT110" s="386"/>
      <c r="BBU110" s="386"/>
      <c r="BBV110" s="386"/>
      <c r="BBW110" s="386"/>
      <c r="BBX110" s="386"/>
      <c r="BBY110" s="386"/>
      <c r="BBZ110" s="386"/>
      <c r="BCA110" s="386"/>
      <c r="BCB110" s="386"/>
      <c r="BCC110" s="386"/>
      <c r="BCD110" s="386"/>
      <c r="BCE110" s="386"/>
      <c r="BCF110" s="386"/>
      <c r="BCG110" s="386"/>
      <c r="BCH110" s="386"/>
      <c r="BCI110" s="386"/>
      <c r="BCJ110" s="386"/>
      <c r="BCK110" s="386"/>
      <c r="BCL110" s="386"/>
      <c r="BCM110" s="386"/>
      <c r="BCN110" s="386"/>
      <c r="BCO110" s="386"/>
      <c r="BCP110" s="386"/>
      <c r="BCQ110" s="386"/>
      <c r="BCR110" s="386"/>
      <c r="BCS110" s="386"/>
      <c r="BCT110" s="386"/>
      <c r="BCU110" s="386"/>
      <c r="BCV110" s="386"/>
      <c r="BCW110" s="386"/>
      <c r="BCX110" s="386"/>
      <c r="BCY110" s="386"/>
      <c r="BCZ110" s="386"/>
      <c r="BDA110" s="386"/>
      <c r="BDB110" s="386"/>
      <c r="BDC110" s="386"/>
      <c r="BDD110" s="386"/>
      <c r="BDE110" s="386"/>
      <c r="BDF110" s="386"/>
      <c r="BDG110" s="386"/>
      <c r="BDH110" s="386"/>
      <c r="BDI110" s="386"/>
      <c r="BDJ110" s="386"/>
      <c r="BDK110" s="386"/>
      <c r="BDL110" s="386"/>
      <c r="BDM110" s="386"/>
      <c r="BDN110" s="386"/>
      <c r="BDO110" s="386"/>
      <c r="BDP110" s="386"/>
      <c r="BDQ110" s="386"/>
      <c r="BDR110" s="386"/>
      <c r="BDS110" s="386"/>
      <c r="BDT110" s="386"/>
      <c r="BDU110" s="386"/>
      <c r="BDV110" s="386"/>
      <c r="BDW110" s="386"/>
      <c r="BDX110" s="386"/>
      <c r="BDY110" s="386"/>
      <c r="BDZ110" s="386"/>
      <c r="BEA110" s="386"/>
      <c r="BEB110" s="386"/>
      <c r="BEC110" s="386"/>
      <c r="BED110" s="386"/>
      <c r="BEE110" s="386"/>
      <c r="BEF110" s="386"/>
      <c r="BEG110" s="386"/>
      <c r="BEH110" s="386"/>
      <c r="BEI110" s="386"/>
      <c r="BEJ110" s="386"/>
      <c r="BEK110" s="386"/>
      <c r="BEL110" s="386"/>
      <c r="BEM110" s="386"/>
      <c r="BEN110" s="386"/>
      <c r="BEO110" s="386"/>
      <c r="BEP110" s="386"/>
      <c r="BEQ110" s="386"/>
      <c r="BER110" s="386"/>
      <c r="BES110" s="386"/>
      <c r="BET110" s="386"/>
      <c r="BEU110" s="386"/>
      <c r="BEV110" s="386"/>
      <c r="BEW110" s="386"/>
      <c r="BEX110" s="386"/>
      <c r="BEY110" s="386"/>
      <c r="BEZ110" s="386"/>
      <c r="BFA110" s="386"/>
      <c r="BFB110" s="386"/>
      <c r="BFC110" s="386"/>
      <c r="BFD110" s="386"/>
      <c r="BFE110" s="386"/>
      <c r="BFF110" s="386"/>
      <c r="BFG110" s="386"/>
      <c r="BFH110" s="386"/>
      <c r="BFI110" s="386"/>
      <c r="BFJ110" s="386"/>
      <c r="BFK110" s="386"/>
      <c r="BFL110" s="386"/>
      <c r="BFM110" s="386"/>
      <c r="BFN110" s="386"/>
      <c r="BFO110" s="386"/>
      <c r="BFP110" s="386"/>
      <c r="BFQ110" s="386"/>
      <c r="BFR110" s="386"/>
      <c r="BFS110" s="386"/>
      <c r="BFT110" s="386"/>
      <c r="BFU110" s="386"/>
      <c r="BFV110" s="386"/>
      <c r="BFW110" s="386"/>
      <c r="BFX110" s="386"/>
      <c r="BFY110" s="386"/>
      <c r="BFZ110" s="386"/>
      <c r="BGA110" s="386"/>
      <c r="BGB110" s="386"/>
      <c r="BGC110" s="386"/>
      <c r="BGD110" s="386"/>
      <c r="BGE110" s="386"/>
      <c r="BGF110" s="386"/>
      <c r="BGG110" s="386"/>
      <c r="BGH110" s="386"/>
      <c r="BGI110" s="386"/>
      <c r="BGJ110" s="386"/>
      <c r="BGK110" s="386"/>
      <c r="BGL110" s="386"/>
      <c r="BGM110" s="386"/>
      <c r="BGN110" s="386"/>
      <c r="BGO110" s="386"/>
      <c r="BGP110" s="386"/>
      <c r="BGQ110" s="386"/>
      <c r="BGR110" s="386"/>
      <c r="BGS110" s="386"/>
      <c r="BGT110" s="386"/>
      <c r="BGU110" s="386"/>
      <c r="BGV110" s="386"/>
      <c r="BGW110" s="386"/>
      <c r="BGX110" s="386"/>
      <c r="BGY110" s="386"/>
      <c r="BGZ110" s="386"/>
      <c r="BHA110" s="386"/>
      <c r="BHB110" s="386"/>
      <c r="BHC110" s="386"/>
      <c r="BHD110" s="386"/>
      <c r="BHE110" s="386"/>
      <c r="BHF110" s="386"/>
      <c r="BHG110" s="386"/>
      <c r="BHH110" s="386"/>
      <c r="BHI110" s="386"/>
      <c r="BHJ110" s="386"/>
      <c r="BHK110" s="386"/>
      <c r="BHL110" s="386"/>
      <c r="BHM110" s="386"/>
      <c r="BHN110" s="386"/>
      <c r="BHO110" s="386"/>
      <c r="BHP110" s="386"/>
      <c r="BHQ110" s="386"/>
      <c r="BHR110" s="386"/>
      <c r="BHS110" s="386"/>
      <c r="BHT110" s="386"/>
      <c r="BHU110" s="386"/>
      <c r="BHV110" s="386"/>
      <c r="BHW110" s="386"/>
      <c r="BHX110" s="386"/>
      <c r="BHY110" s="386"/>
      <c r="BHZ110" s="386"/>
      <c r="BIA110" s="386"/>
      <c r="BIB110" s="386"/>
      <c r="BIC110" s="386"/>
      <c r="BID110" s="386"/>
      <c r="BIE110" s="386"/>
      <c r="BIF110" s="386"/>
      <c r="BIG110" s="386"/>
      <c r="BIH110" s="386"/>
      <c r="BII110" s="386"/>
      <c r="BIJ110" s="386"/>
      <c r="BIK110" s="386"/>
      <c r="BIL110" s="386"/>
      <c r="BIM110" s="386"/>
      <c r="BIN110" s="386"/>
      <c r="BIO110" s="386"/>
      <c r="BIP110" s="386"/>
      <c r="BIQ110" s="386"/>
      <c r="BIR110" s="386"/>
      <c r="BIS110" s="386"/>
      <c r="BIT110" s="386"/>
      <c r="BIU110" s="386"/>
      <c r="BIV110" s="386"/>
      <c r="BIW110" s="386"/>
      <c r="BIX110" s="386"/>
      <c r="BIY110" s="386"/>
      <c r="BIZ110" s="386"/>
      <c r="BJA110" s="386"/>
      <c r="BJB110" s="386"/>
      <c r="BJC110" s="386"/>
      <c r="BJD110" s="386"/>
      <c r="BJE110" s="386"/>
      <c r="BJF110" s="386"/>
      <c r="BJG110" s="386"/>
      <c r="BJH110" s="386"/>
      <c r="BJI110" s="386"/>
      <c r="BJJ110" s="386"/>
      <c r="BJK110" s="386"/>
      <c r="BJL110" s="386"/>
      <c r="BJM110" s="386"/>
      <c r="BJN110" s="386"/>
      <c r="BJO110" s="386"/>
      <c r="BJP110" s="386"/>
      <c r="BJQ110" s="386"/>
      <c r="BJR110" s="386"/>
      <c r="BJS110" s="386"/>
      <c r="BJT110" s="386"/>
      <c r="BJU110" s="386"/>
      <c r="BJV110" s="386"/>
      <c r="BJW110" s="386"/>
      <c r="BJX110" s="386"/>
      <c r="BJY110" s="386"/>
      <c r="BJZ110" s="386"/>
      <c r="BKA110" s="386"/>
      <c r="BKB110" s="386"/>
      <c r="BKC110" s="386"/>
      <c r="BKD110" s="386"/>
      <c r="BKE110" s="386"/>
      <c r="BKF110" s="386"/>
      <c r="BKG110" s="386"/>
      <c r="BKH110" s="386"/>
      <c r="BKI110" s="386"/>
      <c r="BKJ110" s="386"/>
      <c r="BKK110" s="386"/>
      <c r="BKL110" s="386"/>
      <c r="BKM110" s="386"/>
      <c r="BKN110" s="386"/>
      <c r="BKO110" s="386"/>
      <c r="BKP110" s="386"/>
      <c r="BKQ110" s="386"/>
      <c r="BKR110" s="386"/>
      <c r="BKS110" s="386"/>
      <c r="BKT110" s="386"/>
      <c r="BKU110" s="386"/>
      <c r="BKV110" s="386"/>
      <c r="BKW110" s="386"/>
      <c r="BKX110" s="386"/>
      <c r="BKY110" s="386"/>
      <c r="BKZ110" s="386"/>
      <c r="BLA110" s="386"/>
      <c r="BLB110" s="386"/>
      <c r="BLC110" s="386"/>
      <c r="BLD110" s="386"/>
      <c r="BLE110" s="386"/>
      <c r="BLF110" s="386"/>
      <c r="BLG110" s="386"/>
      <c r="BLH110" s="386"/>
      <c r="BLI110" s="386"/>
      <c r="BLJ110" s="386"/>
      <c r="BLK110" s="386"/>
      <c r="BLL110" s="386"/>
      <c r="BLM110" s="386"/>
      <c r="BLN110" s="386"/>
      <c r="BLO110" s="386"/>
      <c r="BLP110" s="386"/>
      <c r="BLQ110" s="386"/>
      <c r="BLR110" s="386"/>
      <c r="BLS110" s="386"/>
      <c r="BLT110" s="386"/>
      <c r="BLU110" s="386"/>
      <c r="BLV110" s="386"/>
      <c r="BLW110" s="386"/>
      <c r="BLX110" s="386"/>
      <c r="BLY110" s="386"/>
      <c r="BLZ110" s="386"/>
      <c r="BMA110" s="386"/>
      <c r="BMB110" s="386"/>
      <c r="BMC110" s="386"/>
      <c r="BMD110" s="386"/>
      <c r="BME110" s="386"/>
      <c r="BMF110" s="386"/>
      <c r="BMG110" s="386"/>
      <c r="BMH110" s="386"/>
      <c r="BMI110" s="386"/>
      <c r="BMJ110" s="386"/>
      <c r="BMK110" s="386"/>
      <c r="BML110" s="386"/>
      <c r="BMM110" s="386"/>
      <c r="BMN110" s="386"/>
      <c r="BMO110" s="386"/>
      <c r="BMP110" s="386"/>
      <c r="BMQ110" s="386"/>
      <c r="BMR110" s="386"/>
      <c r="BMS110" s="386"/>
      <c r="BMT110" s="386"/>
      <c r="BMU110" s="386"/>
      <c r="BMV110" s="386"/>
      <c r="BMW110" s="386"/>
      <c r="BMX110" s="386"/>
      <c r="BMY110" s="386"/>
      <c r="BMZ110" s="386"/>
      <c r="BNA110" s="386"/>
      <c r="BNB110" s="386"/>
      <c r="BNC110" s="386"/>
      <c r="BND110" s="386"/>
      <c r="BNE110" s="386"/>
      <c r="BNF110" s="386"/>
      <c r="BNG110" s="386"/>
      <c r="BNH110" s="386"/>
      <c r="BNI110" s="386"/>
      <c r="BNJ110" s="386"/>
      <c r="BNK110" s="386"/>
      <c r="BNL110" s="386"/>
      <c r="BNM110" s="386"/>
      <c r="BNN110" s="386"/>
      <c r="BNO110" s="386"/>
      <c r="BNP110" s="386"/>
      <c r="BNQ110" s="386"/>
      <c r="BNR110" s="386"/>
      <c r="BNS110" s="386"/>
      <c r="BNT110" s="386"/>
      <c r="BNU110" s="386"/>
      <c r="BNV110" s="386"/>
      <c r="BNW110" s="386"/>
      <c r="BNX110" s="386"/>
      <c r="BNY110" s="386"/>
      <c r="BNZ110" s="386"/>
      <c r="BOA110" s="386"/>
      <c r="BOB110" s="386"/>
      <c r="BOC110" s="386"/>
      <c r="BOD110" s="386"/>
      <c r="BOE110" s="386"/>
      <c r="BOF110" s="386"/>
      <c r="BOG110" s="386"/>
      <c r="BOH110" s="386"/>
      <c r="BOI110" s="386"/>
      <c r="BOJ110" s="386"/>
      <c r="BOK110" s="386"/>
      <c r="BOL110" s="386"/>
      <c r="BOM110" s="386"/>
      <c r="BON110" s="386"/>
      <c r="BOO110" s="386"/>
      <c r="BOP110" s="386"/>
      <c r="BOQ110" s="386"/>
      <c r="BOR110" s="386"/>
      <c r="BOS110" s="386"/>
      <c r="BOT110" s="386"/>
      <c r="BOU110" s="386"/>
      <c r="BOV110" s="386"/>
      <c r="BOW110" s="386"/>
      <c r="BOX110" s="386"/>
      <c r="BOY110" s="386"/>
      <c r="BOZ110" s="386"/>
      <c r="BPA110" s="386"/>
      <c r="BPB110" s="386"/>
      <c r="BPC110" s="386"/>
      <c r="BPD110" s="386"/>
      <c r="BPE110" s="386"/>
      <c r="BPF110" s="386"/>
      <c r="BPG110" s="386"/>
      <c r="BPH110" s="386"/>
      <c r="BPI110" s="386"/>
      <c r="BPJ110" s="386"/>
      <c r="BPK110" s="386"/>
      <c r="BPL110" s="386"/>
      <c r="BPM110" s="386"/>
      <c r="BPN110" s="386"/>
      <c r="BPO110" s="386"/>
      <c r="BPP110" s="386"/>
      <c r="BPQ110" s="386"/>
      <c r="BPR110" s="386"/>
      <c r="BPS110" s="386"/>
      <c r="BPT110" s="386"/>
      <c r="BPU110" s="386"/>
      <c r="BPV110" s="386"/>
      <c r="BPW110" s="386"/>
      <c r="BPX110" s="386"/>
      <c r="BPY110" s="386"/>
      <c r="BPZ110" s="386"/>
      <c r="BQA110" s="386"/>
      <c r="BQB110" s="386"/>
      <c r="BQC110" s="386"/>
      <c r="BQD110" s="386"/>
      <c r="BQE110" s="386"/>
      <c r="BQF110" s="386"/>
      <c r="BQG110" s="386"/>
      <c r="BQH110" s="386"/>
      <c r="BQI110" s="386"/>
      <c r="BQJ110" s="386"/>
      <c r="BQK110" s="386"/>
      <c r="BQL110" s="386"/>
      <c r="BQM110" s="386"/>
      <c r="BQN110" s="386"/>
      <c r="BQO110" s="386"/>
      <c r="BQP110" s="386"/>
      <c r="BQQ110" s="386"/>
      <c r="BQR110" s="386"/>
      <c r="BQS110" s="386"/>
      <c r="BQT110" s="386"/>
      <c r="BQU110" s="386"/>
      <c r="BQV110" s="386"/>
      <c r="BQW110" s="386"/>
      <c r="BQX110" s="386"/>
      <c r="BQY110" s="386"/>
      <c r="BQZ110" s="386"/>
      <c r="BRA110" s="386"/>
      <c r="BRB110" s="386"/>
      <c r="BRC110" s="386"/>
      <c r="BRD110" s="386"/>
      <c r="BRE110" s="386"/>
      <c r="BRF110" s="386"/>
      <c r="BRG110" s="386"/>
      <c r="BRH110" s="386"/>
      <c r="BRI110" s="386"/>
      <c r="BRJ110" s="386"/>
      <c r="BRK110" s="386"/>
      <c r="BRL110" s="386"/>
      <c r="BRM110" s="386"/>
      <c r="BRN110" s="386"/>
      <c r="BRO110" s="386"/>
      <c r="BRP110" s="386"/>
      <c r="BRQ110" s="386"/>
      <c r="BRR110" s="386"/>
      <c r="BRS110" s="386"/>
      <c r="BRT110" s="386"/>
      <c r="BRU110" s="386"/>
      <c r="BRV110" s="386"/>
      <c r="BRW110" s="386"/>
      <c r="BRX110" s="386"/>
      <c r="BRY110" s="386"/>
      <c r="BRZ110" s="386"/>
      <c r="BSA110" s="386"/>
      <c r="BSB110" s="386"/>
      <c r="BSC110" s="386"/>
      <c r="BSD110" s="386"/>
      <c r="BSE110" s="386"/>
      <c r="BSF110" s="386"/>
      <c r="BSG110" s="386"/>
      <c r="BSH110" s="386"/>
      <c r="BSI110" s="386"/>
      <c r="BSJ110" s="386"/>
      <c r="BSK110" s="386"/>
      <c r="BSL110" s="386"/>
      <c r="BSM110" s="386"/>
      <c r="BSN110" s="386"/>
      <c r="BSO110" s="386"/>
      <c r="BSP110" s="386"/>
      <c r="BSQ110" s="386"/>
      <c r="BSR110" s="386"/>
      <c r="BSS110" s="386"/>
      <c r="BST110" s="386"/>
      <c r="BSU110" s="386"/>
      <c r="BSV110" s="386"/>
      <c r="BSW110" s="386"/>
      <c r="BSX110" s="386"/>
      <c r="BSY110" s="386"/>
      <c r="BSZ110" s="386"/>
      <c r="BTA110" s="386"/>
      <c r="BTB110" s="386"/>
      <c r="BTC110" s="386"/>
      <c r="BTD110" s="386"/>
      <c r="BTE110" s="386"/>
      <c r="BTF110" s="386"/>
      <c r="BTG110" s="386"/>
      <c r="BTH110" s="386"/>
      <c r="BTI110" s="386"/>
      <c r="BTJ110" s="386"/>
      <c r="BTK110" s="386"/>
      <c r="BTL110" s="386"/>
      <c r="BTM110" s="386"/>
      <c r="BTN110" s="386"/>
      <c r="BTO110" s="386"/>
      <c r="BTP110" s="386"/>
      <c r="BTQ110" s="386"/>
      <c r="BTR110" s="386"/>
      <c r="BTS110" s="386"/>
      <c r="BTT110" s="386"/>
      <c r="BTU110" s="386"/>
      <c r="BTV110" s="386"/>
      <c r="BTW110" s="386"/>
      <c r="BTX110" s="386"/>
      <c r="BTY110" s="386"/>
      <c r="BTZ110" s="386"/>
      <c r="BUA110" s="386"/>
      <c r="BUB110" s="386"/>
      <c r="BUC110" s="386"/>
      <c r="BUD110" s="386"/>
      <c r="BUE110" s="386"/>
      <c r="BUF110" s="386"/>
      <c r="BUG110" s="386"/>
      <c r="BUH110" s="386"/>
      <c r="BUI110" s="386"/>
      <c r="BUJ110" s="386"/>
      <c r="BUK110" s="386"/>
      <c r="BUL110" s="386"/>
      <c r="BUM110" s="386"/>
      <c r="BUN110" s="386"/>
      <c r="BUO110" s="386"/>
      <c r="BUP110" s="386"/>
      <c r="BUQ110" s="386"/>
      <c r="BUR110" s="386"/>
      <c r="BUS110" s="386"/>
      <c r="BUT110" s="386"/>
      <c r="BUU110" s="386"/>
      <c r="BUV110" s="386"/>
      <c r="BUW110" s="386"/>
      <c r="BUX110" s="386"/>
      <c r="BUY110" s="386"/>
      <c r="BUZ110" s="386"/>
      <c r="BVA110" s="386"/>
      <c r="BVB110" s="386"/>
      <c r="BVC110" s="386"/>
      <c r="BVD110" s="386"/>
      <c r="BVE110" s="386"/>
      <c r="BVF110" s="386"/>
      <c r="BVG110" s="386"/>
      <c r="BVH110" s="386"/>
      <c r="BVI110" s="386"/>
      <c r="BVJ110" s="386"/>
      <c r="BVK110" s="386"/>
      <c r="BVL110" s="386"/>
      <c r="BVM110" s="386"/>
      <c r="BVN110" s="386"/>
      <c r="BVO110" s="386"/>
      <c r="BVP110" s="386"/>
      <c r="BVQ110" s="386"/>
      <c r="BVR110" s="386"/>
      <c r="BVS110" s="386"/>
      <c r="BVT110" s="386"/>
      <c r="BVU110" s="386"/>
      <c r="BVV110" s="386"/>
      <c r="BVW110" s="386"/>
      <c r="BVX110" s="386"/>
      <c r="BVY110" s="386"/>
      <c r="BVZ110" s="386"/>
      <c r="BWA110" s="386"/>
      <c r="BWB110" s="386"/>
      <c r="BWC110" s="386"/>
      <c r="BWD110" s="386"/>
      <c r="BWE110" s="386"/>
      <c r="BWF110" s="386"/>
      <c r="BWG110" s="386"/>
      <c r="BWH110" s="386"/>
      <c r="BWI110" s="386"/>
      <c r="BWJ110" s="386"/>
      <c r="BWK110" s="386"/>
      <c r="BWL110" s="386"/>
      <c r="BWM110" s="386"/>
      <c r="BWN110" s="386"/>
      <c r="BWO110" s="386"/>
      <c r="BWP110" s="386"/>
      <c r="BWQ110" s="386"/>
      <c r="BWR110" s="386"/>
      <c r="BWS110" s="386"/>
      <c r="BWT110" s="386"/>
      <c r="BWU110" s="386"/>
      <c r="BWV110" s="386"/>
      <c r="BWW110" s="386"/>
      <c r="BWX110" s="386"/>
      <c r="BWY110" s="386"/>
      <c r="BWZ110" s="386"/>
      <c r="BXA110" s="386"/>
      <c r="BXB110" s="386"/>
      <c r="BXC110" s="386"/>
      <c r="BXD110" s="386"/>
      <c r="BXE110" s="386"/>
      <c r="BXF110" s="386"/>
      <c r="BXG110" s="386"/>
      <c r="BXH110" s="386"/>
      <c r="BXI110" s="386"/>
      <c r="BXJ110" s="386"/>
      <c r="BXK110" s="386"/>
      <c r="BXL110" s="386"/>
      <c r="BXM110" s="386"/>
      <c r="BXN110" s="386"/>
      <c r="BXO110" s="386"/>
      <c r="BXP110" s="386"/>
      <c r="BXQ110" s="386"/>
      <c r="BXR110" s="386"/>
      <c r="BXS110" s="386"/>
      <c r="BXT110" s="386"/>
      <c r="BXU110" s="386"/>
      <c r="BXV110" s="386"/>
      <c r="BXW110" s="386"/>
      <c r="BXX110" s="386"/>
      <c r="BXY110" s="386"/>
      <c r="BXZ110" s="386"/>
      <c r="BYA110" s="386"/>
      <c r="BYB110" s="386"/>
      <c r="BYC110" s="386"/>
      <c r="BYD110" s="386"/>
      <c r="BYE110" s="386"/>
      <c r="BYF110" s="386"/>
      <c r="BYG110" s="386"/>
      <c r="BYH110" s="386"/>
      <c r="BYI110" s="386"/>
      <c r="BYJ110" s="386"/>
      <c r="BYK110" s="386"/>
      <c r="BYL110" s="386"/>
      <c r="BYM110" s="386"/>
      <c r="BYN110" s="386"/>
      <c r="BYO110" s="386"/>
      <c r="BYP110" s="386"/>
      <c r="BYQ110" s="386"/>
      <c r="BYR110" s="386"/>
      <c r="BYS110" s="386"/>
      <c r="BYT110" s="386"/>
      <c r="BYU110" s="386"/>
      <c r="BYV110" s="386"/>
      <c r="BYW110" s="386"/>
      <c r="BYX110" s="386"/>
      <c r="BYY110" s="386"/>
      <c r="BYZ110" s="386"/>
      <c r="BZA110" s="386"/>
      <c r="BZB110" s="386"/>
      <c r="BZC110" s="386"/>
      <c r="BZD110" s="386"/>
      <c r="BZE110" s="386"/>
      <c r="BZF110" s="386"/>
      <c r="BZG110" s="386"/>
      <c r="BZH110" s="386"/>
      <c r="BZI110" s="386"/>
      <c r="BZJ110" s="386"/>
      <c r="BZK110" s="386"/>
      <c r="BZL110" s="386"/>
      <c r="BZM110" s="386"/>
      <c r="BZN110" s="386"/>
      <c r="BZO110" s="386"/>
      <c r="BZP110" s="386"/>
      <c r="BZQ110" s="386"/>
      <c r="BZR110" s="386"/>
      <c r="BZS110" s="386"/>
      <c r="BZT110" s="386"/>
      <c r="BZU110" s="386"/>
      <c r="BZV110" s="386"/>
      <c r="BZW110" s="386"/>
      <c r="BZX110" s="386"/>
      <c r="BZY110" s="386"/>
      <c r="BZZ110" s="386"/>
      <c r="CAA110" s="386"/>
      <c r="CAB110" s="386"/>
      <c r="CAC110" s="386"/>
      <c r="CAD110" s="386"/>
      <c r="CAE110" s="386"/>
      <c r="CAF110" s="386"/>
      <c r="CAG110" s="386"/>
      <c r="CAH110" s="386"/>
      <c r="CAI110" s="386"/>
      <c r="CAJ110" s="386"/>
      <c r="CAK110" s="386"/>
      <c r="CAL110" s="386"/>
      <c r="CAM110" s="386"/>
      <c r="CAN110" s="386"/>
      <c r="CAO110" s="386"/>
      <c r="CAP110" s="386"/>
      <c r="CAQ110" s="386"/>
      <c r="CAR110" s="386"/>
      <c r="CAS110" s="386"/>
      <c r="CAT110" s="386"/>
      <c r="CAU110" s="386"/>
      <c r="CAV110" s="386"/>
      <c r="CAW110" s="386"/>
      <c r="CAX110" s="386"/>
      <c r="CAY110" s="386"/>
      <c r="CAZ110" s="386"/>
      <c r="CBA110" s="386"/>
      <c r="CBB110" s="386"/>
      <c r="CBC110" s="386"/>
      <c r="CBD110" s="386"/>
      <c r="CBE110" s="386"/>
      <c r="CBF110" s="386"/>
      <c r="CBG110" s="386"/>
      <c r="CBH110" s="386"/>
      <c r="CBI110" s="386"/>
      <c r="CBJ110" s="386"/>
      <c r="CBK110" s="386"/>
      <c r="CBL110" s="386"/>
      <c r="CBM110" s="386"/>
      <c r="CBN110" s="386"/>
      <c r="CBO110" s="386"/>
      <c r="CBP110" s="386"/>
      <c r="CBQ110" s="386"/>
      <c r="CBR110" s="386"/>
      <c r="CBS110" s="386"/>
      <c r="CBT110" s="386"/>
      <c r="CBU110" s="386"/>
      <c r="CBV110" s="386"/>
      <c r="CBW110" s="386"/>
      <c r="CBX110" s="386"/>
      <c r="CBY110" s="386"/>
      <c r="CBZ110" s="386"/>
      <c r="CCA110" s="386"/>
      <c r="CCB110" s="386"/>
      <c r="CCC110" s="386"/>
      <c r="CCD110" s="386"/>
      <c r="CCE110" s="386"/>
      <c r="CCF110" s="386"/>
      <c r="CCG110" s="386"/>
      <c r="CCH110" s="386"/>
      <c r="CCI110" s="386"/>
      <c r="CCJ110" s="386"/>
      <c r="CCK110" s="386"/>
      <c r="CCL110" s="386"/>
      <c r="CCM110" s="386"/>
      <c r="CCN110" s="386"/>
      <c r="CCO110" s="386"/>
      <c r="CCP110" s="386"/>
      <c r="CCQ110" s="386"/>
      <c r="CCR110" s="386"/>
      <c r="CCS110" s="386"/>
      <c r="CCT110" s="386"/>
      <c r="CCU110" s="386"/>
      <c r="CCV110" s="386"/>
      <c r="CCW110" s="386"/>
      <c r="CCX110" s="386"/>
      <c r="CCY110" s="386"/>
      <c r="CCZ110" s="386"/>
      <c r="CDA110" s="386"/>
      <c r="CDB110" s="386"/>
      <c r="CDC110" s="386"/>
      <c r="CDD110" s="386"/>
      <c r="CDE110" s="386"/>
      <c r="CDF110" s="386"/>
      <c r="CDG110" s="386"/>
      <c r="CDH110" s="386"/>
      <c r="CDI110" s="386"/>
      <c r="CDJ110" s="386"/>
      <c r="CDK110" s="386"/>
      <c r="CDL110" s="386"/>
      <c r="CDM110" s="386"/>
      <c r="CDN110" s="386"/>
      <c r="CDO110" s="386"/>
      <c r="CDP110" s="386"/>
      <c r="CDQ110" s="386"/>
      <c r="CDR110" s="386"/>
      <c r="CDS110" s="386"/>
      <c r="CDT110" s="386"/>
      <c r="CDU110" s="386"/>
      <c r="CDV110" s="386"/>
      <c r="CDW110" s="386"/>
      <c r="CDX110" s="386"/>
      <c r="CDY110" s="386"/>
      <c r="CDZ110" s="386"/>
      <c r="CEA110" s="386"/>
      <c r="CEB110" s="386"/>
      <c r="CEC110" s="386"/>
      <c r="CED110" s="386"/>
      <c r="CEE110" s="386"/>
      <c r="CEF110" s="386"/>
      <c r="CEG110" s="386"/>
      <c r="CEH110" s="386"/>
      <c r="CEI110" s="386"/>
      <c r="CEJ110" s="386"/>
      <c r="CEK110" s="386"/>
      <c r="CEL110" s="386"/>
      <c r="CEM110" s="386"/>
      <c r="CEN110" s="386"/>
      <c r="CEO110" s="386"/>
      <c r="CEP110" s="386"/>
      <c r="CEQ110" s="386"/>
      <c r="CER110" s="386"/>
      <c r="CES110" s="386"/>
      <c r="CET110" s="386"/>
      <c r="CEU110" s="386"/>
      <c r="CEV110" s="386"/>
      <c r="CEW110" s="386"/>
      <c r="CEX110" s="386"/>
      <c r="CEY110" s="386"/>
      <c r="CEZ110" s="386"/>
      <c r="CFA110" s="386"/>
      <c r="CFB110" s="386"/>
      <c r="CFC110" s="386"/>
      <c r="CFD110" s="386"/>
      <c r="CFE110" s="386"/>
      <c r="CFF110" s="386"/>
      <c r="CFG110" s="386"/>
      <c r="CFH110" s="386"/>
      <c r="CFI110" s="386"/>
      <c r="CFJ110" s="386"/>
      <c r="CFK110" s="386"/>
      <c r="CFL110" s="386"/>
      <c r="CFM110" s="386"/>
      <c r="CFN110" s="386"/>
      <c r="CFO110" s="386"/>
      <c r="CFP110" s="386"/>
      <c r="CFQ110" s="386"/>
      <c r="CFR110" s="386"/>
      <c r="CFS110" s="386"/>
      <c r="CFT110" s="386"/>
      <c r="CFU110" s="386"/>
      <c r="CFV110" s="386"/>
      <c r="CFW110" s="386"/>
      <c r="CFX110" s="386"/>
      <c r="CFY110" s="386"/>
      <c r="CFZ110" s="386"/>
      <c r="CGA110" s="386"/>
      <c r="CGB110" s="386"/>
      <c r="CGC110" s="386"/>
      <c r="CGD110" s="386"/>
      <c r="CGE110" s="386"/>
      <c r="CGF110" s="386"/>
      <c r="CGG110" s="386"/>
      <c r="CGH110" s="386"/>
      <c r="CGI110" s="386"/>
      <c r="CGJ110" s="386"/>
      <c r="CGK110" s="386"/>
      <c r="CGL110" s="386"/>
      <c r="CGM110" s="386"/>
      <c r="CGN110" s="386"/>
      <c r="CGO110" s="386"/>
      <c r="CGP110" s="386"/>
      <c r="CGQ110" s="386"/>
      <c r="CGR110" s="386"/>
      <c r="CGS110" s="386"/>
      <c r="CGT110" s="386"/>
      <c r="CGU110" s="386"/>
      <c r="CGV110" s="386"/>
      <c r="CGW110" s="386"/>
      <c r="CGX110" s="386"/>
      <c r="CGY110" s="386"/>
      <c r="CGZ110" s="386"/>
      <c r="CHA110" s="386"/>
      <c r="CHB110" s="386"/>
      <c r="CHC110" s="386"/>
      <c r="CHD110" s="386"/>
      <c r="CHE110" s="386"/>
      <c r="CHF110" s="386"/>
      <c r="CHG110" s="386"/>
      <c r="CHH110" s="386"/>
      <c r="CHI110" s="386"/>
      <c r="CHJ110" s="386"/>
      <c r="CHK110" s="386"/>
      <c r="CHL110" s="386"/>
      <c r="CHM110" s="386"/>
      <c r="CHN110" s="386"/>
      <c r="CHO110" s="386"/>
      <c r="CHP110" s="386"/>
      <c r="CHQ110" s="386"/>
      <c r="CHR110" s="386"/>
      <c r="CHS110" s="386"/>
      <c r="CHT110" s="386"/>
      <c r="CHU110" s="386"/>
      <c r="CHV110" s="386"/>
      <c r="CHW110" s="386"/>
      <c r="CHX110" s="386"/>
      <c r="CHY110" s="386"/>
      <c r="CHZ110" s="386"/>
      <c r="CIA110" s="386"/>
      <c r="CIB110" s="386"/>
      <c r="CIC110" s="386"/>
      <c r="CID110" s="386"/>
      <c r="CIE110" s="386"/>
      <c r="CIF110" s="386"/>
      <c r="CIG110" s="386"/>
      <c r="CIH110" s="386"/>
      <c r="CII110" s="386"/>
      <c r="CIJ110" s="386"/>
      <c r="CIK110" s="386"/>
      <c r="CIL110" s="386"/>
      <c r="CIM110" s="386"/>
      <c r="CIN110" s="386"/>
      <c r="CIO110" s="386"/>
      <c r="CIP110" s="386"/>
      <c r="CIQ110" s="386"/>
      <c r="CIR110" s="386"/>
      <c r="CIS110" s="386"/>
      <c r="CIT110" s="386"/>
      <c r="CIU110" s="386"/>
      <c r="CIV110" s="386"/>
      <c r="CIW110" s="386"/>
      <c r="CIX110" s="386"/>
      <c r="CIY110" s="386"/>
      <c r="CIZ110" s="386"/>
      <c r="CJA110" s="386"/>
      <c r="CJB110" s="386"/>
      <c r="CJC110" s="386"/>
      <c r="CJD110" s="386"/>
      <c r="CJE110" s="386"/>
      <c r="CJF110" s="386"/>
      <c r="CJG110" s="386"/>
      <c r="CJH110" s="386"/>
      <c r="CJI110" s="386"/>
      <c r="CJJ110" s="386"/>
      <c r="CJK110" s="386"/>
      <c r="CJL110" s="386"/>
      <c r="CJM110" s="386"/>
      <c r="CJN110" s="386"/>
      <c r="CJO110" s="386"/>
      <c r="CJP110" s="386"/>
      <c r="CJQ110" s="386"/>
      <c r="CJR110" s="386"/>
      <c r="CJS110" s="386"/>
      <c r="CJT110" s="386"/>
      <c r="CJU110" s="386"/>
      <c r="CJV110" s="386"/>
      <c r="CJW110" s="386"/>
      <c r="CJX110" s="386"/>
      <c r="CJY110" s="386"/>
      <c r="CJZ110" s="386"/>
      <c r="CKA110" s="386"/>
      <c r="CKB110" s="386"/>
      <c r="CKC110" s="386"/>
      <c r="CKD110" s="386"/>
      <c r="CKE110" s="386"/>
      <c r="CKF110" s="386"/>
      <c r="CKG110" s="386"/>
      <c r="CKH110" s="386"/>
      <c r="CKI110" s="386"/>
      <c r="CKJ110" s="386"/>
      <c r="CKK110" s="386"/>
      <c r="CKL110" s="386"/>
      <c r="CKM110" s="386"/>
      <c r="CKN110" s="386"/>
      <c r="CKO110" s="386"/>
      <c r="CKP110" s="386"/>
      <c r="CKQ110" s="386"/>
      <c r="CKR110" s="386"/>
      <c r="CKS110" s="386"/>
      <c r="CKT110" s="386"/>
      <c r="CKU110" s="386"/>
      <c r="CKV110" s="386"/>
      <c r="CKW110" s="386"/>
      <c r="CKX110" s="386"/>
      <c r="CKY110" s="386"/>
      <c r="CKZ110" s="386"/>
      <c r="CLA110" s="386"/>
      <c r="CLB110" s="386"/>
      <c r="CLC110" s="386"/>
      <c r="CLD110" s="386"/>
      <c r="CLE110" s="386"/>
      <c r="CLF110" s="386"/>
      <c r="CLG110" s="386"/>
      <c r="CLH110" s="386"/>
      <c r="CLI110" s="386"/>
      <c r="CLJ110" s="386"/>
      <c r="CLK110" s="386"/>
      <c r="CLL110" s="386"/>
      <c r="CLM110" s="386"/>
      <c r="CLN110" s="386"/>
      <c r="CLO110" s="386"/>
      <c r="CLP110" s="386"/>
      <c r="CLQ110" s="386"/>
      <c r="CLR110" s="386"/>
      <c r="CLS110" s="386"/>
      <c r="CLT110" s="386"/>
      <c r="CLU110" s="386"/>
      <c r="CLV110" s="386"/>
      <c r="CLW110" s="386"/>
      <c r="CLX110" s="386"/>
      <c r="CLY110" s="386"/>
      <c r="CLZ110" s="386"/>
      <c r="CMA110" s="386"/>
      <c r="CMB110" s="386"/>
      <c r="CMC110" s="386"/>
      <c r="CMD110" s="386"/>
      <c r="CME110" s="386"/>
      <c r="CMF110" s="386"/>
      <c r="CMG110" s="386"/>
      <c r="CMH110" s="386"/>
      <c r="CMI110" s="386"/>
      <c r="CMJ110" s="386"/>
      <c r="CMK110" s="386"/>
      <c r="CML110" s="386"/>
      <c r="CMM110" s="386"/>
      <c r="CMN110" s="386"/>
      <c r="CMO110" s="386"/>
      <c r="CMP110" s="386"/>
      <c r="CMQ110" s="386"/>
      <c r="CMR110" s="386"/>
      <c r="CMS110" s="386"/>
      <c r="CMT110" s="386"/>
      <c r="CMU110" s="386"/>
      <c r="CMV110" s="386"/>
      <c r="CMW110" s="386"/>
      <c r="CMX110" s="386"/>
      <c r="CMY110" s="386"/>
      <c r="CMZ110" s="386"/>
      <c r="CNA110" s="386"/>
      <c r="CNB110" s="386"/>
      <c r="CNC110" s="386"/>
      <c r="CND110" s="386"/>
      <c r="CNE110" s="386"/>
      <c r="CNF110" s="386"/>
      <c r="CNG110" s="386"/>
      <c r="CNH110" s="386"/>
      <c r="CNI110" s="386"/>
      <c r="CNJ110" s="386"/>
      <c r="CNK110" s="386"/>
      <c r="CNL110" s="386"/>
      <c r="CNM110" s="386"/>
      <c r="CNN110" s="386"/>
      <c r="CNO110" s="386"/>
      <c r="CNP110" s="386"/>
      <c r="CNQ110" s="386"/>
      <c r="CNR110" s="386"/>
      <c r="CNS110" s="386"/>
      <c r="CNT110" s="386"/>
      <c r="CNU110" s="386"/>
      <c r="CNV110" s="386"/>
      <c r="CNW110" s="386"/>
      <c r="CNX110" s="386"/>
      <c r="CNY110" s="386"/>
      <c r="CNZ110" s="386"/>
      <c r="COA110" s="386"/>
      <c r="COB110" s="386"/>
      <c r="COC110" s="386"/>
      <c r="COD110" s="386"/>
      <c r="COE110" s="386"/>
      <c r="COF110" s="386"/>
      <c r="COG110" s="386"/>
      <c r="COH110" s="386"/>
      <c r="COI110" s="386"/>
      <c r="COJ110" s="386"/>
      <c r="COK110" s="386"/>
      <c r="COL110" s="386"/>
      <c r="COM110" s="386"/>
      <c r="CON110" s="386"/>
      <c r="COO110" s="386"/>
      <c r="COP110" s="386"/>
      <c r="COQ110" s="386"/>
      <c r="COR110" s="386"/>
      <c r="COS110" s="386"/>
      <c r="COT110" s="386"/>
      <c r="COU110" s="386"/>
      <c r="COV110" s="386"/>
      <c r="COW110" s="386"/>
      <c r="COX110" s="386"/>
      <c r="COY110" s="386"/>
      <c r="COZ110" s="386"/>
      <c r="CPA110" s="386"/>
      <c r="CPB110" s="386"/>
      <c r="CPC110" s="386"/>
      <c r="CPD110" s="386"/>
      <c r="CPE110" s="386"/>
      <c r="CPF110" s="386"/>
      <c r="CPG110" s="386"/>
      <c r="CPH110" s="386"/>
      <c r="CPI110" s="386"/>
      <c r="CPJ110" s="386"/>
      <c r="CPK110" s="386"/>
      <c r="CPL110" s="386"/>
      <c r="CPM110" s="386"/>
      <c r="CPN110" s="386"/>
      <c r="CPO110" s="386"/>
      <c r="CPP110" s="386"/>
      <c r="CPQ110" s="386"/>
      <c r="CPR110" s="386"/>
      <c r="CPS110" s="386"/>
      <c r="CPT110" s="386"/>
      <c r="CPU110" s="386"/>
      <c r="CPV110" s="386"/>
      <c r="CPW110" s="386"/>
      <c r="CPX110" s="386"/>
      <c r="CPY110" s="386"/>
      <c r="CPZ110" s="386"/>
      <c r="CQA110" s="386"/>
      <c r="CQB110" s="386"/>
      <c r="CQC110" s="386"/>
      <c r="CQD110" s="386"/>
      <c r="CQE110" s="386"/>
      <c r="CQF110" s="386"/>
      <c r="CQG110" s="386"/>
      <c r="CQH110" s="386"/>
      <c r="CQI110" s="386"/>
      <c r="CQJ110" s="386"/>
      <c r="CQK110" s="386"/>
      <c r="CQL110" s="386"/>
      <c r="CQM110" s="386"/>
      <c r="CQN110" s="386"/>
      <c r="CQO110" s="386"/>
      <c r="CQP110" s="386"/>
      <c r="CQQ110" s="386"/>
      <c r="CQR110" s="386"/>
      <c r="CQS110" s="386"/>
      <c r="CQT110" s="386"/>
      <c r="CQU110" s="386"/>
      <c r="CQV110" s="386"/>
      <c r="CQW110" s="386"/>
      <c r="CQX110" s="386"/>
      <c r="CQY110" s="386"/>
      <c r="CQZ110" s="386"/>
      <c r="CRA110" s="386"/>
      <c r="CRB110" s="386"/>
      <c r="CRC110" s="386"/>
      <c r="CRD110" s="386"/>
      <c r="CRE110" s="386"/>
      <c r="CRF110" s="386"/>
      <c r="CRG110" s="386"/>
      <c r="CRH110" s="386"/>
      <c r="CRI110" s="386"/>
      <c r="CRJ110" s="386"/>
      <c r="CRK110" s="386"/>
      <c r="CRL110" s="386"/>
      <c r="CRM110" s="386"/>
      <c r="CRN110" s="386"/>
      <c r="CRO110" s="386"/>
      <c r="CRP110" s="386"/>
      <c r="CRQ110" s="386"/>
      <c r="CRR110" s="386"/>
      <c r="CRS110" s="386"/>
      <c r="CRT110" s="386"/>
      <c r="CRU110" s="386"/>
      <c r="CRV110" s="386"/>
      <c r="CRW110" s="386"/>
      <c r="CRX110" s="386"/>
      <c r="CRY110" s="386"/>
      <c r="CRZ110" s="386"/>
      <c r="CSA110" s="386"/>
      <c r="CSB110" s="386"/>
      <c r="CSC110" s="386"/>
      <c r="CSD110" s="386"/>
      <c r="CSE110" s="386"/>
      <c r="CSF110" s="386"/>
      <c r="CSG110" s="386"/>
      <c r="CSH110" s="386"/>
      <c r="CSI110" s="386"/>
      <c r="CSJ110" s="386"/>
      <c r="CSK110" s="386"/>
      <c r="CSL110" s="386"/>
      <c r="CSM110" s="386"/>
      <c r="CSN110" s="386"/>
      <c r="CSO110" s="386"/>
      <c r="CSP110" s="386"/>
      <c r="CSQ110" s="386"/>
      <c r="CSR110" s="386"/>
      <c r="CSS110" s="386"/>
      <c r="CST110" s="386"/>
      <c r="CSU110" s="386"/>
      <c r="CSV110" s="386"/>
      <c r="CSW110" s="386"/>
      <c r="CSX110" s="386"/>
      <c r="CSY110" s="386"/>
      <c r="CSZ110" s="386"/>
      <c r="CTA110" s="386"/>
      <c r="CTB110" s="386"/>
      <c r="CTC110" s="386"/>
      <c r="CTD110" s="386"/>
      <c r="CTE110" s="386"/>
      <c r="CTF110" s="386"/>
      <c r="CTG110" s="386"/>
      <c r="CTH110" s="386"/>
      <c r="CTI110" s="386"/>
      <c r="CTJ110" s="386"/>
      <c r="CTK110" s="386"/>
      <c r="CTL110" s="386"/>
      <c r="CTM110" s="386"/>
      <c r="CTN110" s="386"/>
      <c r="CTO110" s="386"/>
      <c r="CTP110" s="386"/>
      <c r="CTQ110" s="386"/>
      <c r="CTR110" s="386"/>
      <c r="CTS110" s="386"/>
      <c r="CTT110" s="386"/>
      <c r="CTU110" s="386"/>
      <c r="CTV110" s="386"/>
      <c r="CTW110" s="386"/>
      <c r="CTX110" s="386"/>
      <c r="CTY110" s="386"/>
      <c r="CTZ110" s="386"/>
      <c r="CUA110" s="386"/>
      <c r="CUB110" s="386"/>
      <c r="CUC110" s="386"/>
      <c r="CUD110" s="386"/>
      <c r="CUE110" s="386"/>
      <c r="CUF110" s="386"/>
      <c r="CUG110" s="386"/>
      <c r="CUH110" s="386"/>
      <c r="CUI110" s="386"/>
      <c r="CUJ110" s="386"/>
      <c r="CUK110" s="386"/>
      <c r="CUL110" s="386"/>
      <c r="CUM110" s="386"/>
      <c r="CUN110" s="386"/>
      <c r="CUO110" s="386"/>
      <c r="CUP110" s="386"/>
      <c r="CUQ110" s="386"/>
      <c r="CUR110" s="386"/>
      <c r="CUS110" s="386"/>
      <c r="CUT110" s="386"/>
      <c r="CUU110" s="386"/>
      <c r="CUV110" s="386"/>
      <c r="CUW110" s="386"/>
      <c r="CUX110" s="386"/>
      <c r="CUY110" s="386"/>
      <c r="CUZ110" s="386"/>
      <c r="CVA110" s="386"/>
      <c r="CVB110" s="386"/>
      <c r="CVC110" s="386"/>
      <c r="CVD110" s="386"/>
      <c r="CVE110" s="386"/>
      <c r="CVF110" s="386"/>
      <c r="CVG110" s="386"/>
      <c r="CVH110" s="386"/>
      <c r="CVI110" s="386"/>
      <c r="CVJ110" s="386"/>
      <c r="CVK110" s="386"/>
      <c r="CVL110" s="386"/>
      <c r="CVM110" s="386"/>
      <c r="CVN110" s="386"/>
      <c r="CVO110" s="386"/>
      <c r="CVP110" s="386"/>
      <c r="CVQ110" s="386"/>
      <c r="CVR110" s="386"/>
      <c r="CVS110" s="386"/>
      <c r="CVT110" s="386"/>
      <c r="CVU110" s="386"/>
      <c r="CVV110" s="386"/>
      <c r="CVW110" s="386"/>
      <c r="CVX110" s="386"/>
      <c r="CVY110" s="386"/>
      <c r="CVZ110" s="386"/>
      <c r="CWA110" s="386"/>
      <c r="CWB110" s="386"/>
      <c r="CWC110" s="386"/>
      <c r="CWD110" s="386"/>
      <c r="CWE110" s="386"/>
      <c r="CWF110" s="386"/>
      <c r="CWG110" s="386"/>
      <c r="CWH110" s="386"/>
      <c r="CWI110" s="386"/>
      <c r="CWJ110" s="386"/>
      <c r="CWK110" s="386"/>
      <c r="CWL110" s="386"/>
      <c r="CWM110" s="386"/>
      <c r="CWN110" s="386"/>
      <c r="CWO110" s="386"/>
      <c r="CWP110" s="386"/>
      <c r="CWQ110" s="386"/>
      <c r="CWR110" s="386"/>
      <c r="CWS110" s="386"/>
      <c r="CWT110" s="386"/>
      <c r="CWU110" s="386"/>
      <c r="CWV110" s="386"/>
      <c r="CWW110" s="386"/>
      <c r="CWX110" s="386"/>
      <c r="CWY110" s="386"/>
      <c r="CWZ110" s="386"/>
      <c r="CXA110" s="386"/>
      <c r="CXB110" s="386"/>
      <c r="CXC110" s="386"/>
      <c r="CXD110" s="386"/>
      <c r="CXE110" s="386"/>
      <c r="CXF110" s="386"/>
      <c r="CXG110" s="386"/>
      <c r="CXH110" s="386"/>
      <c r="CXI110" s="386"/>
      <c r="CXJ110" s="386"/>
      <c r="CXK110" s="386"/>
      <c r="CXL110" s="386"/>
      <c r="CXM110" s="386"/>
      <c r="CXN110" s="386"/>
      <c r="CXO110" s="386"/>
      <c r="CXP110" s="386"/>
      <c r="CXQ110" s="386"/>
      <c r="CXR110" s="386"/>
      <c r="CXS110" s="386"/>
      <c r="CXT110" s="386"/>
      <c r="CXU110" s="386"/>
      <c r="CXV110" s="386"/>
      <c r="CXW110" s="386"/>
      <c r="CXX110" s="386"/>
      <c r="CXY110" s="386"/>
      <c r="CXZ110" s="386"/>
      <c r="CYA110" s="386"/>
      <c r="CYB110" s="386"/>
      <c r="CYC110" s="386"/>
      <c r="CYD110" s="386"/>
      <c r="CYE110" s="386"/>
      <c r="CYF110" s="386"/>
      <c r="CYG110" s="386"/>
      <c r="CYH110" s="386"/>
      <c r="CYI110" s="386"/>
      <c r="CYJ110" s="386"/>
      <c r="CYK110" s="386"/>
      <c r="CYL110" s="386"/>
      <c r="CYM110" s="386"/>
      <c r="CYN110" s="386"/>
      <c r="CYO110" s="386"/>
      <c r="CYP110" s="386"/>
      <c r="CYQ110" s="386"/>
      <c r="CYR110" s="386"/>
      <c r="CYS110" s="386"/>
      <c r="CYT110" s="386"/>
      <c r="CYU110" s="386"/>
      <c r="CYV110" s="386"/>
      <c r="CYW110" s="386"/>
      <c r="CYX110" s="386"/>
      <c r="CYY110" s="386"/>
      <c r="CYZ110" s="386"/>
      <c r="CZA110" s="386"/>
      <c r="CZB110" s="386"/>
      <c r="CZC110" s="386"/>
      <c r="CZD110" s="386"/>
      <c r="CZE110" s="386"/>
      <c r="CZF110" s="386"/>
      <c r="CZG110" s="386"/>
      <c r="CZH110" s="386"/>
      <c r="CZI110" s="386"/>
      <c r="CZJ110" s="386"/>
      <c r="CZK110" s="386"/>
      <c r="CZL110" s="386"/>
      <c r="CZM110" s="386"/>
      <c r="CZN110" s="386"/>
      <c r="CZO110" s="386"/>
      <c r="CZP110" s="386"/>
      <c r="CZQ110" s="386"/>
      <c r="CZR110" s="386"/>
      <c r="CZS110" s="386"/>
      <c r="CZT110" s="386"/>
      <c r="CZU110" s="386"/>
      <c r="CZV110" s="386"/>
      <c r="CZW110" s="386"/>
      <c r="CZX110" s="386"/>
      <c r="CZY110" s="386"/>
      <c r="CZZ110" s="386"/>
      <c r="DAA110" s="386"/>
      <c r="DAB110" s="386"/>
      <c r="DAC110" s="386"/>
      <c r="DAD110" s="386"/>
      <c r="DAE110" s="386"/>
      <c r="DAF110" s="386"/>
      <c r="DAG110" s="386"/>
      <c r="DAH110" s="386"/>
      <c r="DAI110" s="386"/>
      <c r="DAJ110" s="386"/>
      <c r="DAK110" s="386"/>
      <c r="DAL110" s="386"/>
      <c r="DAM110" s="386"/>
      <c r="DAN110" s="386"/>
      <c r="DAO110" s="386"/>
      <c r="DAP110" s="386"/>
      <c r="DAQ110" s="386"/>
      <c r="DAR110" s="386"/>
      <c r="DAS110" s="386"/>
      <c r="DAT110" s="386"/>
      <c r="DAU110" s="386"/>
      <c r="DAV110" s="386"/>
      <c r="DAW110" s="386"/>
      <c r="DAX110" s="386"/>
      <c r="DAY110" s="386"/>
      <c r="DAZ110" s="386"/>
      <c r="DBA110" s="386"/>
      <c r="DBB110" s="386"/>
      <c r="DBC110" s="386"/>
      <c r="DBD110" s="386"/>
      <c r="DBE110" s="386"/>
      <c r="DBF110" s="386"/>
      <c r="DBG110" s="386"/>
      <c r="DBH110" s="386"/>
      <c r="DBI110" s="386"/>
      <c r="DBJ110" s="386"/>
      <c r="DBK110" s="386"/>
      <c r="DBL110" s="386"/>
      <c r="DBM110" s="386"/>
      <c r="DBN110" s="386"/>
      <c r="DBO110" s="386"/>
      <c r="DBP110" s="386"/>
      <c r="DBQ110" s="386"/>
      <c r="DBR110" s="386"/>
      <c r="DBS110" s="386"/>
      <c r="DBT110" s="386"/>
      <c r="DBU110" s="386"/>
      <c r="DBV110" s="386"/>
      <c r="DBW110" s="386"/>
      <c r="DBX110" s="386"/>
      <c r="DBY110" s="386"/>
      <c r="DBZ110" s="386"/>
      <c r="DCA110" s="386"/>
      <c r="DCB110" s="386"/>
      <c r="DCC110" s="386"/>
      <c r="DCD110" s="386"/>
      <c r="DCE110" s="386"/>
      <c r="DCF110" s="386"/>
      <c r="DCG110" s="386"/>
      <c r="DCH110" s="386"/>
      <c r="DCI110" s="386"/>
      <c r="DCJ110" s="386"/>
      <c r="DCK110" s="386"/>
      <c r="DCL110" s="386"/>
      <c r="DCM110" s="386"/>
      <c r="DCN110" s="386"/>
      <c r="DCO110" s="386"/>
      <c r="DCP110" s="386"/>
      <c r="DCQ110" s="386"/>
      <c r="DCR110" s="386"/>
      <c r="DCS110" s="386"/>
      <c r="DCT110" s="386"/>
      <c r="DCU110" s="386"/>
      <c r="DCV110" s="386"/>
      <c r="DCW110" s="386"/>
      <c r="DCX110" s="386"/>
      <c r="DCY110" s="386"/>
      <c r="DCZ110" s="386"/>
      <c r="DDA110" s="386"/>
      <c r="DDB110" s="386"/>
      <c r="DDC110" s="386"/>
      <c r="DDD110" s="386"/>
      <c r="DDE110" s="386"/>
      <c r="DDF110" s="386"/>
      <c r="DDG110" s="386"/>
      <c r="DDH110" s="386"/>
      <c r="DDI110" s="386"/>
      <c r="DDJ110" s="386"/>
      <c r="DDK110" s="386"/>
      <c r="DDL110" s="386"/>
      <c r="DDM110" s="386"/>
      <c r="DDN110" s="386"/>
      <c r="DDO110" s="386"/>
      <c r="DDP110" s="386"/>
      <c r="DDQ110" s="386"/>
      <c r="DDR110" s="386"/>
      <c r="DDS110" s="386"/>
      <c r="DDT110" s="386"/>
      <c r="DDU110" s="386"/>
      <c r="DDV110" s="386"/>
      <c r="DDW110" s="386"/>
      <c r="DDX110" s="386"/>
      <c r="DDY110" s="386"/>
      <c r="DDZ110" s="386"/>
      <c r="DEA110" s="386"/>
      <c r="DEB110" s="386"/>
      <c r="DEC110" s="386"/>
      <c r="DED110" s="386"/>
      <c r="DEE110" s="386"/>
      <c r="DEF110" s="386"/>
      <c r="DEG110" s="386"/>
      <c r="DEH110" s="386"/>
      <c r="DEI110" s="386"/>
      <c r="DEJ110" s="386"/>
      <c r="DEK110" s="386"/>
      <c r="DEL110" s="386"/>
      <c r="DEM110" s="386"/>
      <c r="DEN110" s="386"/>
      <c r="DEO110" s="386"/>
      <c r="DEP110" s="386"/>
      <c r="DEQ110" s="386"/>
      <c r="DER110" s="386"/>
      <c r="DES110" s="386"/>
      <c r="DET110" s="386"/>
      <c r="DEU110" s="386"/>
      <c r="DEV110" s="386"/>
      <c r="DEW110" s="386"/>
      <c r="DEX110" s="386"/>
      <c r="DEY110" s="386"/>
      <c r="DEZ110" s="386"/>
      <c r="DFA110" s="386"/>
      <c r="DFB110" s="386"/>
      <c r="DFC110" s="386"/>
      <c r="DFD110" s="386"/>
      <c r="DFE110" s="386"/>
      <c r="DFF110" s="386"/>
      <c r="DFG110" s="386"/>
      <c r="DFH110" s="386"/>
      <c r="DFI110" s="386"/>
      <c r="DFJ110" s="386"/>
      <c r="DFK110" s="386"/>
      <c r="DFL110" s="386"/>
      <c r="DFM110" s="386"/>
      <c r="DFN110" s="386"/>
      <c r="DFO110" s="386"/>
      <c r="DFP110" s="386"/>
      <c r="DFQ110" s="386"/>
      <c r="DFR110" s="386"/>
      <c r="DFS110" s="386"/>
      <c r="DFT110" s="386"/>
      <c r="DFU110" s="386"/>
      <c r="DFV110" s="386"/>
      <c r="DFW110" s="386"/>
      <c r="DFX110" s="386"/>
      <c r="DFY110" s="386"/>
      <c r="DFZ110" s="386"/>
      <c r="DGA110" s="386"/>
      <c r="DGB110" s="386"/>
      <c r="DGC110" s="386"/>
      <c r="DGD110" s="386"/>
      <c r="DGE110" s="386"/>
      <c r="DGF110" s="386"/>
      <c r="DGG110" s="386"/>
      <c r="DGH110" s="386"/>
      <c r="DGI110" s="386"/>
      <c r="DGJ110" s="386"/>
      <c r="DGK110" s="386"/>
      <c r="DGL110" s="386"/>
      <c r="DGM110" s="386"/>
      <c r="DGN110" s="386"/>
      <c r="DGO110" s="386"/>
      <c r="DGP110" s="386"/>
      <c r="DGQ110" s="386"/>
      <c r="DGR110" s="386"/>
      <c r="DGS110" s="386"/>
      <c r="DGT110" s="386"/>
      <c r="DGU110" s="386"/>
      <c r="DGV110" s="386"/>
      <c r="DGW110" s="386"/>
      <c r="DGX110" s="386"/>
      <c r="DGY110" s="386"/>
      <c r="DGZ110" s="386"/>
      <c r="DHA110" s="386"/>
      <c r="DHB110" s="386"/>
      <c r="DHC110" s="386"/>
      <c r="DHD110" s="386"/>
      <c r="DHE110" s="386"/>
      <c r="DHF110" s="386"/>
      <c r="DHG110" s="386"/>
      <c r="DHH110" s="386"/>
      <c r="DHI110" s="386"/>
      <c r="DHJ110" s="386"/>
      <c r="DHK110" s="386"/>
      <c r="DHL110" s="386"/>
      <c r="DHM110" s="386"/>
      <c r="DHN110" s="386"/>
      <c r="DHO110" s="386"/>
      <c r="DHP110" s="386"/>
      <c r="DHQ110" s="386"/>
      <c r="DHR110" s="386"/>
      <c r="DHS110" s="386"/>
      <c r="DHT110" s="386"/>
      <c r="DHU110" s="386"/>
      <c r="DHV110" s="386"/>
      <c r="DHW110" s="386"/>
      <c r="DHX110" s="386"/>
      <c r="DHY110" s="386"/>
      <c r="DHZ110" s="386"/>
      <c r="DIA110" s="386"/>
      <c r="DIB110" s="386"/>
      <c r="DIC110" s="386"/>
      <c r="DID110" s="386"/>
      <c r="DIE110" s="386"/>
      <c r="DIF110" s="386"/>
      <c r="DIG110" s="386"/>
      <c r="DIH110" s="386"/>
      <c r="DII110" s="386"/>
      <c r="DIJ110" s="386"/>
      <c r="DIK110" s="386"/>
      <c r="DIL110" s="386"/>
      <c r="DIM110" s="386"/>
      <c r="DIN110" s="386"/>
      <c r="DIO110" s="386"/>
      <c r="DIP110" s="386"/>
      <c r="DIQ110" s="386"/>
      <c r="DIR110" s="386"/>
      <c r="DIS110" s="386"/>
      <c r="DIT110" s="386"/>
      <c r="DIU110" s="386"/>
      <c r="DIV110" s="386"/>
      <c r="DIW110" s="386"/>
      <c r="DIX110" s="386"/>
      <c r="DIY110" s="386"/>
      <c r="DIZ110" s="386"/>
      <c r="DJA110" s="386"/>
      <c r="DJB110" s="386"/>
      <c r="DJC110" s="386"/>
      <c r="DJD110" s="386"/>
      <c r="DJE110" s="386"/>
      <c r="DJF110" s="386"/>
      <c r="DJG110" s="386"/>
      <c r="DJH110" s="386"/>
      <c r="DJI110" s="386"/>
      <c r="DJJ110" s="386"/>
      <c r="DJK110" s="386"/>
      <c r="DJL110" s="386"/>
      <c r="DJM110" s="386"/>
      <c r="DJN110" s="386"/>
      <c r="DJO110" s="386"/>
      <c r="DJP110" s="386"/>
      <c r="DJQ110" s="386"/>
      <c r="DJR110" s="386"/>
      <c r="DJS110" s="386"/>
      <c r="DJT110" s="386"/>
      <c r="DJU110" s="386"/>
      <c r="DJV110" s="386"/>
      <c r="DJW110" s="386"/>
      <c r="DJX110" s="386"/>
      <c r="DJY110" s="386"/>
      <c r="DJZ110" s="386"/>
      <c r="DKA110" s="386"/>
      <c r="DKB110" s="386"/>
      <c r="DKC110" s="386"/>
      <c r="DKD110" s="386"/>
      <c r="DKE110" s="386"/>
      <c r="DKF110" s="386"/>
      <c r="DKG110" s="386"/>
      <c r="DKH110" s="386"/>
      <c r="DKI110" s="386"/>
      <c r="DKJ110" s="386"/>
      <c r="DKK110" s="386"/>
      <c r="DKL110" s="386"/>
      <c r="DKM110" s="386"/>
      <c r="DKN110" s="386"/>
      <c r="DKO110" s="386"/>
      <c r="DKP110" s="386"/>
      <c r="DKQ110" s="386"/>
      <c r="DKR110" s="386"/>
      <c r="DKS110" s="386"/>
      <c r="DKT110" s="386"/>
      <c r="DKU110" s="386"/>
      <c r="DKV110" s="386"/>
      <c r="DKW110" s="386"/>
      <c r="DKX110" s="386"/>
      <c r="DKY110" s="386"/>
      <c r="DKZ110" s="386"/>
      <c r="DLA110" s="386"/>
      <c r="DLB110" s="386"/>
      <c r="DLC110" s="386"/>
      <c r="DLD110" s="386"/>
      <c r="DLE110" s="386"/>
      <c r="DLF110" s="386"/>
      <c r="DLG110" s="386"/>
      <c r="DLH110" s="386"/>
      <c r="DLI110" s="386"/>
      <c r="DLJ110" s="386"/>
      <c r="DLK110" s="386"/>
      <c r="DLL110" s="386"/>
      <c r="DLM110" s="386"/>
      <c r="DLN110" s="386"/>
      <c r="DLO110" s="386"/>
      <c r="DLP110" s="386"/>
      <c r="DLQ110" s="386"/>
      <c r="DLR110" s="386"/>
      <c r="DLS110" s="386"/>
      <c r="DLT110" s="386"/>
      <c r="DLU110" s="386"/>
      <c r="DLV110" s="386"/>
      <c r="DLW110" s="386"/>
      <c r="DLX110" s="386"/>
      <c r="DLY110" s="386"/>
      <c r="DLZ110" s="386"/>
      <c r="DMA110" s="386"/>
      <c r="DMB110" s="386"/>
      <c r="DMC110" s="386"/>
      <c r="DMD110" s="386"/>
      <c r="DME110" s="386"/>
      <c r="DMF110" s="386"/>
      <c r="DMG110" s="386"/>
      <c r="DMH110" s="386"/>
      <c r="DMI110" s="386"/>
      <c r="DMJ110" s="386"/>
      <c r="DMK110" s="386"/>
      <c r="DML110" s="386"/>
      <c r="DMM110" s="386"/>
      <c r="DMN110" s="386"/>
      <c r="DMO110" s="386"/>
      <c r="DMP110" s="386"/>
      <c r="DMQ110" s="386"/>
      <c r="DMR110" s="386"/>
      <c r="DMS110" s="386"/>
      <c r="DMT110" s="386"/>
      <c r="DMU110" s="386"/>
      <c r="DMV110" s="386"/>
      <c r="DMW110" s="386"/>
      <c r="DMX110" s="386"/>
      <c r="DMY110" s="386"/>
      <c r="DMZ110" s="386"/>
      <c r="DNA110" s="386"/>
      <c r="DNB110" s="386"/>
      <c r="DNC110" s="386"/>
      <c r="DND110" s="386"/>
      <c r="DNE110" s="386"/>
      <c r="DNF110" s="386"/>
      <c r="DNG110" s="386"/>
      <c r="DNH110" s="386"/>
      <c r="DNI110" s="386"/>
      <c r="DNJ110" s="386"/>
      <c r="DNK110" s="386"/>
      <c r="DNL110" s="386"/>
      <c r="DNM110" s="386"/>
      <c r="DNN110" s="386"/>
      <c r="DNO110" s="386"/>
      <c r="DNP110" s="386"/>
      <c r="DNQ110" s="386"/>
      <c r="DNR110" s="386"/>
      <c r="DNS110" s="386"/>
      <c r="DNT110" s="386"/>
      <c r="DNU110" s="386"/>
      <c r="DNV110" s="386"/>
      <c r="DNW110" s="386"/>
      <c r="DNX110" s="386"/>
      <c r="DNY110" s="386"/>
      <c r="DNZ110" s="386"/>
      <c r="DOA110" s="386"/>
      <c r="DOB110" s="386"/>
      <c r="DOC110" s="386"/>
      <c r="DOD110" s="386"/>
      <c r="DOE110" s="386"/>
      <c r="DOF110" s="386"/>
      <c r="DOG110" s="386"/>
      <c r="DOH110" s="386"/>
      <c r="DOI110" s="386"/>
      <c r="DOJ110" s="386"/>
      <c r="DOK110" s="386"/>
      <c r="DOL110" s="386"/>
      <c r="DOM110" s="386"/>
      <c r="DON110" s="386"/>
      <c r="DOO110" s="386"/>
      <c r="DOP110" s="386"/>
      <c r="DOQ110" s="386"/>
      <c r="DOR110" s="386"/>
      <c r="DOS110" s="386"/>
      <c r="DOT110" s="386"/>
      <c r="DOU110" s="386"/>
      <c r="DOV110" s="386"/>
      <c r="DOW110" s="386"/>
      <c r="DOX110" s="386"/>
      <c r="DOY110" s="386"/>
      <c r="DOZ110" s="386"/>
      <c r="DPA110" s="386"/>
      <c r="DPB110" s="386"/>
      <c r="DPC110" s="386"/>
      <c r="DPD110" s="386"/>
      <c r="DPE110" s="386"/>
      <c r="DPF110" s="386"/>
      <c r="DPG110" s="386"/>
      <c r="DPH110" s="386"/>
      <c r="DPI110" s="386"/>
      <c r="DPJ110" s="386"/>
      <c r="DPK110" s="386"/>
      <c r="DPL110" s="386"/>
      <c r="DPM110" s="386"/>
      <c r="DPN110" s="386"/>
      <c r="DPO110" s="386"/>
      <c r="DPP110" s="386"/>
      <c r="DPQ110" s="386"/>
      <c r="DPR110" s="386"/>
      <c r="DPS110" s="386"/>
      <c r="DPT110" s="386"/>
      <c r="DPU110" s="386"/>
      <c r="DPV110" s="386"/>
      <c r="DPW110" s="386"/>
      <c r="DPX110" s="386"/>
      <c r="DPY110" s="386"/>
      <c r="DPZ110" s="386"/>
      <c r="DQA110" s="386"/>
      <c r="DQB110" s="386"/>
      <c r="DQC110" s="386"/>
      <c r="DQD110" s="386"/>
      <c r="DQE110" s="386"/>
      <c r="DQF110" s="386"/>
      <c r="DQG110" s="386"/>
      <c r="DQH110" s="386"/>
      <c r="DQI110" s="386"/>
      <c r="DQJ110" s="386"/>
      <c r="DQK110" s="386"/>
      <c r="DQL110" s="386"/>
      <c r="DQM110" s="386"/>
      <c r="DQN110" s="386"/>
      <c r="DQO110" s="386"/>
      <c r="DQP110" s="386"/>
      <c r="DQQ110" s="386"/>
      <c r="DQR110" s="386"/>
      <c r="DQS110" s="386"/>
      <c r="DQT110" s="386"/>
      <c r="DQU110" s="386"/>
      <c r="DQV110" s="386"/>
      <c r="DQW110" s="386"/>
      <c r="DQX110" s="386"/>
      <c r="DQY110" s="386"/>
      <c r="DQZ110" s="386"/>
      <c r="DRA110" s="386"/>
      <c r="DRB110" s="386"/>
      <c r="DRC110" s="386"/>
      <c r="DRD110" s="386"/>
      <c r="DRE110" s="386"/>
      <c r="DRF110" s="386"/>
      <c r="DRG110" s="386"/>
      <c r="DRH110" s="386"/>
      <c r="DRI110" s="386"/>
      <c r="DRJ110" s="386"/>
      <c r="DRK110" s="386"/>
      <c r="DRL110" s="386"/>
      <c r="DRM110" s="386"/>
    </row>
    <row r="111" spans="1:3185" ht="30" customHeight="1">
      <c r="A111" s="387"/>
      <c r="B111" s="388"/>
      <c r="C111" s="389"/>
      <c r="D111" s="390"/>
      <c r="E111" s="391"/>
      <c r="F111" s="421"/>
      <c r="G111" s="399"/>
      <c r="H111" s="392"/>
      <c r="I111" s="422"/>
      <c r="J111" s="394"/>
      <c r="K111" s="411"/>
    </row>
    <row r="112" spans="1:3185" ht="30" customHeight="1">
      <c r="A112" s="387"/>
      <c r="B112" s="388"/>
      <c r="C112" s="389"/>
      <c r="D112" s="390"/>
      <c r="E112" s="391"/>
      <c r="F112" s="421"/>
      <c r="G112" s="396"/>
      <c r="H112" s="392"/>
      <c r="I112" s="422"/>
      <c r="J112" s="394"/>
      <c r="K112" s="411"/>
      <c r="O112" s="386"/>
      <c r="P112" s="386"/>
      <c r="Q112" s="386"/>
      <c r="R112" s="386"/>
      <c r="S112" s="386"/>
      <c r="T112" s="386"/>
      <c r="U112" s="386"/>
      <c r="V112" s="386"/>
      <c r="W112" s="386"/>
      <c r="X112" s="386"/>
      <c r="Y112" s="386"/>
      <c r="Z112" s="386"/>
      <c r="AA112" s="386"/>
      <c r="AB112" s="386"/>
      <c r="AC112" s="386"/>
      <c r="AD112" s="386"/>
      <c r="AE112" s="386"/>
      <c r="AF112" s="386"/>
      <c r="AG112" s="386"/>
      <c r="AH112" s="386"/>
      <c r="AI112" s="386"/>
      <c r="AJ112" s="386"/>
      <c r="AK112" s="386"/>
      <c r="AL112" s="386"/>
      <c r="AM112" s="386"/>
      <c r="AN112" s="386"/>
      <c r="AO112" s="386"/>
      <c r="AP112" s="386"/>
      <c r="AQ112" s="386"/>
      <c r="AR112" s="386"/>
      <c r="AS112" s="386"/>
      <c r="AT112" s="386"/>
      <c r="AU112" s="386"/>
      <c r="AV112" s="386"/>
      <c r="AW112" s="386"/>
      <c r="AX112" s="386"/>
      <c r="AY112" s="386"/>
      <c r="AZ112" s="386"/>
      <c r="BA112" s="386"/>
      <c r="BB112" s="386"/>
      <c r="BC112" s="386"/>
      <c r="BD112" s="386"/>
      <c r="BE112" s="386"/>
      <c r="BF112" s="386"/>
      <c r="BG112" s="386"/>
      <c r="BH112" s="386"/>
      <c r="BI112" s="386"/>
      <c r="BJ112" s="386"/>
      <c r="BK112" s="386"/>
      <c r="BL112" s="386"/>
      <c r="BM112" s="386"/>
      <c r="BN112" s="386"/>
      <c r="BO112" s="386"/>
      <c r="BP112" s="386"/>
      <c r="BQ112" s="386"/>
      <c r="BR112" s="386"/>
      <c r="BS112" s="386"/>
      <c r="BT112" s="386"/>
      <c r="BU112" s="386"/>
      <c r="BV112" s="386"/>
      <c r="BW112" s="386"/>
      <c r="BX112" s="386"/>
      <c r="BY112" s="386"/>
      <c r="BZ112" s="386"/>
      <c r="CA112" s="386"/>
      <c r="CB112" s="386"/>
      <c r="CC112" s="386"/>
      <c r="CD112" s="386"/>
      <c r="CE112" s="386"/>
      <c r="CF112" s="386"/>
      <c r="CG112" s="386"/>
      <c r="CH112" s="386"/>
      <c r="CI112" s="386"/>
      <c r="CJ112" s="386"/>
      <c r="CK112" s="386"/>
      <c r="CL112" s="386"/>
      <c r="CM112" s="386"/>
      <c r="CN112" s="386"/>
      <c r="CO112" s="386"/>
      <c r="CP112" s="386"/>
      <c r="CQ112" s="386"/>
      <c r="CR112" s="386"/>
      <c r="CS112" s="386"/>
      <c r="CT112" s="386"/>
      <c r="CU112" s="386"/>
      <c r="CV112" s="386"/>
      <c r="CW112" s="386"/>
      <c r="CX112" s="386"/>
      <c r="CY112" s="386"/>
      <c r="CZ112" s="386"/>
      <c r="DA112" s="386"/>
      <c r="DB112" s="386"/>
      <c r="DC112" s="386"/>
      <c r="DD112" s="386"/>
      <c r="DE112" s="386"/>
      <c r="DF112" s="386"/>
      <c r="DG112" s="386"/>
      <c r="DH112" s="386"/>
      <c r="DI112" s="386"/>
      <c r="DJ112" s="386"/>
      <c r="DK112" s="386"/>
      <c r="DL112" s="386"/>
      <c r="DM112" s="386"/>
      <c r="DN112" s="386"/>
      <c r="DO112" s="386"/>
      <c r="DP112" s="386"/>
      <c r="DQ112" s="386"/>
      <c r="DR112" s="386"/>
      <c r="DS112" s="386"/>
      <c r="DT112" s="386"/>
      <c r="DU112" s="386"/>
      <c r="DV112" s="386"/>
      <c r="DW112" s="386"/>
      <c r="DX112" s="386"/>
      <c r="DY112" s="386"/>
      <c r="DZ112" s="386"/>
      <c r="EA112" s="386"/>
      <c r="EB112" s="386"/>
      <c r="EC112" s="386"/>
      <c r="ED112" s="386"/>
      <c r="EE112" s="386"/>
      <c r="EF112" s="386"/>
      <c r="EG112" s="386"/>
      <c r="EH112" s="386"/>
      <c r="EI112" s="386"/>
      <c r="EJ112" s="386"/>
      <c r="EK112" s="386"/>
      <c r="EL112" s="386"/>
      <c r="EM112" s="386"/>
      <c r="EN112" s="386"/>
      <c r="EO112" s="386"/>
      <c r="EP112" s="386"/>
      <c r="EQ112" s="386"/>
      <c r="ER112" s="386"/>
      <c r="ES112" s="386"/>
      <c r="ET112" s="386"/>
      <c r="EU112" s="386"/>
      <c r="EV112" s="386"/>
      <c r="EW112" s="386"/>
      <c r="EX112" s="386"/>
      <c r="EY112" s="386"/>
      <c r="EZ112" s="386"/>
      <c r="FA112" s="386"/>
      <c r="FB112" s="386"/>
      <c r="FC112" s="386"/>
      <c r="FD112" s="386"/>
      <c r="FE112" s="386"/>
      <c r="FF112" s="386"/>
      <c r="FG112" s="386"/>
      <c r="FH112" s="386"/>
      <c r="FI112" s="386"/>
      <c r="FJ112" s="386"/>
      <c r="FK112" s="386"/>
      <c r="FL112" s="386"/>
      <c r="FM112" s="386"/>
      <c r="FN112" s="386"/>
      <c r="FO112" s="386"/>
      <c r="FP112" s="386"/>
      <c r="FQ112" s="386"/>
      <c r="FR112" s="386"/>
      <c r="FS112" s="386"/>
      <c r="FT112" s="386"/>
      <c r="FU112" s="386"/>
      <c r="FV112" s="386"/>
      <c r="FW112" s="386"/>
      <c r="FX112" s="386"/>
      <c r="FY112" s="386"/>
      <c r="FZ112" s="386"/>
      <c r="GA112" s="386"/>
      <c r="GB112" s="386"/>
      <c r="GC112" s="386"/>
      <c r="GD112" s="386"/>
      <c r="GE112" s="386"/>
      <c r="GF112" s="386"/>
      <c r="GG112" s="386"/>
      <c r="GH112" s="386"/>
      <c r="GI112" s="386"/>
      <c r="GJ112" s="386"/>
      <c r="GK112" s="386"/>
      <c r="GL112" s="386"/>
      <c r="GM112" s="386"/>
      <c r="GN112" s="386"/>
      <c r="GO112" s="386"/>
      <c r="GP112" s="386"/>
      <c r="GQ112" s="386"/>
      <c r="GR112" s="386"/>
      <c r="GS112" s="386"/>
      <c r="GT112" s="386"/>
      <c r="GU112" s="386"/>
      <c r="GV112" s="386"/>
      <c r="GW112" s="386"/>
      <c r="GX112" s="386"/>
      <c r="GY112" s="386"/>
      <c r="GZ112" s="386"/>
      <c r="HA112" s="386"/>
      <c r="HB112" s="386"/>
      <c r="HC112" s="386"/>
      <c r="HD112" s="386"/>
      <c r="HE112" s="386"/>
      <c r="HF112" s="386"/>
      <c r="HG112" s="386"/>
      <c r="HH112" s="386"/>
      <c r="HI112" s="386"/>
      <c r="HJ112" s="386"/>
      <c r="HK112" s="386"/>
      <c r="HL112" s="386"/>
      <c r="HM112" s="386"/>
      <c r="HN112" s="386"/>
      <c r="HO112" s="386"/>
      <c r="HP112" s="386"/>
      <c r="HQ112" s="386"/>
      <c r="HR112" s="386"/>
      <c r="HS112" s="386"/>
      <c r="HT112" s="386"/>
      <c r="HU112" s="386"/>
      <c r="HV112" s="386"/>
      <c r="HW112" s="386"/>
      <c r="HX112" s="386"/>
      <c r="HY112" s="386"/>
      <c r="HZ112" s="386"/>
      <c r="IA112" s="386"/>
      <c r="IB112" s="386"/>
      <c r="IC112" s="386"/>
      <c r="ID112" s="386"/>
      <c r="IE112" s="386"/>
      <c r="IF112" s="386"/>
      <c r="IG112" s="386"/>
      <c r="IH112" s="386"/>
      <c r="II112" s="386"/>
      <c r="IJ112" s="386"/>
      <c r="IK112" s="386"/>
      <c r="IL112" s="386"/>
      <c r="IM112" s="386"/>
      <c r="IN112" s="386"/>
      <c r="IO112" s="386"/>
      <c r="IP112" s="386"/>
      <c r="IQ112" s="386"/>
      <c r="IR112" s="386"/>
      <c r="IS112" s="386"/>
      <c r="IT112" s="386"/>
      <c r="IU112" s="386"/>
      <c r="IV112" s="386"/>
      <c r="IW112" s="386"/>
      <c r="IX112" s="386"/>
      <c r="IY112" s="386"/>
      <c r="IZ112" s="386"/>
      <c r="JA112" s="386"/>
      <c r="JB112" s="386"/>
      <c r="JC112" s="386"/>
      <c r="JD112" s="386"/>
      <c r="JE112" s="386"/>
      <c r="JF112" s="386"/>
      <c r="JG112" s="386"/>
      <c r="JH112" s="386"/>
      <c r="JI112" s="386"/>
      <c r="JJ112" s="386"/>
      <c r="JK112" s="386"/>
      <c r="JL112" s="386"/>
      <c r="JM112" s="386"/>
      <c r="JN112" s="386"/>
      <c r="JO112" s="386"/>
      <c r="JP112" s="386"/>
      <c r="JQ112" s="386"/>
      <c r="JR112" s="386"/>
      <c r="JS112" s="386"/>
      <c r="JT112" s="386"/>
      <c r="JU112" s="386"/>
      <c r="JV112" s="386"/>
      <c r="JW112" s="386"/>
      <c r="JX112" s="386"/>
      <c r="JY112" s="386"/>
      <c r="JZ112" s="386"/>
      <c r="KA112" s="386"/>
      <c r="KB112" s="386"/>
      <c r="KC112" s="386"/>
      <c r="KD112" s="386"/>
      <c r="KE112" s="386"/>
      <c r="KF112" s="386"/>
      <c r="KG112" s="386"/>
      <c r="KH112" s="386"/>
      <c r="KI112" s="386"/>
      <c r="KJ112" s="386"/>
      <c r="KK112" s="386"/>
      <c r="KL112" s="386"/>
      <c r="KM112" s="386"/>
      <c r="KN112" s="386"/>
      <c r="KO112" s="386"/>
      <c r="KP112" s="386"/>
      <c r="KQ112" s="386"/>
      <c r="KR112" s="386"/>
      <c r="KS112" s="386"/>
      <c r="KT112" s="386"/>
      <c r="KU112" s="386"/>
      <c r="KV112" s="386"/>
      <c r="KW112" s="386"/>
      <c r="KX112" s="386"/>
      <c r="KY112" s="386"/>
      <c r="KZ112" s="386"/>
      <c r="LA112" s="386"/>
      <c r="LB112" s="386"/>
      <c r="LC112" s="386"/>
      <c r="LD112" s="386"/>
      <c r="LE112" s="386"/>
      <c r="LF112" s="386"/>
      <c r="LG112" s="386"/>
      <c r="LH112" s="386"/>
      <c r="LI112" s="386"/>
      <c r="LJ112" s="386"/>
      <c r="LK112" s="386"/>
      <c r="LL112" s="386"/>
      <c r="LM112" s="386"/>
      <c r="LN112" s="386"/>
      <c r="LO112" s="386"/>
      <c r="LP112" s="386"/>
      <c r="LQ112" s="386"/>
      <c r="LR112" s="386"/>
      <c r="LS112" s="386"/>
      <c r="LT112" s="386"/>
      <c r="LU112" s="386"/>
      <c r="LV112" s="386"/>
      <c r="LW112" s="386"/>
      <c r="LX112" s="386"/>
      <c r="LY112" s="386"/>
      <c r="LZ112" s="386"/>
      <c r="MA112" s="386"/>
      <c r="MB112" s="386"/>
      <c r="MC112" s="386"/>
      <c r="MD112" s="386"/>
      <c r="ME112" s="386"/>
      <c r="MF112" s="386"/>
      <c r="MG112" s="386"/>
      <c r="MH112" s="386"/>
      <c r="MI112" s="386"/>
      <c r="MJ112" s="386"/>
      <c r="MK112" s="386"/>
      <c r="ML112" s="386"/>
      <c r="MM112" s="386"/>
      <c r="MN112" s="386"/>
      <c r="MO112" s="386"/>
      <c r="MP112" s="386"/>
      <c r="MQ112" s="386"/>
      <c r="MR112" s="386"/>
      <c r="MS112" s="386"/>
      <c r="MT112" s="386"/>
      <c r="MU112" s="386"/>
      <c r="MV112" s="386"/>
      <c r="MW112" s="386"/>
      <c r="MX112" s="386"/>
      <c r="MY112" s="386"/>
      <c r="MZ112" s="386"/>
      <c r="NA112" s="386"/>
      <c r="NB112" s="386"/>
      <c r="NC112" s="386"/>
      <c r="ND112" s="386"/>
      <c r="NE112" s="386"/>
      <c r="NF112" s="386"/>
      <c r="NG112" s="386"/>
      <c r="NH112" s="386"/>
      <c r="NI112" s="386"/>
      <c r="NJ112" s="386"/>
      <c r="NK112" s="386"/>
      <c r="NL112" s="386"/>
      <c r="NM112" s="386"/>
      <c r="NN112" s="386"/>
      <c r="NO112" s="386"/>
      <c r="NP112" s="386"/>
      <c r="NQ112" s="386"/>
      <c r="NR112" s="386"/>
      <c r="NS112" s="386"/>
      <c r="NT112" s="386"/>
      <c r="NU112" s="386"/>
      <c r="NV112" s="386"/>
      <c r="NW112" s="386"/>
      <c r="NX112" s="386"/>
      <c r="NY112" s="386"/>
      <c r="NZ112" s="386"/>
      <c r="OA112" s="386"/>
      <c r="OB112" s="386"/>
      <c r="OC112" s="386"/>
      <c r="OD112" s="386"/>
      <c r="OE112" s="386"/>
      <c r="OF112" s="386"/>
      <c r="OG112" s="386"/>
      <c r="OH112" s="386"/>
      <c r="OI112" s="386"/>
      <c r="OJ112" s="386"/>
      <c r="OK112" s="386"/>
      <c r="OL112" s="386"/>
      <c r="OM112" s="386"/>
      <c r="ON112" s="386"/>
      <c r="OO112" s="386"/>
      <c r="OP112" s="386"/>
      <c r="OQ112" s="386"/>
      <c r="OR112" s="386"/>
      <c r="OS112" s="386"/>
      <c r="OT112" s="386"/>
      <c r="OU112" s="386"/>
      <c r="OV112" s="386"/>
      <c r="OW112" s="386"/>
      <c r="OX112" s="386"/>
      <c r="OY112" s="386"/>
      <c r="OZ112" s="386"/>
      <c r="PA112" s="386"/>
      <c r="PB112" s="386"/>
      <c r="PC112" s="386"/>
      <c r="PD112" s="386"/>
      <c r="PE112" s="386"/>
      <c r="PF112" s="386"/>
      <c r="PG112" s="386"/>
      <c r="PH112" s="386"/>
      <c r="PI112" s="386"/>
      <c r="PJ112" s="386"/>
      <c r="PK112" s="386"/>
      <c r="PL112" s="386"/>
      <c r="PM112" s="386"/>
      <c r="PN112" s="386"/>
      <c r="PO112" s="386"/>
      <c r="PP112" s="386"/>
      <c r="PQ112" s="386"/>
      <c r="PR112" s="386"/>
      <c r="PS112" s="386"/>
      <c r="PT112" s="386"/>
      <c r="PU112" s="386"/>
      <c r="PV112" s="386"/>
      <c r="PW112" s="386"/>
      <c r="PX112" s="386"/>
      <c r="PY112" s="386"/>
      <c r="PZ112" s="386"/>
      <c r="QA112" s="386"/>
      <c r="QB112" s="386"/>
      <c r="QC112" s="386"/>
      <c r="QD112" s="386"/>
      <c r="QE112" s="386"/>
      <c r="QF112" s="386"/>
      <c r="QG112" s="386"/>
      <c r="QH112" s="386"/>
      <c r="QI112" s="386"/>
      <c r="QJ112" s="386"/>
      <c r="QK112" s="386"/>
      <c r="QL112" s="386"/>
      <c r="QM112" s="386"/>
      <c r="QN112" s="386"/>
      <c r="QO112" s="386"/>
      <c r="QP112" s="386"/>
      <c r="QQ112" s="386"/>
      <c r="QR112" s="386"/>
      <c r="QS112" s="386"/>
      <c r="QT112" s="386"/>
      <c r="QU112" s="386"/>
      <c r="QV112" s="386"/>
      <c r="QW112" s="386"/>
      <c r="QX112" s="386"/>
      <c r="QY112" s="386"/>
      <c r="QZ112" s="386"/>
      <c r="RA112" s="386"/>
      <c r="RB112" s="386"/>
      <c r="RC112" s="386"/>
      <c r="RD112" s="386"/>
      <c r="RE112" s="386"/>
      <c r="RF112" s="386"/>
      <c r="RG112" s="386"/>
      <c r="RH112" s="386"/>
      <c r="RI112" s="386"/>
      <c r="RJ112" s="386"/>
      <c r="RK112" s="386"/>
      <c r="RL112" s="386"/>
      <c r="RM112" s="386"/>
      <c r="RN112" s="386"/>
      <c r="RO112" s="386"/>
      <c r="RP112" s="386"/>
      <c r="RQ112" s="386"/>
      <c r="RR112" s="386"/>
      <c r="RS112" s="386"/>
      <c r="RT112" s="386"/>
      <c r="RU112" s="386"/>
      <c r="RV112" s="386"/>
      <c r="RW112" s="386"/>
      <c r="RX112" s="386"/>
      <c r="RY112" s="386"/>
      <c r="RZ112" s="386"/>
      <c r="SA112" s="386"/>
      <c r="SB112" s="386"/>
      <c r="SC112" s="386"/>
      <c r="SD112" s="386"/>
      <c r="SE112" s="386"/>
      <c r="SF112" s="386"/>
      <c r="SG112" s="386"/>
      <c r="SH112" s="386"/>
      <c r="SI112" s="386"/>
      <c r="SJ112" s="386"/>
      <c r="SK112" s="386"/>
      <c r="SL112" s="386"/>
      <c r="SM112" s="386"/>
      <c r="SN112" s="386"/>
      <c r="SO112" s="386"/>
      <c r="SP112" s="386"/>
      <c r="SQ112" s="386"/>
      <c r="SR112" s="386"/>
      <c r="SS112" s="386"/>
      <c r="ST112" s="386"/>
      <c r="SU112" s="386"/>
      <c r="SV112" s="386"/>
      <c r="SW112" s="386"/>
      <c r="SX112" s="386"/>
      <c r="SY112" s="386"/>
      <c r="SZ112" s="386"/>
      <c r="TA112" s="386"/>
      <c r="TB112" s="386"/>
      <c r="TC112" s="386"/>
      <c r="TD112" s="386"/>
      <c r="TE112" s="386"/>
      <c r="TF112" s="386"/>
      <c r="TG112" s="386"/>
      <c r="TH112" s="386"/>
      <c r="TI112" s="386"/>
      <c r="TJ112" s="386"/>
      <c r="TK112" s="386"/>
      <c r="TL112" s="386"/>
      <c r="TM112" s="386"/>
      <c r="TN112" s="386"/>
      <c r="TO112" s="386"/>
      <c r="TP112" s="386"/>
      <c r="TQ112" s="386"/>
      <c r="TR112" s="386"/>
      <c r="TS112" s="386"/>
      <c r="TT112" s="386"/>
      <c r="TU112" s="386"/>
      <c r="TV112" s="386"/>
      <c r="TW112" s="386"/>
      <c r="TX112" s="386"/>
      <c r="TY112" s="386"/>
      <c r="TZ112" s="386"/>
      <c r="UA112" s="386"/>
      <c r="UB112" s="386"/>
      <c r="UC112" s="386"/>
      <c r="UD112" s="386"/>
      <c r="UE112" s="386"/>
      <c r="UF112" s="386"/>
      <c r="UG112" s="386"/>
      <c r="UH112" s="386"/>
      <c r="UI112" s="386"/>
      <c r="UJ112" s="386"/>
      <c r="UK112" s="386"/>
      <c r="UL112" s="386"/>
      <c r="UM112" s="386"/>
      <c r="UN112" s="386"/>
      <c r="UO112" s="386"/>
      <c r="UP112" s="386"/>
      <c r="UQ112" s="386"/>
      <c r="UR112" s="386"/>
      <c r="US112" s="386"/>
      <c r="UT112" s="386"/>
      <c r="UU112" s="386"/>
      <c r="UV112" s="386"/>
      <c r="UW112" s="386"/>
      <c r="UX112" s="386"/>
      <c r="UY112" s="386"/>
      <c r="UZ112" s="386"/>
      <c r="VA112" s="386"/>
      <c r="VB112" s="386"/>
      <c r="VC112" s="386"/>
      <c r="VD112" s="386"/>
      <c r="VE112" s="386"/>
      <c r="VF112" s="386"/>
      <c r="VG112" s="386"/>
      <c r="VH112" s="386"/>
      <c r="VI112" s="386"/>
      <c r="VJ112" s="386"/>
      <c r="VK112" s="386"/>
      <c r="VL112" s="386"/>
      <c r="VM112" s="386"/>
      <c r="VN112" s="386"/>
      <c r="VO112" s="386"/>
      <c r="VP112" s="386"/>
      <c r="VQ112" s="386"/>
      <c r="VR112" s="386"/>
      <c r="VS112" s="386"/>
      <c r="VT112" s="386"/>
      <c r="VU112" s="386"/>
      <c r="VV112" s="386"/>
      <c r="VW112" s="386"/>
      <c r="VX112" s="386"/>
      <c r="VY112" s="386"/>
      <c r="VZ112" s="386"/>
      <c r="WA112" s="386"/>
      <c r="WB112" s="386"/>
      <c r="WC112" s="386"/>
      <c r="WD112" s="386"/>
      <c r="WE112" s="386"/>
      <c r="WF112" s="386"/>
      <c r="WG112" s="386"/>
      <c r="WH112" s="386"/>
      <c r="WI112" s="386"/>
      <c r="WJ112" s="386"/>
      <c r="WK112" s="386"/>
      <c r="WL112" s="386"/>
      <c r="WM112" s="386"/>
      <c r="WN112" s="386"/>
      <c r="WO112" s="386"/>
      <c r="WP112" s="386"/>
      <c r="WQ112" s="386"/>
      <c r="WR112" s="386"/>
      <c r="WS112" s="386"/>
      <c r="WT112" s="386"/>
      <c r="WU112" s="386"/>
      <c r="WV112" s="386"/>
      <c r="WW112" s="386"/>
      <c r="WX112" s="386"/>
      <c r="WY112" s="386"/>
      <c r="WZ112" s="386"/>
      <c r="XA112" s="386"/>
      <c r="XB112" s="386"/>
      <c r="XC112" s="386"/>
      <c r="XD112" s="386"/>
      <c r="XE112" s="386"/>
      <c r="XF112" s="386"/>
      <c r="XG112" s="386"/>
      <c r="XH112" s="386"/>
      <c r="XI112" s="386"/>
      <c r="XJ112" s="386"/>
      <c r="XK112" s="386"/>
      <c r="XL112" s="386"/>
      <c r="XM112" s="386"/>
      <c r="XN112" s="386"/>
      <c r="XO112" s="386"/>
      <c r="XP112" s="386"/>
      <c r="XQ112" s="386"/>
      <c r="XR112" s="386"/>
      <c r="XS112" s="386"/>
      <c r="XT112" s="386"/>
      <c r="XU112" s="386"/>
      <c r="XV112" s="386"/>
      <c r="XW112" s="386"/>
      <c r="XX112" s="386"/>
      <c r="XY112" s="386"/>
      <c r="XZ112" s="386"/>
      <c r="YA112" s="386"/>
      <c r="YB112" s="386"/>
      <c r="YC112" s="386"/>
      <c r="YD112" s="386"/>
      <c r="YE112" s="386"/>
      <c r="YF112" s="386"/>
      <c r="YG112" s="386"/>
      <c r="YH112" s="386"/>
      <c r="YI112" s="386"/>
      <c r="YJ112" s="386"/>
      <c r="YK112" s="386"/>
      <c r="YL112" s="386"/>
      <c r="YM112" s="386"/>
      <c r="YN112" s="386"/>
      <c r="YO112" s="386"/>
      <c r="YP112" s="386"/>
      <c r="YQ112" s="386"/>
      <c r="YR112" s="386"/>
      <c r="YS112" s="386"/>
      <c r="YT112" s="386"/>
      <c r="YU112" s="386"/>
      <c r="YV112" s="386"/>
      <c r="YW112" s="386"/>
      <c r="YX112" s="386"/>
      <c r="YY112" s="386"/>
      <c r="YZ112" s="386"/>
      <c r="ZA112" s="386"/>
      <c r="ZB112" s="386"/>
      <c r="ZC112" s="386"/>
      <c r="ZD112" s="386"/>
      <c r="ZE112" s="386"/>
      <c r="ZF112" s="386"/>
      <c r="ZG112" s="386"/>
      <c r="ZH112" s="386"/>
      <c r="ZI112" s="386"/>
      <c r="ZJ112" s="386"/>
      <c r="ZK112" s="386"/>
      <c r="ZL112" s="386"/>
      <c r="ZM112" s="386"/>
      <c r="ZN112" s="386"/>
      <c r="ZO112" s="386"/>
      <c r="ZP112" s="386"/>
      <c r="ZQ112" s="386"/>
      <c r="ZR112" s="386"/>
      <c r="ZS112" s="386"/>
      <c r="ZT112" s="386"/>
      <c r="ZU112" s="386"/>
      <c r="ZV112" s="386"/>
      <c r="ZW112" s="386"/>
      <c r="ZX112" s="386"/>
      <c r="ZY112" s="386"/>
      <c r="ZZ112" s="386"/>
      <c r="AAA112" s="386"/>
      <c r="AAB112" s="386"/>
      <c r="AAC112" s="386"/>
      <c r="AAD112" s="386"/>
      <c r="AAE112" s="386"/>
      <c r="AAF112" s="386"/>
      <c r="AAG112" s="386"/>
      <c r="AAH112" s="386"/>
      <c r="AAI112" s="386"/>
      <c r="AAJ112" s="386"/>
      <c r="AAK112" s="386"/>
      <c r="AAL112" s="386"/>
      <c r="AAM112" s="386"/>
      <c r="AAN112" s="386"/>
      <c r="AAO112" s="386"/>
      <c r="AAP112" s="386"/>
      <c r="AAQ112" s="386"/>
      <c r="AAR112" s="386"/>
      <c r="AAS112" s="386"/>
      <c r="AAT112" s="386"/>
      <c r="AAU112" s="386"/>
      <c r="AAV112" s="386"/>
      <c r="AAW112" s="386"/>
      <c r="AAX112" s="386"/>
      <c r="AAY112" s="386"/>
      <c r="AAZ112" s="386"/>
      <c r="ABA112" s="386"/>
      <c r="ABB112" s="386"/>
      <c r="ABC112" s="386"/>
      <c r="ABD112" s="386"/>
      <c r="ABE112" s="386"/>
      <c r="ABF112" s="386"/>
      <c r="ABG112" s="386"/>
      <c r="ABH112" s="386"/>
      <c r="ABI112" s="386"/>
      <c r="ABJ112" s="386"/>
      <c r="ABK112" s="386"/>
      <c r="ABL112" s="386"/>
      <c r="ABM112" s="386"/>
      <c r="ABN112" s="386"/>
      <c r="ABO112" s="386"/>
      <c r="ABP112" s="386"/>
      <c r="ABQ112" s="386"/>
      <c r="ABR112" s="386"/>
      <c r="ABS112" s="386"/>
      <c r="ABT112" s="386"/>
      <c r="ABU112" s="386"/>
      <c r="ABV112" s="386"/>
      <c r="ABW112" s="386"/>
      <c r="ABX112" s="386"/>
      <c r="ABY112" s="386"/>
      <c r="ABZ112" s="386"/>
      <c r="ACA112" s="386"/>
      <c r="ACB112" s="386"/>
      <c r="ACC112" s="386"/>
      <c r="ACD112" s="386"/>
      <c r="ACE112" s="386"/>
      <c r="ACF112" s="386"/>
      <c r="ACG112" s="386"/>
      <c r="ACH112" s="386"/>
      <c r="ACI112" s="386"/>
      <c r="ACJ112" s="386"/>
      <c r="ACK112" s="386"/>
      <c r="ACL112" s="386"/>
      <c r="ACM112" s="386"/>
      <c r="ACN112" s="386"/>
      <c r="ACO112" s="386"/>
      <c r="ACP112" s="386"/>
      <c r="ACQ112" s="386"/>
      <c r="ACR112" s="386"/>
      <c r="ACS112" s="386"/>
      <c r="ACT112" s="386"/>
      <c r="ACU112" s="386"/>
      <c r="ACV112" s="386"/>
      <c r="ACW112" s="386"/>
      <c r="ACX112" s="386"/>
      <c r="ACY112" s="386"/>
      <c r="ACZ112" s="386"/>
      <c r="ADA112" s="386"/>
      <c r="ADB112" s="386"/>
      <c r="ADC112" s="386"/>
      <c r="ADD112" s="386"/>
      <c r="ADE112" s="386"/>
      <c r="ADF112" s="386"/>
      <c r="ADG112" s="386"/>
      <c r="ADH112" s="386"/>
      <c r="ADI112" s="386"/>
      <c r="ADJ112" s="386"/>
      <c r="ADK112" s="386"/>
      <c r="ADL112" s="386"/>
      <c r="ADM112" s="386"/>
      <c r="ADN112" s="386"/>
      <c r="ADO112" s="386"/>
      <c r="ADP112" s="386"/>
      <c r="ADQ112" s="386"/>
      <c r="ADR112" s="386"/>
      <c r="ADS112" s="386"/>
      <c r="ADT112" s="386"/>
      <c r="ADU112" s="386"/>
      <c r="ADV112" s="386"/>
      <c r="ADW112" s="386"/>
      <c r="ADX112" s="386"/>
      <c r="ADY112" s="386"/>
      <c r="ADZ112" s="386"/>
      <c r="AEA112" s="386"/>
      <c r="AEB112" s="386"/>
      <c r="AEC112" s="386"/>
      <c r="AED112" s="386"/>
      <c r="AEE112" s="386"/>
      <c r="AEF112" s="386"/>
      <c r="AEG112" s="386"/>
      <c r="AEH112" s="386"/>
      <c r="AEI112" s="386"/>
      <c r="AEJ112" s="386"/>
      <c r="AEK112" s="386"/>
      <c r="AEL112" s="386"/>
      <c r="AEM112" s="386"/>
      <c r="AEN112" s="386"/>
      <c r="AEO112" s="386"/>
      <c r="AEP112" s="386"/>
      <c r="AEQ112" s="386"/>
      <c r="AER112" s="386"/>
      <c r="AES112" s="386"/>
      <c r="AET112" s="386"/>
      <c r="AEU112" s="386"/>
      <c r="AEV112" s="386"/>
      <c r="AEW112" s="386"/>
      <c r="AEX112" s="386"/>
      <c r="AEY112" s="386"/>
      <c r="AEZ112" s="386"/>
      <c r="AFA112" s="386"/>
      <c r="AFB112" s="386"/>
      <c r="AFC112" s="386"/>
      <c r="AFD112" s="386"/>
      <c r="AFE112" s="386"/>
      <c r="AFF112" s="386"/>
      <c r="AFG112" s="386"/>
      <c r="AFH112" s="386"/>
      <c r="AFI112" s="386"/>
      <c r="AFJ112" s="386"/>
      <c r="AFK112" s="386"/>
      <c r="AFL112" s="386"/>
      <c r="AFM112" s="386"/>
      <c r="AFN112" s="386"/>
      <c r="AFO112" s="386"/>
      <c r="AFP112" s="386"/>
      <c r="AFQ112" s="386"/>
      <c r="AFR112" s="386"/>
      <c r="AFS112" s="386"/>
      <c r="AFT112" s="386"/>
      <c r="AFU112" s="386"/>
      <c r="AFV112" s="386"/>
      <c r="AFW112" s="386"/>
      <c r="AFX112" s="386"/>
      <c r="AFY112" s="386"/>
      <c r="AFZ112" s="386"/>
      <c r="AGA112" s="386"/>
      <c r="AGB112" s="386"/>
      <c r="AGC112" s="386"/>
      <c r="AGD112" s="386"/>
      <c r="AGE112" s="386"/>
      <c r="AGF112" s="386"/>
      <c r="AGG112" s="386"/>
      <c r="AGH112" s="386"/>
      <c r="AGI112" s="386"/>
      <c r="AGJ112" s="386"/>
      <c r="AGK112" s="386"/>
      <c r="AGL112" s="386"/>
      <c r="AGM112" s="386"/>
      <c r="AGN112" s="386"/>
      <c r="AGO112" s="386"/>
      <c r="AGP112" s="386"/>
      <c r="AGQ112" s="386"/>
      <c r="AGR112" s="386"/>
      <c r="AGS112" s="386"/>
      <c r="AGT112" s="386"/>
      <c r="AGU112" s="386"/>
      <c r="AGV112" s="386"/>
      <c r="AGW112" s="386"/>
      <c r="AGX112" s="386"/>
      <c r="AGY112" s="386"/>
      <c r="AGZ112" s="386"/>
      <c r="AHA112" s="386"/>
      <c r="AHB112" s="386"/>
      <c r="AHC112" s="386"/>
      <c r="AHD112" s="386"/>
      <c r="AHE112" s="386"/>
      <c r="AHF112" s="386"/>
      <c r="AHG112" s="386"/>
      <c r="AHH112" s="386"/>
      <c r="AHI112" s="386"/>
      <c r="AHJ112" s="386"/>
      <c r="AHK112" s="386"/>
      <c r="AHL112" s="386"/>
      <c r="AHM112" s="386"/>
      <c r="AHN112" s="386"/>
      <c r="AHO112" s="386"/>
      <c r="AHP112" s="386"/>
      <c r="AHQ112" s="386"/>
      <c r="AHR112" s="386"/>
      <c r="AHS112" s="386"/>
      <c r="AHT112" s="386"/>
      <c r="AHU112" s="386"/>
      <c r="AHV112" s="386"/>
      <c r="AHW112" s="386"/>
      <c r="AHX112" s="386"/>
      <c r="AHY112" s="386"/>
      <c r="AHZ112" s="386"/>
      <c r="AIA112" s="386"/>
      <c r="AIB112" s="386"/>
      <c r="AIC112" s="386"/>
      <c r="AID112" s="386"/>
      <c r="AIE112" s="386"/>
      <c r="AIF112" s="386"/>
      <c r="AIG112" s="386"/>
      <c r="AIH112" s="386"/>
      <c r="AII112" s="386"/>
      <c r="AIJ112" s="386"/>
      <c r="AIK112" s="386"/>
      <c r="AIL112" s="386"/>
      <c r="AIM112" s="386"/>
      <c r="AIN112" s="386"/>
      <c r="AIO112" s="386"/>
      <c r="AIP112" s="386"/>
      <c r="AIQ112" s="386"/>
      <c r="AIR112" s="386"/>
      <c r="AIS112" s="386"/>
      <c r="AIT112" s="386"/>
      <c r="AIU112" s="386"/>
      <c r="AIV112" s="386"/>
      <c r="AIW112" s="386"/>
      <c r="AIX112" s="386"/>
      <c r="AIY112" s="386"/>
      <c r="AIZ112" s="386"/>
      <c r="AJA112" s="386"/>
      <c r="AJB112" s="386"/>
      <c r="AJC112" s="386"/>
      <c r="AJD112" s="386"/>
      <c r="AJE112" s="386"/>
      <c r="AJF112" s="386"/>
      <c r="AJG112" s="386"/>
      <c r="AJH112" s="386"/>
      <c r="AJI112" s="386"/>
      <c r="AJJ112" s="386"/>
      <c r="AJK112" s="386"/>
      <c r="AJL112" s="386"/>
      <c r="AJM112" s="386"/>
      <c r="AJN112" s="386"/>
      <c r="AJO112" s="386"/>
      <c r="AJP112" s="386"/>
      <c r="AJQ112" s="386"/>
      <c r="AJR112" s="386"/>
      <c r="AJS112" s="386"/>
      <c r="AJT112" s="386"/>
      <c r="AJU112" s="386"/>
      <c r="AJV112" s="386"/>
      <c r="AJW112" s="386"/>
      <c r="AJX112" s="386"/>
      <c r="AJY112" s="386"/>
      <c r="AJZ112" s="386"/>
      <c r="AKA112" s="386"/>
      <c r="AKB112" s="386"/>
      <c r="AKC112" s="386"/>
      <c r="AKD112" s="386"/>
      <c r="AKE112" s="386"/>
      <c r="AKF112" s="386"/>
      <c r="AKG112" s="386"/>
      <c r="AKH112" s="386"/>
      <c r="AKI112" s="386"/>
      <c r="AKJ112" s="386"/>
      <c r="AKK112" s="386"/>
      <c r="AKL112" s="386"/>
      <c r="AKM112" s="386"/>
      <c r="AKN112" s="386"/>
      <c r="AKO112" s="386"/>
      <c r="AKP112" s="386"/>
      <c r="AKQ112" s="386"/>
      <c r="AKR112" s="386"/>
      <c r="AKS112" s="386"/>
      <c r="AKT112" s="386"/>
      <c r="AKU112" s="386"/>
      <c r="AKV112" s="386"/>
      <c r="AKW112" s="386"/>
      <c r="AKX112" s="386"/>
      <c r="AKY112" s="386"/>
      <c r="AKZ112" s="386"/>
      <c r="ALA112" s="386"/>
      <c r="ALB112" s="386"/>
      <c r="ALC112" s="386"/>
      <c r="ALD112" s="386"/>
      <c r="ALE112" s="386"/>
      <c r="ALF112" s="386"/>
      <c r="ALG112" s="386"/>
      <c r="ALH112" s="386"/>
      <c r="ALI112" s="386"/>
      <c r="ALJ112" s="386"/>
      <c r="ALK112" s="386"/>
      <c r="ALL112" s="386"/>
      <c r="ALM112" s="386"/>
      <c r="ALN112" s="386"/>
      <c r="ALO112" s="386"/>
      <c r="ALP112" s="386"/>
      <c r="ALQ112" s="386"/>
      <c r="ALR112" s="386"/>
      <c r="ALS112" s="386"/>
      <c r="ALT112" s="386"/>
      <c r="ALU112" s="386"/>
      <c r="ALV112" s="386"/>
      <c r="ALW112" s="386"/>
      <c r="ALX112" s="386"/>
      <c r="ALY112" s="386"/>
      <c r="ALZ112" s="386"/>
      <c r="AMA112" s="386"/>
      <c r="AMB112" s="386"/>
      <c r="AMC112" s="386"/>
      <c r="AMD112" s="386"/>
      <c r="AME112" s="386"/>
      <c r="AMF112" s="386"/>
      <c r="AMG112" s="386"/>
      <c r="AMH112" s="386"/>
      <c r="AMI112" s="386"/>
      <c r="AMJ112" s="386"/>
      <c r="AMK112" s="386"/>
      <c r="AML112" s="386"/>
      <c r="AMM112" s="386"/>
      <c r="AMN112" s="386"/>
      <c r="AMO112" s="386"/>
      <c r="AMP112" s="386"/>
      <c r="AMQ112" s="386"/>
      <c r="AMR112" s="386"/>
      <c r="AMS112" s="386"/>
      <c r="AMT112" s="386"/>
      <c r="AMU112" s="386"/>
      <c r="AMV112" s="386"/>
      <c r="AMW112" s="386"/>
      <c r="AMX112" s="386"/>
      <c r="AMY112" s="386"/>
      <c r="AMZ112" s="386"/>
      <c r="ANA112" s="386"/>
      <c r="ANB112" s="386"/>
      <c r="ANC112" s="386"/>
      <c r="AND112" s="386"/>
      <c r="ANE112" s="386"/>
      <c r="ANF112" s="386"/>
      <c r="ANG112" s="386"/>
      <c r="ANH112" s="386"/>
      <c r="ANI112" s="386"/>
      <c r="ANJ112" s="386"/>
      <c r="ANK112" s="386"/>
      <c r="ANL112" s="386"/>
      <c r="ANM112" s="386"/>
      <c r="ANN112" s="386"/>
      <c r="ANO112" s="386"/>
      <c r="ANP112" s="386"/>
      <c r="ANQ112" s="386"/>
      <c r="ANR112" s="386"/>
      <c r="ANS112" s="386"/>
      <c r="ANT112" s="386"/>
      <c r="ANU112" s="386"/>
      <c r="ANV112" s="386"/>
      <c r="ANW112" s="386"/>
      <c r="ANX112" s="386"/>
      <c r="ANY112" s="386"/>
      <c r="ANZ112" s="386"/>
      <c r="AOA112" s="386"/>
      <c r="AOB112" s="386"/>
      <c r="AOC112" s="386"/>
      <c r="AOD112" s="386"/>
      <c r="AOE112" s="386"/>
      <c r="AOF112" s="386"/>
      <c r="AOG112" s="386"/>
      <c r="AOH112" s="386"/>
      <c r="AOI112" s="386"/>
      <c r="AOJ112" s="386"/>
      <c r="AOK112" s="386"/>
      <c r="AOL112" s="386"/>
      <c r="AOM112" s="386"/>
      <c r="AON112" s="386"/>
      <c r="AOO112" s="386"/>
      <c r="AOP112" s="386"/>
      <c r="AOQ112" s="386"/>
      <c r="AOR112" s="386"/>
      <c r="AOS112" s="386"/>
      <c r="AOT112" s="386"/>
      <c r="AOU112" s="386"/>
      <c r="AOV112" s="386"/>
      <c r="AOW112" s="386"/>
      <c r="AOX112" s="386"/>
      <c r="AOY112" s="386"/>
      <c r="AOZ112" s="386"/>
      <c r="APA112" s="386"/>
      <c r="APB112" s="386"/>
      <c r="APC112" s="386"/>
      <c r="APD112" s="386"/>
      <c r="APE112" s="386"/>
      <c r="APF112" s="386"/>
      <c r="APG112" s="386"/>
      <c r="APH112" s="386"/>
      <c r="API112" s="386"/>
      <c r="APJ112" s="386"/>
      <c r="APK112" s="386"/>
      <c r="APL112" s="386"/>
      <c r="APM112" s="386"/>
      <c r="APN112" s="386"/>
      <c r="APO112" s="386"/>
      <c r="APP112" s="386"/>
      <c r="APQ112" s="386"/>
      <c r="APR112" s="386"/>
      <c r="APS112" s="386"/>
      <c r="APT112" s="386"/>
      <c r="APU112" s="386"/>
      <c r="APV112" s="386"/>
      <c r="APW112" s="386"/>
      <c r="APX112" s="386"/>
      <c r="APY112" s="386"/>
      <c r="APZ112" s="386"/>
      <c r="AQA112" s="386"/>
      <c r="AQB112" s="386"/>
      <c r="AQC112" s="386"/>
      <c r="AQD112" s="386"/>
      <c r="AQE112" s="386"/>
      <c r="AQF112" s="386"/>
      <c r="AQG112" s="386"/>
      <c r="AQH112" s="386"/>
      <c r="AQI112" s="386"/>
      <c r="AQJ112" s="386"/>
      <c r="AQK112" s="386"/>
      <c r="AQL112" s="386"/>
      <c r="AQM112" s="386"/>
      <c r="AQN112" s="386"/>
      <c r="AQO112" s="386"/>
      <c r="AQP112" s="386"/>
      <c r="AQQ112" s="386"/>
      <c r="AQR112" s="386"/>
      <c r="AQS112" s="386"/>
      <c r="AQT112" s="386"/>
      <c r="AQU112" s="386"/>
      <c r="AQV112" s="386"/>
      <c r="AQW112" s="386"/>
      <c r="AQX112" s="386"/>
      <c r="AQY112" s="386"/>
      <c r="AQZ112" s="386"/>
      <c r="ARA112" s="386"/>
      <c r="ARB112" s="386"/>
      <c r="ARC112" s="386"/>
      <c r="ARD112" s="386"/>
      <c r="ARE112" s="386"/>
      <c r="ARF112" s="386"/>
      <c r="ARG112" s="386"/>
      <c r="ARH112" s="386"/>
      <c r="ARI112" s="386"/>
      <c r="ARJ112" s="386"/>
      <c r="ARK112" s="386"/>
      <c r="ARL112" s="386"/>
      <c r="ARM112" s="386"/>
      <c r="ARN112" s="386"/>
      <c r="ARO112" s="386"/>
      <c r="ARP112" s="386"/>
      <c r="ARQ112" s="386"/>
      <c r="ARR112" s="386"/>
      <c r="ARS112" s="386"/>
      <c r="ART112" s="386"/>
      <c r="ARU112" s="386"/>
      <c r="ARV112" s="386"/>
      <c r="ARW112" s="386"/>
      <c r="ARX112" s="386"/>
      <c r="ARY112" s="386"/>
      <c r="ARZ112" s="386"/>
      <c r="ASA112" s="386"/>
      <c r="ASB112" s="386"/>
      <c r="ASC112" s="386"/>
      <c r="ASD112" s="386"/>
      <c r="ASE112" s="386"/>
      <c r="ASF112" s="386"/>
      <c r="ASG112" s="386"/>
      <c r="ASH112" s="386"/>
      <c r="ASI112" s="386"/>
      <c r="ASJ112" s="386"/>
      <c r="ASK112" s="386"/>
      <c r="ASL112" s="386"/>
      <c r="ASM112" s="386"/>
      <c r="ASN112" s="386"/>
      <c r="ASO112" s="386"/>
      <c r="ASP112" s="386"/>
      <c r="ASQ112" s="386"/>
      <c r="ASR112" s="386"/>
      <c r="ASS112" s="386"/>
      <c r="AST112" s="386"/>
      <c r="ASU112" s="386"/>
      <c r="ASV112" s="386"/>
      <c r="ASW112" s="386"/>
      <c r="ASX112" s="386"/>
      <c r="ASY112" s="386"/>
      <c r="ASZ112" s="386"/>
      <c r="ATA112" s="386"/>
      <c r="ATB112" s="386"/>
      <c r="ATC112" s="386"/>
      <c r="ATD112" s="386"/>
      <c r="ATE112" s="386"/>
      <c r="ATF112" s="386"/>
      <c r="ATG112" s="386"/>
      <c r="ATH112" s="386"/>
      <c r="ATI112" s="386"/>
      <c r="ATJ112" s="386"/>
      <c r="ATK112" s="386"/>
      <c r="ATL112" s="386"/>
      <c r="ATM112" s="386"/>
      <c r="ATN112" s="386"/>
      <c r="ATO112" s="386"/>
      <c r="ATP112" s="386"/>
      <c r="ATQ112" s="386"/>
      <c r="ATR112" s="386"/>
      <c r="ATS112" s="386"/>
      <c r="ATT112" s="386"/>
      <c r="ATU112" s="386"/>
      <c r="ATV112" s="386"/>
      <c r="ATW112" s="386"/>
      <c r="ATX112" s="386"/>
      <c r="ATY112" s="386"/>
      <c r="ATZ112" s="386"/>
      <c r="AUA112" s="386"/>
      <c r="AUB112" s="386"/>
      <c r="AUC112" s="386"/>
      <c r="AUD112" s="386"/>
      <c r="AUE112" s="386"/>
      <c r="AUF112" s="386"/>
      <c r="AUG112" s="386"/>
      <c r="AUH112" s="386"/>
      <c r="AUI112" s="386"/>
      <c r="AUJ112" s="386"/>
      <c r="AUK112" s="386"/>
      <c r="AUL112" s="386"/>
      <c r="AUM112" s="386"/>
      <c r="AUN112" s="386"/>
      <c r="AUO112" s="386"/>
      <c r="AUP112" s="386"/>
      <c r="AUQ112" s="386"/>
      <c r="AUR112" s="386"/>
      <c r="AUS112" s="386"/>
      <c r="AUT112" s="386"/>
      <c r="AUU112" s="386"/>
      <c r="AUV112" s="386"/>
      <c r="AUW112" s="386"/>
      <c r="AUX112" s="386"/>
      <c r="AUY112" s="386"/>
      <c r="AUZ112" s="386"/>
      <c r="AVA112" s="386"/>
      <c r="AVB112" s="386"/>
      <c r="AVC112" s="386"/>
      <c r="AVD112" s="386"/>
      <c r="AVE112" s="386"/>
      <c r="AVF112" s="386"/>
      <c r="AVG112" s="386"/>
      <c r="AVH112" s="386"/>
      <c r="AVI112" s="386"/>
      <c r="AVJ112" s="386"/>
      <c r="AVK112" s="386"/>
      <c r="AVL112" s="386"/>
      <c r="AVM112" s="386"/>
      <c r="AVN112" s="386"/>
      <c r="AVO112" s="386"/>
      <c r="AVP112" s="386"/>
      <c r="AVQ112" s="386"/>
      <c r="AVR112" s="386"/>
      <c r="AVS112" s="386"/>
      <c r="AVT112" s="386"/>
      <c r="AVU112" s="386"/>
      <c r="AVV112" s="386"/>
      <c r="AVW112" s="386"/>
      <c r="AVX112" s="386"/>
      <c r="AVY112" s="386"/>
      <c r="AVZ112" s="386"/>
      <c r="AWA112" s="386"/>
      <c r="AWB112" s="386"/>
      <c r="AWC112" s="386"/>
      <c r="AWD112" s="386"/>
      <c r="AWE112" s="386"/>
      <c r="AWF112" s="386"/>
      <c r="AWG112" s="386"/>
      <c r="AWH112" s="386"/>
      <c r="AWI112" s="386"/>
      <c r="AWJ112" s="386"/>
      <c r="AWK112" s="386"/>
      <c r="AWL112" s="386"/>
      <c r="AWM112" s="386"/>
      <c r="AWN112" s="386"/>
      <c r="AWO112" s="386"/>
      <c r="AWP112" s="386"/>
      <c r="AWQ112" s="386"/>
      <c r="AWR112" s="386"/>
      <c r="AWS112" s="386"/>
      <c r="AWT112" s="386"/>
      <c r="AWU112" s="386"/>
      <c r="AWV112" s="386"/>
      <c r="AWW112" s="386"/>
      <c r="AWX112" s="386"/>
      <c r="AWY112" s="386"/>
      <c r="AWZ112" s="386"/>
      <c r="AXA112" s="386"/>
      <c r="AXB112" s="386"/>
      <c r="AXC112" s="386"/>
      <c r="AXD112" s="386"/>
      <c r="AXE112" s="386"/>
      <c r="AXF112" s="386"/>
      <c r="AXG112" s="386"/>
      <c r="AXH112" s="386"/>
      <c r="AXI112" s="386"/>
      <c r="AXJ112" s="386"/>
      <c r="AXK112" s="386"/>
      <c r="AXL112" s="386"/>
      <c r="AXM112" s="386"/>
      <c r="AXN112" s="386"/>
      <c r="AXO112" s="386"/>
      <c r="AXP112" s="386"/>
      <c r="AXQ112" s="386"/>
      <c r="AXR112" s="386"/>
      <c r="AXS112" s="386"/>
      <c r="AXT112" s="386"/>
      <c r="AXU112" s="386"/>
      <c r="AXV112" s="386"/>
      <c r="AXW112" s="386"/>
      <c r="AXX112" s="386"/>
      <c r="AXY112" s="386"/>
      <c r="AXZ112" s="386"/>
      <c r="AYA112" s="386"/>
      <c r="AYB112" s="386"/>
      <c r="AYC112" s="386"/>
      <c r="AYD112" s="386"/>
      <c r="AYE112" s="386"/>
      <c r="AYF112" s="386"/>
      <c r="AYG112" s="386"/>
      <c r="AYH112" s="386"/>
      <c r="AYI112" s="386"/>
      <c r="AYJ112" s="386"/>
      <c r="AYK112" s="386"/>
      <c r="AYL112" s="386"/>
      <c r="AYM112" s="386"/>
      <c r="AYN112" s="386"/>
      <c r="AYO112" s="386"/>
      <c r="AYP112" s="386"/>
      <c r="AYQ112" s="386"/>
      <c r="AYR112" s="386"/>
      <c r="AYS112" s="386"/>
      <c r="AYT112" s="386"/>
      <c r="AYU112" s="386"/>
      <c r="AYV112" s="386"/>
      <c r="AYW112" s="386"/>
      <c r="AYX112" s="386"/>
      <c r="AYY112" s="386"/>
      <c r="AYZ112" s="386"/>
      <c r="AZA112" s="386"/>
      <c r="AZB112" s="386"/>
      <c r="AZC112" s="386"/>
      <c r="AZD112" s="386"/>
      <c r="AZE112" s="386"/>
      <c r="AZF112" s="386"/>
      <c r="AZG112" s="386"/>
      <c r="AZH112" s="386"/>
      <c r="AZI112" s="386"/>
      <c r="AZJ112" s="386"/>
      <c r="AZK112" s="386"/>
      <c r="AZL112" s="386"/>
      <c r="AZM112" s="386"/>
      <c r="AZN112" s="386"/>
      <c r="AZO112" s="386"/>
      <c r="AZP112" s="386"/>
      <c r="AZQ112" s="386"/>
      <c r="AZR112" s="386"/>
      <c r="AZS112" s="386"/>
      <c r="AZT112" s="386"/>
      <c r="AZU112" s="386"/>
      <c r="AZV112" s="386"/>
      <c r="AZW112" s="386"/>
      <c r="AZX112" s="386"/>
      <c r="AZY112" s="386"/>
      <c r="AZZ112" s="386"/>
      <c r="BAA112" s="386"/>
      <c r="BAB112" s="386"/>
      <c r="BAC112" s="386"/>
      <c r="BAD112" s="386"/>
      <c r="BAE112" s="386"/>
      <c r="BAF112" s="386"/>
      <c r="BAG112" s="386"/>
      <c r="BAH112" s="386"/>
      <c r="BAI112" s="386"/>
      <c r="BAJ112" s="386"/>
      <c r="BAK112" s="386"/>
      <c r="BAL112" s="386"/>
      <c r="BAM112" s="386"/>
      <c r="BAN112" s="386"/>
      <c r="BAO112" s="386"/>
      <c r="BAP112" s="386"/>
      <c r="BAQ112" s="386"/>
      <c r="BAR112" s="386"/>
      <c r="BAS112" s="386"/>
      <c r="BAT112" s="386"/>
      <c r="BAU112" s="386"/>
      <c r="BAV112" s="386"/>
      <c r="BAW112" s="386"/>
      <c r="BAX112" s="386"/>
      <c r="BAY112" s="386"/>
      <c r="BAZ112" s="386"/>
      <c r="BBA112" s="386"/>
      <c r="BBB112" s="386"/>
      <c r="BBC112" s="386"/>
      <c r="BBD112" s="386"/>
      <c r="BBE112" s="386"/>
      <c r="BBF112" s="386"/>
      <c r="BBG112" s="386"/>
      <c r="BBH112" s="386"/>
      <c r="BBI112" s="386"/>
      <c r="BBJ112" s="386"/>
      <c r="BBK112" s="386"/>
      <c r="BBL112" s="386"/>
      <c r="BBM112" s="386"/>
      <c r="BBN112" s="386"/>
      <c r="BBO112" s="386"/>
      <c r="BBP112" s="386"/>
      <c r="BBQ112" s="386"/>
      <c r="BBR112" s="386"/>
      <c r="BBS112" s="386"/>
      <c r="BBT112" s="386"/>
      <c r="BBU112" s="386"/>
      <c r="BBV112" s="386"/>
      <c r="BBW112" s="386"/>
      <c r="BBX112" s="386"/>
      <c r="BBY112" s="386"/>
      <c r="BBZ112" s="386"/>
      <c r="BCA112" s="386"/>
      <c r="BCB112" s="386"/>
      <c r="BCC112" s="386"/>
      <c r="BCD112" s="386"/>
      <c r="BCE112" s="386"/>
      <c r="BCF112" s="386"/>
      <c r="BCG112" s="386"/>
      <c r="BCH112" s="386"/>
      <c r="BCI112" s="386"/>
      <c r="BCJ112" s="386"/>
      <c r="BCK112" s="386"/>
      <c r="BCL112" s="386"/>
      <c r="BCM112" s="386"/>
      <c r="BCN112" s="386"/>
      <c r="BCO112" s="386"/>
      <c r="BCP112" s="386"/>
      <c r="BCQ112" s="386"/>
      <c r="BCR112" s="386"/>
      <c r="BCS112" s="386"/>
      <c r="BCT112" s="386"/>
      <c r="BCU112" s="386"/>
      <c r="BCV112" s="386"/>
      <c r="BCW112" s="386"/>
      <c r="BCX112" s="386"/>
      <c r="BCY112" s="386"/>
      <c r="BCZ112" s="386"/>
      <c r="BDA112" s="386"/>
      <c r="BDB112" s="386"/>
      <c r="BDC112" s="386"/>
      <c r="BDD112" s="386"/>
      <c r="BDE112" s="386"/>
      <c r="BDF112" s="386"/>
      <c r="BDG112" s="386"/>
      <c r="BDH112" s="386"/>
      <c r="BDI112" s="386"/>
      <c r="BDJ112" s="386"/>
      <c r="BDK112" s="386"/>
      <c r="BDL112" s="386"/>
      <c r="BDM112" s="386"/>
      <c r="BDN112" s="386"/>
      <c r="BDO112" s="386"/>
      <c r="BDP112" s="386"/>
      <c r="BDQ112" s="386"/>
      <c r="BDR112" s="386"/>
      <c r="BDS112" s="386"/>
      <c r="BDT112" s="386"/>
      <c r="BDU112" s="386"/>
      <c r="BDV112" s="386"/>
      <c r="BDW112" s="386"/>
      <c r="BDX112" s="386"/>
      <c r="BDY112" s="386"/>
      <c r="BDZ112" s="386"/>
      <c r="BEA112" s="386"/>
      <c r="BEB112" s="386"/>
      <c r="BEC112" s="386"/>
      <c r="BED112" s="386"/>
      <c r="BEE112" s="386"/>
      <c r="BEF112" s="386"/>
      <c r="BEG112" s="386"/>
      <c r="BEH112" s="386"/>
      <c r="BEI112" s="386"/>
      <c r="BEJ112" s="386"/>
      <c r="BEK112" s="386"/>
      <c r="BEL112" s="386"/>
      <c r="BEM112" s="386"/>
      <c r="BEN112" s="386"/>
      <c r="BEO112" s="386"/>
      <c r="BEP112" s="386"/>
      <c r="BEQ112" s="386"/>
      <c r="BER112" s="386"/>
      <c r="BES112" s="386"/>
      <c r="BET112" s="386"/>
      <c r="BEU112" s="386"/>
      <c r="BEV112" s="386"/>
      <c r="BEW112" s="386"/>
      <c r="BEX112" s="386"/>
      <c r="BEY112" s="386"/>
      <c r="BEZ112" s="386"/>
      <c r="BFA112" s="386"/>
      <c r="BFB112" s="386"/>
      <c r="BFC112" s="386"/>
      <c r="BFD112" s="386"/>
      <c r="BFE112" s="386"/>
      <c r="BFF112" s="386"/>
      <c r="BFG112" s="386"/>
      <c r="BFH112" s="386"/>
      <c r="BFI112" s="386"/>
      <c r="BFJ112" s="386"/>
      <c r="BFK112" s="386"/>
      <c r="BFL112" s="386"/>
      <c r="BFM112" s="386"/>
      <c r="BFN112" s="386"/>
      <c r="BFO112" s="386"/>
      <c r="BFP112" s="386"/>
      <c r="BFQ112" s="386"/>
      <c r="BFR112" s="386"/>
      <c r="BFS112" s="386"/>
      <c r="BFT112" s="386"/>
      <c r="BFU112" s="386"/>
      <c r="BFV112" s="386"/>
      <c r="BFW112" s="386"/>
      <c r="BFX112" s="386"/>
      <c r="BFY112" s="386"/>
      <c r="BFZ112" s="386"/>
      <c r="BGA112" s="386"/>
      <c r="BGB112" s="386"/>
      <c r="BGC112" s="386"/>
      <c r="BGD112" s="386"/>
      <c r="BGE112" s="386"/>
      <c r="BGF112" s="386"/>
      <c r="BGG112" s="386"/>
      <c r="BGH112" s="386"/>
      <c r="BGI112" s="386"/>
      <c r="BGJ112" s="386"/>
      <c r="BGK112" s="386"/>
      <c r="BGL112" s="386"/>
      <c r="BGM112" s="386"/>
      <c r="BGN112" s="386"/>
      <c r="BGO112" s="386"/>
      <c r="BGP112" s="386"/>
      <c r="BGQ112" s="386"/>
      <c r="BGR112" s="386"/>
      <c r="BGS112" s="386"/>
      <c r="BGT112" s="386"/>
      <c r="BGU112" s="386"/>
      <c r="BGV112" s="386"/>
      <c r="BGW112" s="386"/>
      <c r="BGX112" s="386"/>
      <c r="BGY112" s="386"/>
      <c r="BGZ112" s="386"/>
      <c r="BHA112" s="386"/>
      <c r="BHB112" s="386"/>
      <c r="BHC112" s="386"/>
      <c r="BHD112" s="386"/>
      <c r="BHE112" s="386"/>
      <c r="BHF112" s="386"/>
      <c r="BHG112" s="386"/>
      <c r="BHH112" s="386"/>
      <c r="BHI112" s="386"/>
      <c r="BHJ112" s="386"/>
      <c r="BHK112" s="386"/>
      <c r="BHL112" s="386"/>
      <c r="BHM112" s="386"/>
      <c r="BHN112" s="386"/>
      <c r="BHO112" s="386"/>
      <c r="BHP112" s="386"/>
      <c r="BHQ112" s="386"/>
      <c r="BHR112" s="386"/>
      <c r="BHS112" s="386"/>
      <c r="BHT112" s="386"/>
      <c r="BHU112" s="386"/>
      <c r="BHV112" s="386"/>
      <c r="BHW112" s="386"/>
      <c r="BHX112" s="386"/>
      <c r="BHY112" s="386"/>
      <c r="BHZ112" s="386"/>
      <c r="BIA112" s="386"/>
      <c r="BIB112" s="386"/>
      <c r="BIC112" s="386"/>
      <c r="BID112" s="386"/>
      <c r="BIE112" s="386"/>
      <c r="BIF112" s="386"/>
      <c r="BIG112" s="386"/>
      <c r="BIH112" s="386"/>
      <c r="BII112" s="386"/>
      <c r="BIJ112" s="386"/>
      <c r="BIK112" s="386"/>
      <c r="BIL112" s="386"/>
      <c r="BIM112" s="386"/>
      <c r="BIN112" s="386"/>
      <c r="BIO112" s="386"/>
      <c r="BIP112" s="386"/>
      <c r="BIQ112" s="386"/>
      <c r="BIR112" s="386"/>
      <c r="BIS112" s="386"/>
      <c r="BIT112" s="386"/>
      <c r="BIU112" s="386"/>
      <c r="BIV112" s="386"/>
      <c r="BIW112" s="386"/>
      <c r="BIX112" s="386"/>
      <c r="BIY112" s="386"/>
      <c r="BIZ112" s="386"/>
      <c r="BJA112" s="386"/>
      <c r="BJB112" s="386"/>
      <c r="BJC112" s="386"/>
      <c r="BJD112" s="386"/>
      <c r="BJE112" s="386"/>
      <c r="BJF112" s="386"/>
      <c r="BJG112" s="386"/>
      <c r="BJH112" s="386"/>
      <c r="BJI112" s="386"/>
      <c r="BJJ112" s="386"/>
      <c r="BJK112" s="386"/>
      <c r="BJL112" s="386"/>
      <c r="BJM112" s="386"/>
      <c r="BJN112" s="386"/>
      <c r="BJO112" s="386"/>
      <c r="BJP112" s="386"/>
      <c r="BJQ112" s="386"/>
      <c r="BJR112" s="386"/>
      <c r="BJS112" s="386"/>
      <c r="BJT112" s="386"/>
      <c r="BJU112" s="386"/>
      <c r="BJV112" s="386"/>
      <c r="BJW112" s="386"/>
      <c r="BJX112" s="386"/>
      <c r="BJY112" s="386"/>
      <c r="BJZ112" s="386"/>
      <c r="BKA112" s="386"/>
      <c r="BKB112" s="386"/>
      <c r="BKC112" s="386"/>
      <c r="BKD112" s="386"/>
      <c r="BKE112" s="386"/>
      <c r="BKF112" s="386"/>
      <c r="BKG112" s="386"/>
      <c r="BKH112" s="386"/>
      <c r="BKI112" s="386"/>
      <c r="BKJ112" s="386"/>
      <c r="BKK112" s="386"/>
      <c r="BKL112" s="386"/>
      <c r="BKM112" s="386"/>
      <c r="BKN112" s="386"/>
      <c r="BKO112" s="386"/>
      <c r="BKP112" s="386"/>
      <c r="BKQ112" s="386"/>
      <c r="BKR112" s="386"/>
      <c r="BKS112" s="386"/>
      <c r="BKT112" s="386"/>
      <c r="BKU112" s="386"/>
      <c r="BKV112" s="386"/>
      <c r="BKW112" s="386"/>
      <c r="BKX112" s="386"/>
      <c r="BKY112" s="386"/>
      <c r="BKZ112" s="386"/>
      <c r="BLA112" s="386"/>
      <c r="BLB112" s="386"/>
      <c r="BLC112" s="386"/>
      <c r="BLD112" s="386"/>
      <c r="BLE112" s="386"/>
      <c r="BLF112" s="386"/>
      <c r="BLG112" s="386"/>
      <c r="BLH112" s="386"/>
      <c r="BLI112" s="386"/>
      <c r="BLJ112" s="386"/>
      <c r="BLK112" s="386"/>
      <c r="BLL112" s="386"/>
      <c r="BLM112" s="386"/>
      <c r="BLN112" s="386"/>
      <c r="BLO112" s="386"/>
      <c r="BLP112" s="386"/>
      <c r="BLQ112" s="386"/>
      <c r="BLR112" s="386"/>
      <c r="BLS112" s="386"/>
      <c r="BLT112" s="386"/>
      <c r="BLU112" s="386"/>
      <c r="BLV112" s="386"/>
      <c r="BLW112" s="386"/>
      <c r="BLX112" s="386"/>
      <c r="BLY112" s="386"/>
      <c r="BLZ112" s="386"/>
      <c r="BMA112" s="386"/>
      <c r="BMB112" s="386"/>
      <c r="BMC112" s="386"/>
      <c r="BMD112" s="386"/>
      <c r="BME112" s="386"/>
      <c r="BMF112" s="386"/>
      <c r="BMG112" s="386"/>
      <c r="BMH112" s="386"/>
      <c r="BMI112" s="386"/>
      <c r="BMJ112" s="386"/>
      <c r="BMK112" s="386"/>
      <c r="BML112" s="386"/>
      <c r="BMM112" s="386"/>
      <c r="BMN112" s="386"/>
      <c r="BMO112" s="386"/>
      <c r="BMP112" s="386"/>
      <c r="BMQ112" s="386"/>
      <c r="BMR112" s="386"/>
      <c r="BMS112" s="386"/>
      <c r="BMT112" s="386"/>
      <c r="BMU112" s="386"/>
      <c r="BMV112" s="386"/>
      <c r="BMW112" s="386"/>
      <c r="BMX112" s="386"/>
      <c r="BMY112" s="386"/>
      <c r="BMZ112" s="386"/>
      <c r="BNA112" s="386"/>
      <c r="BNB112" s="386"/>
      <c r="BNC112" s="386"/>
      <c r="BND112" s="386"/>
      <c r="BNE112" s="386"/>
      <c r="BNF112" s="386"/>
      <c r="BNG112" s="386"/>
      <c r="BNH112" s="386"/>
      <c r="BNI112" s="386"/>
      <c r="BNJ112" s="386"/>
      <c r="BNK112" s="386"/>
      <c r="BNL112" s="386"/>
      <c r="BNM112" s="386"/>
      <c r="BNN112" s="386"/>
      <c r="BNO112" s="386"/>
      <c r="BNP112" s="386"/>
      <c r="BNQ112" s="386"/>
      <c r="BNR112" s="386"/>
      <c r="BNS112" s="386"/>
      <c r="BNT112" s="386"/>
      <c r="BNU112" s="386"/>
      <c r="BNV112" s="386"/>
      <c r="BNW112" s="386"/>
      <c r="BNX112" s="386"/>
      <c r="BNY112" s="386"/>
      <c r="BNZ112" s="386"/>
      <c r="BOA112" s="386"/>
      <c r="BOB112" s="386"/>
      <c r="BOC112" s="386"/>
      <c r="BOD112" s="386"/>
      <c r="BOE112" s="386"/>
      <c r="BOF112" s="386"/>
      <c r="BOG112" s="386"/>
      <c r="BOH112" s="386"/>
      <c r="BOI112" s="386"/>
      <c r="BOJ112" s="386"/>
      <c r="BOK112" s="386"/>
      <c r="BOL112" s="386"/>
      <c r="BOM112" s="386"/>
      <c r="BON112" s="386"/>
      <c r="BOO112" s="386"/>
      <c r="BOP112" s="386"/>
      <c r="BOQ112" s="386"/>
      <c r="BOR112" s="386"/>
      <c r="BOS112" s="386"/>
      <c r="BOT112" s="386"/>
      <c r="BOU112" s="386"/>
      <c r="BOV112" s="386"/>
      <c r="BOW112" s="386"/>
      <c r="BOX112" s="386"/>
      <c r="BOY112" s="386"/>
      <c r="BOZ112" s="386"/>
      <c r="BPA112" s="386"/>
      <c r="BPB112" s="386"/>
      <c r="BPC112" s="386"/>
      <c r="BPD112" s="386"/>
      <c r="BPE112" s="386"/>
      <c r="BPF112" s="386"/>
      <c r="BPG112" s="386"/>
      <c r="BPH112" s="386"/>
      <c r="BPI112" s="386"/>
      <c r="BPJ112" s="386"/>
      <c r="BPK112" s="386"/>
      <c r="BPL112" s="386"/>
      <c r="BPM112" s="386"/>
      <c r="BPN112" s="386"/>
      <c r="BPO112" s="386"/>
      <c r="BPP112" s="386"/>
      <c r="BPQ112" s="386"/>
      <c r="BPR112" s="386"/>
      <c r="BPS112" s="386"/>
      <c r="BPT112" s="386"/>
      <c r="BPU112" s="386"/>
      <c r="BPV112" s="386"/>
      <c r="BPW112" s="386"/>
      <c r="BPX112" s="386"/>
      <c r="BPY112" s="386"/>
      <c r="BPZ112" s="386"/>
      <c r="BQA112" s="386"/>
      <c r="BQB112" s="386"/>
      <c r="BQC112" s="386"/>
      <c r="BQD112" s="386"/>
      <c r="BQE112" s="386"/>
      <c r="BQF112" s="386"/>
      <c r="BQG112" s="386"/>
      <c r="BQH112" s="386"/>
      <c r="BQI112" s="386"/>
      <c r="BQJ112" s="386"/>
      <c r="BQK112" s="386"/>
      <c r="BQL112" s="386"/>
      <c r="BQM112" s="386"/>
      <c r="BQN112" s="386"/>
      <c r="BQO112" s="386"/>
      <c r="BQP112" s="386"/>
      <c r="BQQ112" s="386"/>
      <c r="BQR112" s="386"/>
      <c r="BQS112" s="386"/>
      <c r="BQT112" s="386"/>
      <c r="BQU112" s="386"/>
      <c r="BQV112" s="386"/>
      <c r="BQW112" s="386"/>
      <c r="BQX112" s="386"/>
      <c r="BQY112" s="386"/>
      <c r="BQZ112" s="386"/>
      <c r="BRA112" s="386"/>
      <c r="BRB112" s="386"/>
      <c r="BRC112" s="386"/>
      <c r="BRD112" s="386"/>
      <c r="BRE112" s="386"/>
      <c r="BRF112" s="386"/>
      <c r="BRG112" s="386"/>
      <c r="BRH112" s="386"/>
      <c r="BRI112" s="386"/>
      <c r="BRJ112" s="386"/>
      <c r="BRK112" s="386"/>
      <c r="BRL112" s="386"/>
      <c r="BRM112" s="386"/>
      <c r="BRN112" s="386"/>
      <c r="BRO112" s="386"/>
      <c r="BRP112" s="386"/>
      <c r="BRQ112" s="386"/>
      <c r="BRR112" s="386"/>
      <c r="BRS112" s="386"/>
      <c r="BRT112" s="386"/>
      <c r="BRU112" s="386"/>
      <c r="BRV112" s="386"/>
      <c r="BRW112" s="386"/>
      <c r="BRX112" s="386"/>
      <c r="BRY112" s="386"/>
      <c r="BRZ112" s="386"/>
      <c r="BSA112" s="386"/>
      <c r="BSB112" s="386"/>
      <c r="BSC112" s="386"/>
      <c r="BSD112" s="386"/>
      <c r="BSE112" s="386"/>
      <c r="BSF112" s="386"/>
      <c r="BSG112" s="386"/>
      <c r="BSH112" s="386"/>
      <c r="BSI112" s="386"/>
      <c r="BSJ112" s="386"/>
      <c r="BSK112" s="386"/>
      <c r="BSL112" s="386"/>
      <c r="BSM112" s="386"/>
      <c r="BSN112" s="386"/>
      <c r="BSO112" s="386"/>
      <c r="BSP112" s="386"/>
      <c r="BSQ112" s="386"/>
      <c r="BSR112" s="386"/>
      <c r="BSS112" s="386"/>
      <c r="BST112" s="386"/>
      <c r="BSU112" s="386"/>
      <c r="BSV112" s="386"/>
      <c r="BSW112" s="386"/>
      <c r="BSX112" s="386"/>
      <c r="BSY112" s="386"/>
      <c r="BSZ112" s="386"/>
      <c r="BTA112" s="386"/>
      <c r="BTB112" s="386"/>
      <c r="BTC112" s="386"/>
      <c r="BTD112" s="386"/>
      <c r="BTE112" s="386"/>
      <c r="BTF112" s="386"/>
      <c r="BTG112" s="386"/>
      <c r="BTH112" s="386"/>
      <c r="BTI112" s="386"/>
      <c r="BTJ112" s="386"/>
      <c r="BTK112" s="386"/>
      <c r="BTL112" s="386"/>
      <c r="BTM112" s="386"/>
      <c r="BTN112" s="386"/>
      <c r="BTO112" s="386"/>
      <c r="BTP112" s="386"/>
      <c r="BTQ112" s="386"/>
      <c r="BTR112" s="386"/>
      <c r="BTS112" s="386"/>
      <c r="BTT112" s="386"/>
      <c r="BTU112" s="386"/>
      <c r="BTV112" s="386"/>
      <c r="BTW112" s="386"/>
      <c r="BTX112" s="386"/>
      <c r="BTY112" s="386"/>
      <c r="BTZ112" s="386"/>
      <c r="BUA112" s="386"/>
      <c r="BUB112" s="386"/>
      <c r="BUC112" s="386"/>
      <c r="BUD112" s="386"/>
      <c r="BUE112" s="386"/>
      <c r="BUF112" s="386"/>
      <c r="BUG112" s="386"/>
      <c r="BUH112" s="386"/>
      <c r="BUI112" s="386"/>
      <c r="BUJ112" s="386"/>
      <c r="BUK112" s="386"/>
      <c r="BUL112" s="386"/>
      <c r="BUM112" s="386"/>
      <c r="BUN112" s="386"/>
      <c r="BUO112" s="386"/>
      <c r="BUP112" s="386"/>
      <c r="BUQ112" s="386"/>
      <c r="BUR112" s="386"/>
      <c r="BUS112" s="386"/>
      <c r="BUT112" s="386"/>
      <c r="BUU112" s="386"/>
      <c r="BUV112" s="386"/>
      <c r="BUW112" s="386"/>
      <c r="BUX112" s="386"/>
      <c r="BUY112" s="386"/>
      <c r="BUZ112" s="386"/>
      <c r="BVA112" s="386"/>
      <c r="BVB112" s="386"/>
      <c r="BVC112" s="386"/>
      <c r="BVD112" s="386"/>
      <c r="BVE112" s="386"/>
      <c r="BVF112" s="386"/>
      <c r="BVG112" s="386"/>
      <c r="BVH112" s="386"/>
      <c r="BVI112" s="386"/>
      <c r="BVJ112" s="386"/>
      <c r="BVK112" s="386"/>
      <c r="BVL112" s="386"/>
      <c r="BVM112" s="386"/>
      <c r="BVN112" s="386"/>
      <c r="BVO112" s="386"/>
      <c r="BVP112" s="386"/>
      <c r="BVQ112" s="386"/>
      <c r="BVR112" s="386"/>
      <c r="BVS112" s="386"/>
      <c r="BVT112" s="386"/>
      <c r="BVU112" s="386"/>
      <c r="BVV112" s="386"/>
      <c r="BVW112" s="386"/>
      <c r="BVX112" s="386"/>
      <c r="BVY112" s="386"/>
      <c r="BVZ112" s="386"/>
      <c r="BWA112" s="386"/>
      <c r="BWB112" s="386"/>
      <c r="BWC112" s="386"/>
      <c r="BWD112" s="386"/>
      <c r="BWE112" s="386"/>
      <c r="BWF112" s="386"/>
      <c r="BWG112" s="386"/>
      <c r="BWH112" s="386"/>
      <c r="BWI112" s="386"/>
      <c r="BWJ112" s="386"/>
      <c r="BWK112" s="386"/>
      <c r="BWL112" s="386"/>
      <c r="BWM112" s="386"/>
      <c r="BWN112" s="386"/>
      <c r="BWO112" s="386"/>
      <c r="BWP112" s="386"/>
      <c r="BWQ112" s="386"/>
      <c r="BWR112" s="386"/>
      <c r="BWS112" s="386"/>
      <c r="BWT112" s="386"/>
      <c r="BWU112" s="386"/>
      <c r="BWV112" s="386"/>
      <c r="BWW112" s="386"/>
      <c r="BWX112" s="386"/>
      <c r="BWY112" s="386"/>
      <c r="BWZ112" s="386"/>
      <c r="BXA112" s="386"/>
      <c r="BXB112" s="386"/>
      <c r="BXC112" s="386"/>
      <c r="BXD112" s="386"/>
      <c r="BXE112" s="386"/>
      <c r="BXF112" s="386"/>
      <c r="BXG112" s="386"/>
      <c r="BXH112" s="386"/>
      <c r="BXI112" s="386"/>
      <c r="BXJ112" s="386"/>
      <c r="BXK112" s="386"/>
      <c r="BXL112" s="386"/>
      <c r="BXM112" s="386"/>
      <c r="BXN112" s="386"/>
      <c r="BXO112" s="386"/>
      <c r="BXP112" s="386"/>
      <c r="BXQ112" s="386"/>
      <c r="BXR112" s="386"/>
      <c r="BXS112" s="386"/>
      <c r="BXT112" s="386"/>
      <c r="BXU112" s="386"/>
      <c r="BXV112" s="386"/>
      <c r="BXW112" s="386"/>
      <c r="BXX112" s="386"/>
      <c r="BXY112" s="386"/>
      <c r="BXZ112" s="386"/>
      <c r="BYA112" s="386"/>
      <c r="BYB112" s="386"/>
      <c r="BYC112" s="386"/>
      <c r="BYD112" s="386"/>
      <c r="BYE112" s="386"/>
      <c r="BYF112" s="386"/>
      <c r="BYG112" s="386"/>
      <c r="BYH112" s="386"/>
      <c r="BYI112" s="386"/>
      <c r="BYJ112" s="386"/>
      <c r="BYK112" s="386"/>
      <c r="BYL112" s="386"/>
      <c r="BYM112" s="386"/>
      <c r="BYN112" s="386"/>
      <c r="BYO112" s="386"/>
      <c r="BYP112" s="386"/>
      <c r="BYQ112" s="386"/>
      <c r="BYR112" s="386"/>
      <c r="BYS112" s="386"/>
      <c r="BYT112" s="386"/>
      <c r="BYU112" s="386"/>
      <c r="BYV112" s="386"/>
      <c r="BYW112" s="386"/>
      <c r="BYX112" s="386"/>
      <c r="BYY112" s="386"/>
      <c r="BYZ112" s="386"/>
      <c r="BZA112" s="386"/>
      <c r="BZB112" s="386"/>
      <c r="BZC112" s="386"/>
      <c r="BZD112" s="386"/>
      <c r="BZE112" s="386"/>
      <c r="BZF112" s="386"/>
      <c r="BZG112" s="386"/>
      <c r="BZH112" s="386"/>
      <c r="BZI112" s="386"/>
      <c r="BZJ112" s="386"/>
      <c r="BZK112" s="386"/>
      <c r="BZL112" s="386"/>
      <c r="BZM112" s="386"/>
      <c r="BZN112" s="386"/>
      <c r="BZO112" s="386"/>
      <c r="BZP112" s="386"/>
      <c r="BZQ112" s="386"/>
      <c r="BZR112" s="386"/>
      <c r="BZS112" s="386"/>
      <c r="BZT112" s="386"/>
      <c r="BZU112" s="386"/>
      <c r="BZV112" s="386"/>
      <c r="BZW112" s="386"/>
      <c r="BZX112" s="386"/>
      <c r="BZY112" s="386"/>
      <c r="BZZ112" s="386"/>
      <c r="CAA112" s="386"/>
      <c r="CAB112" s="386"/>
      <c r="CAC112" s="386"/>
      <c r="CAD112" s="386"/>
      <c r="CAE112" s="386"/>
      <c r="CAF112" s="386"/>
      <c r="CAG112" s="386"/>
      <c r="CAH112" s="386"/>
      <c r="CAI112" s="386"/>
      <c r="CAJ112" s="386"/>
      <c r="CAK112" s="386"/>
      <c r="CAL112" s="386"/>
      <c r="CAM112" s="386"/>
      <c r="CAN112" s="386"/>
      <c r="CAO112" s="386"/>
      <c r="CAP112" s="386"/>
      <c r="CAQ112" s="386"/>
      <c r="CAR112" s="386"/>
      <c r="CAS112" s="386"/>
      <c r="CAT112" s="386"/>
      <c r="CAU112" s="386"/>
      <c r="CAV112" s="386"/>
      <c r="CAW112" s="386"/>
      <c r="CAX112" s="386"/>
      <c r="CAY112" s="386"/>
      <c r="CAZ112" s="386"/>
      <c r="CBA112" s="386"/>
      <c r="CBB112" s="386"/>
      <c r="CBC112" s="386"/>
      <c r="CBD112" s="386"/>
      <c r="CBE112" s="386"/>
      <c r="CBF112" s="386"/>
      <c r="CBG112" s="386"/>
      <c r="CBH112" s="386"/>
      <c r="CBI112" s="386"/>
      <c r="CBJ112" s="386"/>
      <c r="CBK112" s="386"/>
      <c r="CBL112" s="386"/>
      <c r="CBM112" s="386"/>
      <c r="CBN112" s="386"/>
      <c r="CBO112" s="386"/>
      <c r="CBP112" s="386"/>
      <c r="CBQ112" s="386"/>
      <c r="CBR112" s="386"/>
      <c r="CBS112" s="386"/>
      <c r="CBT112" s="386"/>
      <c r="CBU112" s="386"/>
      <c r="CBV112" s="386"/>
      <c r="CBW112" s="386"/>
      <c r="CBX112" s="386"/>
      <c r="CBY112" s="386"/>
      <c r="CBZ112" s="386"/>
      <c r="CCA112" s="386"/>
      <c r="CCB112" s="386"/>
      <c r="CCC112" s="386"/>
      <c r="CCD112" s="386"/>
      <c r="CCE112" s="386"/>
      <c r="CCF112" s="386"/>
      <c r="CCG112" s="386"/>
      <c r="CCH112" s="386"/>
      <c r="CCI112" s="386"/>
      <c r="CCJ112" s="386"/>
      <c r="CCK112" s="386"/>
      <c r="CCL112" s="386"/>
      <c r="CCM112" s="386"/>
      <c r="CCN112" s="386"/>
      <c r="CCO112" s="386"/>
      <c r="CCP112" s="386"/>
      <c r="CCQ112" s="386"/>
      <c r="CCR112" s="386"/>
      <c r="CCS112" s="386"/>
      <c r="CCT112" s="386"/>
      <c r="CCU112" s="386"/>
      <c r="CCV112" s="386"/>
      <c r="CCW112" s="386"/>
      <c r="CCX112" s="386"/>
      <c r="CCY112" s="386"/>
      <c r="CCZ112" s="386"/>
      <c r="CDA112" s="386"/>
      <c r="CDB112" s="386"/>
      <c r="CDC112" s="386"/>
      <c r="CDD112" s="386"/>
      <c r="CDE112" s="386"/>
      <c r="CDF112" s="386"/>
      <c r="CDG112" s="386"/>
      <c r="CDH112" s="386"/>
      <c r="CDI112" s="386"/>
      <c r="CDJ112" s="386"/>
      <c r="CDK112" s="386"/>
      <c r="CDL112" s="386"/>
      <c r="CDM112" s="386"/>
      <c r="CDN112" s="386"/>
      <c r="CDO112" s="386"/>
      <c r="CDP112" s="386"/>
      <c r="CDQ112" s="386"/>
      <c r="CDR112" s="386"/>
      <c r="CDS112" s="386"/>
      <c r="CDT112" s="386"/>
      <c r="CDU112" s="386"/>
      <c r="CDV112" s="386"/>
      <c r="CDW112" s="386"/>
      <c r="CDX112" s="386"/>
      <c r="CDY112" s="386"/>
      <c r="CDZ112" s="386"/>
      <c r="CEA112" s="386"/>
      <c r="CEB112" s="386"/>
      <c r="CEC112" s="386"/>
      <c r="CED112" s="386"/>
      <c r="CEE112" s="386"/>
      <c r="CEF112" s="386"/>
      <c r="CEG112" s="386"/>
      <c r="CEH112" s="386"/>
      <c r="CEI112" s="386"/>
      <c r="CEJ112" s="386"/>
      <c r="CEK112" s="386"/>
      <c r="CEL112" s="386"/>
      <c r="CEM112" s="386"/>
      <c r="CEN112" s="386"/>
      <c r="CEO112" s="386"/>
      <c r="CEP112" s="386"/>
      <c r="CEQ112" s="386"/>
      <c r="CER112" s="386"/>
      <c r="CES112" s="386"/>
      <c r="CET112" s="386"/>
      <c r="CEU112" s="386"/>
      <c r="CEV112" s="386"/>
      <c r="CEW112" s="386"/>
      <c r="CEX112" s="386"/>
      <c r="CEY112" s="386"/>
      <c r="CEZ112" s="386"/>
      <c r="CFA112" s="386"/>
      <c r="CFB112" s="386"/>
      <c r="CFC112" s="386"/>
      <c r="CFD112" s="386"/>
      <c r="CFE112" s="386"/>
      <c r="CFF112" s="386"/>
      <c r="CFG112" s="386"/>
      <c r="CFH112" s="386"/>
      <c r="CFI112" s="386"/>
      <c r="CFJ112" s="386"/>
      <c r="CFK112" s="386"/>
      <c r="CFL112" s="386"/>
      <c r="CFM112" s="386"/>
      <c r="CFN112" s="386"/>
      <c r="CFO112" s="386"/>
      <c r="CFP112" s="386"/>
      <c r="CFQ112" s="386"/>
      <c r="CFR112" s="386"/>
      <c r="CFS112" s="386"/>
      <c r="CFT112" s="386"/>
      <c r="CFU112" s="386"/>
      <c r="CFV112" s="386"/>
      <c r="CFW112" s="386"/>
      <c r="CFX112" s="386"/>
      <c r="CFY112" s="386"/>
      <c r="CFZ112" s="386"/>
      <c r="CGA112" s="386"/>
      <c r="CGB112" s="386"/>
      <c r="CGC112" s="386"/>
      <c r="CGD112" s="386"/>
      <c r="CGE112" s="386"/>
      <c r="CGF112" s="386"/>
      <c r="CGG112" s="386"/>
      <c r="CGH112" s="386"/>
      <c r="CGI112" s="386"/>
      <c r="CGJ112" s="386"/>
      <c r="CGK112" s="386"/>
      <c r="CGL112" s="386"/>
      <c r="CGM112" s="386"/>
      <c r="CGN112" s="386"/>
      <c r="CGO112" s="386"/>
      <c r="CGP112" s="386"/>
      <c r="CGQ112" s="386"/>
      <c r="CGR112" s="386"/>
      <c r="CGS112" s="386"/>
      <c r="CGT112" s="386"/>
      <c r="CGU112" s="386"/>
      <c r="CGV112" s="386"/>
      <c r="CGW112" s="386"/>
      <c r="CGX112" s="386"/>
      <c r="CGY112" s="386"/>
      <c r="CGZ112" s="386"/>
      <c r="CHA112" s="386"/>
      <c r="CHB112" s="386"/>
      <c r="CHC112" s="386"/>
      <c r="CHD112" s="386"/>
      <c r="CHE112" s="386"/>
      <c r="CHF112" s="386"/>
      <c r="CHG112" s="386"/>
      <c r="CHH112" s="386"/>
      <c r="CHI112" s="386"/>
      <c r="CHJ112" s="386"/>
      <c r="CHK112" s="386"/>
      <c r="CHL112" s="386"/>
      <c r="CHM112" s="386"/>
      <c r="CHN112" s="386"/>
      <c r="CHO112" s="386"/>
      <c r="CHP112" s="386"/>
      <c r="CHQ112" s="386"/>
      <c r="CHR112" s="386"/>
      <c r="CHS112" s="386"/>
      <c r="CHT112" s="386"/>
      <c r="CHU112" s="386"/>
      <c r="CHV112" s="386"/>
      <c r="CHW112" s="386"/>
      <c r="CHX112" s="386"/>
      <c r="CHY112" s="386"/>
      <c r="CHZ112" s="386"/>
      <c r="CIA112" s="386"/>
      <c r="CIB112" s="386"/>
      <c r="CIC112" s="386"/>
      <c r="CID112" s="386"/>
      <c r="CIE112" s="386"/>
      <c r="CIF112" s="386"/>
      <c r="CIG112" s="386"/>
      <c r="CIH112" s="386"/>
      <c r="CII112" s="386"/>
      <c r="CIJ112" s="386"/>
      <c r="CIK112" s="386"/>
      <c r="CIL112" s="386"/>
      <c r="CIM112" s="386"/>
      <c r="CIN112" s="386"/>
      <c r="CIO112" s="386"/>
      <c r="CIP112" s="386"/>
      <c r="CIQ112" s="386"/>
      <c r="CIR112" s="386"/>
      <c r="CIS112" s="386"/>
      <c r="CIT112" s="386"/>
      <c r="CIU112" s="386"/>
      <c r="CIV112" s="386"/>
      <c r="CIW112" s="386"/>
      <c r="CIX112" s="386"/>
      <c r="CIY112" s="386"/>
      <c r="CIZ112" s="386"/>
      <c r="CJA112" s="386"/>
      <c r="CJB112" s="386"/>
      <c r="CJC112" s="386"/>
      <c r="CJD112" s="386"/>
      <c r="CJE112" s="386"/>
      <c r="CJF112" s="386"/>
      <c r="CJG112" s="386"/>
      <c r="CJH112" s="386"/>
      <c r="CJI112" s="386"/>
      <c r="CJJ112" s="386"/>
      <c r="CJK112" s="386"/>
      <c r="CJL112" s="386"/>
      <c r="CJM112" s="386"/>
      <c r="CJN112" s="386"/>
      <c r="CJO112" s="386"/>
      <c r="CJP112" s="386"/>
      <c r="CJQ112" s="386"/>
      <c r="CJR112" s="386"/>
      <c r="CJS112" s="386"/>
      <c r="CJT112" s="386"/>
      <c r="CJU112" s="386"/>
      <c r="CJV112" s="386"/>
      <c r="CJW112" s="386"/>
      <c r="CJX112" s="386"/>
      <c r="CJY112" s="386"/>
      <c r="CJZ112" s="386"/>
      <c r="CKA112" s="386"/>
      <c r="CKB112" s="386"/>
      <c r="CKC112" s="386"/>
      <c r="CKD112" s="386"/>
      <c r="CKE112" s="386"/>
      <c r="CKF112" s="386"/>
      <c r="CKG112" s="386"/>
      <c r="CKH112" s="386"/>
      <c r="CKI112" s="386"/>
      <c r="CKJ112" s="386"/>
      <c r="CKK112" s="386"/>
      <c r="CKL112" s="386"/>
      <c r="CKM112" s="386"/>
      <c r="CKN112" s="386"/>
      <c r="CKO112" s="386"/>
      <c r="CKP112" s="386"/>
      <c r="CKQ112" s="386"/>
      <c r="CKR112" s="386"/>
      <c r="CKS112" s="386"/>
      <c r="CKT112" s="386"/>
      <c r="CKU112" s="386"/>
      <c r="CKV112" s="386"/>
      <c r="CKW112" s="386"/>
      <c r="CKX112" s="386"/>
      <c r="CKY112" s="386"/>
      <c r="CKZ112" s="386"/>
      <c r="CLA112" s="386"/>
      <c r="CLB112" s="386"/>
      <c r="CLC112" s="386"/>
      <c r="CLD112" s="386"/>
      <c r="CLE112" s="386"/>
      <c r="CLF112" s="386"/>
      <c r="CLG112" s="386"/>
      <c r="CLH112" s="386"/>
      <c r="CLI112" s="386"/>
      <c r="CLJ112" s="386"/>
      <c r="CLK112" s="386"/>
      <c r="CLL112" s="386"/>
      <c r="CLM112" s="386"/>
      <c r="CLN112" s="386"/>
      <c r="CLO112" s="386"/>
      <c r="CLP112" s="386"/>
      <c r="CLQ112" s="386"/>
      <c r="CLR112" s="386"/>
      <c r="CLS112" s="386"/>
      <c r="CLT112" s="386"/>
      <c r="CLU112" s="386"/>
      <c r="CLV112" s="386"/>
      <c r="CLW112" s="386"/>
      <c r="CLX112" s="386"/>
      <c r="CLY112" s="386"/>
      <c r="CLZ112" s="386"/>
      <c r="CMA112" s="386"/>
      <c r="CMB112" s="386"/>
      <c r="CMC112" s="386"/>
      <c r="CMD112" s="386"/>
      <c r="CME112" s="386"/>
      <c r="CMF112" s="386"/>
      <c r="CMG112" s="386"/>
      <c r="CMH112" s="386"/>
      <c r="CMI112" s="386"/>
      <c r="CMJ112" s="386"/>
      <c r="CMK112" s="386"/>
      <c r="CML112" s="386"/>
      <c r="CMM112" s="386"/>
      <c r="CMN112" s="386"/>
      <c r="CMO112" s="386"/>
      <c r="CMP112" s="386"/>
      <c r="CMQ112" s="386"/>
      <c r="CMR112" s="386"/>
      <c r="CMS112" s="386"/>
      <c r="CMT112" s="386"/>
      <c r="CMU112" s="386"/>
      <c r="CMV112" s="386"/>
      <c r="CMW112" s="386"/>
      <c r="CMX112" s="386"/>
      <c r="CMY112" s="386"/>
      <c r="CMZ112" s="386"/>
      <c r="CNA112" s="386"/>
      <c r="CNB112" s="386"/>
      <c r="CNC112" s="386"/>
      <c r="CND112" s="386"/>
      <c r="CNE112" s="386"/>
      <c r="CNF112" s="386"/>
      <c r="CNG112" s="386"/>
      <c r="CNH112" s="386"/>
      <c r="CNI112" s="386"/>
      <c r="CNJ112" s="386"/>
      <c r="CNK112" s="386"/>
      <c r="CNL112" s="386"/>
      <c r="CNM112" s="386"/>
      <c r="CNN112" s="386"/>
      <c r="CNO112" s="386"/>
      <c r="CNP112" s="386"/>
      <c r="CNQ112" s="386"/>
      <c r="CNR112" s="386"/>
      <c r="CNS112" s="386"/>
      <c r="CNT112" s="386"/>
      <c r="CNU112" s="386"/>
      <c r="CNV112" s="386"/>
      <c r="CNW112" s="386"/>
      <c r="CNX112" s="386"/>
      <c r="CNY112" s="386"/>
      <c r="CNZ112" s="386"/>
      <c r="COA112" s="386"/>
      <c r="COB112" s="386"/>
      <c r="COC112" s="386"/>
      <c r="COD112" s="386"/>
      <c r="COE112" s="386"/>
      <c r="COF112" s="386"/>
      <c r="COG112" s="386"/>
      <c r="COH112" s="386"/>
      <c r="COI112" s="386"/>
      <c r="COJ112" s="386"/>
      <c r="COK112" s="386"/>
      <c r="COL112" s="386"/>
      <c r="COM112" s="386"/>
      <c r="CON112" s="386"/>
      <c r="COO112" s="386"/>
      <c r="COP112" s="386"/>
      <c r="COQ112" s="386"/>
      <c r="COR112" s="386"/>
      <c r="COS112" s="386"/>
      <c r="COT112" s="386"/>
      <c r="COU112" s="386"/>
      <c r="COV112" s="386"/>
      <c r="COW112" s="386"/>
      <c r="COX112" s="386"/>
      <c r="COY112" s="386"/>
      <c r="COZ112" s="386"/>
      <c r="CPA112" s="386"/>
      <c r="CPB112" s="386"/>
      <c r="CPC112" s="386"/>
      <c r="CPD112" s="386"/>
      <c r="CPE112" s="386"/>
      <c r="CPF112" s="386"/>
      <c r="CPG112" s="386"/>
      <c r="CPH112" s="386"/>
      <c r="CPI112" s="386"/>
      <c r="CPJ112" s="386"/>
      <c r="CPK112" s="386"/>
      <c r="CPL112" s="386"/>
      <c r="CPM112" s="386"/>
      <c r="CPN112" s="386"/>
      <c r="CPO112" s="386"/>
      <c r="CPP112" s="386"/>
      <c r="CPQ112" s="386"/>
      <c r="CPR112" s="386"/>
      <c r="CPS112" s="386"/>
      <c r="CPT112" s="386"/>
      <c r="CPU112" s="386"/>
      <c r="CPV112" s="386"/>
      <c r="CPW112" s="386"/>
      <c r="CPX112" s="386"/>
      <c r="CPY112" s="386"/>
      <c r="CPZ112" s="386"/>
      <c r="CQA112" s="386"/>
      <c r="CQB112" s="386"/>
      <c r="CQC112" s="386"/>
      <c r="CQD112" s="386"/>
      <c r="CQE112" s="386"/>
      <c r="CQF112" s="386"/>
      <c r="CQG112" s="386"/>
      <c r="CQH112" s="386"/>
      <c r="CQI112" s="386"/>
      <c r="CQJ112" s="386"/>
      <c r="CQK112" s="386"/>
      <c r="CQL112" s="386"/>
      <c r="CQM112" s="386"/>
      <c r="CQN112" s="386"/>
      <c r="CQO112" s="386"/>
      <c r="CQP112" s="386"/>
      <c r="CQQ112" s="386"/>
      <c r="CQR112" s="386"/>
      <c r="CQS112" s="386"/>
      <c r="CQT112" s="386"/>
      <c r="CQU112" s="386"/>
      <c r="CQV112" s="386"/>
      <c r="CQW112" s="386"/>
      <c r="CQX112" s="386"/>
      <c r="CQY112" s="386"/>
      <c r="CQZ112" s="386"/>
      <c r="CRA112" s="386"/>
      <c r="CRB112" s="386"/>
      <c r="CRC112" s="386"/>
      <c r="CRD112" s="386"/>
      <c r="CRE112" s="386"/>
      <c r="CRF112" s="386"/>
      <c r="CRG112" s="386"/>
      <c r="CRH112" s="386"/>
      <c r="CRI112" s="386"/>
      <c r="CRJ112" s="386"/>
      <c r="CRK112" s="386"/>
      <c r="CRL112" s="386"/>
      <c r="CRM112" s="386"/>
      <c r="CRN112" s="386"/>
      <c r="CRO112" s="386"/>
      <c r="CRP112" s="386"/>
      <c r="CRQ112" s="386"/>
      <c r="CRR112" s="386"/>
      <c r="CRS112" s="386"/>
      <c r="CRT112" s="386"/>
      <c r="CRU112" s="386"/>
      <c r="CRV112" s="386"/>
      <c r="CRW112" s="386"/>
      <c r="CRX112" s="386"/>
      <c r="CRY112" s="386"/>
      <c r="CRZ112" s="386"/>
      <c r="CSA112" s="386"/>
      <c r="CSB112" s="386"/>
      <c r="CSC112" s="386"/>
      <c r="CSD112" s="386"/>
      <c r="CSE112" s="386"/>
      <c r="CSF112" s="386"/>
      <c r="CSG112" s="386"/>
      <c r="CSH112" s="386"/>
      <c r="CSI112" s="386"/>
      <c r="CSJ112" s="386"/>
      <c r="CSK112" s="386"/>
      <c r="CSL112" s="386"/>
      <c r="CSM112" s="386"/>
      <c r="CSN112" s="386"/>
      <c r="CSO112" s="386"/>
      <c r="CSP112" s="386"/>
      <c r="CSQ112" s="386"/>
      <c r="CSR112" s="386"/>
      <c r="CSS112" s="386"/>
      <c r="CST112" s="386"/>
      <c r="CSU112" s="386"/>
      <c r="CSV112" s="386"/>
      <c r="CSW112" s="386"/>
      <c r="CSX112" s="386"/>
      <c r="CSY112" s="386"/>
      <c r="CSZ112" s="386"/>
      <c r="CTA112" s="386"/>
      <c r="CTB112" s="386"/>
      <c r="CTC112" s="386"/>
      <c r="CTD112" s="386"/>
      <c r="CTE112" s="386"/>
      <c r="CTF112" s="386"/>
      <c r="CTG112" s="386"/>
      <c r="CTH112" s="386"/>
      <c r="CTI112" s="386"/>
      <c r="CTJ112" s="386"/>
      <c r="CTK112" s="386"/>
      <c r="CTL112" s="386"/>
      <c r="CTM112" s="386"/>
      <c r="CTN112" s="386"/>
      <c r="CTO112" s="386"/>
      <c r="CTP112" s="386"/>
      <c r="CTQ112" s="386"/>
      <c r="CTR112" s="386"/>
      <c r="CTS112" s="386"/>
      <c r="CTT112" s="386"/>
      <c r="CTU112" s="386"/>
      <c r="CTV112" s="386"/>
      <c r="CTW112" s="386"/>
      <c r="CTX112" s="386"/>
      <c r="CTY112" s="386"/>
      <c r="CTZ112" s="386"/>
      <c r="CUA112" s="386"/>
      <c r="CUB112" s="386"/>
      <c r="CUC112" s="386"/>
      <c r="CUD112" s="386"/>
      <c r="CUE112" s="386"/>
      <c r="CUF112" s="386"/>
      <c r="CUG112" s="386"/>
      <c r="CUH112" s="386"/>
      <c r="CUI112" s="386"/>
      <c r="CUJ112" s="386"/>
      <c r="CUK112" s="386"/>
      <c r="CUL112" s="386"/>
      <c r="CUM112" s="386"/>
      <c r="CUN112" s="386"/>
      <c r="CUO112" s="386"/>
      <c r="CUP112" s="386"/>
      <c r="CUQ112" s="386"/>
      <c r="CUR112" s="386"/>
      <c r="CUS112" s="386"/>
      <c r="CUT112" s="386"/>
      <c r="CUU112" s="386"/>
      <c r="CUV112" s="386"/>
      <c r="CUW112" s="386"/>
      <c r="CUX112" s="386"/>
      <c r="CUY112" s="386"/>
      <c r="CUZ112" s="386"/>
      <c r="CVA112" s="386"/>
      <c r="CVB112" s="386"/>
      <c r="CVC112" s="386"/>
      <c r="CVD112" s="386"/>
      <c r="CVE112" s="386"/>
      <c r="CVF112" s="386"/>
      <c r="CVG112" s="386"/>
      <c r="CVH112" s="386"/>
      <c r="CVI112" s="386"/>
      <c r="CVJ112" s="386"/>
      <c r="CVK112" s="386"/>
      <c r="CVL112" s="386"/>
      <c r="CVM112" s="386"/>
      <c r="CVN112" s="386"/>
      <c r="CVO112" s="386"/>
      <c r="CVP112" s="386"/>
      <c r="CVQ112" s="386"/>
      <c r="CVR112" s="386"/>
      <c r="CVS112" s="386"/>
      <c r="CVT112" s="386"/>
      <c r="CVU112" s="386"/>
      <c r="CVV112" s="386"/>
      <c r="CVW112" s="386"/>
      <c r="CVX112" s="386"/>
      <c r="CVY112" s="386"/>
      <c r="CVZ112" s="386"/>
      <c r="CWA112" s="386"/>
      <c r="CWB112" s="386"/>
      <c r="CWC112" s="386"/>
      <c r="CWD112" s="386"/>
      <c r="CWE112" s="386"/>
      <c r="CWF112" s="386"/>
      <c r="CWG112" s="386"/>
      <c r="CWH112" s="386"/>
      <c r="CWI112" s="386"/>
      <c r="CWJ112" s="386"/>
      <c r="CWK112" s="386"/>
      <c r="CWL112" s="386"/>
      <c r="CWM112" s="386"/>
      <c r="CWN112" s="386"/>
      <c r="CWO112" s="386"/>
      <c r="CWP112" s="386"/>
      <c r="CWQ112" s="386"/>
      <c r="CWR112" s="386"/>
      <c r="CWS112" s="386"/>
      <c r="CWT112" s="386"/>
      <c r="CWU112" s="386"/>
      <c r="CWV112" s="386"/>
      <c r="CWW112" s="386"/>
      <c r="CWX112" s="386"/>
      <c r="CWY112" s="386"/>
      <c r="CWZ112" s="386"/>
      <c r="CXA112" s="386"/>
      <c r="CXB112" s="386"/>
      <c r="CXC112" s="386"/>
      <c r="CXD112" s="386"/>
      <c r="CXE112" s="386"/>
      <c r="CXF112" s="386"/>
      <c r="CXG112" s="386"/>
      <c r="CXH112" s="386"/>
      <c r="CXI112" s="386"/>
      <c r="CXJ112" s="386"/>
      <c r="CXK112" s="386"/>
      <c r="CXL112" s="386"/>
      <c r="CXM112" s="386"/>
      <c r="CXN112" s="386"/>
      <c r="CXO112" s="386"/>
      <c r="CXP112" s="386"/>
      <c r="CXQ112" s="386"/>
      <c r="CXR112" s="386"/>
      <c r="CXS112" s="386"/>
      <c r="CXT112" s="386"/>
      <c r="CXU112" s="386"/>
      <c r="CXV112" s="386"/>
      <c r="CXW112" s="386"/>
      <c r="CXX112" s="386"/>
      <c r="CXY112" s="386"/>
      <c r="CXZ112" s="386"/>
      <c r="CYA112" s="386"/>
      <c r="CYB112" s="386"/>
      <c r="CYC112" s="386"/>
      <c r="CYD112" s="386"/>
      <c r="CYE112" s="386"/>
      <c r="CYF112" s="386"/>
      <c r="CYG112" s="386"/>
      <c r="CYH112" s="386"/>
      <c r="CYI112" s="386"/>
      <c r="CYJ112" s="386"/>
      <c r="CYK112" s="386"/>
      <c r="CYL112" s="386"/>
      <c r="CYM112" s="386"/>
      <c r="CYN112" s="386"/>
      <c r="CYO112" s="386"/>
      <c r="CYP112" s="386"/>
      <c r="CYQ112" s="386"/>
      <c r="CYR112" s="386"/>
      <c r="CYS112" s="386"/>
      <c r="CYT112" s="386"/>
      <c r="CYU112" s="386"/>
      <c r="CYV112" s="386"/>
      <c r="CYW112" s="386"/>
      <c r="CYX112" s="386"/>
      <c r="CYY112" s="386"/>
      <c r="CYZ112" s="386"/>
      <c r="CZA112" s="386"/>
      <c r="CZB112" s="386"/>
      <c r="CZC112" s="386"/>
      <c r="CZD112" s="386"/>
      <c r="CZE112" s="386"/>
      <c r="CZF112" s="386"/>
      <c r="CZG112" s="386"/>
      <c r="CZH112" s="386"/>
      <c r="CZI112" s="386"/>
      <c r="CZJ112" s="386"/>
      <c r="CZK112" s="386"/>
      <c r="CZL112" s="386"/>
      <c r="CZM112" s="386"/>
      <c r="CZN112" s="386"/>
      <c r="CZO112" s="386"/>
      <c r="CZP112" s="386"/>
      <c r="CZQ112" s="386"/>
      <c r="CZR112" s="386"/>
      <c r="CZS112" s="386"/>
      <c r="CZT112" s="386"/>
      <c r="CZU112" s="386"/>
      <c r="CZV112" s="386"/>
      <c r="CZW112" s="386"/>
      <c r="CZX112" s="386"/>
      <c r="CZY112" s="386"/>
      <c r="CZZ112" s="386"/>
      <c r="DAA112" s="386"/>
      <c r="DAB112" s="386"/>
      <c r="DAC112" s="386"/>
      <c r="DAD112" s="386"/>
      <c r="DAE112" s="386"/>
      <c r="DAF112" s="386"/>
      <c r="DAG112" s="386"/>
      <c r="DAH112" s="386"/>
      <c r="DAI112" s="386"/>
      <c r="DAJ112" s="386"/>
      <c r="DAK112" s="386"/>
      <c r="DAL112" s="386"/>
      <c r="DAM112" s="386"/>
      <c r="DAN112" s="386"/>
      <c r="DAO112" s="386"/>
      <c r="DAP112" s="386"/>
      <c r="DAQ112" s="386"/>
      <c r="DAR112" s="386"/>
      <c r="DAS112" s="386"/>
      <c r="DAT112" s="386"/>
      <c r="DAU112" s="386"/>
      <c r="DAV112" s="386"/>
      <c r="DAW112" s="386"/>
      <c r="DAX112" s="386"/>
      <c r="DAY112" s="386"/>
      <c r="DAZ112" s="386"/>
      <c r="DBA112" s="386"/>
      <c r="DBB112" s="386"/>
      <c r="DBC112" s="386"/>
      <c r="DBD112" s="386"/>
      <c r="DBE112" s="386"/>
      <c r="DBF112" s="386"/>
      <c r="DBG112" s="386"/>
      <c r="DBH112" s="386"/>
      <c r="DBI112" s="386"/>
      <c r="DBJ112" s="386"/>
      <c r="DBK112" s="386"/>
      <c r="DBL112" s="386"/>
      <c r="DBM112" s="386"/>
      <c r="DBN112" s="386"/>
      <c r="DBO112" s="386"/>
      <c r="DBP112" s="386"/>
      <c r="DBQ112" s="386"/>
      <c r="DBR112" s="386"/>
      <c r="DBS112" s="386"/>
      <c r="DBT112" s="386"/>
      <c r="DBU112" s="386"/>
      <c r="DBV112" s="386"/>
      <c r="DBW112" s="386"/>
      <c r="DBX112" s="386"/>
      <c r="DBY112" s="386"/>
      <c r="DBZ112" s="386"/>
      <c r="DCA112" s="386"/>
      <c r="DCB112" s="386"/>
      <c r="DCC112" s="386"/>
      <c r="DCD112" s="386"/>
      <c r="DCE112" s="386"/>
      <c r="DCF112" s="386"/>
      <c r="DCG112" s="386"/>
      <c r="DCH112" s="386"/>
      <c r="DCI112" s="386"/>
      <c r="DCJ112" s="386"/>
      <c r="DCK112" s="386"/>
      <c r="DCL112" s="386"/>
      <c r="DCM112" s="386"/>
      <c r="DCN112" s="386"/>
      <c r="DCO112" s="386"/>
      <c r="DCP112" s="386"/>
      <c r="DCQ112" s="386"/>
      <c r="DCR112" s="386"/>
      <c r="DCS112" s="386"/>
      <c r="DCT112" s="386"/>
      <c r="DCU112" s="386"/>
      <c r="DCV112" s="386"/>
      <c r="DCW112" s="386"/>
      <c r="DCX112" s="386"/>
      <c r="DCY112" s="386"/>
      <c r="DCZ112" s="386"/>
      <c r="DDA112" s="386"/>
      <c r="DDB112" s="386"/>
      <c r="DDC112" s="386"/>
      <c r="DDD112" s="386"/>
      <c r="DDE112" s="386"/>
      <c r="DDF112" s="386"/>
      <c r="DDG112" s="386"/>
      <c r="DDH112" s="386"/>
      <c r="DDI112" s="386"/>
      <c r="DDJ112" s="386"/>
      <c r="DDK112" s="386"/>
      <c r="DDL112" s="386"/>
      <c r="DDM112" s="386"/>
      <c r="DDN112" s="386"/>
      <c r="DDO112" s="386"/>
      <c r="DDP112" s="386"/>
      <c r="DDQ112" s="386"/>
      <c r="DDR112" s="386"/>
      <c r="DDS112" s="386"/>
      <c r="DDT112" s="386"/>
      <c r="DDU112" s="386"/>
      <c r="DDV112" s="386"/>
      <c r="DDW112" s="386"/>
      <c r="DDX112" s="386"/>
      <c r="DDY112" s="386"/>
      <c r="DDZ112" s="386"/>
      <c r="DEA112" s="386"/>
      <c r="DEB112" s="386"/>
      <c r="DEC112" s="386"/>
      <c r="DED112" s="386"/>
      <c r="DEE112" s="386"/>
      <c r="DEF112" s="386"/>
      <c r="DEG112" s="386"/>
      <c r="DEH112" s="386"/>
      <c r="DEI112" s="386"/>
      <c r="DEJ112" s="386"/>
      <c r="DEK112" s="386"/>
      <c r="DEL112" s="386"/>
      <c r="DEM112" s="386"/>
      <c r="DEN112" s="386"/>
      <c r="DEO112" s="386"/>
      <c r="DEP112" s="386"/>
      <c r="DEQ112" s="386"/>
      <c r="DER112" s="386"/>
      <c r="DES112" s="386"/>
      <c r="DET112" s="386"/>
      <c r="DEU112" s="386"/>
      <c r="DEV112" s="386"/>
      <c r="DEW112" s="386"/>
      <c r="DEX112" s="386"/>
      <c r="DEY112" s="386"/>
      <c r="DEZ112" s="386"/>
      <c r="DFA112" s="386"/>
      <c r="DFB112" s="386"/>
      <c r="DFC112" s="386"/>
      <c r="DFD112" s="386"/>
      <c r="DFE112" s="386"/>
      <c r="DFF112" s="386"/>
      <c r="DFG112" s="386"/>
      <c r="DFH112" s="386"/>
      <c r="DFI112" s="386"/>
      <c r="DFJ112" s="386"/>
      <c r="DFK112" s="386"/>
      <c r="DFL112" s="386"/>
      <c r="DFM112" s="386"/>
      <c r="DFN112" s="386"/>
      <c r="DFO112" s="386"/>
      <c r="DFP112" s="386"/>
      <c r="DFQ112" s="386"/>
      <c r="DFR112" s="386"/>
      <c r="DFS112" s="386"/>
      <c r="DFT112" s="386"/>
      <c r="DFU112" s="386"/>
      <c r="DFV112" s="386"/>
      <c r="DFW112" s="386"/>
      <c r="DFX112" s="386"/>
      <c r="DFY112" s="386"/>
      <c r="DFZ112" s="386"/>
      <c r="DGA112" s="386"/>
      <c r="DGB112" s="386"/>
      <c r="DGC112" s="386"/>
      <c r="DGD112" s="386"/>
      <c r="DGE112" s="386"/>
      <c r="DGF112" s="386"/>
      <c r="DGG112" s="386"/>
      <c r="DGH112" s="386"/>
      <c r="DGI112" s="386"/>
      <c r="DGJ112" s="386"/>
      <c r="DGK112" s="386"/>
      <c r="DGL112" s="386"/>
      <c r="DGM112" s="386"/>
      <c r="DGN112" s="386"/>
      <c r="DGO112" s="386"/>
      <c r="DGP112" s="386"/>
      <c r="DGQ112" s="386"/>
      <c r="DGR112" s="386"/>
      <c r="DGS112" s="386"/>
      <c r="DGT112" s="386"/>
      <c r="DGU112" s="386"/>
      <c r="DGV112" s="386"/>
      <c r="DGW112" s="386"/>
      <c r="DGX112" s="386"/>
      <c r="DGY112" s="386"/>
      <c r="DGZ112" s="386"/>
      <c r="DHA112" s="386"/>
      <c r="DHB112" s="386"/>
      <c r="DHC112" s="386"/>
      <c r="DHD112" s="386"/>
      <c r="DHE112" s="386"/>
      <c r="DHF112" s="386"/>
      <c r="DHG112" s="386"/>
      <c r="DHH112" s="386"/>
      <c r="DHI112" s="386"/>
      <c r="DHJ112" s="386"/>
      <c r="DHK112" s="386"/>
      <c r="DHL112" s="386"/>
      <c r="DHM112" s="386"/>
      <c r="DHN112" s="386"/>
      <c r="DHO112" s="386"/>
      <c r="DHP112" s="386"/>
      <c r="DHQ112" s="386"/>
      <c r="DHR112" s="386"/>
      <c r="DHS112" s="386"/>
      <c r="DHT112" s="386"/>
      <c r="DHU112" s="386"/>
      <c r="DHV112" s="386"/>
      <c r="DHW112" s="386"/>
      <c r="DHX112" s="386"/>
      <c r="DHY112" s="386"/>
      <c r="DHZ112" s="386"/>
      <c r="DIA112" s="386"/>
      <c r="DIB112" s="386"/>
      <c r="DIC112" s="386"/>
      <c r="DID112" s="386"/>
      <c r="DIE112" s="386"/>
      <c r="DIF112" s="386"/>
      <c r="DIG112" s="386"/>
      <c r="DIH112" s="386"/>
      <c r="DII112" s="386"/>
      <c r="DIJ112" s="386"/>
      <c r="DIK112" s="386"/>
      <c r="DIL112" s="386"/>
      <c r="DIM112" s="386"/>
      <c r="DIN112" s="386"/>
      <c r="DIO112" s="386"/>
      <c r="DIP112" s="386"/>
      <c r="DIQ112" s="386"/>
      <c r="DIR112" s="386"/>
      <c r="DIS112" s="386"/>
      <c r="DIT112" s="386"/>
      <c r="DIU112" s="386"/>
      <c r="DIV112" s="386"/>
      <c r="DIW112" s="386"/>
      <c r="DIX112" s="386"/>
      <c r="DIY112" s="386"/>
      <c r="DIZ112" s="386"/>
      <c r="DJA112" s="386"/>
      <c r="DJB112" s="386"/>
      <c r="DJC112" s="386"/>
      <c r="DJD112" s="386"/>
      <c r="DJE112" s="386"/>
      <c r="DJF112" s="386"/>
      <c r="DJG112" s="386"/>
      <c r="DJH112" s="386"/>
      <c r="DJI112" s="386"/>
      <c r="DJJ112" s="386"/>
      <c r="DJK112" s="386"/>
      <c r="DJL112" s="386"/>
      <c r="DJM112" s="386"/>
      <c r="DJN112" s="386"/>
      <c r="DJO112" s="386"/>
      <c r="DJP112" s="386"/>
      <c r="DJQ112" s="386"/>
      <c r="DJR112" s="386"/>
      <c r="DJS112" s="386"/>
      <c r="DJT112" s="386"/>
      <c r="DJU112" s="386"/>
      <c r="DJV112" s="386"/>
      <c r="DJW112" s="386"/>
      <c r="DJX112" s="386"/>
      <c r="DJY112" s="386"/>
      <c r="DJZ112" s="386"/>
      <c r="DKA112" s="386"/>
      <c r="DKB112" s="386"/>
      <c r="DKC112" s="386"/>
      <c r="DKD112" s="386"/>
      <c r="DKE112" s="386"/>
      <c r="DKF112" s="386"/>
      <c r="DKG112" s="386"/>
      <c r="DKH112" s="386"/>
      <c r="DKI112" s="386"/>
      <c r="DKJ112" s="386"/>
      <c r="DKK112" s="386"/>
      <c r="DKL112" s="386"/>
      <c r="DKM112" s="386"/>
      <c r="DKN112" s="386"/>
      <c r="DKO112" s="386"/>
      <c r="DKP112" s="386"/>
      <c r="DKQ112" s="386"/>
      <c r="DKR112" s="386"/>
      <c r="DKS112" s="386"/>
      <c r="DKT112" s="386"/>
      <c r="DKU112" s="386"/>
      <c r="DKV112" s="386"/>
      <c r="DKW112" s="386"/>
      <c r="DKX112" s="386"/>
      <c r="DKY112" s="386"/>
      <c r="DKZ112" s="386"/>
      <c r="DLA112" s="386"/>
      <c r="DLB112" s="386"/>
      <c r="DLC112" s="386"/>
      <c r="DLD112" s="386"/>
      <c r="DLE112" s="386"/>
      <c r="DLF112" s="386"/>
      <c r="DLG112" s="386"/>
      <c r="DLH112" s="386"/>
      <c r="DLI112" s="386"/>
      <c r="DLJ112" s="386"/>
      <c r="DLK112" s="386"/>
      <c r="DLL112" s="386"/>
      <c r="DLM112" s="386"/>
      <c r="DLN112" s="386"/>
      <c r="DLO112" s="386"/>
      <c r="DLP112" s="386"/>
      <c r="DLQ112" s="386"/>
      <c r="DLR112" s="386"/>
      <c r="DLS112" s="386"/>
      <c r="DLT112" s="386"/>
      <c r="DLU112" s="386"/>
      <c r="DLV112" s="386"/>
      <c r="DLW112" s="386"/>
      <c r="DLX112" s="386"/>
      <c r="DLY112" s="386"/>
      <c r="DLZ112" s="386"/>
      <c r="DMA112" s="386"/>
      <c r="DMB112" s="386"/>
      <c r="DMC112" s="386"/>
      <c r="DMD112" s="386"/>
      <c r="DME112" s="386"/>
      <c r="DMF112" s="386"/>
      <c r="DMG112" s="386"/>
      <c r="DMH112" s="386"/>
      <c r="DMI112" s="386"/>
      <c r="DMJ112" s="386"/>
      <c r="DMK112" s="386"/>
      <c r="DML112" s="386"/>
      <c r="DMM112" s="386"/>
      <c r="DMN112" s="386"/>
      <c r="DMO112" s="386"/>
      <c r="DMP112" s="386"/>
      <c r="DMQ112" s="386"/>
      <c r="DMR112" s="386"/>
      <c r="DMS112" s="386"/>
      <c r="DMT112" s="386"/>
      <c r="DMU112" s="386"/>
      <c r="DMV112" s="386"/>
      <c r="DMW112" s="386"/>
      <c r="DMX112" s="386"/>
      <c r="DMY112" s="386"/>
      <c r="DMZ112" s="386"/>
      <c r="DNA112" s="386"/>
      <c r="DNB112" s="386"/>
      <c r="DNC112" s="386"/>
      <c r="DND112" s="386"/>
      <c r="DNE112" s="386"/>
      <c r="DNF112" s="386"/>
      <c r="DNG112" s="386"/>
      <c r="DNH112" s="386"/>
      <c r="DNI112" s="386"/>
      <c r="DNJ112" s="386"/>
      <c r="DNK112" s="386"/>
      <c r="DNL112" s="386"/>
      <c r="DNM112" s="386"/>
      <c r="DNN112" s="386"/>
      <c r="DNO112" s="386"/>
      <c r="DNP112" s="386"/>
      <c r="DNQ112" s="386"/>
      <c r="DNR112" s="386"/>
      <c r="DNS112" s="386"/>
      <c r="DNT112" s="386"/>
      <c r="DNU112" s="386"/>
      <c r="DNV112" s="386"/>
      <c r="DNW112" s="386"/>
      <c r="DNX112" s="386"/>
      <c r="DNY112" s="386"/>
      <c r="DNZ112" s="386"/>
      <c r="DOA112" s="386"/>
      <c r="DOB112" s="386"/>
      <c r="DOC112" s="386"/>
      <c r="DOD112" s="386"/>
      <c r="DOE112" s="386"/>
      <c r="DOF112" s="386"/>
      <c r="DOG112" s="386"/>
      <c r="DOH112" s="386"/>
      <c r="DOI112" s="386"/>
      <c r="DOJ112" s="386"/>
      <c r="DOK112" s="386"/>
      <c r="DOL112" s="386"/>
      <c r="DOM112" s="386"/>
      <c r="DON112" s="386"/>
      <c r="DOO112" s="386"/>
      <c r="DOP112" s="386"/>
      <c r="DOQ112" s="386"/>
      <c r="DOR112" s="386"/>
      <c r="DOS112" s="386"/>
      <c r="DOT112" s="386"/>
      <c r="DOU112" s="386"/>
      <c r="DOV112" s="386"/>
      <c r="DOW112" s="386"/>
      <c r="DOX112" s="386"/>
      <c r="DOY112" s="386"/>
      <c r="DOZ112" s="386"/>
      <c r="DPA112" s="386"/>
      <c r="DPB112" s="386"/>
      <c r="DPC112" s="386"/>
      <c r="DPD112" s="386"/>
      <c r="DPE112" s="386"/>
      <c r="DPF112" s="386"/>
      <c r="DPG112" s="386"/>
      <c r="DPH112" s="386"/>
      <c r="DPI112" s="386"/>
      <c r="DPJ112" s="386"/>
      <c r="DPK112" s="386"/>
      <c r="DPL112" s="386"/>
      <c r="DPM112" s="386"/>
      <c r="DPN112" s="386"/>
      <c r="DPO112" s="386"/>
      <c r="DPP112" s="386"/>
      <c r="DPQ112" s="386"/>
      <c r="DPR112" s="386"/>
      <c r="DPS112" s="386"/>
      <c r="DPT112" s="386"/>
      <c r="DPU112" s="386"/>
      <c r="DPV112" s="386"/>
      <c r="DPW112" s="386"/>
      <c r="DPX112" s="386"/>
      <c r="DPY112" s="386"/>
      <c r="DPZ112" s="386"/>
      <c r="DQA112" s="386"/>
      <c r="DQB112" s="386"/>
      <c r="DQC112" s="386"/>
      <c r="DQD112" s="386"/>
      <c r="DQE112" s="386"/>
      <c r="DQF112" s="386"/>
      <c r="DQG112" s="386"/>
      <c r="DQH112" s="386"/>
      <c r="DQI112" s="386"/>
      <c r="DQJ112" s="386"/>
      <c r="DQK112" s="386"/>
      <c r="DQL112" s="386"/>
      <c r="DQM112" s="386"/>
      <c r="DQN112" s="386"/>
      <c r="DQO112" s="386"/>
      <c r="DQP112" s="386"/>
      <c r="DQQ112" s="386"/>
      <c r="DQR112" s="386"/>
      <c r="DQS112" s="386"/>
      <c r="DQT112" s="386"/>
      <c r="DQU112" s="386"/>
      <c r="DQV112" s="386"/>
      <c r="DQW112" s="386"/>
      <c r="DQX112" s="386"/>
      <c r="DQY112" s="386"/>
      <c r="DQZ112" s="386"/>
      <c r="DRA112" s="386"/>
      <c r="DRB112" s="386"/>
      <c r="DRC112" s="386"/>
      <c r="DRD112" s="386"/>
      <c r="DRE112" s="386"/>
      <c r="DRF112" s="386"/>
      <c r="DRG112" s="386"/>
      <c r="DRH112" s="386"/>
      <c r="DRI112" s="386"/>
      <c r="DRJ112" s="386"/>
      <c r="DRK112" s="386"/>
      <c r="DRL112" s="386"/>
      <c r="DRM112" s="386"/>
    </row>
    <row r="113" spans="1:3185" ht="30" customHeight="1">
      <c r="A113" s="387"/>
      <c r="B113" s="388"/>
      <c r="C113" s="389"/>
      <c r="D113" s="390"/>
      <c r="E113" s="391"/>
      <c r="F113" s="421"/>
      <c r="G113" s="396"/>
      <c r="H113" s="392"/>
      <c r="I113" s="422"/>
      <c r="J113" s="394"/>
      <c r="K113" s="411"/>
    </row>
    <row r="114" spans="1:3185" ht="30" customHeight="1">
      <c r="A114" s="387"/>
      <c r="B114" s="388"/>
      <c r="C114" s="389"/>
      <c r="D114" s="390"/>
      <c r="E114" s="391"/>
      <c r="F114" s="421"/>
      <c r="G114" s="396"/>
      <c r="H114" s="392"/>
      <c r="I114" s="422"/>
      <c r="J114" s="394"/>
      <c r="K114" s="411"/>
      <c r="M114" s="408"/>
      <c r="O114" s="386"/>
      <c r="P114" s="386"/>
      <c r="Q114" s="386"/>
      <c r="R114" s="386"/>
      <c r="S114" s="386"/>
      <c r="T114" s="386"/>
      <c r="U114" s="386"/>
      <c r="V114" s="386"/>
      <c r="W114" s="386"/>
      <c r="X114" s="386"/>
      <c r="Y114" s="386"/>
      <c r="Z114" s="386"/>
      <c r="AA114" s="386"/>
      <c r="AB114" s="386"/>
      <c r="AC114" s="386"/>
      <c r="AD114" s="386"/>
      <c r="AE114" s="386"/>
      <c r="AF114" s="386"/>
      <c r="AG114" s="386"/>
      <c r="AH114" s="386"/>
      <c r="AI114" s="386"/>
      <c r="AJ114" s="386"/>
      <c r="AK114" s="386"/>
      <c r="AL114" s="386"/>
      <c r="AM114" s="386"/>
      <c r="AN114" s="386"/>
      <c r="AO114" s="386"/>
      <c r="AP114" s="386"/>
      <c r="AQ114" s="386"/>
      <c r="AR114" s="386"/>
      <c r="AS114" s="386"/>
      <c r="AT114" s="386"/>
      <c r="AU114" s="386"/>
      <c r="AV114" s="386"/>
      <c r="AW114" s="386"/>
      <c r="AX114" s="386"/>
      <c r="AY114" s="386"/>
      <c r="AZ114" s="386"/>
      <c r="BA114" s="386"/>
      <c r="BB114" s="386"/>
      <c r="BC114" s="386"/>
      <c r="BD114" s="386"/>
      <c r="BE114" s="386"/>
      <c r="BF114" s="386"/>
      <c r="BG114" s="386"/>
      <c r="BH114" s="386"/>
      <c r="BI114" s="386"/>
      <c r="BJ114" s="386"/>
      <c r="BK114" s="386"/>
      <c r="BL114" s="386"/>
      <c r="BM114" s="386"/>
      <c r="BN114" s="386"/>
      <c r="BO114" s="386"/>
      <c r="BP114" s="386"/>
      <c r="BQ114" s="386"/>
      <c r="BR114" s="386"/>
      <c r="BS114" s="386"/>
      <c r="BT114" s="386"/>
      <c r="BU114" s="386"/>
      <c r="BV114" s="386"/>
      <c r="BW114" s="386"/>
      <c r="BX114" s="386"/>
      <c r="BY114" s="386"/>
      <c r="BZ114" s="386"/>
      <c r="CA114" s="386"/>
      <c r="CB114" s="386"/>
      <c r="CC114" s="386"/>
      <c r="CD114" s="386"/>
      <c r="CE114" s="386"/>
      <c r="CF114" s="386"/>
      <c r="CG114" s="386"/>
      <c r="CH114" s="386"/>
      <c r="CI114" s="386"/>
      <c r="CJ114" s="386"/>
      <c r="CK114" s="386"/>
      <c r="CL114" s="386"/>
      <c r="CM114" s="386"/>
      <c r="CN114" s="386"/>
      <c r="CO114" s="386"/>
      <c r="CP114" s="386"/>
      <c r="CQ114" s="386"/>
      <c r="CR114" s="386"/>
      <c r="CS114" s="386"/>
      <c r="CT114" s="386"/>
      <c r="CU114" s="386"/>
      <c r="CV114" s="386"/>
      <c r="CW114" s="386"/>
      <c r="CX114" s="386"/>
      <c r="CY114" s="386"/>
      <c r="CZ114" s="386"/>
      <c r="DA114" s="386"/>
      <c r="DB114" s="386"/>
      <c r="DC114" s="386"/>
      <c r="DD114" s="386"/>
      <c r="DE114" s="386"/>
      <c r="DF114" s="386"/>
      <c r="DG114" s="386"/>
      <c r="DH114" s="386"/>
      <c r="DI114" s="386"/>
      <c r="DJ114" s="386"/>
      <c r="DK114" s="386"/>
      <c r="DL114" s="386"/>
      <c r="DM114" s="386"/>
      <c r="DN114" s="386"/>
      <c r="DO114" s="386"/>
      <c r="DP114" s="386"/>
      <c r="DQ114" s="386"/>
      <c r="DR114" s="386"/>
      <c r="DS114" s="386"/>
      <c r="DT114" s="386"/>
      <c r="DU114" s="386"/>
      <c r="DV114" s="386"/>
      <c r="DW114" s="386"/>
      <c r="DX114" s="386"/>
      <c r="DY114" s="386"/>
      <c r="DZ114" s="386"/>
      <c r="EA114" s="386"/>
      <c r="EB114" s="386"/>
      <c r="EC114" s="386"/>
      <c r="ED114" s="386"/>
      <c r="EE114" s="386"/>
      <c r="EF114" s="386"/>
      <c r="EG114" s="386"/>
      <c r="EH114" s="386"/>
      <c r="EI114" s="386"/>
      <c r="EJ114" s="386"/>
      <c r="EK114" s="386"/>
      <c r="EL114" s="386"/>
      <c r="EM114" s="386"/>
      <c r="EN114" s="386"/>
      <c r="EO114" s="386"/>
      <c r="EP114" s="386"/>
      <c r="EQ114" s="386"/>
      <c r="ER114" s="386"/>
      <c r="ES114" s="386"/>
      <c r="ET114" s="386"/>
      <c r="EU114" s="386"/>
      <c r="EV114" s="386"/>
      <c r="EW114" s="386"/>
      <c r="EX114" s="386"/>
      <c r="EY114" s="386"/>
      <c r="EZ114" s="386"/>
      <c r="FA114" s="386"/>
      <c r="FB114" s="386"/>
      <c r="FC114" s="386"/>
      <c r="FD114" s="386"/>
      <c r="FE114" s="386"/>
      <c r="FF114" s="386"/>
      <c r="FG114" s="386"/>
      <c r="FH114" s="386"/>
      <c r="FI114" s="386"/>
      <c r="FJ114" s="386"/>
      <c r="FK114" s="386"/>
      <c r="FL114" s="386"/>
      <c r="FM114" s="386"/>
      <c r="FN114" s="386"/>
      <c r="FO114" s="386"/>
      <c r="FP114" s="386"/>
      <c r="FQ114" s="386"/>
      <c r="FR114" s="386"/>
      <c r="FS114" s="386"/>
      <c r="FT114" s="386"/>
      <c r="FU114" s="386"/>
      <c r="FV114" s="386"/>
      <c r="FW114" s="386"/>
      <c r="FX114" s="386"/>
      <c r="FY114" s="386"/>
      <c r="FZ114" s="386"/>
      <c r="GA114" s="386"/>
      <c r="GB114" s="386"/>
      <c r="GC114" s="386"/>
      <c r="GD114" s="386"/>
      <c r="GE114" s="386"/>
      <c r="GF114" s="386"/>
      <c r="GG114" s="386"/>
      <c r="GH114" s="386"/>
      <c r="GI114" s="386"/>
      <c r="GJ114" s="386"/>
      <c r="GK114" s="386"/>
      <c r="GL114" s="386"/>
      <c r="GM114" s="386"/>
      <c r="GN114" s="386"/>
      <c r="GO114" s="386"/>
      <c r="GP114" s="386"/>
      <c r="GQ114" s="386"/>
      <c r="GR114" s="386"/>
      <c r="GS114" s="386"/>
      <c r="GT114" s="386"/>
      <c r="GU114" s="386"/>
      <c r="GV114" s="386"/>
      <c r="GW114" s="386"/>
      <c r="GX114" s="386"/>
      <c r="GY114" s="386"/>
      <c r="GZ114" s="386"/>
      <c r="HA114" s="386"/>
      <c r="HB114" s="386"/>
      <c r="HC114" s="386"/>
      <c r="HD114" s="386"/>
      <c r="HE114" s="386"/>
      <c r="HF114" s="386"/>
      <c r="HG114" s="386"/>
      <c r="HH114" s="386"/>
      <c r="HI114" s="386"/>
      <c r="HJ114" s="386"/>
      <c r="HK114" s="386"/>
      <c r="HL114" s="386"/>
      <c r="HM114" s="386"/>
      <c r="HN114" s="386"/>
      <c r="HO114" s="386"/>
      <c r="HP114" s="386"/>
      <c r="HQ114" s="386"/>
      <c r="HR114" s="386"/>
      <c r="HS114" s="386"/>
      <c r="HT114" s="386"/>
      <c r="HU114" s="386"/>
      <c r="HV114" s="386"/>
      <c r="HW114" s="386"/>
      <c r="HX114" s="386"/>
      <c r="HY114" s="386"/>
      <c r="HZ114" s="386"/>
      <c r="IA114" s="386"/>
      <c r="IB114" s="386"/>
      <c r="IC114" s="386"/>
      <c r="ID114" s="386"/>
      <c r="IE114" s="386"/>
      <c r="IF114" s="386"/>
      <c r="IG114" s="386"/>
      <c r="IH114" s="386"/>
      <c r="II114" s="386"/>
      <c r="IJ114" s="386"/>
      <c r="IK114" s="386"/>
      <c r="IL114" s="386"/>
      <c r="IM114" s="386"/>
      <c r="IN114" s="386"/>
      <c r="IO114" s="386"/>
      <c r="IP114" s="386"/>
      <c r="IQ114" s="386"/>
      <c r="IR114" s="386"/>
      <c r="IS114" s="386"/>
      <c r="IT114" s="386"/>
      <c r="IU114" s="386"/>
      <c r="IV114" s="386"/>
      <c r="IW114" s="386"/>
      <c r="IX114" s="386"/>
      <c r="IY114" s="386"/>
      <c r="IZ114" s="386"/>
      <c r="JA114" s="386"/>
      <c r="JB114" s="386"/>
      <c r="JC114" s="386"/>
      <c r="JD114" s="386"/>
      <c r="JE114" s="386"/>
      <c r="JF114" s="386"/>
      <c r="JG114" s="386"/>
      <c r="JH114" s="386"/>
      <c r="JI114" s="386"/>
      <c r="JJ114" s="386"/>
      <c r="JK114" s="386"/>
      <c r="JL114" s="386"/>
      <c r="JM114" s="386"/>
      <c r="JN114" s="386"/>
      <c r="JO114" s="386"/>
      <c r="JP114" s="386"/>
      <c r="JQ114" s="386"/>
      <c r="JR114" s="386"/>
      <c r="JS114" s="386"/>
      <c r="JT114" s="386"/>
      <c r="JU114" s="386"/>
      <c r="JV114" s="386"/>
      <c r="JW114" s="386"/>
      <c r="JX114" s="386"/>
      <c r="JY114" s="386"/>
      <c r="JZ114" s="386"/>
      <c r="KA114" s="386"/>
      <c r="KB114" s="386"/>
      <c r="KC114" s="386"/>
      <c r="KD114" s="386"/>
      <c r="KE114" s="386"/>
      <c r="KF114" s="386"/>
      <c r="KG114" s="386"/>
      <c r="KH114" s="386"/>
      <c r="KI114" s="386"/>
      <c r="KJ114" s="386"/>
      <c r="KK114" s="386"/>
      <c r="KL114" s="386"/>
      <c r="KM114" s="386"/>
      <c r="KN114" s="386"/>
      <c r="KO114" s="386"/>
      <c r="KP114" s="386"/>
      <c r="KQ114" s="386"/>
      <c r="KR114" s="386"/>
      <c r="KS114" s="386"/>
      <c r="KT114" s="386"/>
      <c r="KU114" s="386"/>
      <c r="KV114" s="386"/>
      <c r="KW114" s="386"/>
      <c r="KX114" s="386"/>
      <c r="KY114" s="386"/>
      <c r="KZ114" s="386"/>
      <c r="LA114" s="386"/>
      <c r="LB114" s="386"/>
      <c r="LC114" s="386"/>
      <c r="LD114" s="386"/>
      <c r="LE114" s="386"/>
      <c r="LF114" s="386"/>
      <c r="LG114" s="386"/>
      <c r="LH114" s="386"/>
      <c r="LI114" s="386"/>
      <c r="LJ114" s="386"/>
      <c r="LK114" s="386"/>
      <c r="LL114" s="386"/>
      <c r="LM114" s="386"/>
      <c r="LN114" s="386"/>
      <c r="LO114" s="386"/>
      <c r="LP114" s="386"/>
      <c r="LQ114" s="386"/>
      <c r="LR114" s="386"/>
      <c r="LS114" s="386"/>
      <c r="LT114" s="386"/>
      <c r="LU114" s="386"/>
      <c r="LV114" s="386"/>
      <c r="LW114" s="386"/>
      <c r="LX114" s="386"/>
      <c r="LY114" s="386"/>
      <c r="LZ114" s="386"/>
      <c r="MA114" s="386"/>
      <c r="MB114" s="386"/>
      <c r="MC114" s="386"/>
      <c r="MD114" s="386"/>
      <c r="ME114" s="386"/>
      <c r="MF114" s="386"/>
      <c r="MG114" s="386"/>
      <c r="MH114" s="386"/>
      <c r="MI114" s="386"/>
      <c r="MJ114" s="386"/>
      <c r="MK114" s="386"/>
      <c r="ML114" s="386"/>
      <c r="MM114" s="386"/>
      <c r="MN114" s="386"/>
      <c r="MO114" s="386"/>
      <c r="MP114" s="386"/>
      <c r="MQ114" s="386"/>
      <c r="MR114" s="386"/>
      <c r="MS114" s="386"/>
      <c r="MT114" s="386"/>
      <c r="MU114" s="386"/>
      <c r="MV114" s="386"/>
      <c r="MW114" s="386"/>
      <c r="MX114" s="386"/>
      <c r="MY114" s="386"/>
      <c r="MZ114" s="386"/>
      <c r="NA114" s="386"/>
      <c r="NB114" s="386"/>
      <c r="NC114" s="386"/>
      <c r="ND114" s="386"/>
      <c r="NE114" s="386"/>
      <c r="NF114" s="386"/>
      <c r="NG114" s="386"/>
      <c r="NH114" s="386"/>
      <c r="NI114" s="386"/>
      <c r="NJ114" s="386"/>
      <c r="NK114" s="386"/>
      <c r="NL114" s="386"/>
      <c r="NM114" s="386"/>
      <c r="NN114" s="386"/>
      <c r="NO114" s="386"/>
      <c r="NP114" s="386"/>
      <c r="NQ114" s="386"/>
      <c r="NR114" s="386"/>
      <c r="NS114" s="386"/>
      <c r="NT114" s="386"/>
      <c r="NU114" s="386"/>
      <c r="NV114" s="386"/>
      <c r="NW114" s="386"/>
      <c r="NX114" s="386"/>
      <c r="NY114" s="386"/>
      <c r="NZ114" s="386"/>
      <c r="OA114" s="386"/>
      <c r="OB114" s="386"/>
      <c r="OC114" s="386"/>
      <c r="OD114" s="386"/>
      <c r="OE114" s="386"/>
      <c r="OF114" s="386"/>
      <c r="OG114" s="386"/>
      <c r="OH114" s="386"/>
      <c r="OI114" s="386"/>
      <c r="OJ114" s="386"/>
      <c r="OK114" s="386"/>
      <c r="OL114" s="386"/>
      <c r="OM114" s="386"/>
      <c r="ON114" s="386"/>
      <c r="OO114" s="386"/>
      <c r="OP114" s="386"/>
      <c r="OQ114" s="386"/>
      <c r="OR114" s="386"/>
      <c r="OS114" s="386"/>
      <c r="OT114" s="386"/>
      <c r="OU114" s="386"/>
      <c r="OV114" s="386"/>
      <c r="OW114" s="386"/>
      <c r="OX114" s="386"/>
      <c r="OY114" s="386"/>
      <c r="OZ114" s="386"/>
      <c r="PA114" s="386"/>
      <c r="PB114" s="386"/>
      <c r="PC114" s="386"/>
      <c r="PD114" s="386"/>
      <c r="PE114" s="386"/>
      <c r="PF114" s="386"/>
      <c r="PG114" s="386"/>
      <c r="PH114" s="386"/>
      <c r="PI114" s="386"/>
      <c r="PJ114" s="386"/>
      <c r="PK114" s="386"/>
      <c r="PL114" s="386"/>
      <c r="PM114" s="386"/>
      <c r="PN114" s="386"/>
      <c r="PO114" s="386"/>
      <c r="PP114" s="386"/>
      <c r="PQ114" s="386"/>
      <c r="PR114" s="386"/>
      <c r="PS114" s="386"/>
      <c r="PT114" s="386"/>
      <c r="PU114" s="386"/>
      <c r="PV114" s="386"/>
      <c r="PW114" s="386"/>
      <c r="PX114" s="386"/>
      <c r="PY114" s="386"/>
      <c r="PZ114" s="386"/>
      <c r="QA114" s="386"/>
      <c r="QB114" s="386"/>
      <c r="QC114" s="386"/>
      <c r="QD114" s="386"/>
      <c r="QE114" s="386"/>
      <c r="QF114" s="386"/>
      <c r="QG114" s="386"/>
      <c r="QH114" s="386"/>
      <c r="QI114" s="386"/>
      <c r="QJ114" s="386"/>
      <c r="QK114" s="386"/>
      <c r="QL114" s="386"/>
      <c r="QM114" s="386"/>
      <c r="QN114" s="386"/>
      <c r="QO114" s="386"/>
      <c r="QP114" s="386"/>
      <c r="QQ114" s="386"/>
      <c r="QR114" s="386"/>
      <c r="QS114" s="386"/>
      <c r="QT114" s="386"/>
      <c r="QU114" s="386"/>
      <c r="QV114" s="386"/>
      <c r="QW114" s="386"/>
      <c r="QX114" s="386"/>
      <c r="QY114" s="386"/>
      <c r="QZ114" s="386"/>
      <c r="RA114" s="386"/>
      <c r="RB114" s="386"/>
      <c r="RC114" s="386"/>
      <c r="RD114" s="386"/>
      <c r="RE114" s="386"/>
      <c r="RF114" s="386"/>
      <c r="RG114" s="386"/>
      <c r="RH114" s="386"/>
      <c r="RI114" s="386"/>
      <c r="RJ114" s="386"/>
      <c r="RK114" s="386"/>
      <c r="RL114" s="386"/>
      <c r="RM114" s="386"/>
      <c r="RN114" s="386"/>
      <c r="RO114" s="386"/>
      <c r="RP114" s="386"/>
      <c r="RQ114" s="386"/>
      <c r="RR114" s="386"/>
      <c r="RS114" s="386"/>
      <c r="RT114" s="386"/>
      <c r="RU114" s="386"/>
      <c r="RV114" s="386"/>
      <c r="RW114" s="386"/>
      <c r="RX114" s="386"/>
      <c r="RY114" s="386"/>
      <c r="RZ114" s="386"/>
      <c r="SA114" s="386"/>
      <c r="SB114" s="386"/>
      <c r="SC114" s="386"/>
      <c r="SD114" s="386"/>
      <c r="SE114" s="386"/>
      <c r="SF114" s="386"/>
      <c r="SG114" s="386"/>
      <c r="SH114" s="386"/>
      <c r="SI114" s="386"/>
      <c r="SJ114" s="386"/>
      <c r="SK114" s="386"/>
      <c r="SL114" s="386"/>
      <c r="SM114" s="386"/>
      <c r="SN114" s="386"/>
      <c r="SO114" s="386"/>
      <c r="SP114" s="386"/>
      <c r="SQ114" s="386"/>
      <c r="SR114" s="386"/>
      <c r="SS114" s="386"/>
      <c r="ST114" s="386"/>
      <c r="SU114" s="386"/>
      <c r="SV114" s="386"/>
      <c r="SW114" s="386"/>
      <c r="SX114" s="386"/>
      <c r="SY114" s="386"/>
      <c r="SZ114" s="386"/>
      <c r="TA114" s="386"/>
      <c r="TB114" s="386"/>
      <c r="TC114" s="386"/>
      <c r="TD114" s="386"/>
      <c r="TE114" s="386"/>
      <c r="TF114" s="386"/>
      <c r="TG114" s="386"/>
      <c r="TH114" s="386"/>
      <c r="TI114" s="386"/>
      <c r="TJ114" s="386"/>
      <c r="TK114" s="386"/>
      <c r="TL114" s="386"/>
      <c r="TM114" s="386"/>
      <c r="TN114" s="386"/>
      <c r="TO114" s="386"/>
      <c r="TP114" s="386"/>
      <c r="TQ114" s="386"/>
      <c r="TR114" s="386"/>
      <c r="TS114" s="386"/>
      <c r="TT114" s="386"/>
      <c r="TU114" s="386"/>
      <c r="TV114" s="386"/>
      <c r="TW114" s="386"/>
      <c r="TX114" s="386"/>
      <c r="TY114" s="386"/>
      <c r="TZ114" s="386"/>
      <c r="UA114" s="386"/>
      <c r="UB114" s="386"/>
      <c r="UC114" s="386"/>
      <c r="UD114" s="386"/>
      <c r="UE114" s="386"/>
      <c r="UF114" s="386"/>
      <c r="UG114" s="386"/>
      <c r="UH114" s="386"/>
      <c r="UI114" s="386"/>
      <c r="UJ114" s="386"/>
      <c r="UK114" s="386"/>
      <c r="UL114" s="386"/>
      <c r="UM114" s="386"/>
      <c r="UN114" s="386"/>
      <c r="UO114" s="386"/>
      <c r="UP114" s="386"/>
      <c r="UQ114" s="386"/>
      <c r="UR114" s="386"/>
      <c r="US114" s="386"/>
      <c r="UT114" s="386"/>
      <c r="UU114" s="386"/>
      <c r="UV114" s="386"/>
      <c r="UW114" s="386"/>
      <c r="UX114" s="386"/>
      <c r="UY114" s="386"/>
      <c r="UZ114" s="386"/>
      <c r="VA114" s="386"/>
      <c r="VB114" s="386"/>
      <c r="VC114" s="386"/>
      <c r="VD114" s="386"/>
      <c r="VE114" s="386"/>
      <c r="VF114" s="386"/>
      <c r="VG114" s="386"/>
      <c r="VH114" s="386"/>
      <c r="VI114" s="386"/>
      <c r="VJ114" s="386"/>
      <c r="VK114" s="386"/>
      <c r="VL114" s="386"/>
      <c r="VM114" s="386"/>
      <c r="VN114" s="386"/>
      <c r="VO114" s="386"/>
      <c r="VP114" s="386"/>
      <c r="VQ114" s="386"/>
      <c r="VR114" s="386"/>
      <c r="VS114" s="386"/>
      <c r="VT114" s="386"/>
      <c r="VU114" s="386"/>
      <c r="VV114" s="386"/>
      <c r="VW114" s="386"/>
      <c r="VX114" s="386"/>
      <c r="VY114" s="386"/>
      <c r="VZ114" s="386"/>
      <c r="WA114" s="386"/>
      <c r="WB114" s="386"/>
      <c r="WC114" s="386"/>
      <c r="WD114" s="386"/>
      <c r="WE114" s="386"/>
      <c r="WF114" s="386"/>
      <c r="WG114" s="386"/>
      <c r="WH114" s="386"/>
      <c r="WI114" s="386"/>
      <c r="WJ114" s="386"/>
      <c r="WK114" s="386"/>
      <c r="WL114" s="386"/>
      <c r="WM114" s="386"/>
      <c r="WN114" s="386"/>
      <c r="WO114" s="386"/>
      <c r="WP114" s="386"/>
      <c r="WQ114" s="386"/>
      <c r="WR114" s="386"/>
      <c r="WS114" s="386"/>
      <c r="WT114" s="386"/>
      <c r="WU114" s="386"/>
      <c r="WV114" s="386"/>
      <c r="WW114" s="386"/>
      <c r="WX114" s="386"/>
      <c r="WY114" s="386"/>
      <c r="WZ114" s="386"/>
      <c r="XA114" s="386"/>
      <c r="XB114" s="386"/>
      <c r="XC114" s="386"/>
      <c r="XD114" s="386"/>
      <c r="XE114" s="386"/>
      <c r="XF114" s="386"/>
      <c r="XG114" s="386"/>
      <c r="XH114" s="386"/>
      <c r="XI114" s="386"/>
      <c r="XJ114" s="386"/>
      <c r="XK114" s="386"/>
      <c r="XL114" s="386"/>
      <c r="XM114" s="386"/>
      <c r="XN114" s="386"/>
      <c r="XO114" s="386"/>
      <c r="XP114" s="386"/>
      <c r="XQ114" s="386"/>
      <c r="XR114" s="386"/>
      <c r="XS114" s="386"/>
      <c r="XT114" s="386"/>
      <c r="XU114" s="386"/>
      <c r="XV114" s="386"/>
      <c r="XW114" s="386"/>
      <c r="XX114" s="386"/>
      <c r="XY114" s="386"/>
      <c r="XZ114" s="386"/>
      <c r="YA114" s="386"/>
      <c r="YB114" s="386"/>
      <c r="YC114" s="386"/>
      <c r="YD114" s="386"/>
      <c r="YE114" s="386"/>
      <c r="YF114" s="386"/>
      <c r="YG114" s="386"/>
      <c r="YH114" s="386"/>
      <c r="YI114" s="386"/>
      <c r="YJ114" s="386"/>
      <c r="YK114" s="386"/>
      <c r="YL114" s="386"/>
      <c r="YM114" s="386"/>
      <c r="YN114" s="386"/>
      <c r="YO114" s="386"/>
      <c r="YP114" s="386"/>
      <c r="YQ114" s="386"/>
      <c r="YR114" s="386"/>
      <c r="YS114" s="386"/>
      <c r="YT114" s="386"/>
      <c r="YU114" s="386"/>
      <c r="YV114" s="386"/>
      <c r="YW114" s="386"/>
      <c r="YX114" s="386"/>
      <c r="YY114" s="386"/>
      <c r="YZ114" s="386"/>
      <c r="ZA114" s="386"/>
      <c r="ZB114" s="386"/>
      <c r="ZC114" s="386"/>
      <c r="ZD114" s="386"/>
      <c r="ZE114" s="386"/>
      <c r="ZF114" s="386"/>
      <c r="ZG114" s="386"/>
      <c r="ZH114" s="386"/>
      <c r="ZI114" s="386"/>
      <c r="ZJ114" s="386"/>
      <c r="ZK114" s="386"/>
      <c r="ZL114" s="386"/>
      <c r="ZM114" s="386"/>
      <c r="ZN114" s="386"/>
      <c r="ZO114" s="386"/>
      <c r="ZP114" s="386"/>
      <c r="ZQ114" s="386"/>
      <c r="ZR114" s="386"/>
      <c r="ZS114" s="386"/>
      <c r="ZT114" s="386"/>
      <c r="ZU114" s="386"/>
      <c r="ZV114" s="386"/>
      <c r="ZW114" s="386"/>
      <c r="ZX114" s="386"/>
      <c r="ZY114" s="386"/>
      <c r="ZZ114" s="386"/>
      <c r="AAA114" s="386"/>
      <c r="AAB114" s="386"/>
      <c r="AAC114" s="386"/>
      <c r="AAD114" s="386"/>
      <c r="AAE114" s="386"/>
      <c r="AAF114" s="386"/>
      <c r="AAG114" s="386"/>
      <c r="AAH114" s="386"/>
      <c r="AAI114" s="386"/>
      <c r="AAJ114" s="386"/>
      <c r="AAK114" s="386"/>
      <c r="AAL114" s="386"/>
      <c r="AAM114" s="386"/>
      <c r="AAN114" s="386"/>
      <c r="AAO114" s="386"/>
      <c r="AAP114" s="386"/>
      <c r="AAQ114" s="386"/>
      <c r="AAR114" s="386"/>
      <c r="AAS114" s="386"/>
      <c r="AAT114" s="386"/>
      <c r="AAU114" s="386"/>
      <c r="AAV114" s="386"/>
      <c r="AAW114" s="386"/>
      <c r="AAX114" s="386"/>
      <c r="AAY114" s="386"/>
      <c r="AAZ114" s="386"/>
      <c r="ABA114" s="386"/>
      <c r="ABB114" s="386"/>
      <c r="ABC114" s="386"/>
      <c r="ABD114" s="386"/>
      <c r="ABE114" s="386"/>
      <c r="ABF114" s="386"/>
      <c r="ABG114" s="386"/>
      <c r="ABH114" s="386"/>
      <c r="ABI114" s="386"/>
      <c r="ABJ114" s="386"/>
      <c r="ABK114" s="386"/>
      <c r="ABL114" s="386"/>
      <c r="ABM114" s="386"/>
      <c r="ABN114" s="386"/>
      <c r="ABO114" s="386"/>
      <c r="ABP114" s="386"/>
      <c r="ABQ114" s="386"/>
      <c r="ABR114" s="386"/>
      <c r="ABS114" s="386"/>
      <c r="ABT114" s="386"/>
      <c r="ABU114" s="386"/>
      <c r="ABV114" s="386"/>
      <c r="ABW114" s="386"/>
      <c r="ABX114" s="386"/>
      <c r="ABY114" s="386"/>
      <c r="ABZ114" s="386"/>
      <c r="ACA114" s="386"/>
      <c r="ACB114" s="386"/>
      <c r="ACC114" s="386"/>
      <c r="ACD114" s="386"/>
      <c r="ACE114" s="386"/>
      <c r="ACF114" s="386"/>
      <c r="ACG114" s="386"/>
      <c r="ACH114" s="386"/>
      <c r="ACI114" s="386"/>
      <c r="ACJ114" s="386"/>
      <c r="ACK114" s="386"/>
      <c r="ACL114" s="386"/>
      <c r="ACM114" s="386"/>
      <c r="ACN114" s="386"/>
      <c r="ACO114" s="386"/>
      <c r="ACP114" s="386"/>
      <c r="ACQ114" s="386"/>
      <c r="ACR114" s="386"/>
      <c r="ACS114" s="386"/>
      <c r="ACT114" s="386"/>
      <c r="ACU114" s="386"/>
      <c r="ACV114" s="386"/>
      <c r="ACW114" s="386"/>
      <c r="ACX114" s="386"/>
      <c r="ACY114" s="386"/>
      <c r="ACZ114" s="386"/>
      <c r="ADA114" s="386"/>
      <c r="ADB114" s="386"/>
      <c r="ADC114" s="386"/>
      <c r="ADD114" s="386"/>
      <c r="ADE114" s="386"/>
      <c r="ADF114" s="386"/>
      <c r="ADG114" s="386"/>
      <c r="ADH114" s="386"/>
      <c r="ADI114" s="386"/>
      <c r="ADJ114" s="386"/>
      <c r="ADK114" s="386"/>
      <c r="ADL114" s="386"/>
      <c r="ADM114" s="386"/>
      <c r="ADN114" s="386"/>
      <c r="ADO114" s="386"/>
      <c r="ADP114" s="386"/>
      <c r="ADQ114" s="386"/>
      <c r="ADR114" s="386"/>
      <c r="ADS114" s="386"/>
      <c r="ADT114" s="386"/>
      <c r="ADU114" s="386"/>
      <c r="ADV114" s="386"/>
      <c r="ADW114" s="386"/>
      <c r="ADX114" s="386"/>
      <c r="ADY114" s="386"/>
      <c r="ADZ114" s="386"/>
      <c r="AEA114" s="386"/>
      <c r="AEB114" s="386"/>
      <c r="AEC114" s="386"/>
      <c r="AED114" s="386"/>
      <c r="AEE114" s="386"/>
      <c r="AEF114" s="386"/>
      <c r="AEG114" s="386"/>
      <c r="AEH114" s="386"/>
      <c r="AEI114" s="386"/>
      <c r="AEJ114" s="386"/>
      <c r="AEK114" s="386"/>
      <c r="AEL114" s="386"/>
      <c r="AEM114" s="386"/>
      <c r="AEN114" s="386"/>
      <c r="AEO114" s="386"/>
      <c r="AEP114" s="386"/>
      <c r="AEQ114" s="386"/>
      <c r="AER114" s="386"/>
      <c r="AES114" s="386"/>
      <c r="AET114" s="386"/>
      <c r="AEU114" s="386"/>
      <c r="AEV114" s="386"/>
      <c r="AEW114" s="386"/>
      <c r="AEX114" s="386"/>
      <c r="AEY114" s="386"/>
      <c r="AEZ114" s="386"/>
      <c r="AFA114" s="386"/>
      <c r="AFB114" s="386"/>
      <c r="AFC114" s="386"/>
      <c r="AFD114" s="386"/>
      <c r="AFE114" s="386"/>
      <c r="AFF114" s="386"/>
      <c r="AFG114" s="386"/>
      <c r="AFH114" s="386"/>
      <c r="AFI114" s="386"/>
      <c r="AFJ114" s="386"/>
      <c r="AFK114" s="386"/>
      <c r="AFL114" s="386"/>
      <c r="AFM114" s="386"/>
      <c r="AFN114" s="386"/>
      <c r="AFO114" s="386"/>
      <c r="AFP114" s="386"/>
      <c r="AFQ114" s="386"/>
      <c r="AFR114" s="386"/>
      <c r="AFS114" s="386"/>
      <c r="AFT114" s="386"/>
      <c r="AFU114" s="386"/>
      <c r="AFV114" s="386"/>
      <c r="AFW114" s="386"/>
      <c r="AFX114" s="386"/>
      <c r="AFY114" s="386"/>
      <c r="AFZ114" s="386"/>
      <c r="AGA114" s="386"/>
      <c r="AGB114" s="386"/>
      <c r="AGC114" s="386"/>
      <c r="AGD114" s="386"/>
      <c r="AGE114" s="386"/>
      <c r="AGF114" s="386"/>
      <c r="AGG114" s="386"/>
      <c r="AGH114" s="386"/>
      <c r="AGI114" s="386"/>
      <c r="AGJ114" s="386"/>
      <c r="AGK114" s="386"/>
      <c r="AGL114" s="386"/>
      <c r="AGM114" s="386"/>
      <c r="AGN114" s="386"/>
      <c r="AGO114" s="386"/>
      <c r="AGP114" s="386"/>
      <c r="AGQ114" s="386"/>
      <c r="AGR114" s="386"/>
      <c r="AGS114" s="386"/>
      <c r="AGT114" s="386"/>
      <c r="AGU114" s="386"/>
      <c r="AGV114" s="386"/>
      <c r="AGW114" s="386"/>
      <c r="AGX114" s="386"/>
      <c r="AGY114" s="386"/>
      <c r="AGZ114" s="386"/>
      <c r="AHA114" s="386"/>
      <c r="AHB114" s="386"/>
      <c r="AHC114" s="386"/>
      <c r="AHD114" s="386"/>
      <c r="AHE114" s="386"/>
      <c r="AHF114" s="386"/>
      <c r="AHG114" s="386"/>
      <c r="AHH114" s="386"/>
      <c r="AHI114" s="386"/>
      <c r="AHJ114" s="386"/>
      <c r="AHK114" s="386"/>
      <c r="AHL114" s="386"/>
      <c r="AHM114" s="386"/>
      <c r="AHN114" s="386"/>
      <c r="AHO114" s="386"/>
      <c r="AHP114" s="386"/>
      <c r="AHQ114" s="386"/>
      <c r="AHR114" s="386"/>
      <c r="AHS114" s="386"/>
      <c r="AHT114" s="386"/>
      <c r="AHU114" s="386"/>
      <c r="AHV114" s="386"/>
      <c r="AHW114" s="386"/>
      <c r="AHX114" s="386"/>
      <c r="AHY114" s="386"/>
      <c r="AHZ114" s="386"/>
      <c r="AIA114" s="386"/>
      <c r="AIB114" s="386"/>
      <c r="AIC114" s="386"/>
      <c r="AID114" s="386"/>
      <c r="AIE114" s="386"/>
      <c r="AIF114" s="386"/>
      <c r="AIG114" s="386"/>
      <c r="AIH114" s="386"/>
      <c r="AII114" s="386"/>
      <c r="AIJ114" s="386"/>
      <c r="AIK114" s="386"/>
      <c r="AIL114" s="386"/>
      <c r="AIM114" s="386"/>
      <c r="AIN114" s="386"/>
      <c r="AIO114" s="386"/>
      <c r="AIP114" s="386"/>
      <c r="AIQ114" s="386"/>
      <c r="AIR114" s="386"/>
      <c r="AIS114" s="386"/>
      <c r="AIT114" s="386"/>
      <c r="AIU114" s="386"/>
      <c r="AIV114" s="386"/>
      <c r="AIW114" s="386"/>
      <c r="AIX114" s="386"/>
      <c r="AIY114" s="386"/>
      <c r="AIZ114" s="386"/>
      <c r="AJA114" s="386"/>
      <c r="AJB114" s="386"/>
      <c r="AJC114" s="386"/>
      <c r="AJD114" s="386"/>
      <c r="AJE114" s="386"/>
      <c r="AJF114" s="386"/>
      <c r="AJG114" s="386"/>
      <c r="AJH114" s="386"/>
      <c r="AJI114" s="386"/>
      <c r="AJJ114" s="386"/>
      <c r="AJK114" s="386"/>
      <c r="AJL114" s="386"/>
      <c r="AJM114" s="386"/>
      <c r="AJN114" s="386"/>
      <c r="AJO114" s="386"/>
      <c r="AJP114" s="386"/>
      <c r="AJQ114" s="386"/>
      <c r="AJR114" s="386"/>
      <c r="AJS114" s="386"/>
      <c r="AJT114" s="386"/>
      <c r="AJU114" s="386"/>
      <c r="AJV114" s="386"/>
      <c r="AJW114" s="386"/>
      <c r="AJX114" s="386"/>
      <c r="AJY114" s="386"/>
      <c r="AJZ114" s="386"/>
      <c r="AKA114" s="386"/>
      <c r="AKB114" s="386"/>
      <c r="AKC114" s="386"/>
      <c r="AKD114" s="386"/>
      <c r="AKE114" s="386"/>
      <c r="AKF114" s="386"/>
      <c r="AKG114" s="386"/>
      <c r="AKH114" s="386"/>
      <c r="AKI114" s="386"/>
      <c r="AKJ114" s="386"/>
      <c r="AKK114" s="386"/>
      <c r="AKL114" s="386"/>
      <c r="AKM114" s="386"/>
      <c r="AKN114" s="386"/>
      <c r="AKO114" s="386"/>
      <c r="AKP114" s="386"/>
      <c r="AKQ114" s="386"/>
      <c r="AKR114" s="386"/>
      <c r="AKS114" s="386"/>
      <c r="AKT114" s="386"/>
      <c r="AKU114" s="386"/>
      <c r="AKV114" s="386"/>
      <c r="AKW114" s="386"/>
      <c r="AKX114" s="386"/>
      <c r="AKY114" s="386"/>
      <c r="AKZ114" s="386"/>
      <c r="ALA114" s="386"/>
      <c r="ALB114" s="386"/>
      <c r="ALC114" s="386"/>
      <c r="ALD114" s="386"/>
      <c r="ALE114" s="386"/>
      <c r="ALF114" s="386"/>
      <c r="ALG114" s="386"/>
      <c r="ALH114" s="386"/>
      <c r="ALI114" s="386"/>
      <c r="ALJ114" s="386"/>
      <c r="ALK114" s="386"/>
      <c r="ALL114" s="386"/>
      <c r="ALM114" s="386"/>
      <c r="ALN114" s="386"/>
      <c r="ALO114" s="386"/>
      <c r="ALP114" s="386"/>
      <c r="ALQ114" s="386"/>
      <c r="ALR114" s="386"/>
      <c r="ALS114" s="386"/>
      <c r="ALT114" s="386"/>
      <c r="ALU114" s="386"/>
      <c r="ALV114" s="386"/>
      <c r="ALW114" s="386"/>
      <c r="ALX114" s="386"/>
      <c r="ALY114" s="386"/>
      <c r="ALZ114" s="386"/>
      <c r="AMA114" s="386"/>
      <c r="AMB114" s="386"/>
      <c r="AMC114" s="386"/>
      <c r="AMD114" s="386"/>
      <c r="AME114" s="386"/>
      <c r="AMF114" s="386"/>
      <c r="AMG114" s="386"/>
      <c r="AMH114" s="386"/>
      <c r="AMI114" s="386"/>
      <c r="AMJ114" s="386"/>
      <c r="AMK114" s="386"/>
      <c r="AML114" s="386"/>
      <c r="AMM114" s="386"/>
      <c r="AMN114" s="386"/>
      <c r="AMO114" s="386"/>
      <c r="AMP114" s="386"/>
      <c r="AMQ114" s="386"/>
      <c r="AMR114" s="386"/>
      <c r="AMS114" s="386"/>
      <c r="AMT114" s="386"/>
      <c r="AMU114" s="386"/>
      <c r="AMV114" s="386"/>
      <c r="AMW114" s="386"/>
      <c r="AMX114" s="386"/>
      <c r="AMY114" s="386"/>
      <c r="AMZ114" s="386"/>
      <c r="ANA114" s="386"/>
      <c r="ANB114" s="386"/>
      <c r="ANC114" s="386"/>
      <c r="AND114" s="386"/>
      <c r="ANE114" s="386"/>
      <c r="ANF114" s="386"/>
      <c r="ANG114" s="386"/>
      <c r="ANH114" s="386"/>
      <c r="ANI114" s="386"/>
      <c r="ANJ114" s="386"/>
      <c r="ANK114" s="386"/>
      <c r="ANL114" s="386"/>
      <c r="ANM114" s="386"/>
      <c r="ANN114" s="386"/>
      <c r="ANO114" s="386"/>
      <c r="ANP114" s="386"/>
      <c r="ANQ114" s="386"/>
      <c r="ANR114" s="386"/>
      <c r="ANS114" s="386"/>
      <c r="ANT114" s="386"/>
      <c r="ANU114" s="386"/>
      <c r="ANV114" s="386"/>
      <c r="ANW114" s="386"/>
      <c r="ANX114" s="386"/>
      <c r="ANY114" s="386"/>
      <c r="ANZ114" s="386"/>
      <c r="AOA114" s="386"/>
      <c r="AOB114" s="386"/>
      <c r="AOC114" s="386"/>
      <c r="AOD114" s="386"/>
      <c r="AOE114" s="386"/>
      <c r="AOF114" s="386"/>
      <c r="AOG114" s="386"/>
      <c r="AOH114" s="386"/>
      <c r="AOI114" s="386"/>
      <c r="AOJ114" s="386"/>
      <c r="AOK114" s="386"/>
      <c r="AOL114" s="386"/>
      <c r="AOM114" s="386"/>
      <c r="AON114" s="386"/>
      <c r="AOO114" s="386"/>
      <c r="AOP114" s="386"/>
      <c r="AOQ114" s="386"/>
      <c r="AOR114" s="386"/>
      <c r="AOS114" s="386"/>
      <c r="AOT114" s="386"/>
      <c r="AOU114" s="386"/>
      <c r="AOV114" s="386"/>
      <c r="AOW114" s="386"/>
      <c r="AOX114" s="386"/>
      <c r="AOY114" s="386"/>
      <c r="AOZ114" s="386"/>
      <c r="APA114" s="386"/>
      <c r="APB114" s="386"/>
      <c r="APC114" s="386"/>
      <c r="APD114" s="386"/>
      <c r="APE114" s="386"/>
      <c r="APF114" s="386"/>
      <c r="APG114" s="386"/>
      <c r="APH114" s="386"/>
      <c r="API114" s="386"/>
      <c r="APJ114" s="386"/>
      <c r="APK114" s="386"/>
      <c r="APL114" s="386"/>
      <c r="APM114" s="386"/>
      <c r="APN114" s="386"/>
      <c r="APO114" s="386"/>
      <c r="APP114" s="386"/>
      <c r="APQ114" s="386"/>
      <c r="APR114" s="386"/>
      <c r="APS114" s="386"/>
      <c r="APT114" s="386"/>
      <c r="APU114" s="386"/>
      <c r="APV114" s="386"/>
      <c r="APW114" s="386"/>
      <c r="APX114" s="386"/>
      <c r="APY114" s="386"/>
      <c r="APZ114" s="386"/>
      <c r="AQA114" s="386"/>
      <c r="AQB114" s="386"/>
      <c r="AQC114" s="386"/>
      <c r="AQD114" s="386"/>
      <c r="AQE114" s="386"/>
      <c r="AQF114" s="386"/>
      <c r="AQG114" s="386"/>
      <c r="AQH114" s="386"/>
      <c r="AQI114" s="386"/>
      <c r="AQJ114" s="386"/>
      <c r="AQK114" s="386"/>
      <c r="AQL114" s="386"/>
      <c r="AQM114" s="386"/>
      <c r="AQN114" s="386"/>
      <c r="AQO114" s="386"/>
      <c r="AQP114" s="386"/>
      <c r="AQQ114" s="386"/>
      <c r="AQR114" s="386"/>
      <c r="AQS114" s="386"/>
      <c r="AQT114" s="386"/>
      <c r="AQU114" s="386"/>
      <c r="AQV114" s="386"/>
      <c r="AQW114" s="386"/>
      <c r="AQX114" s="386"/>
      <c r="AQY114" s="386"/>
      <c r="AQZ114" s="386"/>
      <c r="ARA114" s="386"/>
      <c r="ARB114" s="386"/>
      <c r="ARC114" s="386"/>
      <c r="ARD114" s="386"/>
      <c r="ARE114" s="386"/>
      <c r="ARF114" s="386"/>
      <c r="ARG114" s="386"/>
      <c r="ARH114" s="386"/>
      <c r="ARI114" s="386"/>
      <c r="ARJ114" s="386"/>
      <c r="ARK114" s="386"/>
      <c r="ARL114" s="386"/>
      <c r="ARM114" s="386"/>
      <c r="ARN114" s="386"/>
      <c r="ARO114" s="386"/>
      <c r="ARP114" s="386"/>
      <c r="ARQ114" s="386"/>
      <c r="ARR114" s="386"/>
      <c r="ARS114" s="386"/>
      <c r="ART114" s="386"/>
      <c r="ARU114" s="386"/>
      <c r="ARV114" s="386"/>
      <c r="ARW114" s="386"/>
      <c r="ARX114" s="386"/>
      <c r="ARY114" s="386"/>
      <c r="ARZ114" s="386"/>
      <c r="ASA114" s="386"/>
      <c r="ASB114" s="386"/>
      <c r="ASC114" s="386"/>
      <c r="ASD114" s="386"/>
      <c r="ASE114" s="386"/>
      <c r="ASF114" s="386"/>
      <c r="ASG114" s="386"/>
      <c r="ASH114" s="386"/>
      <c r="ASI114" s="386"/>
      <c r="ASJ114" s="386"/>
      <c r="ASK114" s="386"/>
      <c r="ASL114" s="386"/>
      <c r="ASM114" s="386"/>
      <c r="ASN114" s="386"/>
      <c r="ASO114" s="386"/>
      <c r="ASP114" s="386"/>
      <c r="ASQ114" s="386"/>
      <c r="ASR114" s="386"/>
      <c r="ASS114" s="386"/>
      <c r="AST114" s="386"/>
      <c r="ASU114" s="386"/>
      <c r="ASV114" s="386"/>
      <c r="ASW114" s="386"/>
      <c r="ASX114" s="386"/>
      <c r="ASY114" s="386"/>
      <c r="ASZ114" s="386"/>
      <c r="ATA114" s="386"/>
      <c r="ATB114" s="386"/>
      <c r="ATC114" s="386"/>
      <c r="ATD114" s="386"/>
      <c r="ATE114" s="386"/>
      <c r="ATF114" s="386"/>
      <c r="ATG114" s="386"/>
      <c r="ATH114" s="386"/>
      <c r="ATI114" s="386"/>
      <c r="ATJ114" s="386"/>
      <c r="ATK114" s="386"/>
      <c r="ATL114" s="386"/>
      <c r="ATM114" s="386"/>
      <c r="ATN114" s="386"/>
      <c r="ATO114" s="386"/>
      <c r="ATP114" s="386"/>
      <c r="ATQ114" s="386"/>
      <c r="ATR114" s="386"/>
      <c r="ATS114" s="386"/>
      <c r="ATT114" s="386"/>
      <c r="ATU114" s="386"/>
      <c r="ATV114" s="386"/>
      <c r="ATW114" s="386"/>
      <c r="ATX114" s="386"/>
      <c r="ATY114" s="386"/>
      <c r="ATZ114" s="386"/>
      <c r="AUA114" s="386"/>
      <c r="AUB114" s="386"/>
      <c r="AUC114" s="386"/>
      <c r="AUD114" s="386"/>
      <c r="AUE114" s="386"/>
      <c r="AUF114" s="386"/>
      <c r="AUG114" s="386"/>
      <c r="AUH114" s="386"/>
      <c r="AUI114" s="386"/>
      <c r="AUJ114" s="386"/>
      <c r="AUK114" s="386"/>
      <c r="AUL114" s="386"/>
      <c r="AUM114" s="386"/>
      <c r="AUN114" s="386"/>
      <c r="AUO114" s="386"/>
      <c r="AUP114" s="386"/>
      <c r="AUQ114" s="386"/>
      <c r="AUR114" s="386"/>
      <c r="AUS114" s="386"/>
      <c r="AUT114" s="386"/>
      <c r="AUU114" s="386"/>
      <c r="AUV114" s="386"/>
      <c r="AUW114" s="386"/>
      <c r="AUX114" s="386"/>
      <c r="AUY114" s="386"/>
      <c r="AUZ114" s="386"/>
      <c r="AVA114" s="386"/>
      <c r="AVB114" s="386"/>
      <c r="AVC114" s="386"/>
      <c r="AVD114" s="386"/>
      <c r="AVE114" s="386"/>
      <c r="AVF114" s="386"/>
      <c r="AVG114" s="386"/>
      <c r="AVH114" s="386"/>
      <c r="AVI114" s="386"/>
      <c r="AVJ114" s="386"/>
      <c r="AVK114" s="386"/>
      <c r="AVL114" s="386"/>
      <c r="AVM114" s="386"/>
      <c r="AVN114" s="386"/>
      <c r="AVO114" s="386"/>
      <c r="AVP114" s="386"/>
      <c r="AVQ114" s="386"/>
      <c r="AVR114" s="386"/>
      <c r="AVS114" s="386"/>
      <c r="AVT114" s="386"/>
      <c r="AVU114" s="386"/>
      <c r="AVV114" s="386"/>
      <c r="AVW114" s="386"/>
      <c r="AVX114" s="386"/>
      <c r="AVY114" s="386"/>
      <c r="AVZ114" s="386"/>
      <c r="AWA114" s="386"/>
      <c r="AWB114" s="386"/>
      <c r="AWC114" s="386"/>
      <c r="AWD114" s="386"/>
      <c r="AWE114" s="386"/>
      <c r="AWF114" s="386"/>
      <c r="AWG114" s="386"/>
      <c r="AWH114" s="386"/>
      <c r="AWI114" s="386"/>
      <c r="AWJ114" s="386"/>
      <c r="AWK114" s="386"/>
      <c r="AWL114" s="386"/>
      <c r="AWM114" s="386"/>
      <c r="AWN114" s="386"/>
      <c r="AWO114" s="386"/>
      <c r="AWP114" s="386"/>
      <c r="AWQ114" s="386"/>
      <c r="AWR114" s="386"/>
      <c r="AWS114" s="386"/>
      <c r="AWT114" s="386"/>
      <c r="AWU114" s="386"/>
      <c r="AWV114" s="386"/>
      <c r="AWW114" s="386"/>
      <c r="AWX114" s="386"/>
      <c r="AWY114" s="386"/>
      <c r="AWZ114" s="386"/>
      <c r="AXA114" s="386"/>
      <c r="AXB114" s="386"/>
      <c r="AXC114" s="386"/>
      <c r="AXD114" s="386"/>
      <c r="AXE114" s="386"/>
      <c r="AXF114" s="386"/>
      <c r="AXG114" s="386"/>
      <c r="AXH114" s="386"/>
      <c r="AXI114" s="386"/>
      <c r="AXJ114" s="386"/>
      <c r="AXK114" s="386"/>
      <c r="AXL114" s="386"/>
      <c r="AXM114" s="386"/>
      <c r="AXN114" s="386"/>
      <c r="AXO114" s="386"/>
      <c r="AXP114" s="386"/>
      <c r="AXQ114" s="386"/>
      <c r="AXR114" s="386"/>
      <c r="AXS114" s="386"/>
      <c r="AXT114" s="386"/>
      <c r="AXU114" s="386"/>
      <c r="AXV114" s="386"/>
      <c r="AXW114" s="386"/>
      <c r="AXX114" s="386"/>
      <c r="AXY114" s="386"/>
      <c r="AXZ114" s="386"/>
      <c r="AYA114" s="386"/>
      <c r="AYB114" s="386"/>
      <c r="AYC114" s="386"/>
      <c r="AYD114" s="386"/>
      <c r="AYE114" s="386"/>
      <c r="AYF114" s="386"/>
      <c r="AYG114" s="386"/>
      <c r="AYH114" s="386"/>
      <c r="AYI114" s="386"/>
      <c r="AYJ114" s="386"/>
      <c r="AYK114" s="386"/>
      <c r="AYL114" s="386"/>
      <c r="AYM114" s="386"/>
      <c r="AYN114" s="386"/>
      <c r="AYO114" s="386"/>
      <c r="AYP114" s="386"/>
      <c r="AYQ114" s="386"/>
      <c r="AYR114" s="386"/>
      <c r="AYS114" s="386"/>
      <c r="AYT114" s="386"/>
      <c r="AYU114" s="386"/>
      <c r="AYV114" s="386"/>
      <c r="AYW114" s="386"/>
      <c r="AYX114" s="386"/>
      <c r="AYY114" s="386"/>
      <c r="AYZ114" s="386"/>
      <c r="AZA114" s="386"/>
      <c r="AZB114" s="386"/>
      <c r="AZC114" s="386"/>
      <c r="AZD114" s="386"/>
      <c r="AZE114" s="386"/>
      <c r="AZF114" s="386"/>
      <c r="AZG114" s="386"/>
      <c r="AZH114" s="386"/>
      <c r="AZI114" s="386"/>
      <c r="AZJ114" s="386"/>
      <c r="AZK114" s="386"/>
      <c r="AZL114" s="386"/>
      <c r="AZM114" s="386"/>
      <c r="AZN114" s="386"/>
      <c r="AZO114" s="386"/>
      <c r="AZP114" s="386"/>
      <c r="AZQ114" s="386"/>
      <c r="AZR114" s="386"/>
      <c r="AZS114" s="386"/>
      <c r="AZT114" s="386"/>
      <c r="AZU114" s="386"/>
      <c r="AZV114" s="386"/>
      <c r="AZW114" s="386"/>
      <c r="AZX114" s="386"/>
      <c r="AZY114" s="386"/>
      <c r="AZZ114" s="386"/>
      <c r="BAA114" s="386"/>
      <c r="BAB114" s="386"/>
      <c r="BAC114" s="386"/>
      <c r="BAD114" s="386"/>
      <c r="BAE114" s="386"/>
      <c r="BAF114" s="386"/>
      <c r="BAG114" s="386"/>
      <c r="BAH114" s="386"/>
      <c r="BAI114" s="386"/>
      <c r="BAJ114" s="386"/>
      <c r="BAK114" s="386"/>
      <c r="BAL114" s="386"/>
      <c r="BAM114" s="386"/>
      <c r="BAN114" s="386"/>
      <c r="BAO114" s="386"/>
      <c r="BAP114" s="386"/>
      <c r="BAQ114" s="386"/>
      <c r="BAR114" s="386"/>
      <c r="BAS114" s="386"/>
      <c r="BAT114" s="386"/>
      <c r="BAU114" s="386"/>
      <c r="BAV114" s="386"/>
      <c r="BAW114" s="386"/>
      <c r="BAX114" s="386"/>
      <c r="BAY114" s="386"/>
      <c r="BAZ114" s="386"/>
      <c r="BBA114" s="386"/>
      <c r="BBB114" s="386"/>
      <c r="BBC114" s="386"/>
      <c r="BBD114" s="386"/>
      <c r="BBE114" s="386"/>
      <c r="BBF114" s="386"/>
      <c r="BBG114" s="386"/>
      <c r="BBH114" s="386"/>
      <c r="BBI114" s="386"/>
      <c r="BBJ114" s="386"/>
      <c r="BBK114" s="386"/>
      <c r="BBL114" s="386"/>
      <c r="BBM114" s="386"/>
      <c r="BBN114" s="386"/>
      <c r="BBO114" s="386"/>
      <c r="BBP114" s="386"/>
      <c r="BBQ114" s="386"/>
      <c r="BBR114" s="386"/>
      <c r="BBS114" s="386"/>
      <c r="BBT114" s="386"/>
      <c r="BBU114" s="386"/>
      <c r="BBV114" s="386"/>
      <c r="BBW114" s="386"/>
      <c r="BBX114" s="386"/>
      <c r="BBY114" s="386"/>
      <c r="BBZ114" s="386"/>
      <c r="BCA114" s="386"/>
      <c r="BCB114" s="386"/>
      <c r="BCC114" s="386"/>
      <c r="BCD114" s="386"/>
      <c r="BCE114" s="386"/>
      <c r="BCF114" s="386"/>
      <c r="BCG114" s="386"/>
      <c r="BCH114" s="386"/>
      <c r="BCI114" s="386"/>
      <c r="BCJ114" s="386"/>
      <c r="BCK114" s="386"/>
      <c r="BCL114" s="386"/>
      <c r="BCM114" s="386"/>
      <c r="BCN114" s="386"/>
      <c r="BCO114" s="386"/>
      <c r="BCP114" s="386"/>
      <c r="BCQ114" s="386"/>
      <c r="BCR114" s="386"/>
      <c r="BCS114" s="386"/>
      <c r="BCT114" s="386"/>
      <c r="BCU114" s="386"/>
      <c r="BCV114" s="386"/>
      <c r="BCW114" s="386"/>
      <c r="BCX114" s="386"/>
      <c r="BCY114" s="386"/>
      <c r="BCZ114" s="386"/>
      <c r="BDA114" s="386"/>
      <c r="BDB114" s="386"/>
      <c r="BDC114" s="386"/>
      <c r="BDD114" s="386"/>
      <c r="BDE114" s="386"/>
      <c r="BDF114" s="386"/>
      <c r="BDG114" s="386"/>
      <c r="BDH114" s="386"/>
      <c r="BDI114" s="386"/>
      <c r="BDJ114" s="386"/>
      <c r="BDK114" s="386"/>
      <c r="BDL114" s="386"/>
      <c r="BDM114" s="386"/>
      <c r="BDN114" s="386"/>
      <c r="BDO114" s="386"/>
      <c r="BDP114" s="386"/>
      <c r="BDQ114" s="386"/>
      <c r="BDR114" s="386"/>
      <c r="BDS114" s="386"/>
      <c r="BDT114" s="386"/>
      <c r="BDU114" s="386"/>
      <c r="BDV114" s="386"/>
      <c r="BDW114" s="386"/>
      <c r="BDX114" s="386"/>
      <c r="BDY114" s="386"/>
      <c r="BDZ114" s="386"/>
      <c r="BEA114" s="386"/>
      <c r="BEB114" s="386"/>
      <c r="BEC114" s="386"/>
      <c r="BED114" s="386"/>
      <c r="BEE114" s="386"/>
      <c r="BEF114" s="386"/>
      <c r="BEG114" s="386"/>
      <c r="BEH114" s="386"/>
      <c r="BEI114" s="386"/>
      <c r="BEJ114" s="386"/>
      <c r="BEK114" s="386"/>
      <c r="BEL114" s="386"/>
      <c r="BEM114" s="386"/>
      <c r="BEN114" s="386"/>
      <c r="BEO114" s="386"/>
      <c r="BEP114" s="386"/>
      <c r="BEQ114" s="386"/>
      <c r="BER114" s="386"/>
      <c r="BES114" s="386"/>
      <c r="BET114" s="386"/>
      <c r="BEU114" s="386"/>
      <c r="BEV114" s="386"/>
      <c r="BEW114" s="386"/>
      <c r="BEX114" s="386"/>
      <c r="BEY114" s="386"/>
      <c r="BEZ114" s="386"/>
      <c r="BFA114" s="386"/>
      <c r="BFB114" s="386"/>
      <c r="BFC114" s="386"/>
      <c r="BFD114" s="386"/>
      <c r="BFE114" s="386"/>
      <c r="BFF114" s="386"/>
      <c r="BFG114" s="386"/>
      <c r="BFH114" s="386"/>
      <c r="BFI114" s="386"/>
      <c r="BFJ114" s="386"/>
      <c r="BFK114" s="386"/>
      <c r="BFL114" s="386"/>
      <c r="BFM114" s="386"/>
      <c r="BFN114" s="386"/>
      <c r="BFO114" s="386"/>
      <c r="BFP114" s="386"/>
      <c r="BFQ114" s="386"/>
      <c r="BFR114" s="386"/>
      <c r="BFS114" s="386"/>
      <c r="BFT114" s="386"/>
      <c r="BFU114" s="386"/>
      <c r="BFV114" s="386"/>
      <c r="BFW114" s="386"/>
      <c r="BFX114" s="386"/>
      <c r="BFY114" s="386"/>
      <c r="BFZ114" s="386"/>
      <c r="BGA114" s="386"/>
      <c r="BGB114" s="386"/>
      <c r="BGC114" s="386"/>
      <c r="BGD114" s="386"/>
      <c r="BGE114" s="386"/>
      <c r="BGF114" s="386"/>
      <c r="BGG114" s="386"/>
      <c r="BGH114" s="386"/>
      <c r="BGI114" s="386"/>
      <c r="BGJ114" s="386"/>
      <c r="BGK114" s="386"/>
      <c r="BGL114" s="386"/>
      <c r="BGM114" s="386"/>
      <c r="BGN114" s="386"/>
      <c r="BGO114" s="386"/>
      <c r="BGP114" s="386"/>
      <c r="BGQ114" s="386"/>
      <c r="BGR114" s="386"/>
      <c r="BGS114" s="386"/>
      <c r="BGT114" s="386"/>
      <c r="BGU114" s="386"/>
      <c r="BGV114" s="386"/>
      <c r="BGW114" s="386"/>
      <c r="BGX114" s="386"/>
      <c r="BGY114" s="386"/>
      <c r="BGZ114" s="386"/>
      <c r="BHA114" s="386"/>
      <c r="BHB114" s="386"/>
      <c r="BHC114" s="386"/>
      <c r="BHD114" s="386"/>
      <c r="BHE114" s="386"/>
      <c r="BHF114" s="386"/>
      <c r="BHG114" s="386"/>
      <c r="BHH114" s="386"/>
      <c r="BHI114" s="386"/>
      <c r="BHJ114" s="386"/>
      <c r="BHK114" s="386"/>
      <c r="BHL114" s="386"/>
      <c r="BHM114" s="386"/>
      <c r="BHN114" s="386"/>
      <c r="BHO114" s="386"/>
      <c r="BHP114" s="386"/>
      <c r="BHQ114" s="386"/>
      <c r="BHR114" s="386"/>
      <c r="BHS114" s="386"/>
      <c r="BHT114" s="386"/>
      <c r="BHU114" s="386"/>
      <c r="BHV114" s="386"/>
      <c r="BHW114" s="386"/>
      <c r="BHX114" s="386"/>
      <c r="BHY114" s="386"/>
      <c r="BHZ114" s="386"/>
      <c r="BIA114" s="386"/>
      <c r="BIB114" s="386"/>
      <c r="BIC114" s="386"/>
      <c r="BID114" s="386"/>
      <c r="BIE114" s="386"/>
      <c r="BIF114" s="386"/>
      <c r="BIG114" s="386"/>
      <c r="BIH114" s="386"/>
      <c r="BII114" s="386"/>
      <c r="BIJ114" s="386"/>
      <c r="BIK114" s="386"/>
      <c r="BIL114" s="386"/>
      <c r="BIM114" s="386"/>
      <c r="BIN114" s="386"/>
      <c r="BIO114" s="386"/>
      <c r="BIP114" s="386"/>
      <c r="BIQ114" s="386"/>
      <c r="BIR114" s="386"/>
      <c r="BIS114" s="386"/>
      <c r="BIT114" s="386"/>
      <c r="BIU114" s="386"/>
      <c r="BIV114" s="386"/>
      <c r="BIW114" s="386"/>
      <c r="BIX114" s="386"/>
      <c r="BIY114" s="386"/>
      <c r="BIZ114" s="386"/>
      <c r="BJA114" s="386"/>
      <c r="BJB114" s="386"/>
      <c r="BJC114" s="386"/>
      <c r="BJD114" s="386"/>
      <c r="BJE114" s="386"/>
      <c r="BJF114" s="386"/>
      <c r="BJG114" s="386"/>
      <c r="BJH114" s="386"/>
      <c r="BJI114" s="386"/>
      <c r="BJJ114" s="386"/>
      <c r="BJK114" s="386"/>
      <c r="BJL114" s="386"/>
      <c r="BJM114" s="386"/>
      <c r="BJN114" s="386"/>
      <c r="BJO114" s="386"/>
      <c r="BJP114" s="386"/>
      <c r="BJQ114" s="386"/>
      <c r="BJR114" s="386"/>
      <c r="BJS114" s="386"/>
      <c r="BJT114" s="386"/>
      <c r="BJU114" s="386"/>
      <c r="BJV114" s="386"/>
      <c r="BJW114" s="386"/>
      <c r="BJX114" s="386"/>
      <c r="BJY114" s="386"/>
      <c r="BJZ114" s="386"/>
      <c r="BKA114" s="386"/>
      <c r="BKB114" s="386"/>
      <c r="BKC114" s="386"/>
      <c r="BKD114" s="386"/>
      <c r="BKE114" s="386"/>
      <c r="BKF114" s="386"/>
      <c r="BKG114" s="386"/>
      <c r="BKH114" s="386"/>
      <c r="BKI114" s="386"/>
      <c r="BKJ114" s="386"/>
      <c r="BKK114" s="386"/>
      <c r="BKL114" s="386"/>
      <c r="BKM114" s="386"/>
      <c r="BKN114" s="386"/>
      <c r="BKO114" s="386"/>
      <c r="BKP114" s="386"/>
      <c r="BKQ114" s="386"/>
      <c r="BKR114" s="386"/>
      <c r="BKS114" s="386"/>
      <c r="BKT114" s="386"/>
      <c r="BKU114" s="386"/>
      <c r="BKV114" s="386"/>
      <c r="BKW114" s="386"/>
      <c r="BKX114" s="386"/>
      <c r="BKY114" s="386"/>
      <c r="BKZ114" s="386"/>
      <c r="BLA114" s="386"/>
      <c r="BLB114" s="386"/>
      <c r="BLC114" s="386"/>
      <c r="BLD114" s="386"/>
      <c r="BLE114" s="386"/>
      <c r="BLF114" s="386"/>
      <c r="BLG114" s="386"/>
      <c r="BLH114" s="386"/>
      <c r="BLI114" s="386"/>
      <c r="BLJ114" s="386"/>
      <c r="BLK114" s="386"/>
      <c r="BLL114" s="386"/>
      <c r="BLM114" s="386"/>
      <c r="BLN114" s="386"/>
      <c r="BLO114" s="386"/>
      <c r="BLP114" s="386"/>
      <c r="BLQ114" s="386"/>
      <c r="BLR114" s="386"/>
      <c r="BLS114" s="386"/>
      <c r="BLT114" s="386"/>
      <c r="BLU114" s="386"/>
      <c r="BLV114" s="386"/>
      <c r="BLW114" s="386"/>
      <c r="BLX114" s="386"/>
      <c r="BLY114" s="386"/>
      <c r="BLZ114" s="386"/>
      <c r="BMA114" s="386"/>
      <c r="BMB114" s="386"/>
      <c r="BMC114" s="386"/>
      <c r="BMD114" s="386"/>
      <c r="BME114" s="386"/>
      <c r="BMF114" s="386"/>
      <c r="BMG114" s="386"/>
      <c r="BMH114" s="386"/>
      <c r="BMI114" s="386"/>
      <c r="BMJ114" s="386"/>
      <c r="BMK114" s="386"/>
      <c r="BML114" s="386"/>
      <c r="BMM114" s="386"/>
      <c r="BMN114" s="386"/>
      <c r="BMO114" s="386"/>
      <c r="BMP114" s="386"/>
      <c r="BMQ114" s="386"/>
      <c r="BMR114" s="386"/>
      <c r="BMS114" s="386"/>
      <c r="BMT114" s="386"/>
      <c r="BMU114" s="386"/>
      <c r="BMV114" s="386"/>
      <c r="BMW114" s="386"/>
      <c r="BMX114" s="386"/>
      <c r="BMY114" s="386"/>
      <c r="BMZ114" s="386"/>
      <c r="BNA114" s="386"/>
      <c r="BNB114" s="386"/>
      <c r="BNC114" s="386"/>
      <c r="BND114" s="386"/>
      <c r="BNE114" s="386"/>
      <c r="BNF114" s="386"/>
      <c r="BNG114" s="386"/>
      <c r="BNH114" s="386"/>
      <c r="BNI114" s="386"/>
      <c r="BNJ114" s="386"/>
      <c r="BNK114" s="386"/>
      <c r="BNL114" s="386"/>
      <c r="BNM114" s="386"/>
      <c r="BNN114" s="386"/>
      <c r="BNO114" s="386"/>
      <c r="BNP114" s="386"/>
      <c r="BNQ114" s="386"/>
      <c r="BNR114" s="386"/>
      <c r="BNS114" s="386"/>
      <c r="BNT114" s="386"/>
      <c r="BNU114" s="386"/>
      <c r="BNV114" s="386"/>
      <c r="BNW114" s="386"/>
      <c r="BNX114" s="386"/>
      <c r="BNY114" s="386"/>
      <c r="BNZ114" s="386"/>
      <c r="BOA114" s="386"/>
      <c r="BOB114" s="386"/>
      <c r="BOC114" s="386"/>
      <c r="BOD114" s="386"/>
      <c r="BOE114" s="386"/>
      <c r="BOF114" s="386"/>
      <c r="BOG114" s="386"/>
      <c r="BOH114" s="386"/>
      <c r="BOI114" s="386"/>
      <c r="BOJ114" s="386"/>
      <c r="BOK114" s="386"/>
      <c r="BOL114" s="386"/>
      <c r="BOM114" s="386"/>
      <c r="BON114" s="386"/>
      <c r="BOO114" s="386"/>
      <c r="BOP114" s="386"/>
      <c r="BOQ114" s="386"/>
      <c r="BOR114" s="386"/>
      <c r="BOS114" s="386"/>
      <c r="BOT114" s="386"/>
      <c r="BOU114" s="386"/>
      <c r="BOV114" s="386"/>
      <c r="BOW114" s="386"/>
      <c r="BOX114" s="386"/>
      <c r="BOY114" s="386"/>
      <c r="BOZ114" s="386"/>
      <c r="BPA114" s="386"/>
      <c r="BPB114" s="386"/>
      <c r="BPC114" s="386"/>
      <c r="BPD114" s="386"/>
      <c r="BPE114" s="386"/>
      <c r="BPF114" s="386"/>
      <c r="BPG114" s="386"/>
      <c r="BPH114" s="386"/>
      <c r="BPI114" s="386"/>
      <c r="BPJ114" s="386"/>
      <c r="BPK114" s="386"/>
      <c r="BPL114" s="386"/>
      <c r="BPM114" s="386"/>
      <c r="BPN114" s="386"/>
      <c r="BPO114" s="386"/>
      <c r="BPP114" s="386"/>
      <c r="BPQ114" s="386"/>
      <c r="BPR114" s="386"/>
      <c r="BPS114" s="386"/>
      <c r="BPT114" s="386"/>
      <c r="BPU114" s="386"/>
      <c r="BPV114" s="386"/>
      <c r="BPW114" s="386"/>
      <c r="BPX114" s="386"/>
      <c r="BPY114" s="386"/>
      <c r="BPZ114" s="386"/>
      <c r="BQA114" s="386"/>
      <c r="BQB114" s="386"/>
      <c r="BQC114" s="386"/>
      <c r="BQD114" s="386"/>
      <c r="BQE114" s="386"/>
      <c r="BQF114" s="386"/>
      <c r="BQG114" s="386"/>
      <c r="BQH114" s="386"/>
      <c r="BQI114" s="386"/>
      <c r="BQJ114" s="386"/>
      <c r="BQK114" s="386"/>
      <c r="BQL114" s="386"/>
      <c r="BQM114" s="386"/>
      <c r="BQN114" s="386"/>
      <c r="BQO114" s="386"/>
      <c r="BQP114" s="386"/>
      <c r="BQQ114" s="386"/>
      <c r="BQR114" s="386"/>
      <c r="BQS114" s="386"/>
      <c r="BQT114" s="386"/>
      <c r="BQU114" s="386"/>
      <c r="BQV114" s="386"/>
      <c r="BQW114" s="386"/>
      <c r="BQX114" s="386"/>
      <c r="BQY114" s="386"/>
      <c r="BQZ114" s="386"/>
      <c r="BRA114" s="386"/>
      <c r="BRB114" s="386"/>
      <c r="BRC114" s="386"/>
      <c r="BRD114" s="386"/>
      <c r="BRE114" s="386"/>
      <c r="BRF114" s="386"/>
      <c r="BRG114" s="386"/>
      <c r="BRH114" s="386"/>
      <c r="BRI114" s="386"/>
      <c r="BRJ114" s="386"/>
      <c r="BRK114" s="386"/>
      <c r="BRL114" s="386"/>
      <c r="BRM114" s="386"/>
      <c r="BRN114" s="386"/>
      <c r="BRO114" s="386"/>
      <c r="BRP114" s="386"/>
      <c r="BRQ114" s="386"/>
      <c r="BRR114" s="386"/>
      <c r="BRS114" s="386"/>
      <c r="BRT114" s="386"/>
      <c r="BRU114" s="386"/>
      <c r="BRV114" s="386"/>
      <c r="BRW114" s="386"/>
      <c r="BRX114" s="386"/>
      <c r="BRY114" s="386"/>
      <c r="BRZ114" s="386"/>
      <c r="BSA114" s="386"/>
      <c r="BSB114" s="386"/>
      <c r="BSC114" s="386"/>
      <c r="BSD114" s="386"/>
      <c r="BSE114" s="386"/>
      <c r="BSF114" s="386"/>
      <c r="BSG114" s="386"/>
      <c r="BSH114" s="386"/>
      <c r="BSI114" s="386"/>
      <c r="BSJ114" s="386"/>
      <c r="BSK114" s="386"/>
      <c r="BSL114" s="386"/>
      <c r="BSM114" s="386"/>
      <c r="BSN114" s="386"/>
      <c r="BSO114" s="386"/>
      <c r="BSP114" s="386"/>
      <c r="BSQ114" s="386"/>
      <c r="BSR114" s="386"/>
      <c r="BSS114" s="386"/>
      <c r="BST114" s="386"/>
      <c r="BSU114" s="386"/>
      <c r="BSV114" s="386"/>
      <c r="BSW114" s="386"/>
      <c r="BSX114" s="386"/>
      <c r="BSY114" s="386"/>
      <c r="BSZ114" s="386"/>
      <c r="BTA114" s="386"/>
      <c r="BTB114" s="386"/>
      <c r="BTC114" s="386"/>
      <c r="BTD114" s="386"/>
      <c r="BTE114" s="386"/>
      <c r="BTF114" s="386"/>
      <c r="BTG114" s="386"/>
      <c r="BTH114" s="386"/>
      <c r="BTI114" s="386"/>
      <c r="BTJ114" s="386"/>
      <c r="BTK114" s="386"/>
      <c r="BTL114" s="386"/>
      <c r="BTM114" s="386"/>
      <c r="BTN114" s="386"/>
      <c r="BTO114" s="386"/>
      <c r="BTP114" s="386"/>
      <c r="BTQ114" s="386"/>
      <c r="BTR114" s="386"/>
      <c r="BTS114" s="386"/>
      <c r="BTT114" s="386"/>
      <c r="BTU114" s="386"/>
      <c r="BTV114" s="386"/>
      <c r="BTW114" s="386"/>
      <c r="BTX114" s="386"/>
      <c r="BTY114" s="386"/>
      <c r="BTZ114" s="386"/>
      <c r="BUA114" s="386"/>
      <c r="BUB114" s="386"/>
      <c r="BUC114" s="386"/>
      <c r="BUD114" s="386"/>
      <c r="BUE114" s="386"/>
      <c r="BUF114" s="386"/>
      <c r="BUG114" s="386"/>
      <c r="BUH114" s="386"/>
      <c r="BUI114" s="386"/>
      <c r="BUJ114" s="386"/>
      <c r="BUK114" s="386"/>
      <c r="BUL114" s="386"/>
      <c r="BUM114" s="386"/>
      <c r="BUN114" s="386"/>
      <c r="BUO114" s="386"/>
      <c r="BUP114" s="386"/>
      <c r="BUQ114" s="386"/>
      <c r="BUR114" s="386"/>
      <c r="BUS114" s="386"/>
      <c r="BUT114" s="386"/>
      <c r="BUU114" s="386"/>
      <c r="BUV114" s="386"/>
      <c r="BUW114" s="386"/>
      <c r="BUX114" s="386"/>
      <c r="BUY114" s="386"/>
      <c r="BUZ114" s="386"/>
      <c r="BVA114" s="386"/>
      <c r="BVB114" s="386"/>
      <c r="BVC114" s="386"/>
      <c r="BVD114" s="386"/>
      <c r="BVE114" s="386"/>
      <c r="BVF114" s="386"/>
      <c r="BVG114" s="386"/>
      <c r="BVH114" s="386"/>
      <c r="BVI114" s="386"/>
      <c r="BVJ114" s="386"/>
      <c r="BVK114" s="386"/>
      <c r="BVL114" s="386"/>
      <c r="BVM114" s="386"/>
      <c r="BVN114" s="386"/>
      <c r="BVO114" s="386"/>
      <c r="BVP114" s="386"/>
      <c r="BVQ114" s="386"/>
      <c r="BVR114" s="386"/>
      <c r="BVS114" s="386"/>
      <c r="BVT114" s="386"/>
      <c r="BVU114" s="386"/>
      <c r="BVV114" s="386"/>
      <c r="BVW114" s="386"/>
      <c r="BVX114" s="386"/>
      <c r="BVY114" s="386"/>
      <c r="BVZ114" s="386"/>
      <c r="BWA114" s="386"/>
      <c r="BWB114" s="386"/>
      <c r="BWC114" s="386"/>
      <c r="BWD114" s="386"/>
      <c r="BWE114" s="386"/>
      <c r="BWF114" s="386"/>
      <c r="BWG114" s="386"/>
      <c r="BWH114" s="386"/>
      <c r="BWI114" s="386"/>
      <c r="BWJ114" s="386"/>
      <c r="BWK114" s="386"/>
      <c r="BWL114" s="386"/>
      <c r="BWM114" s="386"/>
      <c r="BWN114" s="386"/>
      <c r="BWO114" s="386"/>
      <c r="BWP114" s="386"/>
      <c r="BWQ114" s="386"/>
      <c r="BWR114" s="386"/>
      <c r="BWS114" s="386"/>
      <c r="BWT114" s="386"/>
      <c r="BWU114" s="386"/>
      <c r="BWV114" s="386"/>
      <c r="BWW114" s="386"/>
      <c r="BWX114" s="386"/>
      <c r="BWY114" s="386"/>
      <c r="BWZ114" s="386"/>
      <c r="BXA114" s="386"/>
      <c r="BXB114" s="386"/>
      <c r="BXC114" s="386"/>
      <c r="BXD114" s="386"/>
      <c r="BXE114" s="386"/>
      <c r="BXF114" s="386"/>
      <c r="BXG114" s="386"/>
      <c r="BXH114" s="386"/>
      <c r="BXI114" s="386"/>
      <c r="BXJ114" s="386"/>
      <c r="BXK114" s="386"/>
      <c r="BXL114" s="386"/>
      <c r="BXM114" s="386"/>
      <c r="BXN114" s="386"/>
      <c r="BXO114" s="386"/>
      <c r="BXP114" s="386"/>
      <c r="BXQ114" s="386"/>
      <c r="BXR114" s="386"/>
      <c r="BXS114" s="386"/>
      <c r="BXT114" s="386"/>
      <c r="BXU114" s="386"/>
      <c r="BXV114" s="386"/>
      <c r="BXW114" s="386"/>
      <c r="BXX114" s="386"/>
      <c r="BXY114" s="386"/>
      <c r="BXZ114" s="386"/>
      <c r="BYA114" s="386"/>
      <c r="BYB114" s="386"/>
      <c r="BYC114" s="386"/>
      <c r="BYD114" s="386"/>
      <c r="BYE114" s="386"/>
      <c r="BYF114" s="386"/>
      <c r="BYG114" s="386"/>
      <c r="BYH114" s="386"/>
      <c r="BYI114" s="386"/>
      <c r="BYJ114" s="386"/>
      <c r="BYK114" s="386"/>
      <c r="BYL114" s="386"/>
      <c r="BYM114" s="386"/>
      <c r="BYN114" s="386"/>
      <c r="BYO114" s="386"/>
      <c r="BYP114" s="386"/>
      <c r="BYQ114" s="386"/>
      <c r="BYR114" s="386"/>
      <c r="BYS114" s="386"/>
      <c r="BYT114" s="386"/>
      <c r="BYU114" s="386"/>
      <c r="BYV114" s="386"/>
      <c r="BYW114" s="386"/>
      <c r="BYX114" s="386"/>
      <c r="BYY114" s="386"/>
      <c r="BYZ114" s="386"/>
      <c r="BZA114" s="386"/>
      <c r="BZB114" s="386"/>
      <c r="BZC114" s="386"/>
      <c r="BZD114" s="386"/>
      <c r="BZE114" s="386"/>
      <c r="BZF114" s="386"/>
      <c r="BZG114" s="386"/>
      <c r="BZH114" s="386"/>
      <c r="BZI114" s="386"/>
      <c r="BZJ114" s="386"/>
      <c r="BZK114" s="386"/>
      <c r="BZL114" s="386"/>
      <c r="BZM114" s="386"/>
      <c r="BZN114" s="386"/>
      <c r="BZO114" s="386"/>
      <c r="BZP114" s="386"/>
      <c r="BZQ114" s="386"/>
      <c r="BZR114" s="386"/>
      <c r="BZS114" s="386"/>
      <c r="BZT114" s="386"/>
      <c r="BZU114" s="386"/>
      <c r="BZV114" s="386"/>
      <c r="BZW114" s="386"/>
      <c r="BZX114" s="386"/>
      <c r="BZY114" s="386"/>
      <c r="BZZ114" s="386"/>
      <c r="CAA114" s="386"/>
      <c r="CAB114" s="386"/>
      <c r="CAC114" s="386"/>
      <c r="CAD114" s="386"/>
      <c r="CAE114" s="386"/>
      <c r="CAF114" s="386"/>
      <c r="CAG114" s="386"/>
      <c r="CAH114" s="386"/>
      <c r="CAI114" s="386"/>
      <c r="CAJ114" s="386"/>
      <c r="CAK114" s="386"/>
      <c r="CAL114" s="386"/>
      <c r="CAM114" s="386"/>
      <c r="CAN114" s="386"/>
      <c r="CAO114" s="386"/>
      <c r="CAP114" s="386"/>
      <c r="CAQ114" s="386"/>
      <c r="CAR114" s="386"/>
      <c r="CAS114" s="386"/>
      <c r="CAT114" s="386"/>
      <c r="CAU114" s="386"/>
      <c r="CAV114" s="386"/>
      <c r="CAW114" s="386"/>
      <c r="CAX114" s="386"/>
      <c r="CAY114" s="386"/>
      <c r="CAZ114" s="386"/>
      <c r="CBA114" s="386"/>
      <c r="CBB114" s="386"/>
      <c r="CBC114" s="386"/>
      <c r="CBD114" s="386"/>
      <c r="CBE114" s="386"/>
      <c r="CBF114" s="386"/>
      <c r="CBG114" s="386"/>
      <c r="CBH114" s="386"/>
      <c r="CBI114" s="386"/>
      <c r="CBJ114" s="386"/>
      <c r="CBK114" s="386"/>
      <c r="CBL114" s="386"/>
      <c r="CBM114" s="386"/>
      <c r="CBN114" s="386"/>
      <c r="CBO114" s="386"/>
      <c r="CBP114" s="386"/>
      <c r="CBQ114" s="386"/>
      <c r="CBR114" s="386"/>
      <c r="CBS114" s="386"/>
      <c r="CBT114" s="386"/>
      <c r="CBU114" s="386"/>
      <c r="CBV114" s="386"/>
      <c r="CBW114" s="386"/>
      <c r="CBX114" s="386"/>
      <c r="CBY114" s="386"/>
      <c r="CBZ114" s="386"/>
      <c r="CCA114" s="386"/>
      <c r="CCB114" s="386"/>
      <c r="CCC114" s="386"/>
      <c r="CCD114" s="386"/>
      <c r="CCE114" s="386"/>
      <c r="CCF114" s="386"/>
      <c r="CCG114" s="386"/>
      <c r="CCH114" s="386"/>
      <c r="CCI114" s="386"/>
      <c r="CCJ114" s="386"/>
      <c r="CCK114" s="386"/>
      <c r="CCL114" s="386"/>
      <c r="CCM114" s="386"/>
      <c r="CCN114" s="386"/>
      <c r="CCO114" s="386"/>
      <c r="CCP114" s="386"/>
      <c r="CCQ114" s="386"/>
      <c r="CCR114" s="386"/>
      <c r="CCS114" s="386"/>
      <c r="CCT114" s="386"/>
      <c r="CCU114" s="386"/>
      <c r="CCV114" s="386"/>
      <c r="CCW114" s="386"/>
      <c r="CCX114" s="386"/>
      <c r="CCY114" s="386"/>
      <c r="CCZ114" s="386"/>
      <c r="CDA114" s="386"/>
      <c r="CDB114" s="386"/>
      <c r="CDC114" s="386"/>
      <c r="CDD114" s="386"/>
      <c r="CDE114" s="386"/>
      <c r="CDF114" s="386"/>
      <c r="CDG114" s="386"/>
      <c r="CDH114" s="386"/>
      <c r="CDI114" s="386"/>
      <c r="CDJ114" s="386"/>
      <c r="CDK114" s="386"/>
      <c r="CDL114" s="386"/>
      <c r="CDM114" s="386"/>
      <c r="CDN114" s="386"/>
      <c r="CDO114" s="386"/>
      <c r="CDP114" s="386"/>
      <c r="CDQ114" s="386"/>
      <c r="CDR114" s="386"/>
      <c r="CDS114" s="386"/>
      <c r="CDT114" s="386"/>
      <c r="CDU114" s="386"/>
      <c r="CDV114" s="386"/>
      <c r="CDW114" s="386"/>
      <c r="CDX114" s="386"/>
      <c r="CDY114" s="386"/>
      <c r="CDZ114" s="386"/>
      <c r="CEA114" s="386"/>
      <c r="CEB114" s="386"/>
      <c r="CEC114" s="386"/>
      <c r="CED114" s="386"/>
      <c r="CEE114" s="386"/>
      <c r="CEF114" s="386"/>
      <c r="CEG114" s="386"/>
      <c r="CEH114" s="386"/>
      <c r="CEI114" s="386"/>
      <c r="CEJ114" s="386"/>
      <c r="CEK114" s="386"/>
      <c r="CEL114" s="386"/>
      <c r="CEM114" s="386"/>
      <c r="CEN114" s="386"/>
      <c r="CEO114" s="386"/>
      <c r="CEP114" s="386"/>
      <c r="CEQ114" s="386"/>
      <c r="CER114" s="386"/>
      <c r="CES114" s="386"/>
      <c r="CET114" s="386"/>
      <c r="CEU114" s="386"/>
      <c r="CEV114" s="386"/>
      <c r="CEW114" s="386"/>
      <c r="CEX114" s="386"/>
      <c r="CEY114" s="386"/>
      <c r="CEZ114" s="386"/>
      <c r="CFA114" s="386"/>
      <c r="CFB114" s="386"/>
      <c r="CFC114" s="386"/>
      <c r="CFD114" s="386"/>
      <c r="CFE114" s="386"/>
      <c r="CFF114" s="386"/>
      <c r="CFG114" s="386"/>
      <c r="CFH114" s="386"/>
      <c r="CFI114" s="386"/>
      <c r="CFJ114" s="386"/>
      <c r="CFK114" s="386"/>
      <c r="CFL114" s="386"/>
      <c r="CFM114" s="386"/>
      <c r="CFN114" s="386"/>
      <c r="CFO114" s="386"/>
      <c r="CFP114" s="386"/>
      <c r="CFQ114" s="386"/>
      <c r="CFR114" s="386"/>
      <c r="CFS114" s="386"/>
      <c r="CFT114" s="386"/>
      <c r="CFU114" s="386"/>
      <c r="CFV114" s="386"/>
      <c r="CFW114" s="386"/>
      <c r="CFX114" s="386"/>
      <c r="CFY114" s="386"/>
      <c r="CFZ114" s="386"/>
      <c r="CGA114" s="386"/>
      <c r="CGB114" s="386"/>
      <c r="CGC114" s="386"/>
      <c r="CGD114" s="386"/>
      <c r="CGE114" s="386"/>
      <c r="CGF114" s="386"/>
      <c r="CGG114" s="386"/>
      <c r="CGH114" s="386"/>
      <c r="CGI114" s="386"/>
      <c r="CGJ114" s="386"/>
      <c r="CGK114" s="386"/>
      <c r="CGL114" s="386"/>
      <c r="CGM114" s="386"/>
      <c r="CGN114" s="386"/>
      <c r="CGO114" s="386"/>
      <c r="CGP114" s="386"/>
      <c r="CGQ114" s="386"/>
      <c r="CGR114" s="386"/>
      <c r="CGS114" s="386"/>
      <c r="CGT114" s="386"/>
      <c r="CGU114" s="386"/>
      <c r="CGV114" s="386"/>
      <c r="CGW114" s="386"/>
      <c r="CGX114" s="386"/>
      <c r="CGY114" s="386"/>
      <c r="CGZ114" s="386"/>
      <c r="CHA114" s="386"/>
      <c r="CHB114" s="386"/>
      <c r="CHC114" s="386"/>
      <c r="CHD114" s="386"/>
      <c r="CHE114" s="386"/>
      <c r="CHF114" s="386"/>
      <c r="CHG114" s="386"/>
      <c r="CHH114" s="386"/>
      <c r="CHI114" s="386"/>
      <c r="CHJ114" s="386"/>
      <c r="CHK114" s="386"/>
      <c r="CHL114" s="386"/>
      <c r="CHM114" s="386"/>
      <c r="CHN114" s="386"/>
      <c r="CHO114" s="386"/>
      <c r="CHP114" s="386"/>
      <c r="CHQ114" s="386"/>
      <c r="CHR114" s="386"/>
      <c r="CHS114" s="386"/>
      <c r="CHT114" s="386"/>
      <c r="CHU114" s="386"/>
      <c r="CHV114" s="386"/>
      <c r="CHW114" s="386"/>
      <c r="CHX114" s="386"/>
      <c r="CHY114" s="386"/>
      <c r="CHZ114" s="386"/>
      <c r="CIA114" s="386"/>
      <c r="CIB114" s="386"/>
      <c r="CIC114" s="386"/>
      <c r="CID114" s="386"/>
      <c r="CIE114" s="386"/>
      <c r="CIF114" s="386"/>
      <c r="CIG114" s="386"/>
      <c r="CIH114" s="386"/>
      <c r="CII114" s="386"/>
      <c r="CIJ114" s="386"/>
      <c r="CIK114" s="386"/>
      <c r="CIL114" s="386"/>
      <c r="CIM114" s="386"/>
      <c r="CIN114" s="386"/>
      <c r="CIO114" s="386"/>
      <c r="CIP114" s="386"/>
      <c r="CIQ114" s="386"/>
      <c r="CIR114" s="386"/>
      <c r="CIS114" s="386"/>
      <c r="CIT114" s="386"/>
      <c r="CIU114" s="386"/>
      <c r="CIV114" s="386"/>
      <c r="CIW114" s="386"/>
      <c r="CIX114" s="386"/>
      <c r="CIY114" s="386"/>
      <c r="CIZ114" s="386"/>
      <c r="CJA114" s="386"/>
      <c r="CJB114" s="386"/>
      <c r="CJC114" s="386"/>
      <c r="CJD114" s="386"/>
      <c r="CJE114" s="386"/>
      <c r="CJF114" s="386"/>
      <c r="CJG114" s="386"/>
      <c r="CJH114" s="386"/>
      <c r="CJI114" s="386"/>
      <c r="CJJ114" s="386"/>
      <c r="CJK114" s="386"/>
      <c r="CJL114" s="386"/>
      <c r="CJM114" s="386"/>
      <c r="CJN114" s="386"/>
      <c r="CJO114" s="386"/>
      <c r="CJP114" s="386"/>
      <c r="CJQ114" s="386"/>
      <c r="CJR114" s="386"/>
      <c r="CJS114" s="386"/>
      <c r="CJT114" s="386"/>
      <c r="CJU114" s="386"/>
      <c r="CJV114" s="386"/>
      <c r="CJW114" s="386"/>
      <c r="CJX114" s="386"/>
      <c r="CJY114" s="386"/>
      <c r="CJZ114" s="386"/>
      <c r="CKA114" s="386"/>
      <c r="CKB114" s="386"/>
      <c r="CKC114" s="386"/>
      <c r="CKD114" s="386"/>
      <c r="CKE114" s="386"/>
      <c r="CKF114" s="386"/>
      <c r="CKG114" s="386"/>
      <c r="CKH114" s="386"/>
      <c r="CKI114" s="386"/>
      <c r="CKJ114" s="386"/>
      <c r="CKK114" s="386"/>
      <c r="CKL114" s="386"/>
      <c r="CKM114" s="386"/>
      <c r="CKN114" s="386"/>
      <c r="CKO114" s="386"/>
      <c r="CKP114" s="386"/>
      <c r="CKQ114" s="386"/>
      <c r="CKR114" s="386"/>
      <c r="CKS114" s="386"/>
      <c r="CKT114" s="386"/>
      <c r="CKU114" s="386"/>
      <c r="CKV114" s="386"/>
      <c r="CKW114" s="386"/>
      <c r="CKX114" s="386"/>
      <c r="CKY114" s="386"/>
      <c r="CKZ114" s="386"/>
      <c r="CLA114" s="386"/>
      <c r="CLB114" s="386"/>
      <c r="CLC114" s="386"/>
      <c r="CLD114" s="386"/>
      <c r="CLE114" s="386"/>
      <c r="CLF114" s="386"/>
      <c r="CLG114" s="386"/>
      <c r="CLH114" s="386"/>
      <c r="CLI114" s="386"/>
      <c r="CLJ114" s="386"/>
      <c r="CLK114" s="386"/>
      <c r="CLL114" s="386"/>
      <c r="CLM114" s="386"/>
      <c r="CLN114" s="386"/>
      <c r="CLO114" s="386"/>
      <c r="CLP114" s="386"/>
      <c r="CLQ114" s="386"/>
      <c r="CLR114" s="386"/>
      <c r="CLS114" s="386"/>
      <c r="CLT114" s="386"/>
      <c r="CLU114" s="386"/>
      <c r="CLV114" s="386"/>
      <c r="CLW114" s="386"/>
      <c r="CLX114" s="386"/>
      <c r="CLY114" s="386"/>
      <c r="CLZ114" s="386"/>
      <c r="CMA114" s="386"/>
      <c r="CMB114" s="386"/>
      <c r="CMC114" s="386"/>
      <c r="CMD114" s="386"/>
      <c r="CME114" s="386"/>
      <c r="CMF114" s="386"/>
      <c r="CMG114" s="386"/>
      <c r="CMH114" s="386"/>
      <c r="CMI114" s="386"/>
      <c r="CMJ114" s="386"/>
      <c r="CMK114" s="386"/>
      <c r="CML114" s="386"/>
      <c r="CMM114" s="386"/>
      <c r="CMN114" s="386"/>
      <c r="CMO114" s="386"/>
      <c r="CMP114" s="386"/>
      <c r="CMQ114" s="386"/>
      <c r="CMR114" s="386"/>
      <c r="CMS114" s="386"/>
      <c r="CMT114" s="386"/>
      <c r="CMU114" s="386"/>
      <c r="CMV114" s="386"/>
      <c r="CMW114" s="386"/>
      <c r="CMX114" s="386"/>
      <c r="CMY114" s="386"/>
      <c r="CMZ114" s="386"/>
      <c r="CNA114" s="386"/>
      <c r="CNB114" s="386"/>
      <c r="CNC114" s="386"/>
      <c r="CND114" s="386"/>
      <c r="CNE114" s="386"/>
      <c r="CNF114" s="386"/>
      <c r="CNG114" s="386"/>
      <c r="CNH114" s="386"/>
      <c r="CNI114" s="386"/>
      <c r="CNJ114" s="386"/>
      <c r="CNK114" s="386"/>
      <c r="CNL114" s="386"/>
      <c r="CNM114" s="386"/>
      <c r="CNN114" s="386"/>
      <c r="CNO114" s="386"/>
      <c r="CNP114" s="386"/>
      <c r="CNQ114" s="386"/>
      <c r="CNR114" s="386"/>
      <c r="CNS114" s="386"/>
      <c r="CNT114" s="386"/>
      <c r="CNU114" s="386"/>
      <c r="CNV114" s="386"/>
      <c r="CNW114" s="386"/>
      <c r="CNX114" s="386"/>
      <c r="CNY114" s="386"/>
      <c r="CNZ114" s="386"/>
      <c r="COA114" s="386"/>
      <c r="COB114" s="386"/>
      <c r="COC114" s="386"/>
      <c r="COD114" s="386"/>
      <c r="COE114" s="386"/>
      <c r="COF114" s="386"/>
      <c r="COG114" s="386"/>
      <c r="COH114" s="386"/>
      <c r="COI114" s="386"/>
      <c r="COJ114" s="386"/>
      <c r="COK114" s="386"/>
      <c r="COL114" s="386"/>
      <c r="COM114" s="386"/>
      <c r="CON114" s="386"/>
      <c r="COO114" s="386"/>
      <c r="COP114" s="386"/>
      <c r="COQ114" s="386"/>
      <c r="COR114" s="386"/>
      <c r="COS114" s="386"/>
      <c r="COT114" s="386"/>
      <c r="COU114" s="386"/>
      <c r="COV114" s="386"/>
      <c r="COW114" s="386"/>
      <c r="COX114" s="386"/>
      <c r="COY114" s="386"/>
      <c r="COZ114" s="386"/>
      <c r="CPA114" s="386"/>
      <c r="CPB114" s="386"/>
      <c r="CPC114" s="386"/>
      <c r="CPD114" s="386"/>
      <c r="CPE114" s="386"/>
      <c r="CPF114" s="386"/>
      <c r="CPG114" s="386"/>
      <c r="CPH114" s="386"/>
      <c r="CPI114" s="386"/>
      <c r="CPJ114" s="386"/>
      <c r="CPK114" s="386"/>
      <c r="CPL114" s="386"/>
      <c r="CPM114" s="386"/>
      <c r="CPN114" s="386"/>
      <c r="CPO114" s="386"/>
      <c r="CPP114" s="386"/>
      <c r="CPQ114" s="386"/>
      <c r="CPR114" s="386"/>
      <c r="CPS114" s="386"/>
      <c r="CPT114" s="386"/>
      <c r="CPU114" s="386"/>
      <c r="CPV114" s="386"/>
      <c r="CPW114" s="386"/>
      <c r="CPX114" s="386"/>
      <c r="CPY114" s="386"/>
      <c r="CPZ114" s="386"/>
      <c r="CQA114" s="386"/>
      <c r="CQB114" s="386"/>
      <c r="CQC114" s="386"/>
      <c r="CQD114" s="386"/>
      <c r="CQE114" s="386"/>
      <c r="CQF114" s="386"/>
      <c r="CQG114" s="386"/>
      <c r="CQH114" s="386"/>
      <c r="CQI114" s="386"/>
      <c r="CQJ114" s="386"/>
      <c r="CQK114" s="386"/>
      <c r="CQL114" s="386"/>
      <c r="CQM114" s="386"/>
      <c r="CQN114" s="386"/>
      <c r="CQO114" s="386"/>
      <c r="CQP114" s="386"/>
      <c r="CQQ114" s="386"/>
      <c r="CQR114" s="386"/>
      <c r="CQS114" s="386"/>
      <c r="CQT114" s="386"/>
      <c r="CQU114" s="386"/>
      <c r="CQV114" s="386"/>
      <c r="CQW114" s="386"/>
      <c r="CQX114" s="386"/>
      <c r="CQY114" s="386"/>
      <c r="CQZ114" s="386"/>
      <c r="CRA114" s="386"/>
      <c r="CRB114" s="386"/>
      <c r="CRC114" s="386"/>
      <c r="CRD114" s="386"/>
      <c r="CRE114" s="386"/>
      <c r="CRF114" s="386"/>
      <c r="CRG114" s="386"/>
      <c r="CRH114" s="386"/>
      <c r="CRI114" s="386"/>
      <c r="CRJ114" s="386"/>
      <c r="CRK114" s="386"/>
      <c r="CRL114" s="386"/>
      <c r="CRM114" s="386"/>
      <c r="CRN114" s="386"/>
      <c r="CRO114" s="386"/>
      <c r="CRP114" s="386"/>
      <c r="CRQ114" s="386"/>
      <c r="CRR114" s="386"/>
      <c r="CRS114" s="386"/>
      <c r="CRT114" s="386"/>
      <c r="CRU114" s="386"/>
      <c r="CRV114" s="386"/>
      <c r="CRW114" s="386"/>
      <c r="CRX114" s="386"/>
      <c r="CRY114" s="386"/>
      <c r="CRZ114" s="386"/>
      <c r="CSA114" s="386"/>
      <c r="CSB114" s="386"/>
      <c r="CSC114" s="386"/>
      <c r="CSD114" s="386"/>
      <c r="CSE114" s="386"/>
      <c r="CSF114" s="386"/>
      <c r="CSG114" s="386"/>
      <c r="CSH114" s="386"/>
      <c r="CSI114" s="386"/>
      <c r="CSJ114" s="386"/>
      <c r="CSK114" s="386"/>
      <c r="CSL114" s="386"/>
      <c r="CSM114" s="386"/>
      <c r="CSN114" s="386"/>
      <c r="CSO114" s="386"/>
      <c r="CSP114" s="386"/>
      <c r="CSQ114" s="386"/>
      <c r="CSR114" s="386"/>
      <c r="CSS114" s="386"/>
      <c r="CST114" s="386"/>
      <c r="CSU114" s="386"/>
      <c r="CSV114" s="386"/>
      <c r="CSW114" s="386"/>
      <c r="CSX114" s="386"/>
      <c r="CSY114" s="386"/>
      <c r="CSZ114" s="386"/>
      <c r="CTA114" s="386"/>
      <c r="CTB114" s="386"/>
      <c r="CTC114" s="386"/>
      <c r="CTD114" s="386"/>
      <c r="CTE114" s="386"/>
      <c r="CTF114" s="386"/>
      <c r="CTG114" s="386"/>
      <c r="CTH114" s="386"/>
      <c r="CTI114" s="386"/>
      <c r="CTJ114" s="386"/>
      <c r="CTK114" s="386"/>
      <c r="CTL114" s="386"/>
      <c r="CTM114" s="386"/>
      <c r="CTN114" s="386"/>
      <c r="CTO114" s="386"/>
      <c r="CTP114" s="386"/>
      <c r="CTQ114" s="386"/>
      <c r="CTR114" s="386"/>
      <c r="CTS114" s="386"/>
      <c r="CTT114" s="386"/>
      <c r="CTU114" s="386"/>
      <c r="CTV114" s="386"/>
      <c r="CTW114" s="386"/>
      <c r="CTX114" s="386"/>
      <c r="CTY114" s="386"/>
      <c r="CTZ114" s="386"/>
      <c r="CUA114" s="386"/>
      <c r="CUB114" s="386"/>
      <c r="CUC114" s="386"/>
      <c r="CUD114" s="386"/>
      <c r="CUE114" s="386"/>
      <c r="CUF114" s="386"/>
      <c r="CUG114" s="386"/>
      <c r="CUH114" s="386"/>
      <c r="CUI114" s="386"/>
      <c r="CUJ114" s="386"/>
      <c r="CUK114" s="386"/>
      <c r="CUL114" s="386"/>
      <c r="CUM114" s="386"/>
      <c r="CUN114" s="386"/>
      <c r="CUO114" s="386"/>
      <c r="CUP114" s="386"/>
      <c r="CUQ114" s="386"/>
      <c r="CUR114" s="386"/>
      <c r="CUS114" s="386"/>
      <c r="CUT114" s="386"/>
      <c r="CUU114" s="386"/>
      <c r="CUV114" s="386"/>
      <c r="CUW114" s="386"/>
      <c r="CUX114" s="386"/>
      <c r="CUY114" s="386"/>
      <c r="CUZ114" s="386"/>
      <c r="CVA114" s="386"/>
      <c r="CVB114" s="386"/>
      <c r="CVC114" s="386"/>
      <c r="CVD114" s="386"/>
      <c r="CVE114" s="386"/>
      <c r="CVF114" s="386"/>
      <c r="CVG114" s="386"/>
      <c r="CVH114" s="386"/>
      <c r="CVI114" s="386"/>
      <c r="CVJ114" s="386"/>
      <c r="CVK114" s="386"/>
      <c r="CVL114" s="386"/>
      <c r="CVM114" s="386"/>
      <c r="CVN114" s="386"/>
      <c r="CVO114" s="386"/>
      <c r="CVP114" s="386"/>
      <c r="CVQ114" s="386"/>
      <c r="CVR114" s="386"/>
      <c r="CVS114" s="386"/>
      <c r="CVT114" s="386"/>
      <c r="CVU114" s="386"/>
      <c r="CVV114" s="386"/>
      <c r="CVW114" s="386"/>
      <c r="CVX114" s="386"/>
      <c r="CVY114" s="386"/>
      <c r="CVZ114" s="386"/>
      <c r="CWA114" s="386"/>
      <c r="CWB114" s="386"/>
      <c r="CWC114" s="386"/>
      <c r="CWD114" s="386"/>
      <c r="CWE114" s="386"/>
      <c r="CWF114" s="386"/>
      <c r="CWG114" s="386"/>
      <c r="CWH114" s="386"/>
      <c r="CWI114" s="386"/>
      <c r="CWJ114" s="386"/>
      <c r="CWK114" s="386"/>
      <c r="CWL114" s="386"/>
      <c r="CWM114" s="386"/>
      <c r="CWN114" s="386"/>
      <c r="CWO114" s="386"/>
      <c r="CWP114" s="386"/>
      <c r="CWQ114" s="386"/>
      <c r="CWR114" s="386"/>
      <c r="CWS114" s="386"/>
      <c r="CWT114" s="386"/>
      <c r="CWU114" s="386"/>
      <c r="CWV114" s="386"/>
      <c r="CWW114" s="386"/>
      <c r="CWX114" s="386"/>
      <c r="CWY114" s="386"/>
      <c r="CWZ114" s="386"/>
      <c r="CXA114" s="386"/>
      <c r="CXB114" s="386"/>
      <c r="CXC114" s="386"/>
      <c r="CXD114" s="386"/>
      <c r="CXE114" s="386"/>
      <c r="CXF114" s="386"/>
      <c r="CXG114" s="386"/>
      <c r="CXH114" s="386"/>
      <c r="CXI114" s="386"/>
      <c r="CXJ114" s="386"/>
      <c r="CXK114" s="386"/>
      <c r="CXL114" s="386"/>
      <c r="CXM114" s="386"/>
      <c r="CXN114" s="386"/>
      <c r="CXO114" s="386"/>
      <c r="CXP114" s="386"/>
      <c r="CXQ114" s="386"/>
      <c r="CXR114" s="386"/>
      <c r="CXS114" s="386"/>
      <c r="CXT114" s="386"/>
      <c r="CXU114" s="386"/>
      <c r="CXV114" s="386"/>
      <c r="CXW114" s="386"/>
      <c r="CXX114" s="386"/>
      <c r="CXY114" s="386"/>
      <c r="CXZ114" s="386"/>
      <c r="CYA114" s="386"/>
      <c r="CYB114" s="386"/>
      <c r="CYC114" s="386"/>
      <c r="CYD114" s="386"/>
      <c r="CYE114" s="386"/>
      <c r="CYF114" s="386"/>
      <c r="CYG114" s="386"/>
      <c r="CYH114" s="386"/>
      <c r="CYI114" s="386"/>
      <c r="CYJ114" s="386"/>
      <c r="CYK114" s="386"/>
      <c r="CYL114" s="386"/>
      <c r="CYM114" s="386"/>
      <c r="CYN114" s="386"/>
      <c r="CYO114" s="386"/>
      <c r="CYP114" s="386"/>
      <c r="CYQ114" s="386"/>
      <c r="CYR114" s="386"/>
      <c r="CYS114" s="386"/>
      <c r="CYT114" s="386"/>
      <c r="CYU114" s="386"/>
      <c r="CYV114" s="386"/>
      <c r="CYW114" s="386"/>
      <c r="CYX114" s="386"/>
      <c r="CYY114" s="386"/>
      <c r="CYZ114" s="386"/>
      <c r="CZA114" s="386"/>
      <c r="CZB114" s="386"/>
      <c r="CZC114" s="386"/>
      <c r="CZD114" s="386"/>
      <c r="CZE114" s="386"/>
      <c r="CZF114" s="386"/>
      <c r="CZG114" s="386"/>
      <c r="CZH114" s="386"/>
      <c r="CZI114" s="386"/>
      <c r="CZJ114" s="386"/>
      <c r="CZK114" s="386"/>
      <c r="CZL114" s="386"/>
      <c r="CZM114" s="386"/>
      <c r="CZN114" s="386"/>
      <c r="CZO114" s="386"/>
      <c r="CZP114" s="386"/>
      <c r="CZQ114" s="386"/>
      <c r="CZR114" s="386"/>
      <c r="CZS114" s="386"/>
      <c r="CZT114" s="386"/>
      <c r="CZU114" s="386"/>
      <c r="CZV114" s="386"/>
      <c r="CZW114" s="386"/>
      <c r="CZX114" s="386"/>
      <c r="CZY114" s="386"/>
      <c r="CZZ114" s="386"/>
      <c r="DAA114" s="386"/>
      <c r="DAB114" s="386"/>
      <c r="DAC114" s="386"/>
      <c r="DAD114" s="386"/>
      <c r="DAE114" s="386"/>
      <c r="DAF114" s="386"/>
      <c r="DAG114" s="386"/>
      <c r="DAH114" s="386"/>
      <c r="DAI114" s="386"/>
      <c r="DAJ114" s="386"/>
      <c r="DAK114" s="386"/>
      <c r="DAL114" s="386"/>
      <c r="DAM114" s="386"/>
      <c r="DAN114" s="386"/>
      <c r="DAO114" s="386"/>
      <c r="DAP114" s="386"/>
      <c r="DAQ114" s="386"/>
      <c r="DAR114" s="386"/>
      <c r="DAS114" s="386"/>
      <c r="DAT114" s="386"/>
      <c r="DAU114" s="386"/>
      <c r="DAV114" s="386"/>
      <c r="DAW114" s="386"/>
      <c r="DAX114" s="386"/>
      <c r="DAY114" s="386"/>
      <c r="DAZ114" s="386"/>
      <c r="DBA114" s="386"/>
      <c r="DBB114" s="386"/>
      <c r="DBC114" s="386"/>
      <c r="DBD114" s="386"/>
      <c r="DBE114" s="386"/>
      <c r="DBF114" s="386"/>
      <c r="DBG114" s="386"/>
      <c r="DBH114" s="386"/>
      <c r="DBI114" s="386"/>
      <c r="DBJ114" s="386"/>
      <c r="DBK114" s="386"/>
      <c r="DBL114" s="386"/>
      <c r="DBM114" s="386"/>
      <c r="DBN114" s="386"/>
      <c r="DBO114" s="386"/>
      <c r="DBP114" s="386"/>
      <c r="DBQ114" s="386"/>
      <c r="DBR114" s="386"/>
      <c r="DBS114" s="386"/>
      <c r="DBT114" s="386"/>
      <c r="DBU114" s="386"/>
      <c r="DBV114" s="386"/>
      <c r="DBW114" s="386"/>
      <c r="DBX114" s="386"/>
      <c r="DBY114" s="386"/>
      <c r="DBZ114" s="386"/>
      <c r="DCA114" s="386"/>
      <c r="DCB114" s="386"/>
      <c r="DCC114" s="386"/>
      <c r="DCD114" s="386"/>
      <c r="DCE114" s="386"/>
      <c r="DCF114" s="386"/>
      <c r="DCG114" s="386"/>
      <c r="DCH114" s="386"/>
      <c r="DCI114" s="386"/>
      <c r="DCJ114" s="386"/>
      <c r="DCK114" s="386"/>
      <c r="DCL114" s="386"/>
      <c r="DCM114" s="386"/>
      <c r="DCN114" s="386"/>
      <c r="DCO114" s="386"/>
      <c r="DCP114" s="386"/>
      <c r="DCQ114" s="386"/>
      <c r="DCR114" s="386"/>
      <c r="DCS114" s="386"/>
      <c r="DCT114" s="386"/>
      <c r="DCU114" s="386"/>
      <c r="DCV114" s="386"/>
      <c r="DCW114" s="386"/>
      <c r="DCX114" s="386"/>
      <c r="DCY114" s="386"/>
      <c r="DCZ114" s="386"/>
      <c r="DDA114" s="386"/>
      <c r="DDB114" s="386"/>
      <c r="DDC114" s="386"/>
      <c r="DDD114" s="386"/>
      <c r="DDE114" s="386"/>
      <c r="DDF114" s="386"/>
      <c r="DDG114" s="386"/>
      <c r="DDH114" s="386"/>
      <c r="DDI114" s="386"/>
      <c r="DDJ114" s="386"/>
      <c r="DDK114" s="386"/>
      <c r="DDL114" s="386"/>
      <c r="DDM114" s="386"/>
      <c r="DDN114" s="386"/>
      <c r="DDO114" s="386"/>
      <c r="DDP114" s="386"/>
      <c r="DDQ114" s="386"/>
      <c r="DDR114" s="386"/>
      <c r="DDS114" s="386"/>
      <c r="DDT114" s="386"/>
      <c r="DDU114" s="386"/>
      <c r="DDV114" s="386"/>
      <c r="DDW114" s="386"/>
      <c r="DDX114" s="386"/>
      <c r="DDY114" s="386"/>
      <c r="DDZ114" s="386"/>
      <c r="DEA114" s="386"/>
      <c r="DEB114" s="386"/>
      <c r="DEC114" s="386"/>
      <c r="DED114" s="386"/>
      <c r="DEE114" s="386"/>
      <c r="DEF114" s="386"/>
      <c r="DEG114" s="386"/>
      <c r="DEH114" s="386"/>
      <c r="DEI114" s="386"/>
      <c r="DEJ114" s="386"/>
      <c r="DEK114" s="386"/>
      <c r="DEL114" s="386"/>
      <c r="DEM114" s="386"/>
      <c r="DEN114" s="386"/>
      <c r="DEO114" s="386"/>
      <c r="DEP114" s="386"/>
      <c r="DEQ114" s="386"/>
      <c r="DER114" s="386"/>
      <c r="DES114" s="386"/>
      <c r="DET114" s="386"/>
      <c r="DEU114" s="386"/>
      <c r="DEV114" s="386"/>
      <c r="DEW114" s="386"/>
      <c r="DEX114" s="386"/>
      <c r="DEY114" s="386"/>
      <c r="DEZ114" s="386"/>
      <c r="DFA114" s="386"/>
      <c r="DFB114" s="386"/>
      <c r="DFC114" s="386"/>
      <c r="DFD114" s="386"/>
      <c r="DFE114" s="386"/>
      <c r="DFF114" s="386"/>
      <c r="DFG114" s="386"/>
      <c r="DFH114" s="386"/>
      <c r="DFI114" s="386"/>
      <c r="DFJ114" s="386"/>
      <c r="DFK114" s="386"/>
      <c r="DFL114" s="386"/>
      <c r="DFM114" s="386"/>
      <c r="DFN114" s="386"/>
      <c r="DFO114" s="386"/>
      <c r="DFP114" s="386"/>
      <c r="DFQ114" s="386"/>
      <c r="DFR114" s="386"/>
      <c r="DFS114" s="386"/>
      <c r="DFT114" s="386"/>
      <c r="DFU114" s="386"/>
      <c r="DFV114" s="386"/>
      <c r="DFW114" s="386"/>
      <c r="DFX114" s="386"/>
      <c r="DFY114" s="386"/>
      <c r="DFZ114" s="386"/>
      <c r="DGA114" s="386"/>
      <c r="DGB114" s="386"/>
      <c r="DGC114" s="386"/>
      <c r="DGD114" s="386"/>
      <c r="DGE114" s="386"/>
      <c r="DGF114" s="386"/>
      <c r="DGG114" s="386"/>
      <c r="DGH114" s="386"/>
      <c r="DGI114" s="386"/>
      <c r="DGJ114" s="386"/>
      <c r="DGK114" s="386"/>
      <c r="DGL114" s="386"/>
      <c r="DGM114" s="386"/>
      <c r="DGN114" s="386"/>
      <c r="DGO114" s="386"/>
      <c r="DGP114" s="386"/>
      <c r="DGQ114" s="386"/>
      <c r="DGR114" s="386"/>
      <c r="DGS114" s="386"/>
      <c r="DGT114" s="386"/>
      <c r="DGU114" s="386"/>
      <c r="DGV114" s="386"/>
      <c r="DGW114" s="386"/>
      <c r="DGX114" s="386"/>
      <c r="DGY114" s="386"/>
      <c r="DGZ114" s="386"/>
      <c r="DHA114" s="386"/>
      <c r="DHB114" s="386"/>
      <c r="DHC114" s="386"/>
      <c r="DHD114" s="386"/>
      <c r="DHE114" s="386"/>
      <c r="DHF114" s="386"/>
      <c r="DHG114" s="386"/>
      <c r="DHH114" s="386"/>
      <c r="DHI114" s="386"/>
      <c r="DHJ114" s="386"/>
      <c r="DHK114" s="386"/>
      <c r="DHL114" s="386"/>
      <c r="DHM114" s="386"/>
      <c r="DHN114" s="386"/>
      <c r="DHO114" s="386"/>
      <c r="DHP114" s="386"/>
      <c r="DHQ114" s="386"/>
      <c r="DHR114" s="386"/>
      <c r="DHS114" s="386"/>
      <c r="DHT114" s="386"/>
      <c r="DHU114" s="386"/>
      <c r="DHV114" s="386"/>
      <c r="DHW114" s="386"/>
      <c r="DHX114" s="386"/>
      <c r="DHY114" s="386"/>
      <c r="DHZ114" s="386"/>
      <c r="DIA114" s="386"/>
      <c r="DIB114" s="386"/>
      <c r="DIC114" s="386"/>
      <c r="DID114" s="386"/>
      <c r="DIE114" s="386"/>
      <c r="DIF114" s="386"/>
      <c r="DIG114" s="386"/>
      <c r="DIH114" s="386"/>
      <c r="DII114" s="386"/>
      <c r="DIJ114" s="386"/>
      <c r="DIK114" s="386"/>
      <c r="DIL114" s="386"/>
      <c r="DIM114" s="386"/>
      <c r="DIN114" s="386"/>
      <c r="DIO114" s="386"/>
      <c r="DIP114" s="386"/>
      <c r="DIQ114" s="386"/>
      <c r="DIR114" s="386"/>
      <c r="DIS114" s="386"/>
      <c r="DIT114" s="386"/>
      <c r="DIU114" s="386"/>
      <c r="DIV114" s="386"/>
      <c r="DIW114" s="386"/>
      <c r="DIX114" s="386"/>
      <c r="DIY114" s="386"/>
      <c r="DIZ114" s="386"/>
      <c r="DJA114" s="386"/>
      <c r="DJB114" s="386"/>
      <c r="DJC114" s="386"/>
      <c r="DJD114" s="386"/>
      <c r="DJE114" s="386"/>
      <c r="DJF114" s="386"/>
      <c r="DJG114" s="386"/>
      <c r="DJH114" s="386"/>
      <c r="DJI114" s="386"/>
      <c r="DJJ114" s="386"/>
      <c r="DJK114" s="386"/>
      <c r="DJL114" s="386"/>
      <c r="DJM114" s="386"/>
      <c r="DJN114" s="386"/>
      <c r="DJO114" s="386"/>
      <c r="DJP114" s="386"/>
      <c r="DJQ114" s="386"/>
      <c r="DJR114" s="386"/>
      <c r="DJS114" s="386"/>
      <c r="DJT114" s="386"/>
      <c r="DJU114" s="386"/>
      <c r="DJV114" s="386"/>
      <c r="DJW114" s="386"/>
      <c r="DJX114" s="386"/>
      <c r="DJY114" s="386"/>
      <c r="DJZ114" s="386"/>
      <c r="DKA114" s="386"/>
      <c r="DKB114" s="386"/>
      <c r="DKC114" s="386"/>
      <c r="DKD114" s="386"/>
      <c r="DKE114" s="386"/>
      <c r="DKF114" s="386"/>
      <c r="DKG114" s="386"/>
      <c r="DKH114" s="386"/>
      <c r="DKI114" s="386"/>
      <c r="DKJ114" s="386"/>
      <c r="DKK114" s="386"/>
      <c r="DKL114" s="386"/>
      <c r="DKM114" s="386"/>
      <c r="DKN114" s="386"/>
      <c r="DKO114" s="386"/>
      <c r="DKP114" s="386"/>
      <c r="DKQ114" s="386"/>
      <c r="DKR114" s="386"/>
      <c r="DKS114" s="386"/>
      <c r="DKT114" s="386"/>
      <c r="DKU114" s="386"/>
      <c r="DKV114" s="386"/>
      <c r="DKW114" s="386"/>
      <c r="DKX114" s="386"/>
      <c r="DKY114" s="386"/>
      <c r="DKZ114" s="386"/>
      <c r="DLA114" s="386"/>
      <c r="DLB114" s="386"/>
      <c r="DLC114" s="386"/>
      <c r="DLD114" s="386"/>
      <c r="DLE114" s="386"/>
      <c r="DLF114" s="386"/>
      <c r="DLG114" s="386"/>
      <c r="DLH114" s="386"/>
      <c r="DLI114" s="386"/>
      <c r="DLJ114" s="386"/>
      <c r="DLK114" s="386"/>
      <c r="DLL114" s="386"/>
      <c r="DLM114" s="386"/>
      <c r="DLN114" s="386"/>
      <c r="DLO114" s="386"/>
      <c r="DLP114" s="386"/>
      <c r="DLQ114" s="386"/>
      <c r="DLR114" s="386"/>
      <c r="DLS114" s="386"/>
      <c r="DLT114" s="386"/>
      <c r="DLU114" s="386"/>
      <c r="DLV114" s="386"/>
      <c r="DLW114" s="386"/>
      <c r="DLX114" s="386"/>
      <c r="DLY114" s="386"/>
      <c r="DLZ114" s="386"/>
      <c r="DMA114" s="386"/>
      <c r="DMB114" s="386"/>
      <c r="DMC114" s="386"/>
      <c r="DMD114" s="386"/>
      <c r="DME114" s="386"/>
      <c r="DMF114" s="386"/>
      <c r="DMG114" s="386"/>
      <c r="DMH114" s="386"/>
      <c r="DMI114" s="386"/>
      <c r="DMJ114" s="386"/>
      <c r="DMK114" s="386"/>
      <c r="DML114" s="386"/>
      <c r="DMM114" s="386"/>
      <c r="DMN114" s="386"/>
      <c r="DMO114" s="386"/>
      <c r="DMP114" s="386"/>
      <c r="DMQ114" s="386"/>
      <c r="DMR114" s="386"/>
      <c r="DMS114" s="386"/>
      <c r="DMT114" s="386"/>
      <c r="DMU114" s="386"/>
      <c r="DMV114" s="386"/>
      <c r="DMW114" s="386"/>
      <c r="DMX114" s="386"/>
      <c r="DMY114" s="386"/>
      <c r="DMZ114" s="386"/>
      <c r="DNA114" s="386"/>
      <c r="DNB114" s="386"/>
      <c r="DNC114" s="386"/>
      <c r="DND114" s="386"/>
      <c r="DNE114" s="386"/>
      <c r="DNF114" s="386"/>
      <c r="DNG114" s="386"/>
      <c r="DNH114" s="386"/>
      <c r="DNI114" s="386"/>
      <c r="DNJ114" s="386"/>
      <c r="DNK114" s="386"/>
      <c r="DNL114" s="386"/>
      <c r="DNM114" s="386"/>
      <c r="DNN114" s="386"/>
      <c r="DNO114" s="386"/>
      <c r="DNP114" s="386"/>
      <c r="DNQ114" s="386"/>
      <c r="DNR114" s="386"/>
      <c r="DNS114" s="386"/>
      <c r="DNT114" s="386"/>
      <c r="DNU114" s="386"/>
      <c r="DNV114" s="386"/>
      <c r="DNW114" s="386"/>
      <c r="DNX114" s="386"/>
      <c r="DNY114" s="386"/>
      <c r="DNZ114" s="386"/>
      <c r="DOA114" s="386"/>
      <c r="DOB114" s="386"/>
      <c r="DOC114" s="386"/>
      <c r="DOD114" s="386"/>
      <c r="DOE114" s="386"/>
      <c r="DOF114" s="386"/>
      <c r="DOG114" s="386"/>
      <c r="DOH114" s="386"/>
      <c r="DOI114" s="386"/>
      <c r="DOJ114" s="386"/>
      <c r="DOK114" s="386"/>
      <c r="DOL114" s="386"/>
      <c r="DOM114" s="386"/>
      <c r="DON114" s="386"/>
      <c r="DOO114" s="386"/>
      <c r="DOP114" s="386"/>
      <c r="DOQ114" s="386"/>
      <c r="DOR114" s="386"/>
      <c r="DOS114" s="386"/>
      <c r="DOT114" s="386"/>
      <c r="DOU114" s="386"/>
      <c r="DOV114" s="386"/>
      <c r="DOW114" s="386"/>
      <c r="DOX114" s="386"/>
      <c r="DOY114" s="386"/>
      <c r="DOZ114" s="386"/>
      <c r="DPA114" s="386"/>
      <c r="DPB114" s="386"/>
      <c r="DPC114" s="386"/>
      <c r="DPD114" s="386"/>
      <c r="DPE114" s="386"/>
      <c r="DPF114" s="386"/>
      <c r="DPG114" s="386"/>
      <c r="DPH114" s="386"/>
      <c r="DPI114" s="386"/>
      <c r="DPJ114" s="386"/>
      <c r="DPK114" s="386"/>
      <c r="DPL114" s="386"/>
      <c r="DPM114" s="386"/>
      <c r="DPN114" s="386"/>
      <c r="DPO114" s="386"/>
      <c r="DPP114" s="386"/>
      <c r="DPQ114" s="386"/>
      <c r="DPR114" s="386"/>
      <c r="DPS114" s="386"/>
      <c r="DPT114" s="386"/>
      <c r="DPU114" s="386"/>
      <c r="DPV114" s="386"/>
      <c r="DPW114" s="386"/>
      <c r="DPX114" s="386"/>
      <c r="DPY114" s="386"/>
      <c r="DPZ114" s="386"/>
      <c r="DQA114" s="386"/>
      <c r="DQB114" s="386"/>
      <c r="DQC114" s="386"/>
      <c r="DQD114" s="386"/>
      <c r="DQE114" s="386"/>
      <c r="DQF114" s="386"/>
      <c r="DQG114" s="386"/>
      <c r="DQH114" s="386"/>
      <c r="DQI114" s="386"/>
      <c r="DQJ114" s="386"/>
      <c r="DQK114" s="386"/>
      <c r="DQL114" s="386"/>
      <c r="DQM114" s="386"/>
      <c r="DQN114" s="386"/>
      <c r="DQO114" s="386"/>
      <c r="DQP114" s="386"/>
      <c r="DQQ114" s="386"/>
      <c r="DQR114" s="386"/>
      <c r="DQS114" s="386"/>
      <c r="DQT114" s="386"/>
      <c r="DQU114" s="386"/>
      <c r="DQV114" s="386"/>
      <c r="DQW114" s="386"/>
      <c r="DQX114" s="386"/>
      <c r="DQY114" s="386"/>
      <c r="DQZ114" s="386"/>
      <c r="DRA114" s="386"/>
      <c r="DRB114" s="386"/>
      <c r="DRC114" s="386"/>
      <c r="DRD114" s="386"/>
      <c r="DRE114" s="386"/>
      <c r="DRF114" s="386"/>
      <c r="DRG114" s="386"/>
      <c r="DRH114" s="386"/>
      <c r="DRI114" s="386"/>
      <c r="DRJ114" s="386"/>
      <c r="DRK114" s="386"/>
      <c r="DRL114" s="386"/>
      <c r="DRM114" s="386"/>
    </row>
    <row r="115" spans="1:3185" ht="30" customHeight="1">
      <c r="A115" s="387"/>
      <c r="B115" s="388"/>
      <c r="C115" s="389"/>
      <c r="D115" s="390"/>
      <c r="E115" s="391"/>
      <c r="F115" s="421"/>
      <c r="G115" s="396"/>
      <c r="H115" s="392"/>
      <c r="I115" s="422"/>
      <c r="J115" s="394"/>
      <c r="K115" s="411"/>
      <c r="M115" s="408"/>
    </row>
    <row r="116" spans="1:3185" s="386" customFormat="1" ht="44.15" customHeight="1">
      <c r="A116" s="387"/>
      <c r="B116" s="388"/>
      <c r="C116" s="389"/>
      <c r="D116" s="390"/>
      <c r="E116" s="391"/>
      <c r="F116" s="421"/>
      <c r="G116" s="396"/>
      <c r="H116" s="392"/>
      <c r="I116" s="422"/>
      <c r="J116" s="397"/>
      <c r="K116" s="411"/>
      <c r="L116" s="350"/>
      <c r="M116" s="408"/>
      <c r="N116" s="406"/>
      <c r="O116" s="383"/>
      <c r="P116" s="383"/>
      <c r="Q116" s="383"/>
      <c r="R116" s="383"/>
      <c r="S116" s="383"/>
      <c r="T116" s="383"/>
      <c r="U116" s="383"/>
      <c r="V116" s="383"/>
      <c r="W116" s="383"/>
      <c r="X116" s="383"/>
      <c r="Y116" s="383"/>
      <c r="Z116" s="383"/>
      <c r="AA116" s="383"/>
      <c r="AB116" s="383"/>
      <c r="AC116" s="383"/>
      <c r="AD116" s="383"/>
      <c r="AE116" s="383"/>
      <c r="AF116" s="383"/>
      <c r="AG116" s="383"/>
      <c r="AH116" s="383"/>
      <c r="AI116" s="383"/>
      <c r="AJ116" s="383"/>
      <c r="AK116" s="383"/>
      <c r="AL116" s="383"/>
      <c r="AM116" s="383"/>
      <c r="AN116" s="383"/>
      <c r="AO116" s="383"/>
      <c r="AP116" s="383"/>
      <c r="AQ116" s="383"/>
      <c r="AR116" s="383"/>
      <c r="AS116" s="383"/>
      <c r="AT116" s="383"/>
      <c r="AU116" s="383"/>
      <c r="AV116" s="383"/>
      <c r="AW116" s="383"/>
      <c r="AX116" s="383"/>
      <c r="AY116" s="383"/>
      <c r="AZ116" s="383"/>
      <c r="BA116" s="383"/>
      <c r="BB116" s="383"/>
      <c r="BC116" s="383"/>
      <c r="BD116" s="383"/>
      <c r="BE116" s="383"/>
      <c r="BF116" s="383"/>
      <c r="BG116" s="383"/>
      <c r="BH116" s="383"/>
      <c r="BI116" s="383"/>
      <c r="BJ116" s="383"/>
      <c r="BK116" s="383"/>
      <c r="BL116" s="383"/>
      <c r="BM116" s="383"/>
      <c r="BN116" s="383"/>
      <c r="BO116" s="383"/>
      <c r="BP116" s="383"/>
      <c r="BQ116" s="383"/>
      <c r="BR116" s="383"/>
      <c r="BS116" s="383"/>
      <c r="BT116" s="383"/>
      <c r="BU116" s="383"/>
      <c r="BV116" s="383"/>
      <c r="BW116" s="383"/>
      <c r="BX116" s="383"/>
      <c r="BY116" s="383"/>
      <c r="BZ116" s="383"/>
      <c r="CA116" s="383"/>
      <c r="CB116" s="383"/>
      <c r="CC116" s="383"/>
      <c r="CD116" s="383"/>
      <c r="CE116" s="383"/>
      <c r="CF116" s="383"/>
      <c r="CG116" s="383"/>
      <c r="CH116" s="383"/>
      <c r="CI116" s="383"/>
      <c r="CJ116" s="383"/>
      <c r="CK116" s="383"/>
      <c r="CL116" s="383"/>
      <c r="CM116" s="383"/>
      <c r="CN116" s="383"/>
      <c r="CO116" s="383"/>
      <c r="CP116" s="383"/>
      <c r="CQ116" s="383"/>
      <c r="CR116" s="383"/>
      <c r="CS116" s="383"/>
      <c r="CT116" s="383"/>
      <c r="CU116" s="383"/>
      <c r="CV116" s="383"/>
      <c r="CW116" s="383"/>
      <c r="CX116" s="383"/>
      <c r="CY116" s="383"/>
      <c r="CZ116" s="383"/>
      <c r="DA116" s="383"/>
      <c r="DB116" s="383"/>
      <c r="DC116" s="383"/>
      <c r="DD116" s="383"/>
      <c r="DE116" s="383"/>
      <c r="DF116" s="383"/>
      <c r="DG116" s="383"/>
      <c r="DH116" s="383"/>
      <c r="DI116" s="383"/>
      <c r="DJ116" s="383"/>
      <c r="DK116" s="383"/>
      <c r="DL116" s="383"/>
      <c r="DM116" s="383"/>
      <c r="DN116" s="383"/>
      <c r="DO116" s="383"/>
      <c r="DP116" s="383"/>
      <c r="DQ116" s="383"/>
      <c r="DR116" s="383"/>
      <c r="DS116" s="383"/>
      <c r="DT116" s="383"/>
      <c r="DU116" s="383"/>
      <c r="DV116" s="383"/>
      <c r="DW116" s="383"/>
      <c r="DX116" s="383"/>
      <c r="DY116" s="383"/>
      <c r="DZ116" s="383"/>
      <c r="EA116" s="383"/>
      <c r="EB116" s="383"/>
      <c r="EC116" s="383"/>
      <c r="ED116" s="383"/>
      <c r="EE116" s="383"/>
      <c r="EF116" s="383"/>
      <c r="EG116" s="383"/>
      <c r="EH116" s="383"/>
      <c r="EI116" s="383"/>
      <c r="EJ116" s="383"/>
      <c r="EK116" s="383"/>
      <c r="EL116" s="383"/>
      <c r="EM116" s="383"/>
      <c r="EN116" s="383"/>
      <c r="EO116" s="383"/>
      <c r="EP116" s="383"/>
      <c r="EQ116" s="383"/>
      <c r="ER116" s="383"/>
      <c r="ES116" s="383"/>
      <c r="ET116" s="383"/>
      <c r="EU116" s="383"/>
      <c r="EV116" s="383"/>
      <c r="EW116" s="383"/>
      <c r="EX116" s="383"/>
      <c r="EY116" s="383"/>
      <c r="EZ116" s="383"/>
      <c r="FA116" s="383"/>
      <c r="FB116" s="383"/>
      <c r="FC116" s="383"/>
      <c r="FD116" s="383"/>
      <c r="FE116" s="383"/>
      <c r="FF116" s="383"/>
      <c r="FG116" s="383"/>
      <c r="FH116" s="383"/>
      <c r="FI116" s="383"/>
      <c r="FJ116" s="383"/>
      <c r="FK116" s="383"/>
      <c r="FL116" s="383"/>
      <c r="FM116" s="383"/>
      <c r="FN116" s="383"/>
      <c r="FO116" s="383"/>
      <c r="FP116" s="383"/>
      <c r="FQ116" s="383"/>
      <c r="FR116" s="383"/>
      <c r="FS116" s="383"/>
      <c r="FT116" s="383"/>
      <c r="FU116" s="383"/>
      <c r="FV116" s="383"/>
      <c r="FW116" s="383"/>
      <c r="FX116" s="383"/>
      <c r="FY116" s="383"/>
      <c r="FZ116" s="383"/>
      <c r="GA116" s="383"/>
      <c r="GB116" s="383"/>
      <c r="GC116" s="383"/>
      <c r="GD116" s="383"/>
      <c r="GE116" s="383"/>
      <c r="GF116" s="383"/>
      <c r="GG116" s="383"/>
      <c r="GH116" s="383"/>
      <c r="GI116" s="383"/>
      <c r="GJ116" s="383"/>
      <c r="GK116" s="383"/>
      <c r="GL116" s="383"/>
      <c r="GM116" s="383"/>
      <c r="GN116" s="383"/>
      <c r="GO116" s="383"/>
      <c r="GP116" s="383"/>
      <c r="GQ116" s="383"/>
      <c r="GR116" s="383"/>
      <c r="GS116" s="383"/>
      <c r="GT116" s="383"/>
      <c r="GU116" s="383"/>
      <c r="GV116" s="383"/>
      <c r="GW116" s="383"/>
      <c r="GX116" s="383"/>
      <c r="GY116" s="383"/>
      <c r="GZ116" s="383"/>
      <c r="HA116" s="383"/>
      <c r="HB116" s="383"/>
      <c r="HC116" s="383"/>
      <c r="HD116" s="383"/>
      <c r="HE116" s="383"/>
      <c r="HF116" s="383"/>
      <c r="HG116" s="383"/>
      <c r="HH116" s="383"/>
      <c r="HI116" s="383"/>
      <c r="HJ116" s="383"/>
      <c r="HK116" s="383"/>
      <c r="HL116" s="383"/>
      <c r="HM116" s="383"/>
      <c r="HN116" s="383"/>
      <c r="HO116" s="383"/>
      <c r="HP116" s="383"/>
      <c r="HQ116" s="383"/>
      <c r="HR116" s="383"/>
      <c r="HS116" s="383"/>
      <c r="HT116" s="383"/>
      <c r="HU116" s="383"/>
      <c r="HV116" s="383"/>
      <c r="HW116" s="383"/>
      <c r="HX116" s="383"/>
      <c r="HY116" s="383"/>
      <c r="HZ116" s="383"/>
      <c r="IA116" s="383"/>
      <c r="IB116" s="383"/>
      <c r="IC116" s="383"/>
      <c r="ID116" s="383"/>
      <c r="IE116" s="383"/>
      <c r="IF116" s="383"/>
      <c r="IG116" s="383"/>
      <c r="IH116" s="383"/>
      <c r="II116" s="383"/>
      <c r="IJ116" s="383"/>
      <c r="IK116" s="383"/>
      <c r="IL116" s="383"/>
      <c r="IM116" s="383"/>
      <c r="IN116" s="383"/>
      <c r="IO116" s="383"/>
      <c r="IP116" s="383"/>
      <c r="IQ116" s="383"/>
      <c r="IR116" s="383"/>
      <c r="IS116" s="383"/>
      <c r="IT116" s="383"/>
      <c r="IU116" s="383"/>
      <c r="IV116" s="383"/>
      <c r="IW116" s="383"/>
      <c r="IX116" s="383"/>
      <c r="IY116" s="383"/>
      <c r="IZ116" s="383"/>
      <c r="JA116" s="383"/>
      <c r="JB116" s="383"/>
      <c r="JC116" s="383"/>
      <c r="JD116" s="383"/>
      <c r="JE116" s="383"/>
      <c r="JF116" s="383"/>
      <c r="JG116" s="383"/>
      <c r="JH116" s="383"/>
      <c r="JI116" s="383"/>
      <c r="JJ116" s="383"/>
      <c r="JK116" s="383"/>
      <c r="JL116" s="383"/>
      <c r="JM116" s="383"/>
      <c r="JN116" s="383"/>
      <c r="JO116" s="383"/>
      <c r="JP116" s="383"/>
      <c r="JQ116" s="383"/>
      <c r="JR116" s="383"/>
      <c r="JS116" s="383"/>
      <c r="JT116" s="383"/>
      <c r="JU116" s="383"/>
      <c r="JV116" s="383"/>
      <c r="JW116" s="383"/>
      <c r="JX116" s="383"/>
      <c r="JY116" s="383"/>
      <c r="JZ116" s="383"/>
      <c r="KA116" s="383"/>
      <c r="KB116" s="383"/>
      <c r="KC116" s="383"/>
      <c r="KD116" s="383"/>
      <c r="KE116" s="383"/>
      <c r="KF116" s="383"/>
      <c r="KG116" s="383"/>
      <c r="KH116" s="383"/>
      <c r="KI116" s="383"/>
      <c r="KJ116" s="383"/>
      <c r="KK116" s="383"/>
      <c r="KL116" s="383"/>
      <c r="KM116" s="383"/>
      <c r="KN116" s="383"/>
      <c r="KO116" s="383"/>
      <c r="KP116" s="383"/>
      <c r="KQ116" s="383"/>
      <c r="KR116" s="383"/>
      <c r="KS116" s="383"/>
      <c r="KT116" s="383"/>
      <c r="KU116" s="383"/>
      <c r="KV116" s="383"/>
      <c r="KW116" s="383"/>
      <c r="KX116" s="383"/>
      <c r="KY116" s="383"/>
      <c r="KZ116" s="383"/>
      <c r="LA116" s="383"/>
      <c r="LB116" s="383"/>
      <c r="LC116" s="383"/>
      <c r="LD116" s="383"/>
      <c r="LE116" s="383"/>
      <c r="LF116" s="383"/>
      <c r="LG116" s="383"/>
      <c r="LH116" s="383"/>
      <c r="LI116" s="383"/>
      <c r="LJ116" s="383"/>
      <c r="LK116" s="383"/>
      <c r="LL116" s="383"/>
      <c r="LM116" s="383"/>
      <c r="LN116" s="383"/>
      <c r="LO116" s="383"/>
      <c r="LP116" s="383"/>
      <c r="LQ116" s="383"/>
      <c r="LR116" s="383"/>
      <c r="LS116" s="383"/>
      <c r="LT116" s="383"/>
      <c r="LU116" s="383"/>
      <c r="LV116" s="383"/>
      <c r="LW116" s="383"/>
      <c r="LX116" s="383"/>
      <c r="LY116" s="383"/>
      <c r="LZ116" s="383"/>
      <c r="MA116" s="383"/>
      <c r="MB116" s="383"/>
      <c r="MC116" s="383"/>
      <c r="MD116" s="383"/>
      <c r="ME116" s="383"/>
      <c r="MF116" s="383"/>
      <c r="MG116" s="383"/>
      <c r="MH116" s="383"/>
      <c r="MI116" s="383"/>
      <c r="MJ116" s="383"/>
      <c r="MK116" s="383"/>
      <c r="ML116" s="383"/>
      <c r="MM116" s="383"/>
      <c r="MN116" s="383"/>
      <c r="MO116" s="383"/>
      <c r="MP116" s="383"/>
      <c r="MQ116" s="383"/>
      <c r="MR116" s="383"/>
      <c r="MS116" s="383"/>
      <c r="MT116" s="383"/>
      <c r="MU116" s="383"/>
      <c r="MV116" s="383"/>
      <c r="MW116" s="383"/>
      <c r="MX116" s="383"/>
      <c r="MY116" s="383"/>
      <c r="MZ116" s="383"/>
      <c r="NA116" s="383"/>
      <c r="NB116" s="383"/>
      <c r="NC116" s="383"/>
      <c r="ND116" s="383"/>
      <c r="NE116" s="383"/>
      <c r="NF116" s="383"/>
      <c r="NG116" s="383"/>
      <c r="NH116" s="383"/>
      <c r="NI116" s="383"/>
      <c r="NJ116" s="383"/>
      <c r="NK116" s="383"/>
      <c r="NL116" s="383"/>
      <c r="NM116" s="383"/>
      <c r="NN116" s="383"/>
      <c r="NO116" s="383"/>
      <c r="NP116" s="383"/>
      <c r="NQ116" s="383"/>
      <c r="NR116" s="383"/>
      <c r="NS116" s="383"/>
      <c r="NT116" s="383"/>
      <c r="NU116" s="383"/>
      <c r="NV116" s="383"/>
      <c r="NW116" s="383"/>
      <c r="NX116" s="383"/>
      <c r="NY116" s="383"/>
      <c r="NZ116" s="383"/>
      <c r="OA116" s="383"/>
      <c r="OB116" s="383"/>
      <c r="OC116" s="383"/>
      <c r="OD116" s="383"/>
      <c r="OE116" s="383"/>
      <c r="OF116" s="383"/>
      <c r="OG116" s="383"/>
      <c r="OH116" s="383"/>
      <c r="OI116" s="383"/>
      <c r="OJ116" s="383"/>
      <c r="OK116" s="383"/>
      <c r="OL116" s="383"/>
      <c r="OM116" s="383"/>
      <c r="ON116" s="383"/>
      <c r="OO116" s="383"/>
      <c r="OP116" s="383"/>
      <c r="OQ116" s="383"/>
      <c r="OR116" s="383"/>
      <c r="OS116" s="383"/>
      <c r="OT116" s="383"/>
      <c r="OU116" s="383"/>
      <c r="OV116" s="383"/>
      <c r="OW116" s="383"/>
      <c r="OX116" s="383"/>
      <c r="OY116" s="383"/>
      <c r="OZ116" s="383"/>
      <c r="PA116" s="383"/>
      <c r="PB116" s="383"/>
      <c r="PC116" s="383"/>
      <c r="PD116" s="383"/>
      <c r="PE116" s="383"/>
      <c r="PF116" s="383"/>
      <c r="PG116" s="383"/>
      <c r="PH116" s="383"/>
      <c r="PI116" s="383"/>
      <c r="PJ116" s="383"/>
      <c r="PK116" s="383"/>
      <c r="PL116" s="383"/>
      <c r="PM116" s="383"/>
      <c r="PN116" s="383"/>
      <c r="PO116" s="383"/>
      <c r="PP116" s="383"/>
      <c r="PQ116" s="383"/>
      <c r="PR116" s="383"/>
      <c r="PS116" s="383"/>
      <c r="PT116" s="383"/>
      <c r="PU116" s="383"/>
      <c r="PV116" s="383"/>
      <c r="PW116" s="383"/>
      <c r="PX116" s="383"/>
      <c r="PY116" s="383"/>
      <c r="PZ116" s="383"/>
      <c r="QA116" s="383"/>
      <c r="QB116" s="383"/>
      <c r="QC116" s="383"/>
      <c r="QD116" s="383"/>
      <c r="QE116" s="383"/>
      <c r="QF116" s="383"/>
      <c r="QG116" s="383"/>
      <c r="QH116" s="383"/>
      <c r="QI116" s="383"/>
      <c r="QJ116" s="383"/>
      <c r="QK116" s="383"/>
      <c r="QL116" s="383"/>
      <c r="QM116" s="383"/>
      <c r="QN116" s="383"/>
      <c r="QO116" s="383"/>
      <c r="QP116" s="383"/>
      <c r="QQ116" s="383"/>
      <c r="QR116" s="383"/>
      <c r="QS116" s="383"/>
      <c r="QT116" s="383"/>
      <c r="QU116" s="383"/>
      <c r="QV116" s="383"/>
      <c r="QW116" s="383"/>
      <c r="QX116" s="383"/>
      <c r="QY116" s="383"/>
      <c r="QZ116" s="383"/>
      <c r="RA116" s="383"/>
      <c r="RB116" s="383"/>
      <c r="RC116" s="383"/>
      <c r="RD116" s="383"/>
      <c r="RE116" s="383"/>
      <c r="RF116" s="383"/>
      <c r="RG116" s="383"/>
      <c r="RH116" s="383"/>
      <c r="RI116" s="383"/>
      <c r="RJ116" s="383"/>
      <c r="RK116" s="383"/>
      <c r="RL116" s="383"/>
      <c r="RM116" s="383"/>
      <c r="RN116" s="383"/>
      <c r="RO116" s="383"/>
      <c r="RP116" s="383"/>
      <c r="RQ116" s="383"/>
      <c r="RR116" s="383"/>
      <c r="RS116" s="383"/>
      <c r="RT116" s="383"/>
      <c r="RU116" s="383"/>
      <c r="RV116" s="383"/>
      <c r="RW116" s="383"/>
      <c r="RX116" s="383"/>
      <c r="RY116" s="383"/>
      <c r="RZ116" s="383"/>
      <c r="SA116" s="383"/>
      <c r="SB116" s="383"/>
      <c r="SC116" s="383"/>
      <c r="SD116" s="383"/>
      <c r="SE116" s="383"/>
      <c r="SF116" s="383"/>
      <c r="SG116" s="383"/>
      <c r="SH116" s="383"/>
      <c r="SI116" s="383"/>
      <c r="SJ116" s="383"/>
      <c r="SK116" s="383"/>
      <c r="SL116" s="383"/>
      <c r="SM116" s="383"/>
      <c r="SN116" s="383"/>
      <c r="SO116" s="383"/>
      <c r="SP116" s="383"/>
      <c r="SQ116" s="383"/>
      <c r="SR116" s="383"/>
      <c r="SS116" s="383"/>
      <c r="ST116" s="383"/>
      <c r="SU116" s="383"/>
      <c r="SV116" s="383"/>
      <c r="SW116" s="383"/>
      <c r="SX116" s="383"/>
      <c r="SY116" s="383"/>
      <c r="SZ116" s="383"/>
      <c r="TA116" s="383"/>
      <c r="TB116" s="383"/>
      <c r="TC116" s="383"/>
      <c r="TD116" s="383"/>
      <c r="TE116" s="383"/>
      <c r="TF116" s="383"/>
      <c r="TG116" s="383"/>
      <c r="TH116" s="383"/>
      <c r="TI116" s="383"/>
      <c r="TJ116" s="383"/>
      <c r="TK116" s="383"/>
      <c r="TL116" s="383"/>
      <c r="TM116" s="383"/>
      <c r="TN116" s="383"/>
      <c r="TO116" s="383"/>
      <c r="TP116" s="383"/>
      <c r="TQ116" s="383"/>
      <c r="TR116" s="383"/>
      <c r="TS116" s="383"/>
      <c r="TT116" s="383"/>
      <c r="TU116" s="383"/>
      <c r="TV116" s="383"/>
      <c r="TW116" s="383"/>
      <c r="TX116" s="383"/>
      <c r="TY116" s="383"/>
      <c r="TZ116" s="383"/>
      <c r="UA116" s="383"/>
      <c r="UB116" s="383"/>
      <c r="UC116" s="383"/>
      <c r="UD116" s="383"/>
      <c r="UE116" s="383"/>
      <c r="UF116" s="383"/>
      <c r="UG116" s="383"/>
      <c r="UH116" s="383"/>
      <c r="UI116" s="383"/>
      <c r="UJ116" s="383"/>
      <c r="UK116" s="383"/>
      <c r="UL116" s="383"/>
      <c r="UM116" s="383"/>
      <c r="UN116" s="383"/>
      <c r="UO116" s="383"/>
      <c r="UP116" s="383"/>
      <c r="UQ116" s="383"/>
      <c r="UR116" s="383"/>
      <c r="US116" s="383"/>
      <c r="UT116" s="383"/>
      <c r="UU116" s="383"/>
      <c r="UV116" s="383"/>
      <c r="UW116" s="383"/>
      <c r="UX116" s="383"/>
      <c r="UY116" s="383"/>
      <c r="UZ116" s="383"/>
      <c r="VA116" s="383"/>
      <c r="VB116" s="383"/>
      <c r="VC116" s="383"/>
      <c r="VD116" s="383"/>
      <c r="VE116" s="383"/>
      <c r="VF116" s="383"/>
      <c r="VG116" s="383"/>
      <c r="VH116" s="383"/>
      <c r="VI116" s="383"/>
      <c r="VJ116" s="383"/>
      <c r="VK116" s="383"/>
      <c r="VL116" s="383"/>
      <c r="VM116" s="383"/>
      <c r="VN116" s="383"/>
      <c r="VO116" s="383"/>
      <c r="VP116" s="383"/>
      <c r="VQ116" s="383"/>
      <c r="VR116" s="383"/>
      <c r="VS116" s="383"/>
      <c r="VT116" s="383"/>
      <c r="VU116" s="383"/>
      <c r="VV116" s="383"/>
      <c r="VW116" s="383"/>
      <c r="VX116" s="383"/>
      <c r="VY116" s="383"/>
      <c r="VZ116" s="383"/>
      <c r="WA116" s="383"/>
      <c r="WB116" s="383"/>
      <c r="WC116" s="383"/>
      <c r="WD116" s="383"/>
      <c r="WE116" s="383"/>
      <c r="WF116" s="383"/>
      <c r="WG116" s="383"/>
      <c r="WH116" s="383"/>
      <c r="WI116" s="383"/>
      <c r="WJ116" s="383"/>
      <c r="WK116" s="383"/>
      <c r="WL116" s="383"/>
      <c r="WM116" s="383"/>
      <c r="WN116" s="383"/>
      <c r="WO116" s="383"/>
      <c r="WP116" s="383"/>
      <c r="WQ116" s="383"/>
      <c r="WR116" s="383"/>
      <c r="WS116" s="383"/>
      <c r="WT116" s="383"/>
      <c r="WU116" s="383"/>
      <c r="WV116" s="383"/>
      <c r="WW116" s="383"/>
      <c r="WX116" s="383"/>
      <c r="WY116" s="383"/>
      <c r="WZ116" s="383"/>
      <c r="XA116" s="383"/>
      <c r="XB116" s="383"/>
      <c r="XC116" s="383"/>
      <c r="XD116" s="383"/>
      <c r="XE116" s="383"/>
      <c r="XF116" s="383"/>
      <c r="XG116" s="383"/>
      <c r="XH116" s="383"/>
      <c r="XI116" s="383"/>
      <c r="XJ116" s="383"/>
      <c r="XK116" s="383"/>
      <c r="XL116" s="383"/>
      <c r="XM116" s="383"/>
      <c r="XN116" s="383"/>
      <c r="XO116" s="383"/>
      <c r="XP116" s="383"/>
      <c r="XQ116" s="383"/>
      <c r="XR116" s="383"/>
      <c r="XS116" s="383"/>
      <c r="XT116" s="383"/>
      <c r="XU116" s="383"/>
      <c r="XV116" s="383"/>
      <c r="XW116" s="383"/>
      <c r="XX116" s="383"/>
      <c r="XY116" s="383"/>
      <c r="XZ116" s="383"/>
      <c r="YA116" s="383"/>
      <c r="YB116" s="383"/>
      <c r="YC116" s="383"/>
      <c r="YD116" s="383"/>
      <c r="YE116" s="383"/>
      <c r="YF116" s="383"/>
      <c r="YG116" s="383"/>
      <c r="YH116" s="383"/>
      <c r="YI116" s="383"/>
      <c r="YJ116" s="383"/>
      <c r="YK116" s="383"/>
      <c r="YL116" s="383"/>
      <c r="YM116" s="383"/>
      <c r="YN116" s="383"/>
      <c r="YO116" s="383"/>
      <c r="YP116" s="383"/>
      <c r="YQ116" s="383"/>
      <c r="YR116" s="383"/>
      <c r="YS116" s="383"/>
      <c r="YT116" s="383"/>
      <c r="YU116" s="383"/>
      <c r="YV116" s="383"/>
      <c r="YW116" s="383"/>
      <c r="YX116" s="383"/>
      <c r="YY116" s="383"/>
      <c r="YZ116" s="383"/>
      <c r="ZA116" s="383"/>
      <c r="ZB116" s="383"/>
      <c r="ZC116" s="383"/>
      <c r="ZD116" s="383"/>
      <c r="ZE116" s="383"/>
      <c r="ZF116" s="383"/>
      <c r="ZG116" s="383"/>
      <c r="ZH116" s="383"/>
      <c r="ZI116" s="383"/>
      <c r="ZJ116" s="383"/>
      <c r="ZK116" s="383"/>
      <c r="ZL116" s="383"/>
      <c r="ZM116" s="383"/>
      <c r="ZN116" s="383"/>
      <c r="ZO116" s="383"/>
      <c r="ZP116" s="383"/>
      <c r="ZQ116" s="383"/>
      <c r="ZR116" s="383"/>
      <c r="ZS116" s="383"/>
      <c r="ZT116" s="383"/>
      <c r="ZU116" s="383"/>
      <c r="ZV116" s="383"/>
      <c r="ZW116" s="383"/>
      <c r="ZX116" s="383"/>
      <c r="ZY116" s="383"/>
      <c r="ZZ116" s="383"/>
      <c r="AAA116" s="383"/>
      <c r="AAB116" s="383"/>
      <c r="AAC116" s="383"/>
      <c r="AAD116" s="383"/>
      <c r="AAE116" s="383"/>
      <c r="AAF116" s="383"/>
      <c r="AAG116" s="383"/>
      <c r="AAH116" s="383"/>
      <c r="AAI116" s="383"/>
      <c r="AAJ116" s="383"/>
      <c r="AAK116" s="383"/>
      <c r="AAL116" s="383"/>
      <c r="AAM116" s="383"/>
      <c r="AAN116" s="383"/>
      <c r="AAO116" s="383"/>
      <c r="AAP116" s="383"/>
      <c r="AAQ116" s="383"/>
      <c r="AAR116" s="383"/>
      <c r="AAS116" s="383"/>
      <c r="AAT116" s="383"/>
      <c r="AAU116" s="383"/>
      <c r="AAV116" s="383"/>
      <c r="AAW116" s="383"/>
      <c r="AAX116" s="383"/>
      <c r="AAY116" s="383"/>
      <c r="AAZ116" s="383"/>
      <c r="ABA116" s="383"/>
      <c r="ABB116" s="383"/>
      <c r="ABC116" s="383"/>
      <c r="ABD116" s="383"/>
      <c r="ABE116" s="383"/>
      <c r="ABF116" s="383"/>
      <c r="ABG116" s="383"/>
      <c r="ABH116" s="383"/>
      <c r="ABI116" s="383"/>
      <c r="ABJ116" s="383"/>
      <c r="ABK116" s="383"/>
      <c r="ABL116" s="383"/>
      <c r="ABM116" s="383"/>
      <c r="ABN116" s="383"/>
      <c r="ABO116" s="383"/>
      <c r="ABP116" s="383"/>
      <c r="ABQ116" s="383"/>
      <c r="ABR116" s="383"/>
      <c r="ABS116" s="383"/>
      <c r="ABT116" s="383"/>
      <c r="ABU116" s="383"/>
      <c r="ABV116" s="383"/>
      <c r="ABW116" s="383"/>
      <c r="ABX116" s="383"/>
      <c r="ABY116" s="383"/>
      <c r="ABZ116" s="383"/>
      <c r="ACA116" s="383"/>
      <c r="ACB116" s="383"/>
      <c r="ACC116" s="383"/>
      <c r="ACD116" s="383"/>
      <c r="ACE116" s="383"/>
      <c r="ACF116" s="383"/>
      <c r="ACG116" s="383"/>
      <c r="ACH116" s="383"/>
      <c r="ACI116" s="383"/>
      <c r="ACJ116" s="383"/>
      <c r="ACK116" s="383"/>
      <c r="ACL116" s="383"/>
      <c r="ACM116" s="383"/>
      <c r="ACN116" s="383"/>
      <c r="ACO116" s="383"/>
      <c r="ACP116" s="383"/>
      <c r="ACQ116" s="383"/>
      <c r="ACR116" s="383"/>
      <c r="ACS116" s="383"/>
      <c r="ACT116" s="383"/>
      <c r="ACU116" s="383"/>
      <c r="ACV116" s="383"/>
      <c r="ACW116" s="383"/>
      <c r="ACX116" s="383"/>
      <c r="ACY116" s="383"/>
      <c r="ACZ116" s="383"/>
      <c r="ADA116" s="383"/>
      <c r="ADB116" s="383"/>
      <c r="ADC116" s="383"/>
      <c r="ADD116" s="383"/>
      <c r="ADE116" s="383"/>
      <c r="ADF116" s="383"/>
      <c r="ADG116" s="383"/>
      <c r="ADH116" s="383"/>
      <c r="ADI116" s="383"/>
      <c r="ADJ116" s="383"/>
      <c r="ADK116" s="383"/>
      <c r="ADL116" s="383"/>
      <c r="ADM116" s="383"/>
      <c r="ADN116" s="383"/>
      <c r="ADO116" s="383"/>
      <c r="ADP116" s="383"/>
      <c r="ADQ116" s="383"/>
      <c r="ADR116" s="383"/>
      <c r="ADS116" s="383"/>
      <c r="ADT116" s="383"/>
      <c r="ADU116" s="383"/>
      <c r="ADV116" s="383"/>
      <c r="ADW116" s="383"/>
      <c r="ADX116" s="383"/>
      <c r="ADY116" s="383"/>
      <c r="ADZ116" s="383"/>
      <c r="AEA116" s="383"/>
      <c r="AEB116" s="383"/>
      <c r="AEC116" s="383"/>
      <c r="AED116" s="383"/>
      <c r="AEE116" s="383"/>
      <c r="AEF116" s="383"/>
      <c r="AEG116" s="383"/>
      <c r="AEH116" s="383"/>
      <c r="AEI116" s="383"/>
      <c r="AEJ116" s="383"/>
      <c r="AEK116" s="383"/>
      <c r="AEL116" s="383"/>
      <c r="AEM116" s="383"/>
      <c r="AEN116" s="383"/>
      <c r="AEO116" s="383"/>
      <c r="AEP116" s="383"/>
      <c r="AEQ116" s="383"/>
      <c r="AER116" s="383"/>
      <c r="AES116" s="383"/>
      <c r="AET116" s="383"/>
      <c r="AEU116" s="383"/>
      <c r="AEV116" s="383"/>
      <c r="AEW116" s="383"/>
      <c r="AEX116" s="383"/>
      <c r="AEY116" s="383"/>
      <c r="AEZ116" s="383"/>
      <c r="AFA116" s="383"/>
      <c r="AFB116" s="383"/>
      <c r="AFC116" s="383"/>
      <c r="AFD116" s="383"/>
      <c r="AFE116" s="383"/>
      <c r="AFF116" s="383"/>
      <c r="AFG116" s="383"/>
      <c r="AFH116" s="383"/>
      <c r="AFI116" s="383"/>
      <c r="AFJ116" s="383"/>
      <c r="AFK116" s="383"/>
      <c r="AFL116" s="383"/>
      <c r="AFM116" s="383"/>
      <c r="AFN116" s="383"/>
      <c r="AFO116" s="383"/>
      <c r="AFP116" s="383"/>
      <c r="AFQ116" s="383"/>
      <c r="AFR116" s="383"/>
      <c r="AFS116" s="383"/>
      <c r="AFT116" s="383"/>
      <c r="AFU116" s="383"/>
      <c r="AFV116" s="383"/>
      <c r="AFW116" s="383"/>
      <c r="AFX116" s="383"/>
      <c r="AFY116" s="383"/>
      <c r="AFZ116" s="383"/>
      <c r="AGA116" s="383"/>
      <c r="AGB116" s="383"/>
      <c r="AGC116" s="383"/>
      <c r="AGD116" s="383"/>
      <c r="AGE116" s="383"/>
      <c r="AGF116" s="383"/>
      <c r="AGG116" s="383"/>
      <c r="AGH116" s="383"/>
      <c r="AGI116" s="383"/>
      <c r="AGJ116" s="383"/>
      <c r="AGK116" s="383"/>
      <c r="AGL116" s="383"/>
      <c r="AGM116" s="383"/>
      <c r="AGN116" s="383"/>
      <c r="AGO116" s="383"/>
      <c r="AGP116" s="383"/>
      <c r="AGQ116" s="383"/>
      <c r="AGR116" s="383"/>
      <c r="AGS116" s="383"/>
      <c r="AGT116" s="383"/>
      <c r="AGU116" s="383"/>
      <c r="AGV116" s="383"/>
      <c r="AGW116" s="383"/>
      <c r="AGX116" s="383"/>
      <c r="AGY116" s="383"/>
      <c r="AGZ116" s="383"/>
      <c r="AHA116" s="383"/>
      <c r="AHB116" s="383"/>
      <c r="AHC116" s="383"/>
      <c r="AHD116" s="383"/>
      <c r="AHE116" s="383"/>
      <c r="AHF116" s="383"/>
      <c r="AHG116" s="383"/>
      <c r="AHH116" s="383"/>
      <c r="AHI116" s="383"/>
      <c r="AHJ116" s="383"/>
      <c r="AHK116" s="383"/>
      <c r="AHL116" s="383"/>
      <c r="AHM116" s="383"/>
      <c r="AHN116" s="383"/>
      <c r="AHO116" s="383"/>
      <c r="AHP116" s="383"/>
      <c r="AHQ116" s="383"/>
      <c r="AHR116" s="383"/>
      <c r="AHS116" s="383"/>
      <c r="AHT116" s="383"/>
      <c r="AHU116" s="383"/>
      <c r="AHV116" s="383"/>
      <c r="AHW116" s="383"/>
      <c r="AHX116" s="383"/>
      <c r="AHY116" s="383"/>
      <c r="AHZ116" s="383"/>
      <c r="AIA116" s="383"/>
      <c r="AIB116" s="383"/>
      <c r="AIC116" s="383"/>
      <c r="AID116" s="383"/>
      <c r="AIE116" s="383"/>
      <c r="AIF116" s="383"/>
      <c r="AIG116" s="383"/>
      <c r="AIH116" s="383"/>
      <c r="AII116" s="383"/>
      <c r="AIJ116" s="383"/>
      <c r="AIK116" s="383"/>
      <c r="AIL116" s="383"/>
      <c r="AIM116" s="383"/>
      <c r="AIN116" s="383"/>
      <c r="AIO116" s="383"/>
      <c r="AIP116" s="383"/>
      <c r="AIQ116" s="383"/>
      <c r="AIR116" s="383"/>
      <c r="AIS116" s="383"/>
      <c r="AIT116" s="383"/>
      <c r="AIU116" s="383"/>
      <c r="AIV116" s="383"/>
      <c r="AIW116" s="383"/>
      <c r="AIX116" s="383"/>
      <c r="AIY116" s="383"/>
      <c r="AIZ116" s="383"/>
      <c r="AJA116" s="383"/>
      <c r="AJB116" s="383"/>
      <c r="AJC116" s="383"/>
      <c r="AJD116" s="383"/>
      <c r="AJE116" s="383"/>
      <c r="AJF116" s="383"/>
      <c r="AJG116" s="383"/>
      <c r="AJH116" s="383"/>
      <c r="AJI116" s="383"/>
      <c r="AJJ116" s="383"/>
      <c r="AJK116" s="383"/>
      <c r="AJL116" s="383"/>
      <c r="AJM116" s="383"/>
      <c r="AJN116" s="383"/>
      <c r="AJO116" s="383"/>
      <c r="AJP116" s="383"/>
      <c r="AJQ116" s="383"/>
      <c r="AJR116" s="383"/>
      <c r="AJS116" s="383"/>
      <c r="AJT116" s="383"/>
      <c r="AJU116" s="383"/>
      <c r="AJV116" s="383"/>
      <c r="AJW116" s="383"/>
      <c r="AJX116" s="383"/>
      <c r="AJY116" s="383"/>
      <c r="AJZ116" s="383"/>
      <c r="AKA116" s="383"/>
      <c r="AKB116" s="383"/>
      <c r="AKC116" s="383"/>
      <c r="AKD116" s="383"/>
      <c r="AKE116" s="383"/>
      <c r="AKF116" s="383"/>
      <c r="AKG116" s="383"/>
      <c r="AKH116" s="383"/>
      <c r="AKI116" s="383"/>
      <c r="AKJ116" s="383"/>
      <c r="AKK116" s="383"/>
      <c r="AKL116" s="383"/>
      <c r="AKM116" s="383"/>
      <c r="AKN116" s="383"/>
      <c r="AKO116" s="383"/>
      <c r="AKP116" s="383"/>
      <c r="AKQ116" s="383"/>
      <c r="AKR116" s="383"/>
      <c r="AKS116" s="383"/>
      <c r="AKT116" s="383"/>
      <c r="AKU116" s="383"/>
      <c r="AKV116" s="383"/>
      <c r="AKW116" s="383"/>
      <c r="AKX116" s="383"/>
      <c r="AKY116" s="383"/>
      <c r="AKZ116" s="383"/>
      <c r="ALA116" s="383"/>
      <c r="ALB116" s="383"/>
      <c r="ALC116" s="383"/>
      <c r="ALD116" s="383"/>
      <c r="ALE116" s="383"/>
      <c r="ALF116" s="383"/>
      <c r="ALG116" s="383"/>
      <c r="ALH116" s="383"/>
      <c r="ALI116" s="383"/>
      <c r="ALJ116" s="383"/>
      <c r="ALK116" s="383"/>
      <c r="ALL116" s="383"/>
      <c r="ALM116" s="383"/>
      <c r="ALN116" s="383"/>
      <c r="ALO116" s="383"/>
      <c r="ALP116" s="383"/>
      <c r="ALQ116" s="383"/>
      <c r="ALR116" s="383"/>
      <c r="ALS116" s="383"/>
      <c r="ALT116" s="383"/>
      <c r="ALU116" s="383"/>
      <c r="ALV116" s="383"/>
      <c r="ALW116" s="383"/>
      <c r="ALX116" s="383"/>
      <c r="ALY116" s="383"/>
      <c r="ALZ116" s="383"/>
      <c r="AMA116" s="383"/>
      <c r="AMB116" s="383"/>
      <c r="AMC116" s="383"/>
      <c r="AMD116" s="383"/>
      <c r="AME116" s="383"/>
      <c r="AMF116" s="383"/>
      <c r="AMG116" s="383"/>
      <c r="AMH116" s="383"/>
      <c r="AMI116" s="383"/>
      <c r="AMJ116" s="383"/>
      <c r="AMK116" s="383"/>
      <c r="AML116" s="383"/>
      <c r="AMM116" s="383"/>
      <c r="AMN116" s="383"/>
      <c r="AMO116" s="383"/>
      <c r="AMP116" s="383"/>
      <c r="AMQ116" s="383"/>
      <c r="AMR116" s="383"/>
      <c r="AMS116" s="383"/>
      <c r="AMT116" s="383"/>
      <c r="AMU116" s="383"/>
      <c r="AMV116" s="383"/>
      <c r="AMW116" s="383"/>
      <c r="AMX116" s="383"/>
      <c r="AMY116" s="383"/>
      <c r="AMZ116" s="383"/>
      <c r="ANA116" s="383"/>
      <c r="ANB116" s="383"/>
      <c r="ANC116" s="383"/>
      <c r="AND116" s="383"/>
      <c r="ANE116" s="383"/>
      <c r="ANF116" s="383"/>
      <c r="ANG116" s="383"/>
      <c r="ANH116" s="383"/>
      <c r="ANI116" s="383"/>
      <c r="ANJ116" s="383"/>
      <c r="ANK116" s="383"/>
      <c r="ANL116" s="383"/>
      <c r="ANM116" s="383"/>
      <c r="ANN116" s="383"/>
      <c r="ANO116" s="383"/>
      <c r="ANP116" s="383"/>
      <c r="ANQ116" s="383"/>
      <c r="ANR116" s="383"/>
      <c r="ANS116" s="383"/>
      <c r="ANT116" s="383"/>
      <c r="ANU116" s="383"/>
      <c r="ANV116" s="383"/>
      <c r="ANW116" s="383"/>
      <c r="ANX116" s="383"/>
      <c r="ANY116" s="383"/>
      <c r="ANZ116" s="383"/>
      <c r="AOA116" s="383"/>
      <c r="AOB116" s="383"/>
      <c r="AOC116" s="383"/>
      <c r="AOD116" s="383"/>
      <c r="AOE116" s="383"/>
      <c r="AOF116" s="383"/>
      <c r="AOG116" s="383"/>
      <c r="AOH116" s="383"/>
      <c r="AOI116" s="383"/>
      <c r="AOJ116" s="383"/>
      <c r="AOK116" s="383"/>
      <c r="AOL116" s="383"/>
      <c r="AOM116" s="383"/>
      <c r="AON116" s="383"/>
      <c r="AOO116" s="383"/>
      <c r="AOP116" s="383"/>
      <c r="AOQ116" s="383"/>
      <c r="AOR116" s="383"/>
      <c r="AOS116" s="383"/>
      <c r="AOT116" s="383"/>
      <c r="AOU116" s="383"/>
      <c r="AOV116" s="383"/>
      <c r="AOW116" s="383"/>
      <c r="AOX116" s="383"/>
      <c r="AOY116" s="383"/>
      <c r="AOZ116" s="383"/>
      <c r="APA116" s="383"/>
      <c r="APB116" s="383"/>
      <c r="APC116" s="383"/>
      <c r="APD116" s="383"/>
      <c r="APE116" s="383"/>
      <c r="APF116" s="383"/>
      <c r="APG116" s="383"/>
      <c r="APH116" s="383"/>
      <c r="API116" s="383"/>
      <c r="APJ116" s="383"/>
      <c r="APK116" s="383"/>
      <c r="APL116" s="383"/>
      <c r="APM116" s="383"/>
      <c r="APN116" s="383"/>
      <c r="APO116" s="383"/>
      <c r="APP116" s="383"/>
      <c r="APQ116" s="383"/>
      <c r="APR116" s="383"/>
      <c r="APS116" s="383"/>
      <c r="APT116" s="383"/>
      <c r="APU116" s="383"/>
      <c r="APV116" s="383"/>
      <c r="APW116" s="383"/>
      <c r="APX116" s="383"/>
      <c r="APY116" s="383"/>
      <c r="APZ116" s="383"/>
      <c r="AQA116" s="383"/>
      <c r="AQB116" s="383"/>
      <c r="AQC116" s="383"/>
      <c r="AQD116" s="383"/>
      <c r="AQE116" s="383"/>
      <c r="AQF116" s="383"/>
      <c r="AQG116" s="383"/>
      <c r="AQH116" s="383"/>
      <c r="AQI116" s="383"/>
      <c r="AQJ116" s="383"/>
      <c r="AQK116" s="383"/>
      <c r="AQL116" s="383"/>
      <c r="AQM116" s="383"/>
      <c r="AQN116" s="383"/>
      <c r="AQO116" s="383"/>
      <c r="AQP116" s="383"/>
      <c r="AQQ116" s="383"/>
      <c r="AQR116" s="383"/>
      <c r="AQS116" s="383"/>
      <c r="AQT116" s="383"/>
      <c r="AQU116" s="383"/>
      <c r="AQV116" s="383"/>
      <c r="AQW116" s="383"/>
      <c r="AQX116" s="383"/>
      <c r="AQY116" s="383"/>
      <c r="AQZ116" s="383"/>
      <c r="ARA116" s="383"/>
      <c r="ARB116" s="383"/>
      <c r="ARC116" s="383"/>
      <c r="ARD116" s="383"/>
      <c r="ARE116" s="383"/>
      <c r="ARF116" s="383"/>
      <c r="ARG116" s="383"/>
      <c r="ARH116" s="383"/>
      <c r="ARI116" s="383"/>
      <c r="ARJ116" s="383"/>
      <c r="ARK116" s="383"/>
      <c r="ARL116" s="383"/>
      <c r="ARM116" s="383"/>
      <c r="ARN116" s="383"/>
      <c r="ARO116" s="383"/>
      <c r="ARP116" s="383"/>
      <c r="ARQ116" s="383"/>
      <c r="ARR116" s="383"/>
      <c r="ARS116" s="383"/>
      <c r="ART116" s="383"/>
      <c r="ARU116" s="383"/>
      <c r="ARV116" s="383"/>
      <c r="ARW116" s="383"/>
      <c r="ARX116" s="383"/>
      <c r="ARY116" s="383"/>
      <c r="ARZ116" s="383"/>
      <c r="ASA116" s="383"/>
      <c r="ASB116" s="383"/>
      <c r="ASC116" s="383"/>
      <c r="ASD116" s="383"/>
      <c r="ASE116" s="383"/>
      <c r="ASF116" s="383"/>
      <c r="ASG116" s="383"/>
      <c r="ASH116" s="383"/>
      <c r="ASI116" s="383"/>
      <c r="ASJ116" s="383"/>
      <c r="ASK116" s="383"/>
      <c r="ASL116" s="383"/>
      <c r="ASM116" s="383"/>
      <c r="ASN116" s="383"/>
      <c r="ASO116" s="383"/>
      <c r="ASP116" s="383"/>
      <c r="ASQ116" s="383"/>
      <c r="ASR116" s="383"/>
      <c r="ASS116" s="383"/>
      <c r="AST116" s="383"/>
      <c r="ASU116" s="383"/>
      <c r="ASV116" s="383"/>
      <c r="ASW116" s="383"/>
      <c r="ASX116" s="383"/>
      <c r="ASY116" s="383"/>
      <c r="ASZ116" s="383"/>
      <c r="ATA116" s="383"/>
      <c r="ATB116" s="383"/>
      <c r="ATC116" s="383"/>
      <c r="ATD116" s="383"/>
      <c r="ATE116" s="383"/>
      <c r="ATF116" s="383"/>
      <c r="ATG116" s="383"/>
      <c r="ATH116" s="383"/>
      <c r="ATI116" s="383"/>
      <c r="ATJ116" s="383"/>
      <c r="ATK116" s="383"/>
      <c r="ATL116" s="383"/>
      <c r="ATM116" s="383"/>
      <c r="ATN116" s="383"/>
      <c r="ATO116" s="383"/>
      <c r="ATP116" s="383"/>
      <c r="ATQ116" s="383"/>
      <c r="ATR116" s="383"/>
      <c r="ATS116" s="383"/>
      <c r="ATT116" s="383"/>
      <c r="ATU116" s="383"/>
      <c r="ATV116" s="383"/>
      <c r="ATW116" s="383"/>
      <c r="ATX116" s="383"/>
      <c r="ATY116" s="383"/>
      <c r="ATZ116" s="383"/>
      <c r="AUA116" s="383"/>
      <c r="AUB116" s="383"/>
      <c r="AUC116" s="383"/>
      <c r="AUD116" s="383"/>
      <c r="AUE116" s="383"/>
      <c r="AUF116" s="383"/>
      <c r="AUG116" s="383"/>
      <c r="AUH116" s="383"/>
      <c r="AUI116" s="383"/>
      <c r="AUJ116" s="383"/>
      <c r="AUK116" s="383"/>
      <c r="AUL116" s="383"/>
      <c r="AUM116" s="383"/>
      <c r="AUN116" s="383"/>
      <c r="AUO116" s="383"/>
      <c r="AUP116" s="383"/>
      <c r="AUQ116" s="383"/>
      <c r="AUR116" s="383"/>
      <c r="AUS116" s="383"/>
      <c r="AUT116" s="383"/>
      <c r="AUU116" s="383"/>
      <c r="AUV116" s="383"/>
      <c r="AUW116" s="383"/>
      <c r="AUX116" s="383"/>
      <c r="AUY116" s="383"/>
      <c r="AUZ116" s="383"/>
      <c r="AVA116" s="383"/>
      <c r="AVB116" s="383"/>
      <c r="AVC116" s="383"/>
      <c r="AVD116" s="383"/>
      <c r="AVE116" s="383"/>
      <c r="AVF116" s="383"/>
      <c r="AVG116" s="383"/>
      <c r="AVH116" s="383"/>
      <c r="AVI116" s="383"/>
      <c r="AVJ116" s="383"/>
      <c r="AVK116" s="383"/>
      <c r="AVL116" s="383"/>
      <c r="AVM116" s="383"/>
      <c r="AVN116" s="383"/>
      <c r="AVO116" s="383"/>
      <c r="AVP116" s="383"/>
      <c r="AVQ116" s="383"/>
      <c r="AVR116" s="383"/>
      <c r="AVS116" s="383"/>
      <c r="AVT116" s="383"/>
      <c r="AVU116" s="383"/>
      <c r="AVV116" s="383"/>
      <c r="AVW116" s="383"/>
      <c r="AVX116" s="383"/>
      <c r="AVY116" s="383"/>
      <c r="AVZ116" s="383"/>
      <c r="AWA116" s="383"/>
      <c r="AWB116" s="383"/>
      <c r="AWC116" s="383"/>
      <c r="AWD116" s="383"/>
      <c r="AWE116" s="383"/>
      <c r="AWF116" s="383"/>
      <c r="AWG116" s="383"/>
      <c r="AWH116" s="383"/>
      <c r="AWI116" s="383"/>
      <c r="AWJ116" s="383"/>
      <c r="AWK116" s="383"/>
      <c r="AWL116" s="383"/>
      <c r="AWM116" s="383"/>
      <c r="AWN116" s="383"/>
      <c r="AWO116" s="383"/>
      <c r="AWP116" s="383"/>
      <c r="AWQ116" s="383"/>
      <c r="AWR116" s="383"/>
      <c r="AWS116" s="383"/>
      <c r="AWT116" s="383"/>
      <c r="AWU116" s="383"/>
      <c r="AWV116" s="383"/>
      <c r="AWW116" s="383"/>
      <c r="AWX116" s="383"/>
      <c r="AWY116" s="383"/>
      <c r="AWZ116" s="383"/>
      <c r="AXA116" s="383"/>
      <c r="AXB116" s="383"/>
      <c r="AXC116" s="383"/>
      <c r="AXD116" s="383"/>
      <c r="AXE116" s="383"/>
      <c r="AXF116" s="383"/>
      <c r="AXG116" s="383"/>
      <c r="AXH116" s="383"/>
      <c r="AXI116" s="383"/>
      <c r="AXJ116" s="383"/>
      <c r="AXK116" s="383"/>
      <c r="AXL116" s="383"/>
      <c r="AXM116" s="383"/>
      <c r="AXN116" s="383"/>
      <c r="AXO116" s="383"/>
      <c r="AXP116" s="383"/>
      <c r="AXQ116" s="383"/>
      <c r="AXR116" s="383"/>
      <c r="AXS116" s="383"/>
      <c r="AXT116" s="383"/>
      <c r="AXU116" s="383"/>
      <c r="AXV116" s="383"/>
      <c r="AXW116" s="383"/>
      <c r="AXX116" s="383"/>
      <c r="AXY116" s="383"/>
      <c r="AXZ116" s="383"/>
      <c r="AYA116" s="383"/>
      <c r="AYB116" s="383"/>
      <c r="AYC116" s="383"/>
      <c r="AYD116" s="383"/>
      <c r="AYE116" s="383"/>
      <c r="AYF116" s="383"/>
      <c r="AYG116" s="383"/>
      <c r="AYH116" s="383"/>
      <c r="AYI116" s="383"/>
      <c r="AYJ116" s="383"/>
      <c r="AYK116" s="383"/>
      <c r="AYL116" s="383"/>
      <c r="AYM116" s="383"/>
      <c r="AYN116" s="383"/>
      <c r="AYO116" s="383"/>
      <c r="AYP116" s="383"/>
      <c r="AYQ116" s="383"/>
      <c r="AYR116" s="383"/>
      <c r="AYS116" s="383"/>
      <c r="AYT116" s="383"/>
      <c r="AYU116" s="383"/>
      <c r="AYV116" s="383"/>
      <c r="AYW116" s="383"/>
      <c r="AYX116" s="383"/>
      <c r="AYY116" s="383"/>
      <c r="AYZ116" s="383"/>
      <c r="AZA116" s="383"/>
      <c r="AZB116" s="383"/>
      <c r="AZC116" s="383"/>
      <c r="AZD116" s="383"/>
      <c r="AZE116" s="383"/>
      <c r="AZF116" s="383"/>
      <c r="AZG116" s="383"/>
      <c r="AZH116" s="383"/>
      <c r="AZI116" s="383"/>
      <c r="AZJ116" s="383"/>
      <c r="AZK116" s="383"/>
      <c r="AZL116" s="383"/>
      <c r="AZM116" s="383"/>
      <c r="AZN116" s="383"/>
      <c r="AZO116" s="383"/>
      <c r="AZP116" s="383"/>
      <c r="AZQ116" s="383"/>
      <c r="AZR116" s="383"/>
      <c r="AZS116" s="383"/>
      <c r="AZT116" s="383"/>
      <c r="AZU116" s="383"/>
      <c r="AZV116" s="383"/>
      <c r="AZW116" s="383"/>
      <c r="AZX116" s="383"/>
      <c r="AZY116" s="383"/>
      <c r="AZZ116" s="383"/>
      <c r="BAA116" s="383"/>
      <c r="BAB116" s="383"/>
      <c r="BAC116" s="383"/>
      <c r="BAD116" s="383"/>
      <c r="BAE116" s="383"/>
      <c r="BAF116" s="383"/>
      <c r="BAG116" s="383"/>
      <c r="BAH116" s="383"/>
      <c r="BAI116" s="383"/>
      <c r="BAJ116" s="383"/>
      <c r="BAK116" s="383"/>
      <c r="BAL116" s="383"/>
      <c r="BAM116" s="383"/>
      <c r="BAN116" s="383"/>
      <c r="BAO116" s="383"/>
      <c r="BAP116" s="383"/>
      <c r="BAQ116" s="383"/>
      <c r="BAR116" s="383"/>
      <c r="BAS116" s="383"/>
      <c r="BAT116" s="383"/>
      <c r="BAU116" s="383"/>
      <c r="BAV116" s="383"/>
      <c r="BAW116" s="383"/>
      <c r="BAX116" s="383"/>
      <c r="BAY116" s="383"/>
      <c r="BAZ116" s="383"/>
      <c r="BBA116" s="383"/>
      <c r="BBB116" s="383"/>
      <c r="BBC116" s="383"/>
      <c r="BBD116" s="383"/>
      <c r="BBE116" s="383"/>
      <c r="BBF116" s="383"/>
      <c r="BBG116" s="383"/>
      <c r="BBH116" s="383"/>
      <c r="BBI116" s="383"/>
      <c r="BBJ116" s="383"/>
      <c r="BBK116" s="383"/>
      <c r="BBL116" s="383"/>
      <c r="BBM116" s="383"/>
      <c r="BBN116" s="383"/>
      <c r="BBO116" s="383"/>
      <c r="BBP116" s="383"/>
      <c r="BBQ116" s="383"/>
      <c r="BBR116" s="383"/>
      <c r="BBS116" s="383"/>
      <c r="BBT116" s="383"/>
      <c r="BBU116" s="383"/>
      <c r="BBV116" s="383"/>
      <c r="BBW116" s="383"/>
      <c r="BBX116" s="383"/>
      <c r="BBY116" s="383"/>
      <c r="BBZ116" s="383"/>
      <c r="BCA116" s="383"/>
      <c r="BCB116" s="383"/>
      <c r="BCC116" s="383"/>
      <c r="BCD116" s="383"/>
      <c r="BCE116" s="383"/>
      <c r="BCF116" s="383"/>
      <c r="BCG116" s="383"/>
      <c r="BCH116" s="383"/>
      <c r="BCI116" s="383"/>
      <c r="BCJ116" s="383"/>
      <c r="BCK116" s="383"/>
      <c r="BCL116" s="383"/>
      <c r="BCM116" s="383"/>
      <c r="BCN116" s="383"/>
      <c r="BCO116" s="383"/>
      <c r="BCP116" s="383"/>
      <c r="BCQ116" s="383"/>
      <c r="BCR116" s="383"/>
      <c r="BCS116" s="383"/>
      <c r="BCT116" s="383"/>
      <c r="BCU116" s="383"/>
      <c r="BCV116" s="383"/>
      <c r="BCW116" s="383"/>
      <c r="BCX116" s="383"/>
      <c r="BCY116" s="383"/>
      <c r="BCZ116" s="383"/>
      <c r="BDA116" s="383"/>
      <c r="BDB116" s="383"/>
      <c r="BDC116" s="383"/>
      <c r="BDD116" s="383"/>
      <c r="BDE116" s="383"/>
      <c r="BDF116" s="383"/>
      <c r="BDG116" s="383"/>
      <c r="BDH116" s="383"/>
      <c r="BDI116" s="383"/>
      <c r="BDJ116" s="383"/>
      <c r="BDK116" s="383"/>
      <c r="BDL116" s="383"/>
      <c r="BDM116" s="383"/>
      <c r="BDN116" s="383"/>
      <c r="BDO116" s="383"/>
      <c r="BDP116" s="383"/>
      <c r="BDQ116" s="383"/>
      <c r="BDR116" s="383"/>
      <c r="BDS116" s="383"/>
      <c r="BDT116" s="383"/>
      <c r="BDU116" s="383"/>
      <c r="BDV116" s="383"/>
      <c r="BDW116" s="383"/>
      <c r="BDX116" s="383"/>
      <c r="BDY116" s="383"/>
      <c r="BDZ116" s="383"/>
      <c r="BEA116" s="383"/>
      <c r="BEB116" s="383"/>
      <c r="BEC116" s="383"/>
      <c r="BED116" s="383"/>
      <c r="BEE116" s="383"/>
      <c r="BEF116" s="383"/>
      <c r="BEG116" s="383"/>
      <c r="BEH116" s="383"/>
      <c r="BEI116" s="383"/>
      <c r="BEJ116" s="383"/>
      <c r="BEK116" s="383"/>
      <c r="BEL116" s="383"/>
      <c r="BEM116" s="383"/>
      <c r="BEN116" s="383"/>
      <c r="BEO116" s="383"/>
      <c r="BEP116" s="383"/>
      <c r="BEQ116" s="383"/>
      <c r="BER116" s="383"/>
      <c r="BES116" s="383"/>
      <c r="BET116" s="383"/>
      <c r="BEU116" s="383"/>
      <c r="BEV116" s="383"/>
      <c r="BEW116" s="383"/>
      <c r="BEX116" s="383"/>
      <c r="BEY116" s="383"/>
      <c r="BEZ116" s="383"/>
      <c r="BFA116" s="383"/>
      <c r="BFB116" s="383"/>
      <c r="BFC116" s="383"/>
      <c r="BFD116" s="383"/>
      <c r="BFE116" s="383"/>
      <c r="BFF116" s="383"/>
      <c r="BFG116" s="383"/>
      <c r="BFH116" s="383"/>
      <c r="BFI116" s="383"/>
      <c r="BFJ116" s="383"/>
      <c r="BFK116" s="383"/>
      <c r="BFL116" s="383"/>
      <c r="BFM116" s="383"/>
      <c r="BFN116" s="383"/>
      <c r="BFO116" s="383"/>
      <c r="BFP116" s="383"/>
      <c r="BFQ116" s="383"/>
      <c r="BFR116" s="383"/>
      <c r="BFS116" s="383"/>
      <c r="BFT116" s="383"/>
      <c r="BFU116" s="383"/>
      <c r="BFV116" s="383"/>
      <c r="BFW116" s="383"/>
      <c r="BFX116" s="383"/>
      <c r="BFY116" s="383"/>
      <c r="BFZ116" s="383"/>
      <c r="BGA116" s="383"/>
      <c r="BGB116" s="383"/>
      <c r="BGC116" s="383"/>
      <c r="BGD116" s="383"/>
      <c r="BGE116" s="383"/>
      <c r="BGF116" s="383"/>
      <c r="BGG116" s="383"/>
      <c r="BGH116" s="383"/>
      <c r="BGI116" s="383"/>
      <c r="BGJ116" s="383"/>
      <c r="BGK116" s="383"/>
      <c r="BGL116" s="383"/>
      <c r="BGM116" s="383"/>
      <c r="BGN116" s="383"/>
      <c r="BGO116" s="383"/>
      <c r="BGP116" s="383"/>
      <c r="BGQ116" s="383"/>
      <c r="BGR116" s="383"/>
      <c r="BGS116" s="383"/>
      <c r="BGT116" s="383"/>
      <c r="BGU116" s="383"/>
      <c r="BGV116" s="383"/>
      <c r="BGW116" s="383"/>
      <c r="BGX116" s="383"/>
      <c r="BGY116" s="383"/>
      <c r="BGZ116" s="383"/>
      <c r="BHA116" s="383"/>
      <c r="BHB116" s="383"/>
      <c r="BHC116" s="383"/>
      <c r="BHD116" s="383"/>
      <c r="BHE116" s="383"/>
      <c r="BHF116" s="383"/>
      <c r="BHG116" s="383"/>
      <c r="BHH116" s="383"/>
      <c r="BHI116" s="383"/>
      <c r="BHJ116" s="383"/>
      <c r="BHK116" s="383"/>
      <c r="BHL116" s="383"/>
      <c r="BHM116" s="383"/>
      <c r="BHN116" s="383"/>
      <c r="BHO116" s="383"/>
      <c r="BHP116" s="383"/>
      <c r="BHQ116" s="383"/>
      <c r="BHR116" s="383"/>
      <c r="BHS116" s="383"/>
      <c r="BHT116" s="383"/>
      <c r="BHU116" s="383"/>
      <c r="BHV116" s="383"/>
      <c r="BHW116" s="383"/>
      <c r="BHX116" s="383"/>
      <c r="BHY116" s="383"/>
      <c r="BHZ116" s="383"/>
      <c r="BIA116" s="383"/>
      <c r="BIB116" s="383"/>
      <c r="BIC116" s="383"/>
      <c r="BID116" s="383"/>
      <c r="BIE116" s="383"/>
      <c r="BIF116" s="383"/>
      <c r="BIG116" s="383"/>
      <c r="BIH116" s="383"/>
      <c r="BII116" s="383"/>
      <c r="BIJ116" s="383"/>
      <c r="BIK116" s="383"/>
      <c r="BIL116" s="383"/>
      <c r="BIM116" s="383"/>
      <c r="BIN116" s="383"/>
      <c r="BIO116" s="383"/>
      <c r="BIP116" s="383"/>
      <c r="BIQ116" s="383"/>
      <c r="BIR116" s="383"/>
      <c r="BIS116" s="383"/>
      <c r="BIT116" s="383"/>
      <c r="BIU116" s="383"/>
      <c r="BIV116" s="383"/>
      <c r="BIW116" s="383"/>
      <c r="BIX116" s="383"/>
      <c r="BIY116" s="383"/>
      <c r="BIZ116" s="383"/>
      <c r="BJA116" s="383"/>
      <c r="BJB116" s="383"/>
      <c r="BJC116" s="383"/>
      <c r="BJD116" s="383"/>
      <c r="BJE116" s="383"/>
      <c r="BJF116" s="383"/>
      <c r="BJG116" s="383"/>
      <c r="BJH116" s="383"/>
      <c r="BJI116" s="383"/>
      <c r="BJJ116" s="383"/>
      <c r="BJK116" s="383"/>
      <c r="BJL116" s="383"/>
      <c r="BJM116" s="383"/>
      <c r="BJN116" s="383"/>
      <c r="BJO116" s="383"/>
      <c r="BJP116" s="383"/>
      <c r="BJQ116" s="383"/>
      <c r="BJR116" s="383"/>
      <c r="BJS116" s="383"/>
      <c r="BJT116" s="383"/>
      <c r="BJU116" s="383"/>
      <c r="BJV116" s="383"/>
      <c r="BJW116" s="383"/>
      <c r="BJX116" s="383"/>
      <c r="BJY116" s="383"/>
      <c r="BJZ116" s="383"/>
      <c r="BKA116" s="383"/>
      <c r="BKB116" s="383"/>
      <c r="BKC116" s="383"/>
      <c r="BKD116" s="383"/>
      <c r="BKE116" s="383"/>
      <c r="BKF116" s="383"/>
      <c r="BKG116" s="383"/>
      <c r="BKH116" s="383"/>
      <c r="BKI116" s="383"/>
      <c r="BKJ116" s="383"/>
      <c r="BKK116" s="383"/>
      <c r="BKL116" s="383"/>
      <c r="BKM116" s="383"/>
      <c r="BKN116" s="383"/>
      <c r="BKO116" s="383"/>
      <c r="BKP116" s="383"/>
      <c r="BKQ116" s="383"/>
      <c r="BKR116" s="383"/>
      <c r="BKS116" s="383"/>
      <c r="BKT116" s="383"/>
      <c r="BKU116" s="383"/>
      <c r="BKV116" s="383"/>
      <c r="BKW116" s="383"/>
      <c r="BKX116" s="383"/>
      <c r="BKY116" s="383"/>
      <c r="BKZ116" s="383"/>
      <c r="BLA116" s="383"/>
      <c r="BLB116" s="383"/>
      <c r="BLC116" s="383"/>
      <c r="BLD116" s="383"/>
      <c r="BLE116" s="383"/>
      <c r="BLF116" s="383"/>
      <c r="BLG116" s="383"/>
      <c r="BLH116" s="383"/>
      <c r="BLI116" s="383"/>
      <c r="BLJ116" s="383"/>
      <c r="BLK116" s="383"/>
      <c r="BLL116" s="383"/>
      <c r="BLM116" s="383"/>
      <c r="BLN116" s="383"/>
      <c r="BLO116" s="383"/>
      <c r="BLP116" s="383"/>
      <c r="BLQ116" s="383"/>
      <c r="BLR116" s="383"/>
      <c r="BLS116" s="383"/>
      <c r="BLT116" s="383"/>
      <c r="BLU116" s="383"/>
      <c r="BLV116" s="383"/>
      <c r="BLW116" s="383"/>
      <c r="BLX116" s="383"/>
      <c r="BLY116" s="383"/>
      <c r="BLZ116" s="383"/>
      <c r="BMA116" s="383"/>
      <c r="BMB116" s="383"/>
      <c r="BMC116" s="383"/>
      <c r="BMD116" s="383"/>
      <c r="BME116" s="383"/>
      <c r="BMF116" s="383"/>
      <c r="BMG116" s="383"/>
      <c r="BMH116" s="383"/>
      <c r="BMI116" s="383"/>
      <c r="BMJ116" s="383"/>
      <c r="BMK116" s="383"/>
      <c r="BML116" s="383"/>
      <c r="BMM116" s="383"/>
      <c r="BMN116" s="383"/>
      <c r="BMO116" s="383"/>
      <c r="BMP116" s="383"/>
      <c r="BMQ116" s="383"/>
      <c r="BMR116" s="383"/>
      <c r="BMS116" s="383"/>
      <c r="BMT116" s="383"/>
      <c r="BMU116" s="383"/>
      <c r="BMV116" s="383"/>
      <c r="BMW116" s="383"/>
      <c r="BMX116" s="383"/>
      <c r="BMY116" s="383"/>
      <c r="BMZ116" s="383"/>
      <c r="BNA116" s="383"/>
      <c r="BNB116" s="383"/>
      <c r="BNC116" s="383"/>
      <c r="BND116" s="383"/>
      <c r="BNE116" s="383"/>
      <c r="BNF116" s="383"/>
      <c r="BNG116" s="383"/>
      <c r="BNH116" s="383"/>
      <c r="BNI116" s="383"/>
      <c r="BNJ116" s="383"/>
      <c r="BNK116" s="383"/>
      <c r="BNL116" s="383"/>
      <c r="BNM116" s="383"/>
      <c r="BNN116" s="383"/>
      <c r="BNO116" s="383"/>
      <c r="BNP116" s="383"/>
      <c r="BNQ116" s="383"/>
      <c r="BNR116" s="383"/>
      <c r="BNS116" s="383"/>
      <c r="BNT116" s="383"/>
      <c r="BNU116" s="383"/>
      <c r="BNV116" s="383"/>
      <c r="BNW116" s="383"/>
      <c r="BNX116" s="383"/>
      <c r="BNY116" s="383"/>
      <c r="BNZ116" s="383"/>
      <c r="BOA116" s="383"/>
      <c r="BOB116" s="383"/>
      <c r="BOC116" s="383"/>
      <c r="BOD116" s="383"/>
      <c r="BOE116" s="383"/>
      <c r="BOF116" s="383"/>
      <c r="BOG116" s="383"/>
      <c r="BOH116" s="383"/>
      <c r="BOI116" s="383"/>
      <c r="BOJ116" s="383"/>
      <c r="BOK116" s="383"/>
      <c r="BOL116" s="383"/>
      <c r="BOM116" s="383"/>
      <c r="BON116" s="383"/>
      <c r="BOO116" s="383"/>
      <c r="BOP116" s="383"/>
      <c r="BOQ116" s="383"/>
      <c r="BOR116" s="383"/>
      <c r="BOS116" s="383"/>
      <c r="BOT116" s="383"/>
      <c r="BOU116" s="383"/>
      <c r="BOV116" s="383"/>
      <c r="BOW116" s="383"/>
      <c r="BOX116" s="383"/>
      <c r="BOY116" s="383"/>
      <c r="BOZ116" s="383"/>
      <c r="BPA116" s="383"/>
      <c r="BPB116" s="383"/>
      <c r="BPC116" s="383"/>
      <c r="BPD116" s="383"/>
      <c r="BPE116" s="383"/>
      <c r="BPF116" s="383"/>
      <c r="BPG116" s="383"/>
      <c r="BPH116" s="383"/>
      <c r="BPI116" s="383"/>
      <c r="BPJ116" s="383"/>
      <c r="BPK116" s="383"/>
      <c r="BPL116" s="383"/>
      <c r="BPM116" s="383"/>
      <c r="BPN116" s="383"/>
      <c r="BPO116" s="383"/>
      <c r="BPP116" s="383"/>
      <c r="BPQ116" s="383"/>
      <c r="BPR116" s="383"/>
      <c r="BPS116" s="383"/>
      <c r="BPT116" s="383"/>
      <c r="BPU116" s="383"/>
      <c r="BPV116" s="383"/>
      <c r="BPW116" s="383"/>
      <c r="BPX116" s="383"/>
      <c r="BPY116" s="383"/>
      <c r="BPZ116" s="383"/>
      <c r="BQA116" s="383"/>
      <c r="BQB116" s="383"/>
      <c r="BQC116" s="383"/>
      <c r="BQD116" s="383"/>
      <c r="BQE116" s="383"/>
      <c r="BQF116" s="383"/>
      <c r="BQG116" s="383"/>
      <c r="BQH116" s="383"/>
      <c r="BQI116" s="383"/>
      <c r="BQJ116" s="383"/>
      <c r="BQK116" s="383"/>
      <c r="BQL116" s="383"/>
      <c r="BQM116" s="383"/>
      <c r="BQN116" s="383"/>
      <c r="BQO116" s="383"/>
      <c r="BQP116" s="383"/>
      <c r="BQQ116" s="383"/>
      <c r="BQR116" s="383"/>
      <c r="BQS116" s="383"/>
      <c r="BQT116" s="383"/>
      <c r="BQU116" s="383"/>
      <c r="BQV116" s="383"/>
      <c r="BQW116" s="383"/>
      <c r="BQX116" s="383"/>
      <c r="BQY116" s="383"/>
      <c r="BQZ116" s="383"/>
      <c r="BRA116" s="383"/>
      <c r="BRB116" s="383"/>
      <c r="BRC116" s="383"/>
      <c r="BRD116" s="383"/>
      <c r="BRE116" s="383"/>
      <c r="BRF116" s="383"/>
      <c r="BRG116" s="383"/>
      <c r="BRH116" s="383"/>
      <c r="BRI116" s="383"/>
      <c r="BRJ116" s="383"/>
      <c r="BRK116" s="383"/>
      <c r="BRL116" s="383"/>
      <c r="BRM116" s="383"/>
      <c r="BRN116" s="383"/>
      <c r="BRO116" s="383"/>
      <c r="BRP116" s="383"/>
      <c r="BRQ116" s="383"/>
      <c r="BRR116" s="383"/>
      <c r="BRS116" s="383"/>
      <c r="BRT116" s="383"/>
      <c r="BRU116" s="383"/>
      <c r="BRV116" s="383"/>
      <c r="BRW116" s="383"/>
      <c r="BRX116" s="383"/>
      <c r="BRY116" s="383"/>
      <c r="BRZ116" s="383"/>
      <c r="BSA116" s="383"/>
      <c r="BSB116" s="383"/>
      <c r="BSC116" s="383"/>
      <c r="BSD116" s="383"/>
      <c r="BSE116" s="383"/>
      <c r="BSF116" s="383"/>
      <c r="BSG116" s="383"/>
      <c r="BSH116" s="383"/>
      <c r="BSI116" s="383"/>
      <c r="BSJ116" s="383"/>
      <c r="BSK116" s="383"/>
      <c r="BSL116" s="383"/>
      <c r="BSM116" s="383"/>
      <c r="BSN116" s="383"/>
      <c r="BSO116" s="383"/>
      <c r="BSP116" s="383"/>
      <c r="BSQ116" s="383"/>
      <c r="BSR116" s="383"/>
      <c r="BSS116" s="383"/>
      <c r="BST116" s="383"/>
      <c r="BSU116" s="383"/>
      <c r="BSV116" s="383"/>
      <c r="BSW116" s="383"/>
      <c r="BSX116" s="383"/>
      <c r="BSY116" s="383"/>
      <c r="BSZ116" s="383"/>
      <c r="BTA116" s="383"/>
      <c r="BTB116" s="383"/>
      <c r="BTC116" s="383"/>
      <c r="BTD116" s="383"/>
      <c r="BTE116" s="383"/>
      <c r="BTF116" s="383"/>
      <c r="BTG116" s="383"/>
      <c r="BTH116" s="383"/>
      <c r="BTI116" s="383"/>
      <c r="BTJ116" s="383"/>
      <c r="BTK116" s="383"/>
      <c r="BTL116" s="383"/>
      <c r="BTM116" s="383"/>
      <c r="BTN116" s="383"/>
      <c r="BTO116" s="383"/>
      <c r="BTP116" s="383"/>
      <c r="BTQ116" s="383"/>
      <c r="BTR116" s="383"/>
      <c r="BTS116" s="383"/>
      <c r="BTT116" s="383"/>
      <c r="BTU116" s="383"/>
      <c r="BTV116" s="383"/>
      <c r="BTW116" s="383"/>
      <c r="BTX116" s="383"/>
      <c r="BTY116" s="383"/>
      <c r="BTZ116" s="383"/>
      <c r="BUA116" s="383"/>
      <c r="BUB116" s="383"/>
      <c r="BUC116" s="383"/>
      <c r="BUD116" s="383"/>
      <c r="BUE116" s="383"/>
      <c r="BUF116" s="383"/>
      <c r="BUG116" s="383"/>
      <c r="BUH116" s="383"/>
      <c r="BUI116" s="383"/>
      <c r="BUJ116" s="383"/>
      <c r="BUK116" s="383"/>
      <c r="BUL116" s="383"/>
      <c r="BUM116" s="383"/>
      <c r="BUN116" s="383"/>
      <c r="BUO116" s="383"/>
      <c r="BUP116" s="383"/>
      <c r="BUQ116" s="383"/>
      <c r="BUR116" s="383"/>
      <c r="BUS116" s="383"/>
      <c r="BUT116" s="383"/>
      <c r="BUU116" s="383"/>
      <c r="BUV116" s="383"/>
      <c r="BUW116" s="383"/>
      <c r="BUX116" s="383"/>
      <c r="BUY116" s="383"/>
      <c r="BUZ116" s="383"/>
      <c r="BVA116" s="383"/>
      <c r="BVB116" s="383"/>
      <c r="BVC116" s="383"/>
      <c r="BVD116" s="383"/>
      <c r="BVE116" s="383"/>
      <c r="BVF116" s="383"/>
      <c r="BVG116" s="383"/>
      <c r="BVH116" s="383"/>
      <c r="BVI116" s="383"/>
      <c r="BVJ116" s="383"/>
      <c r="BVK116" s="383"/>
      <c r="BVL116" s="383"/>
      <c r="BVM116" s="383"/>
      <c r="BVN116" s="383"/>
      <c r="BVO116" s="383"/>
      <c r="BVP116" s="383"/>
      <c r="BVQ116" s="383"/>
      <c r="BVR116" s="383"/>
      <c r="BVS116" s="383"/>
      <c r="BVT116" s="383"/>
      <c r="BVU116" s="383"/>
      <c r="BVV116" s="383"/>
      <c r="BVW116" s="383"/>
      <c r="BVX116" s="383"/>
      <c r="BVY116" s="383"/>
      <c r="BVZ116" s="383"/>
      <c r="BWA116" s="383"/>
      <c r="BWB116" s="383"/>
      <c r="BWC116" s="383"/>
      <c r="BWD116" s="383"/>
      <c r="BWE116" s="383"/>
      <c r="BWF116" s="383"/>
      <c r="BWG116" s="383"/>
      <c r="BWH116" s="383"/>
      <c r="BWI116" s="383"/>
      <c r="BWJ116" s="383"/>
      <c r="BWK116" s="383"/>
      <c r="BWL116" s="383"/>
      <c r="BWM116" s="383"/>
      <c r="BWN116" s="383"/>
      <c r="BWO116" s="383"/>
      <c r="BWP116" s="383"/>
      <c r="BWQ116" s="383"/>
      <c r="BWR116" s="383"/>
      <c r="BWS116" s="383"/>
      <c r="BWT116" s="383"/>
      <c r="BWU116" s="383"/>
      <c r="BWV116" s="383"/>
      <c r="BWW116" s="383"/>
      <c r="BWX116" s="383"/>
      <c r="BWY116" s="383"/>
      <c r="BWZ116" s="383"/>
      <c r="BXA116" s="383"/>
      <c r="BXB116" s="383"/>
      <c r="BXC116" s="383"/>
      <c r="BXD116" s="383"/>
      <c r="BXE116" s="383"/>
      <c r="BXF116" s="383"/>
      <c r="BXG116" s="383"/>
      <c r="BXH116" s="383"/>
      <c r="BXI116" s="383"/>
      <c r="BXJ116" s="383"/>
      <c r="BXK116" s="383"/>
      <c r="BXL116" s="383"/>
      <c r="BXM116" s="383"/>
      <c r="BXN116" s="383"/>
      <c r="BXO116" s="383"/>
      <c r="BXP116" s="383"/>
      <c r="BXQ116" s="383"/>
      <c r="BXR116" s="383"/>
      <c r="BXS116" s="383"/>
      <c r="BXT116" s="383"/>
      <c r="BXU116" s="383"/>
      <c r="BXV116" s="383"/>
      <c r="BXW116" s="383"/>
      <c r="BXX116" s="383"/>
      <c r="BXY116" s="383"/>
      <c r="BXZ116" s="383"/>
      <c r="BYA116" s="383"/>
      <c r="BYB116" s="383"/>
      <c r="BYC116" s="383"/>
      <c r="BYD116" s="383"/>
      <c r="BYE116" s="383"/>
      <c r="BYF116" s="383"/>
      <c r="BYG116" s="383"/>
      <c r="BYH116" s="383"/>
      <c r="BYI116" s="383"/>
      <c r="BYJ116" s="383"/>
      <c r="BYK116" s="383"/>
      <c r="BYL116" s="383"/>
      <c r="BYM116" s="383"/>
      <c r="BYN116" s="383"/>
      <c r="BYO116" s="383"/>
      <c r="BYP116" s="383"/>
      <c r="BYQ116" s="383"/>
      <c r="BYR116" s="383"/>
      <c r="BYS116" s="383"/>
      <c r="BYT116" s="383"/>
      <c r="BYU116" s="383"/>
      <c r="BYV116" s="383"/>
      <c r="BYW116" s="383"/>
      <c r="BYX116" s="383"/>
      <c r="BYY116" s="383"/>
      <c r="BYZ116" s="383"/>
      <c r="BZA116" s="383"/>
      <c r="BZB116" s="383"/>
      <c r="BZC116" s="383"/>
      <c r="BZD116" s="383"/>
      <c r="BZE116" s="383"/>
      <c r="BZF116" s="383"/>
      <c r="BZG116" s="383"/>
      <c r="BZH116" s="383"/>
      <c r="BZI116" s="383"/>
      <c r="BZJ116" s="383"/>
      <c r="BZK116" s="383"/>
      <c r="BZL116" s="383"/>
      <c r="BZM116" s="383"/>
      <c r="BZN116" s="383"/>
      <c r="BZO116" s="383"/>
      <c r="BZP116" s="383"/>
      <c r="BZQ116" s="383"/>
      <c r="BZR116" s="383"/>
      <c r="BZS116" s="383"/>
      <c r="BZT116" s="383"/>
      <c r="BZU116" s="383"/>
      <c r="BZV116" s="383"/>
      <c r="BZW116" s="383"/>
      <c r="BZX116" s="383"/>
      <c r="BZY116" s="383"/>
      <c r="BZZ116" s="383"/>
      <c r="CAA116" s="383"/>
      <c r="CAB116" s="383"/>
      <c r="CAC116" s="383"/>
      <c r="CAD116" s="383"/>
      <c r="CAE116" s="383"/>
      <c r="CAF116" s="383"/>
      <c r="CAG116" s="383"/>
      <c r="CAH116" s="383"/>
      <c r="CAI116" s="383"/>
      <c r="CAJ116" s="383"/>
      <c r="CAK116" s="383"/>
      <c r="CAL116" s="383"/>
      <c r="CAM116" s="383"/>
      <c r="CAN116" s="383"/>
      <c r="CAO116" s="383"/>
      <c r="CAP116" s="383"/>
      <c r="CAQ116" s="383"/>
      <c r="CAR116" s="383"/>
      <c r="CAS116" s="383"/>
      <c r="CAT116" s="383"/>
      <c r="CAU116" s="383"/>
      <c r="CAV116" s="383"/>
      <c r="CAW116" s="383"/>
      <c r="CAX116" s="383"/>
      <c r="CAY116" s="383"/>
      <c r="CAZ116" s="383"/>
      <c r="CBA116" s="383"/>
      <c r="CBB116" s="383"/>
      <c r="CBC116" s="383"/>
      <c r="CBD116" s="383"/>
      <c r="CBE116" s="383"/>
      <c r="CBF116" s="383"/>
      <c r="CBG116" s="383"/>
      <c r="CBH116" s="383"/>
      <c r="CBI116" s="383"/>
      <c r="CBJ116" s="383"/>
      <c r="CBK116" s="383"/>
      <c r="CBL116" s="383"/>
      <c r="CBM116" s="383"/>
      <c r="CBN116" s="383"/>
      <c r="CBO116" s="383"/>
      <c r="CBP116" s="383"/>
      <c r="CBQ116" s="383"/>
      <c r="CBR116" s="383"/>
      <c r="CBS116" s="383"/>
      <c r="CBT116" s="383"/>
      <c r="CBU116" s="383"/>
      <c r="CBV116" s="383"/>
      <c r="CBW116" s="383"/>
      <c r="CBX116" s="383"/>
      <c r="CBY116" s="383"/>
      <c r="CBZ116" s="383"/>
      <c r="CCA116" s="383"/>
      <c r="CCB116" s="383"/>
      <c r="CCC116" s="383"/>
      <c r="CCD116" s="383"/>
      <c r="CCE116" s="383"/>
      <c r="CCF116" s="383"/>
      <c r="CCG116" s="383"/>
      <c r="CCH116" s="383"/>
      <c r="CCI116" s="383"/>
      <c r="CCJ116" s="383"/>
      <c r="CCK116" s="383"/>
      <c r="CCL116" s="383"/>
      <c r="CCM116" s="383"/>
      <c r="CCN116" s="383"/>
      <c r="CCO116" s="383"/>
      <c r="CCP116" s="383"/>
      <c r="CCQ116" s="383"/>
      <c r="CCR116" s="383"/>
      <c r="CCS116" s="383"/>
      <c r="CCT116" s="383"/>
      <c r="CCU116" s="383"/>
      <c r="CCV116" s="383"/>
      <c r="CCW116" s="383"/>
      <c r="CCX116" s="383"/>
      <c r="CCY116" s="383"/>
      <c r="CCZ116" s="383"/>
      <c r="CDA116" s="383"/>
      <c r="CDB116" s="383"/>
      <c r="CDC116" s="383"/>
      <c r="CDD116" s="383"/>
      <c r="CDE116" s="383"/>
      <c r="CDF116" s="383"/>
      <c r="CDG116" s="383"/>
      <c r="CDH116" s="383"/>
      <c r="CDI116" s="383"/>
      <c r="CDJ116" s="383"/>
      <c r="CDK116" s="383"/>
      <c r="CDL116" s="383"/>
      <c r="CDM116" s="383"/>
      <c r="CDN116" s="383"/>
      <c r="CDO116" s="383"/>
      <c r="CDP116" s="383"/>
      <c r="CDQ116" s="383"/>
      <c r="CDR116" s="383"/>
      <c r="CDS116" s="383"/>
      <c r="CDT116" s="383"/>
      <c r="CDU116" s="383"/>
      <c r="CDV116" s="383"/>
      <c r="CDW116" s="383"/>
      <c r="CDX116" s="383"/>
      <c r="CDY116" s="383"/>
      <c r="CDZ116" s="383"/>
      <c r="CEA116" s="383"/>
      <c r="CEB116" s="383"/>
      <c r="CEC116" s="383"/>
      <c r="CED116" s="383"/>
      <c r="CEE116" s="383"/>
      <c r="CEF116" s="383"/>
      <c r="CEG116" s="383"/>
      <c r="CEH116" s="383"/>
      <c r="CEI116" s="383"/>
      <c r="CEJ116" s="383"/>
      <c r="CEK116" s="383"/>
      <c r="CEL116" s="383"/>
      <c r="CEM116" s="383"/>
      <c r="CEN116" s="383"/>
      <c r="CEO116" s="383"/>
      <c r="CEP116" s="383"/>
      <c r="CEQ116" s="383"/>
      <c r="CER116" s="383"/>
      <c r="CES116" s="383"/>
      <c r="CET116" s="383"/>
      <c r="CEU116" s="383"/>
      <c r="CEV116" s="383"/>
      <c r="CEW116" s="383"/>
      <c r="CEX116" s="383"/>
      <c r="CEY116" s="383"/>
      <c r="CEZ116" s="383"/>
      <c r="CFA116" s="383"/>
      <c r="CFB116" s="383"/>
      <c r="CFC116" s="383"/>
      <c r="CFD116" s="383"/>
      <c r="CFE116" s="383"/>
      <c r="CFF116" s="383"/>
      <c r="CFG116" s="383"/>
      <c r="CFH116" s="383"/>
      <c r="CFI116" s="383"/>
      <c r="CFJ116" s="383"/>
      <c r="CFK116" s="383"/>
      <c r="CFL116" s="383"/>
      <c r="CFM116" s="383"/>
      <c r="CFN116" s="383"/>
      <c r="CFO116" s="383"/>
      <c r="CFP116" s="383"/>
      <c r="CFQ116" s="383"/>
      <c r="CFR116" s="383"/>
      <c r="CFS116" s="383"/>
      <c r="CFT116" s="383"/>
      <c r="CFU116" s="383"/>
      <c r="CFV116" s="383"/>
      <c r="CFW116" s="383"/>
      <c r="CFX116" s="383"/>
      <c r="CFY116" s="383"/>
      <c r="CFZ116" s="383"/>
      <c r="CGA116" s="383"/>
      <c r="CGB116" s="383"/>
      <c r="CGC116" s="383"/>
      <c r="CGD116" s="383"/>
      <c r="CGE116" s="383"/>
      <c r="CGF116" s="383"/>
      <c r="CGG116" s="383"/>
      <c r="CGH116" s="383"/>
      <c r="CGI116" s="383"/>
      <c r="CGJ116" s="383"/>
      <c r="CGK116" s="383"/>
      <c r="CGL116" s="383"/>
      <c r="CGM116" s="383"/>
      <c r="CGN116" s="383"/>
      <c r="CGO116" s="383"/>
      <c r="CGP116" s="383"/>
      <c r="CGQ116" s="383"/>
      <c r="CGR116" s="383"/>
      <c r="CGS116" s="383"/>
      <c r="CGT116" s="383"/>
      <c r="CGU116" s="383"/>
      <c r="CGV116" s="383"/>
      <c r="CGW116" s="383"/>
      <c r="CGX116" s="383"/>
      <c r="CGY116" s="383"/>
      <c r="CGZ116" s="383"/>
      <c r="CHA116" s="383"/>
      <c r="CHB116" s="383"/>
      <c r="CHC116" s="383"/>
      <c r="CHD116" s="383"/>
      <c r="CHE116" s="383"/>
      <c r="CHF116" s="383"/>
      <c r="CHG116" s="383"/>
      <c r="CHH116" s="383"/>
      <c r="CHI116" s="383"/>
      <c r="CHJ116" s="383"/>
      <c r="CHK116" s="383"/>
      <c r="CHL116" s="383"/>
      <c r="CHM116" s="383"/>
      <c r="CHN116" s="383"/>
      <c r="CHO116" s="383"/>
      <c r="CHP116" s="383"/>
      <c r="CHQ116" s="383"/>
      <c r="CHR116" s="383"/>
      <c r="CHS116" s="383"/>
      <c r="CHT116" s="383"/>
      <c r="CHU116" s="383"/>
      <c r="CHV116" s="383"/>
      <c r="CHW116" s="383"/>
      <c r="CHX116" s="383"/>
      <c r="CHY116" s="383"/>
      <c r="CHZ116" s="383"/>
      <c r="CIA116" s="383"/>
      <c r="CIB116" s="383"/>
      <c r="CIC116" s="383"/>
      <c r="CID116" s="383"/>
      <c r="CIE116" s="383"/>
      <c r="CIF116" s="383"/>
      <c r="CIG116" s="383"/>
      <c r="CIH116" s="383"/>
      <c r="CII116" s="383"/>
      <c r="CIJ116" s="383"/>
      <c r="CIK116" s="383"/>
      <c r="CIL116" s="383"/>
      <c r="CIM116" s="383"/>
      <c r="CIN116" s="383"/>
      <c r="CIO116" s="383"/>
      <c r="CIP116" s="383"/>
      <c r="CIQ116" s="383"/>
      <c r="CIR116" s="383"/>
      <c r="CIS116" s="383"/>
      <c r="CIT116" s="383"/>
      <c r="CIU116" s="383"/>
      <c r="CIV116" s="383"/>
      <c r="CIW116" s="383"/>
      <c r="CIX116" s="383"/>
      <c r="CIY116" s="383"/>
      <c r="CIZ116" s="383"/>
      <c r="CJA116" s="383"/>
      <c r="CJB116" s="383"/>
      <c r="CJC116" s="383"/>
      <c r="CJD116" s="383"/>
      <c r="CJE116" s="383"/>
      <c r="CJF116" s="383"/>
      <c r="CJG116" s="383"/>
      <c r="CJH116" s="383"/>
      <c r="CJI116" s="383"/>
      <c r="CJJ116" s="383"/>
      <c r="CJK116" s="383"/>
      <c r="CJL116" s="383"/>
      <c r="CJM116" s="383"/>
      <c r="CJN116" s="383"/>
      <c r="CJO116" s="383"/>
      <c r="CJP116" s="383"/>
      <c r="CJQ116" s="383"/>
      <c r="CJR116" s="383"/>
      <c r="CJS116" s="383"/>
      <c r="CJT116" s="383"/>
      <c r="CJU116" s="383"/>
      <c r="CJV116" s="383"/>
      <c r="CJW116" s="383"/>
      <c r="CJX116" s="383"/>
      <c r="CJY116" s="383"/>
      <c r="CJZ116" s="383"/>
      <c r="CKA116" s="383"/>
      <c r="CKB116" s="383"/>
      <c r="CKC116" s="383"/>
      <c r="CKD116" s="383"/>
      <c r="CKE116" s="383"/>
      <c r="CKF116" s="383"/>
      <c r="CKG116" s="383"/>
      <c r="CKH116" s="383"/>
      <c r="CKI116" s="383"/>
      <c r="CKJ116" s="383"/>
      <c r="CKK116" s="383"/>
      <c r="CKL116" s="383"/>
      <c r="CKM116" s="383"/>
      <c r="CKN116" s="383"/>
      <c r="CKO116" s="383"/>
      <c r="CKP116" s="383"/>
      <c r="CKQ116" s="383"/>
      <c r="CKR116" s="383"/>
      <c r="CKS116" s="383"/>
      <c r="CKT116" s="383"/>
      <c r="CKU116" s="383"/>
      <c r="CKV116" s="383"/>
      <c r="CKW116" s="383"/>
      <c r="CKX116" s="383"/>
      <c r="CKY116" s="383"/>
      <c r="CKZ116" s="383"/>
      <c r="CLA116" s="383"/>
      <c r="CLB116" s="383"/>
      <c r="CLC116" s="383"/>
      <c r="CLD116" s="383"/>
      <c r="CLE116" s="383"/>
      <c r="CLF116" s="383"/>
      <c r="CLG116" s="383"/>
      <c r="CLH116" s="383"/>
      <c r="CLI116" s="383"/>
      <c r="CLJ116" s="383"/>
      <c r="CLK116" s="383"/>
      <c r="CLL116" s="383"/>
      <c r="CLM116" s="383"/>
      <c r="CLN116" s="383"/>
      <c r="CLO116" s="383"/>
      <c r="CLP116" s="383"/>
      <c r="CLQ116" s="383"/>
      <c r="CLR116" s="383"/>
      <c r="CLS116" s="383"/>
      <c r="CLT116" s="383"/>
      <c r="CLU116" s="383"/>
      <c r="CLV116" s="383"/>
      <c r="CLW116" s="383"/>
      <c r="CLX116" s="383"/>
      <c r="CLY116" s="383"/>
      <c r="CLZ116" s="383"/>
      <c r="CMA116" s="383"/>
      <c r="CMB116" s="383"/>
      <c r="CMC116" s="383"/>
      <c r="CMD116" s="383"/>
      <c r="CME116" s="383"/>
      <c r="CMF116" s="383"/>
      <c r="CMG116" s="383"/>
      <c r="CMH116" s="383"/>
      <c r="CMI116" s="383"/>
      <c r="CMJ116" s="383"/>
      <c r="CMK116" s="383"/>
      <c r="CML116" s="383"/>
      <c r="CMM116" s="383"/>
      <c r="CMN116" s="383"/>
      <c r="CMO116" s="383"/>
      <c r="CMP116" s="383"/>
      <c r="CMQ116" s="383"/>
      <c r="CMR116" s="383"/>
      <c r="CMS116" s="383"/>
      <c r="CMT116" s="383"/>
      <c r="CMU116" s="383"/>
      <c r="CMV116" s="383"/>
      <c r="CMW116" s="383"/>
      <c r="CMX116" s="383"/>
      <c r="CMY116" s="383"/>
      <c r="CMZ116" s="383"/>
      <c r="CNA116" s="383"/>
      <c r="CNB116" s="383"/>
      <c r="CNC116" s="383"/>
      <c r="CND116" s="383"/>
      <c r="CNE116" s="383"/>
      <c r="CNF116" s="383"/>
      <c r="CNG116" s="383"/>
      <c r="CNH116" s="383"/>
      <c r="CNI116" s="383"/>
      <c r="CNJ116" s="383"/>
      <c r="CNK116" s="383"/>
      <c r="CNL116" s="383"/>
      <c r="CNM116" s="383"/>
      <c r="CNN116" s="383"/>
      <c r="CNO116" s="383"/>
      <c r="CNP116" s="383"/>
      <c r="CNQ116" s="383"/>
      <c r="CNR116" s="383"/>
      <c r="CNS116" s="383"/>
      <c r="CNT116" s="383"/>
      <c r="CNU116" s="383"/>
      <c r="CNV116" s="383"/>
      <c r="CNW116" s="383"/>
      <c r="CNX116" s="383"/>
      <c r="CNY116" s="383"/>
      <c r="CNZ116" s="383"/>
      <c r="COA116" s="383"/>
      <c r="COB116" s="383"/>
      <c r="COC116" s="383"/>
      <c r="COD116" s="383"/>
      <c r="COE116" s="383"/>
      <c r="COF116" s="383"/>
      <c r="COG116" s="383"/>
      <c r="COH116" s="383"/>
      <c r="COI116" s="383"/>
      <c r="COJ116" s="383"/>
      <c r="COK116" s="383"/>
      <c r="COL116" s="383"/>
      <c r="COM116" s="383"/>
      <c r="CON116" s="383"/>
      <c r="COO116" s="383"/>
      <c r="COP116" s="383"/>
      <c r="COQ116" s="383"/>
      <c r="COR116" s="383"/>
      <c r="COS116" s="383"/>
      <c r="COT116" s="383"/>
      <c r="COU116" s="383"/>
      <c r="COV116" s="383"/>
      <c r="COW116" s="383"/>
      <c r="COX116" s="383"/>
      <c r="COY116" s="383"/>
      <c r="COZ116" s="383"/>
      <c r="CPA116" s="383"/>
      <c r="CPB116" s="383"/>
      <c r="CPC116" s="383"/>
      <c r="CPD116" s="383"/>
      <c r="CPE116" s="383"/>
      <c r="CPF116" s="383"/>
      <c r="CPG116" s="383"/>
      <c r="CPH116" s="383"/>
      <c r="CPI116" s="383"/>
      <c r="CPJ116" s="383"/>
      <c r="CPK116" s="383"/>
      <c r="CPL116" s="383"/>
      <c r="CPM116" s="383"/>
      <c r="CPN116" s="383"/>
      <c r="CPO116" s="383"/>
      <c r="CPP116" s="383"/>
      <c r="CPQ116" s="383"/>
      <c r="CPR116" s="383"/>
      <c r="CPS116" s="383"/>
      <c r="CPT116" s="383"/>
      <c r="CPU116" s="383"/>
      <c r="CPV116" s="383"/>
      <c r="CPW116" s="383"/>
      <c r="CPX116" s="383"/>
      <c r="CPY116" s="383"/>
      <c r="CPZ116" s="383"/>
      <c r="CQA116" s="383"/>
      <c r="CQB116" s="383"/>
      <c r="CQC116" s="383"/>
      <c r="CQD116" s="383"/>
      <c r="CQE116" s="383"/>
      <c r="CQF116" s="383"/>
      <c r="CQG116" s="383"/>
      <c r="CQH116" s="383"/>
      <c r="CQI116" s="383"/>
      <c r="CQJ116" s="383"/>
      <c r="CQK116" s="383"/>
      <c r="CQL116" s="383"/>
      <c r="CQM116" s="383"/>
      <c r="CQN116" s="383"/>
      <c r="CQO116" s="383"/>
      <c r="CQP116" s="383"/>
      <c r="CQQ116" s="383"/>
      <c r="CQR116" s="383"/>
      <c r="CQS116" s="383"/>
      <c r="CQT116" s="383"/>
      <c r="CQU116" s="383"/>
      <c r="CQV116" s="383"/>
      <c r="CQW116" s="383"/>
      <c r="CQX116" s="383"/>
      <c r="CQY116" s="383"/>
      <c r="CQZ116" s="383"/>
      <c r="CRA116" s="383"/>
      <c r="CRB116" s="383"/>
      <c r="CRC116" s="383"/>
      <c r="CRD116" s="383"/>
      <c r="CRE116" s="383"/>
      <c r="CRF116" s="383"/>
      <c r="CRG116" s="383"/>
      <c r="CRH116" s="383"/>
      <c r="CRI116" s="383"/>
      <c r="CRJ116" s="383"/>
      <c r="CRK116" s="383"/>
      <c r="CRL116" s="383"/>
      <c r="CRM116" s="383"/>
      <c r="CRN116" s="383"/>
      <c r="CRO116" s="383"/>
      <c r="CRP116" s="383"/>
      <c r="CRQ116" s="383"/>
      <c r="CRR116" s="383"/>
      <c r="CRS116" s="383"/>
      <c r="CRT116" s="383"/>
      <c r="CRU116" s="383"/>
      <c r="CRV116" s="383"/>
      <c r="CRW116" s="383"/>
      <c r="CRX116" s="383"/>
      <c r="CRY116" s="383"/>
      <c r="CRZ116" s="383"/>
      <c r="CSA116" s="383"/>
      <c r="CSB116" s="383"/>
      <c r="CSC116" s="383"/>
      <c r="CSD116" s="383"/>
      <c r="CSE116" s="383"/>
      <c r="CSF116" s="383"/>
      <c r="CSG116" s="383"/>
      <c r="CSH116" s="383"/>
      <c r="CSI116" s="383"/>
      <c r="CSJ116" s="383"/>
      <c r="CSK116" s="383"/>
      <c r="CSL116" s="383"/>
      <c r="CSM116" s="383"/>
      <c r="CSN116" s="383"/>
      <c r="CSO116" s="383"/>
      <c r="CSP116" s="383"/>
      <c r="CSQ116" s="383"/>
      <c r="CSR116" s="383"/>
      <c r="CSS116" s="383"/>
      <c r="CST116" s="383"/>
      <c r="CSU116" s="383"/>
      <c r="CSV116" s="383"/>
      <c r="CSW116" s="383"/>
      <c r="CSX116" s="383"/>
      <c r="CSY116" s="383"/>
      <c r="CSZ116" s="383"/>
      <c r="CTA116" s="383"/>
      <c r="CTB116" s="383"/>
      <c r="CTC116" s="383"/>
      <c r="CTD116" s="383"/>
      <c r="CTE116" s="383"/>
      <c r="CTF116" s="383"/>
      <c r="CTG116" s="383"/>
      <c r="CTH116" s="383"/>
      <c r="CTI116" s="383"/>
      <c r="CTJ116" s="383"/>
      <c r="CTK116" s="383"/>
      <c r="CTL116" s="383"/>
      <c r="CTM116" s="383"/>
      <c r="CTN116" s="383"/>
      <c r="CTO116" s="383"/>
      <c r="CTP116" s="383"/>
      <c r="CTQ116" s="383"/>
      <c r="CTR116" s="383"/>
      <c r="CTS116" s="383"/>
      <c r="CTT116" s="383"/>
      <c r="CTU116" s="383"/>
      <c r="CTV116" s="383"/>
      <c r="CTW116" s="383"/>
      <c r="CTX116" s="383"/>
      <c r="CTY116" s="383"/>
      <c r="CTZ116" s="383"/>
      <c r="CUA116" s="383"/>
      <c r="CUB116" s="383"/>
      <c r="CUC116" s="383"/>
      <c r="CUD116" s="383"/>
      <c r="CUE116" s="383"/>
      <c r="CUF116" s="383"/>
      <c r="CUG116" s="383"/>
      <c r="CUH116" s="383"/>
      <c r="CUI116" s="383"/>
      <c r="CUJ116" s="383"/>
      <c r="CUK116" s="383"/>
      <c r="CUL116" s="383"/>
      <c r="CUM116" s="383"/>
      <c r="CUN116" s="383"/>
      <c r="CUO116" s="383"/>
      <c r="CUP116" s="383"/>
      <c r="CUQ116" s="383"/>
      <c r="CUR116" s="383"/>
      <c r="CUS116" s="383"/>
      <c r="CUT116" s="383"/>
      <c r="CUU116" s="383"/>
      <c r="CUV116" s="383"/>
      <c r="CUW116" s="383"/>
      <c r="CUX116" s="383"/>
      <c r="CUY116" s="383"/>
      <c r="CUZ116" s="383"/>
      <c r="CVA116" s="383"/>
      <c r="CVB116" s="383"/>
      <c r="CVC116" s="383"/>
      <c r="CVD116" s="383"/>
      <c r="CVE116" s="383"/>
      <c r="CVF116" s="383"/>
      <c r="CVG116" s="383"/>
      <c r="CVH116" s="383"/>
      <c r="CVI116" s="383"/>
      <c r="CVJ116" s="383"/>
      <c r="CVK116" s="383"/>
      <c r="CVL116" s="383"/>
      <c r="CVM116" s="383"/>
      <c r="CVN116" s="383"/>
      <c r="CVO116" s="383"/>
      <c r="CVP116" s="383"/>
      <c r="CVQ116" s="383"/>
      <c r="CVR116" s="383"/>
      <c r="CVS116" s="383"/>
      <c r="CVT116" s="383"/>
      <c r="CVU116" s="383"/>
      <c r="CVV116" s="383"/>
      <c r="CVW116" s="383"/>
      <c r="CVX116" s="383"/>
      <c r="CVY116" s="383"/>
      <c r="CVZ116" s="383"/>
      <c r="CWA116" s="383"/>
      <c r="CWB116" s="383"/>
      <c r="CWC116" s="383"/>
      <c r="CWD116" s="383"/>
      <c r="CWE116" s="383"/>
      <c r="CWF116" s="383"/>
      <c r="CWG116" s="383"/>
      <c r="CWH116" s="383"/>
      <c r="CWI116" s="383"/>
      <c r="CWJ116" s="383"/>
      <c r="CWK116" s="383"/>
      <c r="CWL116" s="383"/>
      <c r="CWM116" s="383"/>
      <c r="CWN116" s="383"/>
      <c r="CWO116" s="383"/>
      <c r="CWP116" s="383"/>
      <c r="CWQ116" s="383"/>
      <c r="CWR116" s="383"/>
      <c r="CWS116" s="383"/>
      <c r="CWT116" s="383"/>
      <c r="CWU116" s="383"/>
      <c r="CWV116" s="383"/>
      <c r="CWW116" s="383"/>
      <c r="CWX116" s="383"/>
      <c r="CWY116" s="383"/>
      <c r="CWZ116" s="383"/>
      <c r="CXA116" s="383"/>
      <c r="CXB116" s="383"/>
      <c r="CXC116" s="383"/>
      <c r="CXD116" s="383"/>
      <c r="CXE116" s="383"/>
      <c r="CXF116" s="383"/>
      <c r="CXG116" s="383"/>
      <c r="CXH116" s="383"/>
      <c r="CXI116" s="383"/>
      <c r="CXJ116" s="383"/>
      <c r="CXK116" s="383"/>
      <c r="CXL116" s="383"/>
      <c r="CXM116" s="383"/>
      <c r="CXN116" s="383"/>
      <c r="CXO116" s="383"/>
      <c r="CXP116" s="383"/>
      <c r="CXQ116" s="383"/>
      <c r="CXR116" s="383"/>
      <c r="CXS116" s="383"/>
      <c r="CXT116" s="383"/>
      <c r="CXU116" s="383"/>
      <c r="CXV116" s="383"/>
      <c r="CXW116" s="383"/>
      <c r="CXX116" s="383"/>
      <c r="CXY116" s="383"/>
      <c r="CXZ116" s="383"/>
      <c r="CYA116" s="383"/>
      <c r="CYB116" s="383"/>
      <c r="CYC116" s="383"/>
      <c r="CYD116" s="383"/>
      <c r="CYE116" s="383"/>
      <c r="CYF116" s="383"/>
      <c r="CYG116" s="383"/>
      <c r="CYH116" s="383"/>
      <c r="CYI116" s="383"/>
      <c r="CYJ116" s="383"/>
      <c r="CYK116" s="383"/>
      <c r="CYL116" s="383"/>
      <c r="CYM116" s="383"/>
      <c r="CYN116" s="383"/>
      <c r="CYO116" s="383"/>
      <c r="CYP116" s="383"/>
      <c r="CYQ116" s="383"/>
      <c r="CYR116" s="383"/>
      <c r="CYS116" s="383"/>
      <c r="CYT116" s="383"/>
      <c r="CYU116" s="383"/>
      <c r="CYV116" s="383"/>
      <c r="CYW116" s="383"/>
      <c r="CYX116" s="383"/>
      <c r="CYY116" s="383"/>
      <c r="CYZ116" s="383"/>
      <c r="CZA116" s="383"/>
      <c r="CZB116" s="383"/>
      <c r="CZC116" s="383"/>
      <c r="CZD116" s="383"/>
      <c r="CZE116" s="383"/>
      <c r="CZF116" s="383"/>
      <c r="CZG116" s="383"/>
      <c r="CZH116" s="383"/>
      <c r="CZI116" s="383"/>
      <c r="CZJ116" s="383"/>
      <c r="CZK116" s="383"/>
      <c r="CZL116" s="383"/>
      <c r="CZM116" s="383"/>
      <c r="CZN116" s="383"/>
      <c r="CZO116" s="383"/>
      <c r="CZP116" s="383"/>
      <c r="CZQ116" s="383"/>
      <c r="CZR116" s="383"/>
      <c r="CZS116" s="383"/>
      <c r="CZT116" s="383"/>
      <c r="CZU116" s="383"/>
      <c r="CZV116" s="383"/>
      <c r="CZW116" s="383"/>
      <c r="CZX116" s="383"/>
      <c r="CZY116" s="383"/>
      <c r="CZZ116" s="383"/>
      <c r="DAA116" s="383"/>
      <c r="DAB116" s="383"/>
      <c r="DAC116" s="383"/>
      <c r="DAD116" s="383"/>
      <c r="DAE116" s="383"/>
      <c r="DAF116" s="383"/>
      <c r="DAG116" s="383"/>
      <c r="DAH116" s="383"/>
      <c r="DAI116" s="383"/>
      <c r="DAJ116" s="383"/>
      <c r="DAK116" s="383"/>
      <c r="DAL116" s="383"/>
      <c r="DAM116" s="383"/>
      <c r="DAN116" s="383"/>
      <c r="DAO116" s="383"/>
      <c r="DAP116" s="383"/>
      <c r="DAQ116" s="383"/>
      <c r="DAR116" s="383"/>
      <c r="DAS116" s="383"/>
      <c r="DAT116" s="383"/>
      <c r="DAU116" s="383"/>
      <c r="DAV116" s="383"/>
      <c r="DAW116" s="383"/>
      <c r="DAX116" s="383"/>
      <c r="DAY116" s="383"/>
      <c r="DAZ116" s="383"/>
      <c r="DBA116" s="383"/>
      <c r="DBB116" s="383"/>
      <c r="DBC116" s="383"/>
      <c r="DBD116" s="383"/>
      <c r="DBE116" s="383"/>
      <c r="DBF116" s="383"/>
      <c r="DBG116" s="383"/>
      <c r="DBH116" s="383"/>
      <c r="DBI116" s="383"/>
      <c r="DBJ116" s="383"/>
      <c r="DBK116" s="383"/>
      <c r="DBL116" s="383"/>
      <c r="DBM116" s="383"/>
      <c r="DBN116" s="383"/>
      <c r="DBO116" s="383"/>
      <c r="DBP116" s="383"/>
      <c r="DBQ116" s="383"/>
      <c r="DBR116" s="383"/>
      <c r="DBS116" s="383"/>
      <c r="DBT116" s="383"/>
      <c r="DBU116" s="383"/>
      <c r="DBV116" s="383"/>
      <c r="DBW116" s="383"/>
      <c r="DBX116" s="383"/>
      <c r="DBY116" s="383"/>
      <c r="DBZ116" s="383"/>
      <c r="DCA116" s="383"/>
      <c r="DCB116" s="383"/>
      <c r="DCC116" s="383"/>
      <c r="DCD116" s="383"/>
      <c r="DCE116" s="383"/>
      <c r="DCF116" s="383"/>
      <c r="DCG116" s="383"/>
      <c r="DCH116" s="383"/>
      <c r="DCI116" s="383"/>
      <c r="DCJ116" s="383"/>
      <c r="DCK116" s="383"/>
      <c r="DCL116" s="383"/>
      <c r="DCM116" s="383"/>
      <c r="DCN116" s="383"/>
      <c r="DCO116" s="383"/>
      <c r="DCP116" s="383"/>
      <c r="DCQ116" s="383"/>
      <c r="DCR116" s="383"/>
      <c r="DCS116" s="383"/>
      <c r="DCT116" s="383"/>
      <c r="DCU116" s="383"/>
      <c r="DCV116" s="383"/>
      <c r="DCW116" s="383"/>
      <c r="DCX116" s="383"/>
      <c r="DCY116" s="383"/>
      <c r="DCZ116" s="383"/>
      <c r="DDA116" s="383"/>
      <c r="DDB116" s="383"/>
      <c r="DDC116" s="383"/>
      <c r="DDD116" s="383"/>
      <c r="DDE116" s="383"/>
      <c r="DDF116" s="383"/>
      <c r="DDG116" s="383"/>
      <c r="DDH116" s="383"/>
      <c r="DDI116" s="383"/>
      <c r="DDJ116" s="383"/>
      <c r="DDK116" s="383"/>
      <c r="DDL116" s="383"/>
      <c r="DDM116" s="383"/>
      <c r="DDN116" s="383"/>
      <c r="DDO116" s="383"/>
      <c r="DDP116" s="383"/>
      <c r="DDQ116" s="383"/>
      <c r="DDR116" s="383"/>
      <c r="DDS116" s="383"/>
      <c r="DDT116" s="383"/>
      <c r="DDU116" s="383"/>
      <c r="DDV116" s="383"/>
      <c r="DDW116" s="383"/>
      <c r="DDX116" s="383"/>
      <c r="DDY116" s="383"/>
      <c r="DDZ116" s="383"/>
      <c r="DEA116" s="383"/>
      <c r="DEB116" s="383"/>
      <c r="DEC116" s="383"/>
      <c r="DED116" s="383"/>
      <c r="DEE116" s="383"/>
      <c r="DEF116" s="383"/>
      <c r="DEG116" s="383"/>
      <c r="DEH116" s="383"/>
      <c r="DEI116" s="383"/>
      <c r="DEJ116" s="383"/>
      <c r="DEK116" s="383"/>
      <c r="DEL116" s="383"/>
      <c r="DEM116" s="383"/>
      <c r="DEN116" s="383"/>
      <c r="DEO116" s="383"/>
      <c r="DEP116" s="383"/>
      <c r="DEQ116" s="383"/>
      <c r="DER116" s="383"/>
      <c r="DES116" s="383"/>
      <c r="DET116" s="383"/>
      <c r="DEU116" s="383"/>
      <c r="DEV116" s="383"/>
      <c r="DEW116" s="383"/>
      <c r="DEX116" s="383"/>
      <c r="DEY116" s="383"/>
      <c r="DEZ116" s="383"/>
      <c r="DFA116" s="383"/>
      <c r="DFB116" s="383"/>
      <c r="DFC116" s="383"/>
      <c r="DFD116" s="383"/>
      <c r="DFE116" s="383"/>
      <c r="DFF116" s="383"/>
      <c r="DFG116" s="383"/>
      <c r="DFH116" s="383"/>
      <c r="DFI116" s="383"/>
      <c r="DFJ116" s="383"/>
      <c r="DFK116" s="383"/>
      <c r="DFL116" s="383"/>
      <c r="DFM116" s="383"/>
      <c r="DFN116" s="383"/>
      <c r="DFO116" s="383"/>
      <c r="DFP116" s="383"/>
      <c r="DFQ116" s="383"/>
      <c r="DFR116" s="383"/>
      <c r="DFS116" s="383"/>
      <c r="DFT116" s="383"/>
      <c r="DFU116" s="383"/>
      <c r="DFV116" s="383"/>
      <c r="DFW116" s="383"/>
      <c r="DFX116" s="383"/>
      <c r="DFY116" s="383"/>
      <c r="DFZ116" s="383"/>
      <c r="DGA116" s="383"/>
      <c r="DGB116" s="383"/>
      <c r="DGC116" s="383"/>
      <c r="DGD116" s="383"/>
      <c r="DGE116" s="383"/>
      <c r="DGF116" s="383"/>
      <c r="DGG116" s="383"/>
      <c r="DGH116" s="383"/>
      <c r="DGI116" s="383"/>
      <c r="DGJ116" s="383"/>
      <c r="DGK116" s="383"/>
      <c r="DGL116" s="383"/>
      <c r="DGM116" s="383"/>
      <c r="DGN116" s="383"/>
      <c r="DGO116" s="383"/>
      <c r="DGP116" s="383"/>
      <c r="DGQ116" s="383"/>
      <c r="DGR116" s="383"/>
      <c r="DGS116" s="383"/>
      <c r="DGT116" s="383"/>
      <c r="DGU116" s="383"/>
      <c r="DGV116" s="383"/>
      <c r="DGW116" s="383"/>
      <c r="DGX116" s="383"/>
      <c r="DGY116" s="383"/>
      <c r="DGZ116" s="383"/>
      <c r="DHA116" s="383"/>
      <c r="DHB116" s="383"/>
      <c r="DHC116" s="383"/>
      <c r="DHD116" s="383"/>
      <c r="DHE116" s="383"/>
      <c r="DHF116" s="383"/>
      <c r="DHG116" s="383"/>
      <c r="DHH116" s="383"/>
      <c r="DHI116" s="383"/>
      <c r="DHJ116" s="383"/>
      <c r="DHK116" s="383"/>
      <c r="DHL116" s="383"/>
      <c r="DHM116" s="383"/>
      <c r="DHN116" s="383"/>
      <c r="DHO116" s="383"/>
      <c r="DHP116" s="383"/>
      <c r="DHQ116" s="383"/>
      <c r="DHR116" s="383"/>
      <c r="DHS116" s="383"/>
      <c r="DHT116" s="383"/>
      <c r="DHU116" s="383"/>
      <c r="DHV116" s="383"/>
      <c r="DHW116" s="383"/>
      <c r="DHX116" s="383"/>
      <c r="DHY116" s="383"/>
      <c r="DHZ116" s="383"/>
      <c r="DIA116" s="383"/>
      <c r="DIB116" s="383"/>
      <c r="DIC116" s="383"/>
      <c r="DID116" s="383"/>
      <c r="DIE116" s="383"/>
      <c r="DIF116" s="383"/>
      <c r="DIG116" s="383"/>
      <c r="DIH116" s="383"/>
      <c r="DII116" s="383"/>
      <c r="DIJ116" s="383"/>
      <c r="DIK116" s="383"/>
      <c r="DIL116" s="383"/>
      <c r="DIM116" s="383"/>
      <c r="DIN116" s="383"/>
      <c r="DIO116" s="383"/>
      <c r="DIP116" s="383"/>
      <c r="DIQ116" s="383"/>
      <c r="DIR116" s="383"/>
      <c r="DIS116" s="383"/>
      <c r="DIT116" s="383"/>
      <c r="DIU116" s="383"/>
      <c r="DIV116" s="383"/>
      <c r="DIW116" s="383"/>
      <c r="DIX116" s="383"/>
      <c r="DIY116" s="383"/>
      <c r="DIZ116" s="383"/>
      <c r="DJA116" s="383"/>
      <c r="DJB116" s="383"/>
      <c r="DJC116" s="383"/>
      <c r="DJD116" s="383"/>
      <c r="DJE116" s="383"/>
      <c r="DJF116" s="383"/>
      <c r="DJG116" s="383"/>
      <c r="DJH116" s="383"/>
      <c r="DJI116" s="383"/>
      <c r="DJJ116" s="383"/>
      <c r="DJK116" s="383"/>
      <c r="DJL116" s="383"/>
      <c r="DJM116" s="383"/>
      <c r="DJN116" s="383"/>
      <c r="DJO116" s="383"/>
      <c r="DJP116" s="383"/>
      <c r="DJQ116" s="383"/>
      <c r="DJR116" s="383"/>
      <c r="DJS116" s="383"/>
      <c r="DJT116" s="383"/>
      <c r="DJU116" s="383"/>
      <c r="DJV116" s="383"/>
      <c r="DJW116" s="383"/>
      <c r="DJX116" s="383"/>
      <c r="DJY116" s="383"/>
      <c r="DJZ116" s="383"/>
      <c r="DKA116" s="383"/>
      <c r="DKB116" s="383"/>
      <c r="DKC116" s="383"/>
      <c r="DKD116" s="383"/>
      <c r="DKE116" s="383"/>
      <c r="DKF116" s="383"/>
      <c r="DKG116" s="383"/>
      <c r="DKH116" s="383"/>
      <c r="DKI116" s="383"/>
      <c r="DKJ116" s="383"/>
      <c r="DKK116" s="383"/>
      <c r="DKL116" s="383"/>
      <c r="DKM116" s="383"/>
      <c r="DKN116" s="383"/>
      <c r="DKO116" s="383"/>
      <c r="DKP116" s="383"/>
      <c r="DKQ116" s="383"/>
      <c r="DKR116" s="383"/>
      <c r="DKS116" s="383"/>
      <c r="DKT116" s="383"/>
      <c r="DKU116" s="383"/>
      <c r="DKV116" s="383"/>
      <c r="DKW116" s="383"/>
      <c r="DKX116" s="383"/>
      <c r="DKY116" s="383"/>
      <c r="DKZ116" s="383"/>
      <c r="DLA116" s="383"/>
      <c r="DLB116" s="383"/>
      <c r="DLC116" s="383"/>
      <c r="DLD116" s="383"/>
      <c r="DLE116" s="383"/>
      <c r="DLF116" s="383"/>
      <c r="DLG116" s="383"/>
      <c r="DLH116" s="383"/>
      <c r="DLI116" s="383"/>
      <c r="DLJ116" s="383"/>
      <c r="DLK116" s="383"/>
      <c r="DLL116" s="383"/>
      <c r="DLM116" s="383"/>
      <c r="DLN116" s="383"/>
      <c r="DLO116" s="383"/>
      <c r="DLP116" s="383"/>
      <c r="DLQ116" s="383"/>
      <c r="DLR116" s="383"/>
      <c r="DLS116" s="383"/>
      <c r="DLT116" s="383"/>
      <c r="DLU116" s="383"/>
      <c r="DLV116" s="383"/>
      <c r="DLW116" s="383"/>
      <c r="DLX116" s="383"/>
      <c r="DLY116" s="383"/>
      <c r="DLZ116" s="383"/>
      <c r="DMA116" s="383"/>
      <c r="DMB116" s="383"/>
      <c r="DMC116" s="383"/>
      <c r="DMD116" s="383"/>
      <c r="DME116" s="383"/>
      <c r="DMF116" s="383"/>
      <c r="DMG116" s="383"/>
      <c r="DMH116" s="383"/>
      <c r="DMI116" s="383"/>
      <c r="DMJ116" s="383"/>
      <c r="DMK116" s="383"/>
      <c r="DML116" s="383"/>
      <c r="DMM116" s="383"/>
      <c r="DMN116" s="383"/>
      <c r="DMO116" s="383"/>
      <c r="DMP116" s="383"/>
      <c r="DMQ116" s="383"/>
      <c r="DMR116" s="383"/>
      <c r="DMS116" s="383"/>
      <c r="DMT116" s="383"/>
      <c r="DMU116" s="383"/>
      <c r="DMV116" s="383"/>
      <c r="DMW116" s="383"/>
      <c r="DMX116" s="383"/>
      <c r="DMY116" s="383"/>
      <c r="DMZ116" s="383"/>
      <c r="DNA116" s="383"/>
      <c r="DNB116" s="383"/>
      <c r="DNC116" s="383"/>
      <c r="DND116" s="383"/>
      <c r="DNE116" s="383"/>
      <c r="DNF116" s="383"/>
      <c r="DNG116" s="383"/>
      <c r="DNH116" s="383"/>
      <c r="DNI116" s="383"/>
      <c r="DNJ116" s="383"/>
      <c r="DNK116" s="383"/>
      <c r="DNL116" s="383"/>
      <c r="DNM116" s="383"/>
      <c r="DNN116" s="383"/>
      <c r="DNO116" s="383"/>
      <c r="DNP116" s="383"/>
      <c r="DNQ116" s="383"/>
      <c r="DNR116" s="383"/>
      <c r="DNS116" s="383"/>
      <c r="DNT116" s="383"/>
      <c r="DNU116" s="383"/>
      <c r="DNV116" s="383"/>
      <c r="DNW116" s="383"/>
      <c r="DNX116" s="383"/>
      <c r="DNY116" s="383"/>
      <c r="DNZ116" s="383"/>
      <c r="DOA116" s="383"/>
      <c r="DOB116" s="383"/>
      <c r="DOC116" s="383"/>
      <c r="DOD116" s="383"/>
      <c r="DOE116" s="383"/>
      <c r="DOF116" s="383"/>
      <c r="DOG116" s="383"/>
      <c r="DOH116" s="383"/>
      <c r="DOI116" s="383"/>
      <c r="DOJ116" s="383"/>
      <c r="DOK116" s="383"/>
      <c r="DOL116" s="383"/>
      <c r="DOM116" s="383"/>
      <c r="DON116" s="383"/>
      <c r="DOO116" s="383"/>
      <c r="DOP116" s="383"/>
      <c r="DOQ116" s="383"/>
      <c r="DOR116" s="383"/>
      <c r="DOS116" s="383"/>
      <c r="DOT116" s="383"/>
      <c r="DOU116" s="383"/>
      <c r="DOV116" s="383"/>
      <c r="DOW116" s="383"/>
      <c r="DOX116" s="383"/>
      <c r="DOY116" s="383"/>
      <c r="DOZ116" s="383"/>
      <c r="DPA116" s="383"/>
      <c r="DPB116" s="383"/>
      <c r="DPC116" s="383"/>
      <c r="DPD116" s="383"/>
      <c r="DPE116" s="383"/>
      <c r="DPF116" s="383"/>
      <c r="DPG116" s="383"/>
      <c r="DPH116" s="383"/>
      <c r="DPI116" s="383"/>
      <c r="DPJ116" s="383"/>
      <c r="DPK116" s="383"/>
      <c r="DPL116" s="383"/>
      <c r="DPM116" s="383"/>
      <c r="DPN116" s="383"/>
      <c r="DPO116" s="383"/>
      <c r="DPP116" s="383"/>
      <c r="DPQ116" s="383"/>
      <c r="DPR116" s="383"/>
      <c r="DPS116" s="383"/>
      <c r="DPT116" s="383"/>
      <c r="DPU116" s="383"/>
      <c r="DPV116" s="383"/>
      <c r="DPW116" s="383"/>
      <c r="DPX116" s="383"/>
      <c r="DPY116" s="383"/>
      <c r="DPZ116" s="383"/>
      <c r="DQA116" s="383"/>
      <c r="DQB116" s="383"/>
      <c r="DQC116" s="383"/>
      <c r="DQD116" s="383"/>
      <c r="DQE116" s="383"/>
      <c r="DQF116" s="383"/>
      <c r="DQG116" s="383"/>
      <c r="DQH116" s="383"/>
      <c r="DQI116" s="383"/>
      <c r="DQJ116" s="383"/>
      <c r="DQK116" s="383"/>
      <c r="DQL116" s="383"/>
      <c r="DQM116" s="383"/>
      <c r="DQN116" s="383"/>
      <c r="DQO116" s="383"/>
      <c r="DQP116" s="383"/>
      <c r="DQQ116" s="383"/>
      <c r="DQR116" s="383"/>
      <c r="DQS116" s="383"/>
      <c r="DQT116" s="383"/>
      <c r="DQU116" s="383"/>
      <c r="DQV116" s="383"/>
      <c r="DQW116" s="383"/>
      <c r="DQX116" s="383"/>
      <c r="DQY116" s="383"/>
      <c r="DQZ116" s="383"/>
      <c r="DRA116" s="383"/>
      <c r="DRB116" s="383"/>
      <c r="DRC116" s="383"/>
      <c r="DRD116" s="383"/>
      <c r="DRE116" s="383"/>
      <c r="DRF116" s="383"/>
      <c r="DRG116" s="383"/>
      <c r="DRH116" s="383"/>
      <c r="DRI116" s="383"/>
      <c r="DRJ116" s="383"/>
      <c r="DRK116" s="383"/>
      <c r="DRL116" s="383"/>
      <c r="DRM116" s="383"/>
    </row>
    <row r="117" spans="1:3185" ht="44.15" customHeight="1">
      <c r="A117" s="387"/>
      <c r="B117" s="388"/>
      <c r="C117" s="389"/>
      <c r="D117" s="390"/>
      <c r="E117" s="391"/>
      <c r="F117" s="421"/>
      <c r="G117" s="396"/>
      <c r="H117" s="392"/>
      <c r="I117" s="422"/>
      <c r="J117" s="397"/>
      <c r="K117" s="411"/>
      <c r="M117" s="402"/>
      <c r="N117" s="406"/>
    </row>
    <row r="118" spans="1:3185" s="386" customFormat="1" ht="44.15" customHeight="1">
      <c r="A118" s="387"/>
      <c r="B118" s="388"/>
      <c r="C118" s="389"/>
      <c r="D118" s="390"/>
      <c r="E118" s="391"/>
      <c r="F118" s="421"/>
      <c r="G118" s="396"/>
      <c r="H118" s="392"/>
      <c r="I118" s="422"/>
      <c r="J118" s="398"/>
      <c r="K118" s="411"/>
      <c r="L118" s="406"/>
      <c r="M118" s="406"/>
      <c r="N118" s="406"/>
      <c r="O118" s="383"/>
      <c r="P118" s="383"/>
      <c r="Q118" s="383"/>
      <c r="R118" s="383"/>
      <c r="S118" s="383"/>
      <c r="T118" s="383"/>
      <c r="U118" s="383"/>
      <c r="V118" s="383"/>
      <c r="W118" s="383"/>
      <c r="X118" s="383"/>
      <c r="Y118" s="383"/>
      <c r="Z118" s="383"/>
      <c r="AA118" s="383"/>
      <c r="AB118" s="383"/>
      <c r="AC118" s="383"/>
      <c r="AD118" s="383"/>
      <c r="AE118" s="383"/>
      <c r="AF118" s="383"/>
      <c r="AG118" s="383"/>
      <c r="AH118" s="383"/>
      <c r="AI118" s="383"/>
      <c r="AJ118" s="383"/>
      <c r="AK118" s="383"/>
      <c r="AL118" s="383"/>
      <c r="AM118" s="383"/>
      <c r="AN118" s="383"/>
      <c r="AO118" s="383"/>
      <c r="AP118" s="383"/>
      <c r="AQ118" s="383"/>
      <c r="AR118" s="383"/>
      <c r="AS118" s="383"/>
      <c r="AT118" s="383"/>
      <c r="AU118" s="383"/>
      <c r="AV118" s="383"/>
      <c r="AW118" s="383"/>
      <c r="AX118" s="383"/>
      <c r="AY118" s="383"/>
      <c r="AZ118" s="383"/>
      <c r="BA118" s="383"/>
      <c r="BB118" s="383"/>
      <c r="BC118" s="383"/>
      <c r="BD118" s="383"/>
      <c r="BE118" s="383"/>
      <c r="BF118" s="383"/>
      <c r="BG118" s="383"/>
      <c r="BH118" s="383"/>
      <c r="BI118" s="383"/>
      <c r="BJ118" s="383"/>
      <c r="BK118" s="383"/>
      <c r="BL118" s="383"/>
      <c r="BM118" s="383"/>
      <c r="BN118" s="383"/>
      <c r="BO118" s="383"/>
      <c r="BP118" s="383"/>
      <c r="BQ118" s="383"/>
      <c r="BR118" s="383"/>
      <c r="BS118" s="383"/>
      <c r="BT118" s="383"/>
      <c r="BU118" s="383"/>
      <c r="BV118" s="383"/>
      <c r="BW118" s="383"/>
      <c r="BX118" s="383"/>
      <c r="BY118" s="383"/>
      <c r="BZ118" s="383"/>
      <c r="CA118" s="383"/>
      <c r="CB118" s="383"/>
      <c r="CC118" s="383"/>
      <c r="CD118" s="383"/>
      <c r="CE118" s="383"/>
      <c r="CF118" s="383"/>
      <c r="CG118" s="383"/>
      <c r="CH118" s="383"/>
      <c r="CI118" s="383"/>
      <c r="CJ118" s="383"/>
      <c r="CK118" s="383"/>
      <c r="CL118" s="383"/>
      <c r="CM118" s="383"/>
      <c r="CN118" s="383"/>
      <c r="CO118" s="383"/>
      <c r="CP118" s="383"/>
      <c r="CQ118" s="383"/>
      <c r="CR118" s="383"/>
      <c r="CS118" s="383"/>
      <c r="CT118" s="383"/>
      <c r="CU118" s="383"/>
      <c r="CV118" s="383"/>
      <c r="CW118" s="383"/>
      <c r="CX118" s="383"/>
      <c r="CY118" s="383"/>
      <c r="CZ118" s="383"/>
      <c r="DA118" s="383"/>
      <c r="DB118" s="383"/>
      <c r="DC118" s="383"/>
      <c r="DD118" s="383"/>
      <c r="DE118" s="383"/>
      <c r="DF118" s="383"/>
      <c r="DG118" s="383"/>
      <c r="DH118" s="383"/>
      <c r="DI118" s="383"/>
      <c r="DJ118" s="383"/>
      <c r="DK118" s="383"/>
      <c r="DL118" s="383"/>
      <c r="DM118" s="383"/>
      <c r="DN118" s="383"/>
      <c r="DO118" s="383"/>
      <c r="DP118" s="383"/>
      <c r="DQ118" s="383"/>
      <c r="DR118" s="383"/>
      <c r="DS118" s="383"/>
      <c r="DT118" s="383"/>
      <c r="DU118" s="383"/>
      <c r="DV118" s="383"/>
      <c r="DW118" s="383"/>
      <c r="DX118" s="383"/>
      <c r="DY118" s="383"/>
      <c r="DZ118" s="383"/>
      <c r="EA118" s="383"/>
      <c r="EB118" s="383"/>
      <c r="EC118" s="383"/>
      <c r="ED118" s="383"/>
      <c r="EE118" s="383"/>
      <c r="EF118" s="383"/>
      <c r="EG118" s="383"/>
      <c r="EH118" s="383"/>
      <c r="EI118" s="383"/>
      <c r="EJ118" s="383"/>
      <c r="EK118" s="383"/>
      <c r="EL118" s="383"/>
      <c r="EM118" s="383"/>
      <c r="EN118" s="383"/>
      <c r="EO118" s="383"/>
      <c r="EP118" s="383"/>
      <c r="EQ118" s="383"/>
      <c r="ER118" s="383"/>
      <c r="ES118" s="383"/>
      <c r="ET118" s="383"/>
      <c r="EU118" s="383"/>
      <c r="EV118" s="383"/>
      <c r="EW118" s="383"/>
      <c r="EX118" s="383"/>
      <c r="EY118" s="383"/>
      <c r="EZ118" s="383"/>
      <c r="FA118" s="383"/>
      <c r="FB118" s="383"/>
      <c r="FC118" s="383"/>
      <c r="FD118" s="383"/>
      <c r="FE118" s="383"/>
      <c r="FF118" s="383"/>
      <c r="FG118" s="383"/>
      <c r="FH118" s="383"/>
      <c r="FI118" s="383"/>
      <c r="FJ118" s="383"/>
      <c r="FK118" s="383"/>
      <c r="FL118" s="383"/>
      <c r="FM118" s="383"/>
      <c r="FN118" s="383"/>
      <c r="FO118" s="383"/>
      <c r="FP118" s="383"/>
      <c r="FQ118" s="383"/>
      <c r="FR118" s="383"/>
      <c r="FS118" s="383"/>
      <c r="FT118" s="383"/>
      <c r="FU118" s="383"/>
      <c r="FV118" s="383"/>
      <c r="FW118" s="383"/>
      <c r="FX118" s="383"/>
      <c r="FY118" s="383"/>
      <c r="FZ118" s="383"/>
      <c r="GA118" s="383"/>
      <c r="GB118" s="383"/>
      <c r="GC118" s="383"/>
      <c r="GD118" s="383"/>
      <c r="GE118" s="383"/>
      <c r="GF118" s="383"/>
      <c r="GG118" s="383"/>
      <c r="GH118" s="383"/>
      <c r="GI118" s="383"/>
      <c r="GJ118" s="383"/>
      <c r="GK118" s="383"/>
      <c r="GL118" s="383"/>
      <c r="GM118" s="383"/>
      <c r="GN118" s="383"/>
      <c r="GO118" s="383"/>
      <c r="GP118" s="383"/>
      <c r="GQ118" s="383"/>
      <c r="GR118" s="383"/>
      <c r="GS118" s="383"/>
      <c r="GT118" s="383"/>
      <c r="GU118" s="383"/>
      <c r="GV118" s="383"/>
      <c r="GW118" s="383"/>
      <c r="GX118" s="383"/>
      <c r="GY118" s="383"/>
      <c r="GZ118" s="383"/>
      <c r="HA118" s="383"/>
      <c r="HB118" s="383"/>
      <c r="HC118" s="383"/>
      <c r="HD118" s="383"/>
      <c r="HE118" s="383"/>
      <c r="HF118" s="383"/>
      <c r="HG118" s="383"/>
      <c r="HH118" s="383"/>
      <c r="HI118" s="383"/>
      <c r="HJ118" s="383"/>
      <c r="HK118" s="383"/>
      <c r="HL118" s="383"/>
      <c r="HM118" s="383"/>
      <c r="HN118" s="383"/>
      <c r="HO118" s="383"/>
      <c r="HP118" s="383"/>
      <c r="HQ118" s="383"/>
      <c r="HR118" s="383"/>
      <c r="HS118" s="383"/>
      <c r="HT118" s="383"/>
      <c r="HU118" s="383"/>
      <c r="HV118" s="383"/>
      <c r="HW118" s="383"/>
      <c r="HX118" s="383"/>
      <c r="HY118" s="383"/>
      <c r="HZ118" s="383"/>
      <c r="IA118" s="383"/>
      <c r="IB118" s="383"/>
      <c r="IC118" s="383"/>
      <c r="ID118" s="383"/>
      <c r="IE118" s="383"/>
      <c r="IF118" s="383"/>
      <c r="IG118" s="383"/>
      <c r="IH118" s="383"/>
      <c r="II118" s="383"/>
      <c r="IJ118" s="383"/>
      <c r="IK118" s="383"/>
      <c r="IL118" s="383"/>
      <c r="IM118" s="383"/>
      <c r="IN118" s="383"/>
      <c r="IO118" s="383"/>
      <c r="IP118" s="383"/>
      <c r="IQ118" s="383"/>
      <c r="IR118" s="383"/>
      <c r="IS118" s="383"/>
      <c r="IT118" s="383"/>
      <c r="IU118" s="383"/>
      <c r="IV118" s="383"/>
      <c r="IW118" s="383"/>
      <c r="IX118" s="383"/>
      <c r="IY118" s="383"/>
      <c r="IZ118" s="383"/>
      <c r="JA118" s="383"/>
      <c r="JB118" s="383"/>
      <c r="JC118" s="383"/>
      <c r="JD118" s="383"/>
      <c r="JE118" s="383"/>
      <c r="JF118" s="383"/>
      <c r="JG118" s="383"/>
      <c r="JH118" s="383"/>
      <c r="JI118" s="383"/>
      <c r="JJ118" s="383"/>
      <c r="JK118" s="383"/>
      <c r="JL118" s="383"/>
      <c r="JM118" s="383"/>
      <c r="JN118" s="383"/>
      <c r="JO118" s="383"/>
      <c r="JP118" s="383"/>
      <c r="JQ118" s="383"/>
      <c r="JR118" s="383"/>
      <c r="JS118" s="383"/>
      <c r="JT118" s="383"/>
      <c r="JU118" s="383"/>
      <c r="JV118" s="383"/>
      <c r="JW118" s="383"/>
      <c r="JX118" s="383"/>
      <c r="JY118" s="383"/>
      <c r="JZ118" s="383"/>
      <c r="KA118" s="383"/>
      <c r="KB118" s="383"/>
      <c r="KC118" s="383"/>
      <c r="KD118" s="383"/>
      <c r="KE118" s="383"/>
      <c r="KF118" s="383"/>
      <c r="KG118" s="383"/>
      <c r="KH118" s="383"/>
      <c r="KI118" s="383"/>
      <c r="KJ118" s="383"/>
      <c r="KK118" s="383"/>
      <c r="KL118" s="383"/>
      <c r="KM118" s="383"/>
      <c r="KN118" s="383"/>
      <c r="KO118" s="383"/>
      <c r="KP118" s="383"/>
      <c r="KQ118" s="383"/>
      <c r="KR118" s="383"/>
      <c r="KS118" s="383"/>
      <c r="KT118" s="383"/>
      <c r="KU118" s="383"/>
      <c r="KV118" s="383"/>
      <c r="KW118" s="383"/>
      <c r="KX118" s="383"/>
      <c r="KY118" s="383"/>
      <c r="KZ118" s="383"/>
      <c r="LA118" s="383"/>
      <c r="LB118" s="383"/>
      <c r="LC118" s="383"/>
      <c r="LD118" s="383"/>
      <c r="LE118" s="383"/>
      <c r="LF118" s="383"/>
      <c r="LG118" s="383"/>
      <c r="LH118" s="383"/>
      <c r="LI118" s="383"/>
      <c r="LJ118" s="383"/>
      <c r="LK118" s="383"/>
      <c r="LL118" s="383"/>
      <c r="LM118" s="383"/>
      <c r="LN118" s="383"/>
      <c r="LO118" s="383"/>
      <c r="LP118" s="383"/>
      <c r="LQ118" s="383"/>
      <c r="LR118" s="383"/>
      <c r="LS118" s="383"/>
      <c r="LT118" s="383"/>
      <c r="LU118" s="383"/>
      <c r="LV118" s="383"/>
      <c r="LW118" s="383"/>
      <c r="LX118" s="383"/>
      <c r="LY118" s="383"/>
      <c r="LZ118" s="383"/>
      <c r="MA118" s="383"/>
      <c r="MB118" s="383"/>
      <c r="MC118" s="383"/>
      <c r="MD118" s="383"/>
      <c r="ME118" s="383"/>
      <c r="MF118" s="383"/>
      <c r="MG118" s="383"/>
      <c r="MH118" s="383"/>
      <c r="MI118" s="383"/>
      <c r="MJ118" s="383"/>
      <c r="MK118" s="383"/>
      <c r="ML118" s="383"/>
      <c r="MM118" s="383"/>
      <c r="MN118" s="383"/>
      <c r="MO118" s="383"/>
      <c r="MP118" s="383"/>
      <c r="MQ118" s="383"/>
      <c r="MR118" s="383"/>
      <c r="MS118" s="383"/>
      <c r="MT118" s="383"/>
      <c r="MU118" s="383"/>
      <c r="MV118" s="383"/>
      <c r="MW118" s="383"/>
      <c r="MX118" s="383"/>
      <c r="MY118" s="383"/>
      <c r="MZ118" s="383"/>
      <c r="NA118" s="383"/>
      <c r="NB118" s="383"/>
      <c r="NC118" s="383"/>
      <c r="ND118" s="383"/>
      <c r="NE118" s="383"/>
      <c r="NF118" s="383"/>
      <c r="NG118" s="383"/>
      <c r="NH118" s="383"/>
      <c r="NI118" s="383"/>
      <c r="NJ118" s="383"/>
      <c r="NK118" s="383"/>
      <c r="NL118" s="383"/>
      <c r="NM118" s="383"/>
      <c r="NN118" s="383"/>
      <c r="NO118" s="383"/>
      <c r="NP118" s="383"/>
      <c r="NQ118" s="383"/>
      <c r="NR118" s="383"/>
      <c r="NS118" s="383"/>
      <c r="NT118" s="383"/>
      <c r="NU118" s="383"/>
      <c r="NV118" s="383"/>
      <c r="NW118" s="383"/>
      <c r="NX118" s="383"/>
      <c r="NY118" s="383"/>
      <c r="NZ118" s="383"/>
      <c r="OA118" s="383"/>
      <c r="OB118" s="383"/>
      <c r="OC118" s="383"/>
      <c r="OD118" s="383"/>
      <c r="OE118" s="383"/>
      <c r="OF118" s="383"/>
      <c r="OG118" s="383"/>
      <c r="OH118" s="383"/>
      <c r="OI118" s="383"/>
      <c r="OJ118" s="383"/>
      <c r="OK118" s="383"/>
      <c r="OL118" s="383"/>
      <c r="OM118" s="383"/>
      <c r="ON118" s="383"/>
      <c r="OO118" s="383"/>
      <c r="OP118" s="383"/>
      <c r="OQ118" s="383"/>
      <c r="OR118" s="383"/>
      <c r="OS118" s="383"/>
      <c r="OT118" s="383"/>
      <c r="OU118" s="383"/>
      <c r="OV118" s="383"/>
      <c r="OW118" s="383"/>
      <c r="OX118" s="383"/>
      <c r="OY118" s="383"/>
      <c r="OZ118" s="383"/>
      <c r="PA118" s="383"/>
      <c r="PB118" s="383"/>
      <c r="PC118" s="383"/>
      <c r="PD118" s="383"/>
      <c r="PE118" s="383"/>
      <c r="PF118" s="383"/>
      <c r="PG118" s="383"/>
      <c r="PH118" s="383"/>
      <c r="PI118" s="383"/>
      <c r="PJ118" s="383"/>
      <c r="PK118" s="383"/>
      <c r="PL118" s="383"/>
      <c r="PM118" s="383"/>
      <c r="PN118" s="383"/>
      <c r="PO118" s="383"/>
      <c r="PP118" s="383"/>
      <c r="PQ118" s="383"/>
      <c r="PR118" s="383"/>
      <c r="PS118" s="383"/>
      <c r="PT118" s="383"/>
      <c r="PU118" s="383"/>
      <c r="PV118" s="383"/>
      <c r="PW118" s="383"/>
      <c r="PX118" s="383"/>
      <c r="PY118" s="383"/>
      <c r="PZ118" s="383"/>
      <c r="QA118" s="383"/>
      <c r="QB118" s="383"/>
      <c r="QC118" s="383"/>
      <c r="QD118" s="383"/>
      <c r="QE118" s="383"/>
      <c r="QF118" s="383"/>
      <c r="QG118" s="383"/>
      <c r="QH118" s="383"/>
      <c r="QI118" s="383"/>
      <c r="QJ118" s="383"/>
      <c r="QK118" s="383"/>
      <c r="QL118" s="383"/>
      <c r="QM118" s="383"/>
      <c r="QN118" s="383"/>
      <c r="QO118" s="383"/>
      <c r="QP118" s="383"/>
      <c r="QQ118" s="383"/>
      <c r="QR118" s="383"/>
      <c r="QS118" s="383"/>
      <c r="QT118" s="383"/>
      <c r="QU118" s="383"/>
      <c r="QV118" s="383"/>
      <c r="QW118" s="383"/>
      <c r="QX118" s="383"/>
      <c r="QY118" s="383"/>
      <c r="QZ118" s="383"/>
      <c r="RA118" s="383"/>
      <c r="RB118" s="383"/>
      <c r="RC118" s="383"/>
      <c r="RD118" s="383"/>
      <c r="RE118" s="383"/>
      <c r="RF118" s="383"/>
      <c r="RG118" s="383"/>
      <c r="RH118" s="383"/>
      <c r="RI118" s="383"/>
      <c r="RJ118" s="383"/>
      <c r="RK118" s="383"/>
      <c r="RL118" s="383"/>
      <c r="RM118" s="383"/>
      <c r="RN118" s="383"/>
      <c r="RO118" s="383"/>
      <c r="RP118" s="383"/>
      <c r="RQ118" s="383"/>
      <c r="RR118" s="383"/>
      <c r="RS118" s="383"/>
      <c r="RT118" s="383"/>
      <c r="RU118" s="383"/>
      <c r="RV118" s="383"/>
      <c r="RW118" s="383"/>
      <c r="RX118" s="383"/>
      <c r="RY118" s="383"/>
      <c r="RZ118" s="383"/>
      <c r="SA118" s="383"/>
      <c r="SB118" s="383"/>
      <c r="SC118" s="383"/>
      <c r="SD118" s="383"/>
      <c r="SE118" s="383"/>
      <c r="SF118" s="383"/>
      <c r="SG118" s="383"/>
      <c r="SH118" s="383"/>
      <c r="SI118" s="383"/>
      <c r="SJ118" s="383"/>
      <c r="SK118" s="383"/>
      <c r="SL118" s="383"/>
      <c r="SM118" s="383"/>
      <c r="SN118" s="383"/>
      <c r="SO118" s="383"/>
      <c r="SP118" s="383"/>
      <c r="SQ118" s="383"/>
      <c r="SR118" s="383"/>
      <c r="SS118" s="383"/>
      <c r="ST118" s="383"/>
      <c r="SU118" s="383"/>
      <c r="SV118" s="383"/>
      <c r="SW118" s="383"/>
      <c r="SX118" s="383"/>
      <c r="SY118" s="383"/>
      <c r="SZ118" s="383"/>
      <c r="TA118" s="383"/>
      <c r="TB118" s="383"/>
      <c r="TC118" s="383"/>
      <c r="TD118" s="383"/>
      <c r="TE118" s="383"/>
      <c r="TF118" s="383"/>
      <c r="TG118" s="383"/>
      <c r="TH118" s="383"/>
      <c r="TI118" s="383"/>
      <c r="TJ118" s="383"/>
      <c r="TK118" s="383"/>
      <c r="TL118" s="383"/>
      <c r="TM118" s="383"/>
      <c r="TN118" s="383"/>
      <c r="TO118" s="383"/>
      <c r="TP118" s="383"/>
      <c r="TQ118" s="383"/>
      <c r="TR118" s="383"/>
      <c r="TS118" s="383"/>
      <c r="TT118" s="383"/>
      <c r="TU118" s="383"/>
      <c r="TV118" s="383"/>
      <c r="TW118" s="383"/>
      <c r="TX118" s="383"/>
      <c r="TY118" s="383"/>
      <c r="TZ118" s="383"/>
      <c r="UA118" s="383"/>
      <c r="UB118" s="383"/>
      <c r="UC118" s="383"/>
      <c r="UD118" s="383"/>
      <c r="UE118" s="383"/>
      <c r="UF118" s="383"/>
      <c r="UG118" s="383"/>
      <c r="UH118" s="383"/>
      <c r="UI118" s="383"/>
      <c r="UJ118" s="383"/>
      <c r="UK118" s="383"/>
      <c r="UL118" s="383"/>
      <c r="UM118" s="383"/>
      <c r="UN118" s="383"/>
      <c r="UO118" s="383"/>
      <c r="UP118" s="383"/>
      <c r="UQ118" s="383"/>
      <c r="UR118" s="383"/>
      <c r="US118" s="383"/>
      <c r="UT118" s="383"/>
      <c r="UU118" s="383"/>
      <c r="UV118" s="383"/>
      <c r="UW118" s="383"/>
      <c r="UX118" s="383"/>
      <c r="UY118" s="383"/>
      <c r="UZ118" s="383"/>
      <c r="VA118" s="383"/>
      <c r="VB118" s="383"/>
      <c r="VC118" s="383"/>
      <c r="VD118" s="383"/>
      <c r="VE118" s="383"/>
      <c r="VF118" s="383"/>
      <c r="VG118" s="383"/>
      <c r="VH118" s="383"/>
      <c r="VI118" s="383"/>
      <c r="VJ118" s="383"/>
      <c r="VK118" s="383"/>
      <c r="VL118" s="383"/>
      <c r="VM118" s="383"/>
      <c r="VN118" s="383"/>
      <c r="VO118" s="383"/>
      <c r="VP118" s="383"/>
      <c r="VQ118" s="383"/>
      <c r="VR118" s="383"/>
      <c r="VS118" s="383"/>
      <c r="VT118" s="383"/>
      <c r="VU118" s="383"/>
      <c r="VV118" s="383"/>
      <c r="VW118" s="383"/>
      <c r="VX118" s="383"/>
      <c r="VY118" s="383"/>
      <c r="VZ118" s="383"/>
      <c r="WA118" s="383"/>
      <c r="WB118" s="383"/>
      <c r="WC118" s="383"/>
      <c r="WD118" s="383"/>
      <c r="WE118" s="383"/>
      <c r="WF118" s="383"/>
      <c r="WG118" s="383"/>
      <c r="WH118" s="383"/>
      <c r="WI118" s="383"/>
      <c r="WJ118" s="383"/>
      <c r="WK118" s="383"/>
      <c r="WL118" s="383"/>
      <c r="WM118" s="383"/>
      <c r="WN118" s="383"/>
      <c r="WO118" s="383"/>
      <c r="WP118" s="383"/>
      <c r="WQ118" s="383"/>
      <c r="WR118" s="383"/>
      <c r="WS118" s="383"/>
      <c r="WT118" s="383"/>
      <c r="WU118" s="383"/>
      <c r="WV118" s="383"/>
      <c r="WW118" s="383"/>
      <c r="WX118" s="383"/>
      <c r="WY118" s="383"/>
      <c r="WZ118" s="383"/>
      <c r="XA118" s="383"/>
      <c r="XB118" s="383"/>
      <c r="XC118" s="383"/>
      <c r="XD118" s="383"/>
      <c r="XE118" s="383"/>
      <c r="XF118" s="383"/>
      <c r="XG118" s="383"/>
      <c r="XH118" s="383"/>
      <c r="XI118" s="383"/>
      <c r="XJ118" s="383"/>
      <c r="XK118" s="383"/>
      <c r="XL118" s="383"/>
      <c r="XM118" s="383"/>
      <c r="XN118" s="383"/>
      <c r="XO118" s="383"/>
      <c r="XP118" s="383"/>
      <c r="XQ118" s="383"/>
      <c r="XR118" s="383"/>
      <c r="XS118" s="383"/>
      <c r="XT118" s="383"/>
      <c r="XU118" s="383"/>
      <c r="XV118" s="383"/>
      <c r="XW118" s="383"/>
      <c r="XX118" s="383"/>
      <c r="XY118" s="383"/>
      <c r="XZ118" s="383"/>
      <c r="YA118" s="383"/>
      <c r="YB118" s="383"/>
      <c r="YC118" s="383"/>
      <c r="YD118" s="383"/>
      <c r="YE118" s="383"/>
      <c r="YF118" s="383"/>
      <c r="YG118" s="383"/>
      <c r="YH118" s="383"/>
      <c r="YI118" s="383"/>
      <c r="YJ118" s="383"/>
      <c r="YK118" s="383"/>
      <c r="YL118" s="383"/>
      <c r="YM118" s="383"/>
      <c r="YN118" s="383"/>
      <c r="YO118" s="383"/>
      <c r="YP118" s="383"/>
      <c r="YQ118" s="383"/>
      <c r="YR118" s="383"/>
      <c r="YS118" s="383"/>
      <c r="YT118" s="383"/>
      <c r="YU118" s="383"/>
      <c r="YV118" s="383"/>
      <c r="YW118" s="383"/>
      <c r="YX118" s="383"/>
      <c r="YY118" s="383"/>
      <c r="YZ118" s="383"/>
      <c r="ZA118" s="383"/>
      <c r="ZB118" s="383"/>
      <c r="ZC118" s="383"/>
      <c r="ZD118" s="383"/>
      <c r="ZE118" s="383"/>
      <c r="ZF118" s="383"/>
      <c r="ZG118" s="383"/>
      <c r="ZH118" s="383"/>
      <c r="ZI118" s="383"/>
      <c r="ZJ118" s="383"/>
      <c r="ZK118" s="383"/>
      <c r="ZL118" s="383"/>
      <c r="ZM118" s="383"/>
      <c r="ZN118" s="383"/>
      <c r="ZO118" s="383"/>
      <c r="ZP118" s="383"/>
      <c r="ZQ118" s="383"/>
      <c r="ZR118" s="383"/>
      <c r="ZS118" s="383"/>
      <c r="ZT118" s="383"/>
      <c r="ZU118" s="383"/>
      <c r="ZV118" s="383"/>
      <c r="ZW118" s="383"/>
      <c r="ZX118" s="383"/>
      <c r="ZY118" s="383"/>
      <c r="ZZ118" s="383"/>
      <c r="AAA118" s="383"/>
      <c r="AAB118" s="383"/>
      <c r="AAC118" s="383"/>
      <c r="AAD118" s="383"/>
      <c r="AAE118" s="383"/>
      <c r="AAF118" s="383"/>
      <c r="AAG118" s="383"/>
      <c r="AAH118" s="383"/>
      <c r="AAI118" s="383"/>
      <c r="AAJ118" s="383"/>
      <c r="AAK118" s="383"/>
      <c r="AAL118" s="383"/>
      <c r="AAM118" s="383"/>
      <c r="AAN118" s="383"/>
      <c r="AAO118" s="383"/>
      <c r="AAP118" s="383"/>
      <c r="AAQ118" s="383"/>
      <c r="AAR118" s="383"/>
      <c r="AAS118" s="383"/>
      <c r="AAT118" s="383"/>
      <c r="AAU118" s="383"/>
      <c r="AAV118" s="383"/>
      <c r="AAW118" s="383"/>
      <c r="AAX118" s="383"/>
      <c r="AAY118" s="383"/>
      <c r="AAZ118" s="383"/>
      <c r="ABA118" s="383"/>
      <c r="ABB118" s="383"/>
      <c r="ABC118" s="383"/>
      <c r="ABD118" s="383"/>
      <c r="ABE118" s="383"/>
      <c r="ABF118" s="383"/>
      <c r="ABG118" s="383"/>
      <c r="ABH118" s="383"/>
      <c r="ABI118" s="383"/>
      <c r="ABJ118" s="383"/>
      <c r="ABK118" s="383"/>
      <c r="ABL118" s="383"/>
      <c r="ABM118" s="383"/>
      <c r="ABN118" s="383"/>
      <c r="ABO118" s="383"/>
      <c r="ABP118" s="383"/>
      <c r="ABQ118" s="383"/>
      <c r="ABR118" s="383"/>
      <c r="ABS118" s="383"/>
      <c r="ABT118" s="383"/>
      <c r="ABU118" s="383"/>
      <c r="ABV118" s="383"/>
      <c r="ABW118" s="383"/>
      <c r="ABX118" s="383"/>
      <c r="ABY118" s="383"/>
      <c r="ABZ118" s="383"/>
      <c r="ACA118" s="383"/>
      <c r="ACB118" s="383"/>
      <c r="ACC118" s="383"/>
      <c r="ACD118" s="383"/>
      <c r="ACE118" s="383"/>
      <c r="ACF118" s="383"/>
      <c r="ACG118" s="383"/>
      <c r="ACH118" s="383"/>
      <c r="ACI118" s="383"/>
      <c r="ACJ118" s="383"/>
      <c r="ACK118" s="383"/>
      <c r="ACL118" s="383"/>
      <c r="ACM118" s="383"/>
      <c r="ACN118" s="383"/>
      <c r="ACO118" s="383"/>
      <c r="ACP118" s="383"/>
      <c r="ACQ118" s="383"/>
      <c r="ACR118" s="383"/>
      <c r="ACS118" s="383"/>
      <c r="ACT118" s="383"/>
      <c r="ACU118" s="383"/>
      <c r="ACV118" s="383"/>
      <c r="ACW118" s="383"/>
      <c r="ACX118" s="383"/>
      <c r="ACY118" s="383"/>
      <c r="ACZ118" s="383"/>
      <c r="ADA118" s="383"/>
      <c r="ADB118" s="383"/>
      <c r="ADC118" s="383"/>
      <c r="ADD118" s="383"/>
      <c r="ADE118" s="383"/>
      <c r="ADF118" s="383"/>
      <c r="ADG118" s="383"/>
      <c r="ADH118" s="383"/>
      <c r="ADI118" s="383"/>
      <c r="ADJ118" s="383"/>
      <c r="ADK118" s="383"/>
      <c r="ADL118" s="383"/>
      <c r="ADM118" s="383"/>
      <c r="ADN118" s="383"/>
      <c r="ADO118" s="383"/>
      <c r="ADP118" s="383"/>
      <c r="ADQ118" s="383"/>
      <c r="ADR118" s="383"/>
      <c r="ADS118" s="383"/>
      <c r="ADT118" s="383"/>
      <c r="ADU118" s="383"/>
      <c r="ADV118" s="383"/>
      <c r="ADW118" s="383"/>
      <c r="ADX118" s="383"/>
      <c r="ADY118" s="383"/>
      <c r="ADZ118" s="383"/>
      <c r="AEA118" s="383"/>
      <c r="AEB118" s="383"/>
      <c r="AEC118" s="383"/>
      <c r="AED118" s="383"/>
      <c r="AEE118" s="383"/>
      <c r="AEF118" s="383"/>
      <c r="AEG118" s="383"/>
      <c r="AEH118" s="383"/>
      <c r="AEI118" s="383"/>
      <c r="AEJ118" s="383"/>
      <c r="AEK118" s="383"/>
      <c r="AEL118" s="383"/>
      <c r="AEM118" s="383"/>
      <c r="AEN118" s="383"/>
      <c r="AEO118" s="383"/>
      <c r="AEP118" s="383"/>
      <c r="AEQ118" s="383"/>
      <c r="AER118" s="383"/>
      <c r="AES118" s="383"/>
      <c r="AET118" s="383"/>
      <c r="AEU118" s="383"/>
      <c r="AEV118" s="383"/>
      <c r="AEW118" s="383"/>
      <c r="AEX118" s="383"/>
      <c r="AEY118" s="383"/>
      <c r="AEZ118" s="383"/>
      <c r="AFA118" s="383"/>
      <c r="AFB118" s="383"/>
      <c r="AFC118" s="383"/>
      <c r="AFD118" s="383"/>
      <c r="AFE118" s="383"/>
      <c r="AFF118" s="383"/>
      <c r="AFG118" s="383"/>
      <c r="AFH118" s="383"/>
      <c r="AFI118" s="383"/>
      <c r="AFJ118" s="383"/>
      <c r="AFK118" s="383"/>
      <c r="AFL118" s="383"/>
      <c r="AFM118" s="383"/>
      <c r="AFN118" s="383"/>
      <c r="AFO118" s="383"/>
      <c r="AFP118" s="383"/>
      <c r="AFQ118" s="383"/>
      <c r="AFR118" s="383"/>
      <c r="AFS118" s="383"/>
      <c r="AFT118" s="383"/>
      <c r="AFU118" s="383"/>
      <c r="AFV118" s="383"/>
      <c r="AFW118" s="383"/>
      <c r="AFX118" s="383"/>
      <c r="AFY118" s="383"/>
      <c r="AFZ118" s="383"/>
      <c r="AGA118" s="383"/>
      <c r="AGB118" s="383"/>
      <c r="AGC118" s="383"/>
      <c r="AGD118" s="383"/>
      <c r="AGE118" s="383"/>
      <c r="AGF118" s="383"/>
      <c r="AGG118" s="383"/>
      <c r="AGH118" s="383"/>
      <c r="AGI118" s="383"/>
      <c r="AGJ118" s="383"/>
      <c r="AGK118" s="383"/>
      <c r="AGL118" s="383"/>
      <c r="AGM118" s="383"/>
      <c r="AGN118" s="383"/>
      <c r="AGO118" s="383"/>
      <c r="AGP118" s="383"/>
      <c r="AGQ118" s="383"/>
      <c r="AGR118" s="383"/>
      <c r="AGS118" s="383"/>
      <c r="AGT118" s="383"/>
      <c r="AGU118" s="383"/>
      <c r="AGV118" s="383"/>
      <c r="AGW118" s="383"/>
      <c r="AGX118" s="383"/>
      <c r="AGY118" s="383"/>
      <c r="AGZ118" s="383"/>
      <c r="AHA118" s="383"/>
      <c r="AHB118" s="383"/>
      <c r="AHC118" s="383"/>
      <c r="AHD118" s="383"/>
      <c r="AHE118" s="383"/>
      <c r="AHF118" s="383"/>
      <c r="AHG118" s="383"/>
      <c r="AHH118" s="383"/>
      <c r="AHI118" s="383"/>
      <c r="AHJ118" s="383"/>
      <c r="AHK118" s="383"/>
      <c r="AHL118" s="383"/>
      <c r="AHM118" s="383"/>
      <c r="AHN118" s="383"/>
      <c r="AHO118" s="383"/>
      <c r="AHP118" s="383"/>
      <c r="AHQ118" s="383"/>
      <c r="AHR118" s="383"/>
      <c r="AHS118" s="383"/>
      <c r="AHT118" s="383"/>
      <c r="AHU118" s="383"/>
      <c r="AHV118" s="383"/>
      <c r="AHW118" s="383"/>
      <c r="AHX118" s="383"/>
      <c r="AHY118" s="383"/>
      <c r="AHZ118" s="383"/>
      <c r="AIA118" s="383"/>
      <c r="AIB118" s="383"/>
      <c r="AIC118" s="383"/>
      <c r="AID118" s="383"/>
      <c r="AIE118" s="383"/>
      <c r="AIF118" s="383"/>
      <c r="AIG118" s="383"/>
      <c r="AIH118" s="383"/>
      <c r="AII118" s="383"/>
      <c r="AIJ118" s="383"/>
      <c r="AIK118" s="383"/>
      <c r="AIL118" s="383"/>
      <c r="AIM118" s="383"/>
      <c r="AIN118" s="383"/>
      <c r="AIO118" s="383"/>
      <c r="AIP118" s="383"/>
      <c r="AIQ118" s="383"/>
      <c r="AIR118" s="383"/>
      <c r="AIS118" s="383"/>
      <c r="AIT118" s="383"/>
      <c r="AIU118" s="383"/>
      <c r="AIV118" s="383"/>
      <c r="AIW118" s="383"/>
      <c r="AIX118" s="383"/>
      <c r="AIY118" s="383"/>
      <c r="AIZ118" s="383"/>
      <c r="AJA118" s="383"/>
      <c r="AJB118" s="383"/>
      <c r="AJC118" s="383"/>
      <c r="AJD118" s="383"/>
      <c r="AJE118" s="383"/>
      <c r="AJF118" s="383"/>
      <c r="AJG118" s="383"/>
      <c r="AJH118" s="383"/>
      <c r="AJI118" s="383"/>
      <c r="AJJ118" s="383"/>
      <c r="AJK118" s="383"/>
      <c r="AJL118" s="383"/>
      <c r="AJM118" s="383"/>
      <c r="AJN118" s="383"/>
      <c r="AJO118" s="383"/>
      <c r="AJP118" s="383"/>
      <c r="AJQ118" s="383"/>
      <c r="AJR118" s="383"/>
      <c r="AJS118" s="383"/>
      <c r="AJT118" s="383"/>
      <c r="AJU118" s="383"/>
      <c r="AJV118" s="383"/>
      <c r="AJW118" s="383"/>
      <c r="AJX118" s="383"/>
      <c r="AJY118" s="383"/>
      <c r="AJZ118" s="383"/>
      <c r="AKA118" s="383"/>
      <c r="AKB118" s="383"/>
      <c r="AKC118" s="383"/>
      <c r="AKD118" s="383"/>
      <c r="AKE118" s="383"/>
      <c r="AKF118" s="383"/>
      <c r="AKG118" s="383"/>
      <c r="AKH118" s="383"/>
      <c r="AKI118" s="383"/>
      <c r="AKJ118" s="383"/>
      <c r="AKK118" s="383"/>
      <c r="AKL118" s="383"/>
      <c r="AKM118" s="383"/>
      <c r="AKN118" s="383"/>
      <c r="AKO118" s="383"/>
      <c r="AKP118" s="383"/>
      <c r="AKQ118" s="383"/>
      <c r="AKR118" s="383"/>
      <c r="AKS118" s="383"/>
      <c r="AKT118" s="383"/>
      <c r="AKU118" s="383"/>
      <c r="AKV118" s="383"/>
      <c r="AKW118" s="383"/>
      <c r="AKX118" s="383"/>
      <c r="AKY118" s="383"/>
      <c r="AKZ118" s="383"/>
      <c r="ALA118" s="383"/>
      <c r="ALB118" s="383"/>
      <c r="ALC118" s="383"/>
      <c r="ALD118" s="383"/>
      <c r="ALE118" s="383"/>
      <c r="ALF118" s="383"/>
      <c r="ALG118" s="383"/>
      <c r="ALH118" s="383"/>
      <c r="ALI118" s="383"/>
      <c r="ALJ118" s="383"/>
      <c r="ALK118" s="383"/>
      <c r="ALL118" s="383"/>
      <c r="ALM118" s="383"/>
      <c r="ALN118" s="383"/>
      <c r="ALO118" s="383"/>
      <c r="ALP118" s="383"/>
      <c r="ALQ118" s="383"/>
      <c r="ALR118" s="383"/>
      <c r="ALS118" s="383"/>
      <c r="ALT118" s="383"/>
      <c r="ALU118" s="383"/>
      <c r="ALV118" s="383"/>
      <c r="ALW118" s="383"/>
      <c r="ALX118" s="383"/>
      <c r="ALY118" s="383"/>
      <c r="ALZ118" s="383"/>
      <c r="AMA118" s="383"/>
      <c r="AMB118" s="383"/>
      <c r="AMC118" s="383"/>
      <c r="AMD118" s="383"/>
      <c r="AME118" s="383"/>
      <c r="AMF118" s="383"/>
      <c r="AMG118" s="383"/>
      <c r="AMH118" s="383"/>
      <c r="AMI118" s="383"/>
      <c r="AMJ118" s="383"/>
      <c r="AMK118" s="383"/>
      <c r="AML118" s="383"/>
      <c r="AMM118" s="383"/>
      <c r="AMN118" s="383"/>
      <c r="AMO118" s="383"/>
      <c r="AMP118" s="383"/>
      <c r="AMQ118" s="383"/>
      <c r="AMR118" s="383"/>
      <c r="AMS118" s="383"/>
      <c r="AMT118" s="383"/>
      <c r="AMU118" s="383"/>
      <c r="AMV118" s="383"/>
      <c r="AMW118" s="383"/>
      <c r="AMX118" s="383"/>
      <c r="AMY118" s="383"/>
      <c r="AMZ118" s="383"/>
      <c r="ANA118" s="383"/>
      <c r="ANB118" s="383"/>
      <c r="ANC118" s="383"/>
      <c r="AND118" s="383"/>
      <c r="ANE118" s="383"/>
      <c r="ANF118" s="383"/>
      <c r="ANG118" s="383"/>
      <c r="ANH118" s="383"/>
      <c r="ANI118" s="383"/>
      <c r="ANJ118" s="383"/>
      <c r="ANK118" s="383"/>
      <c r="ANL118" s="383"/>
      <c r="ANM118" s="383"/>
      <c r="ANN118" s="383"/>
      <c r="ANO118" s="383"/>
      <c r="ANP118" s="383"/>
      <c r="ANQ118" s="383"/>
      <c r="ANR118" s="383"/>
      <c r="ANS118" s="383"/>
      <c r="ANT118" s="383"/>
      <c r="ANU118" s="383"/>
      <c r="ANV118" s="383"/>
      <c r="ANW118" s="383"/>
      <c r="ANX118" s="383"/>
      <c r="ANY118" s="383"/>
      <c r="ANZ118" s="383"/>
      <c r="AOA118" s="383"/>
      <c r="AOB118" s="383"/>
      <c r="AOC118" s="383"/>
      <c r="AOD118" s="383"/>
      <c r="AOE118" s="383"/>
      <c r="AOF118" s="383"/>
      <c r="AOG118" s="383"/>
      <c r="AOH118" s="383"/>
      <c r="AOI118" s="383"/>
      <c r="AOJ118" s="383"/>
      <c r="AOK118" s="383"/>
      <c r="AOL118" s="383"/>
      <c r="AOM118" s="383"/>
      <c r="AON118" s="383"/>
      <c r="AOO118" s="383"/>
      <c r="AOP118" s="383"/>
      <c r="AOQ118" s="383"/>
      <c r="AOR118" s="383"/>
      <c r="AOS118" s="383"/>
      <c r="AOT118" s="383"/>
      <c r="AOU118" s="383"/>
      <c r="AOV118" s="383"/>
      <c r="AOW118" s="383"/>
      <c r="AOX118" s="383"/>
      <c r="AOY118" s="383"/>
      <c r="AOZ118" s="383"/>
      <c r="APA118" s="383"/>
      <c r="APB118" s="383"/>
      <c r="APC118" s="383"/>
      <c r="APD118" s="383"/>
      <c r="APE118" s="383"/>
      <c r="APF118" s="383"/>
      <c r="APG118" s="383"/>
      <c r="APH118" s="383"/>
      <c r="API118" s="383"/>
      <c r="APJ118" s="383"/>
      <c r="APK118" s="383"/>
      <c r="APL118" s="383"/>
      <c r="APM118" s="383"/>
      <c r="APN118" s="383"/>
      <c r="APO118" s="383"/>
      <c r="APP118" s="383"/>
      <c r="APQ118" s="383"/>
      <c r="APR118" s="383"/>
      <c r="APS118" s="383"/>
      <c r="APT118" s="383"/>
      <c r="APU118" s="383"/>
      <c r="APV118" s="383"/>
      <c r="APW118" s="383"/>
      <c r="APX118" s="383"/>
      <c r="APY118" s="383"/>
      <c r="APZ118" s="383"/>
      <c r="AQA118" s="383"/>
      <c r="AQB118" s="383"/>
      <c r="AQC118" s="383"/>
      <c r="AQD118" s="383"/>
      <c r="AQE118" s="383"/>
      <c r="AQF118" s="383"/>
      <c r="AQG118" s="383"/>
      <c r="AQH118" s="383"/>
      <c r="AQI118" s="383"/>
      <c r="AQJ118" s="383"/>
      <c r="AQK118" s="383"/>
      <c r="AQL118" s="383"/>
      <c r="AQM118" s="383"/>
      <c r="AQN118" s="383"/>
      <c r="AQO118" s="383"/>
      <c r="AQP118" s="383"/>
      <c r="AQQ118" s="383"/>
      <c r="AQR118" s="383"/>
      <c r="AQS118" s="383"/>
      <c r="AQT118" s="383"/>
      <c r="AQU118" s="383"/>
      <c r="AQV118" s="383"/>
      <c r="AQW118" s="383"/>
      <c r="AQX118" s="383"/>
      <c r="AQY118" s="383"/>
      <c r="AQZ118" s="383"/>
      <c r="ARA118" s="383"/>
      <c r="ARB118" s="383"/>
      <c r="ARC118" s="383"/>
      <c r="ARD118" s="383"/>
      <c r="ARE118" s="383"/>
      <c r="ARF118" s="383"/>
      <c r="ARG118" s="383"/>
      <c r="ARH118" s="383"/>
      <c r="ARI118" s="383"/>
      <c r="ARJ118" s="383"/>
      <c r="ARK118" s="383"/>
      <c r="ARL118" s="383"/>
      <c r="ARM118" s="383"/>
      <c r="ARN118" s="383"/>
      <c r="ARO118" s="383"/>
      <c r="ARP118" s="383"/>
      <c r="ARQ118" s="383"/>
      <c r="ARR118" s="383"/>
      <c r="ARS118" s="383"/>
      <c r="ART118" s="383"/>
      <c r="ARU118" s="383"/>
      <c r="ARV118" s="383"/>
      <c r="ARW118" s="383"/>
      <c r="ARX118" s="383"/>
      <c r="ARY118" s="383"/>
      <c r="ARZ118" s="383"/>
      <c r="ASA118" s="383"/>
      <c r="ASB118" s="383"/>
      <c r="ASC118" s="383"/>
      <c r="ASD118" s="383"/>
      <c r="ASE118" s="383"/>
      <c r="ASF118" s="383"/>
      <c r="ASG118" s="383"/>
      <c r="ASH118" s="383"/>
      <c r="ASI118" s="383"/>
      <c r="ASJ118" s="383"/>
      <c r="ASK118" s="383"/>
      <c r="ASL118" s="383"/>
      <c r="ASM118" s="383"/>
      <c r="ASN118" s="383"/>
      <c r="ASO118" s="383"/>
      <c r="ASP118" s="383"/>
      <c r="ASQ118" s="383"/>
      <c r="ASR118" s="383"/>
      <c r="ASS118" s="383"/>
      <c r="AST118" s="383"/>
      <c r="ASU118" s="383"/>
      <c r="ASV118" s="383"/>
      <c r="ASW118" s="383"/>
      <c r="ASX118" s="383"/>
      <c r="ASY118" s="383"/>
      <c r="ASZ118" s="383"/>
      <c r="ATA118" s="383"/>
      <c r="ATB118" s="383"/>
      <c r="ATC118" s="383"/>
      <c r="ATD118" s="383"/>
      <c r="ATE118" s="383"/>
      <c r="ATF118" s="383"/>
      <c r="ATG118" s="383"/>
      <c r="ATH118" s="383"/>
      <c r="ATI118" s="383"/>
      <c r="ATJ118" s="383"/>
      <c r="ATK118" s="383"/>
      <c r="ATL118" s="383"/>
      <c r="ATM118" s="383"/>
      <c r="ATN118" s="383"/>
      <c r="ATO118" s="383"/>
      <c r="ATP118" s="383"/>
      <c r="ATQ118" s="383"/>
      <c r="ATR118" s="383"/>
      <c r="ATS118" s="383"/>
      <c r="ATT118" s="383"/>
      <c r="ATU118" s="383"/>
      <c r="ATV118" s="383"/>
      <c r="ATW118" s="383"/>
      <c r="ATX118" s="383"/>
      <c r="ATY118" s="383"/>
      <c r="ATZ118" s="383"/>
      <c r="AUA118" s="383"/>
      <c r="AUB118" s="383"/>
      <c r="AUC118" s="383"/>
      <c r="AUD118" s="383"/>
      <c r="AUE118" s="383"/>
      <c r="AUF118" s="383"/>
      <c r="AUG118" s="383"/>
      <c r="AUH118" s="383"/>
      <c r="AUI118" s="383"/>
      <c r="AUJ118" s="383"/>
      <c r="AUK118" s="383"/>
      <c r="AUL118" s="383"/>
      <c r="AUM118" s="383"/>
      <c r="AUN118" s="383"/>
      <c r="AUO118" s="383"/>
      <c r="AUP118" s="383"/>
      <c r="AUQ118" s="383"/>
      <c r="AUR118" s="383"/>
      <c r="AUS118" s="383"/>
      <c r="AUT118" s="383"/>
      <c r="AUU118" s="383"/>
      <c r="AUV118" s="383"/>
      <c r="AUW118" s="383"/>
      <c r="AUX118" s="383"/>
      <c r="AUY118" s="383"/>
      <c r="AUZ118" s="383"/>
      <c r="AVA118" s="383"/>
      <c r="AVB118" s="383"/>
      <c r="AVC118" s="383"/>
      <c r="AVD118" s="383"/>
      <c r="AVE118" s="383"/>
      <c r="AVF118" s="383"/>
      <c r="AVG118" s="383"/>
      <c r="AVH118" s="383"/>
      <c r="AVI118" s="383"/>
      <c r="AVJ118" s="383"/>
      <c r="AVK118" s="383"/>
      <c r="AVL118" s="383"/>
      <c r="AVM118" s="383"/>
      <c r="AVN118" s="383"/>
      <c r="AVO118" s="383"/>
      <c r="AVP118" s="383"/>
      <c r="AVQ118" s="383"/>
      <c r="AVR118" s="383"/>
      <c r="AVS118" s="383"/>
      <c r="AVT118" s="383"/>
      <c r="AVU118" s="383"/>
      <c r="AVV118" s="383"/>
      <c r="AVW118" s="383"/>
      <c r="AVX118" s="383"/>
      <c r="AVY118" s="383"/>
      <c r="AVZ118" s="383"/>
      <c r="AWA118" s="383"/>
      <c r="AWB118" s="383"/>
      <c r="AWC118" s="383"/>
      <c r="AWD118" s="383"/>
      <c r="AWE118" s="383"/>
      <c r="AWF118" s="383"/>
      <c r="AWG118" s="383"/>
      <c r="AWH118" s="383"/>
      <c r="AWI118" s="383"/>
      <c r="AWJ118" s="383"/>
      <c r="AWK118" s="383"/>
      <c r="AWL118" s="383"/>
      <c r="AWM118" s="383"/>
      <c r="AWN118" s="383"/>
      <c r="AWO118" s="383"/>
      <c r="AWP118" s="383"/>
      <c r="AWQ118" s="383"/>
      <c r="AWR118" s="383"/>
      <c r="AWS118" s="383"/>
      <c r="AWT118" s="383"/>
      <c r="AWU118" s="383"/>
      <c r="AWV118" s="383"/>
      <c r="AWW118" s="383"/>
      <c r="AWX118" s="383"/>
      <c r="AWY118" s="383"/>
      <c r="AWZ118" s="383"/>
      <c r="AXA118" s="383"/>
      <c r="AXB118" s="383"/>
      <c r="AXC118" s="383"/>
      <c r="AXD118" s="383"/>
      <c r="AXE118" s="383"/>
      <c r="AXF118" s="383"/>
      <c r="AXG118" s="383"/>
      <c r="AXH118" s="383"/>
      <c r="AXI118" s="383"/>
      <c r="AXJ118" s="383"/>
      <c r="AXK118" s="383"/>
      <c r="AXL118" s="383"/>
      <c r="AXM118" s="383"/>
      <c r="AXN118" s="383"/>
      <c r="AXO118" s="383"/>
      <c r="AXP118" s="383"/>
      <c r="AXQ118" s="383"/>
      <c r="AXR118" s="383"/>
      <c r="AXS118" s="383"/>
      <c r="AXT118" s="383"/>
      <c r="AXU118" s="383"/>
      <c r="AXV118" s="383"/>
      <c r="AXW118" s="383"/>
      <c r="AXX118" s="383"/>
      <c r="AXY118" s="383"/>
      <c r="AXZ118" s="383"/>
      <c r="AYA118" s="383"/>
      <c r="AYB118" s="383"/>
      <c r="AYC118" s="383"/>
      <c r="AYD118" s="383"/>
      <c r="AYE118" s="383"/>
      <c r="AYF118" s="383"/>
      <c r="AYG118" s="383"/>
      <c r="AYH118" s="383"/>
      <c r="AYI118" s="383"/>
      <c r="AYJ118" s="383"/>
      <c r="AYK118" s="383"/>
      <c r="AYL118" s="383"/>
      <c r="AYM118" s="383"/>
      <c r="AYN118" s="383"/>
      <c r="AYO118" s="383"/>
      <c r="AYP118" s="383"/>
      <c r="AYQ118" s="383"/>
      <c r="AYR118" s="383"/>
      <c r="AYS118" s="383"/>
      <c r="AYT118" s="383"/>
      <c r="AYU118" s="383"/>
      <c r="AYV118" s="383"/>
      <c r="AYW118" s="383"/>
      <c r="AYX118" s="383"/>
      <c r="AYY118" s="383"/>
      <c r="AYZ118" s="383"/>
      <c r="AZA118" s="383"/>
      <c r="AZB118" s="383"/>
      <c r="AZC118" s="383"/>
      <c r="AZD118" s="383"/>
      <c r="AZE118" s="383"/>
      <c r="AZF118" s="383"/>
      <c r="AZG118" s="383"/>
      <c r="AZH118" s="383"/>
      <c r="AZI118" s="383"/>
      <c r="AZJ118" s="383"/>
      <c r="AZK118" s="383"/>
      <c r="AZL118" s="383"/>
      <c r="AZM118" s="383"/>
      <c r="AZN118" s="383"/>
      <c r="AZO118" s="383"/>
      <c r="AZP118" s="383"/>
      <c r="AZQ118" s="383"/>
      <c r="AZR118" s="383"/>
      <c r="AZS118" s="383"/>
      <c r="AZT118" s="383"/>
      <c r="AZU118" s="383"/>
      <c r="AZV118" s="383"/>
      <c r="AZW118" s="383"/>
      <c r="AZX118" s="383"/>
      <c r="AZY118" s="383"/>
      <c r="AZZ118" s="383"/>
      <c r="BAA118" s="383"/>
      <c r="BAB118" s="383"/>
      <c r="BAC118" s="383"/>
      <c r="BAD118" s="383"/>
      <c r="BAE118" s="383"/>
      <c r="BAF118" s="383"/>
      <c r="BAG118" s="383"/>
      <c r="BAH118" s="383"/>
      <c r="BAI118" s="383"/>
      <c r="BAJ118" s="383"/>
      <c r="BAK118" s="383"/>
      <c r="BAL118" s="383"/>
      <c r="BAM118" s="383"/>
      <c r="BAN118" s="383"/>
      <c r="BAO118" s="383"/>
      <c r="BAP118" s="383"/>
      <c r="BAQ118" s="383"/>
      <c r="BAR118" s="383"/>
      <c r="BAS118" s="383"/>
      <c r="BAT118" s="383"/>
      <c r="BAU118" s="383"/>
      <c r="BAV118" s="383"/>
      <c r="BAW118" s="383"/>
      <c r="BAX118" s="383"/>
      <c r="BAY118" s="383"/>
      <c r="BAZ118" s="383"/>
      <c r="BBA118" s="383"/>
      <c r="BBB118" s="383"/>
      <c r="BBC118" s="383"/>
      <c r="BBD118" s="383"/>
      <c r="BBE118" s="383"/>
      <c r="BBF118" s="383"/>
      <c r="BBG118" s="383"/>
      <c r="BBH118" s="383"/>
      <c r="BBI118" s="383"/>
      <c r="BBJ118" s="383"/>
      <c r="BBK118" s="383"/>
      <c r="BBL118" s="383"/>
      <c r="BBM118" s="383"/>
      <c r="BBN118" s="383"/>
      <c r="BBO118" s="383"/>
      <c r="BBP118" s="383"/>
      <c r="BBQ118" s="383"/>
      <c r="BBR118" s="383"/>
      <c r="BBS118" s="383"/>
      <c r="BBT118" s="383"/>
      <c r="BBU118" s="383"/>
      <c r="BBV118" s="383"/>
      <c r="BBW118" s="383"/>
      <c r="BBX118" s="383"/>
      <c r="BBY118" s="383"/>
      <c r="BBZ118" s="383"/>
      <c r="BCA118" s="383"/>
      <c r="BCB118" s="383"/>
      <c r="BCC118" s="383"/>
      <c r="BCD118" s="383"/>
      <c r="BCE118" s="383"/>
      <c r="BCF118" s="383"/>
      <c r="BCG118" s="383"/>
      <c r="BCH118" s="383"/>
      <c r="BCI118" s="383"/>
      <c r="BCJ118" s="383"/>
      <c r="BCK118" s="383"/>
      <c r="BCL118" s="383"/>
      <c r="BCM118" s="383"/>
      <c r="BCN118" s="383"/>
      <c r="BCO118" s="383"/>
      <c r="BCP118" s="383"/>
      <c r="BCQ118" s="383"/>
      <c r="BCR118" s="383"/>
      <c r="BCS118" s="383"/>
      <c r="BCT118" s="383"/>
      <c r="BCU118" s="383"/>
      <c r="BCV118" s="383"/>
      <c r="BCW118" s="383"/>
      <c r="BCX118" s="383"/>
      <c r="BCY118" s="383"/>
      <c r="BCZ118" s="383"/>
      <c r="BDA118" s="383"/>
      <c r="BDB118" s="383"/>
      <c r="BDC118" s="383"/>
      <c r="BDD118" s="383"/>
      <c r="BDE118" s="383"/>
      <c r="BDF118" s="383"/>
      <c r="BDG118" s="383"/>
      <c r="BDH118" s="383"/>
      <c r="BDI118" s="383"/>
      <c r="BDJ118" s="383"/>
      <c r="BDK118" s="383"/>
      <c r="BDL118" s="383"/>
      <c r="BDM118" s="383"/>
      <c r="BDN118" s="383"/>
      <c r="BDO118" s="383"/>
      <c r="BDP118" s="383"/>
      <c r="BDQ118" s="383"/>
      <c r="BDR118" s="383"/>
      <c r="BDS118" s="383"/>
      <c r="BDT118" s="383"/>
      <c r="BDU118" s="383"/>
      <c r="BDV118" s="383"/>
      <c r="BDW118" s="383"/>
      <c r="BDX118" s="383"/>
      <c r="BDY118" s="383"/>
      <c r="BDZ118" s="383"/>
      <c r="BEA118" s="383"/>
      <c r="BEB118" s="383"/>
      <c r="BEC118" s="383"/>
      <c r="BED118" s="383"/>
      <c r="BEE118" s="383"/>
      <c r="BEF118" s="383"/>
      <c r="BEG118" s="383"/>
      <c r="BEH118" s="383"/>
      <c r="BEI118" s="383"/>
      <c r="BEJ118" s="383"/>
      <c r="BEK118" s="383"/>
      <c r="BEL118" s="383"/>
      <c r="BEM118" s="383"/>
      <c r="BEN118" s="383"/>
      <c r="BEO118" s="383"/>
      <c r="BEP118" s="383"/>
      <c r="BEQ118" s="383"/>
      <c r="BER118" s="383"/>
      <c r="BES118" s="383"/>
      <c r="BET118" s="383"/>
      <c r="BEU118" s="383"/>
      <c r="BEV118" s="383"/>
      <c r="BEW118" s="383"/>
      <c r="BEX118" s="383"/>
      <c r="BEY118" s="383"/>
      <c r="BEZ118" s="383"/>
      <c r="BFA118" s="383"/>
      <c r="BFB118" s="383"/>
      <c r="BFC118" s="383"/>
      <c r="BFD118" s="383"/>
      <c r="BFE118" s="383"/>
      <c r="BFF118" s="383"/>
      <c r="BFG118" s="383"/>
      <c r="BFH118" s="383"/>
      <c r="BFI118" s="383"/>
      <c r="BFJ118" s="383"/>
      <c r="BFK118" s="383"/>
      <c r="BFL118" s="383"/>
      <c r="BFM118" s="383"/>
      <c r="BFN118" s="383"/>
      <c r="BFO118" s="383"/>
      <c r="BFP118" s="383"/>
      <c r="BFQ118" s="383"/>
      <c r="BFR118" s="383"/>
      <c r="BFS118" s="383"/>
      <c r="BFT118" s="383"/>
      <c r="BFU118" s="383"/>
      <c r="BFV118" s="383"/>
      <c r="BFW118" s="383"/>
      <c r="BFX118" s="383"/>
      <c r="BFY118" s="383"/>
      <c r="BFZ118" s="383"/>
      <c r="BGA118" s="383"/>
      <c r="BGB118" s="383"/>
      <c r="BGC118" s="383"/>
      <c r="BGD118" s="383"/>
      <c r="BGE118" s="383"/>
      <c r="BGF118" s="383"/>
      <c r="BGG118" s="383"/>
      <c r="BGH118" s="383"/>
      <c r="BGI118" s="383"/>
      <c r="BGJ118" s="383"/>
      <c r="BGK118" s="383"/>
      <c r="BGL118" s="383"/>
      <c r="BGM118" s="383"/>
      <c r="BGN118" s="383"/>
      <c r="BGO118" s="383"/>
      <c r="BGP118" s="383"/>
      <c r="BGQ118" s="383"/>
      <c r="BGR118" s="383"/>
      <c r="BGS118" s="383"/>
      <c r="BGT118" s="383"/>
      <c r="BGU118" s="383"/>
      <c r="BGV118" s="383"/>
      <c r="BGW118" s="383"/>
      <c r="BGX118" s="383"/>
      <c r="BGY118" s="383"/>
      <c r="BGZ118" s="383"/>
      <c r="BHA118" s="383"/>
      <c r="BHB118" s="383"/>
      <c r="BHC118" s="383"/>
      <c r="BHD118" s="383"/>
      <c r="BHE118" s="383"/>
      <c r="BHF118" s="383"/>
      <c r="BHG118" s="383"/>
      <c r="BHH118" s="383"/>
      <c r="BHI118" s="383"/>
      <c r="BHJ118" s="383"/>
      <c r="BHK118" s="383"/>
      <c r="BHL118" s="383"/>
      <c r="BHM118" s="383"/>
      <c r="BHN118" s="383"/>
      <c r="BHO118" s="383"/>
      <c r="BHP118" s="383"/>
      <c r="BHQ118" s="383"/>
      <c r="BHR118" s="383"/>
      <c r="BHS118" s="383"/>
      <c r="BHT118" s="383"/>
      <c r="BHU118" s="383"/>
      <c r="BHV118" s="383"/>
      <c r="BHW118" s="383"/>
      <c r="BHX118" s="383"/>
      <c r="BHY118" s="383"/>
      <c r="BHZ118" s="383"/>
      <c r="BIA118" s="383"/>
      <c r="BIB118" s="383"/>
      <c r="BIC118" s="383"/>
      <c r="BID118" s="383"/>
      <c r="BIE118" s="383"/>
      <c r="BIF118" s="383"/>
      <c r="BIG118" s="383"/>
      <c r="BIH118" s="383"/>
      <c r="BII118" s="383"/>
      <c r="BIJ118" s="383"/>
      <c r="BIK118" s="383"/>
      <c r="BIL118" s="383"/>
      <c r="BIM118" s="383"/>
      <c r="BIN118" s="383"/>
      <c r="BIO118" s="383"/>
      <c r="BIP118" s="383"/>
      <c r="BIQ118" s="383"/>
      <c r="BIR118" s="383"/>
      <c r="BIS118" s="383"/>
      <c r="BIT118" s="383"/>
      <c r="BIU118" s="383"/>
      <c r="BIV118" s="383"/>
      <c r="BIW118" s="383"/>
      <c r="BIX118" s="383"/>
      <c r="BIY118" s="383"/>
      <c r="BIZ118" s="383"/>
      <c r="BJA118" s="383"/>
      <c r="BJB118" s="383"/>
      <c r="BJC118" s="383"/>
      <c r="BJD118" s="383"/>
      <c r="BJE118" s="383"/>
      <c r="BJF118" s="383"/>
      <c r="BJG118" s="383"/>
      <c r="BJH118" s="383"/>
      <c r="BJI118" s="383"/>
      <c r="BJJ118" s="383"/>
      <c r="BJK118" s="383"/>
      <c r="BJL118" s="383"/>
      <c r="BJM118" s="383"/>
      <c r="BJN118" s="383"/>
      <c r="BJO118" s="383"/>
      <c r="BJP118" s="383"/>
      <c r="BJQ118" s="383"/>
      <c r="BJR118" s="383"/>
      <c r="BJS118" s="383"/>
      <c r="BJT118" s="383"/>
      <c r="BJU118" s="383"/>
      <c r="BJV118" s="383"/>
      <c r="BJW118" s="383"/>
      <c r="BJX118" s="383"/>
      <c r="BJY118" s="383"/>
      <c r="BJZ118" s="383"/>
      <c r="BKA118" s="383"/>
      <c r="BKB118" s="383"/>
      <c r="BKC118" s="383"/>
      <c r="BKD118" s="383"/>
      <c r="BKE118" s="383"/>
      <c r="BKF118" s="383"/>
      <c r="BKG118" s="383"/>
      <c r="BKH118" s="383"/>
      <c r="BKI118" s="383"/>
      <c r="BKJ118" s="383"/>
      <c r="BKK118" s="383"/>
      <c r="BKL118" s="383"/>
      <c r="BKM118" s="383"/>
      <c r="BKN118" s="383"/>
      <c r="BKO118" s="383"/>
      <c r="BKP118" s="383"/>
      <c r="BKQ118" s="383"/>
      <c r="BKR118" s="383"/>
      <c r="BKS118" s="383"/>
      <c r="BKT118" s="383"/>
      <c r="BKU118" s="383"/>
      <c r="BKV118" s="383"/>
      <c r="BKW118" s="383"/>
      <c r="BKX118" s="383"/>
      <c r="BKY118" s="383"/>
      <c r="BKZ118" s="383"/>
      <c r="BLA118" s="383"/>
      <c r="BLB118" s="383"/>
      <c r="BLC118" s="383"/>
      <c r="BLD118" s="383"/>
      <c r="BLE118" s="383"/>
      <c r="BLF118" s="383"/>
      <c r="BLG118" s="383"/>
      <c r="BLH118" s="383"/>
      <c r="BLI118" s="383"/>
      <c r="BLJ118" s="383"/>
      <c r="BLK118" s="383"/>
      <c r="BLL118" s="383"/>
      <c r="BLM118" s="383"/>
      <c r="BLN118" s="383"/>
      <c r="BLO118" s="383"/>
      <c r="BLP118" s="383"/>
      <c r="BLQ118" s="383"/>
      <c r="BLR118" s="383"/>
      <c r="BLS118" s="383"/>
      <c r="BLT118" s="383"/>
      <c r="BLU118" s="383"/>
      <c r="BLV118" s="383"/>
      <c r="BLW118" s="383"/>
      <c r="BLX118" s="383"/>
      <c r="BLY118" s="383"/>
      <c r="BLZ118" s="383"/>
      <c r="BMA118" s="383"/>
      <c r="BMB118" s="383"/>
      <c r="BMC118" s="383"/>
      <c r="BMD118" s="383"/>
      <c r="BME118" s="383"/>
      <c r="BMF118" s="383"/>
      <c r="BMG118" s="383"/>
      <c r="BMH118" s="383"/>
      <c r="BMI118" s="383"/>
      <c r="BMJ118" s="383"/>
      <c r="BMK118" s="383"/>
      <c r="BML118" s="383"/>
      <c r="BMM118" s="383"/>
      <c r="BMN118" s="383"/>
      <c r="BMO118" s="383"/>
      <c r="BMP118" s="383"/>
      <c r="BMQ118" s="383"/>
      <c r="BMR118" s="383"/>
      <c r="BMS118" s="383"/>
      <c r="BMT118" s="383"/>
      <c r="BMU118" s="383"/>
      <c r="BMV118" s="383"/>
      <c r="BMW118" s="383"/>
      <c r="BMX118" s="383"/>
      <c r="BMY118" s="383"/>
      <c r="BMZ118" s="383"/>
      <c r="BNA118" s="383"/>
      <c r="BNB118" s="383"/>
      <c r="BNC118" s="383"/>
      <c r="BND118" s="383"/>
      <c r="BNE118" s="383"/>
      <c r="BNF118" s="383"/>
      <c r="BNG118" s="383"/>
      <c r="BNH118" s="383"/>
      <c r="BNI118" s="383"/>
      <c r="BNJ118" s="383"/>
      <c r="BNK118" s="383"/>
      <c r="BNL118" s="383"/>
      <c r="BNM118" s="383"/>
      <c r="BNN118" s="383"/>
      <c r="BNO118" s="383"/>
      <c r="BNP118" s="383"/>
      <c r="BNQ118" s="383"/>
      <c r="BNR118" s="383"/>
      <c r="BNS118" s="383"/>
      <c r="BNT118" s="383"/>
      <c r="BNU118" s="383"/>
      <c r="BNV118" s="383"/>
      <c r="BNW118" s="383"/>
      <c r="BNX118" s="383"/>
      <c r="BNY118" s="383"/>
      <c r="BNZ118" s="383"/>
      <c r="BOA118" s="383"/>
      <c r="BOB118" s="383"/>
      <c r="BOC118" s="383"/>
      <c r="BOD118" s="383"/>
      <c r="BOE118" s="383"/>
      <c r="BOF118" s="383"/>
      <c r="BOG118" s="383"/>
      <c r="BOH118" s="383"/>
      <c r="BOI118" s="383"/>
      <c r="BOJ118" s="383"/>
      <c r="BOK118" s="383"/>
      <c r="BOL118" s="383"/>
      <c r="BOM118" s="383"/>
      <c r="BON118" s="383"/>
      <c r="BOO118" s="383"/>
      <c r="BOP118" s="383"/>
      <c r="BOQ118" s="383"/>
      <c r="BOR118" s="383"/>
      <c r="BOS118" s="383"/>
      <c r="BOT118" s="383"/>
      <c r="BOU118" s="383"/>
      <c r="BOV118" s="383"/>
      <c r="BOW118" s="383"/>
      <c r="BOX118" s="383"/>
      <c r="BOY118" s="383"/>
      <c r="BOZ118" s="383"/>
      <c r="BPA118" s="383"/>
      <c r="BPB118" s="383"/>
      <c r="BPC118" s="383"/>
      <c r="BPD118" s="383"/>
      <c r="BPE118" s="383"/>
      <c r="BPF118" s="383"/>
      <c r="BPG118" s="383"/>
      <c r="BPH118" s="383"/>
      <c r="BPI118" s="383"/>
      <c r="BPJ118" s="383"/>
      <c r="BPK118" s="383"/>
      <c r="BPL118" s="383"/>
      <c r="BPM118" s="383"/>
      <c r="BPN118" s="383"/>
      <c r="BPO118" s="383"/>
      <c r="BPP118" s="383"/>
      <c r="BPQ118" s="383"/>
      <c r="BPR118" s="383"/>
      <c r="BPS118" s="383"/>
      <c r="BPT118" s="383"/>
      <c r="BPU118" s="383"/>
      <c r="BPV118" s="383"/>
      <c r="BPW118" s="383"/>
      <c r="BPX118" s="383"/>
      <c r="BPY118" s="383"/>
      <c r="BPZ118" s="383"/>
      <c r="BQA118" s="383"/>
      <c r="BQB118" s="383"/>
      <c r="BQC118" s="383"/>
      <c r="BQD118" s="383"/>
      <c r="BQE118" s="383"/>
      <c r="BQF118" s="383"/>
      <c r="BQG118" s="383"/>
      <c r="BQH118" s="383"/>
      <c r="BQI118" s="383"/>
      <c r="BQJ118" s="383"/>
      <c r="BQK118" s="383"/>
      <c r="BQL118" s="383"/>
      <c r="BQM118" s="383"/>
      <c r="BQN118" s="383"/>
      <c r="BQO118" s="383"/>
      <c r="BQP118" s="383"/>
      <c r="BQQ118" s="383"/>
      <c r="BQR118" s="383"/>
      <c r="BQS118" s="383"/>
      <c r="BQT118" s="383"/>
      <c r="BQU118" s="383"/>
      <c r="BQV118" s="383"/>
      <c r="BQW118" s="383"/>
      <c r="BQX118" s="383"/>
      <c r="BQY118" s="383"/>
      <c r="BQZ118" s="383"/>
      <c r="BRA118" s="383"/>
      <c r="BRB118" s="383"/>
      <c r="BRC118" s="383"/>
      <c r="BRD118" s="383"/>
      <c r="BRE118" s="383"/>
      <c r="BRF118" s="383"/>
      <c r="BRG118" s="383"/>
      <c r="BRH118" s="383"/>
      <c r="BRI118" s="383"/>
      <c r="BRJ118" s="383"/>
      <c r="BRK118" s="383"/>
      <c r="BRL118" s="383"/>
      <c r="BRM118" s="383"/>
      <c r="BRN118" s="383"/>
      <c r="BRO118" s="383"/>
      <c r="BRP118" s="383"/>
      <c r="BRQ118" s="383"/>
      <c r="BRR118" s="383"/>
      <c r="BRS118" s="383"/>
      <c r="BRT118" s="383"/>
      <c r="BRU118" s="383"/>
      <c r="BRV118" s="383"/>
      <c r="BRW118" s="383"/>
      <c r="BRX118" s="383"/>
      <c r="BRY118" s="383"/>
      <c r="BRZ118" s="383"/>
      <c r="BSA118" s="383"/>
      <c r="BSB118" s="383"/>
      <c r="BSC118" s="383"/>
      <c r="BSD118" s="383"/>
      <c r="BSE118" s="383"/>
      <c r="BSF118" s="383"/>
      <c r="BSG118" s="383"/>
      <c r="BSH118" s="383"/>
      <c r="BSI118" s="383"/>
      <c r="BSJ118" s="383"/>
      <c r="BSK118" s="383"/>
      <c r="BSL118" s="383"/>
      <c r="BSM118" s="383"/>
      <c r="BSN118" s="383"/>
      <c r="BSO118" s="383"/>
      <c r="BSP118" s="383"/>
      <c r="BSQ118" s="383"/>
      <c r="BSR118" s="383"/>
      <c r="BSS118" s="383"/>
      <c r="BST118" s="383"/>
      <c r="BSU118" s="383"/>
      <c r="BSV118" s="383"/>
      <c r="BSW118" s="383"/>
      <c r="BSX118" s="383"/>
      <c r="BSY118" s="383"/>
      <c r="BSZ118" s="383"/>
      <c r="BTA118" s="383"/>
      <c r="BTB118" s="383"/>
      <c r="BTC118" s="383"/>
      <c r="BTD118" s="383"/>
      <c r="BTE118" s="383"/>
      <c r="BTF118" s="383"/>
      <c r="BTG118" s="383"/>
      <c r="BTH118" s="383"/>
      <c r="BTI118" s="383"/>
      <c r="BTJ118" s="383"/>
      <c r="BTK118" s="383"/>
      <c r="BTL118" s="383"/>
      <c r="BTM118" s="383"/>
      <c r="BTN118" s="383"/>
      <c r="BTO118" s="383"/>
      <c r="BTP118" s="383"/>
      <c r="BTQ118" s="383"/>
      <c r="BTR118" s="383"/>
      <c r="BTS118" s="383"/>
      <c r="BTT118" s="383"/>
      <c r="BTU118" s="383"/>
      <c r="BTV118" s="383"/>
      <c r="BTW118" s="383"/>
      <c r="BTX118" s="383"/>
      <c r="BTY118" s="383"/>
      <c r="BTZ118" s="383"/>
      <c r="BUA118" s="383"/>
      <c r="BUB118" s="383"/>
      <c r="BUC118" s="383"/>
      <c r="BUD118" s="383"/>
      <c r="BUE118" s="383"/>
      <c r="BUF118" s="383"/>
      <c r="BUG118" s="383"/>
      <c r="BUH118" s="383"/>
      <c r="BUI118" s="383"/>
      <c r="BUJ118" s="383"/>
      <c r="BUK118" s="383"/>
      <c r="BUL118" s="383"/>
      <c r="BUM118" s="383"/>
      <c r="BUN118" s="383"/>
      <c r="BUO118" s="383"/>
      <c r="BUP118" s="383"/>
      <c r="BUQ118" s="383"/>
      <c r="BUR118" s="383"/>
      <c r="BUS118" s="383"/>
      <c r="BUT118" s="383"/>
      <c r="BUU118" s="383"/>
      <c r="BUV118" s="383"/>
      <c r="BUW118" s="383"/>
      <c r="BUX118" s="383"/>
      <c r="BUY118" s="383"/>
      <c r="BUZ118" s="383"/>
      <c r="BVA118" s="383"/>
      <c r="BVB118" s="383"/>
      <c r="BVC118" s="383"/>
      <c r="BVD118" s="383"/>
      <c r="BVE118" s="383"/>
      <c r="BVF118" s="383"/>
      <c r="BVG118" s="383"/>
      <c r="BVH118" s="383"/>
      <c r="BVI118" s="383"/>
      <c r="BVJ118" s="383"/>
      <c r="BVK118" s="383"/>
      <c r="BVL118" s="383"/>
      <c r="BVM118" s="383"/>
      <c r="BVN118" s="383"/>
      <c r="BVO118" s="383"/>
      <c r="BVP118" s="383"/>
      <c r="BVQ118" s="383"/>
      <c r="BVR118" s="383"/>
      <c r="BVS118" s="383"/>
      <c r="BVT118" s="383"/>
      <c r="BVU118" s="383"/>
      <c r="BVV118" s="383"/>
      <c r="BVW118" s="383"/>
      <c r="BVX118" s="383"/>
      <c r="BVY118" s="383"/>
      <c r="BVZ118" s="383"/>
      <c r="BWA118" s="383"/>
      <c r="BWB118" s="383"/>
      <c r="BWC118" s="383"/>
      <c r="BWD118" s="383"/>
      <c r="BWE118" s="383"/>
      <c r="BWF118" s="383"/>
      <c r="BWG118" s="383"/>
      <c r="BWH118" s="383"/>
      <c r="BWI118" s="383"/>
      <c r="BWJ118" s="383"/>
      <c r="BWK118" s="383"/>
      <c r="BWL118" s="383"/>
      <c r="BWM118" s="383"/>
      <c r="BWN118" s="383"/>
      <c r="BWO118" s="383"/>
      <c r="BWP118" s="383"/>
      <c r="BWQ118" s="383"/>
      <c r="BWR118" s="383"/>
      <c r="BWS118" s="383"/>
      <c r="BWT118" s="383"/>
      <c r="BWU118" s="383"/>
      <c r="BWV118" s="383"/>
      <c r="BWW118" s="383"/>
      <c r="BWX118" s="383"/>
      <c r="BWY118" s="383"/>
      <c r="BWZ118" s="383"/>
      <c r="BXA118" s="383"/>
      <c r="BXB118" s="383"/>
      <c r="BXC118" s="383"/>
      <c r="BXD118" s="383"/>
      <c r="BXE118" s="383"/>
      <c r="BXF118" s="383"/>
      <c r="BXG118" s="383"/>
      <c r="BXH118" s="383"/>
      <c r="BXI118" s="383"/>
      <c r="BXJ118" s="383"/>
      <c r="BXK118" s="383"/>
      <c r="BXL118" s="383"/>
      <c r="BXM118" s="383"/>
      <c r="BXN118" s="383"/>
      <c r="BXO118" s="383"/>
      <c r="BXP118" s="383"/>
      <c r="BXQ118" s="383"/>
      <c r="BXR118" s="383"/>
      <c r="BXS118" s="383"/>
      <c r="BXT118" s="383"/>
      <c r="BXU118" s="383"/>
      <c r="BXV118" s="383"/>
      <c r="BXW118" s="383"/>
      <c r="BXX118" s="383"/>
      <c r="BXY118" s="383"/>
      <c r="BXZ118" s="383"/>
      <c r="BYA118" s="383"/>
      <c r="BYB118" s="383"/>
      <c r="BYC118" s="383"/>
      <c r="BYD118" s="383"/>
      <c r="BYE118" s="383"/>
      <c r="BYF118" s="383"/>
      <c r="BYG118" s="383"/>
      <c r="BYH118" s="383"/>
      <c r="BYI118" s="383"/>
      <c r="BYJ118" s="383"/>
      <c r="BYK118" s="383"/>
      <c r="BYL118" s="383"/>
      <c r="BYM118" s="383"/>
      <c r="BYN118" s="383"/>
      <c r="BYO118" s="383"/>
      <c r="BYP118" s="383"/>
      <c r="BYQ118" s="383"/>
      <c r="BYR118" s="383"/>
      <c r="BYS118" s="383"/>
      <c r="BYT118" s="383"/>
      <c r="BYU118" s="383"/>
      <c r="BYV118" s="383"/>
      <c r="BYW118" s="383"/>
      <c r="BYX118" s="383"/>
      <c r="BYY118" s="383"/>
      <c r="BYZ118" s="383"/>
      <c r="BZA118" s="383"/>
      <c r="BZB118" s="383"/>
      <c r="BZC118" s="383"/>
      <c r="BZD118" s="383"/>
      <c r="BZE118" s="383"/>
      <c r="BZF118" s="383"/>
      <c r="BZG118" s="383"/>
      <c r="BZH118" s="383"/>
      <c r="BZI118" s="383"/>
      <c r="BZJ118" s="383"/>
      <c r="BZK118" s="383"/>
      <c r="BZL118" s="383"/>
      <c r="BZM118" s="383"/>
      <c r="BZN118" s="383"/>
      <c r="BZO118" s="383"/>
      <c r="BZP118" s="383"/>
      <c r="BZQ118" s="383"/>
      <c r="BZR118" s="383"/>
      <c r="BZS118" s="383"/>
      <c r="BZT118" s="383"/>
      <c r="BZU118" s="383"/>
      <c r="BZV118" s="383"/>
      <c r="BZW118" s="383"/>
      <c r="BZX118" s="383"/>
      <c r="BZY118" s="383"/>
      <c r="BZZ118" s="383"/>
      <c r="CAA118" s="383"/>
      <c r="CAB118" s="383"/>
      <c r="CAC118" s="383"/>
      <c r="CAD118" s="383"/>
      <c r="CAE118" s="383"/>
      <c r="CAF118" s="383"/>
      <c r="CAG118" s="383"/>
      <c r="CAH118" s="383"/>
      <c r="CAI118" s="383"/>
      <c r="CAJ118" s="383"/>
      <c r="CAK118" s="383"/>
      <c r="CAL118" s="383"/>
      <c r="CAM118" s="383"/>
      <c r="CAN118" s="383"/>
      <c r="CAO118" s="383"/>
      <c r="CAP118" s="383"/>
      <c r="CAQ118" s="383"/>
      <c r="CAR118" s="383"/>
      <c r="CAS118" s="383"/>
      <c r="CAT118" s="383"/>
      <c r="CAU118" s="383"/>
      <c r="CAV118" s="383"/>
      <c r="CAW118" s="383"/>
      <c r="CAX118" s="383"/>
      <c r="CAY118" s="383"/>
      <c r="CAZ118" s="383"/>
      <c r="CBA118" s="383"/>
      <c r="CBB118" s="383"/>
      <c r="CBC118" s="383"/>
      <c r="CBD118" s="383"/>
      <c r="CBE118" s="383"/>
      <c r="CBF118" s="383"/>
      <c r="CBG118" s="383"/>
      <c r="CBH118" s="383"/>
      <c r="CBI118" s="383"/>
      <c r="CBJ118" s="383"/>
      <c r="CBK118" s="383"/>
      <c r="CBL118" s="383"/>
      <c r="CBM118" s="383"/>
      <c r="CBN118" s="383"/>
      <c r="CBO118" s="383"/>
      <c r="CBP118" s="383"/>
      <c r="CBQ118" s="383"/>
      <c r="CBR118" s="383"/>
      <c r="CBS118" s="383"/>
      <c r="CBT118" s="383"/>
      <c r="CBU118" s="383"/>
      <c r="CBV118" s="383"/>
      <c r="CBW118" s="383"/>
      <c r="CBX118" s="383"/>
      <c r="CBY118" s="383"/>
      <c r="CBZ118" s="383"/>
      <c r="CCA118" s="383"/>
      <c r="CCB118" s="383"/>
      <c r="CCC118" s="383"/>
      <c r="CCD118" s="383"/>
      <c r="CCE118" s="383"/>
      <c r="CCF118" s="383"/>
      <c r="CCG118" s="383"/>
      <c r="CCH118" s="383"/>
      <c r="CCI118" s="383"/>
      <c r="CCJ118" s="383"/>
      <c r="CCK118" s="383"/>
      <c r="CCL118" s="383"/>
      <c r="CCM118" s="383"/>
      <c r="CCN118" s="383"/>
      <c r="CCO118" s="383"/>
      <c r="CCP118" s="383"/>
      <c r="CCQ118" s="383"/>
      <c r="CCR118" s="383"/>
      <c r="CCS118" s="383"/>
      <c r="CCT118" s="383"/>
      <c r="CCU118" s="383"/>
      <c r="CCV118" s="383"/>
      <c r="CCW118" s="383"/>
      <c r="CCX118" s="383"/>
      <c r="CCY118" s="383"/>
      <c r="CCZ118" s="383"/>
      <c r="CDA118" s="383"/>
      <c r="CDB118" s="383"/>
      <c r="CDC118" s="383"/>
      <c r="CDD118" s="383"/>
      <c r="CDE118" s="383"/>
      <c r="CDF118" s="383"/>
      <c r="CDG118" s="383"/>
      <c r="CDH118" s="383"/>
      <c r="CDI118" s="383"/>
      <c r="CDJ118" s="383"/>
      <c r="CDK118" s="383"/>
      <c r="CDL118" s="383"/>
      <c r="CDM118" s="383"/>
      <c r="CDN118" s="383"/>
      <c r="CDO118" s="383"/>
      <c r="CDP118" s="383"/>
      <c r="CDQ118" s="383"/>
      <c r="CDR118" s="383"/>
      <c r="CDS118" s="383"/>
      <c r="CDT118" s="383"/>
      <c r="CDU118" s="383"/>
      <c r="CDV118" s="383"/>
      <c r="CDW118" s="383"/>
      <c r="CDX118" s="383"/>
      <c r="CDY118" s="383"/>
      <c r="CDZ118" s="383"/>
      <c r="CEA118" s="383"/>
      <c r="CEB118" s="383"/>
      <c r="CEC118" s="383"/>
      <c r="CED118" s="383"/>
      <c r="CEE118" s="383"/>
      <c r="CEF118" s="383"/>
      <c r="CEG118" s="383"/>
      <c r="CEH118" s="383"/>
      <c r="CEI118" s="383"/>
      <c r="CEJ118" s="383"/>
      <c r="CEK118" s="383"/>
      <c r="CEL118" s="383"/>
      <c r="CEM118" s="383"/>
      <c r="CEN118" s="383"/>
      <c r="CEO118" s="383"/>
      <c r="CEP118" s="383"/>
      <c r="CEQ118" s="383"/>
      <c r="CER118" s="383"/>
      <c r="CES118" s="383"/>
      <c r="CET118" s="383"/>
      <c r="CEU118" s="383"/>
      <c r="CEV118" s="383"/>
      <c r="CEW118" s="383"/>
      <c r="CEX118" s="383"/>
      <c r="CEY118" s="383"/>
      <c r="CEZ118" s="383"/>
      <c r="CFA118" s="383"/>
      <c r="CFB118" s="383"/>
      <c r="CFC118" s="383"/>
      <c r="CFD118" s="383"/>
      <c r="CFE118" s="383"/>
      <c r="CFF118" s="383"/>
      <c r="CFG118" s="383"/>
      <c r="CFH118" s="383"/>
      <c r="CFI118" s="383"/>
      <c r="CFJ118" s="383"/>
      <c r="CFK118" s="383"/>
      <c r="CFL118" s="383"/>
      <c r="CFM118" s="383"/>
      <c r="CFN118" s="383"/>
      <c r="CFO118" s="383"/>
      <c r="CFP118" s="383"/>
      <c r="CFQ118" s="383"/>
      <c r="CFR118" s="383"/>
      <c r="CFS118" s="383"/>
      <c r="CFT118" s="383"/>
      <c r="CFU118" s="383"/>
      <c r="CFV118" s="383"/>
      <c r="CFW118" s="383"/>
      <c r="CFX118" s="383"/>
      <c r="CFY118" s="383"/>
      <c r="CFZ118" s="383"/>
      <c r="CGA118" s="383"/>
      <c r="CGB118" s="383"/>
      <c r="CGC118" s="383"/>
      <c r="CGD118" s="383"/>
      <c r="CGE118" s="383"/>
      <c r="CGF118" s="383"/>
      <c r="CGG118" s="383"/>
      <c r="CGH118" s="383"/>
      <c r="CGI118" s="383"/>
      <c r="CGJ118" s="383"/>
      <c r="CGK118" s="383"/>
      <c r="CGL118" s="383"/>
      <c r="CGM118" s="383"/>
      <c r="CGN118" s="383"/>
      <c r="CGO118" s="383"/>
      <c r="CGP118" s="383"/>
      <c r="CGQ118" s="383"/>
      <c r="CGR118" s="383"/>
      <c r="CGS118" s="383"/>
      <c r="CGT118" s="383"/>
      <c r="CGU118" s="383"/>
      <c r="CGV118" s="383"/>
      <c r="CGW118" s="383"/>
      <c r="CGX118" s="383"/>
      <c r="CGY118" s="383"/>
      <c r="CGZ118" s="383"/>
      <c r="CHA118" s="383"/>
      <c r="CHB118" s="383"/>
      <c r="CHC118" s="383"/>
      <c r="CHD118" s="383"/>
      <c r="CHE118" s="383"/>
      <c r="CHF118" s="383"/>
      <c r="CHG118" s="383"/>
      <c r="CHH118" s="383"/>
      <c r="CHI118" s="383"/>
      <c r="CHJ118" s="383"/>
      <c r="CHK118" s="383"/>
      <c r="CHL118" s="383"/>
      <c r="CHM118" s="383"/>
      <c r="CHN118" s="383"/>
      <c r="CHO118" s="383"/>
      <c r="CHP118" s="383"/>
      <c r="CHQ118" s="383"/>
      <c r="CHR118" s="383"/>
      <c r="CHS118" s="383"/>
      <c r="CHT118" s="383"/>
      <c r="CHU118" s="383"/>
      <c r="CHV118" s="383"/>
      <c r="CHW118" s="383"/>
      <c r="CHX118" s="383"/>
      <c r="CHY118" s="383"/>
      <c r="CHZ118" s="383"/>
      <c r="CIA118" s="383"/>
      <c r="CIB118" s="383"/>
      <c r="CIC118" s="383"/>
      <c r="CID118" s="383"/>
      <c r="CIE118" s="383"/>
      <c r="CIF118" s="383"/>
      <c r="CIG118" s="383"/>
      <c r="CIH118" s="383"/>
      <c r="CII118" s="383"/>
      <c r="CIJ118" s="383"/>
      <c r="CIK118" s="383"/>
      <c r="CIL118" s="383"/>
      <c r="CIM118" s="383"/>
      <c r="CIN118" s="383"/>
      <c r="CIO118" s="383"/>
      <c r="CIP118" s="383"/>
      <c r="CIQ118" s="383"/>
      <c r="CIR118" s="383"/>
      <c r="CIS118" s="383"/>
      <c r="CIT118" s="383"/>
      <c r="CIU118" s="383"/>
      <c r="CIV118" s="383"/>
      <c r="CIW118" s="383"/>
      <c r="CIX118" s="383"/>
      <c r="CIY118" s="383"/>
      <c r="CIZ118" s="383"/>
      <c r="CJA118" s="383"/>
      <c r="CJB118" s="383"/>
      <c r="CJC118" s="383"/>
      <c r="CJD118" s="383"/>
      <c r="CJE118" s="383"/>
      <c r="CJF118" s="383"/>
      <c r="CJG118" s="383"/>
      <c r="CJH118" s="383"/>
      <c r="CJI118" s="383"/>
      <c r="CJJ118" s="383"/>
      <c r="CJK118" s="383"/>
      <c r="CJL118" s="383"/>
      <c r="CJM118" s="383"/>
      <c r="CJN118" s="383"/>
      <c r="CJO118" s="383"/>
      <c r="CJP118" s="383"/>
      <c r="CJQ118" s="383"/>
      <c r="CJR118" s="383"/>
      <c r="CJS118" s="383"/>
      <c r="CJT118" s="383"/>
      <c r="CJU118" s="383"/>
      <c r="CJV118" s="383"/>
      <c r="CJW118" s="383"/>
      <c r="CJX118" s="383"/>
      <c r="CJY118" s="383"/>
      <c r="CJZ118" s="383"/>
      <c r="CKA118" s="383"/>
      <c r="CKB118" s="383"/>
      <c r="CKC118" s="383"/>
      <c r="CKD118" s="383"/>
      <c r="CKE118" s="383"/>
      <c r="CKF118" s="383"/>
      <c r="CKG118" s="383"/>
      <c r="CKH118" s="383"/>
      <c r="CKI118" s="383"/>
      <c r="CKJ118" s="383"/>
      <c r="CKK118" s="383"/>
      <c r="CKL118" s="383"/>
      <c r="CKM118" s="383"/>
      <c r="CKN118" s="383"/>
      <c r="CKO118" s="383"/>
      <c r="CKP118" s="383"/>
      <c r="CKQ118" s="383"/>
      <c r="CKR118" s="383"/>
      <c r="CKS118" s="383"/>
      <c r="CKT118" s="383"/>
      <c r="CKU118" s="383"/>
      <c r="CKV118" s="383"/>
      <c r="CKW118" s="383"/>
      <c r="CKX118" s="383"/>
      <c r="CKY118" s="383"/>
      <c r="CKZ118" s="383"/>
      <c r="CLA118" s="383"/>
      <c r="CLB118" s="383"/>
      <c r="CLC118" s="383"/>
      <c r="CLD118" s="383"/>
      <c r="CLE118" s="383"/>
      <c r="CLF118" s="383"/>
      <c r="CLG118" s="383"/>
      <c r="CLH118" s="383"/>
      <c r="CLI118" s="383"/>
      <c r="CLJ118" s="383"/>
      <c r="CLK118" s="383"/>
      <c r="CLL118" s="383"/>
      <c r="CLM118" s="383"/>
      <c r="CLN118" s="383"/>
      <c r="CLO118" s="383"/>
      <c r="CLP118" s="383"/>
      <c r="CLQ118" s="383"/>
      <c r="CLR118" s="383"/>
      <c r="CLS118" s="383"/>
      <c r="CLT118" s="383"/>
      <c r="CLU118" s="383"/>
      <c r="CLV118" s="383"/>
      <c r="CLW118" s="383"/>
      <c r="CLX118" s="383"/>
      <c r="CLY118" s="383"/>
      <c r="CLZ118" s="383"/>
      <c r="CMA118" s="383"/>
      <c r="CMB118" s="383"/>
      <c r="CMC118" s="383"/>
      <c r="CMD118" s="383"/>
      <c r="CME118" s="383"/>
      <c r="CMF118" s="383"/>
      <c r="CMG118" s="383"/>
      <c r="CMH118" s="383"/>
      <c r="CMI118" s="383"/>
      <c r="CMJ118" s="383"/>
      <c r="CMK118" s="383"/>
      <c r="CML118" s="383"/>
      <c r="CMM118" s="383"/>
      <c r="CMN118" s="383"/>
      <c r="CMO118" s="383"/>
      <c r="CMP118" s="383"/>
      <c r="CMQ118" s="383"/>
      <c r="CMR118" s="383"/>
      <c r="CMS118" s="383"/>
      <c r="CMT118" s="383"/>
      <c r="CMU118" s="383"/>
      <c r="CMV118" s="383"/>
      <c r="CMW118" s="383"/>
      <c r="CMX118" s="383"/>
      <c r="CMY118" s="383"/>
      <c r="CMZ118" s="383"/>
      <c r="CNA118" s="383"/>
      <c r="CNB118" s="383"/>
      <c r="CNC118" s="383"/>
      <c r="CND118" s="383"/>
      <c r="CNE118" s="383"/>
      <c r="CNF118" s="383"/>
      <c r="CNG118" s="383"/>
      <c r="CNH118" s="383"/>
      <c r="CNI118" s="383"/>
      <c r="CNJ118" s="383"/>
      <c r="CNK118" s="383"/>
      <c r="CNL118" s="383"/>
      <c r="CNM118" s="383"/>
      <c r="CNN118" s="383"/>
      <c r="CNO118" s="383"/>
      <c r="CNP118" s="383"/>
      <c r="CNQ118" s="383"/>
      <c r="CNR118" s="383"/>
      <c r="CNS118" s="383"/>
      <c r="CNT118" s="383"/>
      <c r="CNU118" s="383"/>
      <c r="CNV118" s="383"/>
      <c r="CNW118" s="383"/>
      <c r="CNX118" s="383"/>
      <c r="CNY118" s="383"/>
      <c r="CNZ118" s="383"/>
      <c r="COA118" s="383"/>
      <c r="COB118" s="383"/>
      <c r="COC118" s="383"/>
      <c r="COD118" s="383"/>
      <c r="COE118" s="383"/>
      <c r="COF118" s="383"/>
      <c r="COG118" s="383"/>
      <c r="COH118" s="383"/>
      <c r="COI118" s="383"/>
      <c r="COJ118" s="383"/>
      <c r="COK118" s="383"/>
      <c r="COL118" s="383"/>
      <c r="COM118" s="383"/>
      <c r="CON118" s="383"/>
      <c r="COO118" s="383"/>
      <c r="COP118" s="383"/>
      <c r="COQ118" s="383"/>
      <c r="COR118" s="383"/>
      <c r="COS118" s="383"/>
      <c r="COT118" s="383"/>
      <c r="COU118" s="383"/>
      <c r="COV118" s="383"/>
      <c r="COW118" s="383"/>
      <c r="COX118" s="383"/>
      <c r="COY118" s="383"/>
      <c r="COZ118" s="383"/>
      <c r="CPA118" s="383"/>
      <c r="CPB118" s="383"/>
      <c r="CPC118" s="383"/>
      <c r="CPD118" s="383"/>
      <c r="CPE118" s="383"/>
      <c r="CPF118" s="383"/>
      <c r="CPG118" s="383"/>
      <c r="CPH118" s="383"/>
      <c r="CPI118" s="383"/>
      <c r="CPJ118" s="383"/>
      <c r="CPK118" s="383"/>
      <c r="CPL118" s="383"/>
      <c r="CPM118" s="383"/>
      <c r="CPN118" s="383"/>
      <c r="CPO118" s="383"/>
      <c r="CPP118" s="383"/>
      <c r="CPQ118" s="383"/>
      <c r="CPR118" s="383"/>
      <c r="CPS118" s="383"/>
      <c r="CPT118" s="383"/>
      <c r="CPU118" s="383"/>
      <c r="CPV118" s="383"/>
      <c r="CPW118" s="383"/>
      <c r="CPX118" s="383"/>
      <c r="CPY118" s="383"/>
      <c r="CPZ118" s="383"/>
      <c r="CQA118" s="383"/>
      <c r="CQB118" s="383"/>
      <c r="CQC118" s="383"/>
      <c r="CQD118" s="383"/>
      <c r="CQE118" s="383"/>
      <c r="CQF118" s="383"/>
      <c r="CQG118" s="383"/>
      <c r="CQH118" s="383"/>
      <c r="CQI118" s="383"/>
      <c r="CQJ118" s="383"/>
      <c r="CQK118" s="383"/>
      <c r="CQL118" s="383"/>
      <c r="CQM118" s="383"/>
      <c r="CQN118" s="383"/>
      <c r="CQO118" s="383"/>
      <c r="CQP118" s="383"/>
      <c r="CQQ118" s="383"/>
      <c r="CQR118" s="383"/>
      <c r="CQS118" s="383"/>
      <c r="CQT118" s="383"/>
      <c r="CQU118" s="383"/>
      <c r="CQV118" s="383"/>
      <c r="CQW118" s="383"/>
      <c r="CQX118" s="383"/>
      <c r="CQY118" s="383"/>
      <c r="CQZ118" s="383"/>
      <c r="CRA118" s="383"/>
      <c r="CRB118" s="383"/>
      <c r="CRC118" s="383"/>
      <c r="CRD118" s="383"/>
      <c r="CRE118" s="383"/>
      <c r="CRF118" s="383"/>
      <c r="CRG118" s="383"/>
      <c r="CRH118" s="383"/>
      <c r="CRI118" s="383"/>
      <c r="CRJ118" s="383"/>
      <c r="CRK118" s="383"/>
      <c r="CRL118" s="383"/>
      <c r="CRM118" s="383"/>
      <c r="CRN118" s="383"/>
      <c r="CRO118" s="383"/>
      <c r="CRP118" s="383"/>
      <c r="CRQ118" s="383"/>
      <c r="CRR118" s="383"/>
      <c r="CRS118" s="383"/>
      <c r="CRT118" s="383"/>
      <c r="CRU118" s="383"/>
      <c r="CRV118" s="383"/>
      <c r="CRW118" s="383"/>
      <c r="CRX118" s="383"/>
      <c r="CRY118" s="383"/>
      <c r="CRZ118" s="383"/>
      <c r="CSA118" s="383"/>
      <c r="CSB118" s="383"/>
      <c r="CSC118" s="383"/>
      <c r="CSD118" s="383"/>
      <c r="CSE118" s="383"/>
      <c r="CSF118" s="383"/>
      <c r="CSG118" s="383"/>
      <c r="CSH118" s="383"/>
      <c r="CSI118" s="383"/>
      <c r="CSJ118" s="383"/>
      <c r="CSK118" s="383"/>
      <c r="CSL118" s="383"/>
      <c r="CSM118" s="383"/>
      <c r="CSN118" s="383"/>
      <c r="CSO118" s="383"/>
      <c r="CSP118" s="383"/>
      <c r="CSQ118" s="383"/>
      <c r="CSR118" s="383"/>
      <c r="CSS118" s="383"/>
      <c r="CST118" s="383"/>
      <c r="CSU118" s="383"/>
      <c r="CSV118" s="383"/>
      <c r="CSW118" s="383"/>
      <c r="CSX118" s="383"/>
      <c r="CSY118" s="383"/>
      <c r="CSZ118" s="383"/>
      <c r="CTA118" s="383"/>
      <c r="CTB118" s="383"/>
      <c r="CTC118" s="383"/>
      <c r="CTD118" s="383"/>
      <c r="CTE118" s="383"/>
      <c r="CTF118" s="383"/>
      <c r="CTG118" s="383"/>
      <c r="CTH118" s="383"/>
      <c r="CTI118" s="383"/>
      <c r="CTJ118" s="383"/>
      <c r="CTK118" s="383"/>
      <c r="CTL118" s="383"/>
      <c r="CTM118" s="383"/>
      <c r="CTN118" s="383"/>
      <c r="CTO118" s="383"/>
      <c r="CTP118" s="383"/>
      <c r="CTQ118" s="383"/>
      <c r="CTR118" s="383"/>
      <c r="CTS118" s="383"/>
      <c r="CTT118" s="383"/>
      <c r="CTU118" s="383"/>
      <c r="CTV118" s="383"/>
      <c r="CTW118" s="383"/>
      <c r="CTX118" s="383"/>
      <c r="CTY118" s="383"/>
      <c r="CTZ118" s="383"/>
      <c r="CUA118" s="383"/>
      <c r="CUB118" s="383"/>
      <c r="CUC118" s="383"/>
      <c r="CUD118" s="383"/>
      <c r="CUE118" s="383"/>
      <c r="CUF118" s="383"/>
      <c r="CUG118" s="383"/>
      <c r="CUH118" s="383"/>
      <c r="CUI118" s="383"/>
      <c r="CUJ118" s="383"/>
      <c r="CUK118" s="383"/>
      <c r="CUL118" s="383"/>
      <c r="CUM118" s="383"/>
      <c r="CUN118" s="383"/>
      <c r="CUO118" s="383"/>
      <c r="CUP118" s="383"/>
      <c r="CUQ118" s="383"/>
      <c r="CUR118" s="383"/>
      <c r="CUS118" s="383"/>
      <c r="CUT118" s="383"/>
      <c r="CUU118" s="383"/>
      <c r="CUV118" s="383"/>
      <c r="CUW118" s="383"/>
      <c r="CUX118" s="383"/>
      <c r="CUY118" s="383"/>
      <c r="CUZ118" s="383"/>
      <c r="CVA118" s="383"/>
      <c r="CVB118" s="383"/>
      <c r="CVC118" s="383"/>
      <c r="CVD118" s="383"/>
      <c r="CVE118" s="383"/>
      <c r="CVF118" s="383"/>
      <c r="CVG118" s="383"/>
      <c r="CVH118" s="383"/>
      <c r="CVI118" s="383"/>
      <c r="CVJ118" s="383"/>
      <c r="CVK118" s="383"/>
      <c r="CVL118" s="383"/>
      <c r="CVM118" s="383"/>
      <c r="CVN118" s="383"/>
      <c r="CVO118" s="383"/>
      <c r="CVP118" s="383"/>
      <c r="CVQ118" s="383"/>
      <c r="CVR118" s="383"/>
      <c r="CVS118" s="383"/>
      <c r="CVT118" s="383"/>
      <c r="CVU118" s="383"/>
      <c r="CVV118" s="383"/>
      <c r="CVW118" s="383"/>
      <c r="CVX118" s="383"/>
      <c r="CVY118" s="383"/>
      <c r="CVZ118" s="383"/>
      <c r="CWA118" s="383"/>
      <c r="CWB118" s="383"/>
      <c r="CWC118" s="383"/>
      <c r="CWD118" s="383"/>
      <c r="CWE118" s="383"/>
      <c r="CWF118" s="383"/>
      <c r="CWG118" s="383"/>
      <c r="CWH118" s="383"/>
      <c r="CWI118" s="383"/>
      <c r="CWJ118" s="383"/>
      <c r="CWK118" s="383"/>
      <c r="CWL118" s="383"/>
      <c r="CWM118" s="383"/>
      <c r="CWN118" s="383"/>
      <c r="CWO118" s="383"/>
      <c r="CWP118" s="383"/>
      <c r="CWQ118" s="383"/>
      <c r="CWR118" s="383"/>
      <c r="CWS118" s="383"/>
      <c r="CWT118" s="383"/>
      <c r="CWU118" s="383"/>
      <c r="CWV118" s="383"/>
      <c r="CWW118" s="383"/>
      <c r="CWX118" s="383"/>
      <c r="CWY118" s="383"/>
      <c r="CWZ118" s="383"/>
      <c r="CXA118" s="383"/>
      <c r="CXB118" s="383"/>
      <c r="CXC118" s="383"/>
      <c r="CXD118" s="383"/>
      <c r="CXE118" s="383"/>
      <c r="CXF118" s="383"/>
      <c r="CXG118" s="383"/>
      <c r="CXH118" s="383"/>
      <c r="CXI118" s="383"/>
      <c r="CXJ118" s="383"/>
      <c r="CXK118" s="383"/>
      <c r="CXL118" s="383"/>
      <c r="CXM118" s="383"/>
      <c r="CXN118" s="383"/>
      <c r="CXO118" s="383"/>
      <c r="CXP118" s="383"/>
      <c r="CXQ118" s="383"/>
      <c r="CXR118" s="383"/>
      <c r="CXS118" s="383"/>
      <c r="CXT118" s="383"/>
      <c r="CXU118" s="383"/>
      <c r="CXV118" s="383"/>
      <c r="CXW118" s="383"/>
      <c r="CXX118" s="383"/>
      <c r="CXY118" s="383"/>
      <c r="CXZ118" s="383"/>
      <c r="CYA118" s="383"/>
      <c r="CYB118" s="383"/>
      <c r="CYC118" s="383"/>
      <c r="CYD118" s="383"/>
      <c r="CYE118" s="383"/>
      <c r="CYF118" s="383"/>
      <c r="CYG118" s="383"/>
      <c r="CYH118" s="383"/>
      <c r="CYI118" s="383"/>
      <c r="CYJ118" s="383"/>
      <c r="CYK118" s="383"/>
      <c r="CYL118" s="383"/>
      <c r="CYM118" s="383"/>
      <c r="CYN118" s="383"/>
      <c r="CYO118" s="383"/>
      <c r="CYP118" s="383"/>
      <c r="CYQ118" s="383"/>
      <c r="CYR118" s="383"/>
      <c r="CYS118" s="383"/>
      <c r="CYT118" s="383"/>
      <c r="CYU118" s="383"/>
      <c r="CYV118" s="383"/>
      <c r="CYW118" s="383"/>
      <c r="CYX118" s="383"/>
      <c r="CYY118" s="383"/>
      <c r="CYZ118" s="383"/>
      <c r="CZA118" s="383"/>
      <c r="CZB118" s="383"/>
      <c r="CZC118" s="383"/>
      <c r="CZD118" s="383"/>
      <c r="CZE118" s="383"/>
      <c r="CZF118" s="383"/>
      <c r="CZG118" s="383"/>
      <c r="CZH118" s="383"/>
      <c r="CZI118" s="383"/>
      <c r="CZJ118" s="383"/>
      <c r="CZK118" s="383"/>
      <c r="CZL118" s="383"/>
      <c r="CZM118" s="383"/>
      <c r="CZN118" s="383"/>
      <c r="CZO118" s="383"/>
      <c r="CZP118" s="383"/>
      <c r="CZQ118" s="383"/>
      <c r="CZR118" s="383"/>
      <c r="CZS118" s="383"/>
      <c r="CZT118" s="383"/>
      <c r="CZU118" s="383"/>
      <c r="CZV118" s="383"/>
      <c r="CZW118" s="383"/>
      <c r="CZX118" s="383"/>
      <c r="CZY118" s="383"/>
      <c r="CZZ118" s="383"/>
      <c r="DAA118" s="383"/>
      <c r="DAB118" s="383"/>
      <c r="DAC118" s="383"/>
      <c r="DAD118" s="383"/>
      <c r="DAE118" s="383"/>
      <c r="DAF118" s="383"/>
      <c r="DAG118" s="383"/>
      <c r="DAH118" s="383"/>
      <c r="DAI118" s="383"/>
      <c r="DAJ118" s="383"/>
      <c r="DAK118" s="383"/>
      <c r="DAL118" s="383"/>
      <c r="DAM118" s="383"/>
      <c r="DAN118" s="383"/>
      <c r="DAO118" s="383"/>
      <c r="DAP118" s="383"/>
      <c r="DAQ118" s="383"/>
      <c r="DAR118" s="383"/>
      <c r="DAS118" s="383"/>
      <c r="DAT118" s="383"/>
      <c r="DAU118" s="383"/>
      <c r="DAV118" s="383"/>
      <c r="DAW118" s="383"/>
      <c r="DAX118" s="383"/>
      <c r="DAY118" s="383"/>
      <c r="DAZ118" s="383"/>
      <c r="DBA118" s="383"/>
      <c r="DBB118" s="383"/>
      <c r="DBC118" s="383"/>
      <c r="DBD118" s="383"/>
      <c r="DBE118" s="383"/>
      <c r="DBF118" s="383"/>
      <c r="DBG118" s="383"/>
      <c r="DBH118" s="383"/>
      <c r="DBI118" s="383"/>
      <c r="DBJ118" s="383"/>
      <c r="DBK118" s="383"/>
      <c r="DBL118" s="383"/>
      <c r="DBM118" s="383"/>
      <c r="DBN118" s="383"/>
      <c r="DBO118" s="383"/>
      <c r="DBP118" s="383"/>
      <c r="DBQ118" s="383"/>
      <c r="DBR118" s="383"/>
      <c r="DBS118" s="383"/>
      <c r="DBT118" s="383"/>
      <c r="DBU118" s="383"/>
      <c r="DBV118" s="383"/>
      <c r="DBW118" s="383"/>
      <c r="DBX118" s="383"/>
      <c r="DBY118" s="383"/>
      <c r="DBZ118" s="383"/>
      <c r="DCA118" s="383"/>
      <c r="DCB118" s="383"/>
      <c r="DCC118" s="383"/>
      <c r="DCD118" s="383"/>
      <c r="DCE118" s="383"/>
      <c r="DCF118" s="383"/>
      <c r="DCG118" s="383"/>
      <c r="DCH118" s="383"/>
      <c r="DCI118" s="383"/>
      <c r="DCJ118" s="383"/>
      <c r="DCK118" s="383"/>
      <c r="DCL118" s="383"/>
      <c r="DCM118" s="383"/>
      <c r="DCN118" s="383"/>
      <c r="DCO118" s="383"/>
      <c r="DCP118" s="383"/>
      <c r="DCQ118" s="383"/>
      <c r="DCR118" s="383"/>
      <c r="DCS118" s="383"/>
      <c r="DCT118" s="383"/>
      <c r="DCU118" s="383"/>
      <c r="DCV118" s="383"/>
      <c r="DCW118" s="383"/>
      <c r="DCX118" s="383"/>
      <c r="DCY118" s="383"/>
      <c r="DCZ118" s="383"/>
      <c r="DDA118" s="383"/>
      <c r="DDB118" s="383"/>
      <c r="DDC118" s="383"/>
      <c r="DDD118" s="383"/>
      <c r="DDE118" s="383"/>
      <c r="DDF118" s="383"/>
      <c r="DDG118" s="383"/>
      <c r="DDH118" s="383"/>
      <c r="DDI118" s="383"/>
      <c r="DDJ118" s="383"/>
      <c r="DDK118" s="383"/>
      <c r="DDL118" s="383"/>
      <c r="DDM118" s="383"/>
      <c r="DDN118" s="383"/>
      <c r="DDO118" s="383"/>
      <c r="DDP118" s="383"/>
      <c r="DDQ118" s="383"/>
      <c r="DDR118" s="383"/>
      <c r="DDS118" s="383"/>
      <c r="DDT118" s="383"/>
      <c r="DDU118" s="383"/>
      <c r="DDV118" s="383"/>
      <c r="DDW118" s="383"/>
      <c r="DDX118" s="383"/>
      <c r="DDY118" s="383"/>
      <c r="DDZ118" s="383"/>
      <c r="DEA118" s="383"/>
      <c r="DEB118" s="383"/>
      <c r="DEC118" s="383"/>
      <c r="DED118" s="383"/>
      <c r="DEE118" s="383"/>
      <c r="DEF118" s="383"/>
      <c r="DEG118" s="383"/>
      <c r="DEH118" s="383"/>
      <c r="DEI118" s="383"/>
      <c r="DEJ118" s="383"/>
      <c r="DEK118" s="383"/>
      <c r="DEL118" s="383"/>
      <c r="DEM118" s="383"/>
      <c r="DEN118" s="383"/>
      <c r="DEO118" s="383"/>
      <c r="DEP118" s="383"/>
      <c r="DEQ118" s="383"/>
      <c r="DER118" s="383"/>
      <c r="DES118" s="383"/>
      <c r="DET118" s="383"/>
      <c r="DEU118" s="383"/>
      <c r="DEV118" s="383"/>
      <c r="DEW118" s="383"/>
      <c r="DEX118" s="383"/>
      <c r="DEY118" s="383"/>
      <c r="DEZ118" s="383"/>
      <c r="DFA118" s="383"/>
      <c r="DFB118" s="383"/>
      <c r="DFC118" s="383"/>
      <c r="DFD118" s="383"/>
      <c r="DFE118" s="383"/>
      <c r="DFF118" s="383"/>
      <c r="DFG118" s="383"/>
      <c r="DFH118" s="383"/>
      <c r="DFI118" s="383"/>
      <c r="DFJ118" s="383"/>
      <c r="DFK118" s="383"/>
      <c r="DFL118" s="383"/>
      <c r="DFM118" s="383"/>
      <c r="DFN118" s="383"/>
      <c r="DFO118" s="383"/>
      <c r="DFP118" s="383"/>
      <c r="DFQ118" s="383"/>
      <c r="DFR118" s="383"/>
      <c r="DFS118" s="383"/>
      <c r="DFT118" s="383"/>
      <c r="DFU118" s="383"/>
      <c r="DFV118" s="383"/>
      <c r="DFW118" s="383"/>
      <c r="DFX118" s="383"/>
      <c r="DFY118" s="383"/>
      <c r="DFZ118" s="383"/>
      <c r="DGA118" s="383"/>
      <c r="DGB118" s="383"/>
      <c r="DGC118" s="383"/>
      <c r="DGD118" s="383"/>
      <c r="DGE118" s="383"/>
      <c r="DGF118" s="383"/>
      <c r="DGG118" s="383"/>
      <c r="DGH118" s="383"/>
      <c r="DGI118" s="383"/>
      <c r="DGJ118" s="383"/>
      <c r="DGK118" s="383"/>
      <c r="DGL118" s="383"/>
      <c r="DGM118" s="383"/>
      <c r="DGN118" s="383"/>
      <c r="DGO118" s="383"/>
      <c r="DGP118" s="383"/>
      <c r="DGQ118" s="383"/>
      <c r="DGR118" s="383"/>
      <c r="DGS118" s="383"/>
      <c r="DGT118" s="383"/>
      <c r="DGU118" s="383"/>
      <c r="DGV118" s="383"/>
      <c r="DGW118" s="383"/>
      <c r="DGX118" s="383"/>
      <c r="DGY118" s="383"/>
      <c r="DGZ118" s="383"/>
      <c r="DHA118" s="383"/>
      <c r="DHB118" s="383"/>
      <c r="DHC118" s="383"/>
      <c r="DHD118" s="383"/>
      <c r="DHE118" s="383"/>
      <c r="DHF118" s="383"/>
      <c r="DHG118" s="383"/>
      <c r="DHH118" s="383"/>
      <c r="DHI118" s="383"/>
      <c r="DHJ118" s="383"/>
      <c r="DHK118" s="383"/>
      <c r="DHL118" s="383"/>
      <c r="DHM118" s="383"/>
      <c r="DHN118" s="383"/>
      <c r="DHO118" s="383"/>
      <c r="DHP118" s="383"/>
      <c r="DHQ118" s="383"/>
      <c r="DHR118" s="383"/>
      <c r="DHS118" s="383"/>
      <c r="DHT118" s="383"/>
      <c r="DHU118" s="383"/>
      <c r="DHV118" s="383"/>
      <c r="DHW118" s="383"/>
      <c r="DHX118" s="383"/>
      <c r="DHY118" s="383"/>
      <c r="DHZ118" s="383"/>
      <c r="DIA118" s="383"/>
      <c r="DIB118" s="383"/>
      <c r="DIC118" s="383"/>
      <c r="DID118" s="383"/>
      <c r="DIE118" s="383"/>
      <c r="DIF118" s="383"/>
      <c r="DIG118" s="383"/>
      <c r="DIH118" s="383"/>
      <c r="DII118" s="383"/>
      <c r="DIJ118" s="383"/>
      <c r="DIK118" s="383"/>
      <c r="DIL118" s="383"/>
      <c r="DIM118" s="383"/>
      <c r="DIN118" s="383"/>
      <c r="DIO118" s="383"/>
      <c r="DIP118" s="383"/>
      <c r="DIQ118" s="383"/>
      <c r="DIR118" s="383"/>
      <c r="DIS118" s="383"/>
      <c r="DIT118" s="383"/>
      <c r="DIU118" s="383"/>
      <c r="DIV118" s="383"/>
      <c r="DIW118" s="383"/>
      <c r="DIX118" s="383"/>
      <c r="DIY118" s="383"/>
      <c r="DIZ118" s="383"/>
      <c r="DJA118" s="383"/>
      <c r="DJB118" s="383"/>
      <c r="DJC118" s="383"/>
      <c r="DJD118" s="383"/>
      <c r="DJE118" s="383"/>
      <c r="DJF118" s="383"/>
      <c r="DJG118" s="383"/>
      <c r="DJH118" s="383"/>
      <c r="DJI118" s="383"/>
      <c r="DJJ118" s="383"/>
      <c r="DJK118" s="383"/>
      <c r="DJL118" s="383"/>
      <c r="DJM118" s="383"/>
      <c r="DJN118" s="383"/>
      <c r="DJO118" s="383"/>
      <c r="DJP118" s="383"/>
      <c r="DJQ118" s="383"/>
      <c r="DJR118" s="383"/>
      <c r="DJS118" s="383"/>
      <c r="DJT118" s="383"/>
      <c r="DJU118" s="383"/>
      <c r="DJV118" s="383"/>
      <c r="DJW118" s="383"/>
      <c r="DJX118" s="383"/>
      <c r="DJY118" s="383"/>
      <c r="DJZ118" s="383"/>
      <c r="DKA118" s="383"/>
      <c r="DKB118" s="383"/>
      <c r="DKC118" s="383"/>
      <c r="DKD118" s="383"/>
      <c r="DKE118" s="383"/>
      <c r="DKF118" s="383"/>
      <c r="DKG118" s="383"/>
      <c r="DKH118" s="383"/>
      <c r="DKI118" s="383"/>
      <c r="DKJ118" s="383"/>
      <c r="DKK118" s="383"/>
      <c r="DKL118" s="383"/>
      <c r="DKM118" s="383"/>
      <c r="DKN118" s="383"/>
      <c r="DKO118" s="383"/>
      <c r="DKP118" s="383"/>
      <c r="DKQ118" s="383"/>
      <c r="DKR118" s="383"/>
      <c r="DKS118" s="383"/>
      <c r="DKT118" s="383"/>
      <c r="DKU118" s="383"/>
      <c r="DKV118" s="383"/>
      <c r="DKW118" s="383"/>
      <c r="DKX118" s="383"/>
      <c r="DKY118" s="383"/>
      <c r="DKZ118" s="383"/>
      <c r="DLA118" s="383"/>
      <c r="DLB118" s="383"/>
      <c r="DLC118" s="383"/>
      <c r="DLD118" s="383"/>
      <c r="DLE118" s="383"/>
      <c r="DLF118" s="383"/>
      <c r="DLG118" s="383"/>
      <c r="DLH118" s="383"/>
      <c r="DLI118" s="383"/>
      <c r="DLJ118" s="383"/>
      <c r="DLK118" s="383"/>
      <c r="DLL118" s="383"/>
      <c r="DLM118" s="383"/>
      <c r="DLN118" s="383"/>
      <c r="DLO118" s="383"/>
      <c r="DLP118" s="383"/>
      <c r="DLQ118" s="383"/>
      <c r="DLR118" s="383"/>
      <c r="DLS118" s="383"/>
      <c r="DLT118" s="383"/>
      <c r="DLU118" s="383"/>
      <c r="DLV118" s="383"/>
      <c r="DLW118" s="383"/>
      <c r="DLX118" s="383"/>
      <c r="DLY118" s="383"/>
      <c r="DLZ118" s="383"/>
      <c r="DMA118" s="383"/>
      <c r="DMB118" s="383"/>
      <c r="DMC118" s="383"/>
      <c r="DMD118" s="383"/>
      <c r="DME118" s="383"/>
      <c r="DMF118" s="383"/>
      <c r="DMG118" s="383"/>
      <c r="DMH118" s="383"/>
      <c r="DMI118" s="383"/>
      <c r="DMJ118" s="383"/>
      <c r="DMK118" s="383"/>
      <c r="DML118" s="383"/>
      <c r="DMM118" s="383"/>
      <c r="DMN118" s="383"/>
      <c r="DMO118" s="383"/>
      <c r="DMP118" s="383"/>
      <c r="DMQ118" s="383"/>
      <c r="DMR118" s="383"/>
      <c r="DMS118" s="383"/>
      <c r="DMT118" s="383"/>
      <c r="DMU118" s="383"/>
      <c r="DMV118" s="383"/>
      <c r="DMW118" s="383"/>
      <c r="DMX118" s="383"/>
      <c r="DMY118" s="383"/>
      <c r="DMZ118" s="383"/>
      <c r="DNA118" s="383"/>
      <c r="DNB118" s="383"/>
      <c r="DNC118" s="383"/>
      <c r="DND118" s="383"/>
      <c r="DNE118" s="383"/>
      <c r="DNF118" s="383"/>
      <c r="DNG118" s="383"/>
      <c r="DNH118" s="383"/>
      <c r="DNI118" s="383"/>
      <c r="DNJ118" s="383"/>
      <c r="DNK118" s="383"/>
      <c r="DNL118" s="383"/>
      <c r="DNM118" s="383"/>
      <c r="DNN118" s="383"/>
      <c r="DNO118" s="383"/>
      <c r="DNP118" s="383"/>
      <c r="DNQ118" s="383"/>
      <c r="DNR118" s="383"/>
      <c r="DNS118" s="383"/>
      <c r="DNT118" s="383"/>
      <c r="DNU118" s="383"/>
      <c r="DNV118" s="383"/>
      <c r="DNW118" s="383"/>
      <c r="DNX118" s="383"/>
      <c r="DNY118" s="383"/>
      <c r="DNZ118" s="383"/>
      <c r="DOA118" s="383"/>
      <c r="DOB118" s="383"/>
      <c r="DOC118" s="383"/>
      <c r="DOD118" s="383"/>
      <c r="DOE118" s="383"/>
      <c r="DOF118" s="383"/>
      <c r="DOG118" s="383"/>
      <c r="DOH118" s="383"/>
      <c r="DOI118" s="383"/>
      <c r="DOJ118" s="383"/>
      <c r="DOK118" s="383"/>
      <c r="DOL118" s="383"/>
      <c r="DOM118" s="383"/>
      <c r="DON118" s="383"/>
      <c r="DOO118" s="383"/>
      <c r="DOP118" s="383"/>
      <c r="DOQ118" s="383"/>
      <c r="DOR118" s="383"/>
      <c r="DOS118" s="383"/>
      <c r="DOT118" s="383"/>
      <c r="DOU118" s="383"/>
      <c r="DOV118" s="383"/>
      <c r="DOW118" s="383"/>
      <c r="DOX118" s="383"/>
      <c r="DOY118" s="383"/>
      <c r="DOZ118" s="383"/>
      <c r="DPA118" s="383"/>
      <c r="DPB118" s="383"/>
      <c r="DPC118" s="383"/>
      <c r="DPD118" s="383"/>
      <c r="DPE118" s="383"/>
      <c r="DPF118" s="383"/>
      <c r="DPG118" s="383"/>
      <c r="DPH118" s="383"/>
      <c r="DPI118" s="383"/>
      <c r="DPJ118" s="383"/>
      <c r="DPK118" s="383"/>
      <c r="DPL118" s="383"/>
      <c r="DPM118" s="383"/>
      <c r="DPN118" s="383"/>
      <c r="DPO118" s="383"/>
      <c r="DPP118" s="383"/>
      <c r="DPQ118" s="383"/>
      <c r="DPR118" s="383"/>
      <c r="DPS118" s="383"/>
      <c r="DPT118" s="383"/>
      <c r="DPU118" s="383"/>
      <c r="DPV118" s="383"/>
      <c r="DPW118" s="383"/>
      <c r="DPX118" s="383"/>
      <c r="DPY118" s="383"/>
      <c r="DPZ118" s="383"/>
      <c r="DQA118" s="383"/>
      <c r="DQB118" s="383"/>
      <c r="DQC118" s="383"/>
      <c r="DQD118" s="383"/>
      <c r="DQE118" s="383"/>
      <c r="DQF118" s="383"/>
      <c r="DQG118" s="383"/>
      <c r="DQH118" s="383"/>
      <c r="DQI118" s="383"/>
      <c r="DQJ118" s="383"/>
      <c r="DQK118" s="383"/>
      <c r="DQL118" s="383"/>
      <c r="DQM118" s="383"/>
      <c r="DQN118" s="383"/>
      <c r="DQO118" s="383"/>
      <c r="DQP118" s="383"/>
      <c r="DQQ118" s="383"/>
      <c r="DQR118" s="383"/>
      <c r="DQS118" s="383"/>
      <c r="DQT118" s="383"/>
      <c r="DQU118" s="383"/>
      <c r="DQV118" s="383"/>
      <c r="DQW118" s="383"/>
      <c r="DQX118" s="383"/>
      <c r="DQY118" s="383"/>
      <c r="DQZ118" s="383"/>
      <c r="DRA118" s="383"/>
      <c r="DRB118" s="383"/>
      <c r="DRC118" s="383"/>
      <c r="DRD118" s="383"/>
      <c r="DRE118" s="383"/>
      <c r="DRF118" s="383"/>
      <c r="DRG118" s="383"/>
      <c r="DRH118" s="383"/>
      <c r="DRI118" s="383"/>
      <c r="DRJ118" s="383"/>
      <c r="DRK118" s="383"/>
      <c r="DRL118" s="383"/>
      <c r="DRM118" s="383"/>
    </row>
    <row r="119" spans="1:3185" ht="30" customHeight="1">
      <c r="A119" s="387"/>
      <c r="B119" s="388"/>
      <c r="C119" s="389"/>
      <c r="D119" s="390"/>
      <c r="E119" s="391"/>
      <c r="F119" s="421"/>
      <c r="G119" s="396"/>
      <c r="H119" s="392"/>
      <c r="I119" s="422"/>
      <c r="J119" s="394"/>
      <c r="K119" s="411"/>
      <c r="O119" s="386"/>
      <c r="P119" s="386"/>
      <c r="Q119" s="386"/>
      <c r="R119" s="386"/>
      <c r="S119" s="386"/>
      <c r="T119" s="386"/>
      <c r="U119" s="386"/>
      <c r="V119" s="386"/>
      <c r="W119" s="386"/>
      <c r="X119" s="386"/>
      <c r="Y119" s="386"/>
      <c r="Z119" s="386"/>
      <c r="AA119" s="386"/>
      <c r="AB119" s="386"/>
      <c r="AC119" s="386"/>
      <c r="AD119" s="386"/>
      <c r="AE119" s="386"/>
      <c r="AF119" s="386"/>
      <c r="AG119" s="386"/>
      <c r="AH119" s="386"/>
      <c r="AI119" s="386"/>
      <c r="AJ119" s="386"/>
      <c r="AK119" s="386"/>
      <c r="AL119" s="386"/>
      <c r="AM119" s="386"/>
      <c r="AN119" s="386"/>
      <c r="AO119" s="386"/>
      <c r="AP119" s="386"/>
      <c r="AQ119" s="386"/>
      <c r="AR119" s="386"/>
      <c r="AS119" s="386"/>
      <c r="AT119" s="386"/>
      <c r="AU119" s="386"/>
      <c r="AV119" s="386"/>
      <c r="AW119" s="386"/>
      <c r="AX119" s="386"/>
      <c r="AY119" s="386"/>
      <c r="AZ119" s="386"/>
      <c r="BA119" s="386"/>
      <c r="BB119" s="386"/>
      <c r="BC119" s="386"/>
      <c r="BD119" s="386"/>
      <c r="BE119" s="386"/>
      <c r="BF119" s="386"/>
      <c r="BG119" s="386"/>
      <c r="BH119" s="386"/>
      <c r="BI119" s="386"/>
      <c r="BJ119" s="386"/>
      <c r="BK119" s="386"/>
      <c r="BL119" s="386"/>
      <c r="BM119" s="386"/>
      <c r="BN119" s="386"/>
      <c r="BO119" s="386"/>
      <c r="BP119" s="386"/>
      <c r="BQ119" s="386"/>
      <c r="BR119" s="386"/>
      <c r="BS119" s="386"/>
      <c r="BT119" s="386"/>
      <c r="BU119" s="386"/>
      <c r="BV119" s="386"/>
      <c r="BW119" s="386"/>
      <c r="BX119" s="386"/>
      <c r="BY119" s="386"/>
      <c r="BZ119" s="386"/>
      <c r="CA119" s="386"/>
      <c r="CB119" s="386"/>
      <c r="CC119" s="386"/>
      <c r="CD119" s="386"/>
      <c r="CE119" s="386"/>
      <c r="CF119" s="386"/>
      <c r="CG119" s="386"/>
      <c r="CH119" s="386"/>
      <c r="CI119" s="386"/>
      <c r="CJ119" s="386"/>
      <c r="CK119" s="386"/>
      <c r="CL119" s="386"/>
      <c r="CM119" s="386"/>
      <c r="CN119" s="386"/>
      <c r="CO119" s="386"/>
      <c r="CP119" s="386"/>
      <c r="CQ119" s="386"/>
      <c r="CR119" s="386"/>
      <c r="CS119" s="386"/>
      <c r="CT119" s="386"/>
      <c r="CU119" s="386"/>
      <c r="CV119" s="386"/>
      <c r="CW119" s="386"/>
      <c r="CX119" s="386"/>
      <c r="CY119" s="386"/>
      <c r="CZ119" s="386"/>
      <c r="DA119" s="386"/>
      <c r="DB119" s="386"/>
      <c r="DC119" s="386"/>
      <c r="DD119" s="386"/>
      <c r="DE119" s="386"/>
      <c r="DF119" s="386"/>
      <c r="DG119" s="386"/>
      <c r="DH119" s="386"/>
      <c r="DI119" s="386"/>
      <c r="DJ119" s="386"/>
      <c r="DK119" s="386"/>
      <c r="DL119" s="386"/>
      <c r="DM119" s="386"/>
      <c r="DN119" s="386"/>
      <c r="DO119" s="386"/>
      <c r="DP119" s="386"/>
      <c r="DQ119" s="386"/>
      <c r="DR119" s="386"/>
      <c r="DS119" s="386"/>
      <c r="DT119" s="386"/>
      <c r="DU119" s="386"/>
      <c r="DV119" s="386"/>
      <c r="DW119" s="386"/>
      <c r="DX119" s="386"/>
      <c r="DY119" s="386"/>
      <c r="DZ119" s="386"/>
      <c r="EA119" s="386"/>
      <c r="EB119" s="386"/>
      <c r="EC119" s="386"/>
      <c r="ED119" s="386"/>
      <c r="EE119" s="386"/>
      <c r="EF119" s="386"/>
      <c r="EG119" s="386"/>
      <c r="EH119" s="386"/>
      <c r="EI119" s="386"/>
      <c r="EJ119" s="386"/>
      <c r="EK119" s="386"/>
      <c r="EL119" s="386"/>
      <c r="EM119" s="386"/>
      <c r="EN119" s="386"/>
      <c r="EO119" s="386"/>
      <c r="EP119" s="386"/>
      <c r="EQ119" s="386"/>
      <c r="ER119" s="386"/>
      <c r="ES119" s="386"/>
      <c r="ET119" s="386"/>
      <c r="EU119" s="386"/>
      <c r="EV119" s="386"/>
      <c r="EW119" s="386"/>
      <c r="EX119" s="386"/>
      <c r="EY119" s="386"/>
      <c r="EZ119" s="386"/>
      <c r="FA119" s="386"/>
      <c r="FB119" s="386"/>
      <c r="FC119" s="386"/>
      <c r="FD119" s="386"/>
      <c r="FE119" s="386"/>
      <c r="FF119" s="386"/>
      <c r="FG119" s="386"/>
      <c r="FH119" s="386"/>
      <c r="FI119" s="386"/>
      <c r="FJ119" s="386"/>
      <c r="FK119" s="386"/>
      <c r="FL119" s="386"/>
      <c r="FM119" s="386"/>
      <c r="FN119" s="386"/>
      <c r="FO119" s="386"/>
      <c r="FP119" s="386"/>
      <c r="FQ119" s="386"/>
      <c r="FR119" s="386"/>
      <c r="FS119" s="386"/>
      <c r="FT119" s="386"/>
      <c r="FU119" s="386"/>
      <c r="FV119" s="386"/>
      <c r="FW119" s="386"/>
      <c r="FX119" s="386"/>
      <c r="FY119" s="386"/>
      <c r="FZ119" s="386"/>
      <c r="GA119" s="386"/>
      <c r="GB119" s="386"/>
      <c r="GC119" s="386"/>
      <c r="GD119" s="386"/>
      <c r="GE119" s="386"/>
      <c r="GF119" s="386"/>
      <c r="GG119" s="386"/>
      <c r="GH119" s="386"/>
      <c r="GI119" s="386"/>
      <c r="GJ119" s="386"/>
      <c r="GK119" s="386"/>
      <c r="GL119" s="386"/>
      <c r="GM119" s="386"/>
      <c r="GN119" s="386"/>
      <c r="GO119" s="386"/>
      <c r="GP119" s="386"/>
      <c r="GQ119" s="386"/>
      <c r="GR119" s="386"/>
      <c r="GS119" s="386"/>
      <c r="GT119" s="386"/>
      <c r="GU119" s="386"/>
      <c r="GV119" s="386"/>
      <c r="GW119" s="386"/>
      <c r="GX119" s="386"/>
      <c r="GY119" s="386"/>
      <c r="GZ119" s="386"/>
      <c r="HA119" s="386"/>
      <c r="HB119" s="386"/>
      <c r="HC119" s="386"/>
      <c r="HD119" s="386"/>
      <c r="HE119" s="386"/>
      <c r="HF119" s="386"/>
      <c r="HG119" s="386"/>
      <c r="HH119" s="386"/>
      <c r="HI119" s="386"/>
      <c r="HJ119" s="386"/>
      <c r="HK119" s="386"/>
      <c r="HL119" s="386"/>
      <c r="HM119" s="386"/>
      <c r="HN119" s="386"/>
      <c r="HO119" s="386"/>
      <c r="HP119" s="386"/>
      <c r="HQ119" s="386"/>
      <c r="HR119" s="386"/>
      <c r="HS119" s="386"/>
      <c r="HT119" s="386"/>
      <c r="HU119" s="386"/>
      <c r="HV119" s="386"/>
      <c r="HW119" s="386"/>
      <c r="HX119" s="386"/>
      <c r="HY119" s="386"/>
      <c r="HZ119" s="386"/>
      <c r="IA119" s="386"/>
      <c r="IB119" s="386"/>
      <c r="IC119" s="386"/>
      <c r="ID119" s="386"/>
      <c r="IE119" s="386"/>
      <c r="IF119" s="386"/>
      <c r="IG119" s="386"/>
      <c r="IH119" s="386"/>
      <c r="II119" s="386"/>
      <c r="IJ119" s="386"/>
      <c r="IK119" s="386"/>
      <c r="IL119" s="386"/>
      <c r="IM119" s="386"/>
      <c r="IN119" s="386"/>
      <c r="IO119" s="386"/>
      <c r="IP119" s="386"/>
      <c r="IQ119" s="386"/>
      <c r="IR119" s="386"/>
      <c r="IS119" s="386"/>
      <c r="IT119" s="386"/>
      <c r="IU119" s="386"/>
      <c r="IV119" s="386"/>
      <c r="IW119" s="386"/>
      <c r="IX119" s="386"/>
      <c r="IY119" s="386"/>
      <c r="IZ119" s="386"/>
      <c r="JA119" s="386"/>
      <c r="JB119" s="386"/>
      <c r="JC119" s="386"/>
      <c r="JD119" s="386"/>
      <c r="JE119" s="386"/>
      <c r="JF119" s="386"/>
      <c r="JG119" s="386"/>
      <c r="JH119" s="386"/>
      <c r="JI119" s="386"/>
      <c r="JJ119" s="386"/>
      <c r="JK119" s="386"/>
      <c r="JL119" s="386"/>
      <c r="JM119" s="386"/>
      <c r="JN119" s="386"/>
      <c r="JO119" s="386"/>
      <c r="JP119" s="386"/>
      <c r="JQ119" s="386"/>
      <c r="JR119" s="386"/>
      <c r="JS119" s="386"/>
      <c r="JT119" s="386"/>
      <c r="JU119" s="386"/>
      <c r="JV119" s="386"/>
      <c r="JW119" s="386"/>
      <c r="JX119" s="386"/>
      <c r="JY119" s="386"/>
      <c r="JZ119" s="386"/>
      <c r="KA119" s="386"/>
      <c r="KB119" s="386"/>
      <c r="KC119" s="386"/>
      <c r="KD119" s="386"/>
      <c r="KE119" s="386"/>
      <c r="KF119" s="386"/>
      <c r="KG119" s="386"/>
      <c r="KH119" s="386"/>
      <c r="KI119" s="386"/>
      <c r="KJ119" s="386"/>
      <c r="KK119" s="386"/>
      <c r="KL119" s="386"/>
      <c r="KM119" s="386"/>
      <c r="KN119" s="386"/>
      <c r="KO119" s="386"/>
      <c r="KP119" s="386"/>
      <c r="KQ119" s="386"/>
      <c r="KR119" s="386"/>
      <c r="KS119" s="386"/>
      <c r="KT119" s="386"/>
      <c r="KU119" s="386"/>
      <c r="KV119" s="386"/>
      <c r="KW119" s="386"/>
      <c r="KX119" s="386"/>
      <c r="KY119" s="386"/>
      <c r="KZ119" s="386"/>
      <c r="LA119" s="386"/>
      <c r="LB119" s="386"/>
      <c r="LC119" s="386"/>
      <c r="LD119" s="386"/>
      <c r="LE119" s="386"/>
      <c r="LF119" s="386"/>
      <c r="LG119" s="386"/>
      <c r="LH119" s="386"/>
      <c r="LI119" s="386"/>
      <c r="LJ119" s="386"/>
      <c r="LK119" s="386"/>
      <c r="LL119" s="386"/>
      <c r="LM119" s="386"/>
      <c r="LN119" s="386"/>
      <c r="LO119" s="386"/>
      <c r="LP119" s="386"/>
      <c r="LQ119" s="386"/>
      <c r="LR119" s="386"/>
      <c r="LS119" s="386"/>
      <c r="LT119" s="386"/>
      <c r="LU119" s="386"/>
      <c r="LV119" s="386"/>
      <c r="LW119" s="386"/>
      <c r="LX119" s="386"/>
      <c r="LY119" s="386"/>
      <c r="LZ119" s="386"/>
      <c r="MA119" s="386"/>
      <c r="MB119" s="386"/>
      <c r="MC119" s="386"/>
      <c r="MD119" s="386"/>
      <c r="ME119" s="386"/>
      <c r="MF119" s="386"/>
      <c r="MG119" s="386"/>
      <c r="MH119" s="386"/>
      <c r="MI119" s="386"/>
      <c r="MJ119" s="386"/>
      <c r="MK119" s="386"/>
      <c r="ML119" s="386"/>
      <c r="MM119" s="386"/>
      <c r="MN119" s="386"/>
      <c r="MO119" s="386"/>
      <c r="MP119" s="386"/>
      <c r="MQ119" s="386"/>
      <c r="MR119" s="386"/>
      <c r="MS119" s="386"/>
      <c r="MT119" s="386"/>
      <c r="MU119" s="386"/>
      <c r="MV119" s="386"/>
      <c r="MW119" s="386"/>
      <c r="MX119" s="386"/>
      <c r="MY119" s="386"/>
      <c r="MZ119" s="386"/>
      <c r="NA119" s="386"/>
      <c r="NB119" s="386"/>
      <c r="NC119" s="386"/>
      <c r="ND119" s="386"/>
      <c r="NE119" s="386"/>
      <c r="NF119" s="386"/>
      <c r="NG119" s="386"/>
      <c r="NH119" s="386"/>
      <c r="NI119" s="386"/>
      <c r="NJ119" s="386"/>
      <c r="NK119" s="386"/>
      <c r="NL119" s="386"/>
      <c r="NM119" s="386"/>
      <c r="NN119" s="386"/>
      <c r="NO119" s="386"/>
      <c r="NP119" s="386"/>
      <c r="NQ119" s="386"/>
      <c r="NR119" s="386"/>
      <c r="NS119" s="386"/>
      <c r="NT119" s="386"/>
      <c r="NU119" s="386"/>
      <c r="NV119" s="386"/>
      <c r="NW119" s="386"/>
      <c r="NX119" s="386"/>
      <c r="NY119" s="386"/>
      <c r="NZ119" s="386"/>
      <c r="OA119" s="386"/>
      <c r="OB119" s="386"/>
      <c r="OC119" s="386"/>
      <c r="OD119" s="386"/>
      <c r="OE119" s="386"/>
      <c r="OF119" s="386"/>
      <c r="OG119" s="386"/>
      <c r="OH119" s="386"/>
      <c r="OI119" s="386"/>
      <c r="OJ119" s="386"/>
      <c r="OK119" s="386"/>
      <c r="OL119" s="386"/>
      <c r="OM119" s="386"/>
      <c r="ON119" s="386"/>
      <c r="OO119" s="386"/>
      <c r="OP119" s="386"/>
      <c r="OQ119" s="386"/>
      <c r="OR119" s="386"/>
      <c r="OS119" s="386"/>
      <c r="OT119" s="386"/>
      <c r="OU119" s="386"/>
      <c r="OV119" s="386"/>
      <c r="OW119" s="386"/>
      <c r="OX119" s="386"/>
      <c r="OY119" s="386"/>
      <c r="OZ119" s="386"/>
      <c r="PA119" s="386"/>
      <c r="PB119" s="386"/>
      <c r="PC119" s="386"/>
      <c r="PD119" s="386"/>
      <c r="PE119" s="386"/>
      <c r="PF119" s="386"/>
      <c r="PG119" s="386"/>
      <c r="PH119" s="386"/>
      <c r="PI119" s="386"/>
      <c r="PJ119" s="386"/>
      <c r="PK119" s="386"/>
      <c r="PL119" s="386"/>
      <c r="PM119" s="386"/>
      <c r="PN119" s="386"/>
      <c r="PO119" s="386"/>
      <c r="PP119" s="386"/>
      <c r="PQ119" s="386"/>
      <c r="PR119" s="386"/>
      <c r="PS119" s="386"/>
      <c r="PT119" s="386"/>
      <c r="PU119" s="386"/>
      <c r="PV119" s="386"/>
      <c r="PW119" s="386"/>
      <c r="PX119" s="386"/>
      <c r="PY119" s="386"/>
      <c r="PZ119" s="386"/>
      <c r="QA119" s="386"/>
      <c r="QB119" s="386"/>
      <c r="QC119" s="386"/>
      <c r="QD119" s="386"/>
      <c r="QE119" s="386"/>
      <c r="QF119" s="386"/>
      <c r="QG119" s="386"/>
      <c r="QH119" s="386"/>
      <c r="QI119" s="386"/>
      <c r="QJ119" s="386"/>
      <c r="QK119" s="386"/>
      <c r="QL119" s="386"/>
      <c r="QM119" s="386"/>
      <c r="QN119" s="386"/>
      <c r="QO119" s="386"/>
      <c r="QP119" s="386"/>
      <c r="QQ119" s="386"/>
      <c r="QR119" s="386"/>
      <c r="QS119" s="386"/>
      <c r="QT119" s="386"/>
      <c r="QU119" s="386"/>
      <c r="QV119" s="386"/>
      <c r="QW119" s="386"/>
      <c r="QX119" s="386"/>
      <c r="QY119" s="386"/>
      <c r="QZ119" s="386"/>
      <c r="RA119" s="386"/>
      <c r="RB119" s="386"/>
      <c r="RC119" s="386"/>
      <c r="RD119" s="386"/>
      <c r="RE119" s="386"/>
      <c r="RF119" s="386"/>
      <c r="RG119" s="386"/>
      <c r="RH119" s="386"/>
      <c r="RI119" s="386"/>
      <c r="RJ119" s="386"/>
      <c r="RK119" s="386"/>
      <c r="RL119" s="386"/>
      <c r="RM119" s="386"/>
      <c r="RN119" s="386"/>
      <c r="RO119" s="386"/>
      <c r="RP119" s="386"/>
      <c r="RQ119" s="386"/>
      <c r="RR119" s="386"/>
      <c r="RS119" s="386"/>
      <c r="RT119" s="386"/>
      <c r="RU119" s="386"/>
      <c r="RV119" s="386"/>
      <c r="RW119" s="386"/>
      <c r="RX119" s="386"/>
      <c r="RY119" s="386"/>
      <c r="RZ119" s="386"/>
      <c r="SA119" s="386"/>
      <c r="SB119" s="386"/>
      <c r="SC119" s="386"/>
      <c r="SD119" s="386"/>
      <c r="SE119" s="386"/>
      <c r="SF119" s="386"/>
      <c r="SG119" s="386"/>
      <c r="SH119" s="386"/>
      <c r="SI119" s="386"/>
      <c r="SJ119" s="386"/>
      <c r="SK119" s="386"/>
      <c r="SL119" s="386"/>
      <c r="SM119" s="386"/>
      <c r="SN119" s="386"/>
      <c r="SO119" s="386"/>
      <c r="SP119" s="386"/>
      <c r="SQ119" s="386"/>
      <c r="SR119" s="386"/>
      <c r="SS119" s="386"/>
      <c r="ST119" s="386"/>
      <c r="SU119" s="386"/>
      <c r="SV119" s="386"/>
      <c r="SW119" s="386"/>
      <c r="SX119" s="386"/>
      <c r="SY119" s="386"/>
      <c r="SZ119" s="386"/>
      <c r="TA119" s="386"/>
      <c r="TB119" s="386"/>
      <c r="TC119" s="386"/>
      <c r="TD119" s="386"/>
      <c r="TE119" s="386"/>
      <c r="TF119" s="386"/>
      <c r="TG119" s="386"/>
      <c r="TH119" s="386"/>
      <c r="TI119" s="386"/>
      <c r="TJ119" s="386"/>
      <c r="TK119" s="386"/>
      <c r="TL119" s="386"/>
      <c r="TM119" s="386"/>
      <c r="TN119" s="386"/>
      <c r="TO119" s="386"/>
      <c r="TP119" s="386"/>
      <c r="TQ119" s="386"/>
      <c r="TR119" s="386"/>
      <c r="TS119" s="386"/>
      <c r="TT119" s="386"/>
      <c r="TU119" s="386"/>
      <c r="TV119" s="386"/>
      <c r="TW119" s="386"/>
      <c r="TX119" s="386"/>
      <c r="TY119" s="386"/>
      <c r="TZ119" s="386"/>
      <c r="UA119" s="386"/>
      <c r="UB119" s="386"/>
      <c r="UC119" s="386"/>
      <c r="UD119" s="386"/>
      <c r="UE119" s="386"/>
      <c r="UF119" s="386"/>
      <c r="UG119" s="386"/>
      <c r="UH119" s="386"/>
      <c r="UI119" s="386"/>
      <c r="UJ119" s="386"/>
      <c r="UK119" s="386"/>
      <c r="UL119" s="386"/>
      <c r="UM119" s="386"/>
      <c r="UN119" s="386"/>
      <c r="UO119" s="386"/>
      <c r="UP119" s="386"/>
      <c r="UQ119" s="386"/>
      <c r="UR119" s="386"/>
      <c r="US119" s="386"/>
      <c r="UT119" s="386"/>
      <c r="UU119" s="386"/>
      <c r="UV119" s="386"/>
      <c r="UW119" s="386"/>
      <c r="UX119" s="386"/>
      <c r="UY119" s="386"/>
      <c r="UZ119" s="386"/>
      <c r="VA119" s="386"/>
      <c r="VB119" s="386"/>
      <c r="VC119" s="386"/>
      <c r="VD119" s="386"/>
      <c r="VE119" s="386"/>
      <c r="VF119" s="386"/>
      <c r="VG119" s="386"/>
      <c r="VH119" s="386"/>
      <c r="VI119" s="386"/>
      <c r="VJ119" s="386"/>
      <c r="VK119" s="386"/>
      <c r="VL119" s="386"/>
      <c r="VM119" s="386"/>
      <c r="VN119" s="386"/>
      <c r="VO119" s="386"/>
      <c r="VP119" s="386"/>
      <c r="VQ119" s="386"/>
      <c r="VR119" s="386"/>
      <c r="VS119" s="386"/>
      <c r="VT119" s="386"/>
      <c r="VU119" s="386"/>
      <c r="VV119" s="386"/>
      <c r="VW119" s="386"/>
      <c r="VX119" s="386"/>
      <c r="VY119" s="386"/>
      <c r="VZ119" s="386"/>
      <c r="WA119" s="386"/>
      <c r="WB119" s="386"/>
      <c r="WC119" s="386"/>
      <c r="WD119" s="386"/>
      <c r="WE119" s="386"/>
      <c r="WF119" s="386"/>
      <c r="WG119" s="386"/>
      <c r="WH119" s="386"/>
      <c r="WI119" s="386"/>
      <c r="WJ119" s="386"/>
      <c r="WK119" s="386"/>
      <c r="WL119" s="386"/>
      <c r="WM119" s="386"/>
      <c r="WN119" s="386"/>
      <c r="WO119" s="386"/>
      <c r="WP119" s="386"/>
      <c r="WQ119" s="386"/>
      <c r="WR119" s="386"/>
      <c r="WS119" s="386"/>
      <c r="WT119" s="386"/>
      <c r="WU119" s="386"/>
      <c r="WV119" s="386"/>
      <c r="WW119" s="386"/>
      <c r="WX119" s="386"/>
      <c r="WY119" s="386"/>
      <c r="WZ119" s="386"/>
      <c r="XA119" s="386"/>
      <c r="XB119" s="386"/>
      <c r="XC119" s="386"/>
      <c r="XD119" s="386"/>
      <c r="XE119" s="386"/>
      <c r="XF119" s="386"/>
      <c r="XG119" s="386"/>
      <c r="XH119" s="386"/>
      <c r="XI119" s="386"/>
      <c r="XJ119" s="386"/>
      <c r="XK119" s="386"/>
      <c r="XL119" s="386"/>
      <c r="XM119" s="386"/>
      <c r="XN119" s="386"/>
      <c r="XO119" s="386"/>
      <c r="XP119" s="386"/>
      <c r="XQ119" s="386"/>
      <c r="XR119" s="386"/>
      <c r="XS119" s="386"/>
      <c r="XT119" s="386"/>
      <c r="XU119" s="386"/>
      <c r="XV119" s="386"/>
      <c r="XW119" s="386"/>
      <c r="XX119" s="386"/>
      <c r="XY119" s="386"/>
      <c r="XZ119" s="386"/>
      <c r="YA119" s="386"/>
      <c r="YB119" s="386"/>
      <c r="YC119" s="386"/>
      <c r="YD119" s="386"/>
      <c r="YE119" s="386"/>
      <c r="YF119" s="386"/>
      <c r="YG119" s="386"/>
      <c r="YH119" s="386"/>
      <c r="YI119" s="386"/>
      <c r="YJ119" s="386"/>
      <c r="YK119" s="386"/>
      <c r="YL119" s="386"/>
      <c r="YM119" s="386"/>
      <c r="YN119" s="386"/>
      <c r="YO119" s="386"/>
      <c r="YP119" s="386"/>
      <c r="YQ119" s="386"/>
      <c r="YR119" s="386"/>
      <c r="YS119" s="386"/>
      <c r="YT119" s="386"/>
      <c r="YU119" s="386"/>
      <c r="YV119" s="386"/>
      <c r="YW119" s="386"/>
      <c r="YX119" s="386"/>
      <c r="YY119" s="386"/>
      <c r="YZ119" s="386"/>
      <c r="ZA119" s="386"/>
      <c r="ZB119" s="386"/>
      <c r="ZC119" s="386"/>
      <c r="ZD119" s="386"/>
      <c r="ZE119" s="386"/>
      <c r="ZF119" s="386"/>
      <c r="ZG119" s="386"/>
      <c r="ZH119" s="386"/>
      <c r="ZI119" s="386"/>
      <c r="ZJ119" s="386"/>
      <c r="ZK119" s="386"/>
      <c r="ZL119" s="386"/>
      <c r="ZM119" s="386"/>
      <c r="ZN119" s="386"/>
      <c r="ZO119" s="386"/>
      <c r="ZP119" s="386"/>
      <c r="ZQ119" s="386"/>
      <c r="ZR119" s="386"/>
      <c r="ZS119" s="386"/>
      <c r="ZT119" s="386"/>
      <c r="ZU119" s="386"/>
      <c r="ZV119" s="386"/>
      <c r="ZW119" s="386"/>
      <c r="ZX119" s="386"/>
      <c r="ZY119" s="386"/>
      <c r="ZZ119" s="386"/>
      <c r="AAA119" s="386"/>
      <c r="AAB119" s="386"/>
      <c r="AAC119" s="386"/>
      <c r="AAD119" s="386"/>
      <c r="AAE119" s="386"/>
      <c r="AAF119" s="386"/>
      <c r="AAG119" s="386"/>
      <c r="AAH119" s="386"/>
      <c r="AAI119" s="386"/>
      <c r="AAJ119" s="386"/>
      <c r="AAK119" s="386"/>
      <c r="AAL119" s="386"/>
      <c r="AAM119" s="386"/>
      <c r="AAN119" s="386"/>
      <c r="AAO119" s="386"/>
      <c r="AAP119" s="386"/>
      <c r="AAQ119" s="386"/>
      <c r="AAR119" s="386"/>
      <c r="AAS119" s="386"/>
      <c r="AAT119" s="386"/>
      <c r="AAU119" s="386"/>
      <c r="AAV119" s="386"/>
      <c r="AAW119" s="386"/>
      <c r="AAX119" s="386"/>
      <c r="AAY119" s="386"/>
      <c r="AAZ119" s="386"/>
      <c r="ABA119" s="386"/>
      <c r="ABB119" s="386"/>
      <c r="ABC119" s="386"/>
      <c r="ABD119" s="386"/>
      <c r="ABE119" s="386"/>
      <c r="ABF119" s="386"/>
      <c r="ABG119" s="386"/>
      <c r="ABH119" s="386"/>
      <c r="ABI119" s="386"/>
      <c r="ABJ119" s="386"/>
      <c r="ABK119" s="386"/>
      <c r="ABL119" s="386"/>
      <c r="ABM119" s="386"/>
      <c r="ABN119" s="386"/>
      <c r="ABO119" s="386"/>
      <c r="ABP119" s="386"/>
      <c r="ABQ119" s="386"/>
      <c r="ABR119" s="386"/>
      <c r="ABS119" s="386"/>
      <c r="ABT119" s="386"/>
      <c r="ABU119" s="386"/>
      <c r="ABV119" s="386"/>
      <c r="ABW119" s="386"/>
      <c r="ABX119" s="386"/>
      <c r="ABY119" s="386"/>
      <c r="ABZ119" s="386"/>
      <c r="ACA119" s="386"/>
      <c r="ACB119" s="386"/>
      <c r="ACC119" s="386"/>
      <c r="ACD119" s="386"/>
      <c r="ACE119" s="386"/>
      <c r="ACF119" s="386"/>
      <c r="ACG119" s="386"/>
      <c r="ACH119" s="386"/>
      <c r="ACI119" s="386"/>
      <c r="ACJ119" s="386"/>
      <c r="ACK119" s="386"/>
      <c r="ACL119" s="386"/>
      <c r="ACM119" s="386"/>
      <c r="ACN119" s="386"/>
      <c r="ACO119" s="386"/>
      <c r="ACP119" s="386"/>
      <c r="ACQ119" s="386"/>
      <c r="ACR119" s="386"/>
      <c r="ACS119" s="386"/>
      <c r="ACT119" s="386"/>
      <c r="ACU119" s="386"/>
      <c r="ACV119" s="386"/>
      <c r="ACW119" s="386"/>
      <c r="ACX119" s="386"/>
      <c r="ACY119" s="386"/>
      <c r="ACZ119" s="386"/>
      <c r="ADA119" s="386"/>
      <c r="ADB119" s="386"/>
      <c r="ADC119" s="386"/>
      <c r="ADD119" s="386"/>
      <c r="ADE119" s="386"/>
      <c r="ADF119" s="386"/>
      <c r="ADG119" s="386"/>
      <c r="ADH119" s="386"/>
      <c r="ADI119" s="386"/>
      <c r="ADJ119" s="386"/>
      <c r="ADK119" s="386"/>
      <c r="ADL119" s="386"/>
      <c r="ADM119" s="386"/>
      <c r="ADN119" s="386"/>
      <c r="ADO119" s="386"/>
      <c r="ADP119" s="386"/>
      <c r="ADQ119" s="386"/>
      <c r="ADR119" s="386"/>
      <c r="ADS119" s="386"/>
      <c r="ADT119" s="386"/>
      <c r="ADU119" s="386"/>
      <c r="ADV119" s="386"/>
      <c r="ADW119" s="386"/>
      <c r="ADX119" s="386"/>
      <c r="ADY119" s="386"/>
      <c r="ADZ119" s="386"/>
      <c r="AEA119" s="386"/>
      <c r="AEB119" s="386"/>
      <c r="AEC119" s="386"/>
      <c r="AED119" s="386"/>
      <c r="AEE119" s="386"/>
      <c r="AEF119" s="386"/>
      <c r="AEG119" s="386"/>
      <c r="AEH119" s="386"/>
      <c r="AEI119" s="386"/>
      <c r="AEJ119" s="386"/>
      <c r="AEK119" s="386"/>
      <c r="AEL119" s="386"/>
      <c r="AEM119" s="386"/>
      <c r="AEN119" s="386"/>
      <c r="AEO119" s="386"/>
      <c r="AEP119" s="386"/>
      <c r="AEQ119" s="386"/>
      <c r="AER119" s="386"/>
      <c r="AES119" s="386"/>
      <c r="AET119" s="386"/>
      <c r="AEU119" s="386"/>
      <c r="AEV119" s="386"/>
      <c r="AEW119" s="386"/>
      <c r="AEX119" s="386"/>
      <c r="AEY119" s="386"/>
      <c r="AEZ119" s="386"/>
      <c r="AFA119" s="386"/>
      <c r="AFB119" s="386"/>
      <c r="AFC119" s="386"/>
      <c r="AFD119" s="386"/>
      <c r="AFE119" s="386"/>
      <c r="AFF119" s="386"/>
      <c r="AFG119" s="386"/>
      <c r="AFH119" s="386"/>
      <c r="AFI119" s="386"/>
      <c r="AFJ119" s="386"/>
      <c r="AFK119" s="386"/>
      <c r="AFL119" s="386"/>
      <c r="AFM119" s="386"/>
      <c r="AFN119" s="386"/>
      <c r="AFO119" s="386"/>
      <c r="AFP119" s="386"/>
      <c r="AFQ119" s="386"/>
      <c r="AFR119" s="386"/>
      <c r="AFS119" s="386"/>
      <c r="AFT119" s="386"/>
      <c r="AFU119" s="386"/>
      <c r="AFV119" s="386"/>
      <c r="AFW119" s="386"/>
      <c r="AFX119" s="386"/>
      <c r="AFY119" s="386"/>
      <c r="AFZ119" s="386"/>
      <c r="AGA119" s="386"/>
      <c r="AGB119" s="386"/>
      <c r="AGC119" s="386"/>
      <c r="AGD119" s="386"/>
      <c r="AGE119" s="386"/>
      <c r="AGF119" s="386"/>
      <c r="AGG119" s="386"/>
      <c r="AGH119" s="386"/>
      <c r="AGI119" s="386"/>
      <c r="AGJ119" s="386"/>
      <c r="AGK119" s="386"/>
      <c r="AGL119" s="386"/>
      <c r="AGM119" s="386"/>
      <c r="AGN119" s="386"/>
      <c r="AGO119" s="386"/>
      <c r="AGP119" s="386"/>
      <c r="AGQ119" s="386"/>
      <c r="AGR119" s="386"/>
      <c r="AGS119" s="386"/>
      <c r="AGT119" s="386"/>
      <c r="AGU119" s="386"/>
      <c r="AGV119" s="386"/>
      <c r="AGW119" s="386"/>
      <c r="AGX119" s="386"/>
      <c r="AGY119" s="386"/>
      <c r="AGZ119" s="386"/>
      <c r="AHA119" s="386"/>
      <c r="AHB119" s="386"/>
      <c r="AHC119" s="386"/>
      <c r="AHD119" s="386"/>
      <c r="AHE119" s="386"/>
      <c r="AHF119" s="386"/>
      <c r="AHG119" s="386"/>
      <c r="AHH119" s="386"/>
      <c r="AHI119" s="386"/>
      <c r="AHJ119" s="386"/>
      <c r="AHK119" s="386"/>
      <c r="AHL119" s="386"/>
      <c r="AHM119" s="386"/>
      <c r="AHN119" s="386"/>
      <c r="AHO119" s="386"/>
      <c r="AHP119" s="386"/>
      <c r="AHQ119" s="386"/>
      <c r="AHR119" s="386"/>
      <c r="AHS119" s="386"/>
      <c r="AHT119" s="386"/>
      <c r="AHU119" s="386"/>
      <c r="AHV119" s="386"/>
      <c r="AHW119" s="386"/>
      <c r="AHX119" s="386"/>
      <c r="AHY119" s="386"/>
      <c r="AHZ119" s="386"/>
      <c r="AIA119" s="386"/>
      <c r="AIB119" s="386"/>
      <c r="AIC119" s="386"/>
      <c r="AID119" s="386"/>
      <c r="AIE119" s="386"/>
      <c r="AIF119" s="386"/>
      <c r="AIG119" s="386"/>
      <c r="AIH119" s="386"/>
      <c r="AII119" s="386"/>
      <c r="AIJ119" s="386"/>
      <c r="AIK119" s="386"/>
      <c r="AIL119" s="386"/>
      <c r="AIM119" s="386"/>
      <c r="AIN119" s="386"/>
      <c r="AIO119" s="386"/>
      <c r="AIP119" s="386"/>
      <c r="AIQ119" s="386"/>
      <c r="AIR119" s="386"/>
      <c r="AIS119" s="386"/>
      <c r="AIT119" s="386"/>
      <c r="AIU119" s="386"/>
      <c r="AIV119" s="386"/>
      <c r="AIW119" s="386"/>
      <c r="AIX119" s="386"/>
      <c r="AIY119" s="386"/>
      <c r="AIZ119" s="386"/>
      <c r="AJA119" s="386"/>
      <c r="AJB119" s="386"/>
      <c r="AJC119" s="386"/>
      <c r="AJD119" s="386"/>
      <c r="AJE119" s="386"/>
      <c r="AJF119" s="386"/>
      <c r="AJG119" s="386"/>
      <c r="AJH119" s="386"/>
      <c r="AJI119" s="386"/>
      <c r="AJJ119" s="386"/>
      <c r="AJK119" s="386"/>
      <c r="AJL119" s="386"/>
      <c r="AJM119" s="386"/>
      <c r="AJN119" s="386"/>
      <c r="AJO119" s="386"/>
      <c r="AJP119" s="386"/>
      <c r="AJQ119" s="386"/>
      <c r="AJR119" s="386"/>
      <c r="AJS119" s="386"/>
      <c r="AJT119" s="386"/>
      <c r="AJU119" s="386"/>
      <c r="AJV119" s="386"/>
      <c r="AJW119" s="386"/>
      <c r="AJX119" s="386"/>
      <c r="AJY119" s="386"/>
      <c r="AJZ119" s="386"/>
      <c r="AKA119" s="386"/>
      <c r="AKB119" s="386"/>
      <c r="AKC119" s="386"/>
      <c r="AKD119" s="386"/>
      <c r="AKE119" s="386"/>
      <c r="AKF119" s="386"/>
      <c r="AKG119" s="386"/>
      <c r="AKH119" s="386"/>
      <c r="AKI119" s="386"/>
      <c r="AKJ119" s="386"/>
      <c r="AKK119" s="386"/>
      <c r="AKL119" s="386"/>
      <c r="AKM119" s="386"/>
      <c r="AKN119" s="386"/>
      <c r="AKO119" s="386"/>
      <c r="AKP119" s="386"/>
      <c r="AKQ119" s="386"/>
      <c r="AKR119" s="386"/>
      <c r="AKS119" s="386"/>
      <c r="AKT119" s="386"/>
      <c r="AKU119" s="386"/>
      <c r="AKV119" s="386"/>
      <c r="AKW119" s="386"/>
      <c r="AKX119" s="386"/>
      <c r="AKY119" s="386"/>
      <c r="AKZ119" s="386"/>
      <c r="ALA119" s="386"/>
      <c r="ALB119" s="386"/>
      <c r="ALC119" s="386"/>
      <c r="ALD119" s="386"/>
      <c r="ALE119" s="386"/>
      <c r="ALF119" s="386"/>
      <c r="ALG119" s="386"/>
      <c r="ALH119" s="386"/>
      <c r="ALI119" s="386"/>
      <c r="ALJ119" s="386"/>
      <c r="ALK119" s="386"/>
      <c r="ALL119" s="386"/>
      <c r="ALM119" s="386"/>
      <c r="ALN119" s="386"/>
      <c r="ALO119" s="386"/>
      <c r="ALP119" s="386"/>
      <c r="ALQ119" s="386"/>
      <c r="ALR119" s="386"/>
      <c r="ALS119" s="386"/>
      <c r="ALT119" s="386"/>
      <c r="ALU119" s="386"/>
      <c r="ALV119" s="386"/>
      <c r="ALW119" s="386"/>
      <c r="ALX119" s="386"/>
      <c r="ALY119" s="386"/>
      <c r="ALZ119" s="386"/>
      <c r="AMA119" s="386"/>
      <c r="AMB119" s="386"/>
      <c r="AMC119" s="386"/>
      <c r="AMD119" s="386"/>
      <c r="AME119" s="386"/>
      <c r="AMF119" s="386"/>
      <c r="AMG119" s="386"/>
      <c r="AMH119" s="386"/>
      <c r="AMI119" s="386"/>
      <c r="AMJ119" s="386"/>
      <c r="AMK119" s="386"/>
      <c r="AML119" s="386"/>
      <c r="AMM119" s="386"/>
      <c r="AMN119" s="386"/>
      <c r="AMO119" s="386"/>
      <c r="AMP119" s="386"/>
      <c r="AMQ119" s="386"/>
      <c r="AMR119" s="386"/>
      <c r="AMS119" s="386"/>
      <c r="AMT119" s="386"/>
      <c r="AMU119" s="386"/>
      <c r="AMV119" s="386"/>
      <c r="AMW119" s="386"/>
      <c r="AMX119" s="386"/>
      <c r="AMY119" s="386"/>
      <c r="AMZ119" s="386"/>
      <c r="ANA119" s="386"/>
      <c r="ANB119" s="386"/>
      <c r="ANC119" s="386"/>
      <c r="AND119" s="386"/>
      <c r="ANE119" s="386"/>
      <c r="ANF119" s="386"/>
      <c r="ANG119" s="386"/>
      <c r="ANH119" s="386"/>
      <c r="ANI119" s="386"/>
      <c r="ANJ119" s="386"/>
      <c r="ANK119" s="386"/>
      <c r="ANL119" s="386"/>
      <c r="ANM119" s="386"/>
      <c r="ANN119" s="386"/>
      <c r="ANO119" s="386"/>
      <c r="ANP119" s="386"/>
      <c r="ANQ119" s="386"/>
      <c r="ANR119" s="386"/>
      <c r="ANS119" s="386"/>
      <c r="ANT119" s="386"/>
      <c r="ANU119" s="386"/>
      <c r="ANV119" s="386"/>
      <c r="ANW119" s="386"/>
      <c r="ANX119" s="386"/>
      <c r="ANY119" s="386"/>
      <c r="ANZ119" s="386"/>
      <c r="AOA119" s="386"/>
      <c r="AOB119" s="386"/>
      <c r="AOC119" s="386"/>
      <c r="AOD119" s="386"/>
      <c r="AOE119" s="386"/>
      <c r="AOF119" s="386"/>
      <c r="AOG119" s="386"/>
      <c r="AOH119" s="386"/>
      <c r="AOI119" s="386"/>
      <c r="AOJ119" s="386"/>
      <c r="AOK119" s="386"/>
      <c r="AOL119" s="386"/>
      <c r="AOM119" s="386"/>
      <c r="AON119" s="386"/>
      <c r="AOO119" s="386"/>
      <c r="AOP119" s="386"/>
      <c r="AOQ119" s="386"/>
      <c r="AOR119" s="386"/>
      <c r="AOS119" s="386"/>
      <c r="AOT119" s="386"/>
      <c r="AOU119" s="386"/>
      <c r="AOV119" s="386"/>
      <c r="AOW119" s="386"/>
      <c r="AOX119" s="386"/>
      <c r="AOY119" s="386"/>
      <c r="AOZ119" s="386"/>
      <c r="APA119" s="386"/>
      <c r="APB119" s="386"/>
      <c r="APC119" s="386"/>
      <c r="APD119" s="386"/>
      <c r="APE119" s="386"/>
      <c r="APF119" s="386"/>
      <c r="APG119" s="386"/>
      <c r="APH119" s="386"/>
      <c r="API119" s="386"/>
      <c r="APJ119" s="386"/>
      <c r="APK119" s="386"/>
      <c r="APL119" s="386"/>
      <c r="APM119" s="386"/>
      <c r="APN119" s="386"/>
      <c r="APO119" s="386"/>
      <c r="APP119" s="386"/>
      <c r="APQ119" s="386"/>
      <c r="APR119" s="386"/>
      <c r="APS119" s="386"/>
      <c r="APT119" s="386"/>
      <c r="APU119" s="386"/>
      <c r="APV119" s="386"/>
      <c r="APW119" s="386"/>
      <c r="APX119" s="386"/>
      <c r="APY119" s="386"/>
      <c r="APZ119" s="386"/>
      <c r="AQA119" s="386"/>
      <c r="AQB119" s="386"/>
      <c r="AQC119" s="386"/>
      <c r="AQD119" s="386"/>
      <c r="AQE119" s="386"/>
      <c r="AQF119" s="386"/>
      <c r="AQG119" s="386"/>
      <c r="AQH119" s="386"/>
      <c r="AQI119" s="386"/>
      <c r="AQJ119" s="386"/>
      <c r="AQK119" s="386"/>
      <c r="AQL119" s="386"/>
      <c r="AQM119" s="386"/>
      <c r="AQN119" s="386"/>
      <c r="AQO119" s="386"/>
      <c r="AQP119" s="386"/>
      <c r="AQQ119" s="386"/>
      <c r="AQR119" s="386"/>
      <c r="AQS119" s="386"/>
      <c r="AQT119" s="386"/>
      <c r="AQU119" s="386"/>
      <c r="AQV119" s="386"/>
      <c r="AQW119" s="386"/>
      <c r="AQX119" s="386"/>
      <c r="AQY119" s="386"/>
      <c r="AQZ119" s="386"/>
      <c r="ARA119" s="386"/>
      <c r="ARB119" s="386"/>
      <c r="ARC119" s="386"/>
      <c r="ARD119" s="386"/>
      <c r="ARE119" s="386"/>
      <c r="ARF119" s="386"/>
      <c r="ARG119" s="386"/>
      <c r="ARH119" s="386"/>
      <c r="ARI119" s="386"/>
      <c r="ARJ119" s="386"/>
      <c r="ARK119" s="386"/>
      <c r="ARL119" s="386"/>
      <c r="ARM119" s="386"/>
      <c r="ARN119" s="386"/>
      <c r="ARO119" s="386"/>
      <c r="ARP119" s="386"/>
      <c r="ARQ119" s="386"/>
      <c r="ARR119" s="386"/>
      <c r="ARS119" s="386"/>
      <c r="ART119" s="386"/>
      <c r="ARU119" s="386"/>
      <c r="ARV119" s="386"/>
      <c r="ARW119" s="386"/>
      <c r="ARX119" s="386"/>
      <c r="ARY119" s="386"/>
      <c r="ARZ119" s="386"/>
      <c r="ASA119" s="386"/>
      <c r="ASB119" s="386"/>
      <c r="ASC119" s="386"/>
      <c r="ASD119" s="386"/>
      <c r="ASE119" s="386"/>
      <c r="ASF119" s="386"/>
      <c r="ASG119" s="386"/>
      <c r="ASH119" s="386"/>
      <c r="ASI119" s="386"/>
      <c r="ASJ119" s="386"/>
      <c r="ASK119" s="386"/>
      <c r="ASL119" s="386"/>
      <c r="ASM119" s="386"/>
      <c r="ASN119" s="386"/>
      <c r="ASO119" s="386"/>
      <c r="ASP119" s="386"/>
      <c r="ASQ119" s="386"/>
      <c r="ASR119" s="386"/>
      <c r="ASS119" s="386"/>
      <c r="AST119" s="386"/>
      <c r="ASU119" s="386"/>
      <c r="ASV119" s="386"/>
      <c r="ASW119" s="386"/>
      <c r="ASX119" s="386"/>
      <c r="ASY119" s="386"/>
      <c r="ASZ119" s="386"/>
      <c r="ATA119" s="386"/>
      <c r="ATB119" s="386"/>
      <c r="ATC119" s="386"/>
      <c r="ATD119" s="386"/>
      <c r="ATE119" s="386"/>
      <c r="ATF119" s="386"/>
      <c r="ATG119" s="386"/>
      <c r="ATH119" s="386"/>
      <c r="ATI119" s="386"/>
      <c r="ATJ119" s="386"/>
      <c r="ATK119" s="386"/>
      <c r="ATL119" s="386"/>
      <c r="ATM119" s="386"/>
      <c r="ATN119" s="386"/>
      <c r="ATO119" s="386"/>
      <c r="ATP119" s="386"/>
      <c r="ATQ119" s="386"/>
      <c r="ATR119" s="386"/>
      <c r="ATS119" s="386"/>
      <c r="ATT119" s="386"/>
      <c r="ATU119" s="386"/>
      <c r="ATV119" s="386"/>
      <c r="ATW119" s="386"/>
      <c r="ATX119" s="386"/>
      <c r="ATY119" s="386"/>
      <c r="ATZ119" s="386"/>
      <c r="AUA119" s="386"/>
      <c r="AUB119" s="386"/>
      <c r="AUC119" s="386"/>
      <c r="AUD119" s="386"/>
      <c r="AUE119" s="386"/>
      <c r="AUF119" s="386"/>
      <c r="AUG119" s="386"/>
      <c r="AUH119" s="386"/>
      <c r="AUI119" s="386"/>
      <c r="AUJ119" s="386"/>
      <c r="AUK119" s="386"/>
      <c r="AUL119" s="386"/>
      <c r="AUM119" s="386"/>
      <c r="AUN119" s="386"/>
      <c r="AUO119" s="386"/>
      <c r="AUP119" s="386"/>
      <c r="AUQ119" s="386"/>
      <c r="AUR119" s="386"/>
      <c r="AUS119" s="386"/>
      <c r="AUT119" s="386"/>
      <c r="AUU119" s="386"/>
      <c r="AUV119" s="386"/>
      <c r="AUW119" s="386"/>
      <c r="AUX119" s="386"/>
      <c r="AUY119" s="386"/>
      <c r="AUZ119" s="386"/>
      <c r="AVA119" s="386"/>
      <c r="AVB119" s="386"/>
      <c r="AVC119" s="386"/>
      <c r="AVD119" s="386"/>
      <c r="AVE119" s="386"/>
      <c r="AVF119" s="386"/>
      <c r="AVG119" s="386"/>
      <c r="AVH119" s="386"/>
      <c r="AVI119" s="386"/>
      <c r="AVJ119" s="386"/>
      <c r="AVK119" s="386"/>
      <c r="AVL119" s="386"/>
      <c r="AVM119" s="386"/>
      <c r="AVN119" s="386"/>
      <c r="AVO119" s="386"/>
      <c r="AVP119" s="386"/>
      <c r="AVQ119" s="386"/>
      <c r="AVR119" s="386"/>
      <c r="AVS119" s="386"/>
      <c r="AVT119" s="386"/>
      <c r="AVU119" s="386"/>
      <c r="AVV119" s="386"/>
      <c r="AVW119" s="386"/>
      <c r="AVX119" s="386"/>
      <c r="AVY119" s="386"/>
      <c r="AVZ119" s="386"/>
      <c r="AWA119" s="386"/>
      <c r="AWB119" s="386"/>
      <c r="AWC119" s="386"/>
      <c r="AWD119" s="386"/>
      <c r="AWE119" s="386"/>
      <c r="AWF119" s="386"/>
      <c r="AWG119" s="386"/>
      <c r="AWH119" s="386"/>
      <c r="AWI119" s="386"/>
      <c r="AWJ119" s="386"/>
      <c r="AWK119" s="386"/>
      <c r="AWL119" s="386"/>
      <c r="AWM119" s="386"/>
      <c r="AWN119" s="386"/>
      <c r="AWO119" s="386"/>
      <c r="AWP119" s="386"/>
      <c r="AWQ119" s="386"/>
      <c r="AWR119" s="386"/>
      <c r="AWS119" s="386"/>
      <c r="AWT119" s="386"/>
      <c r="AWU119" s="386"/>
      <c r="AWV119" s="386"/>
      <c r="AWW119" s="386"/>
      <c r="AWX119" s="386"/>
      <c r="AWY119" s="386"/>
      <c r="AWZ119" s="386"/>
      <c r="AXA119" s="386"/>
      <c r="AXB119" s="386"/>
      <c r="AXC119" s="386"/>
      <c r="AXD119" s="386"/>
      <c r="AXE119" s="386"/>
      <c r="AXF119" s="386"/>
      <c r="AXG119" s="386"/>
      <c r="AXH119" s="386"/>
      <c r="AXI119" s="386"/>
      <c r="AXJ119" s="386"/>
      <c r="AXK119" s="386"/>
      <c r="AXL119" s="386"/>
      <c r="AXM119" s="386"/>
      <c r="AXN119" s="386"/>
      <c r="AXO119" s="386"/>
      <c r="AXP119" s="386"/>
      <c r="AXQ119" s="386"/>
      <c r="AXR119" s="386"/>
      <c r="AXS119" s="386"/>
      <c r="AXT119" s="386"/>
      <c r="AXU119" s="386"/>
      <c r="AXV119" s="386"/>
      <c r="AXW119" s="386"/>
      <c r="AXX119" s="386"/>
      <c r="AXY119" s="386"/>
      <c r="AXZ119" s="386"/>
      <c r="AYA119" s="386"/>
      <c r="AYB119" s="386"/>
      <c r="AYC119" s="386"/>
      <c r="AYD119" s="386"/>
      <c r="AYE119" s="386"/>
      <c r="AYF119" s="386"/>
      <c r="AYG119" s="386"/>
      <c r="AYH119" s="386"/>
      <c r="AYI119" s="386"/>
      <c r="AYJ119" s="386"/>
      <c r="AYK119" s="386"/>
      <c r="AYL119" s="386"/>
      <c r="AYM119" s="386"/>
      <c r="AYN119" s="386"/>
      <c r="AYO119" s="386"/>
      <c r="AYP119" s="386"/>
      <c r="AYQ119" s="386"/>
      <c r="AYR119" s="386"/>
      <c r="AYS119" s="386"/>
      <c r="AYT119" s="386"/>
      <c r="AYU119" s="386"/>
      <c r="AYV119" s="386"/>
      <c r="AYW119" s="386"/>
      <c r="AYX119" s="386"/>
      <c r="AYY119" s="386"/>
      <c r="AYZ119" s="386"/>
      <c r="AZA119" s="386"/>
      <c r="AZB119" s="386"/>
      <c r="AZC119" s="386"/>
      <c r="AZD119" s="386"/>
      <c r="AZE119" s="386"/>
      <c r="AZF119" s="386"/>
      <c r="AZG119" s="386"/>
      <c r="AZH119" s="386"/>
      <c r="AZI119" s="386"/>
      <c r="AZJ119" s="386"/>
      <c r="AZK119" s="386"/>
      <c r="AZL119" s="386"/>
      <c r="AZM119" s="386"/>
      <c r="AZN119" s="386"/>
      <c r="AZO119" s="386"/>
      <c r="AZP119" s="386"/>
      <c r="AZQ119" s="386"/>
      <c r="AZR119" s="386"/>
      <c r="AZS119" s="386"/>
      <c r="AZT119" s="386"/>
      <c r="AZU119" s="386"/>
      <c r="AZV119" s="386"/>
      <c r="AZW119" s="386"/>
      <c r="AZX119" s="386"/>
      <c r="AZY119" s="386"/>
      <c r="AZZ119" s="386"/>
      <c r="BAA119" s="386"/>
      <c r="BAB119" s="386"/>
      <c r="BAC119" s="386"/>
      <c r="BAD119" s="386"/>
      <c r="BAE119" s="386"/>
      <c r="BAF119" s="386"/>
      <c r="BAG119" s="386"/>
      <c r="BAH119" s="386"/>
      <c r="BAI119" s="386"/>
      <c r="BAJ119" s="386"/>
      <c r="BAK119" s="386"/>
      <c r="BAL119" s="386"/>
      <c r="BAM119" s="386"/>
      <c r="BAN119" s="386"/>
      <c r="BAO119" s="386"/>
      <c r="BAP119" s="386"/>
      <c r="BAQ119" s="386"/>
      <c r="BAR119" s="386"/>
      <c r="BAS119" s="386"/>
      <c r="BAT119" s="386"/>
      <c r="BAU119" s="386"/>
      <c r="BAV119" s="386"/>
      <c r="BAW119" s="386"/>
      <c r="BAX119" s="386"/>
      <c r="BAY119" s="386"/>
      <c r="BAZ119" s="386"/>
      <c r="BBA119" s="386"/>
      <c r="BBB119" s="386"/>
      <c r="BBC119" s="386"/>
      <c r="BBD119" s="386"/>
      <c r="BBE119" s="386"/>
      <c r="BBF119" s="386"/>
      <c r="BBG119" s="386"/>
      <c r="BBH119" s="386"/>
      <c r="BBI119" s="386"/>
      <c r="BBJ119" s="386"/>
      <c r="BBK119" s="386"/>
      <c r="BBL119" s="386"/>
      <c r="BBM119" s="386"/>
      <c r="BBN119" s="386"/>
      <c r="BBO119" s="386"/>
      <c r="BBP119" s="386"/>
      <c r="BBQ119" s="386"/>
      <c r="BBR119" s="386"/>
      <c r="BBS119" s="386"/>
      <c r="BBT119" s="386"/>
      <c r="BBU119" s="386"/>
      <c r="BBV119" s="386"/>
      <c r="BBW119" s="386"/>
      <c r="BBX119" s="386"/>
      <c r="BBY119" s="386"/>
      <c r="BBZ119" s="386"/>
      <c r="BCA119" s="386"/>
      <c r="BCB119" s="386"/>
      <c r="BCC119" s="386"/>
      <c r="BCD119" s="386"/>
      <c r="BCE119" s="386"/>
      <c r="BCF119" s="386"/>
      <c r="BCG119" s="386"/>
      <c r="BCH119" s="386"/>
      <c r="BCI119" s="386"/>
      <c r="BCJ119" s="386"/>
      <c r="BCK119" s="386"/>
      <c r="BCL119" s="386"/>
      <c r="BCM119" s="386"/>
      <c r="BCN119" s="386"/>
      <c r="BCO119" s="386"/>
      <c r="BCP119" s="386"/>
      <c r="BCQ119" s="386"/>
      <c r="BCR119" s="386"/>
      <c r="BCS119" s="386"/>
      <c r="BCT119" s="386"/>
      <c r="BCU119" s="386"/>
      <c r="BCV119" s="386"/>
      <c r="BCW119" s="386"/>
      <c r="BCX119" s="386"/>
      <c r="BCY119" s="386"/>
      <c r="BCZ119" s="386"/>
      <c r="BDA119" s="386"/>
      <c r="BDB119" s="386"/>
      <c r="BDC119" s="386"/>
      <c r="BDD119" s="386"/>
      <c r="BDE119" s="386"/>
      <c r="BDF119" s="386"/>
      <c r="BDG119" s="386"/>
      <c r="BDH119" s="386"/>
      <c r="BDI119" s="386"/>
      <c r="BDJ119" s="386"/>
      <c r="BDK119" s="386"/>
      <c r="BDL119" s="386"/>
      <c r="BDM119" s="386"/>
      <c r="BDN119" s="386"/>
      <c r="BDO119" s="386"/>
      <c r="BDP119" s="386"/>
      <c r="BDQ119" s="386"/>
      <c r="BDR119" s="386"/>
      <c r="BDS119" s="386"/>
      <c r="BDT119" s="386"/>
      <c r="BDU119" s="386"/>
      <c r="BDV119" s="386"/>
      <c r="BDW119" s="386"/>
      <c r="BDX119" s="386"/>
      <c r="BDY119" s="386"/>
      <c r="BDZ119" s="386"/>
      <c r="BEA119" s="386"/>
      <c r="BEB119" s="386"/>
      <c r="BEC119" s="386"/>
      <c r="BED119" s="386"/>
      <c r="BEE119" s="386"/>
      <c r="BEF119" s="386"/>
      <c r="BEG119" s="386"/>
      <c r="BEH119" s="386"/>
      <c r="BEI119" s="386"/>
      <c r="BEJ119" s="386"/>
      <c r="BEK119" s="386"/>
      <c r="BEL119" s="386"/>
      <c r="BEM119" s="386"/>
      <c r="BEN119" s="386"/>
      <c r="BEO119" s="386"/>
      <c r="BEP119" s="386"/>
      <c r="BEQ119" s="386"/>
      <c r="BER119" s="386"/>
      <c r="BES119" s="386"/>
      <c r="BET119" s="386"/>
      <c r="BEU119" s="386"/>
      <c r="BEV119" s="386"/>
      <c r="BEW119" s="386"/>
      <c r="BEX119" s="386"/>
      <c r="BEY119" s="386"/>
      <c r="BEZ119" s="386"/>
      <c r="BFA119" s="386"/>
      <c r="BFB119" s="386"/>
      <c r="BFC119" s="386"/>
      <c r="BFD119" s="386"/>
      <c r="BFE119" s="386"/>
      <c r="BFF119" s="386"/>
      <c r="BFG119" s="386"/>
      <c r="BFH119" s="386"/>
      <c r="BFI119" s="386"/>
      <c r="BFJ119" s="386"/>
      <c r="BFK119" s="386"/>
      <c r="BFL119" s="386"/>
      <c r="BFM119" s="386"/>
      <c r="BFN119" s="386"/>
      <c r="BFO119" s="386"/>
      <c r="BFP119" s="386"/>
      <c r="BFQ119" s="386"/>
      <c r="BFR119" s="386"/>
      <c r="BFS119" s="386"/>
      <c r="BFT119" s="386"/>
      <c r="BFU119" s="386"/>
      <c r="BFV119" s="386"/>
      <c r="BFW119" s="386"/>
      <c r="BFX119" s="386"/>
      <c r="BFY119" s="386"/>
      <c r="BFZ119" s="386"/>
      <c r="BGA119" s="386"/>
      <c r="BGB119" s="386"/>
      <c r="BGC119" s="386"/>
      <c r="BGD119" s="386"/>
      <c r="BGE119" s="386"/>
      <c r="BGF119" s="386"/>
      <c r="BGG119" s="386"/>
      <c r="BGH119" s="386"/>
      <c r="BGI119" s="386"/>
      <c r="BGJ119" s="386"/>
      <c r="BGK119" s="386"/>
      <c r="BGL119" s="386"/>
      <c r="BGM119" s="386"/>
      <c r="BGN119" s="386"/>
      <c r="BGO119" s="386"/>
      <c r="BGP119" s="386"/>
      <c r="BGQ119" s="386"/>
      <c r="BGR119" s="386"/>
      <c r="BGS119" s="386"/>
      <c r="BGT119" s="386"/>
      <c r="BGU119" s="386"/>
      <c r="BGV119" s="386"/>
      <c r="BGW119" s="386"/>
      <c r="BGX119" s="386"/>
      <c r="BGY119" s="386"/>
      <c r="BGZ119" s="386"/>
      <c r="BHA119" s="386"/>
      <c r="BHB119" s="386"/>
      <c r="BHC119" s="386"/>
      <c r="BHD119" s="386"/>
      <c r="BHE119" s="386"/>
      <c r="BHF119" s="386"/>
      <c r="BHG119" s="386"/>
      <c r="BHH119" s="386"/>
      <c r="BHI119" s="386"/>
      <c r="BHJ119" s="386"/>
      <c r="BHK119" s="386"/>
      <c r="BHL119" s="386"/>
      <c r="BHM119" s="386"/>
      <c r="BHN119" s="386"/>
      <c r="BHO119" s="386"/>
      <c r="BHP119" s="386"/>
      <c r="BHQ119" s="386"/>
      <c r="BHR119" s="386"/>
      <c r="BHS119" s="386"/>
      <c r="BHT119" s="386"/>
      <c r="BHU119" s="386"/>
      <c r="BHV119" s="386"/>
      <c r="BHW119" s="386"/>
      <c r="BHX119" s="386"/>
      <c r="BHY119" s="386"/>
      <c r="BHZ119" s="386"/>
      <c r="BIA119" s="386"/>
      <c r="BIB119" s="386"/>
      <c r="BIC119" s="386"/>
      <c r="BID119" s="386"/>
      <c r="BIE119" s="386"/>
      <c r="BIF119" s="386"/>
      <c r="BIG119" s="386"/>
      <c r="BIH119" s="386"/>
      <c r="BII119" s="386"/>
      <c r="BIJ119" s="386"/>
      <c r="BIK119" s="386"/>
      <c r="BIL119" s="386"/>
      <c r="BIM119" s="386"/>
      <c r="BIN119" s="386"/>
      <c r="BIO119" s="386"/>
      <c r="BIP119" s="386"/>
      <c r="BIQ119" s="386"/>
      <c r="BIR119" s="386"/>
      <c r="BIS119" s="386"/>
      <c r="BIT119" s="386"/>
      <c r="BIU119" s="386"/>
      <c r="BIV119" s="386"/>
      <c r="BIW119" s="386"/>
      <c r="BIX119" s="386"/>
      <c r="BIY119" s="386"/>
      <c r="BIZ119" s="386"/>
      <c r="BJA119" s="386"/>
      <c r="BJB119" s="386"/>
      <c r="BJC119" s="386"/>
      <c r="BJD119" s="386"/>
      <c r="BJE119" s="386"/>
      <c r="BJF119" s="386"/>
      <c r="BJG119" s="386"/>
      <c r="BJH119" s="386"/>
      <c r="BJI119" s="386"/>
      <c r="BJJ119" s="386"/>
      <c r="BJK119" s="386"/>
      <c r="BJL119" s="386"/>
      <c r="BJM119" s="386"/>
      <c r="BJN119" s="386"/>
      <c r="BJO119" s="386"/>
      <c r="BJP119" s="386"/>
      <c r="BJQ119" s="386"/>
      <c r="BJR119" s="386"/>
      <c r="BJS119" s="386"/>
      <c r="BJT119" s="386"/>
      <c r="BJU119" s="386"/>
      <c r="BJV119" s="386"/>
      <c r="BJW119" s="386"/>
      <c r="BJX119" s="386"/>
      <c r="BJY119" s="386"/>
      <c r="BJZ119" s="386"/>
      <c r="BKA119" s="386"/>
      <c r="BKB119" s="386"/>
      <c r="BKC119" s="386"/>
      <c r="BKD119" s="386"/>
      <c r="BKE119" s="386"/>
      <c r="BKF119" s="386"/>
      <c r="BKG119" s="386"/>
      <c r="BKH119" s="386"/>
      <c r="BKI119" s="386"/>
      <c r="BKJ119" s="386"/>
      <c r="BKK119" s="386"/>
      <c r="BKL119" s="386"/>
      <c r="BKM119" s="386"/>
      <c r="BKN119" s="386"/>
      <c r="BKO119" s="386"/>
      <c r="BKP119" s="386"/>
      <c r="BKQ119" s="386"/>
      <c r="BKR119" s="386"/>
      <c r="BKS119" s="386"/>
      <c r="BKT119" s="386"/>
      <c r="BKU119" s="386"/>
      <c r="BKV119" s="386"/>
      <c r="BKW119" s="386"/>
      <c r="BKX119" s="386"/>
      <c r="BKY119" s="386"/>
      <c r="BKZ119" s="386"/>
      <c r="BLA119" s="386"/>
      <c r="BLB119" s="386"/>
      <c r="BLC119" s="386"/>
      <c r="BLD119" s="386"/>
      <c r="BLE119" s="386"/>
      <c r="BLF119" s="386"/>
      <c r="BLG119" s="386"/>
      <c r="BLH119" s="386"/>
      <c r="BLI119" s="386"/>
      <c r="BLJ119" s="386"/>
      <c r="BLK119" s="386"/>
      <c r="BLL119" s="386"/>
      <c r="BLM119" s="386"/>
      <c r="BLN119" s="386"/>
      <c r="BLO119" s="386"/>
      <c r="BLP119" s="386"/>
      <c r="BLQ119" s="386"/>
      <c r="BLR119" s="386"/>
      <c r="BLS119" s="386"/>
      <c r="BLT119" s="386"/>
      <c r="BLU119" s="386"/>
      <c r="BLV119" s="386"/>
      <c r="BLW119" s="386"/>
      <c r="BLX119" s="386"/>
      <c r="BLY119" s="386"/>
      <c r="BLZ119" s="386"/>
      <c r="BMA119" s="386"/>
      <c r="BMB119" s="386"/>
      <c r="BMC119" s="386"/>
      <c r="BMD119" s="386"/>
      <c r="BME119" s="386"/>
      <c r="BMF119" s="386"/>
      <c r="BMG119" s="386"/>
      <c r="BMH119" s="386"/>
      <c r="BMI119" s="386"/>
      <c r="BMJ119" s="386"/>
      <c r="BMK119" s="386"/>
      <c r="BML119" s="386"/>
      <c r="BMM119" s="386"/>
      <c r="BMN119" s="386"/>
      <c r="BMO119" s="386"/>
      <c r="BMP119" s="386"/>
      <c r="BMQ119" s="386"/>
      <c r="BMR119" s="386"/>
      <c r="BMS119" s="386"/>
      <c r="BMT119" s="386"/>
      <c r="BMU119" s="386"/>
      <c r="BMV119" s="386"/>
      <c r="BMW119" s="386"/>
      <c r="BMX119" s="386"/>
      <c r="BMY119" s="386"/>
      <c r="BMZ119" s="386"/>
      <c r="BNA119" s="386"/>
      <c r="BNB119" s="386"/>
      <c r="BNC119" s="386"/>
      <c r="BND119" s="386"/>
      <c r="BNE119" s="386"/>
      <c r="BNF119" s="386"/>
      <c r="BNG119" s="386"/>
      <c r="BNH119" s="386"/>
      <c r="BNI119" s="386"/>
      <c r="BNJ119" s="386"/>
      <c r="BNK119" s="386"/>
      <c r="BNL119" s="386"/>
      <c r="BNM119" s="386"/>
      <c r="BNN119" s="386"/>
      <c r="BNO119" s="386"/>
      <c r="BNP119" s="386"/>
      <c r="BNQ119" s="386"/>
      <c r="BNR119" s="386"/>
      <c r="BNS119" s="386"/>
      <c r="BNT119" s="386"/>
      <c r="BNU119" s="386"/>
      <c r="BNV119" s="386"/>
      <c r="BNW119" s="386"/>
      <c r="BNX119" s="386"/>
      <c r="BNY119" s="386"/>
      <c r="BNZ119" s="386"/>
      <c r="BOA119" s="386"/>
      <c r="BOB119" s="386"/>
      <c r="BOC119" s="386"/>
      <c r="BOD119" s="386"/>
      <c r="BOE119" s="386"/>
      <c r="BOF119" s="386"/>
      <c r="BOG119" s="386"/>
      <c r="BOH119" s="386"/>
      <c r="BOI119" s="386"/>
      <c r="BOJ119" s="386"/>
      <c r="BOK119" s="386"/>
      <c r="BOL119" s="386"/>
      <c r="BOM119" s="386"/>
      <c r="BON119" s="386"/>
      <c r="BOO119" s="386"/>
      <c r="BOP119" s="386"/>
      <c r="BOQ119" s="386"/>
      <c r="BOR119" s="386"/>
      <c r="BOS119" s="386"/>
      <c r="BOT119" s="386"/>
      <c r="BOU119" s="386"/>
      <c r="BOV119" s="386"/>
      <c r="BOW119" s="386"/>
      <c r="BOX119" s="386"/>
      <c r="BOY119" s="386"/>
      <c r="BOZ119" s="386"/>
      <c r="BPA119" s="386"/>
      <c r="BPB119" s="386"/>
      <c r="BPC119" s="386"/>
      <c r="BPD119" s="386"/>
      <c r="BPE119" s="386"/>
      <c r="BPF119" s="386"/>
      <c r="BPG119" s="386"/>
      <c r="BPH119" s="386"/>
      <c r="BPI119" s="386"/>
      <c r="BPJ119" s="386"/>
      <c r="BPK119" s="386"/>
      <c r="BPL119" s="386"/>
      <c r="BPM119" s="386"/>
      <c r="BPN119" s="386"/>
      <c r="BPO119" s="386"/>
      <c r="BPP119" s="386"/>
      <c r="BPQ119" s="386"/>
      <c r="BPR119" s="386"/>
      <c r="BPS119" s="386"/>
      <c r="BPT119" s="386"/>
      <c r="BPU119" s="386"/>
      <c r="BPV119" s="386"/>
      <c r="BPW119" s="386"/>
      <c r="BPX119" s="386"/>
      <c r="BPY119" s="386"/>
      <c r="BPZ119" s="386"/>
      <c r="BQA119" s="386"/>
      <c r="BQB119" s="386"/>
      <c r="BQC119" s="386"/>
      <c r="BQD119" s="386"/>
      <c r="BQE119" s="386"/>
      <c r="BQF119" s="386"/>
      <c r="BQG119" s="386"/>
      <c r="BQH119" s="386"/>
      <c r="BQI119" s="386"/>
      <c r="BQJ119" s="386"/>
      <c r="BQK119" s="386"/>
      <c r="BQL119" s="386"/>
      <c r="BQM119" s="386"/>
      <c r="BQN119" s="386"/>
      <c r="BQO119" s="386"/>
      <c r="BQP119" s="386"/>
      <c r="BQQ119" s="386"/>
      <c r="BQR119" s="386"/>
      <c r="BQS119" s="386"/>
      <c r="BQT119" s="386"/>
      <c r="BQU119" s="386"/>
      <c r="BQV119" s="386"/>
      <c r="BQW119" s="386"/>
      <c r="BQX119" s="386"/>
      <c r="BQY119" s="386"/>
      <c r="BQZ119" s="386"/>
      <c r="BRA119" s="386"/>
      <c r="BRB119" s="386"/>
      <c r="BRC119" s="386"/>
      <c r="BRD119" s="386"/>
      <c r="BRE119" s="386"/>
      <c r="BRF119" s="386"/>
      <c r="BRG119" s="386"/>
      <c r="BRH119" s="386"/>
      <c r="BRI119" s="386"/>
      <c r="BRJ119" s="386"/>
      <c r="BRK119" s="386"/>
      <c r="BRL119" s="386"/>
      <c r="BRM119" s="386"/>
      <c r="BRN119" s="386"/>
      <c r="BRO119" s="386"/>
      <c r="BRP119" s="386"/>
      <c r="BRQ119" s="386"/>
      <c r="BRR119" s="386"/>
      <c r="BRS119" s="386"/>
      <c r="BRT119" s="386"/>
      <c r="BRU119" s="386"/>
      <c r="BRV119" s="386"/>
      <c r="BRW119" s="386"/>
      <c r="BRX119" s="386"/>
      <c r="BRY119" s="386"/>
      <c r="BRZ119" s="386"/>
      <c r="BSA119" s="386"/>
      <c r="BSB119" s="386"/>
      <c r="BSC119" s="386"/>
      <c r="BSD119" s="386"/>
      <c r="BSE119" s="386"/>
      <c r="BSF119" s="386"/>
      <c r="BSG119" s="386"/>
      <c r="BSH119" s="386"/>
      <c r="BSI119" s="386"/>
      <c r="BSJ119" s="386"/>
      <c r="BSK119" s="386"/>
      <c r="BSL119" s="386"/>
      <c r="BSM119" s="386"/>
      <c r="BSN119" s="386"/>
      <c r="BSO119" s="386"/>
      <c r="BSP119" s="386"/>
      <c r="BSQ119" s="386"/>
      <c r="BSR119" s="386"/>
      <c r="BSS119" s="386"/>
      <c r="BST119" s="386"/>
      <c r="BSU119" s="386"/>
      <c r="BSV119" s="386"/>
      <c r="BSW119" s="386"/>
      <c r="BSX119" s="386"/>
      <c r="BSY119" s="386"/>
      <c r="BSZ119" s="386"/>
      <c r="BTA119" s="386"/>
      <c r="BTB119" s="386"/>
      <c r="BTC119" s="386"/>
      <c r="BTD119" s="386"/>
      <c r="BTE119" s="386"/>
      <c r="BTF119" s="386"/>
      <c r="BTG119" s="386"/>
      <c r="BTH119" s="386"/>
      <c r="BTI119" s="386"/>
      <c r="BTJ119" s="386"/>
      <c r="BTK119" s="386"/>
      <c r="BTL119" s="386"/>
      <c r="BTM119" s="386"/>
      <c r="BTN119" s="386"/>
      <c r="BTO119" s="386"/>
      <c r="BTP119" s="386"/>
      <c r="BTQ119" s="386"/>
      <c r="BTR119" s="386"/>
      <c r="BTS119" s="386"/>
      <c r="BTT119" s="386"/>
      <c r="BTU119" s="386"/>
      <c r="BTV119" s="386"/>
      <c r="BTW119" s="386"/>
      <c r="BTX119" s="386"/>
      <c r="BTY119" s="386"/>
      <c r="BTZ119" s="386"/>
      <c r="BUA119" s="386"/>
      <c r="BUB119" s="386"/>
      <c r="BUC119" s="386"/>
      <c r="BUD119" s="386"/>
      <c r="BUE119" s="386"/>
      <c r="BUF119" s="386"/>
      <c r="BUG119" s="386"/>
      <c r="BUH119" s="386"/>
      <c r="BUI119" s="386"/>
      <c r="BUJ119" s="386"/>
      <c r="BUK119" s="386"/>
      <c r="BUL119" s="386"/>
      <c r="BUM119" s="386"/>
      <c r="BUN119" s="386"/>
      <c r="BUO119" s="386"/>
      <c r="BUP119" s="386"/>
      <c r="BUQ119" s="386"/>
      <c r="BUR119" s="386"/>
      <c r="BUS119" s="386"/>
      <c r="BUT119" s="386"/>
      <c r="BUU119" s="386"/>
      <c r="BUV119" s="386"/>
      <c r="BUW119" s="386"/>
      <c r="BUX119" s="386"/>
      <c r="BUY119" s="386"/>
      <c r="BUZ119" s="386"/>
      <c r="BVA119" s="386"/>
      <c r="BVB119" s="386"/>
      <c r="BVC119" s="386"/>
      <c r="BVD119" s="386"/>
      <c r="BVE119" s="386"/>
      <c r="BVF119" s="386"/>
      <c r="BVG119" s="386"/>
      <c r="BVH119" s="386"/>
      <c r="BVI119" s="386"/>
      <c r="BVJ119" s="386"/>
      <c r="BVK119" s="386"/>
      <c r="BVL119" s="386"/>
      <c r="BVM119" s="386"/>
      <c r="BVN119" s="386"/>
      <c r="BVO119" s="386"/>
      <c r="BVP119" s="386"/>
      <c r="BVQ119" s="386"/>
      <c r="BVR119" s="386"/>
      <c r="BVS119" s="386"/>
      <c r="BVT119" s="386"/>
      <c r="BVU119" s="386"/>
      <c r="BVV119" s="386"/>
      <c r="BVW119" s="386"/>
      <c r="BVX119" s="386"/>
      <c r="BVY119" s="386"/>
      <c r="BVZ119" s="386"/>
      <c r="BWA119" s="386"/>
      <c r="BWB119" s="386"/>
      <c r="BWC119" s="386"/>
      <c r="BWD119" s="386"/>
      <c r="BWE119" s="386"/>
      <c r="BWF119" s="386"/>
      <c r="BWG119" s="386"/>
      <c r="BWH119" s="386"/>
      <c r="BWI119" s="386"/>
      <c r="BWJ119" s="386"/>
      <c r="BWK119" s="386"/>
      <c r="BWL119" s="386"/>
      <c r="BWM119" s="386"/>
      <c r="BWN119" s="386"/>
      <c r="BWO119" s="386"/>
      <c r="BWP119" s="386"/>
      <c r="BWQ119" s="386"/>
      <c r="BWR119" s="386"/>
      <c r="BWS119" s="386"/>
      <c r="BWT119" s="386"/>
      <c r="BWU119" s="386"/>
      <c r="BWV119" s="386"/>
      <c r="BWW119" s="386"/>
      <c r="BWX119" s="386"/>
      <c r="BWY119" s="386"/>
      <c r="BWZ119" s="386"/>
      <c r="BXA119" s="386"/>
      <c r="BXB119" s="386"/>
      <c r="BXC119" s="386"/>
      <c r="BXD119" s="386"/>
      <c r="BXE119" s="386"/>
      <c r="BXF119" s="386"/>
      <c r="BXG119" s="386"/>
      <c r="BXH119" s="386"/>
      <c r="BXI119" s="386"/>
      <c r="BXJ119" s="386"/>
      <c r="BXK119" s="386"/>
      <c r="BXL119" s="386"/>
      <c r="BXM119" s="386"/>
      <c r="BXN119" s="386"/>
      <c r="BXO119" s="386"/>
      <c r="BXP119" s="386"/>
      <c r="BXQ119" s="386"/>
      <c r="BXR119" s="386"/>
      <c r="BXS119" s="386"/>
      <c r="BXT119" s="386"/>
      <c r="BXU119" s="386"/>
      <c r="BXV119" s="386"/>
      <c r="BXW119" s="386"/>
      <c r="BXX119" s="386"/>
      <c r="BXY119" s="386"/>
      <c r="BXZ119" s="386"/>
      <c r="BYA119" s="386"/>
      <c r="BYB119" s="386"/>
      <c r="BYC119" s="386"/>
      <c r="BYD119" s="386"/>
      <c r="BYE119" s="386"/>
      <c r="BYF119" s="386"/>
      <c r="BYG119" s="386"/>
      <c r="BYH119" s="386"/>
      <c r="BYI119" s="386"/>
      <c r="BYJ119" s="386"/>
      <c r="BYK119" s="386"/>
      <c r="BYL119" s="386"/>
      <c r="BYM119" s="386"/>
      <c r="BYN119" s="386"/>
      <c r="BYO119" s="386"/>
      <c r="BYP119" s="386"/>
      <c r="BYQ119" s="386"/>
      <c r="BYR119" s="386"/>
      <c r="BYS119" s="386"/>
      <c r="BYT119" s="386"/>
      <c r="BYU119" s="386"/>
      <c r="BYV119" s="386"/>
      <c r="BYW119" s="386"/>
      <c r="BYX119" s="386"/>
      <c r="BYY119" s="386"/>
      <c r="BYZ119" s="386"/>
      <c r="BZA119" s="386"/>
      <c r="BZB119" s="386"/>
      <c r="BZC119" s="386"/>
      <c r="BZD119" s="386"/>
      <c r="BZE119" s="386"/>
      <c r="BZF119" s="386"/>
      <c r="BZG119" s="386"/>
      <c r="BZH119" s="386"/>
      <c r="BZI119" s="386"/>
      <c r="BZJ119" s="386"/>
      <c r="BZK119" s="386"/>
      <c r="BZL119" s="386"/>
      <c r="BZM119" s="386"/>
      <c r="BZN119" s="386"/>
      <c r="BZO119" s="386"/>
      <c r="BZP119" s="386"/>
      <c r="BZQ119" s="386"/>
      <c r="BZR119" s="386"/>
      <c r="BZS119" s="386"/>
      <c r="BZT119" s="386"/>
      <c r="BZU119" s="386"/>
      <c r="BZV119" s="386"/>
      <c r="BZW119" s="386"/>
      <c r="BZX119" s="386"/>
      <c r="BZY119" s="386"/>
      <c r="BZZ119" s="386"/>
      <c r="CAA119" s="386"/>
      <c r="CAB119" s="386"/>
      <c r="CAC119" s="386"/>
      <c r="CAD119" s="386"/>
      <c r="CAE119" s="386"/>
      <c r="CAF119" s="386"/>
      <c r="CAG119" s="386"/>
      <c r="CAH119" s="386"/>
      <c r="CAI119" s="386"/>
      <c r="CAJ119" s="386"/>
      <c r="CAK119" s="386"/>
      <c r="CAL119" s="386"/>
      <c r="CAM119" s="386"/>
      <c r="CAN119" s="386"/>
      <c r="CAO119" s="386"/>
      <c r="CAP119" s="386"/>
      <c r="CAQ119" s="386"/>
      <c r="CAR119" s="386"/>
      <c r="CAS119" s="386"/>
      <c r="CAT119" s="386"/>
      <c r="CAU119" s="386"/>
      <c r="CAV119" s="386"/>
      <c r="CAW119" s="386"/>
      <c r="CAX119" s="386"/>
      <c r="CAY119" s="386"/>
      <c r="CAZ119" s="386"/>
      <c r="CBA119" s="386"/>
      <c r="CBB119" s="386"/>
      <c r="CBC119" s="386"/>
      <c r="CBD119" s="386"/>
      <c r="CBE119" s="386"/>
      <c r="CBF119" s="386"/>
      <c r="CBG119" s="386"/>
      <c r="CBH119" s="386"/>
      <c r="CBI119" s="386"/>
      <c r="CBJ119" s="386"/>
      <c r="CBK119" s="386"/>
      <c r="CBL119" s="386"/>
      <c r="CBM119" s="386"/>
      <c r="CBN119" s="386"/>
      <c r="CBO119" s="386"/>
      <c r="CBP119" s="386"/>
      <c r="CBQ119" s="386"/>
      <c r="CBR119" s="386"/>
      <c r="CBS119" s="386"/>
      <c r="CBT119" s="386"/>
      <c r="CBU119" s="386"/>
      <c r="CBV119" s="386"/>
      <c r="CBW119" s="386"/>
      <c r="CBX119" s="386"/>
      <c r="CBY119" s="386"/>
      <c r="CBZ119" s="386"/>
      <c r="CCA119" s="386"/>
      <c r="CCB119" s="386"/>
      <c r="CCC119" s="386"/>
      <c r="CCD119" s="386"/>
      <c r="CCE119" s="386"/>
      <c r="CCF119" s="386"/>
      <c r="CCG119" s="386"/>
      <c r="CCH119" s="386"/>
      <c r="CCI119" s="386"/>
      <c r="CCJ119" s="386"/>
      <c r="CCK119" s="386"/>
      <c r="CCL119" s="386"/>
      <c r="CCM119" s="386"/>
      <c r="CCN119" s="386"/>
      <c r="CCO119" s="386"/>
      <c r="CCP119" s="386"/>
      <c r="CCQ119" s="386"/>
      <c r="CCR119" s="386"/>
      <c r="CCS119" s="386"/>
      <c r="CCT119" s="386"/>
      <c r="CCU119" s="386"/>
      <c r="CCV119" s="386"/>
      <c r="CCW119" s="386"/>
      <c r="CCX119" s="386"/>
      <c r="CCY119" s="386"/>
      <c r="CCZ119" s="386"/>
      <c r="CDA119" s="386"/>
      <c r="CDB119" s="386"/>
      <c r="CDC119" s="386"/>
      <c r="CDD119" s="386"/>
      <c r="CDE119" s="386"/>
      <c r="CDF119" s="386"/>
      <c r="CDG119" s="386"/>
      <c r="CDH119" s="386"/>
      <c r="CDI119" s="386"/>
      <c r="CDJ119" s="386"/>
      <c r="CDK119" s="386"/>
      <c r="CDL119" s="386"/>
      <c r="CDM119" s="386"/>
      <c r="CDN119" s="386"/>
      <c r="CDO119" s="386"/>
      <c r="CDP119" s="386"/>
      <c r="CDQ119" s="386"/>
      <c r="CDR119" s="386"/>
      <c r="CDS119" s="386"/>
      <c r="CDT119" s="386"/>
      <c r="CDU119" s="386"/>
      <c r="CDV119" s="386"/>
      <c r="CDW119" s="386"/>
      <c r="CDX119" s="386"/>
      <c r="CDY119" s="386"/>
      <c r="CDZ119" s="386"/>
      <c r="CEA119" s="386"/>
      <c r="CEB119" s="386"/>
      <c r="CEC119" s="386"/>
      <c r="CED119" s="386"/>
      <c r="CEE119" s="386"/>
      <c r="CEF119" s="386"/>
      <c r="CEG119" s="386"/>
      <c r="CEH119" s="386"/>
      <c r="CEI119" s="386"/>
      <c r="CEJ119" s="386"/>
      <c r="CEK119" s="386"/>
      <c r="CEL119" s="386"/>
      <c r="CEM119" s="386"/>
      <c r="CEN119" s="386"/>
      <c r="CEO119" s="386"/>
      <c r="CEP119" s="386"/>
      <c r="CEQ119" s="386"/>
      <c r="CER119" s="386"/>
      <c r="CES119" s="386"/>
      <c r="CET119" s="386"/>
      <c r="CEU119" s="386"/>
      <c r="CEV119" s="386"/>
      <c r="CEW119" s="386"/>
      <c r="CEX119" s="386"/>
      <c r="CEY119" s="386"/>
      <c r="CEZ119" s="386"/>
      <c r="CFA119" s="386"/>
      <c r="CFB119" s="386"/>
      <c r="CFC119" s="386"/>
      <c r="CFD119" s="386"/>
      <c r="CFE119" s="386"/>
      <c r="CFF119" s="386"/>
      <c r="CFG119" s="386"/>
      <c r="CFH119" s="386"/>
      <c r="CFI119" s="386"/>
      <c r="CFJ119" s="386"/>
      <c r="CFK119" s="386"/>
      <c r="CFL119" s="386"/>
      <c r="CFM119" s="386"/>
      <c r="CFN119" s="386"/>
      <c r="CFO119" s="386"/>
      <c r="CFP119" s="386"/>
      <c r="CFQ119" s="386"/>
      <c r="CFR119" s="386"/>
      <c r="CFS119" s="386"/>
      <c r="CFT119" s="386"/>
      <c r="CFU119" s="386"/>
      <c r="CFV119" s="386"/>
      <c r="CFW119" s="386"/>
      <c r="CFX119" s="386"/>
      <c r="CFY119" s="386"/>
      <c r="CFZ119" s="386"/>
      <c r="CGA119" s="386"/>
      <c r="CGB119" s="386"/>
      <c r="CGC119" s="386"/>
      <c r="CGD119" s="386"/>
      <c r="CGE119" s="386"/>
      <c r="CGF119" s="386"/>
      <c r="CGG119" s="386"/>
      <c r="CGH119" s="386"/>
      <c r="CGI119" s="386"/>
      <c r="CGJ119" s="386"/>
      <c r="CGK119" s="386"/>
      <c r="CGL119" s="386"/>
      <c r="CGM119" s="386"/>
      <c r="CGN119" s="386"/>
      <c r="CGO119" s="386"/>
      <c r="CGP119" s="386"/>
      <c r="CGQ119" s="386"/>
      <c r="CGR119" s="386"/>
      <c r="CGS119" s="386"/>
      <c r="CGT119" s="386"/>
      <c r="CGU119" s="386"/>
      <c r="CGV119" s="386"/>
      <c r="CGW119" s="386"/>
      <c r="CGX119" s="386"/>
      <c r="CGY119" s="386"/>
      <c r="CGZ119" s="386"/>
      <c r="CHA119" s="386"/>
      <c r="CHB119" s="386"/>
      <c r="CHC119" s="386"/>
      <c r="CHD119" s="386"/>
      <c r="CHE119" s="386"/>
      <c r="CHF119" s="386"/>
      <c r="CHG119" s="386"/>
      <c r="CHH119" s="386"/>
      <c r="CHI119" s="386"/>
      <c r="CHJ119" s="386"/>
      <c r="CHK119" s="386"/>
      <c r="CHL119" s="386"/>
      <c r="CHM119" s="386"/>
      <c r="CHN119" s="386"/>
      <c r="CHO119" s="386"/>
      <c r="CHP119" s="386"/>
      <c r="CHQ119" s="386"/>
      <c r="CHR119" s="386"/>
      <c r="CHS119" s="386"/>
      <c r="CHT119" s="386"/>
      <c r="CHU119" s="386"/>
      <c r="CHV119" s="386"/>
      <c r="CHW119" s="386"/>
      <c r="CHX119" s="386"/>
      <c r="CHY119" s="386"/>
      <c r="CHZ119" s="386"/>
      <c r="CIA119" s="386"/>
      <c r="CIB119" s="386"/>
      <c r="CIC119" s="386"/>
      <c r="CID119" s="386"/>
      <c r="CIE119" s="386"/>
      <c r="CIF119" s="386"/>
      <c r="CIG119" s="386"/>
      <c r="CIH119" s="386"/>
      <c r="CII119" s="386"/>
      <c r="CIJ119" s="386"/>
      <c r="CIK119" s="386"/>
      <c r="CIL119" s="386"/>
      <c r="CIM119" s="386"/>
      <c r="CIN119" s="386"/>
      <c r="CIO119" s="386"/>
      <c r="CIP119" s="386"/>
      <c r="CIQ119" s="386"/>
      <c r="CIR119" s="386"/>
      <c r="CIS119" s="386"/>
      <c r="CIT119" s="386"/>
      <c r="CIU119" s="386"/>
      <c r="CIV119" s="386"/>
      <c r="CIW119" s="386"/>
      <c r="CIX119" s="386"/>
      <c r="CIY119" s="386"/>
      <c r="CIZ119" s="386"/>
      <c r="CJA119" s="386"/>
      <c r="CJB119" s="386"/>
      <c r="CJC119" s="386"/>
      <c r="CJD119" s="386"/>
      <c r="CJE119" s="386"/>
      <c r="CJF119" s="386"/>
      <c r="CJG119" s="386"/>
      <c r="CJH119" s="386"/>
      <c r="CJI119" s="386"/>
      <c r="CJJ119" s="386"/>
      <c r="CJK119" s="386"/>
      <c r="CJL119" s="386"/>
      <c r="CJM119" s="386"/>
      <c r="CJN119" s="386"/>
      <c r="CJO119" s="386"/>
      <c r="CJP119" s="386"/>
      <c r="CJQ119" s="386"/>
      <c r="CJR119" s="386"/>
      <c r="CJS119" s="386"/>
      <c r="CJT119" s="386"/>
      <c r="CJU119" s="386"/>
      <c r="CJV119" s="386"/>
      <c r="CJW119" s="386"/>
      <c r="CJX119" s="386"/>
      <c r="CJY119" s="386"/>
      <c r="CJZ119" s="386"/>
      <c r="CKA119" s="386"/>
      <c r="CKB119" s="386"/>
      <c r="CKC119" s="386"/>
      <c r="CKD119" s="386"/>
      <c r="CKE119" s="386"/>
      <c r="CKF119" s="386"/>
      <c r="CKG119" s="386"/>
      <c r="CKH119" s="386"/>
      <c r="CKI119" s="386"/>
      <c r="CKJ119" s="386"/>
      <c r="CKK119" s="386"/>
      <c r="CKL119" s="386"/>
      <c r="CKM119" s="386"/>
      <c r="CKN119" s="386"/>
      <c r="CKO119" s="386"/>
      <c r="CKP119" s="386"/>
      <c r="CKQ119" s="386"/>
      <c r="CKR119" s="386"/>
      <c r="CKS119" s="386"/>
      <c r="CKT119" s="386"/>
      <c r="CKU119" s="386"/>
      <c r="CKV119" s="386"/>
      <c r="CKW119" s="386"/>
      <c r="CKX119" s="386"/>
      <c r="CKY119" s="386"/>
      <c r="CKZ119" s="386"/>
      <c r="CLA119" s="386"/>
      <c r="CLB119" s="386"/>
      <c r="CLC119" s="386"/>
      <c r="CLD119" s="386"/>
      <c r="CLE119" s="386"/>
      <c r="CLF119" s="386"/>
      <c r="CLG119" s="386"/>
      <c r="CLH119" s="386"/>
      <c r="CLI119" s="386"/>
      <c r="CLJ119" s="386"/>
      <c r="CLK119" s="386"/>
      <c r="CLL119" s="386"/>
      <c r="CLM119" s="386"/>
      <c r="CLN119" s="386"/>
      <c r="CLO119" s="386"/>
      <c r="CLP119" s="386"/>
      <c r="CLQ119" s="386"/>
      <c r="CLR119" s="386"/>
      <c r="CLS119" s="386"/>
      <c r="CLT119" s="386"/>
      <c r="CLU119" s="386"/>
      <c r="CLV119" s="386"/>
      <c r="CLW119" s="386"/>
      <c r="CLX119" s="386"/>
      <c r="CLY119" s="386"/>
      <c r="CLZ119" s="386"/>
      <c r="CMA119" s="386"/>
      <c r="CMB119" s="386"/>
      <c r="CMC119" s="386"/>
      <c r="CMD119" s="386"/>
      <c r="CME119" s="386"/>
      <c r="CMF119" s="386"/>
      <c r="CMG119" s="386"/>
      <c r="CMH119" s="386"/>
      <c r="CMI119" s="386"/>
      <c r="CMJ119" s="386"/>
      <c r="CMK119" s="386"/>
      <c r="CML119" s="386"/>
      <c r="CMM119" s="386"/>
      <c r="CMN119" s="386"/>
      <c r="CMO119" s="386"/>
      <c r="CMP119" s="386"/>
      <c r="CMQ119" s="386"/>
      <c r="CMR119" s="386"/>
      <c r="CMS119" s="386"/>
      <c r="CMT119" s="386"/>
      <c r="CMU119" s="386"/>
      <c r="CMV119" s="386"/>
      <c r="CMW119" s="386"/>
      <c r="CMX119" s="386"/>
      <c r="CMY119" s="386"/>
      <c r="CMZ119" s="386"/>
      <c r="CNA119" s="386"/>
      <c r="CNB119" s="386"/>
      <c r="CNC119" s="386"/>
      <c r="CND119" s="386"/>
      <c r="CNE119" s="386"/>
      <c r="CNF119" s="386"/>
      <c r="CNG119" s="386"/>
      <c r="CNH119" s="386"/>
      <c r="CNI119" s="386"/>
      <c r="CNJ119" s="386"/>
      <c r="CNK119" s="386"/>
      <c r="CNL119" s="386"/>
      <c r="CNM119" s="386"/>
      <c r="CNN119" s="386"/>
      <c r="CNO119" s="386"/>
      <c r="CNP119" s="386"/>
      <c r="CNQ119" s="386"/>
      <c r="CNR119" s="386"/>
      <c r="CNS119" s="386"/>
      <c r="CNT119" s="386"/>
      <c r="CNU119" s="386"/>
      <c r="CNV119" s="386"/>
      <c r="CNW119" s="386"/>
      <c r="CNX119" s="386"/>
      <c r="CNY119" s="386"/>
      <c r="CNZ119" s="386"/>
      <c r="COA119" s="386"/>
      <c r="COB119" s="386"/>
      <c r="COC119" s="386"/>
      <c r="COD119" s="386"/>
      <c r="COE119" s="386"/>
      <c r="COF119" s="386"/>
      <c r="COG119" s="386"/>
      <c r="COH119" s="386"/>
      <c r="COI119" s="386"/>
      <c r="COJ119" s="386"/>
      <c r="COK119" s="386"/>
      <c r="COL119" s="386"/>
      <c r="COM119" s="386"/>
      <c r="CON119" s="386"/>
      <c r="COO119" s="386"/>
      <c r="COP119" s="386"/>
      <c r="COQ119" s="386"/>
      <c r="COR119" s="386"/>
      <c r="COS119" s="386"/>
      <c r="COT119" s="386"/>
      <c r="COU119" s="386"/>
      <c r="COV119" s="386"/>
      <c r="COW119" s="386"/>
      <c r="COX119" s="386"/>
      <c r="COY119" s="386"/>
      <c r="COZ119" s="386"/>
      <c r="CPA119" s="386"/>
      <c r="CPB119" s="386"/>
      <c r="CPC119" s="386"/>
      <c r="CPD119" s="386"/>
      <c r="CPE119" s="386"/>
      <c r="CPF119" s="386"/>
      <c r="CPG119" s="386"/>
      <c r="CPH119" s="386"/>
      <c r="CPI119" s="386"/>
      <c r="CPJ119" s="386"/>
      <c r="CPK119" s="386"/>
      <c r="CPL119" s="386"/>
      <c r="CPM119" s="386"/>
      <c r="CPN119" s="386"/>
      <c r="CPO119" s="386"/>
      <c r="CPP119" s="386"/>
      <c r="CPQ119" s="386"/>
      <c r="CPR119" s="386"/>
      <c r="CPS119" s="386"/>
      <c r="CPT119" s="386"/>
      <c r="CPU119" s="386"/>
      <c r="CPV119" s="386"/>
      <c r="CPW119" s="386"/>
      <c r="CPX119" s="386"/>
      <c r="CPY119" s="386"/>
      <c r="CPZ119" s="386"/>
      <c r="CQA119" s="386"/>
      <c r="CQB119" s="386"/>
      <c r="CQC119" s="386"/>
      <c r="CQD119" s="386"/>
      <c r="CQE119" s="386"/>
      <c r="CQF119" s="386"/>
      <c r="CQG119" s="386"/>
      <c r="CQH119" s="386"/>
      <c r="CQI119" s="386"/>
      <c r="CQJ119" s="386"/>
      <c r="CQK119" s="386"/>
      <c r="CQL119" s="386"/>
      <c r="CQM119" s="386"/>
      <c r="CQN119" s="386"/>
      <c r="CQO119" s="386"/>
      <c r="CQP119" s="386"/>
      <c r="CQQ119" s="386"/>
      <c r="CQR119" s="386"/>
      <c r="CQS119" s="386"/>
      <c r="CQT119" s="386"/>
      <c r="CQU119" s="386"/>
      <c r="CQV119" s="386"/>
      <c r="CQW119" s="386"/>
      <c r="CQX119" s="386"/>
      <c r="CQY119" s="386"/>
      <c r="CQZ119" s="386"/>
      <c r="CRA119" s="386"/>
      <c r="CRB119" s="386"/>
      <c r="CRC119" s="386"/>
      <c r="CRD119" s="386"/>
      <c r="CRE119" s="386"/>
      <c r="CRF119" s="386"/>
      <c r="CRG119" s="386"/>
      <c r="CRH119" s="386"/>
      <c r="CRI119" s="386"/>
      <c r="CRJ119" s="386"/>
      <c r="CRK119" s="386"/>
      <c r="CRL119" s="386"/>
      <c r="CRM119" s="386"/>
      <c r="CRN119" s="386"/>
      <c r="CRO119" s="386"/>
      <c r="CRP119" s="386"/>
      <c r="CRQ119" s="386"/>
      <c r="CRR119" s="386"/>
      <c r="CRS119" s="386"/>
      <c r="CRT119" s="386"/>
      <c r="CRU119" s="386"/>
      <c r="CRV119" s="386"/>
      <c r="CRW119" s="386"/>
      <c r="CRX119" s="386"/>
      <c r="CRY119" s="386"/>
      <c r="CRZ119" s="386"/>
      <c r="CSA119" s="386"/>
      <c r="CSB119" s="386"/>
      <c r="CSC119" s="386"/>
      <c r="CSD119" s="386"/>
      <c r="CSE119" s="386"/>
      <c r="CSF119" s="386"/>
      <c r="CSG119" s="386"/>
      <c r="CSH119" s="386"/>
      <c r="CSI119" s="386"/>
      <c r="CSJ119" s="386"/>
      <c r="CSK119" s="386"/>
      <c r="CSL119" s="386"/>
      <c r="CSM119" s="386"/>
      <c r="CSN119" s="386"/>
      <c r="CSO119" s="386"/>
      <c r="CSP119" s="386"/>
      <c r="CSQ119" s="386"/>
      <c r="CSR119" s="386"/>
      <c r="CSS119" s="386"/>
      <c r="CST119" s="386"/>
      <c r="CSU119" s="386"/>
      <c r="CSV119" s="386"/>
      <c r="CSW119" s="386"/>
      <c r="CSX119" s="386"/>
      <c r="CSY119" s="386"/>
      <c r="CSZ119" s="386"/>
      <c r="CTA119" s="386"/>
      <c r="CTB119" s="386"/>
      <c r="CTC119" s="386"/>
      <c r="CTD119" s="386"/>
      <c r="CTE119" s="386"/>
      <c r="CTF119" s="386"/>
      <c r="CTG119" s="386"/>
      <c r="CTH119" s="386"/>
      <c r="CTI119" s="386"/>
      <c r="CTJ119" s="386"/>
      <c r="CTK119" s="386"/>
      <c r="CTL119" s="386"/>
      <c r="CTM119" s="386"/>
      <c r="CTN119" s="386"/>
      <c r="CTO119" s="386"/>
      <c r="CTP119" s="386"/>
      <c r="CTQ119" s="386"/>
      <c r="CTR119" s="386"/>
      <c r="CTS119" s="386"/>
      <c r="CTT119" s="386"/>
      <c r="CTU119" s="386"/>
      <c r="CTV119" s="386"/>
      <c r="CTW119" s="386"/>
      <c r="CTX119" s="386"/>
      <c r="CTY119" s="386"/>
      <c r="CTZ119" s="386"/>
      <c r="CUA119" s="386"/>
      <c r="CUB119" s="386"/>
      <c r="CUC119" s="386"/>
      <c r="CUD119" s="386"/>
      <c r="CUE119" s="386"/>
      <c r="CUF119" s="386"/>
      <c r="CUG119" s="386"/>
      <c r="CUH119" s="386"/>
      <c r="CUI119" s="386"/>
      <c r="CUJ119" s="386"/>
      <c r="CUK119" s="386"/>
      <c r="CUL119" s="386"/>
      <c r="CUM119" s="386"/>
      <c r="CUN119" s="386"/>
      <c r="CUO119" s="386"/>
      <c r="CUP119" s="386"/>
      <c r="CUQ119" s="386"/>
      <c r="CUR119" s="386"/>
      <c r="CUS119" s="386"/>
      <c r="CUT119" s="386"/>
      <c r="CUU119" s="386"/>
      <c r="CUV119" s="386"/>
      <c r="CUW119" s="386"/>
      <c r="CUX119" s="386"/>
      <c r="CUY119" s="386"/>
      <c r="CUZ119" s="386"/>
      <c r="CVA119" s="386"/>
      <c r="CVB119" s="386"/>
      <c r="CVC119" s="386"/>
      <c r="CVD119" s="386"/>
      <c r="CVE119" s="386"/>
      <c r="CVF119" s="386"/>
      <c r="CVG119" s="386"/>
      <c r="CVH119" s="386"/>
      <c r="CVI119" s="386"/>
      <c r="CVJ119" s="386"/>
      <c r="CVK119" s="386"/>
      <c r="CVL119" s="386"/>
      <c r="CVM119" s="386"/>
      <c r="CVN119" s="386"/>
      <c r="CVO119" s="386"/>
      <c r="CVP119" s="386"/>
      <c r="CVQ119" s="386"/>
      <c r="CVR119" s="386"/>
      <c r="CVS119" s="386"/>
      <c r="CVT119" s="386"/>
      <c r="CVU119" s="386"/>
      <c r="CVV119" s="386"/>
      <c r="CVW119" s="386"/>
      <c r="CVX119" s="386"/>
      <c r="CVY119" s="386"/>
      <c r="CVZ119" s="386"/>
      <c r="CWA119" s="386"/>
      <c r="CWB119" s="386"/>
      <c r="CWC119" s="386"/>
      <c r="CWD119" s="386"/>
      <c r="CWE119" s="386"/>
      <c r="CWF119" s="386"/>
      <c r="CWG119" s="386"/>
      <c r="CWH119" s="386"/>
      <c r="CWI119" s="386"/>
      <c r="CWJ119" s="386"/>
      <c r="CWK119" s="386"/>
      <c r="CWL119" s="386"/>
      <c r="CWM119" s="386"/>
      <c r="CWN119" s="386"/>
      <c r="CWO119" s="386"/>
      <c r="CWP119" s="386"/>
      <c r="CWQ119" s="386"/>
      <c r="CWR119" s="386"/>
      <c r="CWS119" s="386"/>
      <c r="CWT119" s="386"/>
      <c r="CWU119" s="386"/>
      <c r="CWV119" s="386"/>
      <c r="CWW119" s="386"/>
      <c r="CWX119" s="386"/>
      <c r="CWY119" s="386"/>
      <c r="CWZ119" s="386"/>
      <c r="CXA119" s="386"/>
      <c r="CXB119" s="386"/>
      <c r="CXC119" s="386"/>
      <c r="CXD119" s="386"/>
      <c r="CXE119" s="386"/>
      <c r="CXF119" s="386"/>
      <c r="CXG119" s="386"/>
      <c r="CXH119" s="386"/>
      <c r="CXI119" s="386"/>
      <c r="CXJ119" s="386"/>
      <c r="CXK119" s="386"/>
      <c r="CXL119" s="386"/>
      <c r="CXM119" s="386"/>
      <c r="CXN119" s="386"/>
      <c r="CXO119" s="386"/>
      <c r="CXP119" s="386"/>
      <c r="CXQ119" s="386"/>
      <c r="CXR119" s="386"/>
      <c r="CXS119" s="386"/>
      <c r="CXT119" s="386"/>
      <c r="CXU119" s="386"/>
      <c r="CXV119" s="386"/>
      <c r="CXW119" s="386"/>
      <c r="CXX119" s="386"/>
      <c r="CXY119" s="386"/>
      <c r="CXZ119" s="386"/>
      <c r="CYA119" s="386"/>
      <c r="CYB119" s="386"/>
      <c r="CYC119" s="386"/>
      <c r="CYD119" s="386"/>
      <c r="CYE119" s="386"/>
      <c r="CYF119" s="386"/>
      <c r="CYG119" s="386"/>
      <c r="CYH119" s="386"/>
      <c r="CYI119" s="386"/>
      <c r="CYJ119" s="386"/>
      <c r="CYK119" s="386"/>
      <c r="CYL119" s="386"/>
      <c r="CYM119" s="386"/>
      <c r="CYN119" s="386"/>
      <c r="CYO119" s="386"/>
      <c r="CYP119" s="386"/>
      <c r="CYQ119" s="386"/>
      <c r="CYR119" s="386"/>
      <c r="CYS119" s="386"/>
      <c r="CYT119" s="386"/>
      <c r="CYU119" s="386"/>
      <c r="CYV119" s="386"/>
      <c r="CYW119" s="386"/>
      <c r="CYX119" s="386"/>
      <c r="CYY119" s="386"/>
      <c r="CYZ119" s="386"/>
      <c r="CZA119" s="386"/>
      <c r="CZB119" s="386"/>
      <c r="CZC119" s="386"/>
      <c r="CZD119" s="386"/>
      <c r="CZE119" s="386"/>
      <c r="CZF119" s="386"/>
      <c r="CZG119" s="386"/>
      <c r="CZH119" s="386"/>
      <c r="CZI119" s="386"/>
      <c r="CZJ119" s="386"/>
      <c r="CZK119" s="386"/>
      <c r="CZL119" s="386"/>
      <c r="CZM119" s="386"/>
      <c r="CZN119" s="386"/>
      <c r="CZO119" s="386"/>
      <c r="CZP119" s="386"/>
      <c r="CZQ119" s="386"/>
      <c r="CZR119" s="386"/>
      <c r="CZS119" s="386"/>
      <c r="CZT119" s="386"/>
      <c r="CZU119" s="386"/>
      <c r="CZV119" s="386"/>
      <c r="CZW119" s="386"/>
      <c r="CZX119" s="386"/>
      <c r="CZY119" s="386"/>
      <c r="CZZ119" s="386"/>
      <c r="DAA119" s="386"/>
      <c r="DAB119" s="386"/>
      <c r="DAC119" s="386"/>
      <c r="DAD119" s="386"/>
      <c r="DAE119" s="386"/>
      <c r="DAF119" s="386"/>
      <c r="DAG119" s="386"/>
      <c r="DAH119" s="386"/>
      <c r="DAI119" s="386"/>
      <c r="DAJ119" s="386"/>
      <c r="DAK119" s="386"/>
      <c r="DAL119" s="386"/>
      <c r="DAM119" s="386"/>
      <c r="DAN119" s="386"/>
      <c r="DAO119" s="386"/>
      <c r="DAP119" s="386"/>
      <c r="DAQ119" s="386"/>
      <c r="DAR119" s="386"/>
      <c r="DAS119" s="386"/>
      <c r="DAT119" s="386"/>
      <c r="DAU119" s="386"/>
      <c r="DAV119" s="386"/>
      <c r="DAW119" s="386"/>
      <c r="DAX119" s="386"/>
      <c r="DAY119" s="386"/>
      <c r="DAZ119" s="386"/>
      <c r="DBA119" s="386"/>
      <c r="DBB119" s="386"/>
      <c r="DBC119" s="386"/>
      <c r="DBD119" s="386"/>
      <c r="DBE119" s="386"/>
      <c r="DBF119" s="386"/>
      <c r="DBG119" s="386"/>
      <c r="DBH119" s="386"/>
      <c r="DBI119" s="386"/>
      <c r="DBJ119" s="386"/>
      <c r="DBK119" s="386"/>
      <c r="DBL119" s="386"/>
      <c r="DBM119" s="386"/>
      <c r="DBN119" s="386"/>
      <c r="DBO119" s="386"/>
      <c r="DBP119" s="386"/>
      <c r="DBQ119" s="386"/>
      <c r="DBR119" s="386"/>
      <c r="DBS119" s="386"/>
      <c r="DBT119" s="386"/>
      <c r="DBU119" s="386"/>
      <c r="DBV119" s="386"/>
      <c r="DBW119" s="386"/>
      <c r="DBX119" s="386"/>
      <c r="DBY119" s="386"/>
      <c r="DBZ119" s="386"/>
      <c r="DCA119" s="386"/>
      <c r="DCB119" s="386"/>
      <c r="DCC119" s="386"/>
      <c r="DCD119" s="386"/>
      <c r="DCE119" s="386"/>
      <c r="DCF119" s="386"/>
      <c r="DCG119" s="386"/>
      <c r="DCH119" s="386"/>
      <c r="DCI119" s="386"/>
      <c r="DCJ119" s="386"/>
      <c r="DCK119" s="386"/>
      <c r="DCL119" s="386"/>
      <c r="DCM119" s="386"/>
      <c r="DCN119" s="386"/>
      <c r="DCO119" s="386"/>
      <c r="DCP119" s="386"/>
      <c r="DCQ119" s="386"/>
      <c r="DCR119" s="386"/>
      <c r="DCS119" s="386"/>
      <c r="DCT119" s="386"/>
      <c r="DCU119" s="386"/>
      <c r="DCV119" s="386"/>
      <c r="DCW119" s="386"/>
      <c r="DCX119" s="386"/>
      <c r="DCY119" s="386"/>
      <c r="DCZ119" s="386"/>
      <c r="DDA119" s="386"/>
      <c r="DDB119" s="386"/>
      <c r="DDC119" s="386"/>
      <c r="DDD119" s="386"/>
      <c r="DDE119" s="386"/>
      <c r="DDF119" s="386"/>
      <c r="DDG119" s="386"/>
      <c r="DDH119" s="386"/>
      <c r="DDI119" s="386"/>
      <c r="DDJ119" s="386"/>
      <c r="DDK119" s="386"/>
      <c r="DDL119" s="386"/>
      <c r="DDM119" s="386"/>
      <c r="DDN119" s="386"/>
      <c r="DDO119" s="386"/>
      <c r="DDP119" s="386"/>
      <c r="DDQ119" s="386"/>
      <c r="DDR119" s="386"/>
      <c r="DDS119" s="386"/>
      <c r="DDT119" s="386"/>
      <c r="DDU119" s="386"/>
      <c r="DDV119" s="386"/>
      <c r="DDW119" s="386"/>
      <c r="DDX119" s="386"/>
      <c r="DDY119" s="386"/>
      <c r="DDZ119" s="386"/>
      <c r="DEA119" s="386"/>
      <c r="DEB119" s="386"/>
      <c r="DEC119" s="386"/>
      <c r="DED119" s="386"/>
      <c r="DEE119" s="386"/>
      <c r="DEF119" s="386"/>
      <c r="DEG119" s="386"/>
      <c r="DEH119" s="386"/>
      <c r="DEI119" s="386"/>
      <c r="DEJ119" s="386"/>
      <c r="DEK119" s="386"/>
      <c r="DEL119" s="386"/>
      <c r="DEM119" s="386"/>
      <c r="DEN119" s="386"/>
      <c r="DEO119" s="386"/>
      <c r="DEP119" s="386"/>
      <c r="DEQ119" s="386"/>
      <c r="DER119" s="386"/>
      <c r="DES119" s="386"/>
      <c r="DET119" s="386"/>
      <c r="DEU119" s="386"/>
      <c r="DEV119" s="386"/>
      <c r="DEW119" s="386"/>
      <c r="DEX119" s="386"/>
      <c r="DEY119" s="386"/>
      <c r="DEZ119" s="386"/>
      <c r="DFA119" s="386"/>
      <c r="DFB119" s="386"/>
      <c r="DFC119" s="386"/>
      <c r="DFD119" s="386"/>
      <c r="DFE119" s="386"/>
      <c r="DFF119" s="386"/>
      <c r="DFG119" s="386"/>
      <c r="DFH119" s="386"/>
      <c r="DFI119" s="386"/>
      <c r="DFJ119" s="386"/>
      <c r="DFK119" s="386"/>
      <c r="DFL119" s="386"/>
      <c r="DFM119" s="386"/>
      <c r="DFN119" s="386"/>
      <c r="DFO119" s="386"/>
      <c r="DFP119" s="386"/>
      <c r="DFQ119" s="386"/>
      <c r="DFR119" s="386"/>
      <c r="DFS119" s="386"/>
      <c r="DFT119" s="386"/>
      <c r="DFU119" s="386"/>
      <c r="DFV119" s="386"/>
      <c r="DFW119" s="386"/>
      <c r="DFX119" s="386"/>
      <c r="DFY119" s="386"/>
      <c r="DFZ119" s="386"/>
      <c r="DGA119" s="386"/>
      <c r="DGB119" s="386"/>
      <c r="DGC119" s="386"/>
      <c r="DGD119" s="386"/>
      <c r="DGE119" s="386"/>
      <c r="DGF119" s="386"/>
      <c r="DGG119" s="386"/>
      <c r="DGH119" s="386"/>
      <c r="DGI119" s="386"/>
      <c r="DGJ119" s="386"/>
      <c r="DGK119" s="386"/>
      <c r="DGL119" s="386"/>
      <c r="DGM119" s="386"/>
      <c r="DGN119" s="386"/>
      <c r="DGO119" s="386"/>
      <c r="DGP119" s="386"/>
      <c r="DGQ119" s="386"/>
      <c r="DGR119" s="386"/>
      <c r="DGS119" s="386"/>
      <c r="DGT119" s="386"/>
      <c r="DGU119" s="386"/>
      <c r="DGV119" s="386"/>
      <c r="DGW119" s="386"/>
      <c r="DGX119" s="386"/>
      <c r="DGY119" s="386"/>
      <c r="DGZ119" s="386"/>
      <c r="DHA119" s="386"/>
      <c r="DHB119" s="386"/>
      <c r="DHC119" s="386"/>
      <c r="DHD119" s="386"/>
      <c r="DHE119" s="386"/>
      <c r="DHF119" s="386"/>
      <c r="DHG119" s="386"/>
      <c r="DHH119" s="386"/>
      <c r="DHI119" s="386"/>
      <c r="DHJ119" s="386"/>
      <c r="DHK119" s="386"/>
      <c r="DHL119" s="386"/>
      <c r="DHM119" s="386"/>
      <c r="DHN119" s="386"/>
      <c r="DHO119" s="386"/>
      <c r="DHP119" s="386"/>
      <c r="DHQ119" s="386"/>
      <c r="DHR119" s="386"/>
      <c r="DHS119" s="386"/>
      <c r="DHT119" s="386"/>
      <c r="DHU119" s="386"/>
      <c r="DHV119" s="386"/>
      <c r="DHW119" s="386"/>
      <c r="DHX119" s="386"/>
      <c r="DHY119" s="386"/>
      <c r="DHZ119" s="386"/>
      <c r="DIA119" s="386"/>
      <c r="DIB119" s="386"/>
      <c r="DIC119" s="386"/>
      <c r="DID119" s="386"/>
      <c r="DIE119" s="386"/>
      <c r="DIF119" s="386"/>
      <c r="DIG119" s="386"/>
      <c r="DIH119" s="386"/>
      <c r="DII119" s="386"/>
      <c r="DIJ119" s="386"/>
      <c r="DIK119" s="386"/>
      <c r="DIL119" s="386"/>
      <c r="DIM119" s="386"/>
      <c r="DIN119" s="386"/>
      <c r="DIO119" s="386"/>
      <c r="DIP119" s="386"/>
      <c r="DIQ119" s="386"/>
      <c r="DIR119" s="386"/>
      <c r="DIS119" s="386"/>
      <c r="DIT119" s="386"/>
      <c r="DIU119" s="386"/>
      <c r="DIV119" s="386"/>
      <c r="DIW119" s="386"/>
      <c r="DIX119" s="386"/>
      <c r="DIY119" s="386"/>
      <c r="DIZ119" s="386"/>
      <c r="DJA119" s="386"/>
      <c r="DJB119" s="386"/>
      <c r="DJC119" s="386"/>
      <c r="DJD119" s="386"/>
      <c r="DJE119" s="386"/>
      <c r="DJF119" s="386"/>
      <c r="DJG119" s="386"/>
      <c r="DJH119" s="386"/>
      <c r="DJI119" s="386"/>
      <c r="DJJ119" s="386"/>
      <c r="DJK119" s="386"/>
      <c r="DJL119" s="386"/>
      <c r="DJM119" s="386"/>
      <c r="DJN119" s="386"/>
      <c r="DJO119" s="386"/>
      <c r="DJP119" s="386"/>
      <c r="DJQ119" s="386"/>
      <c r="DJR119" s="386"/>
      <c r="DJS119" s="386"/>
      <c r="DJT119" s="386"/>
      <c r="DJU119" s="386"/>
      <c r="DJV119" s="386"/>
      <c r="DJW119" s="386"/>
      <c r="DJX119" s="386"/>
      <c r="DJY119" s="386"/>
      <c r="DJZ119" s="386"/>
      <c r="DKA119" s="386"/>
      <c r="DKB119" s="386"/>
      <c r="DKC119" s="386"/>
      <c r="DKD119" s="386"/>
      <c r="DKE119" s="386"/>
      <c r="DKF119" s="386"/>
      <c r="DKG119" s="386"/>
      <c r="DKH119" s="386"/>
      <c r="DKI119" s="386"/>
      <c r="DKJ119" s="386"/>
      <c r="DKK119" s="386"/>
      <c r="DKL119" s="386"/>
      <c r="DKM119" s="386"/>
      <c r="DKN119" s="386"/>
      <c r="DKO119" s="386"/>
      <c r="DKP119" s="386"/>
      <c r="DKQ119" s="386"/>
      <c r="DKR119" s="386"/>
      <c r="DKS119" s="386"/>
      <c r="DKT119" s="386"/>
      <c r="DKU119" s="386"/>
      <c r="DKV119" s="386"/>
      <c r="DKW119" s="386"/>
      <c r="DKX119" s="386"/>
      <c r="DKY119" s="386"/>
      <c r="DKZ119" s="386"/>
      <c r="DLA119" s="386"/>
      <c r="DLB119" s="386"/>
      <c r="DLC119" s="386"/>
      <c r="DLD119" s="386"/>
      <c r="DLE119" s="386"/>
      <c r="DLF119" s="386"/>
      <c r="DLG119" s="386"/>
      <c r="DLH119" s="386"/>
      <c r="DLI119" s="386"/>
      <c r="DLJ119" s="386"/>
      <c r="DLK119" s="386"/>
      <c r="DLL119" s="386"/>
      <c r="DLM119" s="386"/>
      <c r="DLN119" s="386"/>
      <c r="DLO119" s="386"/>
      <c r="DLP119" s="386"/>
      <c r="DLQ119" s="386"/>
      <c r="DLR119" s="386"/>
      <c r="DLS119" s="386"/>
      <c r="DLT119" s="386"/>
      <c r="DLU119" s="386"/>
      <c r="DLV119" s="386"/>
      <c r="DLW119" s="386"/>
      <c r="DLX119" s="386"/>
      <c r="DLY119" s="386"/>
      <c r="DLZ119" s="386"/>
      <c r="DMA119" s="386"/>
      <c r="DMB119" s="386"/>
      <c r="DMC119" s="386"/>
      <c r="DMD119" s="386"/>
      <c r="DME119" s="386"/>
      <c r="DMF119" s="386"/>
      <c r="DMG119" s="386"/>
      <c r="DMH119" s="386"/>
      <c r="DMI119" s="386"/>
      <c r="DMJ119" s="386"/>
      <c r="DMK119" s="386"/>
      <c r="DML119" s="386"/>
      <c r="DMM119" s="386"/>
      <c r="DMN119" s="386"/>
      <c r="DMO119" s="386"/>
      <c r="DMP119" s="386"/>
      <c r="DMQ119" s="386"/>
      <c r="DMR119" s="386"/>
      <c r="DMS119" s="386"/>
      <c r="DMT119" s="386"/>
      <c r="DMU119" s="386"/>
      <c r="DMV119" s="386"/>
      <c r="DMW119" s="386"/>
      <c r="DMX119" s="386"/>
      <c r="DMY119" s="386"/>
      <c r="DMZ119" s="386"/>
      <c r="DNA119" s="386"/>
      <c r="DNB119" s="386"/>
      <c r="DNC119" s="386"/>
      <c r="DND119" s="386"/>
      <c r="DNE119" s="386"/>
      <c r="DNF119" s="386"/>
      <c r="DNG119" s="386"/>
      <c r="DNH119" s="386"/>
      <c r="DNI119" s="386"/>
      <c r="DNJ119" s="386"/>
      <c r="DNK119" s="386"/>
      <c r="DNL119" s="386"/>
      <c r="DNM119" s="386"/>
      <c r="DNN119" s="386"/>
      <c r="DNO119" s="386"/>
      <c r="DNP119" s="386"/>
      <c r="DNQ119" s="386"/>
      <c r="DNR119" s="386"/>
      <c r="DNS119" s="386"/>
      <c r="DNT119" s="386"/>
      <c r="DNU119" s="386"/>
      <c r="DNV119" s="386"/>
      <c r="DNW119" s="386"/>
      <c r="DNX119" s="386"/>
      <c r="DNY119" s="386"/>
      <c r="DNZ119" s="386"/>
      <c r="DOA119" s="386"/>
      <c r="DOB119" s="386"/>
      <c r="DOC119" s="386"/>
      <c r="DOD119" s="386"/>
      <c r="DOE119" s="386"/>
      <c r="DOF119" s="386"/>
      <c r="DOG119" s="386"/>
      <c r="DOH119" s="386"/>
      <c r="DOI119" s="386"/>
      <c r="DOJ119" s="386"/>
      <c r="DOK119" s="386"/>
      <c r="DOL119" s="386"/>
      <c r="DOM119" s="386"/>
      <c r="DON119" s="386"/>
      <c r="DOO119" s="386"/>
      <c r="DOP119" s="386"/>
      <c r="DOQ119" s="386"/>
      <c r="DOR119" s="386"/>
      <c r="DOS119" s="386"/>
      <c r="DOT119" s="386"/>
      <c r="DOU119" s="386"/>
      <c r="DOV119" s="386"/>
      <c r="DOW119" s="386"/>
      <c r="DOX119" s="386"/>
      <c r="DOY119" s="386"/>
      <c r="DOZ119" s="386"/>
      <c r="DPA119" s="386"/>
      <c r="DPB119" s="386"/>
      <c r="DPC119" s="386"/>
      <c r="DPD119" s="386"/>
      <c r="DPE119" s="386"/>
      <c r="DPF119" s="386"/>
      <c r="DPG119" s="386"/>
      <c r="DPH119" s="386"/>
      <c r="DPI119" s="386"/>
      <c r="DPJ119" s="386"/>
      <c r="DPK119" s="386"/>
      <c r="DPL119" s="386"/>
      <c r="DPM119" s="386"/>
      <c r="DPN119" s="386"/>
      <c r="DPO119" s="386"/>
      <c r="DPP119" s="386"/>
      <c r="DPQ119" s="386"/>
      <c r="DPR119" s="386"/>
      <c r="DPS119" s="386"/>
      <c r="DPT119" s="386"/>
      <c r="DPU119" s="386"/>
      <c r="DPV119" s="386"/>
      <c r="DPW119" s="386"/>
      <c r="DPX119" s="386"/>
      <c r="DPY119" s="386"/>
      <c r="DPZ119" s="386"/>
      <c r="DQA119" s="386"/>
      <c r="DQB119" s="386"/>
      <c r="DQC119" s="386"/>
      <c r="DQD119" s="386"/>
      <c r="DQE119" s="386"/>
      <c r="DQF119" s="386"/>
      <c r="DQG119" s="386"/>
      <c r="DQH119" s="386"/>
      <c r="DQI119" s="386"/>
      <c r="DQJ119" s="386"/>
      <c r="DQK119" s="386"/>
      <c r="DQL119" s="386"/>
      <c r="DQM119" s="386"/>
      <c r="DQN119" s="386"/>
      <c r="DQO119" s="386"/>
      <c r="DQP119" s="386"/>
      <c r="DQQ119" s="386"/>
      <c r="DQR119" s="386"/>
      <c r="DQS119" s="386"/>
      <c r="DQT119" s="386"/>
      <c r="DQU119" s="386"/>
      <c r="DQV119" s="386"/>
      <c r="DQW119" s="386"/>
      <c r="DQX119" s="386"/>
      <c r="DQY119" s="386"/>
      <c r="DQZ119" s="386"/>
      <c r="DRA119" s="386"/>
      <c r="DRB119" s="386"/>
      <c r="DRC119" s="386"/>
      <c r="DRD119" s="386"/>
      <c r="DRE119" s="386"/>
      <c r="DRF119" s="386"/>
      <c r="DRG119" s="386"/>
      <c r="DRH119" s="386"/>
      <c r="DRI119" s="386"/>
      <c r="DRJ119" s="386"/>
      <c r="DRK119" s="386"/>
      <c r="DRL119" s="386"/>
      <c r="DRM119" s="386"/>
    </row>
    <row r="120" spans="1:3185" s="386" customFormat="1" ht="48" customHeight="1">
      <c r="A120" s="387"/>
      <c r="B120" s="388"/>
      <c r="C120" s="389"/>
      <c r="D120" s="390"/>
      <c r="E120" s="391"/>
      <c r="F120" s="421"/>
      <c r="G120" s="399"/>
      <c r="H120" s="392"/>
      <c r="I120" s="422"/>
      <c r="J120" s="394"/>
      <c r="K120" s="411"/>
      <c r="L120" s="350"/>
      <c r="M120" s="350"/>
      <c r="N120" s="350"/>
    </row>
    <row r="121" spans="1:3185" ht="43.4" customHeight="1">
      <c r="A121" s="387"/>
      <c r="B121" s="388"/>
      <c r="C121" s="389"/>
      <c r="D121" s="390"/>
      <c r="E121" s="391"/>
      <c r="F121" s="421"/>
      <c r="G121" s="396"/>
      <c r="H121" s="392"/>
      <c r="I121" s="422"/>
      <c r="J121" s="394"/>
      <c r="K121" s="411"/>
    </row>
    <row r="122" spans="1:3185" ht="30" customHeight="1">
      <c r="A122" s="387"/>
      <c r="B122" s="388"/>
      <c r="C122" s="389"/>
      <c r="D122" s="390"/>
      <c r="E122" s="391"/>
      <c r="F122" s="421"/>
      <c r="G122" s="399"/>
      <c r="H122" s="389"/>
      <c r="I122" s="422"/>
      <c r="J122" s="394"/>
      <c r="K122" s="411"/>
    </row>
    <row r="123" spans="1:3185" ht="30" customHeight="1">
      <c r="A123" s="387"/>
      <c r="B123" s="388"/>
      <c r="C123" s="389"/>
      <c r="D123" s="390"/>
      <c r="E123" s="391"/>
      <c r="F123" s="421"/>
      <c r="G123" s="396"/>
      <c r="H123" s="392"/>
      <c r="I123" s="422"/>
      <c r="J123" s="394"/>
      <c r="K123" s="411"/>
    </row>
    <row r="124" spans="1:3185" ht="30" customHeight="1">
      <c r="A124" s="387"/>
      <c r="B124" s="388"/>
      <c r="C124" s="389"/>
      <c r="D124" s="390"/>
      <c r="E124" s="391"/>
      <c r="F124" s="421"/>
      <c r="G124" s="396"/>
      <c r="H124" s="392"/>
      <c r="I124" s="422"/>
      <c r="J124" s="394"/>
      <c r="K124" s="411"/>
    </row>
    <row r="125" spans="1:3185" s="386" customFormat="1" ht="30" customHeight="1">
      <c r="A125" s="387"/>
      <c r="B125" s="388"/>
      <c r="C125" s="389"/>
      <c r="D125" s="390"/>
      <c r="E125" s="391"/>
      <c r="F125" s="421"/>
      <c r="G125" s="399"/>
      <c r="H125" s="392"/>
      <c r="I125" s="422"/>
      <c r="J125" s="397"/>
      <c r="K125" s="411"/>
      <c r="L125" s="406"/>
      <c r="M125" s="406"/>
      <c r="N125" s="406"/>
      <c r="O125" s="383"/>
      <c r="P125" s="383"/>
      <c r="Q125" s="383"/>
      <c r="R125" s="383"/>
      <c r="S125" s="383"/>
      <c r="T125" s="383"/>
      <c r="U125" s="383"/>
      <c r="V125" s="383"/>
      <c r="W125" s="383"/>
      <c r="X125" s="383"/>
      <c r="Y125" s="383"/>
      <c r="Z125" s="383"/>
      <c r="AA125" s="383"/>
      <c r="AB125" s="383"/>
      <c r="AC125" s="383"/>
      <c r="AD125" s="383"/>
      <c r="AE125" s="383"/>
      <c r="AF125" s="383"/>
      <c r="AG125" s="383"/>
      <c r="AH125" s="383"/>
      <c r="AI125" s="383"/>
      <c r="AJ125" s="383"/>
      <c r="AK125" s="383"/>
      <c r="AL125" s="383"/>
      <c r="AM125" s="383"/>
      <c r="AN125" s="383"/>
      <c r="AO125" s="383"/>
      <c r="AP125" s="383"/>
      <c r="AQ125" s="383"/>
      <c r="AR125" s="383"/>
      <c r="AS125" s="383"/>
      <c r="AT125" s="383"/>
      <c r="AU125" s="383"/>
      <c r="AV125" s="383"/>
      <c r="AW125" s="383"/>
      <c r="AX125" s="383"/>
      <c r="AY125" s="383"/>
      <c r="AZ125" s="383"/>
      <c r="BA125" s="383"/>
      <c r="BB125" s="383"/>
      <c r="BC125" s="383"/>
      <c r="BD125" s="383"/>
      <c r="BE125" s="383"/>
      <c r="BF125" s="383"/>
      <c r="BG125" s="383"/>
      <c r="BH125" s="383"/>
      <c r="BI125" s="383"/>
      <c r="BJ125" s="383"/>
      <c r="BK125" s="383"/>
      <c r="BL125" s="383"/>
      <c r="BM125" s="383"/>
      <c r="BN125" s="383"/>
      <c r="BO125" s="383"/>
      <c r="BP125" s="383"/>
      <c r="BQ125" s="383"/>
      <c r="BR125" s="383"/>
      <c r="BS125" s="383"/>
      <c r="BT125" s="383"/>
      <c r="BU125" s="383"/>
      <c r="BV125" s="383"/>
      <c r="BW125" s="383"/>
      <c r="BX125" s="383"/>
      <c r="BY125" s="383"/>
      <c r="BZ125" s="383"/>
      <c r="CA125" s="383"/>
      <c r="CB125" s="383"/>
      <c r="CC125" s="383"/>
      <c r="CD125" s="383"/>
      <c r="CE125" s="383"/>
      <c r="CF125" s="383"/>
      <c r="CG125" s="383"/>
      <c r="CH125" s="383"/>
      <c r="CI125" s="383"/>
      <c r="CJ125" s="383"/>
      <c r="CK125" s="383"/>
      <c r="CL125" s="383"/>
      <c r="CM125" s="383"/>
      <c r="CN125" s="383"/>
      <c r="CO125" s="383"/>
      <c r="CP125" s="383"/>
      <c r="CQ125" s="383"/>
      <c r="CR125" s="383"/>
      <c r="CS125" s="383"/>
      <c r="CT125" s="383"/>
      <c r="CU125" s="383"/>
      <c r="CV125" s="383"/>
      <c r="CW125" s="383"/>
      <c r="CX125" s="383"/>
      <c r="CY125" s="383"/>
      <c r="CZ125" s="383"/>
      <c r="DA125" s="383"/>
      <c r="DB125" s="383"/>
      <c r="DC125" s="383"/>
      <c r="DD125" s="383"/>
      <c r="DE125" s="383"/>
      <c r="DF125" s="383"/>
      <c r="DG125" s="383"/>
      <c r="DH125" s="383"/>
      <c r="DI125" s="383"/>
      <c r="DJ125" s="383"/>
      <c r="DK125" s="383"/>
      <c r="DL125" s="383"/>
      <c r="DM125" s="383"/>
      <c r="DN125" s="383"/>
      <c r="DO125" s="383"/>
      <c r="DP125" s="383"/>
      <c r="DQ125" s="383"/>
      <c r="DR125" s="383"/>
      <c r="DS125" s="383"/>
      <c r="DT125" s="383"/>
      <c r="DU125" s="383"/>
      <c r="DV125" s="383"/>
      <c r="DW125" s="383"/>
      <c r="DX125" s="383"/>
      <c r="DY125" s="383"/>
      <c r="DZ125" s="383"/>
      <c r="EA125" s="383"/>
      <c r="EB125" s="383"/>
      <c r="EC125" s="383"/>
      <c r="ED125" s="383"/>
      <c r="EE125" s="383"/>
      <c r="EF125" s="383"/>
      <c r="EG125" s="383"/>
      <c r="EH125" s="383"/>
      <c r="EI125" s="383"/>
      <c r="EJ125" s="383"/>
      <c r="EK125" s="383"/>
      <c r="EL125" s="383"/>
      <c r="EM125" s="383"/>
      <c r="EN125" s="383"/>
      <c r="EO125" s="383"/>
      <c r="EP125" s="383"/>
      <c r="EQ125" s="383"/>
      <c r="ER125" s="383"/>
      <c r="ES125" s="383"/>
      <c r="ET125" s="383"/>
      <c r="EU125" s="383"/>
      <c r="EV125" s="383"/>
      <c r="EW125" s="383"/>
      <c r="EX125" s="383"/>
      <c r="EY125" s="383"/>
      <c r="EZ125" s="383"/>
      <c r="FA125" s="383"/>
      <c r="FB125" s="383"/>
      <c r="FC125" s="383"/>
      <c r="FD125" s="383"/>
      <c r="FE125" s="383"/>
      <c r="FF125" s="383"/>
      <c r="FG125" s="383"/>
      <c r="FH125" s="383"/>
      <c r="FI125" s="383"/>
      <c r="FJ125" s="383"/>
      <c r="FK125" s="383"/>
      <c r="FL125" s="383"/>
      <c r="FM125" s="383"/>
      <c r="FN125" s="383"/>
      <c r="FO125" s="383"/>
      <c r="FP125" s="383"/>
      <c r="FQ125" s="383"/>
      <c r="FR125" s="383"/>
      <c r="FS125" s="383"/>
      <c r="FT125" s="383"/>
      <c r="FU125" s="383"/>
      <c r="FV125" s="383"/>
      <c r="FW125" s="383"/>
      <c r="FX125" s="383"/>
      <c r="FY125" s="383"/>
      <c r="FZ125" s="383"/>
      <c r="GA125" s="383"/>
      <c r="GB125" s="383"/>
      <c r="GC125" s="383"/>
      <c r="GD125" s="383"/>
      <c r="GE125" s="383"/>
      <c r="GF125" s="383"/>
      <c r="GG125" s="383"/>
      <c r="GH125" s="383"/>
      <c r="GI125" s="383"/>
      <c r="GJ125" s="383"/>
      <c r="GK125" s="383"/>
      <c r="GL125" s="383"/>
      <c r="GM125" s="383"/>
      <c r="GN125" s="383"/>
      <c r="GO125" s="383"/>
      <c r="GP125" s="383"/>
      <c r="GQ125" s="383"/>
      <c r="GR125" s="383"/>
      <c r="GS125" s="383"/>
      <c r="GT125" s="383"/>
      <c r="GU125" s="383"/>
      <c r="GV125" s="383"/>
      <c r="GW125" s="383"/>
      <c r="GX125" s="383"/>
      <c r="GY125" s="383"/>
      <c r="GZ125" s="383"/>
      <c r="HA125" s="383"/>
      <c r="HB125" s="383"/>
      <c r="HC125" s="383"/>
      <c r="HD125" s="383"/>
      <c r="HE125" s="383"/>
      <c r="HF125" s="383"/>
      <c r="HG125" s="383"/>
      <c r="HH125" s="383"/>
      <c r="HI125" s="383"/>
      <c r="HJ125" s="383"/>
      <c r="HK125" s="383"/>
      <c r="HL125" s="383"/>
      <c r="HM125" s="383"/>
      <c r="HN125" s="383"/>
      <c r="HO125" s="383"/>
      <c r="HP125" s="383"/>
      <c r="HQ125" s="383"/>
      <c r="HR125" s="383"/>
      <c r="HS125" s="383"/>
      <c r="HT125" s="383"/>
      <c r="HU125" s="383"/>
      <c r="HV125" s="383"/>
      <c r="HW125" s="383"/>
      <c r="HX125" s="383"/>
      <c r="HY125" s="383"/>
      <c r="HZ125" s="383"/>
      <c r="IA125" s="383"/>
      <c r="IB125" s="383"/>
      <c r="IC125" s="383"/>
      <c r="ID125" s="383"/>
      <c r="IE125" s="383"/>
      <c r="IF125" s="383"/>
      <c r="IG125" s="383"/>
      <c r="IH125" s="383"/>
      <c r="II125" s="383"/>
      <c r="IJ125" s="383"/>
      <c r="IK125" s="383"/>
      <c r="IL125" s="383"/>
      <c r="IM125" s="383"/>
      <c r="IN125" s="383"/>
      <c r="IO125" s="383"/>
      <c r="IP125" s="383"/>
      <c r="IQ125" s="383"/>
      <c r="IR125" s="383"/>
      <c r="IS125" s="383"/>
      <c r="IT125" s="383"/>
      <c r="IU125" s="383"/>
      <c r="IV125" s="383"/>
      <c r="IW125" s="383"/>
      <c r="IX125" s="383"/>
      <c r="IY125" s="383"/>
      <c r="IZ125" s="383"/>
      <c r="JA125" s="383"/>
      <c r="JB125" s="383"/>
      <c r="JC125" s="383"/>
      <c r="JD125" s="383"/>
      <c r="JE125" s="383"/>
      <c r="JF125" s="383"/>
      <c r="JG125" s="383"/>
      <c r="JH125" s="383"/>
      <c r="JI125" s="383"/>
      <c r="JJ125" s="383"/>
      <c r="JK125" s="383"/>
      <c r="JL125" s="383"/>
      <c r="JM125" s="383"/>
      <c r="JN125" s="383"/>
      <c r="JO125" s="383"/>
      <c r="JP125" s="383"/>
      <c r="JQ125" s="383"/>
      <c r="JR125" s="383"/>
      <c r="JS125" s="383"/>
      <c r="JT125" s="383"/>
      <c r="JU125" s="383"/>
      <c r="JV125" s="383"/>
      <c r="JW125" s="383"/>
      <c r="JX125" s="383"/>
      <c r="JY125" s="383"/>
      <c r="JZ125" s="383"/>
      <c r="KA125" s="383"/>
      <c r="KB125" s="383"/>
      <c r="KC125" s="383"/>
      <c r="KD125" s="383"/>
      <c r="KE125" s="383"/>
      <c r="KF125" s="383"/>
      <c r="KG125" s="383"/>
      <c r="KH125" s="383"/>
      <c r="KI125" s="383"/>
      <c r="KJ125" s="383"/>
      <c r="KK125" s="383"/>
      <c r="KL125" s="383"/>
      <c r="KM125" s="383"/>
      <c r="KN125" s="383"/>
      <c r="KO125" s="383"/>
      <c r="KP125" s="383"/>
      <c r="KQ125" s="383"/>
      <c r="KR125" s="383"/>
      <c r="KS125" s="383"/>
      <c r="KT125" s="383"/>
      <c r="KU125" s="383"/>
      <c r="KV125" s="383"/>
      <c r="KW125" s="383"/>
      <c r="KX125" s="383"/>
      <c r="KY125" s="383"/>
      <c r="KZ125" s="383"/>
      <c r="LA125" s="383"/>
      <c r="LB125" s="383"/>
      <c r="LC125" s="383"/>
      <c r="LD125" s="383"/>
      <c r="LE125" s="383"/>
      <c r="LF125" s="383"/>
      <c r="LG125" s="383"/>
      <c r="LH125" s="383"/>
      <c r="LI125" s="383"/>
      <c r="LJ125" s="383"/>
      <c r="LK125" s="383"/>
      <c r="LL125" s="383"/>
      <c r="LM125" s="383"/>
      <c r="LN125" s="383"/>
      <c r="LO125" s="383"/>
      <c r="LP125" s="383"/>
      <c r="LQ125" s="383"/>
      <c r="LR125" s="383"/>
      <c r="LS125" s="383"/>
      <c r="LT125" s="383"/>
      <c r="LU125" s="383"/>
      <c r="LV125" s="383"/>
      <c r="LW125" s="383"/>
      <c r="LX125" s="383"/>
      <c r="LY125" s="383"/>
      <c r="LZ125" s="383"/>
      <c r="MA125" s="383"/>
      <c r="MB125" s="383"/>
      <c r="MC125" s="383"/>
      <c r="MD125" s="383"/>
      <c r="ME125" s="383"/>
      <c r="MF125" s="383"/>
      <c r="MG125" s="383"/>
      <c r="MH125" s="383"/>
      <c r="MI125" s="383"/>
      <c r="MJ125" s="383"/>
      <c r="MK125" s="383"/>
      <c r="ML125" s="383"/>
      <c r="MM125" s="383"/>
      <c r="MN125" s="383"/>
      <c r="MO125" s="383"/>
      <c r="MP125" s="383"/>
      <c r="MQ125" s="383"/>
      <c r="MR125" s="383"/>
      <c r="MS125" s="383"/>
      <c r="MT125" s="383"/>
      <c r="MU125" s="383"/>
      <c r="MV125" s="383"/>
      <c r="MW125" s="383"/>
      <c r="MX125" s="383"/>
      <c r="MY125" s="383"/>
      <c r="MZ125" s="383"/>
      <c r="NA125" s="383"/>
      <c r="NB125" s="383"/>
      <c r="NC125" s="383"/>
      <c r="ND125" s="383"/>
      <c r="NE125" s="383"/>
      <c r="NF125" s="383"/>
      <c r="NG125" s="383"/>
      <c r="NH125" s="383"/>
      <c r="NI125" s="383"/>
      <c r="NJ125" s="383"/>
      <c r="NK125" s="383"/>
      <c r="NL125" s="383"/>
      <c r="NM125" s="383"/>
      <c r="NN125" s="383"/>
      <c r="NO125" s="383"/>
      <c r="NP125" s="383"/>
      <c r="NQ125" s="383"/>
      <c r="NR125" s="383"/>
      <c r="NS125" s="383"/>
      <c r="NT125" s="383"/>
      <c r="NU125" s="383"/>
      <c r="NV125" s="383"/>
      <c r="NW125" s="383"/>
      <c r="NX125" s="383"/>
      <c r="NY125" s="383"/>
      <c r="NZ125" s="383"/>
      <c r="OA125" s="383"/>
      <c r="OB125" s="383"/>
      <c r="OC125" s="383"/>
      <c r="OD125" s="383"/>
      <c r="OE125" s="383"/>
      <c r="OF125" s="383"/>
      <c r="OG125" s="383"/>
      <c r="OH125" s="383"/>
      <c r="OI125" s="383"/>
      <c r="OJ125" s="383"/>
      <c r="OK125" s="383"/>
      <c r="OL125" s="383"/>
      <c r="OM125" s="383"/>
      <c r="ON125" s="383"/>
      <c r="OO125" s="383"/>
      <c r="OP125" s="383"/>
      <c r="OQ125" s="383"/>
      <c r="OR125" s="383"/>
      <c r="OS125" s="383"/>
      <c r="OT125" s="383"/>
      <c r="OU125" s="383"/>
      <c r="OV125" s="383"/>
      <c r="OW125" s="383"/>
      <c r="OX125" s="383"/>
      <c r="OY125" s="383"/>
      <c r="OZ125" s="383"/>
      <c r="PA125" s="383"/>
      <c r="PB125" s="383"/>
      <c r="PC125" s="383"/>
      <c r="PD125" s="383"/>
      <c r="PE125" s="383"/>
      <c r="PF125" s="383"/>
      <c r="PG125" s="383"/>
      <c r="PH125" s="383"/>
      <c r="PI125" s="383"/>
      <c r="PJ125" s="383"/>
      <c r="PK125" s="383"/>
      <c r="PL125" s="383"/>
      <c r="PM125" s="383"/>
      <c r="PN125" s="383"/>
      <c r="PO125" s="383"/>
      <c r="PP125" s="383"/>
      <c r="PQ125" s="383"/>
      <c r="PR125" s="383"/>
      <c r="PS125" s="383"/>
      <c r="PT125" s="383"/>
      <c r="PU125" s="383"/>
      <c r="PV125" s="383"/>
      <c r="PW125" s="383"/>
      <c r="PX125" s="383"/>
      <c r="PY125" s="383"/>
      <c r="PZ125" s="383"/>
      <c r="QA125" s="383"/>
      <c r="QB125" s="383"/>
      <c r="QC125" s="383"/>
      <c r="QD125" s="383"/>
      <c r="QE125" s="383"/>
      <c r="QF125" s="383"/>
      <c r="QG125" s="383"/>
      <c r="QH125" s="383"/>
      <c r="QI125" s="383"/>
      <c r="QJ125" s="383"/>
      <c r="QK125" s="383"/>
      <c r="QL125" s="383"/>
      <c r="QM125" s="383"/>
      <c r="QN125" s="383"/>
      <c r="QO125" s="383"/>
      <c r="QP125" s="383"/>
      <c r="QQ125" s="383"/>
      <c r="QR125" s="383"/>
      <c r="QS125" s="383"/>
      <c r="QT125" s="383"/>
      <c r="QU125" s="383"/>
      <c r="QV125" s="383"/>
      <c r="QW125" s="383"/>
      <c r="QX125" s="383"/>
      <c r="QY125" s="383"/>
      <c r="QZ125" s="383"/>
      <c r="RA125" s="383"/>
      <c r="RB125" s="383"/>
      <c r="RC125" s="383"/>
      <c r="RD125" s="383"/>
      <c r="RE125" s="383"/>
      <c r="RF125" s="383"/>
      <c r="RG125" s="383"/>
      <c r="RH125" s="383"/>
      <c r="RI125" s="383"/>
      <c r="RJ125" s="383"/>
      <c r="RK125" s="383"/>
      <c r="RL125" s="383"/>
      <c r="RM125" s="383"/>
      <c r="RN125" s="383"/>
      <c r="RO125" s="383"/>
      <c r="RP125" s="383"/>
      <c r="RQ125" s="383"/>
      <c r="RR125" s="383"/>
      <c r="RS125" s="383"/>
      <c r="RT125" s="383"/>
      <c r="RU125" s="383"/>
      <c r="RV125" s="383"/>
      <c r="RW125" s="383"/>
      <c r="RX125" s="383"/>
      <c r="RY125" s="383"/>
      <c r="RZ125" s="383"/>
      <c r="SA125" s="383"/>
      <c r="SB125" s="383"/>
      <c r="SC125" s="383"/>
      <c r="SD125" s="383"/>
      <c r="SE125" s="383"/>
      <c r="SF125" s="383"/>
      <c r="SG125" s="383"/>
      <c r="SH125" s="383"/>
      <c r="SI125" s="383"/>
      <c r="SJ125" s="383"/>
      <c r="SK125" s="383"/>
      <c r="SL125" s="383"/>
      <c r="SM125" s="383"/>
      <c r="SN125" s="383"/>
      <c r="SO125" s="383"/>
      <c r="SP125" s="383"/>
      <c r="SQ125" s="383"/>
      <c r="SR125" s="383"/>
      <c r="SS125" s="383"/>
      <c r="ST125" s="383"/>
      <c r="SU125" s="383"/>
      <c r="SV125" s="383"/>
      <c r="SW125" s="383"/>
      <c r="SX125" s="383"/>
      <c r="SY125" s="383"/>
      <c r="SZ125" s="383"/>
      <c r="TA125" s="383"/>
      <c r="TB125" s="383"/>
      <c r="TC125" s="383"/>
      <c r="TD125" s="383"/>
      <c r="TE125" s="383"/>
      <c r="TF125" s="383"/>
      <c r="TG125" s="383"/>
      <c r="TH125" s="383"/>
      <c r="TI125" s="383"/>
      <c r="TJ125" s="383"/>
      <c r="TK125" s="383"/>
      <c r="TL125" s="383"/>
      <c r="TM125" s="383"/>
      <c r="TN125" s="383"/>
      <c r="TO125" s="383"/>
      <c r="TP125" s="383"/>
      <c r="TQ125" s="383"/>
      <c r="TR125" s="383"/>
      <c r="TS125" s="383"/>
      <c r="TT125" s="383"/>
      <c r="TU125" s="383"/>
      <c r="TV125" s="383"/>
      <c r="TW125" s="383"/>
      <c r="TX125" s="383"/>
      <c r="TY125" s="383"/>
      <c r="TZ125" s="383"/>
      <c r="UA125" s="383"/>
      <c r="UB125" s="383"/>
      <c r="UC125" s="383"/>
      <c r="UD125" s="383"/>
      <c r="UE125" s="383"/>
      <c r="UF125" s="383"/>
      <c r="UG125" s="383"/>
      <c r="UH125" s="383"/>
      <c r="UI125" s="383"/>
      <c r="UJ125" s="383"/>
      <c r="UK125" s="383"/>
      <c r="UL125" s="383"/>
      <c r="UM125" s="383"/>
      <c r="UN125" s="383"/>
      <c r="UO125" s="383"/>
      <c r="UP125" s="383"/>
      <c r="UQ125" s="383"/>
      <c r="UR125" s="383"/>
      <c r="US125" s="383"/>
      <c r="UT125" s="383"/>
      <c r="UU125" s="383"/>
      <c r="UV125" s="383"/>
      <c r="UW125" s="383"/>
      <c r="UX125" s="383"/>
      <c r="UY125" s="383"/>
      <c r="UZ125" s="383"/>
      <c r="VA125" s="383"/>
      <c r="VB125" s="383"/>
      <c r="VC125" s="383"/>
      <c r="VD125" s="383"/>
      <c r="VE125" s="383"/>
      <c r="VF125" s="383"/>
      <c r="VG125" s="383"/>
      <c r="VH125" s="383"/>
      <c r="VI125" s="383"/>
      <c r="VJ125" s="383"/>
      <c r="VK125" s="383"/>
      <c r="VL125" s="383"/>
      <c r="VM125" s="383"/>
      <c r="VN125" s="383"/>
      <c r="VO125" s="383"/>
      <c r="VP125" s="383"/>
      <c r="VQ125" s="383"/>
      <c r="VR125" s="383"/>
      <c r="VS125" s="383"/>
      <c r="VT125" s="383"/>
      <c r="VU125" s="383"/>
      <c r="VV125" s="383"/>
      <c r="VW125" s="383"/>
      <c r="VX125" s="383"/>
      <c r="VY125" s="383"/>
      <c r="VZ125" s="383"/>
      <c r="WA125" s="383"/>
      <c r="WB125" s="383"/>
      <c r="WC125" s="383"/>
      <c r="WD125" s="383"/>
      <c r="WE125" s="383"/>
      <c r="WF125" s="383"/>
      <c r="WG125" s="383"/>
      <c r="WH125" s="383"/>
      <c r="WI125" s="383"/>
      <c r="WJ125" s="383"/>
      <c r="WK125" s="383"/>
      <c r="WL125" s="383"/>
      <c r="WM125" s="383"/>
      <c r="WN125" s="383"/>
      <c r="WO125" s="383"/>
      <c r="WP125" s="383"/>
      <c r="WQ125" s="383"/>
      <c r="WR125" s="383"/>
      <c r="WS125" s="383"/>
      <c r="WT125" s="383"/>
      <c r="WU125" s="383"/>
      <c r="WV125" s="383"/>
      <c r="WW125" s="383"/>
      <c r="WX125" s="383"/>
      <c r="WY125" s="383"/>
      <c r="WZ125" s="383"/>
      <c r="XA125" s="383"/>
      <c r="XB125" s="383"/>
      <c r="XC125" s="383"/>
      <c r="XD125" s="383"/>
      <c r="XE125" s="383"/>
      <c r="XF125" s="383"/>
      <c r="XG125" s="383"/>
      <c r="XH125" s="383"/>
      <c r="XI125" s="383"/>
      <c r="XJ125" s="383"/>
      <c r="XK125" s="383"/>
      <c r="XL125" s="383"/>
      <c r="XM125" s="383"/>
      <c r="XN125" s="383"/>
      <c r="XO125" s="383"/>
      <c r="XP125" s="383"/>
      <c r="XQ125" s="383"/>
      <c r="XR125" s="383"/>
      <c r="XS125" s="383"/>
      <c r="XT125" s="383"/>
      <c r="XU125" s="383"/>
      <c r="XV125" s="383"/>
      <c r="XW125" s="383"/>
      <c r="XX125" s="383"/>
      <c r="XY125" s="383"/>
      <c r="XZ125" s="383"/>
      <c r="YA125" s="383"/>
      <c r="YB125" s="383"/>
      <c r="YC125" s="383"/>
      <c r="YD125" s="383"/>
      <c r="YE125" s="383"/>
      <c r="YF125" s="383"/>
      <c r="YG125" s="383"/>
      <c r="YH125" s="383"/>
      <c r="YI125" s="383"/>
      <c r="YJ125" s="383"/>
      <c r="YK125" s="383"/>
      <c r="YL125" s="383"/>
      <c r="YM125" s="383"/>
      <c r="YN125" s="383"/>
      <c r="YO125" s="383"/>
      <c r="YP125" s="383"/>
      <c r="YQ125" s="383"/>
      <c r="YR125" s="383"/>
      <c r="YS125" s="383"/>
      <c r="YT125" s="383"/>
      <c r="YU125" s="383"/>
      <c r="YV125" s="383"/>
      <c r="YW125" s="383"/>
      <c r="YX125" s="383"/>
      <c r="YY125" s="383"/>
      <c r="YZ125" s="383"/>
      <c r="ZA125" s="383"/>
      <c r="ZB125" s="383"/>
      <c r="ZC125" s="383"/>
      <c r="ZD125" s="383"/>
      <c r="ZE125" s="383"/>
      <c r="ZF125" s="383"/>
      <c r="ZG125" s="383"/>
      <c r="ZH125" s="383"/>
      <c r="ZI125" s="383"/>
      <c r="ZJ125" s="383"/>
      <c r="ZK125" s="383"/>
      <c r="ZL125" s="383"/>
      <c r="ZM125" s="383"/>
      <c r="ZN125" s="383"/>
      <c r="ZO125" s="383"/>
      <c r="ZP125" s="383"/>
      <c r="ZQ125" s="383"/>
      <c r="ZR125" s="383"/>
      <c r="ZS125" s="383"/>
      <c r="ZT125" s="383"/>
      <c r="ZU125" s="383"/>
      <c r="ZV125" s="383"/>
      <c r="ZW125" s="383"/>
      <c r="ZX125" s="383"/>
      <c r="ZY125" s="383"/>
      <c r="ZZ125" s="383"/>
      <c r="AAA125" s="383"/>
      <c r="AAB125" s="383"/>
      <c r="AAC125" s="383"/>
      <c r="AAD125" s="383"/>
      <c r="AAE125" s="383"/>
      <c r="AAF125" s="383"/>
      <c r="AAG125" s="383"/>
      <c r="AAH125" s="383"/>
      <c r="AAI125" s="383"/>
      <c r="AAJ125" s="383"/>
      <c r="AAK125" s="383"/>
      <c r="AAL125" s="383"/>
      <c r="AAM125" s="383"/>
      <c r="AAN125" s="383"/>
      <c r="AAO125" s="383"/>
      <c r="AAP125" s="383"/>
      <c r="AAQ125" s="383"/>
      <c r="AAR125" s="383"/>
      <c r="AAS125" s="383"/>
      <c r="AAT125" s="383"/>
      <c r="AAU125" s="383"/>
      <c r="AAV125" s="383"/>
      <c r="AAW125" s="383"/>
      <c r="AAX125" s="383"/>
      <c r="AAY125" s="383"/>
      <c r="AAZ125" s="383"/>
      <c r="ABA125" s="383"/>
      <c r="ABB125" s="383"/>
      <c r="ABC125" s="383"/>
      <c r="ABD125" s="383"/>
      <c r="ABE125" s="383"/>
      <c r="ABF125" s="383"/>
      <c r="ABG125" s="383"/>
      <c r="ABH125" s="383"/>
      <c r="ABI125" s="383"/>
      <c r="ABJ125" s="383"/>
      <c r="ABK125" s="383"/>
      <c r="ABL125" s="383"/>
      <c r="ABM125" s="383"/>
      <c r="ABN125" s="383"/>
      <c r="ABO125" s="383"/>
      <c r="ABP125" s="383"/>
      <c r="ABQ125" s="383"/>
      <c r="ABR125" s="383"/>
      <c r="ABS125" s="383"/>
      <c r="ABT125" s="383"/>
      <c r="ABU125" s="383"/>
      <c r="ABV125" s="383"/>
      <c r="ABW125" s="383"/>
      <c r="ABX125" s="383"/>
      <c r="ABY125" s="383"/>
      <c r="ABZ125" s="383"/>
      <c r="ACA125" s="383"/>
      <c r="ACB125" s="383"/>
      <c r="ACC125" s="383"/>
      <c r="ACD125" s="383"/>
      <c r="ACE125" s="383"/>
      <c r="ACF125" s="383"/>
      <c r="ACG125" s="383"/>
      <c r="ACH125" s="383"/>
      <c r="ACI125" s="383"/>
      <c r="ACJ125" s="383"/>
      <c r="ACK125" s="383"/>
      <c r="ACL125" s="383"/>
      <c r="ACM125" s="383"/>
      <c r="ACN125" s="383"/>
      <c r="ACO125" s="383"/>
      <c r="ACP125" s="383"/>
      <c r="ACQ125" s="383"/>
      <c r="ACR125" s="383"/>
      <c r="ACS125" s="383"/>
      <c r="ACT125" s="383"/>
      <c r="ACU125" s="383"/>
      <c r="ACV125" s="383"/>
      <c r="ACW125" s="383"/>
      <c r="ACX125" s="383"/>
      <c r="ACY125" s="383"/>
      <c r="ACZ125" s="383"/>
      <c r="ADA125" s="383"/>
      <c r="ADB125" s="383"/>
      <c r="ADC125" s="383"/>
      <c r="ADD125" s="383"/>
      <c r="ADE125" s="383"/>
      <c r="ADF125" s="383"/>
      <c r="ADG125" s="383"/>
      <c r="ADH125" s="383"/>
      <c r="ADI125" s="383"/>
      <c r="ADJ125" s="383"/>
      <c r="ADK125" s="383"/>
      <c r="ADL125" s="383"/>
      <c r="ADM125" s="383"/>
      <c r="ADN125" s="383"/>
      <c r="ADO125" s="383"/>
      <c r="ADP125" s="383"/>
      <c r="ADQ125" s="383"/>
      <c r="ADR125" s="383"/>
      <c r="ADS125" s="383"/>
      <c r="ADT125" s="383"/>
      <c r="ADU125" s="383"/>
      <c r="ADV125" s="383"/>
      <c r="ADW125" s="383"/>
      <c r="ADX125" s="383"/>
      <c r="ADY125" s="383"/>
      <c r="ADZ125" s="383"/>
      <c r="AEA125" s="383"/>
      <c r="AEB125" s="383"/>
      <c r="AEC125" s="383"/>
      <c r="AED125" s="383"/>
      <c r="AEE125" s="383"/>
      <c r="AEF125" s="383"/>
      <c r="AEG125" s="383"/>
      <c r="AEH125" s="383"/>
      <c r="AEI125" s="383"/>
      <c r="AEJ125" s="383"/>
      <c r="AEK125" s="383"/>
      <c r="AEL125" s="383"/>
      <c r="AEM125" s="383"/>
      <c r="AEN125" s="383"/>
      <c r="AEO125" s="383"/>
      <c r="AEP125" s="383"/>
      <c r="AEQ125" s="383"/>
      <c r="AER125" s="383"/>
      <c r="AES125" s="383"/>
      <c r="AET125" s="383"/>
      <c r="AEU125" s="383"/>
      <c r="AEV125" s="383"/>
      <c r="AEW125" s="383"/>
      <c r="AEX125" s="383"/>
      <c r="AEY125" s="383"/>
      <c r="AEZ125" s="383"/>
      <c r="AFA125" s="383"/>
      <c r="AFB125" s="383"/>
      <c r="AFC125" s="383"/>
      <c r="AFD125" s="383"/>
      <c r="AFE125" s="383"/>
      <c r="AFF125" s="383"/>
      <c r="AFG125" s="383"/>
      <c r="AFH125" s="383"/>
      <c r="AFI125" s="383"/>
      <c r="AFJ125" s="383"/>
      <c r="AFK125" s="383"/>
      <c r="AFL125" s="383"/>
      <c r="AFM125" s="383"/>
      <c r="AFN125" s="383"/>
      <c r="AFO125" s="383"/>
      <c r="AFP125" s="383"/>
      <c r="AFQ125" s="383"/>
      <c r="AFR125" s="383"/>
      <c r="AFS125" s="383"/>
      <c r="AFT125" s="383"/>
      <c r="AFU125" s="383"/>
      <c r="AFV125" s="383"/>
      <c r="AFW125" s="383"/>
      <c r="AFX125" s="383"/>
      <c r="AFY125" s="383"/>
      <c r="AFZ125" s="383"/>
      <c r="AGA125" s="383"/>
      <c r="AGB125" s="383"/>
      <c r="AGC125" s="383"/>
      <c r="AGD125" s="383"/>
      <c r="AGE125" s="383"/>
      <c r="AGF125" s="383"/>
      <c r="AGG125" s="383"/>
      <c r="AGH125" s="383"/>
      <c r="AGI125" s="383"/>
      <c r="AGJ125" s="383"/>
      <c r="AGK125" s="383"/>
      <c r="AGL125" s="383"/>
      <c r="AGM125" s="383"/>
      <c r="AGN125" s="383"/>
      <c r="AGO125" s="383"/>
      <c r="AGP125" s="383"/>
      <c r="AGQ125" s="383"/>
      <c r="AGR125" s="383"/>
      <c r="AGS125" s="383"/>
      <c r="AGT125" s="383"/>
      <c r="AGU125" s="383"/>
      <c r="AGV125" s="383"/>
      <c r="AGW125" s="383"/>
      <c r="AGX125" s="383"/>
      <c r="AGY125" s="383"/>
      <c r="AGZ125" s="383"/>
      <c r="AHA125" s="383"/>
      <c r="AHB125" s="383"/>
      <c r="AHC125" s="383"/>
      <c r="AHD125" s="383"/>
      <c r="AHE125" s="383"/>
      <c r="AHF125" s="383"/>
      <c r="AHG125" s="383"/>
      <c r="AHH125" s="383"/>
      <c r="AHI125" s="383"/>
      <c r="AHJ125" s="383"/>
      <c r="AHK125" s="383"/>
      <c r="AHL125" s="383"/>
      <c r="AHM125" s="383"/>
      <c r="AHN125" s="383"/>
      <c r="AHO125" s="383"/>
      <c r="AHP125" s="383"/>
      <c r="AHQ125" s="383"/>
      <c r="AHR125" s="383"/>
      <c r="AHS125" s="383"/>
      <c r="AHT125" s="383"/>
      <c r="AHU125" s="383"/>
      <c r="AHV125" s="383"/>
      <c r="AHW125" s="383"/>
      <c r="AHX125" s="383"/>
      <c r="AHY125" s="383"/>
      <c r="AHZ125" s="383"/>
      <c r="AIA125" s="383"/>
      <c r="AIB125" s="383"/>
      <c r="AIC125" s="383"/>
      <c r="AID125" s="383"/>
      <c r="AIE125" s="383"/>
      <c r="AIF125" s="383"/>
      <c r="AIG125" s="383"/>
      <c r="AIH125" s="383"/>
      <c r="AII125" s="383"/>
      <c r="AIJ125" s="383"/>
      <c r="AIK125" s="383"/>
      <c r="AIL125" s="383"/>
      <c r="AIM125" s="383"/>
      <c r="AIN125" s="383"/>
      <c r="AIO125" s="383"/>
      <c r="AIP125" s="383"/>
      <c r="AIQ125" s="383"/>
      <c r="AIR125" s="383"/>
      <c r="AIS125" s="383"/>
      <c r="AIT125" s="383"/>
      <c r="AIU125" s="383"/>
      <c r="AIV125" s="383"/>
      <c r="AIW125" s="383"/>
      <c r="AIX125" s="383"/>
      <c r="AIY125" s="383"/>
      <c r="AIZ125" s="383"/>
      <c r="AJA125" s="383"/>
      <c r="AJB125" s="383"/>
      <c r="AJC125" s="383"/>
      <c r="AJD125" s="383"/>
      <c r="AJE125" s="383"/>
      <c r="AJF125" s="383"/>
      <c r="AJG125" s="383"/>
      <c r="AJH125" s="383"/>
      <c r="AJI125" s="383"/>
      <c r="AJJ125" s="383"/>
      <c r="AJK125" s="383"/>
      <c r="AJL125" s="383"/>
      <c r="AJM125" s="383"/>
      <c r="AJN125" s="383"/>
      <c r="AJO125" s="383"/>
      <c r="AJP125" s="383"/>
      <c r="AJQ125" s="383"/>
      <c r="AJR125" s="383"/>
      <c r="AJS125" s="383"/>
      <c r="AJT125" s="383"/>
      <c r="AJU125" s="383"/>
      <c r="AJV125" s="383"/>
      <c r="AJW125" s="383"/>
      <c r="AJX125" s="383"/>
      <c r="AJY125" s="383"/>
      <c r="AJZ125" s="383"/>
      <c r="AKA125" s="383"/>
      <c r="AKB125" s="383"/>
      <c r="AKC125" s="383"/>
      <c r="AKD125" s="383"/>
      <c r="AKE125" s="383"/>
      <c r="AKF125" s="383"/>
      <c r="AKG125" s="383"/>
      <c r="AKH125" s="383"/>
      <c r="AKI125" s="383"/>
      <c r="AKJ125" s="383"/>
      <c r="AKK125" s="383"/>
      <c r="AKL125" s="383"/>
      <c r="AKM125" s="383"/>
      <c r="AKN125" s="383"/>
      <c r="AKO125" s="383"/>
      <c r="AKP125" s="383"/>
      <c r="AKQ125" s="383"/>
      <c r="AKR125" s="383"/>
      <c r="AKS125" s="383"/>
      <c r="AKT125" s="383"/>
      <c r="AKU125" s="383"/>
      <c r="AKV125" s="383"/>
      <c r="AKW125" s="383"/>
      <c r="AKX125" s="383"/>
      <c r="AKY125" s="383"/>
      <c r="AKZ125" s="383"/>
      <c r="ALA125" s="383"/>
      <c r="ALB125" s="383"/>
      <c r="ALC125" s="383"/>
      <c r="ALD125" s="383"/>
      <c r="ALE125" s="383"/>
      <c r="ALF125" s="383"/>
      <c r="ALG125" s="383"/>
      <c r="ALH125" s="383"/>
      <c r="ALI125" s="383"/>
      <c r="ALJ125" s="383"/>
      <c r="ALK125" s="383"/>
      <c r="ALL125" s="383"/>
      <c r="ALM125" s="383"/>
      <c r="ALN125" s="383"/>
      <c r="ALO125" s="383"/>
      <c r="ALP125" s="383"/>
      <c r="ALQ125" s="383"/>
      <c r="ALR125" s="383"/>
      <c r="ALS125" s="383"/>
      <c r="ALT125" s="383"/>
      <c r="ALU125" s="383"/>
      <c r="ALV125" s="383"/>
      <c r="ALW125" s="383"/>
      <c r="ALX125" s="383"/>
      <c r="ALY125" s="383"/>
      <c r="ALZ125" s="383"/>
      <c r="AMA125" s="383"/>
      <c r="AMB125" s="383"/>
      <c r="AMC125" s="383"/>
      <c r="AMD125" s="383"/>
      <c r="AME125" s="383"/>
      <c r="AMF125" s="383"/>
      <c r="AMG125" s="383"/>
      <c r="AMH125" s="383"/>
      <c r="AMI125" s="383"/>
      <c r="AMJ125" s="383"/>
      <c r="AMK125" s="383"/>
      <c r="AML125" s="383"/>
      <c r="AMM125" s="383"/>
      <c r="AMN125" s="383"/>
      <c r="AMO125" s="383"/>
      <c r="AMP125" s="383"/>
      <c r="AMQ125" s="383"/>
      <c r="AMR125" s="383"/>
      <c r="AMS125" s="383"/>
      <c r="AMT125" s="383"/>
      <c r="AMU125" s="383"/>
      <c r="AMV125" s="383"/>
      <c r="AMW125" s="383"/>
      <c r="AMX125" s="383"/>
      <c r="AMY125" s="383"/>
      <c r="AMZ125" s="383"/>
      <c r="ANA125" s="383"/>
      <c r="ANB125" s="383"/>
      <c r="ANC125" s="383"/>
      <c r="AND125" s="383"/>
      <c r="ANE125" s="383"/>
      <c r="ANF125" s="383"/>
      <c r="ANG125" s="383"/>
      <c r="ANH125" s="383"/>
      <c r="ANI125" s="383"/>
      <c r="ANJ125" s="383"/>
      <c r="ANK125" s="383"/>
      <c r="ANL125" s="383"/>
      <c r="ANM125" s="383"/>
      <c r="ANN125" s="383"/>
      <c r="ANO125" s="383"/>
      <c r="ANP125" s="383"/>
      <c r="ANQ125" s="383"/>
      <c r="ANR125" s="383"/>
      <c r="ANS125" s="383"/>
      <c r="ANT125" s="383"/>
      <c r="ANU125" s="383"/>
      <c r="ANV125" s="383"/>
      <c r="ANW125" s="383"/>
      <c r="ANX125" s="383"/>
      <c r="ANY125" s="383"/>
      <c r="ANZ125" s="383"/>
      <c r="AOA125" s="383"/>
      <c r="AOB125" s="383"/>
      <c r="AOC125" s="383"/>
      <c r="AOD125" s="383"/>
      <c r="AOE125" s="383"/>
      <c r="AOF125" s="383"/>
      <c r="AOG125" s="383"/>
      <c r="AOH125" s="383"/>
      <c r="AOI125" s="383"/>
      <c r="AOJ125" s="383"/>
      <c r="AOK125" s="383"/>
      <c r="AOL125" s="383"/>
      <c r="AOM125" s="383"/>
      <c r="AON125" s="383"/>
      <c r="AOO125" s="383"/>
      <c r="AOP125" s="383"/>
      <c r="AOQ125" s="383"/>
      <c r="AOR125" s="383"/>
      <c r="AOS125" s="383"/>
      <c r="AOT125" s="383"/>
      <c r="AOU125" s="383"/>
      <c r="AOV125" s="383"/>
      <c r="AOW125" s="383"/>
      <c r="AOX125" s="383"/>
      <c r="AOY125" s="383"/>
      <c r="AOZ125" s="383"/>
      <c r="APA125" s="383"/>
      <c r="APB125" s="383"/>
      <c r="APC125" s="383"/>
      <c r="APD125" s="383"/>
      <c r="APE125" s="383"/>
      <c r="APF125" s="383"/>
      <c r="APG125" s="383"/>
      <c r="APH125" s="383"/>
      <c r="API125" s="383"/>
      <c r="APJ125" s="383"/>
      <c r="APK125" s="383"/>
      <c r="APL125" s="383"/>
      <c r="APM125" s="383"/>
      <c r="APN125" s="383"/>
      <c r="APO125" s="383"/>
      <c r="APP125" s="383"/>
      <c r="APQ125" s="383"/>
      <c r="APR125" s="383"/>
      <c r="APS125" s="383"/>
      <c r="APT125" s="383"/>
      <c r="APU125" s="383"/>
      <c r="APV125" s="383"/>
      <c r="APW125" s="383"/>
      <c r="APX125" s="383"/>
      <c r="APY125" s="383"/>
      <c r="APZ125" s="383"/>
      <c r="AQA125" s="383"/>
      <c r="AQB125" s="383"/>
      <c r="AQC125" s="383"/>
      <c r="AQD125" s="383"/>
      <c r="AQE125" s="383"/>
      <c r="AQF125" s="383"/>
      <c r="AQG125" s="383"/>
      <c r="AQH125" s="383"/>
      <c r="AQI125" s="383"/>
      <c r="AQJ125" s="383"/>
      <c r="AQK125" s="383"/>
      <c r="AQL125" s="383"/>
      <c r="AQM125" s="383"/>
      <c r="AQN125" s="383"/>
      <c r="AQO125" s="383"/>
      <c r="AQP125" s="383"/>
      <c r="AQQ125" s="383"/>
      <c r="AQR125" s="383"/>
      <c r="AQS125" s="383"/>
      <c r="AQT125" s="383"/>
      <c r="AQU125" s="383"/>
      <c r="AQV125" s="383"/>
      <c r="AQW125" s="383"/>
      <c r="AQX125" s="383"/>
      <c r="AQY125" s="383"/>
      <c r="AQZ125" s="383"/>
      <c r="ARA125" s="383"/>
      <c r="ARB125" s="383"/>
      <c r="ARC125" s="383"/>
      <c r="ARD125" s="383"/>
      <c r="ARE125" s="383"/>
      <c r="ARF125" s="383"/>
      <c r="ARG125" s="383"/>
      <c r="ARH125" s="383"/>
      <c r="ARI125" s="383"/>
      <c r="ARJ125" s="383"/>
      <c r="ARK125" s="383"/>
      <c r="ARL125" s="383"/>
      <c r="ARM125" s="383"/>
      <c r="ARN125" s="383"/>
      <c r="ARO125" s="383"/>
      <c r="ARP125" s="383"/>
      <c r="ARQ125" s="383"/>
      <c r="ARR125" s="383"/>
      <c r="ARS125" s="383"/>
      <c r="ART125" s="383"/>
      <c r="ARU125" s="383"/>
      <c r="ARV125" s="383"/>
      <c r="ARW125" s="383"/>
      <c r="ARX125" s="383"/>
      <c r="ARY125" s="383"/>
      <c r="ARZ125" s="383"/>
      <c r="ASA125" s="383"/>
      <c r="ASB125" s="383"/>
      <c r="ASC125" s="383"/>
      <c r="ASD125" s="383"/>
      <c r="ASE125" s="383"/>
      <c r="ASF125" s="383"/>
      <c r="ASG125" s="383"/>
      <c r="ASH125" s="383"/>
      <c r="ASI125" s="383"/>
      <c r="ASJ125" s="383"/>
      <c r="ASK125" s="383"/>
      <c r="ASL125" s="383"/>
      <c r="ASM125" s="383"/>
      <c r="ASN125" s="383"/>
      <c r="ASO125" s="383"/>
      <c r="ASP125" s="383"/>
      <c r="ASQ125" s="383"/>
      <c r="ASR125" s="383"/>
      <c r="ASS125" s="383"/>
      <c r="AST125" s="383"/>
      <c r="ASU125" s="383"/>
      <c r="ASV125" s="383"/>
      <c r="ASW125" s="383"/>
      <c r="ASX125" s="383"/>
      <c r="ASY125" s="383"/>
      <c r="ASZ125" s="383"/>
      <c r="ATA125" s="383"/>
      <c r="ATB125" s="383"/>
      <c r="ATC125" s="383"/>
      <c r="ATD125" s="383"/>
      <c r="ATE125" s="383"/>
      <c r="ATF125" s="383"/>
      <c r="ATG125" s="383"/>
      <c r="ATH125" s="383"/>
      <c r="ATI125" s="383"/>
      <c r="ATJ125" s="383"/>
      <c r="ATK125" s="383"/>
      <c r="ATL125" s="383"/>
      <c r="ATM125" s="383"/>
      <c r="ATN125" s="383"/>
      <c r="ATO125" s="383"/>
      <c r="ATP125" s="383"/>
      <c r="ATQ125" s="383"/>
      <c r="ATR125" s="383"/>
      <c r="ATS125" s="383"/>
      <c r="ATT125" s="383"/>
      <c r="ATU125" s="383"/>
      <c r="ATV125" s="383"/>
      <c r="ATW125" s="383"/>
      <c r="ATX125" s="383"/>
      <c r="ATY125" s="383"/>
      <c r="ATZ125" s="383"/>
      <c r="AUA125" s="383"/>
      <c r="AUB125" s="383"/>
      <c r="AUC125" s="383"/>
      <c r="AUD125" s="383"/>
      <c r="AUE125" s="383"/>
      <c r="AUF125" s="383"/>
      <c r="AUG125" s="383"/>
      <c r="AUH125" s="383"/>
      <c r="AUI125" s="383"/>
      <c r="AUJ125" s="383"/>
      <c r="AUK125" s="383"/>
      <c r="AUL125" s="383"/>
      <c r="AUM125" s="383"/>
      <c r="AUN125" s="383"/>
      <c r="AUO125" s="383"/>
      <c r="AUP125" s="383"/>
      <c r="AUQ125" s="383"/>
      <c r="AUR125" s="383"/>
      <c r="AUS125" s="383"/>
      <c r="AUT125" s="383"/>
      <c r="AUU125" s="383"/>
      <c r="AUV125" s="383"/>
      <c r="AUW125" s="383"/>
      <c r="AUX125" s="383"/>
      <c r="AUY125" s="383"/>
      <c r="AUZ125" s="383"/>
      <c r="AVA125" s="383"/>
      <c r="AVB125" s="383"/>
      <c r="AVC125" s="383"/>
      <c r="AVD125" s="383"/>
      <c r="AVE125" s="383"/>
      <c r="AVF125" s="383"/>
      <c r="AVG125" s="383"/>
      <c r="AVH125" s="383"/>
      <c r="AVI125" s="383"/>
      <c r="AVJ125" s="383"/>
      <c r="AVK125" s="383"/>
      <c r="AVL125" s="383"/>
      <c r="AVM125" s="383"/>
      <c r="AVN125" s="383"/>
      <c r="AVO125" s="383"/>
      <c r="AVP125" s="383"/>
      <c r="AVQ125" s="383"/>
      <c r="AVR125" s="383"/>
      <c r="AVS125" s="383"/>
      <c r="AVT125" s="383"/>
      <c r="AVU125" s="383"/>
      <c r="AVV125" s="383"/>
      <c r="AVW125" s="383"/>
      <c r="AVX125" s="383"/>
      <c r="AVY125" s="383"/>
      <c r="AVZ125" s="383"/>
      <c r="AWA125" s="383"/>
      <c r="AWB125" s="383"/>
      <c r="AWC125" s="383"/>
      <c r="AWD125" s="383"/>
      <c r="AWE125" s="383"/>
      <c r="AWF125" s="383"/>
      <c r="AWG125" s="383"/>
      <c r="AWH125" s="383"/>
      <c r="AWI125" s="383"/>
      <c r="AWJ125" s="383"/>
      <c r="AWK125" s="383"/>
      <c r="AWL125" s="383"/>
      <c r="AWM125" s="383"/>
      <c r="AWN125" s="383"/>
      <c r="AWO125" s="383"/>
      <c r="AWP125" s="383"/>
      <c r="AWQ125" s="383"/>
      <c r="AWR125" s="383"/>
      <c r="AWS125" s="383"/>
      <c r="AWT125" s="383"/>
      <c r="AWU125" s="383"/>
      <c r="AWV125" s="383"/>
      <c r="AWW125" s="383"/>
      <c r="AWX125" s="383"/>
      <c r="AWY125" s="383"/>
      <c r="AWZ125" s="383"/>
      <c r="AXA125" s="383"/>
      <c r="AXB125" s="383"/>
      <c r="AXC125" s="383"/>
      <c r="AXD125" s="383"/>
      <c r="AXE125" s="383"/>
      <c r="AXF125" s="383"/>
      <c r="AXG125" s="383"/>
      <c r="AXH125" s="383"/>
      <c r="AXI125" s="383"/>
      <c r="AXJ125" s="383"/>
      <c r="AXK125" s="383"/>
      <c r="AXL125" s="383"/>
      <c r="AXM125" s="383"/>
      <c r="AXN125" s="383"/>
      <c r="AXO125" s="383"/>
      <c r="AXP125" s="383"/>
      <c r="AXQ125" s="383"/>
      <c r="AXR125" s="383"/>
      <c r="AXS125" s="383"/>
      <c r="AXT125" s="383"/>
      <c r="AXU125" s="383"/>
      <c r="AXV125" s="383"/>
      <c r="AXW125" s="383"/>
      <c r="AXX125" s="383"/>
      <c r="AXY125" s="383"/>
      <c r="AXZ125" s="383"/>
      <c r="AYA125" s="383"/>
      <c r="AYB125" s="383"/>
      <c r="AYC125" s="383"/>
      <c r="AYD125" s="383"/>
      <c r="AYE125" s="383"/>
      <c r="AYF125" s="383"/>
      <c r="AYG125" s="383"/>
      <c r="AYH125" s="383"/>
      <c r="AYI125" s="383"/>
      <c r="AYJ125" s="383"/>
      <c r="AYK125" s="383"/>
      <c r="AYL125" s="383"/>
      <c r="AYM125" s="383"/>
      <c r="AYN125" s="383"/>
      <c r="AYO125" s="383"/>
      <c r="AYP125" s="383"/>
      <c r="AYQ125" s="383"/>
      <c r="AYR125" s="383"/>
      <c r="AYS125" s="383"/>
      <c r="AYT125" s="383"/>
      <c r="AYU125" s="383"/>
      <c r="AYV125" s="383"/>
      <c r="AYW125" s="383"/>
      <c r="AYX125" s="383"/>
      <c r="AYY125" s="383"/>
      <c r="AYZ125" s="383"/>
      <c r="AZA125" s="383"/>
      <c r="AZB125" s="383"/>
      <c r="AZC125" s="383"/>
      <c r="AZD125" s="383"/>
      <c r="AZE125" s="383"/>
      <c r="AZF125" s="383"/>
      <c r="AZG125" s="383"/>
      <c r="AZH125" s="383"/>
      <c r="AZI125" s="383"/>
      <c r="AZJ125" s="383"/>
      <c r="AZK125" s="383"/>
      <c r="AZL125" s="383"/>
      <c r="AZM125" s="383"/>
      <c r="AZN125" s="383"/>
      <c r="AZO125" s="383"/>
      <c r="AZP125" s="383"/>
      <c r="AZQ125" s="383"/>
      <c r="AZR125" s="383"/>
      <c r="AZS125" s="383"/>
      <c r="AZT125" s="383"/>
      <c r="AZU125" s="383"/>
      <c r="AZV125" s="383"/>
      <c r="AZW125" s="383"/>
      <c r="AZX125" s="383"/>
      <c r="AZY125" s="383"/>
      <c r="AZZ125" s="383"/>
      <c r="BAA125" s="383"/>
      <c r="BAB125" s="383"/>
      <c r="BAC125" s="383"/>
      <c r="BAD125" s="383"/>
      <c r="BAE125" s="383"/>
      <c r="BAF125" s="383"/>
      <c r="BAG125" s="383"/>
      <c r="BAH125" s="383"/>
      <c r="BAI125" s="383"/>
      <c r="BAJ125" s="383"/>
      <c r="BAK125" s="383"/>
      <c r="BAL125" s="383"/>
      <c r="BAM125" s="383"/>
      <c r="BAN125" s="383"/>
      <c r="BAO125" s="383"/>
      <c r="BAP125" s="383"/>
      <c r="BAQ125" s="383"/>
      <c r="BAR125" s="383"/>
      <c r="BAS125" s="383"/>
      <c r="BAT125" s="383"/>
      <c r="BAU125" s="383"/>
      <c r="BAV125" s="383"/>
      <c r="BAW125" s="383"/>
      <c r="BAX125" s="383"/>
      <c r="BAY125" s="383"/>
      <c r="BAZ125" s="383"/>
      <c r="BBA125" s="383"/>
      <c r="BBB125" s="383"/>
      <c r="BBC125" s="383"/>
      <c r="BBD125" s="383"/>
      <c r="BBE125" s="383"/>
      <c r="BBF125" s="383"/>
      <c r="BBG125" s="383"/>
      <c r="BBH125" s="383"/>
      <c r="BBI125" s="383"/>
      <c r="BBJ125" s="383"/>
      <c r="BBK125" s="383"/>
      <c r="BBL125" s="383"/>
      <c r="BBM125" s="383"/>
      <c r="BBN125" s="383"/>
      <c r="BBO125" s="383"/>
      <c r="BBP125" s="383"/>
      <c r="BBQ125" s="383"/>
      <c r="BBR125" s="383"/>
      <c r="BBS125" s="383"/>
      <c r="BBT125" s="383"/>
      <c r="BBU125" s="383"/>
      <c r="BBV125" s="383"/>
      <c r="BBW125" s="383"/>
      <c r="BBX125" s="383"/>
      <c r="BBY125" s="383"/>
      <c r="BBZ125" s="383"/>
      <c r="BCA125" s="383"/>
      <c r="BCB125" s="383"/>
      <c r="BCC125" s="383"/>
      <c r="BCD125" s="383"/>
      <c r="BCE125" s="383"/>
      <c r="BCF125" s="383"/>
      <c r="BCG125" s="383"/>
      <c r="BCH125" s="383"/>
      <c r="BCI125" s="383"/>
      <c r="BCJ125" s="383"/>
      <c r="BCK125" s="383"/>
      <c r="BCL125" s="383"/>
      <c r="BCM125" s="383"/>
      <c r="BCN125" s="383"/>
      <c r="BCO125" s="383"/>
      <c r="BCP125" s="383"/>
      <c r="BCQ125" s="383"/>
      <c r="BCR125" s="383"/>
      <c r="BCS125" s="383"/>
      <c r="BCT125" s="383"/>
      <c r="BCU125" s="383"/>
      <c r="BCV125" s="383"/>
      <c r="BCW125" s="383"/>
      <c r="BCX125" s="383"/>
      <c r="BCY125" s="383"/>
      <c r="BCZ125" s="383"/>
      <c r="BDA125" s="383"/>
      <c r="BDB125" s="383"/>
      <c r="BDC125" s="383"/>
      <c r="BDD125" s="383"/>
      <c r="BDE125" s="383"/>
      <c r="BDF125" s="383"/>
      <c r="BDG125" s="383"/>
      <c r="BDH125" s="383"/>
      <c r="BDI125" s="383"/>
      <c r="BDJ125" s="383"/>
      <c r="BDK125" s="383"/>
      <c r="BDL125" s="383"/>
      <c r="BDM125" s="383"/>
      <c r="BDN125" s="383"/>
      <c r="BDO125" s="383"/>
      <c r="BDP125" s="383"/>
      <c r="BDQ125" s="383"/>
      <c r="BDR125" s="383"/>
      <c r="BDS125" s="383"/>
      <c r="BDT125" s="383"/>
      <c r="BDU125" s="383"/>
      <c r="BDV125" s="383"/>
      <c r="BDW125" s="383"/>
      <c r="BDX125" s="383"/>
      <c r="BDY125" s="383"/>
      <c r="BDZ125" s="383"/>
      <c r="BEA125" s="383"/>
      <c r="BEB125" s="383"/>
      <c r="BEC125" s="383"/>
      <c r="BED125" s="383"/>
      <c r="BEE125" s="383"/>
      <c r="BEF125" s="383"/>
      <c r="BEG125" s="383"/>
      <c r="BEH125" s="383"/>
      <c r="BEI125" s="383"/>
      <c r="BEJ125" s="383"/>
      <c r="BEK125" s="383"/>
      <c r="BEL125" s="383"/>
      <c r="BEM125" s="383"/>
      <c r="BEN125" s="383"/>
      <c r="BEO125" s="383"/>
      <c r="BEP125" s="383"/>
      <c r="BEQ125" s="383"/>
      <c r="BER125" s="383"/>
      <c r="BES125" s="383"/>
      <c r="BET125" s="383"/>
      <c r="BEU125" s="383"/>
      <c r="BEV125" s="383"/>
      <c r="BEW125" s="383"/>
      <c r="BEX125" s="383"/>
      <c r="BEY125" s="383"/>
      <c r="BEZ125" s="383"/>
      <c r="BFA125" s="383"/>
      <c r="BFB125" s="383"/>
      <c r="BFC125" s="383"/>
      <c r="BFD125" s="383"/>
      <c r="BFE125" s="383"/>
      <c r="BFF125" s="383"/>
      <c r="BFG125" s="383"/>
      <c r="BFH125" s="383"/>
      <c r="BFI125" s="383"/>
      <c r="BFJ125" s="383"/>
      <c r="BFK125" s="383"/>
      <c r="BFL125" s="383"/>
      <c r="BFM125" s="383"/>
      <c r="BFN125" s="383"/>
      <c r="BFO125" s="383"/>
      <c r="BFP125" s="383"/>
      <c r="BFQ125" s="383"/>
      <c r="BFR125" s="383"/>
      <c r="BFS125" s="383"/>
      <c r="BFT125" s="383"/>
      <c r="BFU125" s="383"/>
      <c r="BFV125" s="383"/>
      <c r="BFW125" s="383"/>
      <c r="BFX125" s="383"/>
      <c r="BFY125" s="383"/>
      <c r="BFZ125" s="383"/>
      <c r="BGA125" s="383"/>
      <c r="BGB125" s="383"/>
      <c r="BGC125" s="383"/>
      <c r="BGD125" s="383"/>
      <c r="BGE125" s="383"/>
      <c r="BGF125" s="383"/>
      <c r="BGG125" s="383"/>
      <c r="BGH125" s="383"/>
      <c r="BGI125" s="383"/>
      <c r="BGJ125" s="383"/>
      <c r="BGK125" s="383"/>
      <c r="BGL125" s="383"/>
      <c r="BGM125" s="383"/>
      <c r="BGN125" s="383"/>
      <c r="BGO125" s="383"/>
      <c r="BGP125" s="383"/>
      <c r="BGQ125" s="383"/>
      <c r="BGR125" s="383"/>
      <c r="BGS125" s="383"/>
      <c r="BGT125" s="383"/>
      <c r="BGU125" s="383"/>
      <c r="BGV125" s="383"/>
      <c r="BGW125" s="383"/>
      <c r="BGX125" s="383"/>
      <c r="BGY125" s="383"/>
      <c r="BGZ125" s="383"/>
      <c r="BHA125" s="383"/>
      <c r="BHB125" s="383"/>
      <c r="BHC125" s="383"/>
      <c r="BHD125" s="383"/>
      <c r="BHE125" s="383"/>
      <c r="BHF125" s="383"/>
      <c r="BHG125" s="383"/>
      <c r="BHH125" s="383"/>
      <c r="BHI125" s="383"/>
      <c r="BHJ125" s="383"/>
      <c r="BHK125" s="383"/>
      <c r="BHL125" s="383"/>
      <c r="BHM125" s="383"/>
      <c r="BHN125" s="383"/>
      <c r="BHO125" s="383"/>
      <c r="BHP125" s="383"/>
      <c r="BHQ125" s="383"/>
      <c r="BHR125" s="383"/>
      <c r="BHS125" s="383"/>
      <c r="BHT125" s="383"/>
      <c r="BHU125" s="383"/>
      <c r="BHV125" s="383"/>
      <c r="BHW125" s="383"/>
      <c r="BHX125" s="383"/>
      <c r="BHY125" s="383"/>
      <c r="BHZ125" s="383"/>
      <c r="BIA125" s="383"/>
      <c r="BIB125" s="383"/>
      <c r="BIC125" s="383"/>
      <c r="BID125" s="383"/>
      <c r="BIE125" s="383"/>
      <c r="BIF125" s="383"/>
      <c r="BIG125" s="383"/>
      <c r="BIH125" s="383"/>
      <c r="BII125" s="383"/>
      <c r="BIJ125" s="383"/>
      <c r="BIK125" s="383"/>
      <c r="BIL125" s="383"/>
      <c r="BIM125" s="383"/>
      <c r="BIN125" s="383"/>
      <c r="BIO125" s="383"/>
      <c r="BIP125" s="383"/>
      <c r="BIQ125" s="383"/>
      <c r="BIR125" s="383"/>
      <c r="BIS125" s="383"/>
      <c r="BIT125" s="383"/>
      <c r="BIU125" s="383"/>
      <c r="BIV125" s="383"/>
      <c r="BIW125" s="383"/>
      <c r="BIX125" s="383"/>
      <c r="BIY125" s="383"/>
      <c r="BIZ125" s="383"/>
      <c r="BJA125" s="383"/>
      <c r="BJB125" s="383"/>
      <c r="BJC125" s="383"/>
      <c r="BJD125" s="383"/>
      <c r="BJE125" s="383"/>
      <c r="BJF125" s="383"/>
      <c r="BJG125" s="383"/>
      <c r="BJH125" s="383"/>
      <c r="BJI125" s="383"/>
      <c r="BJJ125" s="383"/>
      <c r="BJK125" s="383"/>
      <c r="BJL125" s="383"/>
      <c r="BJM125" s="383"/>
      <c r="BJN125" s="383"/>
      <c r="BJO125" s="383"/>
      <c r="BJP125" s="383"/>
      <c r="BJQ125" s="383"/>
      <c r="BJR125" s="383"/>
      <c r="BJS125" s="383"/>
      <c r="BJT125" s="383"/>
      <c r="BJU125" s="383"/>
      <c r="BJV125" s="383"/>
      <c r="BJW125" s="383"/>
      <c r="BJX125" s="383"/>
      <c r="BJY125" s="383"/>
      <c r="BJZ125" s="383"/>
      <c r="BKA125" s="383"/>
      <c r="BKB125" s="383"/>
      <c r="BKC125" s="383"/>
      <c r="BKD125" s="383"/>
      <c r="BKE125" s="383"/>
      <c r="BKF125" s="383"/>
      <c r="BKG125" s="383"/>
      <c r="BKH125" s="383"/>
      <c r="BKI125" s="383"/>
      <c r="BKJ125" s="383"/>
      <c r="BKK125" s="383"/>
      <c r="BKL125" s="383"/>
      <c r="BKM125" s="383"/>
      <c r="BKN125" s="383"/>
      <c r="BKO125" s="383"/>
      <c r="BKP125" s="383"/>
      <c r="BKQ125" s="383"/>
      <c r="BKR125" s="383"/>
      <c r="BKS125" s="383"/>
      <c r="BKT125" s="383"/>
      <c r="BKU125" s="383"/>
      <c r="BKV125" s="383"/>
      <c r="BKW125" s="383"/>
      <c r="BKX125" s="383"/>
      <c r="BKY125" s="383"/>
      <c r="BKZ125" s="383"/>
      <c r="BLA125" s="383"/>
      <c r="BLB125" s="383"/>
      <c r="BLC125" s="383"/>
      <c r="BLD125" s="383"/>
      <c r="BLE125" s="383"/>
      <c r="BLF125" s="383"/>
      <c r="BLG125" s="383"/>
      <c r="BLH125" s="383"/>
      <c r="BLI125" s="383"/>
      <c r="BLJ125" s="383"/>
      <c r="BLK125" s="383"/>
      <c r="BLL125" s="383"/>
      <c r="BLM125" s="383"/>
      <c r="BLN125" s="383"/>
      <c r="BLO125" s="383"/>
      <c r="BLP125" s="383"/>
      <c r="BLQ125" s="383"/>
      <c r="BLR125" s="383"/>
      <c r="BLS125" s="383"/>
      <c r="BLT125" s="383"/>
      <c r="BLU125" s="383"/>
      <c r="BLV125" s="383"/>
      <c r="BLW125" s="383"/>
      <c r="BLX125" s="383"/>
      <c r="BLY125" s="383"/>
      <c r="BLZ125" s="383"/>
      <c r="BMA125" s="383"/>
      <c r="BMB125" s="383"/>
      <c r="BMC125" s="383"/>
      <c r="BMD125" s="383"/>
      <c r="BME125" s="383"/>
      <c r="BMF125" s="383"/>
      <c r="BMG125" s="383"/>
      <c r="BMH125" s="383"/>
      <c r="BMI125" s="383"/>
      <c r="BMJ125" s="383"/>
      <c r="BMK125" s="383"/>
      <c r="BML125" s="383"/>
      <c r="BMM125" s="383"/>
      <c r="BMN125" s="383"/>
      <c r="BMO125" s="383"/>
      <c r="BMP125" s="383"/>
      <c r="BMQ125" s="383"/>
      <c r="BMR125" s="383"/>
      <c r="BMS125" s="383"/>
      <c r="BMT125" s="383"/>
      <c r="BMU125" s="383"/>
      <c r="BMV125" s="383"/>
      <c r="BMW125" s="383"/>
      <c r="BMX125" s="383"/>
      <c r="BMY125" s="383"/>
      <c r="BMZ125" s="383"/>
      <c r="BNA125" s="383"/>
      <c r="BNB125" s="383"/>
      <c r="BNC125" s="383"/>
      <c r="BND125" s="383"/>
      <c r="BNE125" s="383"/>
      <c r="BNF125" s="383"/>
      <c r="BNG125" s="383"/>
      <c r="BNH125" s="383"/>
      <c r="BNI125" s="383"/>
      <c r="BNJ125" s="383"/>
      <c r="BNK125" s="383"/>
      <c r="BNL125" s="383"/>
      <c r="BNM125" s="383"/>
      <c r="BNN125" s="383"/>
      <c r="BNO125" s="383"/>
      <c r="BNP125" s="383"/>
      <c r="BNQ125" s="383"/>
      <c r="BNR125" s="383"/>
      <c r="BNS125" s="383"/>
      <c r="BNT125" s="383"/>
      <c r="BNU125" s="383"/>
      <c r="BNV125" s="383"/>
      <c r="BNW125" s="383"/>
      <c r="BNX125" s="383"/>
      <c r="BNY125" s="383"/>
      <c r="BNZ125" s="383"/>
      <c r="BOA125" s="383"/>
      <c r="BOB125" s="383"/>
      <c r="BOC125" s="383"/>
      <c r="BOD125" s="383"/>
      <c r="BOE125" s="383"/>
      <c r="BOF125" s="383"/>
      <c r="BOG125" s="383"/>
      <c r="BOH125" s="383"/>
      <c r="BOI125" s="383"/>
      <c r="BOJ125" s="383"/>
      <c r="BOK125" s="383"/>
      <c r="BOL125" s="383"/>
      <c r="BOM125" s="383"/>
      <c r="BON125" s="383"/>
      <c r="BOO125" s="383"/>
      <c r="BOP125" s="383"/>
      <c r="BOQ125" s="383"/>
      <c r="BOR125" s="383"/>
      <c r="BOS125" s="383"/>
      <c r="BOT125" s="383"/>
      <c r="BOU125" s="383"/>
      <c r="BOV125" s="383"/>
      <c r="BOW125" s="383"/>
      <c r="BOX125" s="383"/>
      <c r="BOY125" s="383"/>
      <c r="BOZ125" s="383"/>
      <c r="BPA125" s="383"/>
      <c r="BPB125" s="383"/>
      <c r="BPC125" s="383"/>
      <c r="BPD125" s="383"/>
      <c r="BPE125" s="383"/>
      <c r="BPF125" s="383"/>
      <c r="BPG125" s="383"/>
      <c r="BPH125" s="383"/>
      <c r="BPI125" s="383"/>
      <c r="BPJ125" s="383"/>
      <c r="BPK125" s="383"/>
      <c r="BPL125" s="383"/>
      <c r="BPM125" s="383"/>
      <c r="BPN125" s="383"/>
      <c r="BPO125" s="383"/>
      <c r="BPP125" s="383"/>
      <c r="BPQ125" s="383"/>
      <c r="BPR125" s="383"/>
      <c r="BPS125" s="383"/>
      <c r="BPT125" s="383"/>
      <c r="BPU125" s="383"/>
      <c r="BPV125" s="383"/>
      <c r="BPW125" s="383"/>
      <c r="BPX125" s="383"/>
      <c r="BPY125" s="383"/>
      <c r="BPZ125" s="383"/>
      <c r="BQA125" s="383"/>
      <c r="BQB125" s="383"/>
      <c r="BQC125" s="383"/>
      <c r="BQD125" s="383"/>
      <c r="BQE125" s="383"/>
      <c r="BQF125" s="383"/>
      <c r="BQG125" s="383"/>
      <c r="BQH125" s="383"/>
      <c r="BQI125" s="383"/>
      <c r="BQJ125" s="383"/>
      <c r="BQK125" s="383"/>
      <c r="BQL125" s="383"/>
      <c r="BQM125" s="383"/>
      <c r="BQN125" s="383"/>
      <c r="BQO125" s="383"/>
      <c r="BQP125" s="383"/>
      <c r="BQQ125" s="383"/>
      <c r="BQR125" s="383"/>
      <c r="BQS125" s="383"/>
      <c r="BQT125" s="383"/>
      <c r="BQU125" s="383"/>
      <c r="BQV125" s="383"/>
      <c r="BQW125" s="383"/>
      <c r="BQX125" s="383"/>
      <c r="BQY125" s="383"/>
      <c r="BQZ125" s="383"/>
      <c r="BRA125" s="383"/>
      <c r="BRB125" s="383"/>
      <c r="BRC125" s="383"/>
      <c r="BRD125" s="383"/>
      <c r="BRE125" s="383"/>
      <c r="BRF125" s="383"/>
      <c r="BRG125" s="383"/>
      <c r="BRH125" s="383"/>
      <c r="BRI125" s="383"/>
      <c r="BRJ125" s="383"/>
      <c r="BRK125" s="383"/>
      <c r="BRL125" s="383"/>
      <c r="BRM125" s="383"/>
      <c r="BRN125" s="383"/>
      <c r="BRO125" s="383"/>
      <c r="BRP125" s="383"/>
      <c r="BRQ125" s="383"/>
      <c r="BRR125" s="383"/>
      <c r="BRS125" s="383"/>
      <c r="BRT125" s="383"/>
      <c r="BRU125" s="383"/>
      <c r="BRV125" s="383"/>
      <c r="BRW125" s="383"/>
      <c r="BRX125" s="383"/>
      <c r="BRY125" s="383"/>
      <c r="BRZ125" s="383"/>
      <c r="BSA125" s="383"/>
      <c r="BSB125" s="383"/>
      <c r="BSC125" s="383"/>
      <c r="BSD125" s="383"/>
      <c r="BSE125" s="383"/>
      <c r="BSF125" s="383"/>
      <c r="BSG125" s="383"/>
      <c r="BSH125" s="383"/>
      <c r="BSI125" s="383"/>
      <c r="BSJ125" s="383"/>
      <c r="BSK125" s="383"/>
      <c r="BSL125" s="383"/>
      <c r="BSM125" s="383"/>
      <c r="BSN125" s="383"/>
      <c r="BSO125" s="383"/>
      <c r="BSP125" s="383"/>
      <c r="BSQ125" s="383"/>
      <c r="BSR125" s="383"/>
      <c r="BSS125" s="383"/>
      <c r="BST125" s="383"/>
      <c r="BSU125" s="383"/>
      <c r="BSV125" s="383"/>
      <c r="BSW125" s="383"/>
      <c r="BSX125" s="383"/>
      <c r="BSY125" s="383"/>
      <c r="BSZ125" s="383"/>
      <c r="BTA125" s="383"/>
      <c r="BTB125" s="383"/>
      <c r="BTC125" s="383"/>
      <c r="BTD125" s="383"/>
      <c r="BTE125" s="383"/>
      <c r="BTF125" s="383"/>
      <c r="BTG125" s="383"/>
      <c r="BTH125" s="383"/>
      <c r="BTI125" s="383"/>
      <c r="BTJ125" s="383"/>
      <c r="BTK125" s="383"/>
      <c r="BTL125" s="383"/>
      <c r="BTM125" s="383"/>
      <c r="BTN125" s="383"/>
      <c r="BTO125" s="383"/>
      <c r="BTP125" s="383"/>
      <c r="BTQ125" s="383"/>
      <c r="BTR125" s="383"/>
      <c r="BTS125" s="383"/>
      <c r="BTT125" s="383"/>
      <c r="BTU125" s="383"/>
      <c r="BTV125" s="383"/>
      <c r="BTW125" s="383"/>
      <c r="BTX125" s="383"/>
      <c r="BTY125" s="383"/>
      <c r="BTZ125" s="383"/>
      <c r="BUA125" s="383"/>
      <c r="BUB125" s="383"/>
      <c r="BUC125" s="383"/>
      <c r="BUD125" s="383"/>
      <c r="BUE125" s="383"/>
      <c r="BUF125" s="383"/>
      <c r="BUG125" s="383"/>
      <c r="BUH125" s="383"/>
      <c r="BUI125" s="383"/>
      <c r="BUJ125" s="383"/>
      <c r="BUK125" s="383"/>
      <c r="BUL125" s="383"/>
      <c r="BUM125" s="383"/>
      <c r="BUN125" s="383"/>
      <c r="BUO125" s="383"/>
      <c r="BUP125" s="383"/>
      <c r="BUQ125" s="383"/>
      <c r="BUR125" s="383"/>
      <c r="BUS125" s="383"/>
      <c r="BUT125" s="383"/>
      <c r="BUU125" s="383"/>
      <c r="BUV125" s="383"/>
      <c r="BUW125" s="383"/>
      <c r="BUX125" s="383"/>
      <c r="BUY125" s="383"/>
      <c r="BUZ125" s="383"/>
      <c r="BVA125" s="383"/>
      <c r="BVB125" s="383"/>
      <c r="BVC125" s="383"/>
      <c r="BVD125" s="383"/>
      <c r="BVE125" s="383"/>
      <c r="BVF125" s="383"/>
      <c r="BVG125" s="383"/>
      <c r="BVH125" s="383"/>
      <c r="BVI125" s="383"/>
      <c r="BVJ125" s="383"/>
      <c r="BVK125" s="383"/>
      <c r="BVL125" s="383"/>
      <c r="BVM125" s="383"/>
      <c r="BVN125" s="383"/>
      <c r="BVO125" s="383"/>
      <c r="BVP125" s="383"/>
      <c r="BVQ125" s="383"/>
      <c r="BVR125" s="383"/>
      <c r="BVS125" s="383"/>
      <c r="BVT125" s="383"/>
      <c r="BVU125" s="383"/>
      <c r="BVV125" s="383"/>
      <c r="BVW125" s="383"/>
      <c r="BVX125" s="383"/>
      <c r="BVY125" s="383"/>
      <c r="BVZ125" s="383"/>
      <c r="BWA125" s="383"/>
      <c r="BWB125" s="383"/>
      <c r="BWC125" s="383"/>
      <c r="BWD125" s="383"/>
      <c r="BWE125" s="383"/>
      <c r="BWF125" s="383"/>
      <c r="BWG125" s="383"/>
      <c r="BWH125" s="383"/>
      <c r="BWI125" s="383"/>
      <c r="BWJ125" s="383"/>
      <c r="BWK125" s="383"/>
      <c r="BWL125" s="383"/>
      <c r="BWM125" s="383"/>
      <c r="BWN125" s="383"/>
      <c r="BWO125" s="383"/>
      <c r="BWP125" s="383"/>
      <c r="BWQ125" s="383"/>
      <c r="BWR125" s="383"/>
      <c r="BWS125" s="383"/>
      <c r="BWT125" s="383"/>
      <c r="BWU125" s="383"/>
      <c r="BWV125" s="383"/>
      <c r="BWW125" s="383"/>
      <c r="BWX125" s="383"/>
      <c r="BWY125" s="383"/>
      <c r="BWZ125" s="383"/>
      <c r="BXA125" s="383"/>
      <c r="BXB125" s="383"/>
      <c r="BXC125" s="383"/>
      <c r="BXD125" s="383"/>
      <c r="BXE125" s="383"/>
      <c r="BXF125" s="383"/>
      <c r="BXG125" s="383"/>
      <c r="BXH125" s="383"/>
      <c r="BXI125" s="383"/>
      <c r="BXJ125" s="383"/>
      <c r="BXK125" s="383"/>
      <c r="BXL125" s="383"/>
      <c r="BXM125" s="383"/>
      <c r="BXN125" s="383"/>
      <c r="BXO125" s="383"/>
      <c r="BXP125" s="383"/>
      <c r="BXQ125" s="383"/>
      <c r="BXR125" s="383"/>
      <c r="BXS125" s="383"/>
      <c r="BXT125" s="383"/>
      <c r="BXU125" s="383"/>
      <c r="BXV125" s="383"/>
      <c r="BXW125" s="383"/>
      <c r="BXX125" s="383"/>
      <c r="BXY125" s="383"/>
      <c r="BXZ125" s="383"/>
      <c r="BYA125" s="383"/>
      <c r="BYB125" s="383"/>
      <c r="BYC125" s="383"/>
      <c r="BYD125" s="383"/>
      <c r="BYE125" s="383"/>
      <c r="BYF125" s="383"/>
      <c r="BYG125" s="383"/>
      <c r="BYH125" s="383"/>
      <c r="BYI125" s="383"/>
      <c r="BYJ125" s="383"/>
      <c r="BYK125" s="383"/>
      <c r="BYL125" s="383"/>
      <c r="BYM125" s="383"/>
      <c r="BYN125" s="383"/>
      <c r="BYO125" s="383"/>
      <c r="BYP125" s="383"/>
      <c r="BYQ125" s="383"/>
      <c r="BYR125" s="383"/>
      <c r="BYS125" s="383"/>
      <c r="BYT125" s="383"/>
      <c r="BYU125" s="383"/>
      <c r="BYV125" s="383"/>
      <c r="BYW125" s="383"/>
      <c r="BYX125" s="383"/>
      <c r="BYY125" s="383"/>
      <c r="BYZ125" s="383"/>
      <c r="BZA125" s="383"/>
      <c r="BZB125" s="383"/>
      <c r="BZC125" s="383"/>
      <c r="BZD125" s="383"/>
      <c r="BZE125" s="383"/>
      <c r="BZF125" s="383"/>
      <c r="BZG125" s="383"/>
      <c r="BZH125" s="383"/>
      <c r="BZI125" s="383"/>
      <c r="BZJ125" s="383"/>
      <c r="BZK125" s="383"/>
      <c r="BZL125" s="383"/>
      <c r="BZM125" s="383"/>
      <c r="BZN125" s="383"/>
      <c r="BZO125" s="383"/>
      <c r="BZP125" s="383"/>
      <c r="BZQ125" s="383"/>
      <c r="BZR125" s="383"/>
      <c r="BZS125" s="383"/>
      <c r="BZT125" s="383"/>
      <c r="BZU125" s="383"/>
      <c r="BZV125" s="383"/>
      <c r="BZW125" s="383"/>
      <c r="BZX125" s="383"/>
      <c r="BZY125" s="383"/>
      <c r="BZZ125" s="383"/>
      <c r="CAA125" s="383"/>
      <c r="CAB125" s="383"/>
      <c r="CAC125" s="383"/>
      <c r="CAD125" s="383"/>
      <c r="CAE125" s="383"/>
      <c r="CAF125" s="383"/>
      <c r="CAG125" s="383"/>
      <c r="CAH125" s="383"/>
      <c r="CAI125" s="383"/>
      <c r="CAJ125" s="383"/>
      <c r="CAK125" s="383"/>
      <c r="CAL125" s="383"/>
      <c r="CAM125" s="383"/>
      <c r="CAN125" s="383"/>
      <c r="CAO125" s="383"/>
      <c r="CAP125" s="383"/>
      <c r="CAQ125" s="383"/>
      <c r="CAR125" s="383"/>
      <c r="CAS125" s="383"/>
      <c r="CAT125" s="383"/>
      <c r="CAU125" s="383"/>
      <c r="CAV125" s="383"/>
      <c r="CAW125" s="383"/>
      <c r="CAX125" s="383"/>
      <c r="CAY125" s="383"/>
      <c r="CAZ125" s="383"/>
      <c r="CBA125" s="383"/>
      <c r="CBB125" s="383"/>
      <c r="CBC125" s="383"/>
      <c r="CBD125" s="383"/>
      <c r="CBE125" s="383"/>
      <c r="CBF125" s="383"/>
      <c r="CBG125" s="383"/>
      <c r="CBH125" s="383"/>
      <c r="CBI125" s="383"/>
      <c r="CBJ125" s="383"/>
      <c r="CBK125" s="383"/>
      <c r="CBL125" s="383"/>
      <c r="CBM125" s="383"/>
      <c r="CBN125" s="383"/>
      <c r="CBO125" s="383"/>
      <c r="CBP125" s="383"/>
      <c r="CBQ125" s="383"/>
      <c r="CBR125" s="383"/>
      <c r="CBS125" s="383"/>
      <c r="CBT125" s="383"/>
      <c r="CBU125" s="383"/>
      <c r="CBV125" s="383"/>
      <c r="CBW125" s="383"/>
      <c r="CBX125" s="383"/>
      <c r="CBY125" s="383"/>
      <c r="CBZ125" s="383"/>
      <c r="CCA125" s="383"/>
      <c r="CCB125" s="383"/>
      <c r="CCC125" s="383"/>
      <c r="CCD125" s="383"/>
      <c r="CCE125" s="383"/>
      <c r="CCF125" s="383"/>
      <c r="CCG125" s="383"/>
      <c r="CCH125" s="383"/>
      <c r="CCI125" s="383"/>
      <c r="CCJ125" s="383"/>
      <c r="CCK125" s="383"/>
      <c r="CCL125" s="383"/>
      <c r="CCM125" s="383"/>
      <c r="CCN125" s="383"/>
      <c r="CCO125" s="383"/>
      <c r="CCP125" s="383"/>
      <c r="CCQ125" s="383"/>
      <c r="CCR125" s="383"/>
      <c r="CCS125" s="383"/>
      <c r="CCT125" s="383"/>
      <c r="CCU125" s="383"/>
      <c r="CCV125" s="383"/>
      <c r="CCW125" s="383"/>
      <c r="CCX125" s="383"/>
      <c r="CCY125" s="383"/>
      <c r="CCZ125" s="383"/>
      <c r="CDA125" s="383"/>
      <c r="CDB125" s="383"/>
      <c r="CDC125" s="383"/>
      <c r="CDD125" s="383"/>
      <c r="CDE125" s="383"/>
      <c r="CDF125" s="383"/>
      <c r="CDG125" s="383"/>
      <c r="CDH125" s="383"/>
      <c r="CDI125" s="383"/>
      <c r="CDJ125" s="383"/>
      <c r="CDK125" s="383"/>
      <c r="CDL125" s="383"/>
      <c r="CDM125" s="383"/>
      <c r="CDN125" s="383"/>
      <c r="CDO125" s="383"/>
      <c r="CDP125" s="383"/>
      <c r="CDQ125" s="383"/>
      <c r="CDR125" s="383"/>
      <c r="CDS125" s="383"/>
      <c r="CDT125" s="383"/>
      <c r="CDU125" s="383"/>
      <c r="CDV125" s="383"/>
      <c r="CDW125" s="383"/>
      <c r="CDX125" s="383"/>
      <c r="CDY125" s="383"/>
      <c r="CDZ125" s="383"/>
      <c r="CEA125" s="383"/>
      <c r="CEB125" s="383"/>
      <c r="CEC125" s="383"/>
      <c r="CED125" s="383"/>
      <c r="CEE125" s="383"/>
      <c r="CEF125" s="383"/>
      <c r="CEG125" s="383"/>
      <c r="CEH125" s="383"/>
      <c r="CEI125" s="383"/>
      <c r="CEJ125" s="383"/>
      <c r="CEK125" s="383"/>
      <c r="CEL125" s="383"/>
      <c r="CEM125" s="383"/>
      <c r="CEN125" s="383"/>
      <c r="CEO125" s="383"/>
      <c r="CEP125" s="383"/>
      <c r="CEQ125" s="383"/>
      <c r="CER125" s="383"/>
      <c r="CES125" s="383"/>
      <c r="CET125" s="383"/>
      <c r="CEU125" s="383"/>
      <c r="CEV125" s="383"/>
      <c r="CEW125" s="383"/>
      <c r="CEX125" s="383"/>
      <c r="CEY125" s="383"/>
      <c r="CEZ125" s="383"/>
      <c r="CFA125" s="383"/>
      <c r="CFB125" s="383"/>
      <c r="CFC125" s="383"/>
      <c r="CFD125" s="383"/>
      <c r="CFE125" s="383"/>
      <c r="CFF125" s="383"/>
      <c r="CFG125" s="383"/>
      <c r="CFH125" s="383"/>
      <c r="CFI125" s="383"/>
      <c r="CFJ125" s="383"/>
      <c r="CFK125" s="383"/>
      <c r="CFL125" s="383"/>
      <c r="CFM125" s="383"/>
      <c r="CFN125" s="383"/>
      <c r="CFO125" s="383"/>
      <c r="CFP125" s="383"/>
      <c r="CFQ125" s="383"/>
      <c r="CFR125" s="383"/>
      <c r="CFS125" s="383"/>
      <c r="CFT125" s="383"/>
      <c r="CFU125" s="383"/>
      <c r="CFV125" s="383"/>
      <c r="CFW125" s="383"/>
      <c r="CFX125" s="383"/>
      <c r="CFY125" s="383"/>
      <c r="CFZ125" s="383"/>
      <c r="CGA125" s="383"/>
      <c r="CGB125" s="383"/>
      <c r="CGC125" s="383"/>
      <c r="CGD125" s="383"/>
      <c r="CGE125" s="383"/>
      <c r="CGF125" s="383"/>
      <c r="CGG125" s="383"/>
      <c r="CGH125" s="383"/>
      <c r="CGI125" s="383"/>
      <c r="CGJ125" s="383"/>
      <c r="CGK125" s="383"/>
      <c r="CGL125" s="383"/>
      <c r="CGM125" s="383"/>
      <c r="CGN125" s="383"/>
      <c r="CGO125" s="383"/>
      <c r="CGP125" s="383"/>
      <c r="CGQ125" s="383"/>
      <c r="CGR125" s="383"/>
      <c r="CGS125" s="383"/>
      <c r="CGT125" s="383"/>
      <c r="CGU125" s="383"/>
      <c r="CGV125" s="383"/>
      <c r="CGW125" s="383"/>
      <c r="CGX125" s="383"/>
      <c r="CGY125" s="383"/>
      <c r="CGZ125" s="383"/>
      <c r="CHA125" s="383"/>
      <c r="CHB125" s="383"/>
      <c r="CHC125" s="383"/>
      <c r="CHD125" s="383"/>
      <c r="CHE125" s="383"/>
      <c r="CHF125" s="383"/>
      <c r="CHG125" s="383"/>
      <c r="CHH125" s="383"/>
      <c r="CHI125" s="383"/>
      <c r="CHJ125" s="383"/>
      <c r="CHK125" s="383"/>
      <c r="CHL125" s="383"/>
      <c r="CHM125" s="383"/>
      <c r="CHN125" s="383"/>
      <c r="CHO125" s="383"/>
      <c r="CHP125" s="383"/>
      <c r="CHQ125" s="383"/>
      <c r="CHR125" s="383"/>
      <c r="CHS125" s="383"/>
      <c r="CHT125" s="383"/>
      <c r="CHU125" s="383"/>
      <c r="CHV125" s="383"/>
      <c r="CHW125" s="383"/>
      <c r="CHX125" s="383"/>
      <c r="CHY125" s="383"/>
      <c r="CHZ125" s="383"/>
      <c r="CIA125" s="383"/>
      <c r="CIB125" s="383"/>
      <c r="CIC125" s="383"/>
      <c r="CID125" s="383"/>
      <c r="CIE125" s="383"/>
      <c r="CIF125" s="383"/>
      <c r="CIG125" s="383"/>
      <c r="CIH125" s="383"/>
      <c r="CII125" s="383"/>
      <c r="CIJ125" s="383"/>
      <c r="CIK125" s="383"/>
      <c r="CIL125" s="383"/>
      <c r="CIM125" s="383"/>
      <c r="CIN125" s="383"/>
      <c r="CIO125" s="383"/>
      <c r="CIP125" s="383"/>
      <c r="CIQ125" s="383"/>
      <c r="CIR125" s="383"/>
      <c r="CIS125" s="383"/>
      <c r="CIT125" s="383"/>
      <c r="CIU125" s="383"/>
      <c r="CIV125" s="383"/>
      <c r="CIW125" s="383"/>
      <c r="CIX125" s="383"/>
      <c r="CIY125" s="383"/>
      <c r="CIZ125" s="383"/>
      <c r="CJA125" s="383"/>
      <c r="CJB125" s="383"/>
      <c r="CJC125" s="383"/>
      <c r="CJD125" s="383"/>
      <c r="CJE125" s="383"/>
      <c r="CJF125" s="383"/>
      <c r="CJG125" s="383"/>
      <c r="CJH125" s="383"/>
      <c r="CJI125" s="383"/>
      <c r="CJJ125" s="383"/>
      <c r="CJK125" s="383"/>
      <c r="CJL125" s="383"/>
      <c r="CJM125" s="383"/>
      <c r="CJN125" s="383"/>
      <c r="CJO125" s="383"/>
      <c r="CJP125" s="383"/>
      <c r="CJQ125" s="383"/>
      <c r="CJR125" s="383"/>
      <c r="CJS125" s="383"/>
      <c r="CJT125" s="383"/>
      <c r="CJU125" s="383"/>
      <c r="CJV125" s="383"/>
      <c r="CJW125" s="383"/>
      <c r="CJX125" s="383"/>
      <c r="CJY125" s="383"/>
      <c r="CJZ125" s="383"/>
      <c r="CKA125" s="383"/>
      <c r="CKB125" s="383"/>
      <c r="CKC125" s="383"/>
      <c r="CKD125" s="383"/>
      <c r="CKE125" s="383"/>
      <c r="CKF125" s="383"/>
      <c r="CKG125" s="383"/>
      <c r="CKH125" s="383"/>
      <c r="CKI125" s="383"/>
      <c r="CKJ125" s="383"/>
      <c r="CKK125" s="383"/>
      <c r="CKL125" s="383"/>
      <c r="CKM125" s="383"/>
      <c r="CKN125" s="383"/>
      <c r="CKO125" s="383"/>
      <c r="CKP125" s="383"/>
      <c r="CKQ125" s="383"/>
      <c r="CKR125" s="383"/>
      <c r="CKS125" s="383"/>
      <c r="CKT125" s="383"/>
      <c r="CKU125" s="383"/>
      <c r="CKV125" s="383"/>
      <c r="CKW125" s="383"/>
      <c r="CKX125" s="383"/>
      <c r="CKY125" s="383"/>
      <c r="CKZ125" s="383"/>
      <c r="CLA125" s="383"/>
      <c r="CLB125" s="383"/>
      <c r="CLC125" s="383"/>
      <c r="CLD125" s="383"/>
      <c r="CLE125" s="383"/>
      <c r="CLF125" s="383"/>
      <c r="CLG125" s="383"/>
      <c r="CLH125" s="383"/>
      <c r="CLI125" s="383"/>
      <c r="CLJ125" s="383"/>
      <c r="CLK125" s="383"/>
      <c r="CLL125" s="383"/>
      <c r="CLM125" s="383"/>
      <c r="CLN125" s="383"/>
      <c r="CLO125" s="383"/>
      <c r="CLP125" s="383"/>
      <c r="CLQ125" s="383"/>
      <c r="CLR125" s="383"/>
      <c r="CLS125" s="383"/>
      <c r="CLT125" s="383"/>
      <c r="CLU125" s="383"/>
      <c r="CLV125" s="383"/>
      <c r="CLW125" s="383"/>
      <c r="CLX125" s="383"/>
      <c r="CLY125" s="383"/>
      <c r="CLZ125" s="383"/>
      <c r="CMA125" s="383"/>
      <c r="CMB125" s="383"/>
      <c r="CMC125" s="383"/>
      <c r="CMD125" s="383"/>
      <c r="CME125" s="383"/>
      <c r="CMF125" s="383"/>
      <c r="CMG125" s="383"/>
      <c r="CMH125" s="383"/>
      <c r="CMI125" s="383"/>
      <c r="CMJ125" s="383"/>
      <c r="CMK125" s="383"/>
      <c r="CML125" s="383"/>
      <c r="CMM125" s="383"/>
      <c r="CMN125" s="383"/>
      <c r="CMO125" s="383"/>
      <c r="CMP125" s="383"/>
      <c r="CMQ125" s="383"/>
      <c r="CMR125" s="383"/>
      <c r="CMS125" s="383"/>
      <c r="CMT125" s="383"/>
      <c r="CMU125" s="383"/>
      <c r="CMV125" s="383"/>
      <c r="CMW125" s="383"/>
      <c r="CMX125" s="383"/>
      <c r="CMY125" s="383"/>
      <c r="CMZ125" s="383"/>
      <c r="CNA125" s="383"/>
      <c r="CNB125" s="383"/>
      <c r="CNC125" s="383"/>
      <c r="CND125" s="383"/>
      <c r="CNE125" s="383"/>
      <c r="CNF125" s="383"/>
      <c r="CNG125" s="383"/>
      <c r="CNH125" s="383"/>
      <c r="CNI125" s="383"/>
      <c r="CNJ125" s="383"/>
      <c r="CNK125" s="383"/>
      <c r="CNL125" s="383"/>
      <c r="CNM125" s="383"/>
      <c r="CNN125" s="383"/>
      <c r="CNO125" s="383"/>
      <c r="CNP125" s="383"/>
      <c r="CNQ125" s="383"/>
      <c r="CNR125" s="383"/>
      <c r="CNS125" s="383"/>
      <c r="CNT125" s="383"/>
      <c r="CNU125" s="383"/>
      <c r="CNV125" s="383"/>
      <c r="CNW125" s="383"/>
      <c r="CNX125" s="383"/>
      <c r="CNY125" s="383"/>
      <c r="CNZ125" s="383"/>
      <c r="COA125" s="383"/>
      <c r="COB125" s="383"/>
      <c r="COC125" s="383"/>
      <c r="COD125" s="383"/>
      <c r="COE125" s="383"/>
      <c r="COF125" s="383"/>
      <c r="COG125" s="383"/>
      <c r="COH125" s="383"/>
      <c r="COI125" s="383"/>
      <c r="COJ125" s="383"/>
      <c r="COK125" s="383"/>
      <c r="COL125" s="383"/>
      <c r="COM125" s="383"/>
      <c r="CON125" s="383"/>
      <c r="COO125" s="383"/>
      <c r="COP125" s="383"/>
      <c r="COQ125" s="383"/>
      <c r="COR125" s="383"/>
      <c r="COS125" s="383"/>
      <c r="COT125" s="383"/>
      <c r="COU125" s="383"/>
      <c r="COV125" s="383"/>
      <c r="COW125" s="383"/>
      <c r="COX125" s="383"/>
      <c r="COY125" s="383"/>
      <c r="COZ125" s="383"/>
      <c r="CPA125" s="383"/>
      <c r="CPB125" s="383"/>
      <c r="CPC125" s="383"/>
      <c r="CPD125" s="383"/>
      <c r="CPE125" s="383"/>
      <c r="CPF125" s="383"/>
      <c r="CPG125" s="383"/>
      <c r="CPH125" s="383"/>
      <c r="CPI125" s="383"/>
      <c r="CPJ125" s="383"/>
      <c r="CPK125" s="383"/>
      <c r="CPL125" s="383"/>
      <c r="CPM125" s="383"/>
      <c r="CPN125" s="383"/>
      <c r="CPO125" s="383"/>
      <c r="CPP125" s="383"/>
      <c r="CPQ125" s="383"/>
      <c r="CPR125" s="383"/>
      <c r="CPS125" s="383"/>
      <c r="CPT125" s="383"/>
      <c r="CPU125" s="383"/>
      <c r="CPV125" s="383"/>
      <c r="CPW125" s="383"/>
      <c r="CPX125" s="383"/>
      <c r="CPY125" s="383"/>
      <c r="CPZ125" s="383"/>
      <c r="CQA125" s="383"/>
      <c r="CQB125" s="383"/>
      <c r="CQC125" s="383"/>
      <c r="CQD125" s="383"/>
      <c r="CQE125" s="383"/>
      <c r="CQF125" s="383"/>
      <c r="CQG125" s="383"/>
      <c r="CQH125" s="383"/>
      <c r="CQI125" s="383"/>
      <c r="CQJ125" s="383"/>
      <c r="CQK125" s="383"/>
      <c r="CQL125" s="383"/>
      <c r="CQM125" s="383"/>
      <c r="CQN125" s="383"/>
      <c r="CQO125" s="383"/>
      <c r="CQP125" s="383"/>
      <c r="CQQ125" s="383"/>
      <c r="CQR125" s="383"/>
      <c r="CQS125" s="383"/>
      <c r="CQT125" s="383"/>
      <c r="CQU125" s="383"/>
      <c r="CQV125" s="383"/>
      <c r="CQW125" s="383"/>
      <c r="CQX125" s="383"/>
      <c r="CQY125" s="383"/>
      <c r="CQZ125" s="383"/>
      <c r="CRA125" s="383"/>
      <c r="CRB125" s="383"/>
      <c r="CRC125" s="383"/>
      <c r="CRD125" s="383"/>
      <c r="CRE125" s="383"/>
      <c r="CRF125" s="383"/>
      <c r="CRG125" s="383"/>
      <c r="CRH125" s="383"/>
      <c r="CRI125" s="383"/>
      <c r="CRJ125" s="383"/>
      <c r="CRK125" s="383"/>
      <c r="CRL125" s="383"/>
      <c r="CRM125" s="383"/>
      <c r="CRN125" s="383"/>
      <c r="CRO125" s="383"/>
      <c r="CRP125" s="383"/>
      <c r="CRQ125" s="383"/>
      <c r="CRR125" s="383"/>
      <c r="CRS125" s="383"/>
      <c r="CRT125" s="383"/>
      <c r="CRU125" s="383"/>
      <c r="CRV125" s="383"/>
      <c r="CRW125" s="383"/>
      <c r="CRX125" s="383"/>
      <c r="CRY125" s="383"/>
      <c r="CRZ125" s="383"/>
      <c r="CSA125" s="383"/>
      <c r="CSB125" s="383"/>
      <c r="CSC125" s="383"/>
      <c r="CSD125" s="383"/>
      <c r="CSE125" s="383"/>
      <c r="CSF125" s="383"/>
      <c r="CSG125" s="383"/>
      <c r="CSH125" s="383"/>
      <c r="CSI125" s="383"/>
      <c r="CSJ125" s="383"/>
      <c r="CSK125" s="383"/>
      <c r="CSL125" s="383"/>
      <c r="CSM125" s="383"/>
      <c r="CSN125" s="383"/>
      <c r="CSO125" s="383"/>
      <c r="CSP125" s="383"/>
      <c r="CSQ125" s="383"/>
      <c r="CSR125" s="383"/>
      <c r="CSS125" s="383"/>
      <c r="CST125" s="383"/>
      <c r="CSU125" s="383"/>
      <c r="CSV125" s="383"/>
      <c r="CSW125" s="383"/>
      <c r="CSX125" s="383"/>
      <c r="CSY125" s="383"/>
      <c r="CSZ125" s="383"/>
      <c r="CTA125" s="383"/>
      <c r="CTB125" s="383"/>
      <c r="CTC125" s="383"/>
      <c r="CTD125" s="383"/>
      <c r="CTE125" s="383"/>
      <c r="CTF125" s="383"/>
      <c r="CTG125" s="383"/>
      <c r="CTH125" s="383"/>
      <c r="CTI125" s="383"/>
      <c r="CTJ125" s="383"/>
      <c r="CTK125" s="383"/>
      <c r="CTL125" s="383"/>
      <c r="CTM125" s="383"/>
      <c r="CTN125" s="383"/>
      <c r="CTO125" s="383"/>
      <c r="CTP125" s="383"/>
      <c r="CTQ125" s="383"/>
      <c r="CTR125" s="383"/>
      <c r="CTS125" s="383"/>
      <c r="CTT125" s="383"/>
      <c r="CTU125" s="383"/>
      <c r="CTV125" s="383"/>
      <c r="CTW125" s="383"/>
      <c r="CTX125" s="383"/>
      <c r="CTY125" s="383"/>
      <c r="CTZ125" s="383"/>
      <c r="CUA125" s="383"/>
      <c r="CUB125" s="383"/>
      <c r="CUC125" s="383"/>
      <c r="CUD125" s="383"/>
      <c r="CUE125" s="383"/>
      <c r="CUF125" s="383"/>
      <c r="CUG125" s="383"/>
      <c r="CUH125" s="383"/>
      <c r="CUI125" s="383"/>
      <c r="CUJ125" s="383"/>
      <c r="CUK125" s="383"/>
      <c r="CUL125" s="383"/>
      <c r="CUM125" s="383"/>
      <c r="CUN125" s="383"/>
      <c r="CUO125" s="383"/>
      <c r="CUP125" s="383"/>
      <c r="CUQ125" s="383"/>
      <c r="CUR125" s="383"/>
      <c r="CUS125" s="383"/>
      <c r="CUT125" s="383"/>
      <c r="CUU125" s="383"/>
      <c r="CUV125" s="383"/>
      <c r="CUW125" s="383"/>
      <c r="CUX125" s="383"/>
      <c r="CUY125" s="383"/>
      <c r="CUZ125" s="383"/>
      <c r="CVA125" s="383"/>
      <c r="CVB125" s="383"/>
      <c r="CVC125" s="383"/>
      <c r="CVD125" s="383"/>
      <c r="CVE125" s="383"/>
      <c r="CVF125" s="383"/>
      <c r="CVG125" s="383"/>
      <c r="CVH125" s="383"/>
      <c r="CVI125" s="383"/>
      <c r="CVJ125" s="383"/>
      <c r="CVK125" s="383"/>
      <c r="CVL125" s="383"/>
      <c r="CVM125" s="383"/>
      <c r="CVN125" s="383"/>
      <c r="CVO125" s="383"/>
      <c r="CVP125" s="383"/>
      <c r="CVQ125" s="383"/>
      <c r="CVR125" s="383"/>
      <c r="CVS125" s="383"/>
      <c r="CVT125" s="383"/>
      <c r="CVU125" s="383"/>
      <c r="CVV125" s="383"/>
      <c r="CVW125" s="383"/>
      <c r="CVX125" s="383"/>
      <c r="CVY125" s="383"/>
      <c r="CVZ125" s="383"/>
      <c r="CWA125" s="383"/>
      <c r="CWB125" s="383"/>
      <c r="CWC125" s="383"/>
      <c r="CWD125" s="383"/>
      <c r="CWE125" s="383"/>
      <c r="CWF125" s="383"/>
      <c r="CWG125" s="383"/>
      <c r="CWH125" s="383"/>
      <c r="CWI125" s="383"/>
      <c r="CWJ125" s="383"/>
      <c r="CWK125" s="383"/>
      <c r="CWL125" s="383"/>
      <c r="CWM125" s="383"/>
      <c r="CWN125" s="383"/>
      <c r="CWO125" s="383"/>
      <c r="CWP125" s="383"/>
      <c r="CWQ125" s="383"/>
      <c r="CWR125" s="383"/>
      <c r="CWS125" s="383"/>
      <c r="CWT125" s="383"/>
      <c r="CWU125" s="383"/>
      <c r="CWV125" s="383"/>
      <c r="CWW125" s="383"/>
      <c r="CWX125" s="383"/>
      <c r="CWY125" s="383"/>
      <c r="CWZ125" s="383"/>
      <c r="CXA125" s="383"/>
      <c r="CXB125" s="383"/>
      <c r="CXC125" s="383"/>
      <c r="CXD125" s="383"/>
      <c r="CXE125" s="383"/>
      <c r="CXF125" s="383"/>
      <c r="CXG125" s="383"/>
      <c r="CXH125" s="383"/>
      <c r="CXI125" s="383"/>
      <c r="CXJ125" s="383"/>
      <c r="CXK125" s="383"/>
      <c r="CXL125" s="383"/>
      <c r="CXM125" s="383"/>
      <c r="CXN125" s="383"/>
      <c r="CXO125" s="383"/>
      <c r="CXP125" s="383"/>
      <c r="CXQ125" s="383"/>
      <c r="CXR125" s="383"/>
      <c r="CXS125" s="383"/>
      <c r="CXT125" s="383"/>
      <c r="CXU125" s="383"/>
      <c r="CXV125" s="383"/>
      <c r="CXW125" s="383"/>
      <c r="CXX125" s="383"/>
      <c r="CXY125" s="383"/>
      <c r="CXZ125" s="383"/>
      <c r="CYA125" s="383"/>
      <c r="CYB125" s="383"/>
      <c r="CYC125" s="383"/>
      <c r="CYD125" s="383"/>
      <c r="CYE125" s="383"/>
      <c r="CYF125" s="383"/>
      <c r="CYG125" s="383"/>
      <c r="CYH125" s="383"/>
      <c r="CYI125" s="383"/>
      <c r="CYJ125" s="383"/>
      <c r="CYK125" s="383"/>
      <c r="CYL125" s="383"/>
      <c r="CYM125" s="383"/>
      <c r="CYN125" s="383"/>
      <c r="CYO125" s="383"/>
      <c r="CYP125" s="383"/>
      <c r="CYQ125" s="383"/>
      <c r="CYR125" s="383"/>
      <c r="CYS125" s="383"/>
      <c r="CYT125" s="383"/>
      <c r="CYU125" s="383"/>
      <c r="CYV125" s="383"/>
      <c r="CYW125" s="383"/>
      <c r="CYX125" s="383"/>
      <c r="CYY125" s="383"/>
      <c r="CYZ125" s="383"/>
      <c r="CZA125" s="383"/>
      <c r="CZB125" s="383"/>
      <c r="CZC125" s="383"/>
      <c r="CZD125" s="383"/>
      <c r="CZE125" s="383"/>
      <c r="CZF125" s="383"/>
      <c r="CZG125" s="383"/>
      <c r="CZH125" s="383"/>
      <c r="CZI125" s="383"/>
      <c r="CZJ125" s="383"/>
      <c r="CZK125" s="383"/>
      <c r="CZL125" s="383"/>
      <c r="CZM125" s="383"/>
      <c r="CZN125" s="383"/>
      <c r="CZO125" s="383"/>
      <c r="CZP125" s="383"/>
      <c r="CZQ125" s="383"/>
      <c r="CZR125" s="383"/>
      <c r="CZS125" s="383"/>
      <c r="CZT125" s="383"/>
      <c r="CZU125" s="383"/>
      <c r="CZV125" s="383"/>
      <c r="CZW125" s="383"/>
      <c r="CZX125" s="383"/>
      <c r="CZY125" s="383"/>
      <c r="CZZ125" s="383"/>
      <c r="DAA125" s="383"/>
      <c r="DAB125" s="383"/>
      <c r="DAC125" s="383"/>
      <c r="DAD125" s="383"/>
      <c r="DAE125" s="383"/>
      <c r="DAF125" s="383"/>
      <c r="DAG125" s="383"/>
      <c r="DAH125" s="383"/>
      <c r="DAI125" s="383"/>
      <c r="DAJ125" s="383"/>
      <c r="DAK125" s="383"/>
      <c r="DAL125" s="383"/>
      <c r="DAM125" s="383"/>
      <c r="DAN125" s="383"/>
      <c r="DAO125" s="383"/>
      <c r="DAP125" s="383"/>
      <c r="DAQ125" s="383"/>
      <c r="DAR125" s="383"/>
      <c r="DAS125" s="383"/>
      <c r="DAT125" s="383"/>
      <c r="DAU125" s="383"/>
      <c r="DAV125" s="383"/>
      <c r="DAW125" s="383"/>
      <c r="DAX125" s="383"/>
      <c r="DAY125" s="383"/>
      <c r="DAZ125" s="383"/>
      <c r="DBA125" s="383"/>
      <c r="DBB125" s="383"/>
      <c r="DBC125" s="383"/>
      <c r="DBD125" s="383"/>
      <c r="DBE125" s="383"/>
      <c r="DBF125" s="383"/>
      <c r="DBG125" s="383"/>
      <c r="DBH125" s="383"/>
      <c r="DBI125" s="383"/>
      <c r="DBJ125" s="383"/>
      <c r="DBK125" s="383"/>
      <c r="DBL125" s="383"/>
      <c r="DBM125" s="383"/>
      <c r="DBN125" s="383"/>
      <c r="DBO125" s="383"/>
      <c r="DBP125" s="383"/>
      <c r="DBQ125" s="383"/>
      <c r="DBR125" s="383"/>
      <c r="DBS125" s="383"/>
      <c r="DBT125" s="383"/>
      <c r="DBU125" s="383"/>
      <c r="DBV125" s="383"/>
      <c r="DBW125" s="383"/>
      <c r="DBX125" s="383"/>
      <c r="DBY125" s="383"/>
      <c r="DBZ125" s="383"/>
      <c r="DCA125" s="383"/>
      <c r="DCB125" s="383"/>
      <c r="DCC125" s="383"/>
      <c r="DCD125" s="383"/>
      <c r="DCE125" s="383"/>
      <c r="DCF125" s="383"/>
      <c r="DCG125" s="383"/>
      <c r="DCH125" s="383"/>
      <c r="DCI125" s="383"/>
      <c r="DCJ125" s="383"/>
      <c r="DCK125" s="383"/>
      <c r="DCL125" s="383"/>
      <c r="DCM125" s="383"/>
      <c r="DCN125" s="383"/>
      <c r="DCO125" s="383"/>
      <c r="DCP125" s="383"/>
      <c r="DCQ125" s="383"/>
      <c r="DCR125" s="383"/>
      <c r="DCS125" s="383"/>
      <c r="DCT125" s="383"/>
      <c r="DCU125" s="383"/>
      <c r="DCV125" s="383"/>
      <c r="DCW125" s="383"/>
      <c r="DCX125" s="383"/>
      <c r="DCY125" s="383"/>
      <c r="DCZ125" s="383"/>
      <c r="DDA125" s="383"/>
      <c r="DDB125" s="383"/>
      <c r="DDC125" s="383"/>
      <c r="DDD125" s="383"/>
      <c r="DDE125" s="383"/>
      <c r="DDF125" s="383"/>
      <c r="DDG125" s="383"/>
      <c r="DDH125" s="383"/>
      <c r="DDI125" s="383"/>
      <c r="DDJ125" s="383"/>
      <c r="DDK125" s="383"/>
      <c r="DDL125" s="383"/>
      <c r="DDM125" s="383"/>
      <c r="DDN125" s="383"/>
      <c r="DDO125" s="383"/>
      <c r="DDP125" s="383"/>
      <c r="DDQ125" s="383"/>
      <c r="DDR125" s="383"/>
      <c r="DDS125" s="383"/>
      <c r="DDT125" s="383"/>
      <c r="DDU125" s="383"/>
      <c r="DDV125" s="383"/>
      <c r="DDW125" s="383"/>
      <c r="DDX125" s="383"/>
      <c r="DDY125" s="383"/>
      <c r="DDZ125" s="383"/>
      <c r="DEA125" s="383"/>
      <c r="DEB125" s="383"/>
      <c r="DEC125" s="383"/>
      <c r="DED125" s="383"/>
      <c r="DEE125" s="383"/>
      <c r="DEF125" s="383"/>
      <c r="DEG125" s="383"/>
      <c r="DEH125" s="383"/>
      <c r="DEI125" s="383"/>
      <c r="DEJ125" s="383"/>
      <c r="DEK125" s="383"/>
      <c r="DEL125" s="383"/>
      <c r="DEM125" s="383"/>
      <c r="DEN125" s="383"/>
      <c r="DEO125" s="383"/>
      <c r="DEP125" s="383"/>
      <c r="DEQ125" s="383"/>
      <c r="DER125" s="383"/>
      <c r="DES125" s="383"/>
      <c r="DET125" s="383"/>
      <c r="DEU125" s="383"/>
      <c r="DEV125" s="383"/>
      <c r="DEW125" s="383"/>
      <c r="DEX125" s="383"/>
      <c r="DEY125" s="383"/>
      <c r="DEZ125" s="383"/>
      <c r="DFA125" s="383"/>
      <c r="DFB125" s="383"/>
      <c r="DFC125" s="383"/>
      <c r="DFD125" s="383"/>
      <c r="DFE125" s="383"/>
      <c r="DFF125" s="383"/>
      <c r="DFG125" s="383"/>
      <c r="DFH125" s="383"/>
      <c r="DFI125" s="383"/>
      <c r="DFJ125" s="383"/>
      <c r="DFK125" s="383"/>
      <c r="DFL125" s="383"/>
      <c r="DFM125" s="383"/>
      <c r="DFN125" s="383"/>
      <c r="DFO125" s="383"/>
      <c r="DFP125" s="383"/>
      <c r="DFQ125" s="383"/>
      <c r="DFR125" s="383"/>
      <c r="DFS125" s="383"/>
      <c r="DFT125" s="383"/>
      <c r="DFU125" s="383"/>
      <c r="DFV125" s="383"/>
      <c r="DFW125" s="383"/>
      <c r="DFX125" s="383"/>
      <c r="DFY125" s="383"/>
      <c r="DFZ125" s="383"/>
      <c r="DGA125" s="383"/>
      <c r="DGB125" s="383"/>
      <c r="DGC125" s="383"/>
      <c r="DGD125" s="383"/>
      <c r="DGE125" s="383"/>
      <c r="DGF125" s="383"/>
      <c r="DGG125" s="383"/>
      <c r="DGH125" s="383"/>
      <c r="DGI125" s="383"/>
      <c r="DGJ125" s="383"/>
      <c r="DGK125" s="383"/>
      <c r="DGL125" s="383"/>
      <c r="DGM125" s="383"/>
      <c r="DGN125" s="383"/>
      <c r="DGO125" s="383"/>
      <c r="DGP125" s="383"/>
      <c r="DGQ125" s="383"/>
      <c r="DGR125" s="383"/>
      <c r="DGS125" s="383"/>
      <c r="DGT125" s="383"/>
      <c r="DGU125" s="383"/>
      <c r="DGV125" s="383"/>
      <c r="DGW125" s="383"/>
      <c r="DGX125" s="383"/>
      <c r="DGY125" s="383"/>
      <c r="DGZ125" s="383"/>
      <c r="DHA125" s="383"/>
      <c r="DHB125" s="383"/>
      <c r="DHC125" s="383"/>
      <c r="DHD125" s="383"/>
      <c r="DHE125" s="383"/>
      <c r="DHF125" s="383"/>
      <c r="DHG125" s="383"/>
      <c r="DHH125" s="383"/>
      <c r="DHI125" s="383"/>
      <c r="DHJ125" s="383"/>
      <c r="DHK125" s="383"/>
      <c r="DHL125" s="383"/>
      <c r="DHM125" s="383"/>
      <c r="DHN125" s="383"/>
      <c r="DHO125" s="383"/>
      <c r="DHP125" s="383"/>
      <c r="DHQ125" s="383"/>
      <c r="DHR125" s="383"/>
      <c r="DHS125" s="383"/>
      <c r="DHT125" s="383"/>
      <c r="DHU125" s="383"/>
      <c r="DHV125" s="383"/>
      <c r="DHW125" s="383"/>
      <c r="DHX125" s="383"/>
      <c r="DHY125" s="383"/>
      <c r="DHZ125" s="383"/>
      <c r="DIA125" s="383"/>
      <c r="DIB125" s="383"/>
      <c r="DIC125" s="383"/>
      <c r="DID125" s="383"/>
      <c r="DIE125" s="383"/>
      <c r="DIF125" s="383"/>
      <c r="DIG125" s="383"/>
      <c r="DIH125" s="383"/>
      <c r="DII125" s="383"/>
      <c r="DIJ125" s="383"/>
      <c r="DIK125" s="383"/>
      <c r="DIL125" s="383"/>
      <c r="DIM125" s="383"/>
      <c r="DIN125" s="383"/>
      <c r="DIO125" s="383"/>
      <c r="DIP125" s="383"/>
      <c r="DIQ125" s="383"/>
      <c r="DIR125" s="383"/>
      <c r="DIS125" s="383"/>
      <c r="DIT125" s="383"/>
      <c r="DIU125" s="383"/>
      <c r="DIV125" s="383"/>
      <c r="DIW125" s="383"/>
      <c r="DIX125" s="383"/>
      <c r="DIY125" s="383"/>
      <c r="DIZ125" s="383"/>
      <c r="DJA125" s="383"/>
      <c r="DJB125" s="383"/>
      <c r="DJC125" s="383"/>
      <c r="DJD125" s="383"/>
      <c r="DJE125" s="383"/>
      <c r="DJF125" s="383"/>
      <c r="DJG125" s="383"/>
      <c r="DJH125" s="383"/>
      <c r="DJI125" s="383"/>
      <c r="DJJ125" s="383"/>
      <c r="DJK125" s="383"/>
      <c r="DJL125" s="383"/>
      <c r="DJM125" s="383"/>
      <c r="DJN125" s="383"/>
      <c r="DJO125" s="383"/>
      <c r="DJP125" s="383"/>
      <c r="DJQ125" s="383"/>
      <c r="DJR125" s="383"/>
      <c r="DJS125" s="383"/>
      <c r="DJT125" s="383"/>
      <c r="DJU125" s="383"/>
      <c r="DJV125" s="383"/>
      <c r="DJW125" s="383"/>
      <c r="DJX125" s="383"/>
      <c r="DJY125" s="383"/>
      <c r="DJZ125" s="383"/>
      <c r="DKA125" s="383"/>
      <c r="DKB125" s="383"/>
      <c r="DKC125" s="383"/>
      <c r="DKD125" s="383"/>
      <c r="DKE125" s="383"/>
      <c r="DKF125" s="383"/>
      <c r="DKG125" s="383"/>
      <c r="DKH125" s="383"/>
      <c r="DKI125" s="383"/>
      <c r="DKJ125" s="383"/>
      <c r="DKK125" s="383"/>
      <c r="DKL125" s="383"/>
      <c r="DKM125" s="383"/>
      <c r="DKN125" s="383"/>
      <c r="DKO125" s="383"/>
      <c r="DKP125" s="383"/>
      <c r="DKQ125" s="383"/>
      <c r="DKR125" s="383"/>
      <c r="DKS125" s="383"/>
      <c r="DKT125" s="383"/>
      <c r="DKU125" s="383"/>
      <c r="DKV125" s="383"/>
      <c r="DKW125" s="383"/>
      <c r="DKX125" s="383"/>
      <c r="DKY125" s="383"/>
      <c r="DKZ125" s="383"/>
      <c r="DLA125" s="383"/>
      <c r="DLB125" s="383"/>
      <c r="DLC125" s="383"/>
      <c r="DLD125" s="383"/>
      <c r="DLE125" s="383"/>
      <c r="DLF125" s="383"/>
      <c r="DLG125" s="383"/>
      <c r="DLH125" s="383"/>
      <c r="DLI125" s="383"/>
      <c r="DLJ125" s="383"/>
      <c r="DLK125" s="383"/>
      <c r="DLL125" s="383"/>
      <c r="DLM125" s="383"/>
      <c r="DLN125" s="383"/>
      <c r="DLO125" s="383"/>
      <c r="DLP125" s="383"/>
      <c r="DLQ125" s="383"/>
      <c r="DLR125" s="383"/>
      <c r="DLS125" s="383"/>
      <c r="DLT125" s="383"/>
      <c r="DLU125" s="383"/>
      <c r="DLV125" s="383"/>
      <c r="DLW125" s="383"/>
      <c r="DLX125" s="383"/>
      <c r="DLY125" s="383"/>
      <c r="DLZ125" s="383"/>
      <c r="DMA125" s="383"/>
      <c r="DMB125" s="383"/>
      <c r="DMC125" s="383"/>
      <c r="DMD125" s="383"/>
      <c r="DME125" s="383"/>
      <c r="DMF125" s="383"/>
      <c r="DMG125" s="383"/>
      <c r="DMH125" s="383"/>
      <c r="DMI125" s="383"/>
      <c r="DMJ125" s="383"/>
      <c r="DMK125" s="383"/>
      <c r="DML125" s="383"/>
      <c r="DMM125" s="383"/>
      <c r="DMN125" s="383"/>
      <c r="DMO125" s="383"/>
      <c r="DMP125" s="383"/>
      <c r="DMQ125" s="383"/>
      <c r="DMR125" s="383"/>
      <c r="DMS125" s="383"/>
      <c r="DMT125" s="383"/>
      <c r="DMU125" s="383"/>
      <c r="DMV125" s="383"/>
      <c r="DMW125" s="383"/>
      <c r="DMX125" s="383"/>
      <c r="DMY125" s="383"/>
      <c r="DMZ125" s="383"/>
      <c r="DNA125" s="383"/>
      <c r="DNB125" s="383"/>
      <c r="DNC125" s="383"/>
      <c r="DND125" s="383"/>
      <c r="DNE125" s="383"/>
      <c r="DNF125" s="383"/>
      <c r="DNG125" s="383"/>
      <c r="DNH125" s="383"/>
      <c r="DNI125" s="383"/>
      <c r="DNJ125" s="383"/>
      <c r="DNK125" s="383"/>
      <c r="DNL125" s="383"/>
      <c r="DNM125" s="383"/>
      <c r="DNN125" s="383"/>
      <c r="DNO125" s="383"/>
      <c r="DNP125" s="383"/>
      <c r="DNQ125" s="383"/>
      <c r="DNR125" s="383"/>
      <c r="DNS125" s="383"/>
      <c r="DNT125" s="383"/>
      <c r="DNU125" s="383"/>
      <c r="DNV125" s="383"/>
      <c r="DNW125" s="383"/>
      <c r="DNX125" s="383"/>
      <c r="DNY125" s="383"/>
      <c r="DNZ125" s="383"/>
      <c r="DOA125" s="383"/>
      <c r="DOB125" s="383"/>
      <c r="DOC125" s="383"/>
      <c r="DOD125" s="383"/>
      <c r="DOE125" s="383"/>
      <c r="DOF125" s="383"/>
      <c r="DOG125" s="383"/>
      <c r="DOH125" s="383"/>
      <c r="DOI125" s="383"/>
      <c r="DOJ125" s="383"/>
      <c r="DOK125" s="383"/>
      <c r="DOL125" s="383"/>
      <c r="DOM125" s="383"/>
      <c r="DON125" s="383"/>
      <c r="DOO125" s="383"/>
      <c r="DOP125" s="383"/>
      <c r="DOQ125" s="383"/>
      <c r="DOR125" s="383"/>
      <c r="DOS125" s="383"/>
      <c r="DOT125" s="383"/>
      <c r="DOU125" s="383"/>
      <c r="DOV125" s="383"/>
      <c r="DOW125" s="383"/>
      <c r="DOX125" s="383"/>
      <c r="DOY125" s="383"/>
      <c r="DOZ125" s="383"/>
      <c r="DPA125" s="383"/>
      <c r="DPB125" s="383"/>
      <c r="DPC125" s="383"/>
      <c r="DPD125" s="383"/>
      <c r="DPE125" s="383"/>
      <c r="DPF125" s="383"/>
      <c r="DPG125" s="383"/>
      <c r="DPH125" s="383"/>
      <c r="DPI125" s="383"/>
      <c r="DPJ125" s="383"/>
      <c r="DPK125" s="383"/>
      <c r="DPL125" s="383"/>
      <c r="DPM125" s="383"/>
      <c r="DPN125" s="383"/>
      <c r="DPO125" s="383"/>
      <c r="DPP125" s="383"/>
      <c r="DPQ125" s="383"/>
      <c r="DPR125" s="383"/>
      <c r="DPS125" s="383"/>
      <c r="DPT125" s="383"/>
      <c r="DPU125" s="383"/>
      <c r="DPV125" s="383"/>
      <c r="DPW125" s="383"/>
      <c r="DPX125" s="383"/>
      <c r="DPY125" s="383"/>
      <c r="DPZ125" s="383"/>
      <c r="DQA125" s="383"/>
      <c r="DQB125" s="383"/>
      <c r="DQC125" s="383"/>
      <c r="DQD125" s="383"/>
      <c r="DQE125" s="383"/>
      <c r="DQF125" s="383"/>
      <c r="DQG125" s="383"/>
      <c r="DQH125" s="383"/>
      <c r="DQI125" s="383"/>
      <c r="DQJ125" s="383"/>
      <c r="DQK125" s="383"/>
      <c r="DQL125" s="383"/>
      <c r="DQM125" s="383"/>
      <c r="DQN125" s="383"/>
      <c r="DQO125" s="383"/>
      <c r="DQP125" s="383"/>
      <c r="DQQ125" s="383"/>
      <c r="DQR125" s="383"/>
      <c r="DQS125" s="383"/>
      <c r="DQT125" s="383"/>
      <c r="DQU125" s="383"/>
      <c r="DQV125" s="383"/>
      <c r="DQW125" s="383"/>
      <c r="DQX125" s="383"/>
      <c r="DQY125" s="383"/>
      <c r="DQZ125" s="383"/>
      <c r="DRA125" s="383"/>
      <c r="DRB125" s="383"/>
      <c r="DRC125" s="383"/>
      <c r="DRD125" s="383"/>
      <c r="DRE125" s="383"/>
      <c r="DRF125" s="383"/>
      <c r="DRG125" s="383"/>
      <c r="DRH125" s="383"/>
      <c r="DRI125" s="383"/>
      <c r="DRJ125" s="383"/>
      <c r="DRK125" s="383"/>
      <c r="DRL125" s="383"/>
      <c r="DRM125" s="383"/>
    </row>
    <row r="126" spans="1:3185" s="386" customFormat="1" ht="30" customHeight="1">
      <c r="A126" s="387"/>
      <c r="B126" s="388"/>
      <c r="C126" s="389"/>
      <c r="D126" s="390"/>
      <c r="E126" s="391"/>
      <c r="F126" s="421"/>
      <c r="G126" s="396"/>
      <c r="H126" s="392"/>
      <c r="I126" s="422"/>
      <c r="J126" s="394"/>
      <c r="K126" s="411"/>
      <c r="L126" s="350"/>
      <c r="M126" s="408"/>
      <c r="N126" s="350"/>
      <c r="O126" s="383"/>
      <c r="P126" s="383"/>
      <c r="Q126" s="383"/>
      <c r="R126" s="383"/>
      <c r="S126" s="383"/>
      <c r="T126" s="383"/>
      <c r="U126" s="383"/>
      <c r="V126" s="383"/>
      <c r="W126" s="383"/>
      <c r="X126" s="383"/>
      <c r="Y126" s="383"/>
      <c r="Z126" s="383"/>
      <c r="AA126" s="383"/>
      <c r="AB126" s="383"/>
      <c r="AC126" s="383"/>
      <c r="AD126" s="383"/>
      <c r="AE126" s="383"/>
      <c r="AF126" s="383"/>
      <c r="AG126" s="383"/>
      <c r="AH126" s="383"/>
      <c r="AI126" s="383"/>
      <c r="AJ126" s="383"/>
      <c r="AK126" s="383"/>
      <c r="AL126" s="383"/>
      <c r="AM126" s="383"/>
      <c r="AN126" s="383"/>
      <c r="AO126" s="383"/>
      <c r="AP126" s="383"/>
      <c r="AQ126" s="383"/>
      <c r="AR126" s="383"/>
      <c r="AS126" s="383"/>
      <c r="AT126" s="383"/>
      <c r="AU126" s="383"/>
      <c r="AV126" s="383"/>
      <c r="AW126" s="383"/>
      <c r="AX126" s="383"/>
      <c r="AY126" s="383"/>
      <c r="AZ126" s="383"/>
      <c r="BA126" s="383"/>
      <c r="BB126" s="383"/>
      <c r="BC126" s="383"/>
      <c r="BD126" s="383"/>
      <c r="BE126" s="383"/>
      <c r="BF126" s="383"/>
      <c r="BG126" s="383"/>
      <c r="BH126" s="383"/>
      <c r="BI126" s="383"/>
      <c r="BJ126" s="383"/>
      <c r="BK126" s="383"/>
      <c r="BL126" s="383"/>
      <c r="BM126" s="383"/>
      <c r="BN126" s="383"/>
      <c r="BO126" s="383"/>
      <c r="BP126" s="383"/>
      <c r="BQ126" s="383"/>
      <c r="BR126" s="383"/>
      <c r="BS126" s="383"/>
      <c r="BT126" s="383"/>
      <c r="BU126" s="383"/>
      <c r="BV126" s="383"/>
      <c r="BW126" s="383"/>
      <c r="BX126" s="383"/>
      <c r="BY126" s="383"/>
      <c r="BZ126" s="383"/>
      <c r="CA126" s="383"/>
      <c r="CB126" s="383"/>
      <c r="CC126" s="383"/>
      <c r="CD126" s="383"/>
      <c r="CE126" s="383"/>
      <c r="CF126" s="383"/>
      <c r="CG126" s="383"/>
      <c r="CH126" s="383"/>
      <c r="CI126" s="383"/>
      <c r="CJ126" s="383"/>
      <c r="CK126" s="383"/>
      <c r="CL126" s="383"/>
      <c r="CM126" s="383"/>
      <c r="CN126" s="383"/>
      <c r="CO126" s="383"/>
      <c r="CP126" s="383"/>
      <c r="CQ126" s="383"/>
      <c r="CR126" s="383"/>
      <c r="CS126" s="383"/>
      <c r="CT126" s="383"/>
      <c r="CU126" s="383"/>
      <c r="CV126" s="383"/>
      <c r="CW126" s="383"/>
      <c r="CX126" s="383"/>
      <c r="CY126" s="383"/>
      <c r="CZ126" s="383"/>
      <c r="DA126" s="383"/>
      <c r="DB126" s="383"/>
      <c r="DC126" s="383"/>
      <c r="DD126" s="383"/>
      <c r="DE126" s="383"/>
      <c r="DF126" s="383"/>
      <c r="DG126" s="383"/>
      <c r="DH126" s="383"/>
      <c r="DI126" s="383"/>
      <c r="DJ126" s="383"/>
      <c r="DK126" s="383"/>
      <c r="DL126" s="383"/>
      <c r="DM126" s="383"/>
      <c r="DN126" s="383"/>
      <c r="DO126" s="383"/>
      <c r="DP126" s="383"/>
      <c r="DQ126" s="383"/>
      <c r="DR126" s="383"/>
      <c r="DS126" s="383"/>
      <c r="DT126" s="383"/>
      <c r="DU126" s="383"/>
      <c r="DV126" s="383"/>
      <c r="DW126" s="383"/>
      <c r="DX126" s="383"/>
      <c r="DY126" s="383"/>
      <c r="DZ126" s="383"/>
      <c r="EA126" s="383"/>
      <c r="EB126" s="383"/>
      <c r="EC126" s="383"/>
      <c r="ED126" s="383"/>
      <c r="EE126" s="383"/>
      <c r="EF126" s="383"/>
      <c r="EG126" s="383"/>
      <c r="EH126" s="383"/>
      <c r="EI126" s="383"/>
      <c r="EJ126" s="383"/>
      <c r="EK126" s="383"/>
      <c r="EL126" s="383"/>
      <c r="EM126" s="383"/>
      <c r="EN126" s="383"/>
      <c r="EO126" s="383"/>
      <c r="EP126" s="383"/>
      <c r="EQ126" s="383"/>
      <c r="ER126" s="383"/>
      <c r="ES126" s="383"/>
      <c r="ET126" s="383"/>
      <c r="EU126" s="383"/>
      <c r="EV126" s="383"/>
      <c r="EW126" s="383"/>
      <c r="EX126" s="383"/>
      <c r="EY126" s="383"/>
      <c r="EZ126" s="383"/>
      <c r="FA126" s="383"/>
      <c r="FB126" s="383"/>
      <c r="FC126" s="383"/>
      <c r="FD126" s="383"/>
      <c r="FE126" s="383"/>
      <c r="FF126" s="383"/>
      <c r="FG126" s="383"/>
      <c r="FH126" s="383"/>
      <c r="FI126" s="383"/>
      <c r="FJ126" s="383"/>
      <c r="FK126" s="383"/>
      <c r="FL126" s="383"/>
      <c r="FM126" s="383"/>
      <c r="FN126" s="383"/>
      <c r="FO126" s="383"/>
      <c r="FP126" s="383"/>
      <c r="FQ126" s="383"/>
      <c r="FR126" s="383"/>
      <c r="FS126" s="383"/>
      <c r="FT126" s="383"/>
      <c r="FU126" s="383"/>
      <c r="FV126" s="383"/>
      <c r="FW126" s="383"/>
      <c r="FX126" s="383"/>
      <c r="FY126" s="383"/>
      <c r="FZ126" s="383"/>
      <c r="GA126" s="383"/>
      <c r="GB126" s="383"/>
      <c r="GC126" s="383"/>
      <c r="GD126" s="383"/>
      <c r="GE126" s="383"/>
      <c r="GF126" s="383"/>
      <c r="GG126" s="383"/>
      <c r="GH126" s="383"/>
      <c r="GI126" s="383"/>
      <c r="GJ126" s="383"/>
      <c r="GK126" s="383"/>
      <c r="GL126" s="383"/>
      <c r="GM126" s="383"/>
      <c r="GN126" s="383"/>
      <c r="GO126" s="383"/>
      <c r="GP126" s="383"/>
      <c r="GQ126" s="383"/>
      <c r="GR126" s="383"/>
      <c r="GS126" s="383"/>
      <c r="GT126" s="383"/>
      <c r="GU126" s="383"/>
      <c r="GV126" s="383"/>
      <c r="GW126" s="383"/>
      <c r="GX126" s="383"/>
      <c r="GY126" s="383"/>
      <c r="GZ126" s="383"/>
      <c r="HA126" s="383"/>
      <c r="HB126" s="383"/>
      <c r="HC126" s="383"/>
      <c r="HD126" s="383"/>
      <c r="HE126" s="383"/>
      <c r="HF126" s="383"/>
      <c r="HG126" s="383"/>
      <c r="HH126" s="383"/>
      <c r="HI126" s="383"/>
      <c r="HJ126" s="383"/>
      <c r="HK126" s="383"/>
      <c r="HL126" s="383"/>
      <c r="HM126" s="383"/>
      <c r="HN126" s="383"/>
      <c r="HO126" s="383"/>
      <c r="HP126" s="383"/>
      <c r="HQ126" s="383"/>
      <c r="HR126" s="383"/>
      <c r="HS126" s="383"/>
      <c r="HT126" s="383"/>
      <c r="HU126" s="383"/>
      <c r="HV126" s="383"/>
      <c r="HW126" s="383"/>
      <c r="HX126" s="383"/>
      <c r="HY126" s="383"/>
      <c r="HZ126" s="383"/>
      <c r="IA126" s="383"/>
      <c r="IB126" s="383"/>
      <c r="IC126" s="383"/>
      <c r="ID126" s="383"/>
      <c r="IE126" s="383"/>
      <c r="IF126" s="383"/>
      <c r="IG126" s="383"/>
      <c r="IH126" s="383"/>
      <c r="II126" s="383"/>
      <c r="IJ126" s="383"/>
      <c r="IK126" s="383"/>
      <c r="IL126" s="383"/>
      <c r="IM126" s="383"/>
      <c r="IN126" s="383"/>
      <c r="IO126" s="383"/>
      <c r="IP126" s="383"/>
      <c r="IQ126" s="383"/>
      <c r="IR126" s="383"/>
      <c r="IS126" s="383"/>
      <c r="IT126" s="383"/>
      <c r="IU126" s="383"/>
      <c r="IV126" s="383"/>
      <c r="IW126" s="383"/>
      <c r="IX126" s="383"/>
      <c r="IY126" s="383"/>
      <c r="IZ126" s="383"/>
      <c r="JA126" s="383"/>
      <c r="JB126" s="383"/>
      <c r="JC126" s="383"/>
      <c r="JD126" s="383"/>
      <c r="JE126" s="383"/>
      <c r="JF126" s="383"/>
      <c r="JG126" s="383"/>
      <c r="JH126" s="383"/>
      <c r="JI126" s="383"/>
      <c r="JJ126" s="383"/>
      <c r="JK126" s="383"/>
      <c r="JL126" s="383"/>
      <c r="JM126" s="383"/>
      <c r="JN126" s="383"/>
      <c r="JO126" s="383"/>
      <c r="JP126" s="383"/>
      <c r="JQ126" s="383"/>
      <c r="JR126" s="383"/>
      <c r="JS126" s="383"/>
      <c r="JT126" s="383"/>
      <c r="JU126" s="383"/>
      <c r="JV126" s="383"/>
      <c r="JW126" s="383"/>
      <c r="JX126" s="383"/>
      <c r="JY126" s="383"/>
      <c r="JZ126" s="383"/>
      <c r="KA126" s="383"/>
      <c r="KB126" s="383"/>
      <c r="KC126" s="383"/>
      <c r="KD126" s="383"/>
      <c r="KE126" s="383"/>
      <c r="KF126" s="383"/>
      <c r="KG126" s="383"/>
      <c r="KH126" s="383"/>
      <c r="KI126" s="383"/>
      <c r="KJ126" s="383"/>
      <c r="KK126" s="383"/>
      <c r="KL126" s="383"/>
      <c r="KM126" s="383"/>
      <c r="KN126" s="383"/>
      <c r="KO126" s="383"/>
      <c r="KP126" s="383"/>
      <c r="KQ126" s="383"/>
      <c r="KR126" s="383"/>
      <c r="KS126" s="383"/>
      <c r="KT126" s="383"/>
      <c r="KU126" s="383"/>
      <c r="KV126" s="383"/>
      <c r="KW126" s="383"/>
      <c r="KX126" s="383"/>
      <c r="KY126" s="383"/>
      <c r="KZ126" s="383"/>
      <c r="LA126" s="383"/>
      <c r="LB126" s="383"/>
      <c r="LC126" s="383"/>
      <c r="LD126" s="383"/>
      <c r="LE126" s="383"/>
      <c r="LF126" s="383"/>
      <c r="LG126" s="383"/>
      <c r="LH126" s="383"/>
      <c r="LI126" s="383"/>
      <c r="LJ126" s="383"/>
      <c r="LK126" s="383"/>
      <c r="LL126" s="383"/>
      <c r="LM126" s="383"/>
      <c r="LN126" s="383"/>
      <c r="LO126" s="383"/>
      <c r="LP126" s="383"/>
      <c r="LQ126" s="383"/>
      <c r="LR126" s="383"/>
      <c r="LS126" s="383"/>
      <c r="LT126" s="383"/>
      <c r="LU126" s="383"/>
      <c r="LV126" s="383"/>
      <c r="LW126" s="383"/>
      <c r="LX126" s="383"/>
      <c r="LY126" s="383"/>
      <c r="LZ126" s="383"/>
      <c r="MA126" s="383"/>
      <c r="MB126" s="383"/>
      <c r="MC126" s="383"/>
      <c r="MD126" s="383"/>
      <c r="ME126" s="383"/>
      <c r="MF126" s="383"/>
      <c r="MG126" s="383"/>
      <c r="MH126" s="383"/>
      <c r="MI126" s="383"/>
      <c r="MJ126" s="383"/>
      <c r="MK126" s="383"/>
      <c r="ML126" s="383"/>
      <c r="MM126" s="383"/>
      <c r="MN126" s="383"/>
      <c r="MO126" s="383"/>
      <c r="MP126" s="383"/>
      <c r="MQ126" s="383"/>
      <c r="MR126" s="383"/>
      <c r="MS126" s="383"/>
      <c r="MT126" s="383"/>
      <c r="MU126" s="383"/>
      <c r="MV126" s="383"/>
      <c r="MW126" s="383"/>
      <c r="MX126" s="383"/>
      <c r="MY126" s="383"/>
      <c r="MZ126" s="383"/>
      <c r="NA126" s="383"/>
      <c r="NB126" s="383"/>
      <c r="NC126" s="383"/>
      <c r="ND126" s="383"/>
      <c r="NE126" s="383"/>
      <c r="NF126" s="383"/>
      <c r="NG126" s="383"/>
      <c r="NH126" s="383"/>
      <c r="NI126" s="383"/>
      <c r="NJ126" s="383"/>
      <c r="NK126" s="383"/>
      <c r="NL126" s="383"/>
      <c r="NM126" s="383"/>
      <c r="NN126" s="383"/>
      <c r="NO126" s="383"/>
      <c r="NP126" s="383"/>
      <c r="NQ126" s="383"/>
      <c r="NR126" s="383"/>
      <c r="NS126" s="383"/>
      <c r="NT126" s="383"/>
      <c r="NU126" s="383"/>
      <c r="NV126" s="383"/>
      <c r="NW126" s="383"/>
      <c r="NX126" s="383"/>
      <c r="NY126" s="383"/>
      <c r="NZ126" s="383"/>
      <c r="OA126" s="383"/>
      <c r="OB126" s="383"/>
      <c r="OC126" s="383"/>
      <c r="OD126" s="383"/>
      <c r="OE126" s="383"/>
      <c r="OF126" s="383"/>
      <c r="OG126" s="383"/>
      <c r="OH126" s="383"/>
      <c r="OI126" s="383"/>
      <c r="OJ126" s="383"/>
      <c r="OK126" s="383"/>
      <c r="OL126" s="383"/>
      <c r="OM126" s="383"/>
      <c r="ON126" s="383"/>
      <c r="OO126" s="383"/>
      <c r="OP126" s="383"/>
      <c r="OQ126" s="383"/>
      <c r="OR126" s="383"/>
      <c r="OS126" s="383"/>
      <c r="OT126" s="383"/>
      <c r="OU126" s="383"/>
      <c r="OV126" s="383"/>
      <c r="OW126" s="383"/>
      <c r="OX126" s="383"/>
      <c r="OY126" s="383"/>
      <c r="OZ126" s="383"/>
      <c r="PA126" s="383"/>
      <c r="PB126" s="383"/>
      <c r="PC126" s="383"/>
      <c r="PD126" s="383"/>
      <c r="PE126" s="383"/>
      <c r="PF126" s="383"/>
      <c r="PG126" s="383"/>
      <c r="PH126" s="383"/>
      <c r="PI126" s="383"/>
      <c r="PJ126" s="383"/>
      <c r="PK126" s="383"/>
      <c r="PL126" s="383"/>
      <c r="PM126" s="383"/>
      <c r="PN126" s="383"/>
      <c r="PO126" s="383"/>
      <c r="PP126" s="383"/>
      <c r="PQ126" s="383"/>
      <c r="PR126" s="383"/>
      <c r="PS126" s="383"/>
      <c r="PT126" s="383"/>
      <c r="PU126" s="383"/>
      <c r="PV126" s="383"/>
      <c r="PW126" s="383"/>
      <c r="PX126" s="383"/>
      <c r="PY126" s="383"/>
      <c r="PZ126" s="383"/>
      <c r="QA126" s="383"/>
      <c r="QB126" s="383"/>
      <c r="QC126" s="383"/>
      <c r="QD126" s="383"/>
      <c r="QE126" s="383"/>
      <c r="QF126" s="383"/>
      <c r="QG126" s="383"/>
      <c r="QH126" s="383"/>
      <c r="QI126" s="383"/>
      <c r="QJ126" s="383"/>
      <c r="QK126" s="383"/>
      <c r="QL126" s="383"/>
      <c r="QM126" s="383"/>
      <c r="QN126" s="383"/>
      <c r="QO126" s="383"/>
      <c r="QP126" s="383"/>
      <c r="QQ126" s="383"/>
      <c r="QR126" s="383"/>
      <c r="QS126" s="383"/>
      <c r="QT126" s="383"/>
      <c r="QU126" s="383"/>
      <c r="QV126" s="383"/>
      <c r="QW126" s="383"/>
      <c r="QX126" s="383"/>
      <c r="QY126" s="383"/>
      <c r="QZ126" s="383"/>
      <c r="RA126" s="383"/>
      <c r="RB126" s="383"/>
      <c r="RC126" s="383"/>
      <c r="RD126" s="383"/>
      <c r="RE126" s="383"/>
      <c r="RF126" s="383"/>
      <c r="RG126" s="383"/>
      <c r="RH126" s="383"/>
      <c r="RI126" s="383"/>
      <c r="RJ126" s="383"/>
      <c r="RK126" s="383"/>
      <c r="RL126" s="383"/>
      <c r="RM126" s="383"/>
      <c r="RN126" s="383"/>
      <c r="RO126" s="383"/>
      <c r="RP126" s="383"/>
      <c r="RQ126" s="383"/>
      <c r="RR126" s="383"/>
      <c r="RS126" s="383"/>
      <c r="RT126" s="383"/>
      <c r="RU126" s="383"/>
      <c r="RV126" s="383"/>
      <c r="RW126" s="383"/>
      <c r="RX126" s="383"/>
      <c r="RY126" s="383"/>
      <c r="RZ126" s="383"/>
      <c r="SA126" s="383"/>
      <c r="SB126" s="383"/>
      <c r="SC126" s="383"/>
      <c r="SD126" s="383"/>
      <c r="SE126" s="383"/>
      <c r="SF126" s="383"/>
      <c r="SG126" s="383"/>
      <c r="SH126" s="383"/>
      <c r="SI126" s="383"/>
      <c r="SJ126" s="383"/>
      <c r="SK126" s="383"/>
      <c r="SL126" s="383"/>
      <c r="SM126" s="383"/>
      <c r="SN126" s="383"/>
      <c r="SO126" s="383"/>
      <c r="SP126" s="383"/>
      <c r="SQ126" s="383"/>
      <c r="SR126" s="383"/>
      <c r="SS126" s="383"/>
      <c r="ST126" s="383"/>
      <c r="SU126" s="383"/>
      <c r="SV126" s="383"/>
      <c r="SW126" s="383"/>
      <c r="SX126" s="383"/>
      <c r="SY126" s="383"/>
      <c r="SZ126" s="383"/>
      <c r="TA126" s="383"/>
      <c r="TB126" s="383"/>
      <c r="TC126" s="383"/>
      <c r="TD126" s="383"/>
      <c r="TE126" s="383"/>
      <c r="TF126" s="383"/>
      <c r="TG126" s="383"/>
      <c r="TH126" s="383"/>
      <c r="TI126" s="383"/>
      <c r="TJ126" s="383"/>
      <c r="TK126" s="383"/>
      <c r="TL126" s="383"/>
      <c r="TM126" s="383"/>
      <c r="TN126" s="383"/>
      <c r="TO126" s="383"/>
      <c r="TP126" s="383"/>
      <c r="TQ126" s="383"/>
      <c r="TR126" s="383"/>
      <c r="TS126" s="383"/>
      <c r="TT126" s="383"/>
      <c r="TU126" s="383"/>
      <c r="TV126" s="383"/>
      <c r="TW126" s="383"/>
      <c r="TX126" s="383"/>
      <c r="TY126" s="383"/>
      <c r="TZ126" s="383"/>
      <c r="UA126" s="383"/>
      <c r="UB126" s="383"/>
      <c r="UC126" s="383"/>
      <c r="UD126" s="383"/>
      <c r="UE126" s="383"/>
      <c r="UF126" s="383"/>
      <c r="UG126" s="383"/>
      <c r="UH126" s="383"/>
      <c r="UI126" s="383"/>
      <c r="UJ126" s="383"/>
      <c r="UK126" s="383"/>
      <c r="UL126" s="383"/>
      <c r="UM126" s="383"/>
      <c r="UN126" s="383"/>
      <c r="UO126" s="383"/>
      <c r="UP126" s="383"/>
      <c r="UQ126" s="383"/>
      <c r="UR126" s="383"/>
      <c r="US126" s="383"/>
      <c r="UT126" s="383"/>
      <c r="UU126" s="383"/>
      <c r="UV126" s="383"/>
      <c r="UW126" s="383"/>
      <c r="UX126" s="383"/>
      <c r="UY126" s="383"/>
      <c r="UZ126" s="383"/>
      <c r="VA126" s="383"/>
      <c r="VB126" s="383"/>
      <c r="VC126" s="383"/>
      <c r="VD126" s="383"/>
      <c r="VE126" s="383"/>
      <c r="VF126" s="383"/>
      <c r="VG126" s="383"/>
      <c r="VH126" s="383"/>
      <c r="VI126" s="383"/>
      <c r="VJ126" s="383"/>
      <c r="VK126" s="383"/>
      <c r="VL126" s="383"/>
      <c r="VM126" s="383"/>
      <c r="VN126" s="383"/>
      <c r="VO126" s="383"/>
      <c r="VP126" s="383"/>
      <c r="VQ126" s="383"/>
      <c r="VR126" s="383"/>
      <c r="VS126" s="383"/>
      <c r="VT126" s="383"/>
      <c r="VU126" s="383"/>
      <c r="VV126" s="383"/>
      <c r="VW126" s="383"/>
      <c r="VX126" s="383"/>
      <c r="VY126" s="383"/>
      <c r="VZ126" s="383"/>
      <c r="WA126" s="383"/>
      <c r="WB126" s="383"/>
      <c r="WC126" s="383"/>
      <c r="WD126" s="383"/>
      <c r="WE126" s="383"/>
      <c r="WF126" s="383"/>
      <c r="WG126" s="383"/>
      <c r="WH126" s="383"/>
      <c r="WI126" s="383"/>
      <c r="WJ126" s="383"/>
      <c r="WK126" s="383"/>
      <c r="WL126" s="383"/>
      <c r="WM126" s="383"/>
      <c r="WN126" s="383"/>
      <c r="WO126" s="383"/>
      <c r="WP126" s="383"/>
      <c r="WQ126" s="383"/>
      <c r="WR126" s="383"/>
      <c r="WS126" s="383"/>
      <c r="WT126" s="383"/>
      <c r="WU126" s="383"/>
      <c r="WV126" s="383"/>
      <c r="WW126" s="383"/>
      <c r="WX126" s="383"/>
      <c r="WY126" s="383"/>
      <c r="WZ126" s="383"/>
      <c r="XA126" s="383"/>
      <c r="XB126" s="383"/>
      <c r="XC126" s="383"/>
      <c r="XD126" s="383"/>
      <c r="XE126" s="383"/>
      <c r="XF126" s="383"/>
      <c r="XG126" s="383"/>
      <c r="XH126" s="383"/>
      <c r="XI126" s="383"/>
      <c r="XJ126" s="383"/>
      <c r="XK126" s="383"/>
      <c r="XL126" s="383"/>
      <c r="XM126" s="383"/>
      <c r="XN126" s="383"/>
      <c r="XO126" s="383"/>
      <c r="XP126" s="383"/>
      <c r="XQ126" s="383"/>
      <c r="XR126" s="383"/>
      <c r="XS126" s="383"/>
      <c r="XT126" s="383"/>
      <c r="XU126" s="383"/>
      <c r="XV126" s="383"/>
      <c r="XW126" s="383"/>
      <c r="XX126" s="383"/>
      <c r="XY126" s="383"/>
      <c r="XZ126" s="383"/>
      <c r="YA126" s="383"/>
      <c r="YB126" s="383"/>
      <c r="YC126" s="383"/>
      <c r="YD126" s="383"/>
      <c r="YE126" s="383"/>
      <c r="YF126" s="383"/>
      <c r="YG126" s="383"/>
      <c r="YH126" s="383"/>
      <c r="YI126" s="383"/>
      <c r="YJ126" s="383"/>
      <c r="YK126" s="383"/>
      <c r="YL126" s="383"/>
      <c r="YM126" s="383"/>
      <c r="YN126" s="383"/>
      <c r="YO126" s="383"/>
      <c r="YP126" s="383"/>
      <c r="YQ126" s="383"/>
      <c r="YR126" s="383"/>
      <c r="YS126" s="383"/>
      <c r="YT126" s="383"/>
      <c r="YU126" s="383"/>
      <c r="YV126" s="383"/>
      <c r="YW126" s="383"/>
      <c r="YX126" s="383"/>
      <c r="YY126" s="383"/>
      <c r="YZ126" s="383"/>
      <c r="ZA126" s="383"/>
      <c r="ZB126" s="383"/>
      <c r="ZC126" s="383"/>
      <c r="ZD126" s="383"/>
      <c r="ZE126" s="383"/>
      <c r="ZF126" s="383"/>
      <c r="ZG126" s="383"/>
      <c r="ZH126" s="383"/>
      <c r="ZI126" s="383"/>
      <c r="ZJ126" s="383"/>
      <c r="ZK126" s="383"/>
      <c r="ZL126" s="383"/>
      <c r="ZM126" s="383"/>
      <c r="ZN126" s="383"/>
      <c r="ZO126" s="383"/>
      <c r="ZP126" s="383"/>
      <c r="ZQ126" s="383"/>
      <c r="ZR126" s="383"/>
      <c r="ZS126" s="383"/>
      <c r="ZT126" s="383"/>
      <c r="ZU126" s="383"/>
      <c r="ZV126" s="383"/>
      <c r="ZW126" s="383"/>
      <c r="ZX126" s="383"/>
      <c r="ZY126" s="383"/>
      <c r="ZZ126" s="383"/>
      <c r="AAA126" s="383"/>
      <c r="AAB126" s="383"/>
      <c r="AAC126" s="383"/>
      <c r="AAD126" s="383"/>
      <c r="AAE126" s="383"/>
      <c r="AAF126" s="383"/>
      <c r="AAG126" s="383"/>
      <c r="AAH126" s="383"/>
      <c r="AAI126" s="383"/>
      <c r="AAJ126" s="383"/>
      <c r="AAK126" s="383"/>
      <c r="AAL126" s="383"/>
      <c r="AAM126" s="383"/>
      <c r="AAN126" s="383"/>
      <c r="AAO126" s="383"/>
      <c r="AAP126" s="383"/>
      <c r="AAQ126" s="383"/>
      <c r="AAR126" s="383"/>
      <c r="AAS126" s="383"/>
      <c r="AAT126" s="383"/>
      <c r="AAU126" s="383"/>
      <c r="AAV126" s="383"/>
      <c r="AAW126" s="383"/>
      <c r="AAX126" s="383"/>
      <c r="AAY126" s="383"/>
      <c r="AAZ126" s="383"/>
      <c r="ABA126" s="383"/>
      <c r="ABB126" s="383"/>
      <c r="ABC126" s="383"/>
      <c r="ABD126" s="383"/>
      <c r="ABE126" s="383"/>
      <c r="ABF126" s="383"/>
      <c r="ABG126" s="383"/>
      <c r="ABH126" s="383"/>
      <c r="ABI126" s="383"/>
      <c r="ABJ126" s="383"/>
      <c r="ABK126" s="383"/>
      <c r="ABL126" s="383"/>
      <c r="ABM126" s="383"/>
      <c r="ABN126" s="383"/>
      <c r="ABO126" s="383"/>
      <c r="ABP126" s="383"/>
      <c r="ABQ126" s="383"/>
      <c r="ABR126" s="383"/>
      <c r="ABS126" s="383"/>
      <c r="ABT126" s="383"/>
      <c r="ABU126" s="383"/>
      <c r="ABV126" s="383"/>
      <c r="ABW126" s="383"/>
      <c r="ABX126" s="383"/>
      <c r="ABY126" s="383"/>
      <c r="ABZ126" s="383"/>
      <c r="ACA126" s="383"/>
      <c r="ACB126" s="383"/>
      <c r="ACC126" s="383"/>
      <c r="ACD126" s="383"/>
      <c r="ACE126" s="383"/>
      <c r="ACF126" s="383"/>
      <c r="ACG126" s="383"/>
      <c r="ACH126" s="383"/>
      <c r="ACI126" s="383"/>
      <c r="ACJ126" s="383"/>
      <c r="ACK126" s="383"/>
      <c r="ACL126" s="383"/>
      <c r="ACM126" s="383"/>
      <c r="ACN126" s="383"/>
      <c r="ACO126" s="383"/>
      <c r="ACP126" s="383"/>
      <c r="ACQ126" s="383"/>
      <c r="ACR126" s="383"/>
      <c r="ACS126" s="383"/>
      <c r="ACT126" s="383"/>
      <c r="ACU126" s="383"/>
      <c r="ACV126" s="383"/>
      <c r="ACW126" s="383"/>
      <c r="ACX126" s="383"/>
      <c r="ACY126" s="383"/>
      <c r="ACZ126" s="383"/>
      <c r="ADA126" s="383"/>
      <c r="ADB126" s="383"/>
      <c r="ADC126" s="383"/>
      <c r="ADD126" s="383"/>
      <c r="ADE126" s="383"/>
      <c r="ADF126" s="383"/>
      <c r="ADG126" s="383"/>
      <c r="ADH126" s="383"/>
      <c r="ADI126" s="383"/>
      <c r="ADJ126" s="383"/>
      <c r="ADK126" s="383"/>
      <c r="ADL126" s="383"/>
      <c r="ADM126" s="383"/>
      <c r="ADN126" s="383"/>
      <c r="ADO126" s="383"/>
      <c r="ADP126" s="383"/>
      <c r="ADQ126" s="383"/>
      <c r="ADR126" s="383"/>
      <c r="ADS126" s="383"/>
      <c r="ADT126" s="383"/>
      <c r="ADU126" s="383"/>
      <c r="ADV126" s="383"/>
      <c r="ADW126" s="383"/>
      <c r="ADX126" s="383"/>
      <c r="ADY126" s="383"/>
      <c r="ADZ126" s="383"/>
      <c r="AEA126" s="383"/>
      <c r="AEB126" s="383"/>
      <c r="AEC126" s="383"/>
      <c r="AED126" s="383"/>
      <c r="AEE126" s="383"/>
      <c r="AEF126" s="383"/>
      <c r="AEG126" s="383"/>
      <c r="AEH126" s="383"/>
      <c r="AEI126" s="383"/>
      <c r="AEJ126" s="383"/>
      <c r="AEK126" s="383"/>
      <c r="AEL126" s="383"/>
      <c r="AEM126" s="383"/>
      <c r="AEN126" s="383"/>
      <c r="AEO126" s="383"/>
      <c r="AEP126" s="383"/>
      <c r="AEQ126" s="383"/>
      <c r="AER126" s="383"/>
      <c r="AES126" s="383"/>
      <c r="AET126" s="383"/>
      <c r="AEU126" s="383"/>
      <c r="AEV126" s="383"/>
      <c r="AEW126" s="383"/>
      <c r="AEX126" s="383"/>
      <c r="AEY126" s="383"/>
      <c r="AEZ126" s="383"/>
      <c r="AFA126" s="383"/>
      <c r="AFB126" s="383"/>
      <c r="AFC126" s="383"/>
      <c r="AFD126" s="383"/>
      <c r="AFE126" s="383"/>
      <c r="AFF126" s="383"/>
      <c r="AFG126" s="383"/>
      <c r="AFH126" s="383"/>
      <c r="AFI126" s="383"/>
      <c r="AFJ126" s="383"/>
      <c r="AFK126" s="383"/>
      <c r="AFL126" s="383"/>
      <c r="AFM126" s="383"/>
      <c r="AFN126" s="383"/>
      <c r="AFO126" s="383"/>
      <c r="AFP126" s="383"/>
      <c r="AFQ126" s="383"/>
      <c r="AFR126" s="383"/>
      <c r="AFS126" s="383"/>
      <c r="AFT126" s="383"/>
      <c r="AFU126" s="383"/>
      <c r="AFV126" s="383"/>
      <c r="AFW126" s="383"/>
      <c r="AFX126" s="383"/>
      <c r="AFY126" s="383"/>
      <c r="AFZ126" s="383"/>
      <c r="AGA126" s="383"/>
      <c r="AGB126" s="383"/>
      <c r="AGC126" s="383"/>
      <c r="AGD126" s="383"/>
      <c r="AGE126" s="383"/>
      <c r="AGF126" s="383"/>
      <c r="AGG126" s="383"/>
      <c r="AGH126" s="383"/>
      <c r="AGI126" s="383"/>
      <c r="AGJ126" s="383"/>
      <c r="AGK126" s="383"/>
      <c r="AGL126" s="383"/>
      <c r="AGM126" s="383"/>
      <c r="AGN126" s="383"/>
      <c r="AGO126" s="383"/>
      <c r="AGP126" s="383"/>
      <c r="AGQ126" s="383"/>
      <c r="AGR126" s="383"/>
      <c r="AGS126" s="383"/>
      <c r="AGT126" s="383"/>
      <c r="AGU126" s="383"/>
      <c r="AGV126" s="383"/>
      <c r="AGW126" s="383"/>
      <c r="AGX126" s="383"/>
      <c r="AGY126" s="383"/>
      <c r="AGZ126" s="383"/>
      <c r="AHA126" s="383"/>
      <c r="AHB126" s="383"/>
      <c r="AHC126" s="383"/>
      <c r="AHD126" s="383"/>
      <c r="AHE126" s="383"/>
      <c r="AHF126" s="383"/>
      <c r="AHG126" s="383"/>
      <c r="AHH126" s="383"/>
      <c r="AHI126" s="383"/>
      <c r="AHJ126" s="383"/>
      <c r="AHK126" s="383"/>
      <c r="AHL126" s="383"/>
      <c r="AHM126" s="383"/>
      <c r="AHN126" s="383"/>
      <c r="AHO126" s="383"/>
      <c r="AHP126" s="383"/>
      <c r="AHQ126" s="383"/>
      <c r="AHR126" s="383"/>
      <c r="AHS126" s="383"/>
      <c r="AHT126" s="383"/>
      <c r="AHU126" s="383"/>
      <c r="AHV126" s="383"/>
      <c r="AHW126" s="383"/>
      <c r="AHX126" s="383"/>
      <c r="AHY126" s="383"/>
      <c r="AHZ126" s="383"/>
      <c r="AIA126" s="383"/>
      <c r="AIB126" s="383"/>
      <c r="AIC126" s="383"/>
      <c r="AID126" s="383"/>
      <c r="AIE126" s="383"/>
      <c r="AIF126" s="383"/>
      <c r="AIG126" s="383"/>
      <c r="AIH126" s="383"/>
      <c r="AII126" s="383"/>
      <c r="AIJ126" s="383"/>
      <c r="AIK126" s="383"/>
      <c r="AIL126" s="383"/>
      <c r="AIM126" s="383"/>
      <c r="AIN126" s="383"/>
      <c r="AIO126" s="383"/>
      <c r="AIP126" s="383"/>
      <c r="AIQ126" s="383"/>
      <c r="AIR126" s="383"/>
      <c r="AIS126" s="383"/>
      <c r="AIT126" s="383"/>
      <c r="AIU126" s="383"/>
      <c r="AIV126" s="383"/>
      <c r="AIW126" s="383"/>
      <c r="AIX126" s="383"/>
      <c r="AIY126" s="383"/>
      <c r="AIZ126" s="383"/>
      <c r="AJA126" s="383"/>
      <c r="AJB126" s="383"/>
      <c r="AJC126" s="383"/>
      <c r="AJD126" s="383"/>
      <c r="AJE126" s="383"/>
      <c r="AJF126" s="383"/>
      <c r="AJG126" s="383"/>
      <c r="AJH126" s="383"/>
      <c r="AJI126" s="383"/>
      <c r="AJJ126" s="383"/>
      <c r="AJK126" s="383"/>
      <c r="AJL126" s="383"/>
      <c r="AJM126" s="383"/>
      <c r="AJN126" s="383"/>
      <c r="AJO126" s="383"/>
      <c r="AJP126" s="383"/>
      <c r="AJQ126" s="383"/>
      <c r="AJR126" s="383"/>
      <c r="AJS126" s="383"/>
      <c r="AJT126" s="383"/>
      <c r="AJU126" s="383"/>
      <c r="AJV126" s="383"/>
      <c r="AJW126" s="383"/>
      <c r="AJX126" s="383"/>
      <c r="AJY126" s="383"/>
      <c r="AJZ126" s="383"/>
      <c r="AKA126" s="383"/>
      <c r="AKB126" s="383"/>
      <c r="AKC126" s="383"/>
      <c r="AKD126" s="383"/>
      <c r="AKE126" s="383"/>
      <c r="AKF126" s="383"/>
      <c r="AKG126" s="383"/>
      <c r="AKH126" s="383"/>
      <c r="AKI126" s="383"/>
      <c r="AKJ126" s="383"/>
      <c r="AKK126" s="383"/>
      <c r="AKL126" s="383"/>
      <c r="AKM126" s="383"/>
      <c r="AKN126" s="383"/>
      <c r="AKO126" s="383"/>
      <c r="AKP126" s="383"/>
      <c r="AKQ126" s="383"/>
      <c r="AKR126" s="383"/>
      <c r="AKS126" s="383"/>
      <c r="AKT126" s="383"/>
      <c r="AKU126" s="383"/>
      <c r="AKV126" s="383"/>
      <c r="AKW126" s="383"/>
      <c r="AKX126" s="383"/>
      <c r="AKY126" s="383"/>
      <c r="AKZ126" s="383"/>
      <c r="ALA126" s="383"/>
      <c r="ALB126" s="383"/>
      <c r="ALC126" s="383"/>
      <c r="ALD126" s="383"/>
      <c r="ALE126" s="383"/>
      <c r="ALF126" s="383"/>
      <c r="ALG126" s="383"/>
      <c r="ALH126" s="383"/>
      <c r="ALI126" s="383"/>
      <c r="ALJ126" s="383"/>
      <c r="ALK126" s="383"/>
      <c r="ALL126" s="383"/>
      <c r="ALM126" s="383"/>
      <c r="ALN126" s="383"/>
      <c r="ALO126" s="383"/>
      <c r="ALP126" s="383"/>
      <c r="ALQ126" s="383"/>
      <c r="ALR126" s="383"/>
      <c r="ALS126" s="383"/>
      <c r="ALT126" s="383"/>
      <c r="ALU126" s="383"/>
      <c r="ALV126" s="383"/>
      <c r="ALW126" s="383"/>
      <c r="ALX126" s="383"/>
      <c r="ALY126" s="383"/>
      <c r="ALZ126" s="383"/>
      <c r="AMA126" s="383"/>
      <c r="AMB126" s="383"/>
      <c r="AMC126" s="383"/>
      <c r="AMD126" s="383"/>
      <c r="AME126" s="383"/>
      <c r="AMF126" s="383"/>
      <c r="AMG126" s="383"/>
      <c r="AMH126" s="383"/>
      <c r="AMI126" s="383"/>
      <c r="AMJ126" s="383"/>
      <c r="AMK126" s="383"/>
      <c r="AML126" s="383"/>
      <c r="AMM126" s="383"/>
      <c r="AMN126" s="383"/>
      <c r="AMO126" s="383"/>
      <c r="AMP126" s="383"/>
      <c r="AMQ126" s="383"/>
      <c r="AMR126" s="383"/>
      <c r="AMS126" s="383"/>
      <c r="AMT126" s="383"/>
      <c r="AMU126" s="383"/>
      <c r="AMV126" s="383"/>
      <c r="AMW126" s="383"/>
      <c r="AMX126" s="383"/>
      <c r="AMY126" s="383"/>
      <c r="AMZ126" s="383"/>
      <c r="ANA126" s="383"/>
      <c r="ANB126" s="383"/>
      <c r="ANC126" s="383"/>
      <c r="AND126" s="383"/>
      <c r="ANE126" s="383"/>
      <c r="ANF126" s="383"/>
      <c r="ANG126" s="383"/>
      <c r="ANH126" s="383"/>
      <c r="ANI126" s="383"/>
      <c r="ANJ126" s="383"/>
      <c r="ANK126" s="383"/>
      <c r="ANL126" s="383"/>
      <c r="ANM126" s="383"/>
      <c r="ANN126" s="383"/>
      <c r="ANO126" s="383"/>
      <c r="ANP126" s="383"/>
      <c r="ANQ126" s="383"/>
      <c r="ANR126" s="383"/>
      <c r="ANS126" s="383"/>
      <c r="ANT126" s="383"/>
      <c r="ANU126" s="383"/>
      <c r="ANV126" s="383"/>
      <c r="ANW126" s="383"/>
      <c r="ANX126" s="383"/>
      <c r="ANY126" s="383"/>
      <c r="ANZ126" s="383"/>
      <c r="AOA126" s="383"/>
      <c r="AOB126" s="383"/>
      <c r="AOC126" s="383"/>
      <c r="AOD126" s="383"/>
      <c r="AOE126" s="383"/>
      <c r="AOF126" s="383"/>
      <c r="AOG126" s="383"/>
      <c r="AOH126" s="383"/>
      <c r="AOI126" s="383"/>
      <c r="AOJ126" s="383"/>
      <c r="AOK126" s="383"/>
      <c r="AOL126" s="383"/>
      <c r="AOM126" s="383"/>
      <c r="AON126" s="383"/>
      <c r="AOO126" s="383"/>
      <c r="AOP126" s="383"/>
      <c r="AOQ126" s="383"/>
      <c r="AOR126" s="383"/>
      <c r="AOS126" s="383"/>
      <c r="AOT126" s="383"/>
      <c r="AOU126" s="383"/>
      <c r="AOV126" s="383"/>
      <c r="AOW126" s="383"/>
      <c r="AOX126" s="383"/>
      <c r="AOY126" s="383"/>
      <c r="AOZ126" s="383"/>
      <c r="APA126" s="383"/>
      <c r="APB126" s="383"/>
      <c r="APC126" s="383"/>
      <c r="APD126" s="383"/>
      <c r="APE126" s="383"/>
      <c r="APF126" s="383"/>
      <c r="APG126" s="383"/>
      <c r="APH126" s="383"/>
      <c r="API126" s="383"/>
      <c r="APJ126" s="383"/>
      <c r="APK126" s="383"/>
      <c r="APL126" s="383"/>
      <c r="APM126" s="383"/>
      <c r="APN126" s="383"/>
      <c r="APO126" s="383"/>
      <c r="APP126" s="383"/>
      <c r="APQ126" s="383"/>
      <c r="APR126" s="383"/>
      <c r="APS126" s="383"/>
      <c r="APT126" s="383"/>
      <c r="APU126" s="383"/>
      <c r="APV126" s="383"/>
      <c r="APW126" s="383"/>
      <c r="APX126" s="383"/>
      <c r="APY126" s="383"/>
      <c r="APZ126" s="383"/>
      <c r="AQA126" s="383"/>
      <c r="AQB126" s="383"/>
      <c r="AQC126" s="383"/>
      <c r="AQD126" s="383"/>
      <c r="AQE126" s="383"/>
      <c r="AQF126" s="383"/>
      <c r="AQG126" s="383"/>
      <c r="AQH126" s="383"/>
      <c r="AQI126" s="383"/>
      <c r="AQJ126" s="383"/>
      <c r="AQK126" s="383"/>
      <c r="AQL126" s="383"/>
      <c r="AQM126" s="383"/>
      <c r="AQN126" s="383"/>
      <c r="AQO126" s="383"/>
      <c r="AQP126" s="383"/>
      <c r="AQQ126" s="383"/>
      <c r="AQR126" s="383"/>
      <c r="AQS126" s="383"/>
      <c r="AQT126" s="383"/>
      <c r="AQU126" s="383"/>
      <c r="AQV126" s="383"/>
      <c r="AQW126" s="383"/>
      <c r="AQX126" s="383"/>
      <c r="AQY126" s="383"/>
      <c r="AQZ126" s="383"/>
      <c r="ARA126" s="383"/>
      <c r="ARB126" s="383"/>
      <c r="ARC126" s="383"/>
      <c r="ARD126" s="383"/>
      <c r="ARE126" s="383"/>
      <c r="ARF126" s="383"/>
      <c r="ARG126" s="383"/>
      <c r="ARH126" s="383"/>
      <c r="ARI126" s="383"/>
      <c r="ARJ126" s="383"/>
      <c r="ARK126" s="383"/>
      <c r="ARL126" s="383"/>
      <c r="ARM126" s="383"/>
      <c r="ARN126" s="383"/>
      <c r="ARO126" s="383"/>
      <c r="ARP126" s="383"/>
      <c r="ARQ126" s="383"/>
      <c r="ARR126" s="383"/>
      <c r="ARS126" s="383"/>
      <c r="ART126" s="383"/>
      <c r="ARU126" s="383"/>
      <c r="ARV126" s="383"/>
      <c r="ARW126" s="383"/>
      <c r="ARX126" s="383"/>
      <c r="ARY126" s="383"/>
      <c r="ARZ126" s="383"/>
      <c r="ASA126" s="383"/>
      <c r="ASB126" s="383"/>
      <c r="ASC126" s="383"/>
      <c r="ASD126" s="383"/>
      <c r="ASE126" s="383"/>
      <c r="ASF126" s="383"/>
      <c r="ASG126" s="383"/>
      <c r="ASH126" s="383"/>
      <c r="ASI126" s="383"/>
      <c r="ASJ126" s="383"/>
      <c r="ASK126" s="383"/>
      <c r="ASL126" s="383"/>
      <c r="ASM126" s="383"/>
      <c r="ASN126" s="383"/>
      <c r="ASO126" s="383"/>
      <c r="ASP126" s="383"/>
      <c r="ASQ126" s="383"/>
      <c r="ASR126" s="383"/>
      <c r="ASS126" s="383"/>
      <c r="AST126" s="383"/>
      <c r="ASU126" s="383"/>
      <c r="ASV126" s="383"/>
      <c r="ASW126" s="383"/>
      <c r="ASX126" s="383"/>
      <c r="ASY126" s="383"/>
      <c r="ASZ126" s="383"/>
      <c r="ATA126" s="383"/>
      <c r="ATB126" s="383"/>
      <c r="ATC126" s="383"/>
      <c r="ATD126" s="383"/>
      <c r="ATE126" s="383"/>
      <c r="ATF126" s="383"/>
      <c r="ATG126" s="383"/>
      <c r="ATH126" s="383"/>
      <c r="ATI126" s="383"/>
      <c r="ATJ126" s="383"/>
      <c r="ATK126" s="383"/>
      <c r="ATL126" s="383"/>
      <c r="ATM126" s="383"/>
      <c r="ATN126" s="383"/>
      <c r="ATO126" s="383"/>
      <c r="ATP126" s="383"/>
      <c r="ATQ126" s="383"/>
      <c r="ATR126" s="383"/>
      <c r="ATS126" s="383"/>
      <c r="ATT126" s="383"/>
      <c r="ATU126" s="383"/>
      <c r="ATV126" s="383"/>
      <c r="ATW126" s="383"/>
      <c r="ATX126" s="383"/>
      <c r="ATY126" s="383"/>
      <c r="ATZ126" s="383"/>
      <c r="AUA126" s="383"/>
      <c r="AUB126" s="383"/>
      <c r="AUC126" s="383"/>
      <c r="AUD126" s="383"/>
      <c r="AUE126" s="383"/>
      <c r="AUF126" s="383"/>
      <c r="AUG126" s="383"/>
      <c r="AUH126" s="383"/>
      <c r="AUI126" s="383"/>
      <c r="AUJ126" s="383"/>
      <c r="AUK126" s="383"/>
      <c r="AUL126" s="383"/>
      <c r="AUM126" s="383"/>
      <c r="AUN126" s="383"/>
      <c r="AUO126" s="383"/>
      <c r="AUP126" s="383"/>
      <c r="AUQ126" s="383"/>
      <c r="AUR126" s="383"/>
      <c r="AUS126" s="383"/>
      <c r="AUT126" s="383"/>
      <c r="AUU126" s="383"/>
      <c r="AUV126" s="383"/>
      <c r="AUW126" s="383"/>
      <c r="AUX126" s="383"/>
      <c r="AUY126" s="383"/>
      <c r="AUZ126" s="383"/>
      <c r="AVA126" s="383"/>
      <c r="AVB126" s="383"/>
      <c r="AVC126" s="383"/>
      <c r="AVD126" s="383"/>
      <c r="AVE126" s="383"/>
      <c r="AVF126" s="383"/>
      <c r="AVG126" s="383"/>
      <c r="AVH126" s="383"/>
      <c r="AVI126" s="383"/>
      <c r="AVJ126" s="383"/>
      <c r="AVK126" s="383"/>
      <c r="AVL126" s="383"/>
      <c r="AVM126" s="383"/>
      <c r="AVN126" s="383"/>
      <c r="AVO126" s="383"/>
      <c r="AVP126" s="383"/>
      <c r="AVQ126" s="383"/>
      <c r="AVR126" s="383"/>
      <c r="AVS126" s="383"/>
      <c r="AVT126" s="383"/>
      <c r="AVU126" s="383"/>
      <c r="AVV126" s="383"/>
      <c r="AVW126" s="383"/>
      <c r="AVX126" s="383"/>
      <c r="AVY126" s="383"/>
      <c r="AVZ126" s="383"/>
      <c r="AWA126" s="383"/>
      <c r="AWB126" s="383"/>
      <c r="AWC126" s="383"/>
      <c r="AWD126" s="383"/>
      <c r="AWE126" s="383"/>
      <c r="AWF126" s="383"/>
      <c r="AWG126" s="383"/>
      <c r="AWH126" s="383"/>
      <c r="AWI126" s="383"/>
      <c r="AWJ126" s="383"/>
      <c r="AWK126" s="383"/>
      <c r="AWL126" s="383"/>
      <c r="AWM126" s="383"/>
      <c r="AWN126" s="383"/>
      <c r="AWO126" s="383"/>
      <c r="AWP126" s="383"/>
      <c r="AWQ126" s="383"/>
      <c r="AWR126" s="383"/>
      <c r="AWS126" s="383"/>
      <c r="AWT126" s="383"/>
      <c r="AWU126" s="383"/>
      <c r="AWV126" s="383"/>
      <c r="AWW126" s="383"/>
      <c r="AWX126" s="383"/>
      <c r="AWY126" s="383"/>
      <c r="AWZ126" s="383"/>
      <c r="AXA126" s="383"/>
      <c r="AXB126" s="383"/>
      <c r="AXC126" s="383"/>
      <c r="AXD126" s="383"/>
      <c r="AXE126" s="383"/>
      <c r="AXF126" s="383"/>
      <c r="AXG126" s="383"/>
      <c r="AXH126" s="383"/>
      <c r="AXI126" s="383"/>
      <c r="AXJ126" s="383"/>
      <c r="AXK126" s="383"/>
      <c r="AXL126" s="383"/>
      <c r="AXM126" s="383"/>
      <c r="AXN126" s="383"/>
      <c r="AXO126" s="383"/>
      <c r="AXP126" s="383"/>
      <c r="AXQ126" s="383"/>
      <c r="AXR126" s="383"/>
      <c r="AXS126" s="383"/>
      <c r="AXT126" s="383"/>
      <c r="AXU126" s="383"/>
      <c r="AXV126" s="383"/>
      <c r="AXW126" s="383"/>
      <c r="AXX126" s="383"/>
      <c r="AXY126" s="383"/>
      <c r="AXZ126" s="383"/>
      <c r="AYA126" s="383"/>
      <c r="AYB126" s="383"/>
      <c r="AYC126" s="383"/>
      <c r="AYD126" s="383"/>
      <c r="AYE126" s="383"/>
      <c r="AYF126" s="383"/>
      <c r="AYG126" s="383"/>
      <c r="AYH126" s="383"/>
      <c r="AYI126" s="383"/>
      <c r="AYJ126" s="383"/>
      <c r="AYK126" s="383"/>
      <c r="AYL126" s="383"/>
      <c r="AYM126" s="383"/>
      <c r="AYN126" s="383"/>
      <c r="AYO126" s="383"/>
      <c r="AYP126" s="383"/>
      <c r="AYQ126" s="383"/>
      <c r="AYR126" s="383"/>
      <c r="AYS126" s="383"/>
      <c r="AYT126" s="383"/>
      <c r="AYU126" s="383"/>
      <c r="AYV126" s="383"/>
      <c r="AYW126" s="383"/>
      <c r="AYX126" s="383"/>
      <c r="AYY126" s="383"/>
      <c r="AYZ126" s="383"/>
      <c r="AZA126" s="383"/>
      <c r="AZB126" s="383"/>
      <c r="AZC126" s="383"/>
      <c r="AZD126" s="383"/>
      <c r="AZE126" s="383"/>
      <c r="AZF126" s="383"/>
      <c r="AZG126" s="383"/>
      <c r="AZH126" s="383"/>
      <c r="AZI126" s="383"/>
      <c r="AZJ126" s="383"/>
      <c r="AZK126" s="383"/>
      <c r="AZL126" s="383"/>
      <c r="AZM126" s="383"/>
      <c r="AZN126" s="383"/>
      <c r="AZO126" s="383"/>
      <c r="AZP126" s="383"/>
      <c r="AZQ126" s="383"/>
      <c r="AZR126" s="383"/>
      <c r="AZS126" s="383"/>
      <c r="AZT126" s="383"/>
      <c r="AZU126" s="383"/>
      <c r="AZV126" s="383"/>
      <c r="AZW126" s="383"/>
      <c r="AZX126" s="383"/>
      <c r="AZY126" s="383"/>
      <c r="AZZ126" s="383"/>
      <c r="BAA126" s="383"/>
      <c r="BAB126" s="383"/>
      <c r="BAC126" s="383"/>
      <c r="BAD126" s="383"/>
      <c r="BAE126" s="383"/>
      <c r="BAF126" s="383"/>
      <c r="BAG126" s="383"/>
      <c r="BAH126" s="383"/>
      <c r="BAI126" s="383"/>
      <c r="BAJ126" s="383"/>
      <c r="BAK126" s="383"/>
      <c r="BAL126" s="383"/>
      <c r="BAM126" s="383"/>
      <c r="BAN126" s="383"/>
      <c r="BAO126" s="383"/>
      <c r="BAP126" s="383"/>
      <c r="BAQ126" s="383"/>
      <c r="BAR126" s="383"/>
      <c r="BAS126" s="383"/>
      <c r="BAT126" s="383"/>
      <c r="BAU126" s="383"/>
      <c r="BAV126" s="383"/>
      <c r="BAW126" s="383"/>
      <c r="BAX126" s="383"/>
      <c r="BAY126" s="383"/>
      <c r="BAZ126" s="383"/>
      <c r="BBA126" s="383"/>
      <c r="BBB126" s="383"/>
      <c r="BBC126" s="383"/>
      <c r="BBD126" s="383"/>
      <c r="BBE126" s="383"/>
      <c r="BBF126" s="383"/>
      <c r="BBG126" s="383"/>
      <c r="BBH126" s="383"/>
      <c r="BBI126" s="383"/>
      <c r="BBJ126" s="383"/>
      <c r="BBK126" s="383"/>
      <c r="BBL126" s="383"/>
      <c r="BBM126" s="383"/>
      <c r="BBN126" s="383"/>
      <c r="BBO126" s="383"/>
      <c r="BBP126" s="383"/>
      <c r="BBQ126" s="383"/>
      <c r="BBR126" s="383"/>
      <c r="BBS126" s="383"/>
      <c r="BBT126" s="383"/>
      <c r="BBU126" s="383"/>
      <c r="BBV126" s="383"/>
      <c r="BBW126" s="383"/>
      <c r="BBX126" s="383"/>
      <c r="BBY126" s="383"/>
      <c r="BBZ126" s="383"/>
      <c r="BCA126" s="383"/>
      <c r="BCB126" s="383"/>
      <c r="BCC126" s="383"/>
      <c r="BCD126" s="383"/>
      <c r="BCE126" s="383"/>
      <c r="BCF126" s="383"/>
      <c r="BCG126" s="383"/>
      <c r="BCH126" s="383"/>
      <c r="BCI126" s="383"/>
      <c r="BCJ126" s="383"/>
      <c r="BCK126" s="383"/>
      <c r="BCL126" s="383"/>
      <c r="BCM126" s="383"/>
      <c r="BCN126" s="383"/>
      <c r="BCO126" s="383"/>
      <c r="BCP126" s="383"/>
      <c r="BCQ126" s="383"/>
      <c r="BCR126" s="383"/>
      <c r="BCS126" s="383"/>
      <c r="BCT126" s="383"/>
      <c r="BCU126" s="383"/>
      <c r="BCV126" s="383"/>
      <c r="BCW126" s="383"/>
      <c r="BCX126" s="383"/>
      <c r="BCY126" s="383"/>
      <c r="BCZ126" s="383"/>
      <c r="BDA126" s="383"/>
      <c r="BDB126" s="383"/>
      <c r="BDC126" s="383"/>
      <c r="BDD126" s="383"/>
      <c r="BDE126" s="383"/>
      <c r="BDF126" s="383"/>
      <c r="BDG126" s="383"/>
      <c r="BDH126" s="383"/>
      <c r="BDI126" s="383"/>
      <c r="BDJ126" s="383"/>
      <c r="BDK126" s="383"/>
      <c r="BDL126" s="383"/>
      <c r="BDM126" s="383"/>
      <c r="BDN126" s="383"/>
      <c r="BDO126" s="383"/>
      <c r="BDP126" s="383"/>
      <c r="BDQ126" s="383"/>
      <c r="BDR126" s="383"/>
      <c r="BDS126" s="383"/>
      <c r="BDT126" s="383"/>
      <c r="BDU126" s="383"/>
      <c r="BDV126" s="383"/>
      <c r="BDW126" s="383"/>
      <c r="BDX126" s="383"/>
      <c r="BDY126" s="383"/>
      <c r="BDZ126" s="383"/>
      <c r="BEA126" s="383"/>
      <c r="BEB126" s="383"/>
      <c r="BEC126" s="383"/>
      <c r="BED126" s="383"/>
      <c r="BEE126" s="383"/>
      <c r="BEF126" s="383"/>
      <c r="BEG126" s="383"/>
      <c r="BEH126" s="383"/>
      <c r="BEI126" s="383"/>
      <c r="BEJ126" s="383"/>
      <c r="BEK126" s="383"/>
      <c r="BEL126" s="383"/>
      <c r="BEM126" s="383"/>
      <c r="BEN126" s="383"/>
      <c r="BEO126" s="383"/>
      <c r="BEP126" s="383"/>
      <c r="BEQ126" s="383"/>
      <c r="BER126" s="383"/>
      <c r="BES126" s="383"/>
      <c r="BET126" s="383"/>
      <c r="BEU126" s="383"/>
      <c r="BEV126" s="383"/>
      <c r="BEW126" s="383"/>
      <c r="BEX126" s="383"/>
      <c r="BEY126" s="383"/>
      <c r="BEZ126" s="383"/>
      <c r="BFA126" s="383"/>
      <c r="BFB126" s="383"/>
      <c r="BFC126" s="383"/>
      <c r="BFD126" s="383"/>
      <c r="BFE126" s="383"/>
      <c r="BFF126" s="383"/>
      <c r="BFG126" s="383"/>
      <c r="BFH126" s="383"/>
      <c r="BFI126" s="383"/>
      <c r="BFJ126" s="383"/>
      <c r="BFK126" s="383"/>
      <c r="BFL126" s="383"/>
      <c r="BFM126" s="383"/>
      <c r="BFN126" s="383"/>
      <c r="BFO126" s="383"/>
      <c r="BFP126" s="383"/>
      <c r="BFQ126" s="383"/>
      <c r="BFR126" s="383"/>
      <c r="BFS126" s="383"/>
      <c r="BFT126" s="383"/>
      <c r="BFU126" s="383"/>
      <c r="BFV126" s="383"/>
      <c r="BFW126" s="383"/>
      <c r="BFX126" s="383"/>
      <c r="BFY126" s="383"/>
      <c r="BFZ126" s="383"/>
      <c r="BGA126" s="383"/>
      <c r="BGB126" s="383"/>
      <c r="BGC126" s="383"/>
      <c r="BGD126" s="383"/>
      <c r="BGE126" s="383"/>
      <c r="BGF126" s="383"/>
      <c r="BGG126" s="383"/>
      <c r="BGH126" s="383"/>
      <c r="BGI126" s="383"/>
      <c r="BGJ126" s="383"/>
      <c r="BGK126" s="383"/>
      <c r="BGL126" s="383"/>
      <c r="BGM126" s="383"/>
      <c r="BGN126" s="383"/>
      <c r="BGO126" s="383"/>
      <c r="BGP126" s="383"/>
      <c r="BGQ126" s="383"/>
      <c r="BGR126" s="383"/>
      <c r="BGS126" s="383"/>
      <c r="BGT126" s="383"/>
      <c r="BGU126" s="383"/>
      <c r="BGV126" s="383"/>
      <c r="BGW126" s="383"/>
      <c r="BGX126" s="383"/>
      <c r="BGY126" s="383"/>
      <c r="BGZ126" s="383"/>
      <c r="BHA126" s="383"/>
      <c r="BHB126" s="383"/>
      <c r="BHC126" s="383"/>
      <c r="BHD126" s="383"/>
      <c r="BHE126" s="383"/>
      <c r="BHF126" s="383"/>
      <c r="BHG126" s="383"/>
      <c r="BHH126" s="383"/>
      <c r="BHI126" s="383"/>
      <c r="BHJ126" s="383"/>
      <c r="BHK126" s="383"/>
      <c r="BHL126" s="383"/>
      <c r="BHM126" s="383"/>
      <c r="BHN126" s="383"/>
      <c r="BHO126" s="383"/>
      <c r="BHP126" s="383"/>
      <c r="BHQ126" s="383"/>
      <c r="BHR126" s="383"/>
      <c r="BHS126" s="383"/>
      <c r="BHT126" s="383"/>
      <c r="BHU126" s="383"/>
      <c r="BHV126" s="383"/>
      <c r="BHW126" s="383"/>
      <c r="BHX126" s="383"/>
      <c r="BHY126" s="383"/>
      <c r="BHZ126" s="383"/>
      <c r="BIA126" s="383"/>
      <c r="BIB126" s="383"/>
      <c r="BIC126" s="383"/>
      <c r="BID126" s="383"/>
      <c r="BIE126" s="383"/>
      <c r="BIF126" s="383"/>
      <c r="BIG126" s="383"/>
      <c r="BIH126" s="383"/>
      <c r="BII126" s="383"/>
      <c r="BIJ126" s="383"/>
      <c r="BIK126" s="383"/>
      <c r="BIL126" s="383"/>
      <c r="BIM126" s="383"/>
      <c r="BIN126" s="383"/>
      <c r="BIO126" s="383"/>
      <c r="BIP126" s="383"/>
      <c r="BIQ126" s="383"/>
      <c r="BIR126" s="383"/>
      <c r="BIS126" s="383"/>
      <c r="BIT126" s="383"/>
      <c r="BIU126" s="383"/>
      <c r="BIV126" s="383"/>
      <c r="BIW126" s="383"/>
      <c r="BIX126" s="383"/>
      <c r="BIY126" s="383"/>
      <c r="BIZ126" s="383"/>
      <c r="BJA126" s="383"/>
      <c r="BJB126" s="383"/>
      <c r="BJC126" s="383"/>
      <c r="BJD126" s="383"/>
      <c r="BJE126" s="383"/>
      <c r="BJF126" s="383"/>
      <c r="BJG126" s="383"/>
      <c r="BJH126" s="383"/>
      <c r="BJI126" s="383"/>
      <c r="BJJ126" s="383"/>
      <c r="BJK126" s="383"/>
      <c r="BJL126" s="383"/>
      <c r="BJM126" s="383"/>
      <c r="BJN126" s="383"/>
      <c r="BJO126" s="383"/>
      <c r="BJP126" s="383"/>
      <c r="BJQ126" s="383"/>
      <c r="BJR126" s="383"/>
      <c r="BJS126" s="383"/>
      <c r="BJT126" s="383"/>
      <c r="BJU126" s="383"/>
      <c r="BJV126" s="383"/>
      <c r="BJW126" s="383"/>
      <c r="BJX126" s="383"/>
      <c r="BJY126" s="383"/>
      <c r="BJZ126" s="383"/>
      <c r="BKA126" s="383"/>
      <c r="BKB126" s="383"/>
      <c r="BKC126" s="383"/>
      <c r="BKD126" s="383"/>
      <c r="BKE126" s="383"/>
      <c r="BKF126" s="383"/>
      <c r="BKG126" s="383"/>
      <c r="BKH126" s="383"/>
      <c r="BKI126" s="383"/>
      <c r="BKJ126" s="383"/>
      <c r="BKK126" s="383"/>
      <c r="BKL126" s="383"/>
      <c r="BKM126" s="383"/>
      <c r="BKN126" s="383"/>
      <c r="BKO126" s="383"/>
      <c r="BKP126" s="383"/>
      <c r="BKQ126" s="383"/>
      <c r="BKR126" s="383"/>
      <c r="BKS126" s="383"/>
      <c r="BKT126" s="383"/>
      <c r="BKU126" s="383"/>
      <c r="BKV126" s="383"/>
      <c r="BKW126" s="383"/>
      <c r="BKX126" s="383"/>
      <c r="BKY126" s="383"/>
      <c r="BKZ126" s="383"/>
      <c r="BLA126" s="383"/>
      <c r="BLB126" s="383"/>
      <c r="BLC126" s="383"/>
      <c r="BLD126" s="383"/>
      <c r="BLE126" s="383"/>
      <c r="BLF126" s="383"/>
      <c r="BLG126" s="383"/>
      <c r="BLH126" s="383"/>
      <c r="BLI126" s="383"/>
      <c r="BLJ126" s="383"/>
      <c r="BLK126" s="383"/>
      <c r="BLL126" s="383"/>
      <c r="BLM126" s="383"/>
      <c r="BLN126" s="383"/>
      <c r="BLO126" s="383"/>
      <c r="BLP126" s="383"/>
      <c r="BLQ126" s="383"/>
      <c r="BLR126" s="383"/>
      <c r="BLS126" s="383"/>
      <c r="BLT126" s="383"/>
      <c r="BLU126" s="383"/>
      <c r="BLV126" s="383"/>
      <c r="BLW126" s="383"/>
      <c r="BLX126" s="383"/>
      <c r="BLY126" s="383"/>
      <c r="BLZ126" s="383"/>
      <c r="BMA126" s="383"/>
      <c r="BMB126" s="383"/>
      <c r="BMC126" s="383"/>
      <c r="BMD126" s="383"/>
      <c r="BME126" s="383"/>
      <c r="BMF126" s="383"/>
      <c r="BMG126" s="383"/>
      <c r="BMH126" s="383"/>
      <c r="BMI126" s="383"/>
      <c r="BMJ126" s="383"/>
      <c r="BMK126" s="383"/>
      <c r="BML126" s="383"/>
      <c r="BMM126" s="383"/>
      <c r="BMN126" s="383"/>
      <c r="BMO126" s="383"/>
      <c r="BMP126" s="383"/>
      <c r="BMQ126" s="383"/>
      <c r="BMR126" s="383"/>
      <c r="BMS126" s="383"/>
      <c r="BMT126" s="383"/>
      <c r="BMU126" s="383"/>
      <c r="BMV126" s="383"/>
      <c r="BMW126" s="383"/>
      <c r="BMX126" s="383"/>
      <c r="BMY126" s="383"/>
      <c r="BMZ126" s="383"/>
      <c r="BNA126" s="383"/>
      <c r="BNB126" s="383"/>
      <c r="BNC126" s="383"/>
      <c r="BND126" s="383"/>
      <c r="BNE126" s="383"/>
      <c r="BNF126" s="383"/>
      <c r="BNG126" s="383"/>
      <c r="BNH126" s="383"/>
      <c r="BNI126" s="383"/>
      <c r="BNJ126" s="383"/>
      <c r="BNK126" s="383"/>
      <c r="BNL126" s="383"/>
      <c r="BNM126" s="383"/>
      <c r="BNN126" s="383"/>
      <c r="BNO126" s="383"/>
      <c r="BNP126" s="383"/>
      <c r="BNQ126" s="383"/>
      <c r="BNR126" s="383"/>
      <c r="BNS126" s="383"/>
      <c r="BNT126" s="383"/>
      <c r="BNU126" s="383"/>
      <c r="BNV126" s="383"/>
      <c r="BNW126" s="383"/>
      <c r="BNX126" s="383"/>
      <c r="BNY126" s="383"/>
      <c r="BNZ126" s="383"/>
      <c r="BOA126" s="383"/>
      <c r="BOB126" s="383"/>
      <c r="BOC126" s="383"/>
      <c r="BOD126" s="383"/>
      <c r="BOE126" s="383"/>
      <c r="BOF126" s="383"/>
      <c r="BOG126" s="383"/>
      <c r="BOH126" s="383"/>
      <c r="BOI126" s="383"/>
      <c r="BOJ126" s="383"/>
      <c r="BOK126" s="383"/>
      <c r="BOL126" s="383"/>
      <c r="BOM126" s="383"/>
      <c r="BON126" s="383"/>
      <c r="BOO126" s="383"/>
      <c r="BOP126" s="383"/>
      <c r="BOQ126" s="383"/>
      <c r="BOR126" s="383"/>
      <c r="BOS126" s="383"/>
      <c r="BOT126" s="383"/>
      <c r="BOU126" s="383"/>
      <c r="BOV126" s="383"/>
      <c r="BOW126" s="383"/>
      <c r="BOX126" s="383"/>
      <c r="BOY126" s="383"/>
      <c r="BOZ126" s="383"/>
      <c r="BPA126" s="383"/>
      <c r="BPB126" s="383"/>
      <c r="BPC126" s="383"/>
      <c r="BPD126" s="383"/>
      <c r="BPE126" s="383"/>
      <c r="BPF126" s="383"/>
      <c r="BPG126" s="383"/>
      <c r="BPH126" s="383"/>
      <c r="BPI126" s="383"/>
      <c r="BPJ126" s="383"/>
      <c r="BPK126" s="383"/>
      <c r="BPL126" s="383"/>
      <c r="BPM126" s="383"/>
      <c r="BPN126" s="383"/>
      <c r="BPO126" s="383"/>
      <c r="BPP126" s="383"/>
      <c r="BPQ126" s="383"/>
      <c r="BPR126" s="383"/>
      <c r="BPS126" s="383"/>
      <c r="BPT126" s="383"/>
      <c r="BPU126" s="383"/>
      <c r="BPV126" s="383"/>
      <c r="BPW126" s="383"/>
      <c r="BPX126" s="383"/>
      <c r="BPY126" s="383"/>
      <c r="BPZ126" s="383"/>
      <c r="BQA126" s="383"/>
      <c r="BQB126" s="383"/>
      <c r="BQC126" s="383"/>
      <c r="BQD126" s="383"/>
      <c r="BQE126" s="383"/>
      <c r="BQF126" s="383"/>
      <c r="BQG126" s="383"/>
      <c r="BQH126" s="383"/>
      <c r="BQI126" s="383"/>
      <c r="BQJ126" s="383"/>
      <c r="BQK126" s="383"/>
      <c r="BQL126" s="383"/>
      <c r="BQM126" s="383"/>
      <c r="BQN126" s="383"/>
      <c r="BQO126" s="383"/>
      <c r="BQP126" s="383"/>
      <c r="BQQ126" s="383"/>
      <c r="BQR126" s="383"/>
      <c r="BQS126" s="383"/>
      <c r="BQT126" s="383"/>
      <c r="BQU126" s="383"/>
      <c r="BQV126" s="383"/>
      <c r="BQW126" s="383"/>
      <c r="BQX126" s="383"/>
      <c r="BQY126" s="383"/>
      <c r="BQZ126" s="383"/>
      <c r="BRA126" s="383"/>
      <c r="BRB126" s="383"/>
      <c r="BRC126" s="383"/>
      <c r="BRD126" s="383"/>
      <c r="BRE126" s="383"/>
      <c r="BRF126" s="383"/>
      <c r="BRG126" s="383"/>
      <c r="BRH126" s="383"/>
      <c r="BRI126" s="383"/>
      <c r="BRJ126" s="383"/>
      <c r="BRK126" s="383"/>
      <c r="BRL126" s="383"/>
      <c r="BRM126" s="383"/>
      <c r="BRN126" s="383"/>
      <c r="BRO126" s="383"/>
      <c r="BRP126" s="383"/>
      <c r="BRQ126" s="383"/>
      <c r="BRR126" s="383"/>
      <c r="BRS126" s="383"/>
      <c r="BRT126" s="383"/>
      <c r="BRU126" s="383"/>
      <c r="BRV126" s="383"/>
      <c r="BRW126" s="383"/>
      <c r="BRX126" s="383"/>
      <c r="BRY126" s="383"/>
      <c r="BRZ126" s="383"/>
      <c r="BSA126" s="383"/>
      <c r="BSB126" s="383"/>
      <c r="BSC126" s="383"/>
      <c r="BSD126" s="383"/>
      <c r="BSE126" s="383"/>
      <c r="BSF126" s="383"/>
      <c r="BSG126" s="383"/>
      <c r="BSH126" s="383"/>
      <c r="BSI126" s="383"/>
      <c r="BSJ126" s="383"/>
      <c r="BSK126" s="383"/>
      <c r="BSL126" s="383"/>
      <c r="BSM126" s="383"/>
      <c r="BSN126" s="383"/>
      <c r="BSO126" s="383"/>
      <c r="BSP126" s="383"/>
      <c r="BSQ126" s="383"/>
      <c r="BSR126" s="383"/>
      <c r="BSS126" s="383"/>
      <c r="BST126" s="383"/>
      <c r="BSU126" s="383"/>
      <c r="BSV126" s="383"/>
      <c r="BSW126" s="383"/>
      <c r="BSX126" s="383"/>
      <c r="BSY126" s="383"/>
      <c r="BSZ126" s="383"/>
      <c r="BTA126" s="383"/>
      <c r="BTB126" s="383"/>
      <c r="BTC126" s="383"/>
      <c r="BTD126" s="383"/>
      <c r="BTE126" s="383"/>
      <c r="BTF126" s="383"/>
      <c r="BTG126" s="383"/>
      <c r="BTH126" s="383"/>
      <c r="BTI126" s="383"/>
      <c r="BTJ126" s="383"/>
      <c r="BTK126" s="383"/>
      <c r="BTL126" s="383"/>
      <c r="BTM126" s="383"/>
      <c r="BTN126" s="383"/>
      <c r="BTO126" s="383"/>
      <c r="BTP126" s="383"/>
      <c r="BTQ126" s="383"/>
      <c r="BTR126" s="383"/>
      <c r="BTS126" s="383"/>
      <c r="BTT126" s="383"/>
      <c r="BTU126" s="383"/>
      <c r="BTV126" s="383"/>
      <c r="BTW126" s="383"/>
      <c r="BTX126" s="383"/>
      <c r="BTY126" s="383"/>
      <c r="BTZ126" s="383"/>
      <c r="BUA126" s="383"/>
      <c r="BUB126" s="383"/>
      <c r="BUC126" s="383"/>
      <c r="BUD126" s="383"/>
      <c r="BUE126" s="383"/>
      <c r="BUF126" s="383"/>
      <c r="BUG126" s="383"/>
      <c r="BUH126" s="383"/>
      <c r="BUI126" s="383"/>
      <c r="BUJ126" s="383"/>
      <c r="BUK126" s="383"/>
      <c r="BUL126" s="383"/>
      <c r="BUM126" s="383"/>
      <c r="BUN126" s="383"/>
      <c r="BUO126" s="383"/>
      <c r="BUP126" s="383"/>
      <c r="BUQ126" s="383"/>
      <c r="BUR126" s="383"/>
      <c r="BUS126" s="383"/>
      <c r="BUT126" s="383"/>
      <c r="BUU126" s="383"/>
      <c r="BUV126" s="383"/>
      <c r="BUW126" s="383"/>
      <c r="BUX126" s="383"/>
      <c r="BUY126" s="383"/>
      <c r="BUZ126" s="383"/>
      <c r="BVA126" s="383"/>
      <c r="BVB126" s="383"/>
      <c r="BVC126" s="383"/>
      <c r="BVD126" s="383"/>
      <c r="BVE126" s="383"/>
      <c r="BVF126" s="383"/>
      <c r="BVG126" s="383"/>
      <c r="BVH126" s="383"/>
      <c r="BVI126" s="383"/>
      <c r="BVJ126" s="383"/>
      <c r="BVK126" s="383"/>
      <c r="BVL126" s="383"/>
      <c r="BVM126" s="383"/>
      <c r="BVN126" s="383"/>
      <c r="BVO126" s="383"/>
      <c r="BVP126" s="383"/>
      <c r="BVQ126" s="383"/>
      <c r="BVR126" s="383"/>
      <c r="BVS126" s="383"/>
      <c r="BVT126" s="383"/>
      <c r="BVU126" s="383"/>
      <c r="BVV126" s="383"/>
      <c r="BVW126" s="383"/>
      <c r="BVX126" s="383"/>
      <c r="BVY126" s="383"/>
      <c r="BVZ126" s="383"/>
      <c r="BWA126" s="383"/>
      <c r="BWB126" s="383"/>
      <c r="BWC126" s="383"/>
      <c r="BWD126" s="383"/>
      <c r="BWE126" s="383"/>
      <c r="BWF126" s="383"/>
      <c r="BWG126" s="383"/>
      <c r="BWH126" s="383"/>
      <c r="BWI126" s="383"/>
      <c r="BWJ126" s="383"/>
      <c r="BWK126" s="383"/>
      <c r="BWL126" s="383"/>
      <c r="BWM126" s="383"/>
      <c r="BWN126" s="383"/>
      <c r="BWO126" s="383"/>
      <c r="BWP126" s="383"/>
      <c r="BWQ126" s="383"/>
      <c r="BWR126" s="383"/>
      <c r="BWS126" s="383"/>
      <c r="BWT126" s="383"/>
      <c r="BWU126" s="383"/>
      <c r="BWV126" s="383"/>
      <c r="BWW126" s="383"/>
      <c r="BWX126" s="383"/>
      <c r="BWY126" s="383"/>
      <c r="BWZ126" s="383"/>
      <c r="BXA126" s="383"/>
      <c r="BXB126" s="383"/>
      <c r="BXC126" s="383"/>
      <c r="BXD126" s="383"/>
      <c r="BXE126" s="383"/>
      <c r="BXF126" s="383"/>
      <c r="BXG126" s="383"/>
      <c r="BXH126" s="383"/>
      <c r="BXI126" s="383"/>
      <c r="BXJ126" s="383"/>
      <c r="BXK126" s="383"/>
      <c r="BXL126" s="383"/>
      <c r="BXM126" s="383"/>
      <c r="BXN126" s="383"/>
      <c r="BXO126" s="383"/>
      <c r="BXP126" s="383"/>
      <c r="BXQ126" s="383"/>
      <c r="BXR126" s="383"/>
      <c r="BXS126" s="383"/>
      <c r="BXT126" s="383"/>
      <c r="BXU126" s="383"/>
      <c r="BXV126" s="383"/>
      <c r="BXW126" s="383"/>
      <c r="BXX126" s="383"/>
      <c r="BXY126" s="383"/>
      <c r="BXZ126" s="383"/>
      <c r="BYA126" s="383"/>
      <c r="BYB126" s="383"/>
      <c r="BYC126" s="383"/>
      <c r="BYD126" s="383"/>
      <c r="BYE126" s="383"/>
      <c r="BYF126" s="383"/>
      <c r="BYG126" s="383"/>
      <c r="BYH126" s="383"/>
      <c r="BYI126" s="383"/>
      <c r="BYJ126" s="383"/>
      <c r="BYK126" s="383"/>
      <c r="BYL126" s="383"/>
      <c r="BYM126" s="383"/>
      <c r="BYN126" s="383"/>
      <c r="BYO126" s="383"/>
      <c r="BYP126" s="383"/>
      <c r="BYQ126" s="383"/>
      <c r="BYR126" s="383"/>
      <c r="BYS126" s="383"/>
      <c r="BYT126" s="383"/>
      <c r="BYU126" s="383"/>
      <c r="BYV126" s="383"/>
      <c r="BYW126" s="383"/>
      <c r="BYX126" s="383"/>
      <c r="BYY126" s="383"/>
      <c r="BYZ126" s="383"/>
      <c r="BZA126" s="383"/>
      <c r="BZB126" s="383"/>
      <c r="BZC126" s="383"/>
      <c r="BZD126" s="383"/>
      <c r="BZE126" s="383"/>
      <c r="BZF126" s="383"/>
      <c r="BZG126" s="383"/>
      <c r="BZH126" s="383"/>
      <c r="BZI126" s="383"/>
      <c r="BZJ126" s="383"/>
      <c r="BZK126" s="383"/>
      <c r="BZL126" s="383"/>
      <c r="BZM126" s="383"/>
      <c r="BZN126" s="383"/>
      <c r="BZO126" s="383"/>
      <c r="BZP126" s="383"/>
      <c r="BZQ126" s="383"/>
      <c r="BZR126" s="383"/>
      <c r="BZS126" s="383"/>
      <c r="BZT126" s="383"/>
      <c r="BZU126" s="383"/>
      <c r="BZV126" s="383"/>
      <c r="BZW126" s="383"/>
      <c r="BZX126" s="383"/>
      <c r="BZY126" s="383"/>
      <c r="BZZ126" s="383"/>
      <c r="CAA126" s="383"/>
      <c r="CAB126" s="383"/>
      <c r="CAC126" s="383"/>
      <c r="CAD126" s="383"/>
      <c r="CAE126" s="383"/>
      <c r="CAF126" s="383"/>
      <c r="CAG126" s="383"/>
      <c r="CAH126" s="383"/>
      <c r="CAI126" s="383"/>
      <c r="CAJ126" s="383"/>
      <c r="CAK126" s="383"/>
      <c r="CAL126" s="383"/>
      <c r="CAM126" s="383"/>
      <c r="CAN126" s="383"/>
      <c r="CAO126" s="383"/>
      <c r="CAP126" s="383"/>
      <c r="CAQ126" s="383"/>
      <c r="CAR126" s="383"/>
      <c r="CAS126" s="383"/>
      <c r="CAT126" s="383"/>
      <c r="CAU126" s="383"/>
      <c r="CAV126" s="383"/>
      <c r="CAW126" s="383"/>
      <c r="CAX126" s="383"/>
      <c r="CAY126" s="383"/>
      <c r="CAZ126" s="383"/>
      <c r="CBA126" s="383"/>
      <c r="CBB126" s="383"/>
      <c r="CBC126" s="383"/>
      <c r="CBD126" s="383"/>
      <c r="CBE126" s="383"/>
      <c r="CBF126" s="383"/>
      <c r="CBG126" s="383"/>
      <c r="CBH126" s="383"/>
      <c r="CBI126" s="383"/>
      <c r="CBJ126" s="383"/>
      <c r="CBK126" s="383"/>
      <c r="CBL126" s="383"/>
      <c r="CBM126" s="383"/>
      <c r="CBN126" s="383"/>
      <c r="CBO126" s="383"/>
      <c r="CBP126" s="383"/>
      <c r="CBQ126" s="383"/>
      <c r="CBR126" s="383"/>
      <c r="CBS126" s="383"/>
      <c r="CBT126" s="383"/>
      <c r="CBU126" s="383"/>
      <c r="CBV126" s="383"/>
      <c r="CBW126" s="383"/>
      <c r="CBX126" s="383"/>
      <c r="CBY126" s="383"/>
      <c r="CBZ126" s="383"/>
      <c r="CCA126" s="383"/>
      <c r="CCB126" s="383"/>
      <c r="CCC126" s="383"/>
      <c r="CCD126" s="383"/>
      <c r="CCE126" s="383"/>
      <c r="CCF126" s="383"/>
      <c r="CCG126" s="383"/>
      <c r="CCH126" s="383"/>
      <c r="CCI126" s="383"/>
      <c r="CCJ126" s="383"/>
      <c r="CCK126" s="383"/>
      <c r="CCL126" s="383"/>
      <c r="CCM126" s="383"/>
      <c r="CCN126" s="383"/>
      <c r="CCO126" s="383"/>
      <c r="CCP126" s="383"/>
      <c r="CCQ126" s="383"/>
      <c r="CCR126" s="383"/>
      <c r="CCS126" s="383"/>
      <c r="CCT126" s="383"/>
      <c r="CCU126" s="383"/>
      <c r="CCV126" s="383"/>
      <c r="CCW126" s="383"/>
      <c r="CCX126" s="383"/>
      <c r="CCY126" s="383"/>
      <c r="CCZ126" s="383"/>
      <c r="CDA126" s="383"/>
      <c r="CDB126" s="383"/>
      <c r="CDC126" s="383"/>
      <c r="CDD126" s="383"/>
      <c r="CDE126" s="383"/>
      <c r="CDF126" s="383"/>
      <c r="CDG126" s="383"/>
      <c r="CDH126" s="383"/>
      <c r="CDI126" s="383"/>
      <c r="CDJ126" s="383"/>
      <c r="CDK126" s="383"/>
      <c r="CDL126" s="383"/>
      <c r="CDM126" s="383"/>
      <c r="CDN126" s="383"/>
      <c r="CDO126" s="383"/>
      <c r="CDP126" s="383"/>
      <c r="CDQ126" s="383"/>
      <c r="CDR126" s="383"/>
      <c r="CDS126" s="383"/>
      <c r="CDT126" s="383"/>
      <c r="CDU126" s="383"/>
      <c r="CDV126" s="383"/>
      <c r="CDW126" s="383"/>
      <c r="CDX126" s="383"/>
      <c r="CDY126" s="383"/>
      <c r="CDZ126" s="383"/>
      <c r="CEA126" s="383"/>
      <c r="CEB126" s="383"/>
      <c r="CEC126" s="383"/>
      <c r="CED126" s="383"/>
      <c r="CEE126" s="383"/>
      <c r="CEF126" s="383"/>
      <c r="CEG126" s="383"/>
      <c r="CEH126" s="383"/>
      <c r="CEI126" s="383"/>
      <c r="CEJ126" s="383"/>
      <c r="CEK126" s="383"/>
      <c r="CEL126" s="383"/>
      <c r="CEM126" s="383"/>
      <c r="CEN126" s="383"/>
      <c r="CEO126" s="383"/>
      <c r="CEP126" s="383"/>
      <c r="CEQ126" s="383"/>
      <c r="CER126" s="383"/>
      <c r="CES126" s="383"/>
      <c r="CET126" s="383"/>
      <c r="CEU126" s="383"/>
      <c r="CEV126" s="383"/>
      <c r="CEW126" s="383"/>
      <c r="CEX126" s="383"/>
      <c r="CEY126" s="383"/>
      <c r="CEZ126" s="383"/>
      <c r="CFA126" s="383"/>
      <c r="CFB126" s="383"/>
      <c r="CFC126" s="383"/>
      <c r="CFD126" s="383"/>
      <c r="CFE126" s="383"/>
      <c r="CFF126" s="383"/>
      <c r="CFG126" s="383"/>
      <c r="CFH126" s="383"/>
      <c r="CFI126" s="383"/>
      <c r="CFJ126" s="383"/>
      <c r="CFK126" s="383"/>
      <c r="CFL126" s="383"/>
      <c r="CFM126" s="383"/>
      <c r="CFN126" s="383"/>
      <c r="CFO126" s="383"/>
      <c r="CFP126" s="383"/>
      <c r="CFQ126" s="383"/>
      <c r="CFR126" s="383"/>
      <c r="CFS126" s="383"/>
      <c r="CFT126" s="383"/>
      <c r="CFU126" s="383"/>
      <c r="CFV126" s="383"/>
      <c r="CFW126" s="383"/>
      <c r="CFX126" s="383"/>
      <c r="CFY126" s="383"/>
      <c r="CFZ126" s="383"/>
      <c r="CGA126" s="383"/>
      <c r="CGB126" s="383"/>
      <c r="CGC126" s="383"/>
      <c r="CGD126" s="383"/>
      <c r="CGE126" s="383"/>
      <c r="CGF126" s="383"/>
      <c r="CGG126" s="383"/>
      <c r="CGH126" s="383"/>
      <c r="CGI126" s="383"/>
      <c r="CGJ126" s="383"/>
      <c r="CGK126" s="383"/>
      <c r="CGL126" s="383"/>
      <c r="CGM126" s="383"/>
      <c r="CGN126" s="383"/>
      <c r="CGO126" s="383"/>
      <c r="CGP126" s="383"/>
      <c r="CGQ126" s="383"/>
      <c r="CGR126" s="383"/>
      <c r="CGS126" s="383"/>
      <c r="CGT126" s="383"/>
      <c r="CGU126" s="383"/>
      <c r="CGV126" s="383"/>
      <c r="CGW126" s="383"/>
      <c r="CGX126" s="383"/>
      <c r="CGY126" s="383"/>
      <c r="CGZ126" s="383"/>
      <c r="CHA126" s="383"/>
      <c r="CHB126" s="383"/>
      <c r="CHC126" s="383"/>
      <c r="CHD126" s="383"/>
      <c r="CHE126" s="383"/>
      <c r="CHF126" s="383"/>
      <c r="CHG126" s="383"/>
      <c r="CHH126" s="383"/>
      <c r="CHI126" s="383"/>
      <c r="CHJ126" s="383"/>
      <c r="CHK126" s="383"/>
      <c r="CHL126" s="383"/>
      <c r="CHM126" s="383"/>
      <c r="CHN126" s="383"/>
      <c r="CHO126" s="383"/>
      <c r="CHP126" s="383"/>
      <c r="CHQ126" s="383"/>
      <c r="CHR126" s="383"/>
      <c r="CHS126" s="383"/>
      <c r="CHT126" s="383"/>
      <c r="CHU126" s="383"/>
      <c r="CHV126" s="383"/>
      <c r="CHW126" s="383"/>
      <c r="CHX126" s="383"/>
      <c r="CHY126" s="383"/>
      <c r="CHZ126" s="383"/>
      <c r="CIA126" s="383"/>
      <c r="CIB126" s="383"/>
      <c r="CIC126" s="383"/>
      <c r="CID126" s="383"/>
      <c r="CIE126" s="383"/>
      <c r="CIF126" s="383"/>
      <c r="CIG126" s="383"/>
      <c r="CIH126" s="383"/>
      <c r="CII126" s="383"/>
      <c r="CIJ126" s="383"/>
      <c r="CIK126" s="383"/>
      <c r="CIL126" s="383"/>
      <c r="CIM126" s="383"/>
      <c r="CIN126" s="383"/>
      <c r="CIO126" s="383"/>
      <c r="CIP126" s="383"/>
      <c r="CIQ126" s="383"/>
      <c r="CIR126" s="383"/>
      <c r="CIS126" s="383"/>
      <c r="CIT126" s="383"/>
      <c r="CIU126" s="383"/>
      <c r="CIV126" s="383"/>
      <c r="CIW126" s="383"/>
      <c r="CIX126" s="383"/>
      <c r="CIY126" s="383"/>
      <c r="CIZ126" s="383"/>
      <c r="CJA126" s="383"/>
      <c r="CJB126" s="383"/>
      <c r="CJC126" s="383"/>
      <c r="CJD126" s="383"/>
      <c r="CJE126" s="383"/>
      <c r="CJF126" s="383"/>
      <c r="CJG126" s="383"/>
      <c r="CJH126" s="383"/>
      <c r="CJI126" s="383"/>
      <c r="CJJ126" s="383"/>
      <c r="CJK126" s="383"/>
      <c r="CJL126" s="383"/>
      <c r="CJM126" s="383"/>
      <c r="CJN126" s="383"/>
      <c r="CJO126" s="383"/>
      <c r="CJP126" s="383"/>
      <c r="CJQ126" s="383"/>
      <c r="CJR126" s="383"/>
      <c r="CJS126" s="383"/>
      <c r="CJT126" s="383"/>
      <c r="CJU126" s="383"/>
      <c r="CJV126" s="383"/>
      <c r="CJW126" s="383"/>
      <c r="CJX126" s="383"/>
      <c r="CJY126" s="383"/>
      <c r="CJZ126" s="383"/>
      <c r="CKA126" s="383"/>
      <c r="CKB126" s="383"/>
      <c r="CKC126" s="383"/>
      <c r="CKD126" s="383"/>
      <c r="CKE126" s="383"/>
      <c r="CKF126" s="383"/>
      <c r="CKG126" s="383"/>
      <c r="CKH126" s="383"/>
      <c r="CKI126" s="383"/>
      <c r="CKJ126" s="383"/>
      <c r="CKK126" s="383"/>
      <c r="CKL126" s="383"/>
      <c r="CKM126" s="383"/>
      <c r="CKN126" s="383"/>
      <c r="CKO126" s="383"/>
      <c r="CKP126" s="383"/>
      <c r="CKQ126" s="383"/>
      <c r="CKR126" s="383"/>
      <c r="CKS126" s="383"/>
      <c r="CKT126" s="383"/>
      <c r="CKU126" s="383"/>
      <c r="CKV126" s="383"/>
      <c r="CKW126" s="383"/>
      <c r="CKX126" s="383"/>
      <c r="CKY126" s="383"/>
      <c r="CKZ126" s="383"/>
      <c r="CLA126" s="383"/>
      <c r="CLB126" s="383"/>
      <c r="CLC126" s="383"/>
      <c r="CLD126" s="383"/>
      <c r="CLE126" s="383"/>
      <c r="CLF126" s="383"/>
      <c r="CLG126" s="383"/>
      <c r="CLH126" s="383"/>
      <c r="CLI126" s="383"/>
      <c r="CLJ126" s="383"/>
      <c r="CLK126" s="383"/>
      <c r="CLL126" s="383"/>
      <c r="CLM126" s="383"/>
      <c r="CLN126" s="383"/>
      <c r="CLO126" s="383"/>
      <c r="CLP126" s="383"/>
      <c r="CLQ126" s="383"/>
      <c r="CLR126" s="383"/>
      <c r="CLS126" s="383"/>
      <c r="CLT126" s="383"/>
      <c r="CLU126" s="383"/>
      <c r="CLV126" s="383"/>
      <c r="CLW126" s="383"/>
      <c r="CLX126" s="383"/>
      <c r="CLY126" s="383"/>
      <c r="CLZ126" s="383"/>
      <c r="CMA126" s="383"/>
      <c r="CMB126" s="383"/>
      <c r="CMC126" s="383"/>
      <c r="CMD126" s="383"/>
      <c r="CME126" s="383"/>
      <c r="CMF126" s="383"/>
      <c r="CMG126" s="383"/>
      <c r="CMH126" s="383"/>
      <c r="CMI126" s="383"/>
      <c r="CMJ126" s="383"/>
      <c r="CMK126" s="383"/>
      <c r="CML126" s="383"/>
      <c r="CMM126" s="383"/>
      <c r="CMN126" s="383"/>
      <c r="CMO126" s="383"/>
      <c r="CMP126" s="383"/>
      <c r="CMQ126" s="383"/>
      <c r="CMR126" s="383"/>
      <c r="CMS126" s="383"/>
      <c r="CMT126" s="383"/>
      <c r="CMU126" s="383"/>
      <c r="CMV126" s="383"/>
      <c r="CMW126" s="383"/>
      <c r="CMX126" s="383"/>
      <c r="CMY126" s="383"/>
      <c r="CMZ126" s="383"/>
      <c r="CNA126" s="383"/>
      <c r="CNB126" s="383"/>
      <c r="CNC126" s="383"/>
      <c r="CND126" s="383"/>
      <c r="CNE126" s="383"/>
      <c r="CNF126" s="383"/>
      <c r="CNG126" s="383"/>
      <c r="CNH126" s="383"/>
      <c r="CNI126" s="383"/>
      <c r="CNJ126" s="383"/>
      <c r="CNK126" s="383"/>
      <c r="CNL126" s="383"/>
      <c r="CNM126" s="383"/>
      <c r="CNN126" s="383"/>
      <c r="CNO126" s="383"/>
      <c r="CNP126" s="383"/>
      <c r="CNQ126" s="383"/>
      <c r="CNR126" s="383"/>
      <c r="CNS126" s="383"/>
      <c r="CNT126" s="383"/>
      <c r="CNU126" s="383"/>
      <c r="CNV126" s="383"/>
      <c r="CNW126" s="383"/>
      <c r="CNX126" s="383"/>
      <c r="CNY126" s="383"/>
      <c r="CNZ126" s="383"/>
      <c r="COA126" s="383"/>
      <c r="COB126" s="383"/>
      <c r="COC126" s="383"/>
      <c r="COD126" s="383"/>
      <c r="COE126" s="383"/>
      <c r="COF126" s="383"/>
      <c r="COG126" s="383"/>
      <c r="COH126" s="383"/>
      <c r="COI126" s="383"/>
      <c r="COJ126" s="383"/>
      <c r="COK126" s="383"/>
      <c r="COL126" s="383"/>
      <c r="COM126" s="383"/>
      <c r="CON126" s="383"/>
      <c r="COO126" s="383"/>
      <c r="COP126" s="383"/>
      <c r="COQ126" s="383"/>
      <c r="COR126" s="383"/>
      <c r="COS126" s="383"/>
      <c r="COT126" s="383"/>
      <c r="COU126" s="383"/>
      <c r="COV126" s="383"/>
      <c r="COW126" s="383"/>
      <c r="COX126" s="383"/>
      <c r="COY126" s="383"/>
      <c r="COZ126" s="383"/>
      <c r="CPA126" s="383"/>
      <c r="CPB126" s="383"/>
      <c r="CPC126" s="383"/>
      <c r="CPD126" s="383"/>
      <c r="CPE126" s="383"/>
      <c r="CPF126" s="383"/>
      <c r="CPG126" s="383"/>
      <c r="CPH126" s="383"/>
      <c r="CPI126" s="383"/>
      <c r="CPJ126" s="383"/>
      <c r="CPK126" s="383"/>
      <c r="CPL126" s="383"/>
      <c r="CPM126" s="383"/>
      <c r="CPN126" s="383"/>
      <c r="CPO126" s="383"/>
      <c r="CPP126" s="383"/>
      <c r="CPQ126" s="383"/>
      <c r="CPR126" s="383"/>
      <c r="CPS126" s="383"/>
      <c r="CPT126" s="383"/>
      <c r="CPU126" s="383"/>
      <c r="CPV126" s="383"/>
      <c r="CPW126" s="383"/>
      <c r="CPX126" s="383"/>
      <c r="CPY126" s="383"/>
      <c r="CPZ126" s="383"/>
      <c r="CQA126" s="383"/>
      <c r="CQB126" s="383"/>
      <c r="CQC126" s="383"/>
      <c r="CQD126" s="383"/>
      <c r="CQE126" s="383"/>
      <c r="CQF126" s="383"/>
      <c r="CQG126" s="383"/>
      <c r="CQH126" s="383"/>
      <c r="CQI126" s="383"/>
      <c r="CQJ126" s="383"/>
      <c r="CQK126" s="383"/>
      <c r="CQL126" s="383"/>
      <c r="CQM126" s="383"/>
      <c r="CQN126" s="383"/>
      <c r="CQO126" s="383"/>
      <c r="CQP126" s="383"/>
      <c r="CQQ126" s="383"/>
      <c r="CQR126" s="383"/>
      <c r="CQS126" s="383"/>
      <c r="CQT126" s="383"/>
      <c r="CQU126" s="383"/>
      <c r="CQV126" s="383"/>
      <c r="CQW126" s="383"/>
      <c r="CQX126" s="383"/>
      <c r="CQY126" s="383"/>
      <c r="CQZ126" s="383"/>
      <c r="CRA126" s="383"/>
      <c r="CRB126" s="383"/>
      <c r="CRC126" s="383"/>
      <c r="CRD126" s="383"/>
      <c r="CRE126" s="383"/>
      <c r="CRF126" s="383"/>
      <c r="CRG126" s="383"/>
      <c r="CRH126" s="383"/>
      <c r="CRI126" s="383"/>
      <c r="CRJ126" s="383"/>
      <c r="CRK126" s="383"/>
      <c r="CRL126" s="383"/>
      <c r="CRM126" s="383"/>
      <c r="CRN126" s="383"/>
      <c r="CRO126" s="383"/>
      <c r="CRP126" s="383"/>
      <c r="CRQ126" s="383"/>
      <c r="CRR126" s="383"/>
      <c r="CRS126" s="383"/>
      <c r="CRT126" s="383"/>
      <c r="CRU126" s="383"/>
      <c r="CRV126" s="383"/>
      <c r="CRW126" s="383"/>
      <c r="CRX126" s="383"/>
      <c r="CRY126" s="383"/>
      <c r="CRZ126" s="383"/>
      <c r="CSA126" s="383"/>
      <c r="CSB126" s="383"/>
      <c r="CSC126" s="383"/>
      <c r="CSD126" s="383"/>
      <c r="CSE126" s="383"/>
      <c r="CSF126" s="383"/>
      <c r="CSG126" s="383"/>
      <c r="CSH126" s="383"/>
      <c r="CSI126" s="383"/>
      <c r="CSJ126" s="383"/>
      <c r="CSK126" s="383"/>
      <c r="CSL126" s="383"/>
      <c r="CSM126" s="383"/>
      <c r="CSN126" s="383"/>
      <c r="CSO126" s="383"/>
      <c r="CSP126" s="383"/>
      <c r="CSQ126" s="383"/>
      <c r="CSR126" s="383"/>
      <c r="CSS126" s="383"/>
      <c r="CST126" s="383"/>
      <c r="CSU126" s="383"/>
      <c r="CSV126" s="383"/>
      <c r="CSW126" s="383"/>
      <c r="CSX126" s="383"/>
      <c r="CSY126" s="383"/>
      <c r="CSZ126" s="383"/>
      <c r="CTA126" s="383"/>
      <c r="CTB126" s="383"/>
      <c r="CTC126" s="383"/>
      <c r="CTD126" s="383"/>
      <c r="CTE126" s="383"/>
      <c r="CTF126" s="383"/>
      <c r="CTG126" s="383"/>
      <c r="CTH126" s="383"/>
      <c r="CTI126" s="383"/>
      <c r="CTJ126" s="383"/>
      <c r="CTK126" s="383"/>
      <c r="CTL126" s="383"/>
      <c r="CTM126" s="383"/>
      <c r="CTN126" s="383"/>
      <c r="CTO126" s="383"/>
      <c r="CTP126" s="383"/>
      <c r="CTQ126" s="383"/>
      <c r="CTR126" s="383"/>
      <c r="CTS126" s="383"/>
      <c r="CTT126" s="383"/>
      <c r="CTU126" s="383"/>
      <c r="CTV126" s="383"/>
      <c r="CTW126" s="383"/>
      <c r="CTX126" s="383"/>
      <c r="CTY126" s="383"/>
      <c r="CTZ126" s="383"/>
      <c r="CUA126" s="383"/>
      <c r="CUB126" s="383"/>
      <c r="CUC126" s="383"/>
      <c r="CUD126" s="383"/>
      <c r="CUE126" s="383"/>
      <c r="CUF126" s="383"/>
      <c r="CUG126" s="383"/>
      <c r="CUH126" s="383"/>
      <c r="CUI126" s="383"/>
      <c r="CUJ126" s="383"/>
      <c r="CUK126" s="383"/>
      <c r="CUL126" s="383"/>
      <c r="CUM126" s="383"/>
      <c r="CUN126" s="383"/>
      <c r="CUO126" s="383"/>
      <c r="CUP126" s="383"/>
      <c r="CUQ126" s="383"/>
      <c r="CUR126" s="383"/>
      <c r="CUS126" s="383"/>
      <c r="CUT126" s="383"/>
      <c r="CUU126" s="383"/>
      <c r="CUV126" s="383"/>
      <c r="CUW126" s="383"/>
      <c r="CUX126" s="383"/>
      <c r="CUY126" s="383"/>
      <c r="CUZ126" s="383"/>
      <c r="CVA126" s="383"/>
      <c r="CVB126" s="383"/>
      <c r="CVC126" s="383"/>
      <c r="CVD126" s="383"/>
      <c r="CVE126" s="383"/>
      <c r="CVF126" s="383"/>
      <c r="CVG126" s="383"/>
      <c r="CVH126" s="383"/>
      <c r="CVI126" s="383"/>
      <c r="CVJ126" s="383"/>
      <c r="CVK126" s="383"/>
      <c r="CVL126" s="383"/>
      <c r="CVM126" s="383"/>
      <c r="CVN126" s="383"/>
      <c r="CVO126" s="383"/>
      <c r="CVP126" s="383"/>
      <c r="CVQ126" s="383"/>
      <c r="CVR126" s="383"/>
      <c r="CVS126" s="383"/>
      <c r="CVT126" s="383"/>
      <c r="CVU126" s="383"/>
      <c r="CVV126" s="383"/>
      <c r="CVW126" s="383"/>
      <c r="CVX126" s="383"/>
      <c r="CVY126" s="383"/>
      <c r="CVZ126" s="383"/>
      <c r="CWA126" s="383"/>
      <c r="CWB126" s="383"/>
      <c r="CWC126" s="383"/>
      <c r="CWD126" s="383"/>
      <c r="CWE126" s="383"/>
      <c r="CWF126" s="383"/>
      <c r="CWG126" s="383"/>
      <c r="CWH126" s="383"/>
      <c r="CWI126" s="383"/>
      <c r="CWJ126" s="383"/>
      <c r="CWK126" s="383"/>
      <c r="CWL126" s="383"/>
      <c r="CWM126" s="383"/>
      <c r="CWN126" s="383"/>
      <c r="CWO126" s="383"/>
      <c r="CWP126" s="383"/>
      <c r="CWQ126" s="383"/>
      <c r="CWR126" s="383"/>
      <c r="CWS126" s="383"/>
      <c r="CWT126" s="383"/>
      <c r="CWU126" s="383"/>
      <c r="CWV126" s="383"/>
      <c r="CWW126" s="383"/>
      <c r="CWX126" s="383"/>
      <c r="CWY126" s="383"/>
      <c r="CWZ126" s="383"/>
      <c r="CXA126" s="383"/>
      <c r="CXB126" s="383"/>
      <c r="CXC126" s="383"/>
      <c r="CXD126" s="383"/>
      <c r="CXE126" s="383"/>
      <c r="CXF126" s="383"/>
      <c r="CXG126" s="383"/>
      <c r="CXH126" s="383"/>
      <c r="CXI126" s="383"/>
      <c r="CXJ126" s="383"/>
      <c r="CXK126" s="383"/>
      <c r="CXL126" s="383"/>
      <c r="CXM126" s="383"/>
      <c r="CXN126" s="383"/>
      <c r="CXO126" s="383"/>
      <c r="CXP126" s="383"/>
      <c r="CXQ126" s="383"/>
      <c r="CXR126" s="383"/>
      <c r="CXS126" s="383"/>
      <c r="CXT126" s="383"/>
      <c r="CXU126" s="383"/>
      <c r="CXV126" s="383"/>
      <c r="CXW126" s="383"/>
      <c r="CXX126" s="383"/>
      <c r="CXY126" s="383"/>
      <c r="CXZ126" s="383"/>
      <c r="CYA126" s="383"/>
      <c r="CYB126" s="383"/>
      <c r="CYC126" s="383"/>
      <c r="CYD126" s="383"/>
      <c r="CYE126" s="383"/>
      <c r="CYF126" s="383"/>
      <c r="CYG126" s="383"/>
      <c r="CYH126" s="383"/>
      <c r="CYI126" s="383"/>
      <c r="CYJ126" s="383"/>
      <c r="CYK126" s="383"/>
      <c r="CYL126" s="383"/>
      <c r="CYM126" s="383"/>
      <c r="CYN126" s="383"/>
      <c r="CYO126" s="383"/>
      <c r="CYP126" s="383"/>
      <c r="CYQ126" s="383"/>
      <c r="CYR126" s="383"/>
      <c r="CYS126" s="383"/>
      <c r="CYT126" s="383"/>
      <c r="CYU126" s="383"/>
      <c r="CYV126" s="383"/>
      <c r="CYW126" s="383"/>
      <c r="CYX126" s="383"/>
      <c r="CYY126" s="383"/>
      <c r="CYZ126" s="383"/>
      <c r="CZA126" s="383"/>
      <c r="CZB126" s="383"/>
      <c r="CZC126" s="383"/>
      <c r="CZD126" s="383"/>
      <c r="CZE126" s="383"/>
      <c r="CZF126" s="383"/>
      <c r="CZG126" s="383"/>
      <c r="CZH126" s="383"/>
      <c r="CZI126" s="383"/>
      <c r="CZJ126" s="383"/>
      <c r="CZK126" s="383"/>
      <c r="CZL126" s="383"/>
      <c r="CZM126" s="383"/>
      <c r="CZN126" s="383"/>
      <c r="CZO126" s="383"/>
      <c r="CZP126" s="383"/>
      <c r="CZQ126" s="383"/>
      <c r="CZR126" s="383"/>
      <c r="CZS126" s="383"/>
      <c r="CZT126" s="383"/>
      <c r="CZU126" s="383"/>
      <c r="CZV126" s="383"/>
      <c r="CZW126" s="383"/>
      <c r="CZX126" s="383"/>
      <c r="CZY126" s="383"/>
      <c r="CZZ126" s="383"/>
      <c r="DAA126" s="383"/>
      <c r="DAB126" s="383"/>
      <c r="DAC126" s="383"/>
      <c r="DAD126" s="383"/>
      <c r="DAE126" s="383"/>
      <c r="DAF126" s="383"/>
      <c r="DAG126" s="383"/>
      <c r="DAH126" s="383"/>
      <c r="DAI126" s="383"/>
      <c r="DAJ126" s="383"/>
      <c r="DAK126" s="383"/>
      <c r="DAL126" s="383"/>
      <c r="DAM126" s="383"/>
      <c r="DAN126" s="383"/>
      <c r="DAO126" s="383"/>
      <c r="DAP126" s="383"/>
      <c r="DAQ126" s="383"/>
      <c r="DAR126" s="383"/>
      <c r="DAS126" s="383"/>
      <c r="DAT126" s="383"/>
      <c r="DAU126" s="383"/>
      <c r="DAV126" s="383"/>
      <c r="DAW126" s="383"/>
      <c r="DAX126" s="383"/>
      <c r="DAY126" s="383"/>
      <c r="DAZ126" s="383"/>
      <c r="DBA126" s="383"/>
      <c r="DBB126" s="383"/>
      <c r="DBC126" s="383"/>
      <c r="DBD126" s="383"/>
      <c r="DBE126" s="383"/>
      <c r="DBF126" s="383"/>
      <c r="DBG126" s="383"/>
      <c r="DBH126" s="383"/>
      <c r="DBI126" s="383"/>
      <c r="DBJ126" s="383"/>
      <c r="DBK126" s="383"/>
      <c r="DBL126" s="383"/>
      <c r="DBM126" s="383"/>
      <c r="DBN126" s="383"/>
      <c r="DBO126" s="383"/>
      <c r="DBP126" s="383"/>
      <c r="DBQ126" s="383"/>
      <c r="DBR126" s="383"/>
      <c r="DBS126" s="383"/>
      <c r="DBT126" s="383"/>
      <c r="DBU126" s="383"/>
      <c r="DBV126" s="383"/>
      <c r="DBW126" s="383"/>
      <c r="DBX126" s="383"/>
      <c r="DBY126" s="383"/>
      <c r="DBZ126" s="383"/>
      <c r="DCA126" s="383"/>
      <c r="DCB126" s="383"/>
      <c r="DCC126" s="383"/>
      <c r="DCD126" s="383"/>
      <c r="DCE126" s="383"/>
      <c r="DCF126" s="383"/>
      <c r="DCG126" s="383"/>
      <c r="DCH126" s="383"/>
      <c r="DCI126" s="383"/>
      <c r="DCJ126" s="383"/>
      <c r="DCK126" s="383"/>
      <c r="DCL126" s="383"/>
      <c r="DCM126" s="383"/>
      <c r="DCN126" s="383"/>
      <c r="DCO126" s="383"/>
      <c r="DCP126" s="383"/>
      <c r="DCQ126" s="383"/>
      <c r="DCR126" s="383"/>
      <c r="DCS126" s="383"/>
      <c r="DCT126" s="383"/>
      <c r="DCU126" s="383"/>
      <c r="DCV126" s="383"/>
      <c r="DCW126" s="383"/>
      <c r="DCX126" s="383"/>
      <c r="DCY126" s="383"/>
      <c r="DCZ126" s="383"/>
      <c r="DDA126" s="383"/>
      <c r="DDB126" s="383"/>
      <c r="DDC126" s="383"/>
      <c r="DDD126" s="383"/>
      <c r="DDE126" s="383"/>
      <c r="DDF126" s="383"/>
      <c r="DDG126" s="383"/>
      <c r="DDH126" s="383"/>
      <c r="DDI126" s="383"/>
      <c r="DDJ126" s="383"/>
      <c r="DDK126" s="383"/>
      <c r="DDL126" s="383"/>
      <c r="DDM126" s="383"/>
      <c r="DDN126" s="383"/>
      <c r="DDO126" s="383"/>
      <c r="DDP126" s="383"/>
      <c r="DDQ126" s="383"/>
      <c r="DDR126" s="383"/>
      <c r="DDS126" s="383"/>
      <c r="DDT126" s="383"/>
      <c r="DDU126" s="383"/>
      <c r="DDV126" s="383"/>
      <c r="DDW126" s="383"/>
      <c r="DDX126" s="383"/>
      <c r="DDY126" s="383"/>
      <c r="DDZ126" s="383"/>
      <c r="DEA126" s="383"/>
      <c r="DEB126" s="383"/>
      <c r="DEC126" s="383"/>
      <c r="DED126" s="383"/>
      <c r="DEE126" s="383"/>
      <c r="DEF126" s="383"/>
      <c r="DEG126" s="383"/>
      <c r="DEH126" s="383"/>
      <c r="DEI126" s="383"/>
      <c r="DEJ126" s="383"/>
      <c r="DEK126" s="383"/>
      <c r="DEL126" s="383"/>
      <c r="DEM126" s="383"/>
      <c r="DEN126" s="383"/>
      <c r="DEO126" s="383"/>
      <c r="DEP126" s="383"/>
      <c r="DEQ126" s="383"/>
      <c r="DER126" s="383"/>
      <c r="DES126" s="383"/>
      <c r="DET126" s="383"/>
      <c r="DEU126" s="383"/>
      <c r="DEV126" s="383"/>
      <c r="DEW126" s="383"/>
      <c r="DEX126" s="383"/>
      <c r="DEY126" s="383"/>
      <c r="DEZ126" s="383"/>
      <c r="DFA126" s="383"/>
      <c r="DFB126" s="383"/>
      <c r="DFC126" s="383"/>
      <c r="DFD126" s="383"/>
      <c r="DFE126" s="383"/>
      <c r="DFF126" s="383"/>
      <c r="DFG126" s="383"/>
      <c r="DFH126" s="383"/>
      <c r="DFI126" s="383"/>
      <c r="DFJ126" s="383"/>
      <c r="DFK126" s="383"/>
      <c r="DFL126" s="383"/>
      <c r="DFM126" s="383"/>
      <c r="DFN126" s="383"/>
      <c r="DFO126" s="383"/>
      <c r="DFP126" s="383"/>
      <c r="DFQ126" s="383"/>
      <c r="DFR126" s="383"/>
      <c r="DFS126" s="383"/>
      <c r="DFT126" s="383"/>
      <c r="DFU126" s="383"/>
      <c r="DFV126" s="383"/>
      <c r="DFW126" s="383"/>
      <c r="DFX126" s="383"/>
      <c r="DFY126" s="383"/>
      <c r="DFZ126" s="383"/>
      <c r="DGA126" s="383"/>
      <c r="DGB126" s="383"/>
      <c r="DGC126" s="383"/>
      <c r="DGD126" s="383"/>
      <c r="DGE126" s="383"/>
      <c r="DGF126" s="383"/>
      <c r="DGG126" s="383"/>
      <c r="DGH126" s="383"/>
      <c r="DGI126" s="383"/>
      <c r="DGJ126" s="383"/>
      <c r="DGK126" s="383"/>
      <c r="DGL126" s="383"/>
      <c r="DGM126" s="383"/>
      <c r="DGN126" s="383"/>
      <c r="DGO126" s="383"/>
      <c r="DGP126" s="383"/>
      <c r="DGQ126" s="383"/>
      <c r="DGR126" s="383"/>
      <c r="DGS126" s="383"/>
      <c r="DGT126" s="383"/>
      <c r="DGU126" s="383"/>
      <c r="DGV126" s="383"/>
      <c r="DGW126" s="383"/>
      <c r="DGX126" s="383"/>
      <c r="DGY126" s="383"/>
      <c r="DGZ126" s="383"/>
      <c r="DHA126" s="383"/>
      <c r="DHB126" s="383"/>
      <c r="DHC126" s="383"/>
      <c r="DHD126" s="383"/>
      <c r="DHE126" s="383"/>
      <c r="DHF126" s="383"/>
      <c r="DHG126" s="383"/>
      <c r="DHH126" s="383"/>
      <c r="DHI126" s="383"/>
      <c r="DHJ126" s="383"/>
      <c r="DHK126" s="383"/>
      <c r="DHL126" s="383"/>
      <c r="DHM126" s="383"/>
      <c r="DHN126" s="383"/>
      <c r="DHO126" s="383"/>
      <c r="DHP126" s="383"/>
      <c r="DHQ126" s="383"/>
      <c r="DHR126" s="383"/>
      <c r="DHS126" s="383"/>
      <c r="DHT126" s="383"/>
      <c r="DHU126" s="383"/>
      <c r="DHV126" s="383"/>
      <c r="DHW126" s="383"/>
      <c r="DHX126" s="383"/>
      <c r="DHY126" s="383"/>
      <c r="DHZ126" s="383"/>
      <c r="DIA126" s="383"/>
      <c r="DIB126" s="383"/>
      <c r="DIC126" s="383"/>
      <c r="DID126" s="383"/>
      <c r="DIE126" s="383"/>
      <c r="DIF126" s="383"/>
      <c r="DIG126" s="383"/>
      <c r="DIH126" s="383"/>
      <c r="DII126" s="383"/>
      <c r="DIJ126" s="383"/>
      <c r="DIK126" s="383"/>
      <c r="DIL126" s="383"/>
      <c r="DIM126" s="383"/>
      <c r="DIN126" s="383"/>
      <c r="DIO126" s="383"/>
      <c r="DIP126" s="383"/>
      <c r="DIQ126" s="383"/>
      <c r="DIR126" s="383"/>
      <c r="DIS126" s="383"/>
      <c r="DIT126" s="383"/>
      <c r="DIU126" s="383"/>
      <c r="DIV126" s="383"/>
      <c r="DIW126" s="383"/>
      <c r="DIX126" s="383"/>
      <c r="DIY126" s="383"/>
      <c r="DIZ126" s="383"/>
      <c r="DJA126" s="383"/>
      <c r="DJB126" s="383"/>
      <c r="DJC126" s="383"/>
      <c r="DJD126" s="383"/>
      <c r="DJE126" s="383"/>
      <c r="DJF126" s="383"/>
      <c r="DJG126" s="383"/>
      <c r="DJH126" s="383"/>
      <c r="DJI126" s="383"/>
      <c r="DJJ126" s="383"/>
      <c r="DJK126" s="383"/>
      <c r="DJL126" s="383"/>
      <c r="DJM126" s="383"/>
      <c r="DJN126" s="383"/>
      <c r="DJO126" s="383"/>
      <c r="DJP126" s="383"/>
      <c r="DJQ126" s="383"/>
      <c r="DJR126" s="383"/>
      <c r="DJS126" s="383"/>
      <c r="DJT126" s="383"/>
      <c r="DJU126" s="383"/>
      <c r="DJV126" s="383"/>
      <c r="DJW126" s="383"/>
      <c r="DJX126" s="383"/>
      <c r="DJY126" s="383"/>
      <c r="DJZ126" s="383"/>
      <c r="DKA126" s="383"/>
      <c r="DKB126" s="383"/>
      <c r="DKC126" s="383"/>
      <c r="DKD126" s="383"/>
      <c r="DKE126" s="383"/>
      <c r="DKF126" s="383"/>
      <c r="DKG126" s="383"/>
      <c r="DKH126" s="383"/>
      <c r="DKI126" s="383"/>
      <c r="DKJ126" s="383"/>
      <c r="DKK126" s="383"/>
      <c r="DKL126" s="383"/>
      <c r="DKM126" s="383"/>
      <c r="DKN126" s="383"/>
      <c r="DKO126" s="383"/>
      <c r="DKP126" s="383"/>
      <c r="DKQ126" s="383"/>
      <c r="DKR126" s="383"/>
      <c r="DKS126" s="383"/>
      <c r="DKT126" s="383"/>
      <c r="DKU126" s="383"/>
      <c r="DKV126" s="383"/>
      <c r="DKW126" s="383"/>
      <c r="DKX126" s="383"/>
      <c r="DKY126" s="383"/>
      <c r="DKZ126" s="383"/>
      <c r="DLA126" s="383"/>
      <c r="DLB126" s="383"/>
      <c r="DLC126" s="383"/>
      <c r="DLD126" s="383"/>
      <c r="DLE126" s="383"/>
      <c r="DLF126" s="383"/>
      <c r="DLG126" s="383"/>
      <c r="DLH126" s="383"/>
      <c r="DLI126" s="383"/>
      <c r="DLJ126" s="383"/>
      <c r="DLK126" s="383"/>
      <c r="DLL126" s="383"/>
      <c r="DLM126" s="383"/>
      <c r="DLN126" s="383"/>
      <c r="DLO126" s="383"/>
      <c r="DLP126" s="383"/>
      <c r="DLQ126" s="383"/>
      <c r="DLR126" s="383"/>
      <c r="DLS126" s="383"/>
      <c r="DLT126" s="383"/>
      <c r="DLU126" s="383"/>
      <c r="DLV126" s="383"/>
      <c r="DLW126" s="383"/>
      <c r="DLX126" s="383"/>
      <c r="DLY126" s="383"/>
      <c r="DLZ126" s="383"/>
      <c r="DMA126" s="383"/>
      <c r="DMB126" s="383"/>
      <c r="DMC126" s="383"/>
      <c r="DMD126" s="383"/>
      <c r="DME126" s="383"/>
      <c r="DMF126" s="383"/>
      <c r="DMG126" s="383"/>
      <c r="DMH126" s="383"/>
      <c r="DMI126" s="383"/>
      <c r="DMJ126" s="383"/>
      <c r="DMK126" s="383"/>
      <c r="DML126" s="383"/>
      <c r="DMM126" s="383"/>
      <c r="DMN126" s="383"/>
      <c r="DMO126" s="383"/>
      <c r="DMP126" s="383"/>
      <c r="DMQ126" s="383"/>
      <c r="DMR126" s="383"/>
      <c r="DMS126" s="383"/>
      <c r="DMT126" s="383"/>
      <c r="DMU126" s="383"/>
      <c r="DMV126" s="383"/>
      <c r="DMW126" s="383"/>
      <c r="DMX126" s="383"/>
      <c r="DMY126" s="383"/>
      <c r="DMZ126" s="383"/>
      <c r="DNA126" s="383"/>
      <c r="DNB126" s="383"/>
      <c r="DNC126" s="383"/>
      <c r="DND126" s="383"/>
      <c r="DNE126" s="383"/>
      <c r="DNF126" s="383"/>
      <c r="DNG126" s="383"/>
      <c r="DNH126" s="383"/>
      <c r="DNI126" s="383"/>
      <c r="DNJ126" s="383"/>
      <c r="DNK126" s="383"/>
      <c r="DNL126" s="383"/>
      <c r="DNM126" s="383"/>
      <c r="DNN126" s="383"/>
      <c r="DNO126" s="383"/>
      <c r="DNP126" s="383"/>
      <c r="DNQ126" s="383"/>
      <c r="DNR126" s="383"/>
      <c r="DNS126" s="383"/>
      <c r="DNT126" s="383"/>
      <c r="DNU126" s="383"/>
      <c r="DNV126" s="383"/>
      <c r="DNW126" s="383"/>
      <c r="DNX126" s="383"/>
      <c r="DNY126" s="383"/>
      <c r="DNZ126" s="383"/>
      <c r="DOA126" s="383"/>
      <c r="DOB126" s="383"/>
      <c r="DOC126" s="383"/>
      <c r="DOD126" s="383"/>
      <c r="DOE126" s="383"/>
      <c r="DOF126" s="383"/>
      <c r="DOG126" s="383"/>
      <c r="DOH126" s="383"/>
      <c r="DOI126" s="383"/>
      <c r="DOJ126" s="383"/>
      <c r="DOK126" s="383"/>
      <c r="DOL126" s="383"/>
      <c r="DOM126" s="383"/>
      <c r="DON126" s="383"/>
      <c r="DOO126" s="383"/>
      <c r="DOP126" s="383"/>
      <c r="DOQ126" s="383"/>
      <c r="DOR126" s="383"/>
      <c r="DOS126" s="383"/>
      <c r="DOT126" s="383"/>
      <c r="DOU126" s="383"/>
      <c r="DOV126" s="383"/>
      <c r="DOW126" s="383"/>
      <c r="DOX126" s="383"/>
      <c r="DOY126" s="383"/>
      <c r="DOZ126" s="383"/>
      <c r="DPA126" s="383"/>
      <c r="DPB126" s="383"/>
      <c r="DPC126" s="383"/>
      <c r="DPD126" s="383"/>
      <c r="DPE126" s="383"/>
      <c r="DPF126" s="383"/>
      <c r="DPG126" s="383"/>
      <c r="DPH126" s="383"/>
      <c r="DPI126" s="383"/>
      <c r="DPJ126" s="383"/>
      <c r="DPK126" s="383"/>
      <c r="DPL126" s="383"/>
      <c r="DPM126" s="383"/>
      <c r="DPN126" s="383"/>
      <c r="DPO126" s="383"/>
      <c r="DPP126" s="383"/>
      <c r="DPQ126" s="383"/>
      <c r="DPR126" s="383"/>
      <c r="DPS126" s="383"/>
      <c r="DPT126" s="383"/>
      <c r="DPU126" s="383"/>
      <c r="DPV126" s="383"/>
      <c r="DPW126" s="383"/>
      <c r="DPX126" s="383"/>
      <c r="DPY126" s="383"/>
      <c r="DPZ126" s="383"/>
      <c r="DQA126" s="383"/>
      <c r="DQB126" s="383"/>
      <c r="DQC126" s="383"/>
      <c r="DQD126" s="383"/>
      <c r="DQE126" s="383"/>
      <c r="DQF126" s="383"/>
      <c r="DQG126" s="383"/>
      <c r="DQH126" s="383"/>
      <c r="DQI126" s="383"/>
      <c r="DQJ126" s="383"/>
      <c r="DQK126" s="383"/>
      <c r="DQL126" s="383"/>
      <c r="DQM126" s="383"/>
      <c r="DQN126" s="383"/>
      <c r="DQO126" s="383"/>
      <c r="DQP126" s="383"/>
      <c r="DQQ126" s="383"/>
      <c r="DQR126" s="383"/>
      <c r="DQS126" s="383"/>
      <c r="DQT126" s="383"/>
      <c r="DQU126" s="383"/>
      <c r="DQV126" s="383"/>
      <c r="DQW126" s="383"/>
      <c r="DQX126" s="383"/>
      <c r="DQY126" s="383"/>
      <c r="DQZ126" s="383"/>
      <c r="DRA126" s="383"/>
      <c r="DRB126" s="383"/>
      <c r="DRC126" s="383"/>
      <c r="DRD126" s="383"/>
      <c r="DRE126" s="383"/>
      <c r="DRF126" s="383"/>
      <c r="DRG126" s="383"/>
      <c r="DRH126" s="383"/>
      <c r="DRI126" s="383"/>
      <c r="DRJ126" s="383"/>
      <c r="DRK126" s="383"/>
      <c r="DRL126" s="383"/>
      <c r="DRM126" s="383"/>
    </row>
    <row r="127" spans="1:3185" ht="30" customHeight="1">
      <c r="A127" s="387"/>
      <c r="B127" s="388"/>
      <c r="C127" s="389"/>
      <c r="D127" s="390"/>
      <c r="E127" s="391"/>
      <c r="F127" s="421"/>
      <c r="G127" s="396"/>
      <c r="H127" s="392"/>
      <c r="I127" s="422"/>
      <c r="J127" s="394"/>
      <c r="K127" s="411"/>
    </row>
    <row r="128" spans="1:3185" ht="30" customHeight="1">
      <c r="A128" s="387"/>
      <c r="B128" s="388"/>
      <c r="C128" s="389"/>
      <c r="D128" s="390"/>
      <c r="E128" s="391"/>
      <c r="F128" s="421"/>
      <c r="G128" s="396"/>
      <c r="H128" s="406"/>
      <c r="I128" s="422"/>
      <c r="J128" s="394"/>
      <c r="K128" s="411"/>
      <c r="M128" s="408"/>
    </row>
    <row r="129" spans="1:14" ht="30" customHeight="1">
      <c r="A129" s="387"/>
      <c r="B129" s="388"/>
      <c r="C129" s="389"/>
      <c r="D129" s="390"/>
      <c r="E129" s="391"/>
      <c r="F129" s="421"/>
      <c r="G129" s="399"/>
      <c r="H129" s="389"/>
      <c r="I129" s="422"/>
      <c r="J129" s="394"/>
      <c r="K129" s="411"/>
    </row>
    <row r="130" spans="1:14" ht="30" customHeight="1">
      <c r="A130" s="387"/>
      <c r="B130" s="388"/>
      <c r="C130" s="389"/>
      <c r="D130" s="390"/>
      <c r="E130" s="391"/>
      <c r="F130" s="421"/>
      <c r="G130" s="396"/>
      <c r="H130" s="392"/>
      <c r="I130" s="422"/>
      <c r="J130" s="394"/>
      <c r="K130" s="411"/>
    </row>
    <row r="131" spans="1:14" ht="30" customHeight="1">
      <c r="A131" s="387"/>
      <c r="B131" s="388"/>
      <c r="C131" s="389"/>
      <c r="D131" s="390"/>
      <c r="E131" s="391"/>
      <c r="F131" s="421"/>
      <c r="G131" s="396"/>
      <c r="H131" s="392"/>
      <c r="I131" s="422"/>
      <c r="J131" s="394"/>
      <c r="K131" s="411"/>
    </row>
    <row r="132" spans="1:14" ht="30" customHeight="1">
      <c r="A132" s="387"/>
      <c r="B132" s="388"/>
      <c r="C132" s="389"/>
      <c r="D132" s="390"/>
      <c r="E132" s="391"/>
      <c r="F132" s="421"/>
      <c r="G132" s="396"/>
      <c r="H132" s="392"/>
      <c r="I132" s="422"/>
      <c r="J132" s="394"/>
      <c r="K132" s="411"/>
    </row>
    <row r="133" spans="1:14" ht="30" customHeight="1">
      <c r="A133" s="387"/>
      <c r="B133" s="388"/>
      <c r="C133" s="389"/>
      <c r="D133" s="390"/>
      <c r="E133" s="391"/>
      <c r="F133" s="421"/>
      <c r="G133" s="396"/>
      <c r="H133" s="392"/>
      <c r="I133" s="422"/>
      <c r="J133" s="394"/>
      <c r="K133" s="411"/>
    </row>
    <row r="134" spans="1:14" ht="30" customHeight="1">
      <c r="A134" s="387"/>
      <c r="B134" s="388"/>
      <c r="C134" s="389"/>
      <c r="D134" s="390"/>
      <c r="E134" s="391"/>
      <c r="F134" s="421"/>
      <c r="G134" s="396"/>
      <c r="H134" s="392"/>
      <c r="I134" s="422"/>
      <c r="J134" s="394"/>
      <c r="K134" s="411"/>
    </row>
    <row r="135" spans="1:14" ht="30" customHeight="1">
      <c r="A135" s="387"/>
      <c r="B135" s="388"/>
      <c r="C135" s="389"/>
      <c r="D135" s="390"/>
      <c r="E135" s="391"/>
      <c r="F135" s="421"/>
      <c r="G135" s="396"/>
      <c r="H135" s="392"/>
      <c r="I135" s="422"/>
      <c r="J135" s="397"/>
      <c r="K135" s="411"/>
      <c r="L135" s="406"/>
      <c r="M135" s="406"/>
      <c r="N135" s="406"/>
    </row>
    <row r="136" spans="1:14" ht="30" customHeight="1">
      <c r="A136" s="387"/>
      <c r="B136" s="388"/>
      <c r="C136" s="389"/>
      <c r="D136" s="390"/>
      <c r="E136" s="391"/>
      <c r="F136" s="421"/>
      <c r="G136" s="396"/>
      <c r="H136" s="392"/>
      <c r="I136" s="422"/>
      <c r="J136" s="394"/>
      <c r="K136" s="411"/>
    </row>
    <row r="137" spans="1:14" ht="30" customHeight="1">
      <c r="A137" s="387"/>
      <c r="B137" s="388"/>
      <c r="C137" s="389"/>
      <c r="D137" s="390"/>
      <c r="E137" s="391"/>
      <c r="F137" s="421"/>
      <c r="G137" s="396"/>
      <c r="H137" s="392"/>
      <c r="I137" s="422"/>
      <c r="J137" s="394"/>
      <c r="K137" s="411"/>
    </row>
    <row r="138" spans="1:14" ht="30" customHeight="1">
      <c r="A138" s="387"/>
      <c r="B138" s="388"/>
      <c r="C138" s="389"/>
      <c r="D138" s="390"/>
      <c r="E138" s="391"/>
      <c r="F138" s="421"/>
      <c r="G138" s="396"/>
      <c r="H138" s="392"/>
      <c r="I138" s="422"/>
      <c r="J138" s="394"/>
      <c r="K138" s="411"/>
    </row>
    <row r="139" spans="1:14" ht="30" customHeight="1">
      <c r="A139" s="387"/>
      <c r="B139" s="388"/>
      <c r="C139" s="389"/>
      <c r="D139" s="390"/>
      <c r="E139" s="391"/>
      <c r="F139" s="421"/>
      <c r="G139" s="396"/>
      <c r="H139" s="392"/>
      <c r="I139" s="422"/>
      <c r="J139" s="394"/>
      <c r="K139" s="411"/>
    </row>
    <row r="140" spans="1:14" ht="30" customHeight="1">
      <c r="A140" s="387"/>
      <c r="B140" s="388"/>
      <c r="C140" s="389"/>
      <c r="D140" s="390"/>
      <c r="E140" s="391"/>
      <c r="F140" s="421"/>
      <c r="G140" s="396"/>
      <c r="H140" s="392"/>
      <c r="I140" s="422"/>
      <c r="J140" s="394"/>
      <c r="K140" s="411"/>
      <c r="M140" s="408"/>
    </row>
    <row r="141" spans="1:14" ht="30" customHeight="1">
      <c r="A141" s="387"/>
      <c r="B141" s="388"/>
      <c r="C141" s="389"/>
      <c r="D141" s="390"/>
      <c r="E141" s="391"/>
      <c r="F141" s="421"/>
      <c r="G141" s="396"/>
      <c r="H141" s="392"/>
      <c r="I141" s="422"/>
      <c r="J141" s="394"/>
      <c r="K141" s="411"/>
    </row>
    <row r="142" spans="1:14" ht="30" customHeight="1">
      <c r="A142" s="387"/>
      <c r="B142" s="388"/>
      <c r="C142" s="389"/>
      <c r="D142" s="390"/>
      <c r="E142" s="391"/>
      <c r="F142" s="421"/>
      <c r="G142" s="396"/>
      <c r="H142" s="392"/>
      <c r="I142" s="422"/>
      <c r="J142" s="394"/>
      <c r="K142" s="411"/>
    </row>
    <row r="143" spans="1:14" ht="30" customHeight="1">
      <c r="A143" s="387"/>
      <c r="B143" s="388"/>
      <c r="C143" s="389"/>
      <c r="D143" s="390"/>
      <c r="E143" s="391"/>
      <c r="F143" s="421"/>
      <c r="G143" s="396"/>
      <c r="H143" s="392"/>
      <c r="I143" s="422"/>
      <c r="J143" s="394"/>
      <c r="K143" s="411"/>
    </row>
    <row r="144" spans="1:14" ht="30" customHeight="1">
      <c r="A144" s="387"/>
      <c r="B144" s="388"/>
      <c r="C144" s="389"/>
      <c r="D144" s="390"/>
      <c r="E144" s="391"/>
      <c r="F144" s="421"/>
      <c r="G144" s="396"/>
      <c r="H144" s="392"/>
      <c r="I144" s="422"/>
      <c r="J144" s="394"/>
      <c r="K144" s="411"/>
    </row>
    <row r="145" spans="1:3185" ht="30" customHeight="1">
      <c r="A145" s="387"/>
      <c r="B145" s="388"/>
      <c r="C145" s="389"/>
      <c r="D145" s="390"/>
      <c r="E145" s="391"/>
      <c r="F145" s="421"/>
      <c r="G145" s="396"/>
      <c r="H145" s="392"/>
      <c r="I145" s="422"/>
      <c r="J145" s="394"/>
      <c r="K145" s="411"/>
      <c r="M145" s="408"/>
    </row>
    <row r="146" spans="1:3185" ht="30" customHeight="1">
      <c r="A146" s="387"/>
      <c r="B146" s="388"/>
      <c r="C146" s="389"/>
      <c r="D146" s="390"/>
      <c r="E146" s="391"/>
      <c r="F146" s="421"/>
      <c r="G146" s="396"/>
      <c r="H146" s="392"/>
      <c r="I146" s="422"/>
      <c r="J146" s="394"/>
      <c r="K146" s="411"/>
      <c r="M146" s="408"/>
    </row>
    <row r="147" spans="1:3185" ht="30" customHeight="1">
      <c r="A147" s="387"/>
      <c r="B147" s="388"/>
      <c r="C147" s="389"/>
      <c r="D147" s="390"/>
      <c r="E147" s="391"/>
      <c r="F147" s="421"/>
      <c r="G147" s="396"/>
      <c r="H147" s="392"/>
      <c r="I147" s="422"/>
      <c r="J147" s="394"/>
      <c r="K147" s="411"/>
      <c r="M147" s="408"/>
    </row>
    <row r="148" spans="1:3185" ht="30" customHeight="1">
      <c r="A148" s="387"/>
      <c r="B148" s="388"/>
      <c r="C148" s="389"/>
      <c r="D148" s="390"/>
      <c r="E148" s="391"/>
      <c r="F148" s="421"/>
      <c r="G148" s="396"/>
      <c r="H148" s="392"/>
      <c r="I148" s="422"/>
      <c r="J148" s="394"/>
      <c r="K148" s="411"/>
    </row>
    <row r="149" spans="1:3185" ht="30" customHeight="1">
      <c r="A149" s="387"/>
      <c r="B149" s="388"/>
      <c r="C149" s="389"/>
      <c r="D149" s="390"/>
      <c r="E149" s="391"/>
      <c r="F149" s="421"/>
      <c r="G149" s="396"/>
      <c r="H149" s="392"/>
      <c r="I149" s="422"/>
      <c r="J149" s="394"/>
      <c r="K149" s="411"/>
    </row>
    <row r="150" spans="1:3185" ht="30" customHeight="1">
      <c r="A150" s="387"/>
      <c r="B150" s="388"/>
      <c r="C150" s="389"/>
      <c r="D150" s="390"/>
      <c r="E150" s="391"/>
      <c r="F150" s="421"/>
      <c r="G150" s="396"/>
      <c r="H150" s="392"/>
      <c r="I150" s="422"/>
      <c r="J150" s="394"/>
      <c r="K150" s="411"/>
      <c r="M150" s="409"/>
    </row>
    <row r="151" spans="1:3185" ht="30" customHeight="1">
      <c r="A151" s="387"/>
      <c r="B151" s="388"/>
      <c r="C151" s="389"/>
      <c r="D151" s="390"/>
      <c r="E151" s="391"/>
      <c r="F151" s="421"/>
      <c r="G151" s="396"/>
      <c r="H151" s="392"/>
      <c r="I151" s="422"/>
      <c r="J151" s="394"/>
      <c r="K151" s="411"/>
    </row>
    <row r="152" spans="1:3185" ht="30" customHeight="1">
      <c r="A152" s="387"/>
      <c r="B152" s="400"/>
      <c r="C152" s="387"/>
      <c r="D152" s="401"/>
      <c r="E152" s="391"/>
      <c r="F152" s="422"/>
      <c r="G152" s="396"/>
      <c r="H152" s="392"/>
      <c r="I152" s="422"/>
      <c r="J152" s="394"/>
      <c r="K152" s="412"/>
    </row>
    <row r="153" spans="1:3185" ht="30" customHeight="1">
      <c r="A153" s="387"/>
      <c r="B153" s="388"/>
      <c r="C153" s="389"/>
      <c r="D153" s="390"/>
      <c r="E153" s="391"/>
      <c r="F153" s="421"/>
      <c r="G153" s="396"/>
      <c r="H153" s="392"/>
      <c r="I153" s="422"/>
      <c r="J153" s="394"/>
      <c r="K153" s="411"/>
    </row>
    <row r="154" spans="1:3185" ht="30" customHeight="1">
      <c r="A154" s="387"/>
      <c r="B154" s="388"/>
      <c r="C154" s="389"/>
      <c r="D154" s="390"/>
      <c r="E154" s="391"/>
      <c r="F154" s="421"/>
      <c r="G154" s="396"/>
      <c r="H154" s="392"/>
      <c r="I154" s="422"/>
      <c r="J154" s="394"/>
      <c r="K154" s="411"/>
    </row>
    <row r="155" spans="1:3185" ht="30" customHeight="1">
      <c r="A155" s="387"/>
      <c r="B155" s="388"/>
      <c r="C155" s="389"/>
      <c r="D155" s="390"/>
      <c r="E155" s="391"/>
      <c r="F155" s="421"/>
      <c r="G155" s="396"/>
      <c r="H155" s="392"/>
      <c r="I155" s="422"/>
      <c r="J155" s="394"/>
      <c r="K155" s="411"/>
    </row>
    <row r="156" spans="1:3185" ht="30" customHeight="1">
      <c r="A156" s="387"/>
      <c r="B156" s="388"/>
      <c r="C156" s="389"/>
      <c r="D156" s="390"/>
      <c r="E156" s="391"/>
      <c r="F156" s="421"/>
      <c r="G156" s="396"/>
      <c r="H156" s="392"/>
      <c r="I156" s="422"/>
      <c r="J156" s="394"/>
      <c r="K156" s="411"/>
    </row>
    <row r="157" spans="1:3185" ht="30" customHeight="1">
      <c r="A157" s="387"/>
      <c r="B157" s="388"/>
      <c r="C157" s="389"/>
      <c r="D157" s="390"/>
      <c r="E157" s="391"/>
      <c r="F157" s="421"/>
      <c r="G157" s="399"/>
      <c r="H157" s="392"/>
      <c r="I157" s="422"/>
      <c r="J157" s="394"/>
      <c r="K157" s="411"/>
    </row>
    <row r="158" spans="1:3185" ht="30" customHeight="1">
      <c r="A158" s="387"/>
      <c r="B158" s="388"/>
      <c r="C158" s="389"/>
      <c r="D158" s="390"/>
      <c r="E158" s="391"/>
      <c r="F158" s="421"/>
      <c r="G158" s="396"/>
      <c r="H158" s="392"/>
      <c r="I158" s="422"/>
      <c r="J158" s="394"/>
      <c r="K158" s="411"/>
    </row>
    <row r="159" spans="1:3185" ht="30" customHeight="1">
      <c r="A159" s="387"/>
      <c r="B159" s="388"/>
      <c r="C159" s="389"/>
      <c r="D159" s="390"/>
      <c r="E159" s="391"/>
      <c r="F159" s="421"/>
      <c r="G159" s="396"/>
      <c r="H159" s="392"/>
      <c r="I159" s="422"/>
      <c r="J159" s="394"/>
      <c r="K159" s="411"/>
    </row>
    <row r="160" spans="1:3185" ht="30" customHeight="1">
      <c r="A160" s="387"/>
      <c r="B160" s="388"/>
      <c r="C160" s="389"/>
      <c r="D160" s="390"/>
      <c r="E160" s="391"/>
      <c r="F160" s="421"/>
      <c r="G160" s="399"/>
      <c r="H160" s="392"/>
      <c r="I160" s="422"/>
      <c r="J160" s="394"/>
      <c r="K160" s="411"/>
      <c r="O160" s="386"/>
      <c r="P160" s="386"/>
      <c r="Q160" s="386"/>
      <c r="R160" s="386"/>
      <c r="S160" s="386"/>
      <c r="T160" s="386"/>
      <c r="U160" s="386"/>
      <c r="V160" s="386"/>
      <c r="W160" s="386"/>
      <c r="X160" s="386"/>
      <c r="Y160" s="386"/>
      <c r="Z160" s="386"/>
      <c r="AA160" s="386"/>
      <c r="AB160" s="386"/>
      <c r="AC160" s="386"/>
      <c r="AD160" s="386"/>
      <c r="AE160" s="386"/>
      <c r="AF160" s="386"/>
      <c r="AG160" s="386"/>
      <c r="AH160" s="386"/>
      <c r="AI160" s="386"/>
      <c r="AJ160" s="386"/>
      <c r="AK160" s="386"/>
      <c r="AL160" s="386"/>
      <c r="AM160" s="386"/>
      <c r="AN160" s="386"/>
      <c r="AO160" s="386"/>
      <c r="AP160" s="386"/>
      <c r="AQ160" s="386"/>
      <c r="AR160" s="386"/>
      <c r="AS160" s="386"/>
      <c r="AT160" s="386"/>
      <c r="AU160" s="386"/>
      <c r="AV160" s="386"/>
      <c r="AW160" s="386"/>
      <c r="AX160" s="386"/>
      <c r="AY160" s="386"/>
      <c r="AZ160" s="386"/>
      <c r="BA160" s="386"/>
      <c r="BB160" s="386"/>
      <c r="BC160" s="386"/>
      <c r="BD160" s="386"/>
      <c r="BE160" s="386"/>
      <c r="BF160" s="386"/>
      <c r="BG160" s="386"/>
      <c r="BH160" s="386"/>
      <c r="BI160" s="386"/>
      <c r="BJ160" s="386"/>
      <c r="BK160" s="386"/>
      <c r="BL160" s="386"/>
      <c r="BM160" s="386"/>
      <c r="BN160" s="386"/>
      <c r="BO160" s="386"/>
      <c r="BP160" s="386"/>
      <c r="BQ160" s="386"/>
      <c r="BR160" s="386"/>
      <c r="BS160" s="386"/>
      <c r="BT160" s="386"/>
      <c r="BU160" s="386"/>
      <c r="BV160" s="386"/>
      <c r="BW160" s="386"/>
      <c r="BX160" s="386"/>
      <c r="BY160" s="386"/>
      <c r="BZ160" s="386"/>
      <c r="CA160" s="386"/>
      <c r="CB160" s="386"/>
      <c r="CC160" s="386"/>
      <c r="CD160" s="386"/>
      <c r="CE160" s="386"/>
      <c r="CF160" s="386"/>
      <c r="CG160" s="386"/>
      <c r="CH160" s="386"/>
      <c r="CI160" s="386"/>
      <c r="CJ160" s="386"/>
      <c r="CK160" s="386"/>
      <c r="CL160" s="386"/>
      <c r="CM160" s="386"/>
      <c r="CN160" s="386"/>
      <c r="CO160" s="386"/>
      <c r="CP160" s="386"/>
      <c r="CQ160" s="386"/>
      <c r="CR160" s="386"/>
      <c r="CS160" s="386"/>
      <c r="CT160" s="386"/>
      <c r="CU160" s="386"/>
      <c r="CV160" s="386"/>
      <c r="CW160" s="386"/>
      <c r="CX160" s="386"/>
      <c r="CY160" s="386"/>
      <c r="CZ160" s="386"/>
      <c r="DA160" s="386"/>
      <c r="DB160" s="386"/>
      <c r="DC160" s="386"/>
      <c r="DD160" s="386"/>
      <c r="DE160" s="386"/>
      <c r="DF160" s="386"/>
      <c r="DG160" s="386"/>
      <c r="DH160" s="386"/>
      <c r="DI160" s="386"/>
      <c r="DJ160" s="386"/>
      <c r="DK160" s="386"/>
      <c r="DL160" s="386"/>
      <c r="DM160" s="386"/>
      <c r="DN160" s="386"/>
      <c r="DO160" s="386"/>
      <c r="DP160" s="386"/>
      <c r="DQ160" s="386"/>
      <c r="DR160" s="386"/>
      <c r="DS160" s="386"/>
      <c r="DT160" s="386"/>
      <c r="DU160" s="386"/>
      <c r="DV160" s="386"/>
      <c r="DW160" s="386"/>
      <c r="DX160" s="386"/>
      <c r="DY160" s="386"/>
      <c r="DZ160" s="386"/>
      <c r="EA160" s="386"/>
      <c r="EB160" s="386"/>
      <c r="EC160" s="386"/>
      <c r="ED160" s="386"/>
      <c r="EE160" s="386"/>
      <c r="EF160" s="386"/>
      <c r="EG160" s="386"/>
      <c r="EH160" s="386"/>
      <c r="EI160" s="386"/>
      <c r="EJ160" s="386"/>
      <c r="EK160" s="386"/>
      <c r="EL160" s="386"/>
      <c r="EM160" s="386"/>
      <c r="EN160" s="386"/>
      <c r="EO160" s="386"/>
      <c r="EP160" s="386"/>
      <c r="EQ160" s="386"/>
      <c r="ER160" s="386"/>
      <c r="ES160" s="386"/>
      <c r="ET160" s="386"/>
      <c r="EU160" s="386"/>
      <c r="EV160" s="386"/>
      <c r="EW160" s="386"/>
      <c r="EX160" s="386"/>
      <c r="EY160" s="386"/>
      <c r="EZ160" s="386"/>
      <c r="FA160" s="386"/>
      <c r="FB160" s="386"/>
      <c r="FC160" s="386"/>
      <c r="FD160" s="386"/>
      <c r="FE160" s="386"/>
      <c r="FF160" s="386"/>
      <c r="FG160" s="386"/>
      <c r="FH160" s="386"/>
      <c r="FI160" s="386"/>
      <c r="FJ160" s="386"/>
      <c r="FK160" s="386"/>
      <c r="FL160" s="386"/>
      <c r="FM160" s="386"/>
      <c r="FN160" s="386"/>
      <c r="FO160" s="386"/>
      <c r="FP160" s="386"/>
      <c r="FQ160" s="386"/>
      <c r="FR160" s="386"/>
      <c r="FS160" s="386"/>
      <c r="FT160" s="386"/>
      <c r="FU160" s="386"/>
      <c r="FV160" s="386"/>
      <c r="FW160" s="386"/>
      <c r="FX160" s="386"/>
      <c r="FY160" s="386"/>
      <c r="FZ160" s="386"/>
      <c r="GA160" s="386"/>
      <c r="GB160" s="386"/>
      <c r="GC160" s="386"/>
      <c r="GD160" s="386"/>
      <c r="GE160" s="386"/>
      <c r="GF160" s="386"/>
      <c r="GG160" s="386"/>
      <c r="GH160" s="386"/>
      <c r="GI160" s="386"/>
      <c r="GJ160" s="386"/>
      <c r="GK160" s="386"/>
      <c r="GL160" s="386"/>
      <c r="GM160" s="386"/>
      <c r="GN160" s="386"/>
      <c r="GO160" s="386"/>
      <c r="GP160" s="386"/>
      <c r="GQ160" s="386"/>
      <c r="GR160" s="386"/>
      <c r="GS160" s="386"/>
      <c r="GT160" s="386"/>
      <c r="GU160" s="386"/>
      <c r="GV160" s="386"/>
      <c r="GW160" s="386"/>
      <c r="GX160" s="386"/>
      <c r="GY160" s="386"/>
      <c r="GZ160" s="386"/>
      <c r="HA160" s="386"/>
      <c r="HB160" s="386"/>
      <c r="HC160" s="386"/>
      <c r="HD160" s="386"/>
      <c r="HE160" s="386"/>
      <c r="HF160" s="386"/>
      <c r="HG160" s="386"/>
      <c r="HH160" s="386"/>
      <c r="HI160" s="386"/>
      <c r="HJ160" s="386"/>
      <c r="HK160" s="386"/>
      <c r="HL160" s="386"/>
      <c r="HM160" s="386"/>
      <c r="HN160" s="386"/>
      <c r="HO160" s="386"/>
      <c r="HP160" s="386"/>
      <c r="HQ160" s="386"/>
      <c r="HR160" s="386"/>
      <c r="HS160" s="386"/>
      <c r="HT160" s="386"/>
      <c r="HU160" s="386"/>
      <c r="HV160" s="386"/>
      <c r="HW160" s="386"/>
      <c r="HX160" s="386"/>
      <c r="HY160" s="386"/>
      <c r="HZ160" s="386"/>
      <c r="IA160" s="386"/>
      <c r="IB160" s="386"/>
      <c r="IC160" s="386"/>
      <c r="ID160" s="386"/>
      <c r="IE160" s="386"/>
      <c r="IF160" s="386"/>
      <c r="IG160" s="386"/>
      <c r="IH160" s="386"/>
      <c r="II160" s="386"/>
      <c r="IJ160" s="386"/>
      <c r="IK160" s="386"/>
      <c r="IL160" s="386"/>
      <c r="IM160" s="386"/>
      <c r="IN160" s="386"/>
      <c r="IO160" s="386"/>
      <c r="IP160" s="386"/>
      <c r="IQ160" s="386"/>
      <c r="IR160" s="386"/>
      <c r="IS160" s="386"/>
      <c r="IT160" s="386"/>
      <c r="IU160" s="386"/>
      <c r="IV160" s="386"/>
      <c r="IW160" s="386"/>
      <c r="IX160" s="386"/>
      <c r="IY160" s="386"/>
      <c r="IZ160" s="386"/>
      <c r="JA160" s="386"/>
      <c r="JB160" s="386"/>
      <c r="JC160" s="386"/>
      <c r="JD160" s="386"/>
      <c r="JE160" s="386"/>
      <c r="JF160" s="386"/>
      <c r="JG160" s="386"/>
      <c r="JH160" s="386"/>
      <c r="JI160" s="386"/>
      <c r="JJ160" s="386"/>
      <c r="JK160" s="386"/>
      <c r="JL160" s="386"/>
      <c r="JM160" s="386"/>
      <c r="JN160" s="386"/>
      <c r="JO160" s="386"/>
      <c r="JP160" s="386"/>
      <c r="JQ160" s="386"/>
      <c r="JR160" s="386"/>
      <c r="JS160" s="386"/>
      <c r="JT160" s="386"/>
      <c r="JU160" s="386"/>
      <c r="JV160" s="386"/>
      <c r="JW160" s="386"/>
      <c r="JX160" s="386"/>
      <c r="JY160" s="386"/>
      <c r="JZ160" s="386"/>
      <c r="KA160" s="386"/>
      <c r="KB160" s="386"/>
      <c r="KC160" s="386"/>
      <c r="KD160" s="386"/>
      <c r="KE160" s="386"/>
      <c r="KF160" s="386"/>
      <c r="KG160" s="386"/>
      <c r="KH160" s="386"/>
      <c r="KI160" s="386"/>
      <c r="KJ160" s="386"/>
      <c r="KK160" s="386"/>
      <c r="KL160" s="386"/>
      <c r="KM160" s="386"/>
      <c r="KN160" s="386"/>
      <c r="KO160" s="386"/>
      <c r="KP160" s="386"/>
      <c r="KQ160" s="386"/>
      <c r="KR160" s="386"/>
      <c r="KS160" s="386"/>
      <c r="KT160" s="386"/>
      <c r="KU160" s="386"/>
      <c r="KV160" s="386"/>
      <c r="KW160" s="386"/>
      <c r="KX160" s="386"/>
      <c r="KY160" s="386"/>
      <c r="KZ160" s="386"/>
      <c r="LA160" s="386"/>
      <c r="LB160" s="386"/>
      <c r="LC160" s="386"/>
      <c r="LD160" s="386"/>
      <c r="LE160" s="386"/>
      <c r="LF160" s="386"/>
      <c r="LG160" s="386"/>
      <c r="LH160" s="386"/>
      <c r="LI160" s="386"/>
      <c r="LJ160" s="386"/>
      <c r="LK160" s="386"/>
      <c r="LL160" s="386"/>
      <c r="LM160" s="386"/>
      <c r="LN160" s="386"/>
      <c r="LO160" s="386"/>
      <c r="LP160" s="386"/>
      <c r="LQ160" s="386"/>
      <c r="LR160" s="386"/>
      <c r="LS160" s="386"/>
      <c r="LT160" s="386"/>
      <c r="LU160" s="386"/>
      <c r="LV160" s="386"/>
      <c r="LW160" s="386"/>
      <c r="LX160" s="386"/>
      <c r="LY160" s="386"/>
      <c r="LZ160" s="386"/>
      <c r="MA160" s="386"/>
      <c r="MB160" s="386"/>
      <c r="MC160" s="386"/>
      <c r="MD160" s="386"/>
      <c r="ME160" s="386"/>
      <c r="MF160" s="386"/>
      <c r="MG160" s="386"/>
      <c r="MH160" s="386"/>
      <c r="MI160" s="386"/>
      <c r="MJ160" s="386"/>
      <c r="MK160" s="386"/>
      <c r="ML160" s="386"/>
      <c r="MM160" s="386"/>
      <c r="MN160" s="386"/>
      <c r="MO160" s="386"/>
      <c r="MP160" s="386"/>
      <c r="MQ160" s="386"/>
      <c r="MR160" s="386"/>
      <c r="MS160" s="386"/>
      <c r="MT160" s="386"/>
      <c r="MU160" s="386"/>
      <c r="MV160" s="386"/>
      <c r="MW160" s="386"/>
      <c r="MX160" s="386"/>
      <c r="MY160" s="386"/>
      <c r="MZ160" s="386"/>
      <c r="NA160" s="386"/>
      <c r="NB160" s="386"/>
      <c r="NC160" s="386"/>
      <c r="ND160" s="386"/>
      <c r="NE160" s="386"/>
      <c r="NF160" s="386"/>
      <c r="NG160" s="386"/>
      <c r="NH160" s="386"/>
      <c r="NI160" s="386"/>
      <c r="NJ160" s="386"/>
      <c r="NK160" s="386"/>
      <c r="NL160" s="386"/>
      <c r="NM160" s="386"/>
      <c r="NN160" s="386"/>
      <c r="NO160" s="386"/>
      <c r="NP160" s="386"/>
      <c r="NQ160" s="386"/>
      <c r="NR160" s="386"/>
      <c r="NS160" s="386"/>
      <c r="NT160" s="386"/>
      <c r="NU160" s="386"/>
      <c r="NV160" s="386"/>
      <c r="NW160" s="386"/>
      <c r="NX160" s="386"/>
      <c r="NY160" s="386"/>
      <c r="NZ160" s="386"/>
      <c r="OA160" s="386"/>
      <c r="OB160" s="386"/>
      <c r="OC160" s="386"/>
      <c r="OD160" s="386"/>
      <c r="OE160" s="386"/>
      <c r="OF160" s="386"/>
      <c r="OG160" s="386"/>
      <c r="OH160" s="386"/>
      <c r="OI160" s="386"/>
      <c r="OJ160" s="386"/>
      <c r="OK160" s="386"/>
      <c r="OL160" s="386"/>
      <c r="OM160" s="386"/>
      <c r="ON160" s="386"/>
      <c r="OO160" s="386"/>
      <c r="OP160" s="386"/>
      <c r="OQ160" s="386"/>
      <c r="OR160" s="386"/>
      <c r="OS160" s="386"/>
      <c r="OT160" s="386"/>
      <c r="OU160" s="386"/>
      <c r="OV160" s="386"/>
      <c r="OW160" s="386"/>
      <c r="OX160" s="386"/>
      <c r="OY160" s="386"/>
      <c r="OZ160" s="386"/>
      <c r="PA160" s="386"/>
      <c r="PB160" s="386"/>
      <c r="PC160" s="386"/>
      <c r="PD160" s="386"/>
      <c r="PE160" s="386"/>
      <c r="PF160" s="386"/>
      <c r="PG160" s="386"/>
      <c r="PH160" s="386"/>
      <c r="PI160" s="386"/>
      <c r="PJ160" s="386"/>
      <c r="PK160" s="386"/>
      <c r="PL160" s="386"/>
      <c r="PM160" s="386"/>
      <c r="PN160" s="386"/>
      <c r="PO160" s="386"/>
      <c r="PP160" s="386"/>
      <c r="PQ160" s="386"/>
      <c r="PR160" s="386"/>
      <c r="PS160" s="386"/>
      <c r="PT160" s="386"/>
      <c r="PU160" s="386"/>
      <c r="PV160" s="386"/>
      <c r="PW160" s="386"/>
      <c r="PX160" s="386"/>
      <c r="PY160" s="386"/>
      <c r="PZ160" s="386"/>
      <c r="QA160" s="386"/>
      <c r="QB160" s="386"/>
      <c r="QC160" s="386"/>
      <c r="QD160" s="386"/>
      <c r="QE160" s="386"/>
      <c r="QF160" s="386"/>
      <c r="QG160" s="386"/>
      <c r="QH160" s="386"/>
      <c r="QI160" s="386"/>
      <c r="QJ160" s="386"/>
      <c r="QK160" s="386"/>
      <c r="QL160" s="386"/>
      <c r="QM160" s="386"/>
      <c r="QN160" s="386"/>
      <c r="QO160" s="386"/>
      <c r="QP160" s="386"/>
      <c r="QQ160" s="386"/>
      <c r="QR160" s="386"/>
      <c r="QS160" s="386"/>
      <c r="QT160" s="386"/>
      <c r="QU160" s="386"/>
      <c r="QV160" s="386"/>
      <c r="QW160" s="386"/>
      <c r="QX160" s="386"/>
      <c r="QY160" s="386"/>
      <c r="QZ160" s="386"/>
      <c r="RA160" s="386"/>
      <c r="RB160" s="386"/>
      <c r="RC160" s="386"/>
      <c r="RD160" s="386"/>
      <c r="RE160" s="386"/>
      <c r="RF160" s="386"/>
      <c r="RG160" s="386"/>
      <c r="RH160" s="386"/>
      <c r="RI160" s="386"/>
      <c r="RJ160" s="386"/>
      <c r="RK160" s="386"/>
      <c r="RL160" s="386"/>
      <c r="RM160" s="386"/>
      <c r="RN160" s="386"/>
      <c r="RO160" s="386"/>
      <c r="RP160" s="386"/>
      <c r="RQ160" s="386"/>
      <c r="RR160" s="386"/>
      <c r="RS160" s="386"/>
      <c r="RT160" s="386"/>
      <c r="RU160" s="386"/>
      <c r="RV160" s="386"/>
      <c r="RW160" s="386"/>
      <c r="RX160" s="386"/>
      <c r="RY160" s="386"/>
      <c r="RZ160" s="386"/>
      <c r="SA160" s="386"/>
      <c r="SB160" s="386"/>
      <c r="SC160" s="386"/>
      <c r="SD160" s="386"/>
      <c r="SE160" s="386"/>
      <c r="SF160" s="386"/>
      <c r="SG160" s="386"/>
      <c r="SH160" s="386"/>
      <c r="SI160" s="386"/>
      <c r="SJ160" s="386"/>
      <c r="SK160" s="386"/>
      <c r="SL160" s="386"/>
      <c r="SM160" s="386"/>
      <c r="SN160" s="386"/>
      <c r="SO160" s="386"/>
      <c r="SP160" s="386"/>
      <c r="SQ160" s="386"/>
      <c r="SR160" s="386"/>
      <c r="SS160" s="386"/>
      <c r="ST160" s="386"/>
      <c r="SU160" s="386"/>
      <c r="SV160" s="386"/>
      <c r="SW160" s="386"/>
      <c r="SX160" s="386"/>
      <c r="SY160" s="386"/>
      <c r="SZ160" s="386"/>
      <c r="TA160" s="386"/>
      <c r="TB160" s="386"/>
      <c r="TC160" s="386"/>
      <c r="TD160" s="386"/>
      <c r="TE160" s="386"/>
      <c r="TF160" s="386"/>
      <c r="TG160" s="386"/>
      <c r="TH160" s="386"/>
      <c r="TI160" s="386"/>
      <c r="TJ160" s="386"/>
      <c r="TK160" s="386"/>
      <c r="TL160" s="386"/>
      <c r="TM160" s="386"/>
      <c r="TN160" s="386"/>
      <c r="TO160" s="386"/>
      <c r="TP160" s="386"/>
      <c r="TQ160" s="386"/>
      <c r="TR160" s="386"/>
      <c r="TS160" s="386"/>
      <c r="TT160" s="386"/>
      <c r="TU160" s="386"/>
      <c r="TV160" s="386"/>
      <c r="TW160" s="386"/>
      <c r="TX160" s="386"/>
      <c r="TY160" s="386"/>
      <c r="TZ160" s="386"/>
      <c r="UA160" s="386"/>
      <c r="UB160" s="386"/>
      <c r="UC160" s="386"/>
      <c r="UD160" s="386"/>
      <c r="UE160" s="386"/>
      <c r="UF160" s="386"/>
      <c r="UG160" s="386"/>
      <c r="UH160" s="386"/>
      <c r="UI160" s="386"/>
      <c r="UJ160" s="386"/>
      <c r="UK160" s="386"/>
      <c r="UL160" s="386"/>
      <c r="UM160" s="386"/>
      <c r="UN160" s="386"/>
      <c r="UO160" s="386"/>
      <c r="UP160" s="386"/>
      <c r="UQ160" s="386"/>
      <c r="UR160" s="386"/>
      <c r="US160" s="386"/>
      <c r="UT160" s="386"/>
      <c r="UU160" s="386"/>
      <c r="UV160" s="386"/>
      <c r="UW160" s="386"/>
      <c r="UX160" s="386"/>
      <c r="UY160" s="386"/>
      <c r="UZ160" s="386"/>
      <c r="VA160" s="386"/>
      <c r="VB160" s="386"/>
      <c r="VC160" s="386"/>
      <c r="VD160" s="386"/>
      <c r="VE160" s="386"/>
      <c r="VF160" s="386"/>
      <c r="VG160" s="386"/>
      <c r="VH160" s="386"/>
      <c r="VI160" s="386"/>
      <c r="VJ160" s="386"/>
      <c r="VK160" s="386"/>
      <c r="VL160" s="386"/>
      <c r="VM160" s="386"/>
      <c r="VN160" s="386"/>
      <c r="VO160" s="386"/>
      <c r="VP160" s="386"/>
      <c r="VQ160" s="386"/>
      <c r="VR160" s="386"/>
      <c r="VS160" s="386"/>
      <c r="VT160" s="386"/>
      <c r="VU160" s="386"/>
      <c r="VV160" s="386"/>
      <c r="VW160" s="386"/>
      <c r="VX160" s="386"/>
      <c r="VY160" s="386"/>
      <c r="VZ160" s="386"/>
      <c r="WA160" s="386"/>
      <c r="WB160" s="386"/>
      <c r="WC160" s="386"/>
      <c r="WD160" s="386"/>
      <c r="WE160" s="386"/>
      <c r="WF160" s="386"/>
      <c r="WG160" s="386"/>
      <c r="WH160" s="386"/>
      <c r="WI160" s="386"/>
      <c r="WJ160" s="386"/>
      <c r="WK160" s="386"/>
      <c r="WL160" s="386"/>
      <c r="WM160" s="386"/>
      <c r="WN160" s="386"/>
      <c r="WO160" s="386"/>
      <c r="WP160" s="386"/>
      <c r="WQ160" s="386"/>
      <c r="WR160" s="386"/>
      <c r="WS160" s="386"/>
      <c r="WT160" s="386"/>
      <c r="WU160" s="386"/>
      <c r="WV160" s="386"/>
      <c r="WW160" s="386"/>
      <c r="WX160" s="386"/>
      <c r="WY160" s="386"/>
      <c r="WZ160" s="386"/>
      <c r="XA160" s="386"/>
      <c r="XB160" s="386"/>
      <c r="XC160" s="386"/>
      <c r="XD160" s="386"/>
      <c r="XE160" s="386"/>
      <c r="XF160" s="386"/>
      <c r="XG160" s="386"/>
      <c r="XH160" s="386"/>
      <c r="XI160" s="386"/>
      <c r="XJ160" s="386"/>
      <c r="XK160" s="386"/>
      <c r="XL160" s="386"/>
      <c r="XM160" s="386"/>
      <c r="XN160" s="386"/>
      <c r="XO160" s="386"/>
      <c r="XP160" s="386"/>
      <c r="XQ160" s="386"/>
      <c r="XR160" s="386"/>
      <c r="XS160" s="386"/>
      <c r="XT160" s="386"/>
      <c r="XU160" s="386"/>
      <c r="XV160" s="386"/>
      <c r="XW160" s="386"/>
      <c r="XX160" s="386"/>
      <c r="XY160" s="386"/>
      <c r="XZ160" s="386"/>
      <c r="YA160" s="386"/>
      <c r="YB160" s="386"/>
      <c r="YC160" s="386"/>
      <c r="YD160" s="386"/>
      <c r="YE160" s="386"/>
      <c r="YF160" s="386"/>
      <c r="YG160" s="386"/>
      <c r="YH160" s="386"/>
      <c r="YI160" s="386"/>
      <c r="YJ160" s="386"/>
      <c r="YK160" s="386"/>
      <c r="YL160" s="386"/>
      <c r="YM160" s="386"/>
      <c r="YN160" s="386"/>
      <c r="YO160" s="386"/>
      <c r="YP160" s="386"/>
      <c r="YQ160" s="386"/>
      <c r="YR160" s="386"/>
      <c r="YS160" s="386"/>
      <c r="YT160" s="386"/>
      <c r="YU160" s="386"/>
      <c r="YV160" s="386"/>
      <c r="YW160" s="386"/>
      <c r="YX160" s="386"/>
      <c r="YY160" s="386"/>
      <c r="YZ160" s="386"/>
      <c r="ZA160" s="386"/>
      <c r="ZB160" s="386"/>
      <c r="ZC160" s="386"/>
      <c r="ZD160" s="386"/>
      <c r="ZE160" s="386"/>
      <c r="ZF160" s="386"/>
      <c r="ZG160" s="386"/>
      <c r="ZH160" s="386"/>
      <c r="ZI160" s="386"/>
      <c r="ZJ160" s="386"/>
      <c r="ZK160" s="386"/>
      <c r="ZL160" s="386"/>
      <c r="ZM160" s="386"/>
      <c r="ZN160" s="386"/>
      <c r="ZO160" s="386"/>
      <c r="ZP160" s="386"/>
      <c r="ZQ160" s="386"/>
      <c r="ZR160" s="386"/>
      <c r="ZS160" s="386"/>
      <c r="ZT160" s="386"/>
      <c r="ZU160" s="386"/>
      <c r="ZV160" s="386"/>
      <c r="ZW160" s="386"/>
      <c r="ZX160" s="386"/>
      <c r="ZY160" s="386"/>
      <c r="ZZ160" s="386"/>
      <c r="AAA160" s="386"/>
      <c r="AAB160" s="386"/>
      <c r="AAC160" s="386"/>
      <c r="AAD160" s="386"/>
      <c r="AAE160" s="386"/>
      <c r="AAF160" s="386"/>
      <c r="AAG160" s="386"/>
      <c r="AAH160" s="386"/>
      <c r="AAI160" s="386"/>
      <c r="AAJ160" s="386"/>
      <c r="AAK160" s="386"/>
      <c r="AAL160" s="386"/>
      <c r="AAM160" s="386"/>
      <c r="AAN160" s="386"/>
      <c r="AAO160" s="386"/>
      <c r="AAP160" s="386"/>
      <c r="AAQ160" s="386"/>
      <c r="AAR160" s="386"/>
      <c r="AAS160" s="386"/>
      <c r="AAT160" s="386"/>
      <c r="AAU160" s="386"/>
      <c r="AAV160" s="386"/>
      <c r="AAW160" s="386"/>
      <c r="AAX160" s="386"/>
      <c r="AAY160" s="386"/>
      <c r="AAZ160" s="386"/>
      <c r="ABA160" s="386"/>
      <c r="ABB160" s="386"/>
      <c r="ABC160" s="386"/>
      <c r="ABD160" s="386"/>
      <c r="ABE160" s="386"/>
      <c r="ABF160" s="386"/>
      <c r="ABG160" s="386"/>
      <c r="ABH160" s="386"/>
      <c r="ABI160" s="386"/>
      <c r="ABJ160" s="386"/>
      <c r="ABK160" s="386"/>
      <c r="ABL160" s="386"/>
      <c r="ABM160" s="386"/>
      <c r="ABN160" s="386"/>
      <c r="ABO160" s="386"/>
      <c r="ABP160" s="386"/>
      <c r="ABQ160" s="386"/>
      <c r="ABR160" s="386"/>
      <c r="ABS160" s="386"/>
      <c r="ABT160" s="386"/>
      <c r="ABU160" s="386"/>
      <c r="ABV160" s="386"/>
      <c r="ABW160" s="386"/>
      <c r="ABX160" s="386"/>
      <c r="ABY160" s="386"/>
      <c r="ABZ160" s="386"/>
      <c r="ACA160" s="386"/>
      <c r="ACB160" s="386"/>
      <c r="ACC160" s="386"/>
      <c r="ACD160" s="386"/>
      <c r="ACE160" s="386"/>
      <c r="ACF160" s="386"/>
      <c r="ACG160" s="386"/>
      <c r="ACH160" s="386"/>
      <c r="ACI160" s="386"/>
      <c r="ACJ160" s="386"/>
      <c r="ACK160" s="386"/>
      <c r="ACL160" s="386"/>
      <c r="ACM160" s="386"/>
      <c r="ACN160" s="386"/>
      <c r="ACO160" s="386"/>
      <c r="ACP160" s="386"/>
      <c r="ACQ160" s="386"/>
      <c r="ACR160" s="386"/>
      <c r="ACS160" s="386"/>
      <c r="ACT160" s="386"/>
      <c r="ACU160" s="386"/>
      <c r="ACV160" s="386"/>
      <c r="ACW160" s="386"/>
      <c r="ACX160" s="386"/>
      <c r="ACY160" s="386"/>
      <c r="ACZ160" s="386"/>
      <c r="ADA160" s="386"/>
      <c r="ADB160" s="386"/>
      <c r="ADC160" s="386"/>
      <c r="ADD160" s="386"/>
      <c r="ADE160" s="386"/>
      <c r="ADF160" s="386"/>
      <c r="ADG160" s="386"/>
      <c r="ADH160" s="386"/>
      <c r="ADI160" s="386"/>
      <c r="ADJ160" s="386"/>
      <c r="ADK160" s="386"/>
      <c r="ADL160" s="386"/>
      <c r="ADM160" s="386"/>
      <c r="ADN160" s="386"/>
      <c r="ADO160" s="386"/>
      <c r="ADP160" s="386"/>
      <c r="ADQ160" s="386"/>
      <c r="ADR160" s="386"/>
      <c r="ADS160" s="386"/>
      <c r="ADT160" s="386"/>
      <c r="ADU160" s="386"/>
      <c r="ADV160" s="386"/>
      <c r="ADW160" s="386"/>
      <c r="ADX160" s="386"/>
      <c r="ADY160" s="386"/>
      <c r="ADZ160" s="386"/>
      <c r="AEA160" s="386"/>
      <c r="AEB160" s="386"/>
      <c r="AEC160" s="386"/>
      <c r="AED160" s="386"/>
      <c r="AEE160" s="386"/>
      <c r="AEF160" s="386"/>
      <c r="AEG160" s="386"/>
      <c r="AEH160" s="386"/>
      <c r="AEI160" s="386"/>
      <c r="AEJ160" s="386"/>
      <c r="AEK160" s="386"/>
      <c r="AEL160" s="386"/>
      <c r="AEM160" s="386"/>
      <c r="AEN160" s="386"/>
      <c r="AEO160" s="386"/>
      <c r="AEP160" s="386"/>
      <c r="AEQ160" s="386"/>
      <c r="AER160" s="386"/>
      <c r="AES160" s="386"/>
      <c r="AET160" s="386"/>
      <c r="AEU160" s="386"/>
      <c r="AEV160" s="386"/>
      <c r="AEW160" s="386"/>
      <c r="AEX160" s="386"/>
      <c r="AEY160" s="386"/>
      <c r="AEZ160" s="386"/>
      <c r="AFA160" s="386"/>
      <c r="AFB160" s="386"/>
      <c r="AFC160" s="386"/>
      <c r="AFD160" s="386"/>
      <c r="AFE160" s="386"/>
      <c r="AFF160" s="386"/>
      <c r="AFG160" s="386"/>
      <c r="AFH160" s="386"/>
      <c r="AFI160" s="386"/>
      <c r="AFJ160" s="386"/>
      <c r="AFK160" s="386"/>
      <c r="AFL160" s="386"/>
      <c r="AFM160" s="386"/>
      <c r="AFN160" s="386"/>
      <c r="AFO160" s="386"/>
      <c r="AFP160" s="386"/>
      <c r="AFQ160" s="386"/>
      <c r="AFR160" s="386"/>
      <c r="AFS160" s="386"/>
      <c r="AFT160" s="386"/>
      <c r="AFU160" s="386"/>
      <c r="AFV160" s="386"/>
      <c r="AFW160" s="386"/>
      <c r="AFX160" s="386"/>
      <c r="AFY160" s="386"/>
      <c r="AFZ160" s="386"/>
      <c r="AGA160" s="386"/>
      <c r="AGB160" s="386"/>
      <c r="AGC160" s="386"/>
      <c r="AGD160" s="386"/>
      <c r="AGE160" s="386"/>
      <c r="AGF160" s="386"/>
      <c r="AGG160" s="386"/>
      <c r="AGH160" s="386"/>
      <c r="AGI160" s="386"/>
      <c r="AGJ160" s="386"/>
      <c r="AGK160" s="386"/>
      <c r="AGL160" s="386"/>
      <c r="AGM160" s="386"/>
      <c r="AGN160" s="386"/>
      <c r="AGO160" s="386"/>
      <c r="AGP160" s="386"/>
      <c r="AGQ160" s="386"/>
      <c r="AGR160" s="386"/>
      <c r="AGS160" s="386"/>
      <c r="AGT160" s="386"/>
      <c r="AGU160" s="386"/>
      <c r="AGV160" s="386"/>
      <c r="AGW160" s="386"/>
      <c r="AGX160" s="386"/>
      <c r="AGY160" s="386"/>
      <c r="AGZ160" s="386"/>
      <c r="AHA160" s="386"/>
      <c r="AHB160" s="386"/>
      <c r="AHC160" s="386"/>
      <c r="AHD160" s="386"/>
      <c r="AHE160" s="386"/>
      <c r="AHF160" s="386"/>
      <c r="AHG160" s="386"/>
      <c r="AHH160" s="386"/>
      <c r="AHI160" s="386"/>
      <c r="AHJ160" s="386"/>
      <c r="AHK160" s="386"/>
      <c r="AHL160" s="386"/>
      <c r="AHM160" s="386"/>
      <c r="AHN160" s="386"/>
      <c r="AHO160" s="386"/>
      <c r="AHP160" s="386"/>
      <c r="AHQ160" s="386"/>
      <c r="AHR160" s="386"/>
      <c r="AHS160" s="386"/>
      <c r="AHT160" s="386"/>
      <c r="AHU160" s="386"/>
      <c r="AHV160" s="386"/>
      <c r="AHW160" s="386"/>
      <c r="AHX160" s="386"/>
      <c r="AHY160" s="386"/>
      <c r="AHZ160" s="386"/>
      <c r="AIA160" s="386"/>
      <c r="AIB160" s="386"/>
      <c r="AIC160" s="386"/>
      <c r="AID160" s="386"/>
      <c r="AIE160" s="386"/>
      <c r="AIF160" s="386"/>
      <c r="AIG160" s="386"/>
      <c r="AIH160" s="386"/>
      <c r="AII160" s="386"/>
      <c r="AIJ160" s="386"/>
      <c r="AIK160" s="386"/>
      <c r="AIL160" s="386"/>
      <c r="AIM160" s="386"/>
      <c r="AIN160" s="386"/>
      <c r="AIO160" s="386"/>
      <c r="AIP160" s="386"/>
      <c r="AIQ160" s="386"/>
      <c r="AIR160" s="386"/>
      <c r="AIS160" s="386"/>
      <c r="AIT160" s="386"/>
      <c r="AIU160" s="386"/>
      <c r="AIV160" s="386"/>
      <c r="AIW160" s="386"/>
      <c r="AIX160" s="386"/>
      <c r="AIY160" s="386"/>
      <c r="AIZ160" s="386"/>
      <c r="AJA160" s="386"/>
      <c r="AJB160" s="386"/>
      <c r="AJC160" s="386"/>
      <c r="AJD160" s="386"/>
      <c r="AJE160" s="386"/>
      <c r="AJF160" s="386"/>
      <c r="AJG160" s="386"/>
      <c r="AJH160" s="386"/>
      <c r="AJI160" s="386"/>
      <c r="AJJ160" s="386"/>
      <c r="AJK160" s="386"/>
      <c r="AJL160" s="386"/>
      <c r="AJM160" s="386"/>
      <c r="AJN160" s="386"/>
      <c r="AJO160" s="386"/>
      <c r="AJP160" s="386"/>
      <c r="AJQ160" s="386"/>
      <c r="AJR160" s="386"/>
      <c r="AJS160" s="386"/>
      <c r="AJT160" s="386"/>
      <c r="AJU160" s="386"/>
      <c r="AJV160" s="386"/>
      <c r="AJW160" s="386"/>
      <c r="AJX160" s="386"/>
      <c r="AJY160" s="386"/>
      <c r="AJZ160" s="386"/>
      <c r="AKA160" s="386"/>
      <c r="AKB160" s="386"/>
      <c r="AKC160" s="386"/>
      <c r="AKD160" s="386"/>
      <c r="AKE160" s="386"/>
      <c r="AKF160" s="386"/>
      <c r="AKG160" s="386"/>
      <c r="AKH160" s="386"/>
      <c r="AKI160" s="386"/>
      <c r="AKJ160" s="386"/>
      <c r="AKK160" s="386"/>
      <c r="AKL160" s="386"/>
      <c r="AKM160" s="386"/>
      <c r="AKN160" s="386"/>
      <c r="AKO160" s="386"/>
      <c r="AKP160" s="386"/>
      <c r="AKQ160" s="386"/>
      <c r="AKR160" s="386"/>
      <c r="AKS160" s="386"/>
      <c r="AKT160" s="386"/>
      <c r="AKU160" s="386"/>
      <c r="AKV160" s="386"/>
      <c r="AKW160" s="386"/>
      <c r="AKX160" s="386"/>
      <c r="AKY160" s="386"/>
      <c r="AKZ160" s="386"/>
      <c r="ALA160" s="386"/>
      <c r="ALB160" s="386"/>
      <c r="ALC160" s="386"/>
      <c r="ALD160" s="386"/>
      <c r="ALE160" s="386"/>
      <c r="ALF160" s="386"/>
      <c r="ALG160" s="386"/>
      <c r="ALH160" s="386"/>
      <c r="ALI160" s="386"/>
      <c r="ALJ160" s="386"/>
      <c r="ALK160" s="386"/>
      <c r="ALL160" s="386"/>
      <c r="ALM160" s="386"/>
      <c r="ALN160" s="386"/>
      <c r="ALO160" s="386"/>
      <c r="ALP160" s="386"/>
      <c r="ALQ160" s="386"/>
      <c r="ALR160" s="386"/>
      <c r="ALS160" s="386"/>
      <c r="ALT160" s="386"/>
      <c r="ALU160" s="386"/>
      <c r="ALV160" s="386"/>
      <c r="ALW160" s="386"/>
      <c r="ALX160" s="386"/>
      <c r="ALY160" s="386"/>
      <c r="ALZ160" s="386"/>
      <c r="AMA160" s="386"/>
      <c r="AMB160" s="386"/>
      <c r="AMC160" s="386"/>
      <c r="AMD160" s="386"/>
      <c r="AME160" s="386"/>
      <c r="AMF160" s="386"/>
      <c r="AMG160" s="386"/>
      <c r="AMH160" s="386"/>
      <c r="AMI160" s="386"/>
      <c r="AMJ160" s="386"/>
      <c r="AMK160" s="386"/>
      <c r="AML160" s="386"/>
      <c r="AMM160" s="386"/>
      <c r="AMN160" s="386"/>
      <c r="AMO160" s="386"/>
      <c r="AMP160" s="386"/>
      <c r="AMQ160" s="386"/>
      <c r="AMR160" s="386"/>
      <c r="AMS160" s="386"/>
      <c r="AMT160" s="386"/>
      <c r="AMU160" s="386"/>
      <c r="AMV160" s="386"/>
      <c r="AMW160" s="386"/>
      <c r="AMX160" s="386"/>
      <c r="AMY160" s="386"/>
      <c r="AMZ160" s="386"/>
      <c r="ANA160" s="386"/>
      <c r="ANB160" s="386"/>
      <c r="ANC160" s="386"/>
      <c r="AND160" s="386"/>
      <c r="ANE160" s="386"/>
      <c r="ANF160" s="386"/>
      <c r="ANG160" s="386"/>
      <c r="ANH160" s="386"/>
      <c r="ANI160" s="386"/>
      <c r="ANJ160" s="386"/>
      <c r="ANK160" s="386"/>
      <c r="ANL160" s="386"/>
      <c r="ANM160" s="386"/>
      <c r="ANN160" s="386"/>
      <c r="ANO160" s="386"/>
      <c r="ANP160" s="386"/>
      <c r="ANQ160" s="386"/>
      <c r="ANR160" s="386"/>
      <c r="ANS160" s="386"/>
      <c r="ANT160" s="386"/>
      <c r="ANU160" s="386"/>
      <c r="ANV160" s="386"/>
      <c r="ANW160" s="386"/>
      <c r="ANX160" s="386"/>
      <c r="ANY160" s="386"/>
      <c r="ANZ160" s="386"/>
      <c r="AOA160" s="386"/>
      <c r="AOB160" s="386"/>
      <c r="AOC160" s="386"/>
      <c r="AOD160" s="386"/>
      <c r="AOE160" s="386"/>
      <c r="AOF160" s="386"/>
      <c r="AOG160" s="386"/>
      <c r="AOH160" s="386"/>
      <c r="AOI160" s="386"/>
      <c r="AOJ160" s="386"/>
      <c r="AOK160" s="386"/>
      <c r="AOL160" s="386"/>
      <c r="AOM160" s="386"/>
      <c r="AON160" s="386"/>
      <c r="AOO160" s="386"/>
      <c r="AOP160" s="386"/>
      <c r="AOQ160" s="386"/>
      <c r="AOR160" s="386"/>
      <c r="AOS160" s="386"/>
      <c r="AOT160" s="386"/>
      <c r="AOU160" s="386"/>
      <c r="AOV160" s="386"/>
      <c r="AOW160" s="386"/>
      <c r="AOX160" s="386"/>
      <c r="AOY160" s="386"/>
      <c r="AOZ160" s="386"/>
      <c r="APA160" s="386"/>
      <c r="APB160" s="386"/>
      <c r="APC160" s="386"/>
      <c r="APD160" s="386"/>
      <c r="APE160" s="386"/>
      <c r="APF160" s="386"/>
      <c r="APG160" s="386"/>
      <c r="APH160" s="386"/>
      <c r="API160" s="386"/>
      <c r="APJ160" s="386"/>
      <c r="APK160" s="386"/>
      <c r="APL160" s="386"/>
      <c r="APM160" s="386"/>
      <c r="APN160" s="386"/>
      <c r="APO160" s="386"/>
      <c r="APP160" s="386"/>
      <c r="APQ160" s="386"/>
      <c r="APR160" s="386"/>
      <c r="APS160" s="386"/>
      <c r="APT160" s="386"/>
      <c r="APU160" s="386"/>
      <c r="APV160" s="386"/>
      <c r="APW160" s="386"/>
      <c r="APX160" s="386"/>
      <c r="APY160" s="386"/>
      <c r="APZ160" s="386"/>
      <c r="AQA160" s="386"/>
      <c r="AQB160" s="386"/>
      <c r="AQC160" s="386"/>
      <c r="AQD160" s="386"/>
      <c r="AQE160" s="386"/>
      <c r="AQF160" s="386"/>
      <c r="AQG160" s="386"/>
      <c r="AQH160" s="386"/>
      <c r="AQI160" s="386"/>
      <c r="AQJ160" s="386"/>
      <c r="AQK160" s="386"/>
      <c r="AQL160" s="386"/>
      <c r="AQM160" s="386"/>
      <c r="AQN160" s="386"/>
      <c r="AQO160" s="386"/>
      <c r="AQP160" s="386"/>
      <c r="AQQ160" s="386"/>
      <c r="AQR160" s="386"/>
      <c r="AQS160" s="386"/>
      <c r="AQT160" s="386"/>
      <c r="AQU160" s="386"/>
      <c r="AQV160" s="386"/>
      <c r="AQW160" s="386"/>
      <c r="AQX160" s="386"/>
      <c r="AQY160" s="386"/>
      <c r="AQZ160" s="386"/>
      <c r="ARA160" s="386"/>
      <c r="ARB160" s="386"/>
      <c r="ARC160" s="386"/>
      <c r="ARD160" s="386"/>
      <c r="ARE160" s="386"/>
      <c r="ARF160" s="386"/>
      <c r="ARG160" s="386"/>
      <c r="ARH160" s="386"/>
      <c r="ARI160" s="386"/>
      <c r="ARJ160" s="386"/>
      <c r="ARK160" s="386"/>
      <c r="ARL160" s="386"/>
      <c r="ARM160" s="386"/>
      <c r="ARN160" s="386"/>
      <c r="ARO160" s="386"/>
      <c r="ARP160" s="386"/>
      <c r="ARQ160" s="386"/>
      <c r="ARR160" s="386"/>
      <c r="ARS160" s="386"/>
      <c r="ART160" s="386"/>
      <c r="ARU160" s="386"/>
      <c r="ARV160" s="386"/>
      <c r="ARW160" s="386"/>
      <c r="ARX160" s="386"/>
      <c r="ARY160" s="386"/>
      <c r="ARZ160" s="386"/>
      <c r="ASA160" s="386"/>
      <c r="ASB160" s="386"/>
      <c r="ASC160" s="386"/>
      <c r="ASD160" s="386"/>
      <c r="ASE160" s="386"/>
      <c r="ASF160" s="386"/>
      <c r="ASG160" s="386"/>
      <c r="ASH160" s="386"/>
      <c r="ASI160" s="386"/>
      <c r="ASJ160" s="386"/>
      <c r="ASK160" s="386"/>
      <c r="ASL160" s="386"/>
      <c r="ASM160" s="386"/>
      <c r="ASN160" s="386"/>
      <c r="ASO160" s="386"/>
      <c r="ASP160" s="386"/>
      <c r="ASQ160" s="386"/>
      <c r="ASR160" s="386"/>
      <c r="ASS160" s="386"/>
      <c r="AST160" s="386"/>
      <c r="ASU160" s="386"/>
      <c r="ASV160" s="386"/>
      <c r="ASW160" s="386"/>
      <c r="ASX160" s="386"/>
      <c r="ASY160" s="386"/>
      <c r="ASZ160" s="386"/>
      <c r="ATA160" s="386"/>
      <c r="ATB160" s="386"/>
      <c r="ATC160" s="386"/>
      <c r="ATD160" s="386"/>
      <c r="ATE160" s="386"/>
      <c r="ATF160" s="386"/>
      <c r="ATG160" s="386"/>
      <c r="ATH160" s="386"/>
      <c r="ATI160" s="386"/>
      <c r="ATJ160" s="386"/>
      <c r="ATK160" s="386"/>
      <c r="ATL160" s="386"/>
      <c r="ATM160" s="386"/>
      <c r="ATN160" s="386"/>
      <c r="ATO160" s="386"/>
      <c r="ATP160" s="386"/>
      <c r="ATQ160" s="386"/>
      <c r="ATR160" s="386"/>
      <c r="ATS160" s="386"/>
      <c r="ATT160" s="386"/>
      <c r="ATU160" s="386"/>
      <c r="ATV160" s="386"/>
      <c r="ATW160" s="386"/>
      <c r="ATX160" s="386"/>
      <c r="ATY160" s="386"/>
      <c r="ATZ160" s="386"/>
      <c r="AUA160" s="386"/>
      <c r="AUB160" s="386"/>
      <c r="AUC160" s="386"/>
      <c r="AUD160" s="386"/>
      <c r="AUE160" s="386"/>
      <c r="AUF160" s="386"/>
      <c r="AUG160" s="386"/>
      <c r="AUH160" s="386"/>
      <c r="AUI160" s="386"/>
      <c r="AUJ160" s="386"/>
      <c r="AUK160" s="386"/>
      <c r="AUL160" s="386"/>
      <c r="AUM160" s="386"/>
      <c r="AUN160" s="386"/>
      <c r="AUO160" s="386"/>
      <c r="AUP160" s="386"/>
      <c r="AUQ160" s="386"/>
      <c r="AUR160" s="386"/>
      <c r="AUS160" s="386"/>
      <c r="AUT160" s="386"/>
      <c r="AUU160" s="386"/>
      <c r="AUV160" s="386"/>
      <c r="AUW160" s="386"/>
      <c r="AUX160" s="386"/>
      <c r="AUY160" s="386"/>
      <c r="AUZ160" s="386"/>
      <c r="AVA160" s="386"/>
      <c r="AVB160" s="386"/>
      <c r="AVC160" s="386"/>
      <c r="AVD160" s="386"/>
      <c r="AVE160" s="386"/>
      <c r="AVF160" s="386"/>
      <c r="AVG160" s="386"/>
      <c r="AVH160" s="386"/>
      <c r="AVI160" s="386"/>
      <c r="AVJ160" s="386"/>
      <c r="AVK160" s="386"/>
      <c r="AVL160" s="386"/>
      <c r="AVM160" s="386"/>
      <c r="AVN160" s="386"/>
      <c r="AVO160" s="386"/>
      <c r="AVP160" s="386"/>
      <c r="AVQ160" s="386"/>
      <c r="AVR160" s="386"/>
      <c r="AVS160" s="386"/>
      <c r="AVT160" s="386"/>
      <c r="AVU160" s="386"/>
      <c r="AVV160" s="386"/>
      <c r="AVW160" s="386"/>
      <c r="AVX160" s="386"/>
      <c r="AVY160" s="386"/>
      <c r="AVZ160" s="386"/>
      <c r="AWA160" s="386"/>
      <c r="AWB160" s="386"/>
      <c r="AWC160" s="386"/>
      <c r="AWD160" s="386"/>
      <c r="AWE160" s="386"/>
      <c r="AWF160" s="386"/>
      <c r="AWG160" s="386"/>
      <c r="AWH160" s="386"/>
      <c r="AWI160" s="386"/>
      <c r="AWJ160" s="386"/>
      <c r="AWK160" s="386"/>
      <c r="AWL160" s="386"/>
      <c r="AWM160" s="386"/>
      <c r="AWN160" s="386"/>
      <c r="AWO160" s="386"/>
      <c r="AWP160" s="386"/>
      <c r="AWQ160" s="386"/>
      <c r="AWR160" s="386"/>
      <c r="AWS160" s="386"/>
      <c r="AWT160" s="386"/>
      <c r="AWU160" s="386"/>
      <c r="AWV160" s="386"/>
      <c r="AWW160" s="386"/>
      <c r="AWX160" s="386"/>
      <c r="AWY160" s="386"/>
      <c r="AWZ160" s="386"/>
      <c r="AXA160" s="386"/>
      <c r="AXB160" s="386"/>
      <c r="AXC160" s="386"/>
      <c r="AXD160" s="386"/>
      <c r="AXE160" s="386"/>
      <c r="AXF160" s="386"/>
      <c r="AXG160" s="386"/>
      <c r="AXH160" s="386"/>
      <c r="AXI160" s="386"/>
      <c r="AXJ160" s="386"/>
      <c r="AXK160" s="386"/>
      <c r="AXL160" s="386"/>
      <c r="AXM160" s="386"/>
      <c r="AXN160" s="386"/>
      <c r="AXO160" s="386"/>
      <c r="AXP160" s="386"/>
      <c r="AXQ160" s="386"/>
      <c r="AXR160" s="386"/>
      <c r="AXS160" s="386"/>
      <c r="AXT160" s="386"/>
      <c r="AXU160" s="386"/>
      <c r="AXV160" s="386"/>
      <c r="AXW160" s="386"/>
      <c r="AXX160" s="386"/>
      <c r="AXY160" s="386"/>
      <c r="AXZ160" s="386"/>
      <c r="AYA160" s="386"/>
      <c r="AYB160" s="386"/>
      <c r="AYC160" s="386"/>
      <c r="AYD160" s="386"/>
      <c r="AYE160" s="386"/>
      <c r="AYF160" s="386"/>
      <c r="AYG160" s="386"/>
      <c r="AYH160" s="386"/>
      <c r="AYI160" s="386"/>
      <c r="AYJ160" s="386"/>
      <c r="AYK160" s="386"/>
      <c r="AYL160" s="386"/>
      <c r="AYM160" s="386"/>
      <c r="AYN160" s="386"/>
      <c r="AYO160" s="386"/>
      <c r="AYP160" s="386"/>
      <c r="AYQ160" s="386"/>
      <c r="AYR160" s="386"/>
      <c r="AYS160" s="386"/>
      <c r="AYT160" s="386"/>
      <c r="AYU160" s="386"/>
      <c r="AYV160" s="386"/>
      <c r="AYW160" s="386"/>
      <c r="AYX160" s="386"/>
      <c r="AYY160" s="386"/>
      <c r="AYZ160" s="386"/>
      <c r="AZA160" s="386"/>
      <c r="AZB160" s="386"/>
      <c r="AZC160" s="386"/>
      <c r="AZD160" s="386"/>
      <c r="AZE160" s="386"/>
      <c r="AZF160" s="386"/>
      <c r="AZG160" s="386"/>
      <c r="AZH160" s="386"/>
      <c r="AZI160" s="386"/>
      <c r="AZJ160" s="386"/>
      <c r="AZK160" s="386"/>
      <c r="AZL160" s="386"/>
      <c r="AZM160" s="386"/>
      <c r="AZN160" s="386"/>
      <c r="AZO160" s="386"/>
      <c r="AZP160" s="386"/>
      <c r="AZQ160" s="386"/>
      <c r="AZR160" s="386"/>
      <c r="AZS160" s="386"/>
      <c r="AZT160" s="386"/>
      <c r="AZU160" s="386"/>
      <c r="AZV160" s="386"/>
      <c r="AZW160" s="386"/>
      <c r="AZX160" s="386"/>
      <c r="AZY160" s="386"/>
      <c r="AZZ160" s="386"/>
      <c r="BAA160" s="386"/>
      <c r="BAB160" s="386"/>
      <c r="BAC160" s="386"/>
      <c r="BAD160" s="386"/>
      <c r="BAE160" s="386"/>
      <c r="BAF160" s="386"/>
      <c r="BAG160" s="386"/>
      <c r="BAH160" s="386"/>
      <c r="BAI160" s="386"/>
      <c r="BAJ160" s="386"/>
      <c r="BAK160" s="386"/>
      <c r="BAL160" s="386"/>
      <c r="BAM160" s="386"/>
      <c r="BAN160" s="386"/>
      <c r="BAO160" s="386"/>
      <c r="BAP160" s="386"/>
      <c r="BAQ160" s="386"/>
      <c r="BAR160" s="386"/>
      <c r="BAS160" s="386"/>
      <c r="BAT160" s="386"/>
      <c r="BAU160" s="386"/>
      <c r="BAV160" s="386"/>
      <c r="BAW160" s="386"/>
      <c r="BAX160" s="386"/>
      <c r="BAY160" s="386"/>
      <c r="BAZ160" s="386"/>
      <c r="BBA160" s="386"/>
      <c r="BBB160" s="386"/>
      <c r="BBC160" s="386"/>
      <c r="BBD160" s="386"/>
      <c r="BBE160" s="386"/>
      <c r="BBF160" s="386"/>
      <c r="BBG160" s="386"/>
      <c r="BBH160" s="386"/>
      <c r="BBI160" s="386"/>
      <c r="BBJ160" s="386"/>
      <c r="BBK160" s="386"/>
      <c r="BBL160" s="386"/>
      <c r="BBM160" s="386"/>
      <c r="BBN160" s="386"/>
      <c r="BBO160" s="386"/>
      <c r="BBP160" s="386"/>
      <c r="BBQ160" s="386"/>
      <c r="BBR160" s="386"/>
      <c r="BBS160" s="386"/>
      <c r="BBT160" s="386"/>
      <c r="BBU160" s="386"/>
      <c r="BBV160" s="386"/>
      <c r="BBW160" s="386"/>
      <c r="BBX160" s="386"/>
      <c r="BBY160" s="386"/>
      <c r="BBZ160" s="386"/>
      <c r="BCA160" s="386"/>
      <c r="BCB160" s="386"/>
      <c r="BCC160" s="386"/>
      <c r="BCD160" s="386"/>
      <c r="BCE160" s="386"/>
      <c r="BCF160" s="386"/>
      <c r="BCG160" s="386"/>
      <c r="BCH160" s="386"/>
      <c r="BCI160" s="386"/>
      <c r="BCJ160" s="386"/>
      <c r="BCK160" s="386"/>
      <c r="BCL160" s="386"/>
      <c r="BCM160" s="386"/>
      <c r="BCN160" s="386"/>
      <c r="BCO160" s="386"/>
      <c r="BCP160" s="386"/>
      <c r="BCQ160" s="386"/>
      <c r="BCR160" s="386"/>
      <c r="BCS160" s="386"/>
      <c r="BCT160" s="386"/>
      <c r="BCU160" s="386"/>
      <c r="BCV160" s="386"/>
      <c r="BCW160" s="386"/>
      <c r="BCX160" s="386"/>
      <c r="BCY160" s="386"/>
      <c r="BCZ160" s="386"/>
      <c r="BDA160" s="386"/>
      <c r="BDB160" s="386"/>
      <c r="BDC160" s="386"/>
      <c r="BDD160" s="386"/>
      <c r="BDE160" s="386"/>
      <c r="BDF160" s="386"/>
      <c r="BDG160" s="386"/>
      <c r="BDH160" s="386"/>
      <c r="BDI160" s="386"/>
      <c r="BDJ160" s="386"/>
      <c r="BDK160" s="386"/>
      <c r="BDL160" s="386"/>
      <c r="BDM160" s="386"/>
      <c r="BDN160" s="386"/>
      <c r="BDO160" s="386"/>
      <c r="BDP160" s="386"/>
      <c r="BDQ160" s="386"/>
      <c r="BDR160" s="386"/>
      <c r="BDS160" s="386"/>
      <c r="BDT160" s="386"/>
      <c r="BDU160" s="386"/>
      <c r="BDV160" s="386"/>
      <c r="BDW160" s="386"/>
      <c r="BDX160" s="386"/>
      <c r="BDY160" s="386"/>
      <c r="BDZ160" s="386"/>
      <c r="BEA160" s="386"/>
      <c r="BEB160" s="386"/>
      <c r="BEC160" s="386"/>
      <c r="BED160" s="386"/>
      <c r="BEE160" s="386"/>
      <c r="BEF160" s="386"/>
      <c r="BEG160" s="386"/>
      <c r="BEH160" s="386"/>
      <c r="BEI160" s="386"/>
      <c r="BEJ160" s="386"/>
      <c r="BEK160" s="386"/>
      <c r="BEL160" s="386"/>
      <c r="BEM160" s="386"/>
      <c r="BEN160" s="386"/>
      <c r="BEO160" s="386"/>
      <c r="BEP160" s="386"/>
      <c r="BEQ160" s="386"/>
      <c r="BER160" s="386"/>
      <c r="BES160" s="386"/>
      <c r="BET160" s="386"/>
      <c r="BEU160" s="386"/>
      <c r="BEV160" s="386"/>
      <c r="BEW160" s="386"/>
      <c r="BEX160" s="386"/>
      <c r="BEY160" s="386"/>
      <c r="BEZ160" s="386"/>
      <c r="BFA160" s="386"/>
      <c r="BFB160" s="386"/>
      <c r="BFC160" s="386"/>
      <c r="BFD160" s="386"/>
      <c r="BFE160" s="386"/>
      <c r="BFF160" s="386"/>
      <c r="BFG160" s="386"/>
      <c r="BFH160" s="386"/>
      <c r="BFI160" s="386"/>
      <c r="BFJ160" s="386"/>
      <c r="BFK160" s="386"/>
      <c r="BFL160" s="386"/>
      <c r="BFM160" s="386"/>
      <c r="BFN160" s="386"/>
      <c r="BFO160" s="386"/>
      <c r="BFP160" s="386"/>
      <c r="BFQ160" s="386"/>
      <c r="BFR160" s="386"/>
      <c r="BFS160" s="386"/>
      <c r="BFT160" s="386"/>
      <c r="BFU160" s="386"/>
      <c r="BFV160" s="386"/>
      <c r="BFW160" s="386"/>
      <c r="BFX160" s="386"/>
      <c r="BFY160" s="386"/>
      <c r="BFZ160" s="386"/>
      <c r="BGA160" s="386"/>
      <c r="BGB160" s="386"/>
      <c r="BGC160" s="386"/>
      <c r="BGD160" s="386"/>
      <c r="BGE160" s="386"/>
      <c r="BGF160" s="386"/>
      <c r="BGG160" s="386"/>
      <c r="BGH160" s="386"/>
      <c r="BGI160" s="386"/>
      <c r="BGJ160" s="386"/>
      <c r="BGK160" s="386"/>
      <c r="BGL160" s="386"/>
      <c r="BGM160" s="386"/>
      <c r="BGN160" s="386"/>
      <c r="BGO160" s="386"/>
      <c r="BGP160" s="386"/>
      <c r="BGQ160" s="386"/>
      <c r="BGR160" s="386"/>
      <c r="BGS160" s="386"/>
      <c r="BGT160" s="386"/>
      <c r="BGU160" s="386"/>
      <c r="BGV160" s="386"/>
      <c r="BGW160" s="386"/>
      <c r="BGX160" s="386"/>
      <c r="BGY160" s="386"/>
      <c r="BGZ160" s="386"/>
      <c r="BHA160" s="386"/>
      <c r="BHB160" s="386"/>
      <c r="BHC160" s="386"/>
      <c r="BHD160" s="386"/>
      <c r="BHE160" s="386"/>
      <c r="BHF160" s="386"/>
      <c r="BHG160" s="386"/>
      <c r="BHH160" s="386"/>
      <c r="BHI160" s="386"/>
      <c r="BHJ160" s="386"/>
      <c r="BHK160" s="386"/>
      <c r="BHL160" s="386"/>
      <c r="BHM160" s="386"/>
      <c r="BHN160" s="386"/>
      <c r="BHO160" s="386"/>
      <c r="BHP160" s="386"/>
      <c r="BHQ160" s="386"/>
      <c r="BHR160" s="386"/>
      <c r="BHS160" s="386"/>
      <c r="BHT160" s="386"/>
      <c r="BHU160" s="386"/>
      <c r="BHV160" s="386"/>
      <c r="BHW160" s="386"/>
      <c r="BHX160" s="386"/>
      <c r="BHY160" s="386"/>
      <c r="BHZ160" s="386"/>
      <c r="BIA160" s="386"/>
      <c r="BIB160" s="386"/>
      <c r="BIC160" s="386"/>
      <c r="BID160" s="386"/>
      <c r="BIE160" s="386"/>
      <c r="BIF160" s="386"/>
      <c r="BIG160" s="386"/>
      <c r="BIH160" s="386"/>
      <c r="BII160" s="386"/>
      <c r="BIJ160" s="386"/>
      <c r="BIK160" s="386"/>
      <c r="BIL160" s="386"/>
      <c r="BIM160" s="386"/>
      <c r="BIN160" s="386"/>
      <c r="BIO160" s="386"/>
      <c r="BIP160" s="386"/>
      <c r="BIQ160" s="386"/>
      <c r="BIR160" s="386"/>
      <c r="BIS160" s="386"/>
      <c r="BIT160" s="386"/>
      <c r="BIU160" s="386"/>
      <c r="BIV160" s="386"/>
      <c r="BIW160" s="386"/>
      <c r="BIX160" s="386"/>
      <c r="BIY160" s="386"/>
      <c r="BIZ160" s="386"/>
      <c r="BJA160" s="386"/>
      <c r="BJB160" s="386"/>
      <c r="BJC160" s="386"/>
      <c r="BJD160" s="386"/>
      <c r="BJE160" s="386"/>
      <c r="BJF160" s="386"/>
      <c r="BJG160" s="386"/>
      <c r="BJH160" s="386"/>
      <c r="BJI160" s="386"/>
      <c r="BJJ160" s="386"/>
      <c r="BJK160" s="386"/>
      <c r="BJL160" s="386"/>
      <c r="BJM160" s="386"/>
      <c r="BJN160" s="386"/>
      <c r="BJO160" s="386"/>
      <c r="BJP160" s="386"/>
      <c r="BJQ160" s="386"/>
      <c r="BJR160" s="386"/>
      <c r="BJS160" s="386"/>
      <c r="BJT160" s="386"/>
      <c r="BJU160" s="386"/>
      <c r="BJV160" s="386"/>
      <c r="BJW160" s="386"/>
      <c r="BJX160" s="386"/>
      <c r="BJY160" s="386"/>
      <c r="BJZ160" s="386"/>
      <c r="BKA160" s="386"/>
      <c r="BKB160" s="386"/>
      <c r="BKC160" s="386"/>
      <c r="BKD160" s="386"/>
      <c r="BKE160" s="386"/>
      <c r="BKF160" s="386"/>
      <c r="BKG160" s="386"/>
      <c r="BKH160" s="386"/>
      <c r="BKI160" s="386"/>
      <c r="BKJ160" s="386"/>
      <c r="BKK160" s="386"/>
      <c r="BKL160" s="386"/>
      <c r="BKM160" s="386"/>
      <c r="BKN160" s="386"/>
      <c r="BKO160" s="386"/>
      <c r="BKP160" s="386"/>
      <c r="BKQ160" s="386"/>
      <c r="BKR160" s="386"/>
      <c r="BKS160" s="386"/>
      <c r="BKT160" s="386"/>
      <c r="BKU160" s="386"/>
      <c r="BKV160" s="386"/>
      <c r="BKW160" s="386"/>
      <c r="BKX160" s="386"/>
      <c r="BKY160" s="386"/>
      <c r="BKZ160" s="386"/>
      <c r="BLA160" s="386"/>
      <c r="BLB160" s="386"/>
      <c r="BLC160" s="386"/>
      <c r="BLD160" s="386"/>
      <c r="BLE160" s="386"/>
      <c r="BLF160" s="386"/>
      <c r="BLG160" s="386"/>
      <c r="BLH160" s="386"/>
      <c r="BLI160" s="386"/>
      <c r="BLJ160" s="386"/>
      <c r="BLK160" s="386"/>
      <c r="BLL160" s="386"/>
      <c r="BLM160" s="386"/>
      <c r="BLN160" s="386"/>
      <c r="BLO160" s="386"/>
      <c r="BLP160" s="386"/>
      <c r="BLQ160" s="386"/>
      <c r="BLR160" s="386"/>
      <c r="BLS160" s="386"/>
      <c r="BLT160" s="386"/>
      <c r="BLU160" s="386"/>
      <c r="BLV160" s="386"/>
      <c r="BLW160" s="386"/>
      <c r="BLX160" s="386"/>
      <c r="BLY160" s="386"/>
      <c r="BLZ160" s="386"/>
      <c r="BMA160" s="386"/>
      <c r="BMB160" s="386"/>
      <c r="BMC160" s="386"/>
      <c r="BMD160" s="386"/>
      <c r="BME160" s="386"/>
      <c r="BMF160" s="386"/>
      <c r="BMG160" s="386"/>
      <c r="BMH160" s="386"/>
      <c r="BMI160" s="386"/>
      <c r="BMJ160" s="386"/>
      <c r="BMK160" s="386"/>
      <c r="BML160" s="386"/>
      <c r="BMM160" s="386"/>
      <c r="BMN160" s="386"/>
      <c r="BMO160" s="386"/>
      <c r="BMP160" s="386"/>
      <c r="BMQ160" s="386"/>
      <c r="BMR160" s="386"/>
      <c r="BMS160" s="386"/>
      <c r="BMT160" s="386"/>
      <c r="BMU160" s="386"/>
      <c r="BMV160" s="386"/>
      <c r="BMW160" s="386"/>
      <c r="BMX160" s="386"/>
      <c r="BMY160" s="386"/>
      <c r="BMZ160" s="386"/>
      <c r="BNA160" s="386"/>
      <c r="BNB160" s="386"/>
      <c r="BNC160" s="386"/>
      <c r="BND160" s="386"/>
      <c r="BNE160" s="386"/>
      <c r="BNF160" s="386"/>
      <c r="BNG160" s="386"/>
      <c r="BNH160" s="386"/>
      <c r="BNI160" s="386"/>
      <c r="BNJ160" s="386"/>
      <c r="BNK160" s="386"/>
      <c r="BNL160" s="386"/>
      <c r="BNM160" s="386"/>
      <c r="BNN160" s="386"/>
      <c r="BNO160" s="386"/>
      <c r="BNP160" s="386"/>
      <c r="BNQ160" s="386"/>
      <c r="BNR160" s="386"/>
      <c r="BNS160" s="386"/>
      <c r="BNT160" s="386"/>
      <c r="BNU160" s="386"/>
      <c r="BNV160" s="386"/>
      <c r="BNW160" s="386"/>
      <c r="BNX160" s="386"/>
      <c r="BNY160" s="386"/>
      <c r="BNZ160" s="386"/>
      <c r="BOA160" s="386"/>
      <c r="BOB160" s="386"/>
      <c r="BOC160" s="386"/>
      <c r="BOD160" s="386"/>
      <c r="BOE160" s="386"/>
      <c r="BOF160" s="386"/>
      <c r="BOG160" s="386"/>
      <c r="BOH160" s="386"/>
      <c r="BOI160" s="386"/>
      <c r="BOJ160" s="386"/>
      <c r="BOK160" s="386"/>
      <c r="BOL160" s="386"/>
      <c r="BOM160" s="386"/>
      <c r="BON160" s="386"/>
      <c r="BOO160" s="386"/>
      <c r="BOP160" s="386"/>
      <c r="BOQ160" s="386"/>
      <c r="BOR160" s="386"/>
      <c r="BOS160" s="386"/>
      <c r="BOT160" s="386"/>
      <c r="BOU160" s="386"/>
      <c r="BOV160" s="386"/>
      <c r="BOW160" s="386"/>
      <c r="BOX160" s="386"/>
      <c r="BOY160" s="386"/>
      <c r="BOZ160" s="386"/>
      <c r="BPA160" s="386"/>
      <c r="BPB160" s="386"/>
      <c r="BPC160" s="386"/>
      <c r="BPD160" s="386"/>
      <c r="BPE160" s="386"/>
      <c r="BPF160" s="386"/>
      <c r="BPG160" s="386"/>
      <c r="BPH160" s="386"/>
      <c r="BPI160" s="386"/>
      <c r="BPJ160" s="386"/>
      <c r="BPK160" s="386"/>
      <c r="BPL160" s="386"/>
      <c r="BPM160" s="386"/>
      <c r="BPN160" s="386"/>
      <c r="BPO160" s="386"/>
      <c r="BPP160" s="386"/>
      <c r="BPQ160" s="386"/>
      <c r="BPR160" s="386"/>
      <c r="BPS160" s="386"/>
      <c r="BPT160" s="386"/>
      <c r="BPU160" s="386"/>
      <c r="BPV160" s="386"/>
      <c r="BPW160" s="386"/>
      <c r="BPX160" s="386"/>
      <c r="BPY160" s="386"/>
      <c r="BPZ160" s="386"/>
      <c r="BQA160" s="386"/>
      <c r="BQB160" s="386"/>
      <c r="BQC160" s="386"/>
      <c r="BQD160" s="386"/>
      <c r="BQE160" s="386"/>
      <c r="BQF160" s="386"/>
      <c r="BQG160" s="386"/>
      <c r="BQH160" s="386"/>
      <c r="BQI160" s="386"/>
      <c r="BQJ160" s="386"/>
      <c r="BQK160" s="386"/>
      <c r="BQL160" s="386"/>
      <c r="BQM160" s="386"/>
      <c r="BQN160" s="386"/>
      <c r="BQO160" s="386"/>
      <c r="BQP160" s="386"/>
      <c r="BQQ160" s="386"/>
      <c r="BQR160" s="386"/>
      <c r="BQS160" s="386"/>
      <c r="BQT160" s="386"/>
      <c r="BQU160" s="386"/>
      <c r="BQV160" s="386"/>
      <c r="BQW160" s="386"/>
      <c r="BQX160" s="386"/>
      <c r="BQY160" s="386"/>
      <c r="BQZ160" s="386"/>
      <c r="BRA160" s="386"/>
      <c r="BRB160" s="386"/>
      <c r="BRC160" s="386"/>
      <c r="BRD160" s="386"/>
      <c r="BRE160" s="386"/>
      <c r="BRF160" s="386"/>
      <c r="BRG160" s="386"/>
      <c r="BRH160" s="386"/>
      <c r="BRI160" s="386"/>
      <c r="BRJ160" s="386"/>
      <c r="BRK160" s="386"/>
      <c r="BRL160" s="386"/>
      <c r="BRM160" s="386"/>
      <c r="BRN160" s="386"/>
      <c r="BRO160" s="386"/>
      <c r="BRP160" s="386"/>
      <c r="BRQ160" s="386"/>
      <c r="BRR160" s="386"/>
      <c r="BRS160" s="386"/>
      <c r="BRT160" s="386"/>
      <c r="BRU160" s="386"/>
      <c r="BRV160" s="386"/>
      <c r="BRW160" s="386"/>
      <c r="BRX160" s="386"/>
      <c r="BRY160" s="386"/>
      <c r="BRZ160" s="386"/>
      <c r="BSA160" s="386"/>
      <c r="BSB160" s="386"/>
      <c r="BSC160" s="386"/>
      <c r="BSD160" s="386"/>
      <c r="BSE160" s="386"/>
      <c r="BSF160" s="386"/>
      <c r="BSG160" s="386"/>
      <c r="BSH160" s="386"/>
      <c r="BSI160" s="386"/>
      <c r="BSJ160" s="386"/>
      <c r="BSK160" s="386"/>
      <c r="BSL160" s="386"/>
      <c r="BSM160" s="386"/>
      <c r="BSN160" s="386"/>
      <c r="BSO160" s="386"/>
      <c r="BSP160" s="386"/>
      <c r="BSQ160" s="386"/>
      <c r="BSR160" s="386"/>
      <c r="BSS160" s="386"/>
      <c r="BST160" s="386"/>
      <c r="BSU160" s="386"/>
      <c r="BSV160" s="386"/>
      <c r="BSW160" s="386"/>
      <c r="BSX160" s="386"/>
      <c r="BSY160" s="386"/>
      <c r="BSZ160" s="386"/>
      <c r="BTA160" s="386"/>
      <c r="BTB160" s="386"/>
      <c r="BTC160" s="386"/>
      <c r="BTD160" s="386"/>
      <c r="BTE160" s="386"/>
      <c r="BTF160" s="386"/>
      <c r="BTG160" s="386"/>
      <c r="BTH160" s="386"/>
      <c r="BTI160" s="386"/>
      <c r="BTJ160" s="386"/>
      <c r="BTK160" s="386"/>
      <c r="BTL160" s="386"/>
      <c r="BTM160" s="386"/>
      <c r="BTN160" s="386"/>
      <c r="BTO160" s="386"/>
      <c r="BTP160" s="386"/>
      <c r="BTQ160" s="386"/>
      <c r="BTR160" s="386"/>
      <c r="BTS160" s="386"/>
      <c r="BTT160" s="386"/>
      <c r="BTU160" s="386"/>
      <c r="BTV160" s="386"/>
      <c r="BTW160" s="386"/>
      <c r="BTX160" s="386"/>
      <c r="BTY160" s="386"/>
      <c r="BTZ160" s="386"/>
      <c r="BUA160" s="386"/>
      <c r="BUB160" s="386"/>
      <c r="BUC160" s="386"/>
      <c r="BUD160" s="386"/>
      <c r="BUE160" s="386"/>
      <c r="BUF160" s="386"/>
      <c r="BUG160" s="386"/>
      <c r="BUH160" s="386"/>
      <c r="BUI160" s="386"/>
      <c r="BUJ160" s="386"/>
      <c r="BUK160" s="386"/>
      <c r="BUL160" s="386"/>
      <c r="BUM160" s="386"/>
      <c r="BUN160" s="386"/>
      <c r="BUO160" s="386"/>
      <c r="BUP160" s="386"/>
      <c r="BUQ160" s="386"/>
      <c r="BUR160" s="386"/>
      <c r="BUS160" s="386"/>
      <c r="BUT160" s="386"/>
      <c r="BUU160" s="386"/>
      <c r="BUV160" s="386"/>
      <c r="BUW160" s="386"/>
      <c r="BUX160" s="386"/>
      <c r="BUY160" s="386"/>
      <c r="BUZ160" s="386"/>
      <c r="BVA160" s="386"/>
      <c r="BVB160" s="386"/>
      <c r="BVC160" s="386"/>
      <c r="BVD160" s="386"/>
      <c r="BVE160" s="386"/>
      <c r="BVF160" s="386"/>
      <c r="BVG160" s="386"/>
      <c r="BVH160" s="386"/>
      <c r="BVI160" s="386"/>
      <c r="BVJ160" s="386"/>
      <c r="BVK160" s="386"/>
      <c r="BVL160" s="386"/>
      <c r="BVM160" s="386"/>
      <c r="BVN160" s="386"/>
      <c r="BVO160" s="386"/>
      <c r="BVP160" s="386"/>
      <c r="BVQ160" s="386"/>
      <c r="BVR160" s="386"/>
      <c r="BVS160" s="386"/>
      <c r="BVT160" s="386"/>
      <c r="BVU160" s="386"/>
      <c r="BVV160" s="386"/>
      <c r="BVW160" s="386"/>
      <c r="BVX160" s="386"/>
      <c r="BVY160" s="386"/>
      <c r="BVZ160" s="386"/>
      <c r="BWA160" s="386"/>
      <c r="BWB160" s="386"/>
      <c r="BWC160" s="386"/>
      <c r="BWD160" s="386"/>
      <c r="BWE160" s="386"/>
      <c r="BWF160" s="386"/>
      <c r="BWG160" s="386"/>
      <c r="BWH160" s="386"/>
      <c r="BWI160" s="386"/>
      <c r="BWJ160" s="386"/>
      <c r="BWK160" s="386"/>
      <c r="BWL160" s="386"/>
      <c r="BWM160" s="386"/>
      <c r="BWN160" s="386"/>
      <c r="BWO160" s="386"/>
      <c r="BWP160" s="386"/>
      <c r="BWQ160" s="386"/>
      <c r="BWR160" s="386"/>
      <c r="BWS160" s="386"/>
      <c r="BWT160" s="386"/>
      <c r="BWU160" s="386"/>
      <c r="BWV160" s="386"/>
      <c r="BWW160" s="386"/>
      <c r="BWX160" s="386"/>
      <c r="BWY160" s="386"/>
      <c r="BWZ160" s="386"/>
      <c r="BXA160" s="386"/>
      <c r="BXB160" s="386"/>
      <c r="BXC160" s="386"/>
      <c r="BXD160" s="386"/>
      <c r="BXE160" s="386"/>
      <c r="BXF160" s="386"/>
      <c r="BXG160" s="386"/>
      <c r="BXH160" s="386"/>
      <c r="BXI160" s="386"/>
      <c r="BXJ160" s="386"/>
      <c r="BXK160" s="386"/>
      <c r="BXL160" s="386"/>
      <c r="BXM160" s="386"/>
      <c r="BXN160" s="386"/>
      <c r="BXO160" s="386"/>
      <c r="BXP160" s="386"/>
      <c r="BXQ160" s="386"/>
      <c r="BXR160" s="386"/>
      <c r="BXS160" s="386"/>
      <c r="BXT160" s="386"/>
      <c r="BXU160" s="386"/>
      <c r="BXV160" s="386"/>
      <c r="BXW160" s="386"/>
      <c r="BXX160" s="386"/>
      <c r="BXY160" s="386"/>
      <c r="BXZ160" s="386"/>
      <c r="BYA160" s="386"/>
      <c r="BYB160" s="386"/>
      <c r="BYC160" s="386"/>
      <c r="BYD160" s="386"/>
      <c r="BYE160" s="386"/>
      <c r="BYF160" s="386"/>
      <c r="BYG160" s="386"/>
      <c r="BYH160" s="386"/>
      <c r="BYI160" s="386"/>
      <c r="BYJ160" s="386"/>
      <c r="BYK160" s="386"/>
      <c r="BYL160" s="386"/>
      <c r="BYM160" s="386"/>
      <c r="BYN160" s="386"/>
      <c r="BYO160" s="386"/>
      <c r="BYP160" s="386"/>
      <c r="BYQ160" s="386"/>
      <c r="BYR160" s="386"/>
      <c r="BYS160" s="386"/>
      <c r="BYT160" s="386"/>
      <c r="BYU160" s="386"/>
      <c r="BYV160" s="386"/>
      <c r="BYW160" s="386"/>
      <c r="BYX160" s="386"/>
      <c r="BYY160" s="386"/>
      <c r="BYZ160" s="386"/>
      <c r="BZA160" s="386"/>
      <c r="BZB160" s="386"/>
      <c r="BZC160" s="386"/>
      <c r="BZD160" s="386"/>
      <c r="BZE160" s="386"/>
      <c r="BZF160" s="386"/>
      <c r="BZG160" s="386"/>
      <c r="BZH160" s="386"/>
      <c r="BZI160" s="386"/>
      <c r="BZJ160" s="386"/>
      <c r="BZK160" s="386"/>
      <c r="BZL160" s="386"/>
      <c r="BZM160" s="386"/>
      <c r="BZN160" s="386"/>
      <c r="BZO160" s="386"/>
      <c r="BZP160" s="386"/>
      <c r="BZQ160" s="386"/>
      <c r="BZR160" s="386"/>
      <c r="BZS160" s="386"/>
      <c r="BZT160" s="386"/>
      <c r="BZU160" s="386"/>
      <c r="BZV160" s="386"/>
      <c r="BZW160" s="386"/>
      <c r="BZX160" s="386"/>
      <c r="BZY160" s="386"/>
      <c r="BZZ160" s="386"/>
      <c r="CAA160" s="386"/>
      <c r="CAB160" s="386"/>
      <c r="CAC160" s="386"/>
      <c r="CAD160" s="386"/>
      <c r="CAE160" s="386"/>
      <c r="CAF160" s="386"/>
      <c r="CAG160" s="386"/>
      <c r="CAH160" s="386"/>
      <c r="CAI160" s="386"/>
      <c r="CAJ160" s="386"/>
      <c r="CAK160" s="386"/>
      <c r="CAL160" s="386"/>
      <c r="CAM160" s="386"/>
      <c r="CAN160" s="386"/>
      <c r="CAO160" s="386"/>
      <c r="CAP160" s="386"/>
      <c r="CAQ160" s="386"/>
      <c r="CAR160" s="386"/>
      <c r="CAS160" s="386"/>
      <c r="CAT160" s="386"/>
      <c r="CAU160" s="386"/>
      <c r="CAV160" s="386"/>
      <c r="CAW160" s="386"/>
      <c r="CAX160" s="386"/>
      <c r="CAY160" s="386"/>
      <c r="CAZ160" s="386"/>
      <c r="CBA160" s="386"/>
      <c r="CBB160" s="386"/>
      <c r="CBC160" s="386"/>
      <c r="CBD160" s="386"/>
      <c r="CBE160" s="386"/>
      <c r="CBF160" s="386"/>
      <c r="CBG160" s="386"/>
      <c r="CBH160" s="386"/>
      <c r="CBI160" s="386"/>
      <c r="CBJ160" s="386"/>
      <c r="CBK160" s="386"/>
      <c r="CBL160" s="386"/>
      <c r="CBM160" s="386"/>
      <c r="CBN160" s="386"/>
      <c r="CBO160" s="386"/>
      <c r="CBP160" s="386"/>
      <c r="CBQ160" s="386"/>
      <c r="CBR160" s="386"/>
      <c r="CBS160" s="386"/>
      <c r="CBT160" s="386"/>
      <c r="CBU160" s="386"/>
      <c r="CBV160" s="386"/>
      <c r="CBW160" s="386"/>
      <c r="CBX160" s="386"/>
      <c r="CBY160" s="386"/>
      <c r="CBZ160" s="386"/>
      <c r="CCA160" s="386"/>
      <c r="CCB160" s="386"/>
      <c r="CCC160" s="386"/>
      <c r="CCD160" s="386"/>
      <c r="CCE160" s="386"/>
      <c r="CCF160" s="386"/>
      <c r="CCG160" s="386"/>
      <c r="CCH160" s="386"/>
      <c r="CCI160" s="386"/>
      <c r="CCJ160" s="386"/>
      <c r="CCK160" s="386"/>
      <c r="CCL160" s="386"/>
      <c r="CCM160" s="386"/>
      <c r="CCN160" s="386"/>
      <c r="CCO160" s="386"/>
      <c r="CCP160" s="386"/>
      <c r="CCQ160" s="386"/>
      <c r="CCR160" s="386"/>
      <c r="CCS160" s="386"/>
      <c r="CCT160" s="386"/>
      <c r="CCU160" s="386"/>
      <c r="CCV160" s="386"/>
      <c r="CCW160" s="386"/>
      <c r="CCX160" s="386"/>
      <c r="CCY160" s="386"/>
      <c r="CCZ160" s="386"/>
      <c r="CDA160" s="386"/>
      <c r="CDB160" s="386"/>
      <c r="CDC160" s="386"/>
      <c r="CDD160" s="386"/>
      <c r="CDE160" s="386"/>
      <c r="CDF160" s="386"/>
      <c r="CDG160" s="386"/>
      <c r="CDH160" s="386"/>
      <c r="CDI160" s="386"/>
      <c r="CDJ160" s="386"/>
      <c r="CDK160" s="386"/>
      <c r="CDL160" s="386"/>
      <c r="CDM160" s="386"/>
      <c r="CDN160" s="386"/>
      <c r="CDO160" s="386"/>
      <c r="CDP160" s="386"/>
      <c r="CDQ160" s="386"/>
      <c r="CDR160" s="386"/>
      <c r="CDS160" s="386"/>
      <c r="CDT160" s="386"/>
      <c r="CDU160" s="386"/>
      <c r="CDV160" s="386"/>
      <c r="CDW160" s="386"/>
      <c r="CDX160" s="386"/>
      <c r="CDY160" s="386"/>
      <c r="CDZ160" s="386"/>
      <c r="CEA160" s="386"/>
      <c r="CEB160" s="386"/>
      <c r="CEC160" s="386"/>
      <c r="CED160" s="386"/>
      <c r="CEE160" s="386"/>
      <c r="CEF160" s="386"/>
      <c r="CEG160" s="386"/>
      <c r="CEH160" s="386"/>
      <c r="CEI160" s="386"/>
      <c r="CEJ160" s="386"/>
      <c r="CEK160" s="386"/>
      <c r="CEL160" s="386"/>
      <c r="CEM160" s="386"/>
      <c r="CEN160" s="386"/>
      <c r="CEO160" s="386"/>
      <c r="CEP160" s="386"/>
      <c r="CEQ160" s="386"/>
      <c r="CER160" s="386"/>
      <c r="CES160" s="386"/>
      <c r="CET160" s="386"/>
      <c r="CEU160" s="386"/>
      <c r="CEV160" s="386"/>
      <c r="CEW160" s="386"/>
      <c r="CEX160" s="386"/>
      <c r="CEY160" s="386"/>
      <c r="CEZ160" s="386"/>
      <c r="CFA160" s="386"/>
      <c r="CFB160" s="386"/>
      <c r="CFC160" s="386"/>
      <c r="CFD160" s="386"/>
      <c r="CFE160" s="386"/>
      <c r="CFF160" s="386"/>
      <c r="CFG160" s="386"/>
      <c r="CFH160" s="386"/>
      <c r="CFI160" s="386"/>
      <c r="CFJ160" s="386"/>
      <c r="CFK160" s="386"/>
      <c r="CFL160" s="386"/>
      <c r="CFM160" s="386"/>
      <c r="CFN160" s="386"/>
      <c r="CFO160" s="386"/>
      <c r="CFP160" s="386"/>
      <c r="CFQ160" s="386"/>
      <c r="CFR160" s="386"/>
      <c r="CFS160" s="386"/>
      <c r="CFT160" s="386"/>
      <c r="CFU160" s="386"/>
      <c r="CFV160" s="386"/>
      <c r="CFW160" s="386"/>
      <c r="CFX160" s="386"/>
      <c r="CFY160" s="386"/>
      <c r="CFZ160" s="386"/>
      <c r="CGA160" s="386"/>
      <c r="CGB160" s="386"/>
      <c r="CGC160" s="386"/>
      <c r="CGD160" s="386"/>
      <c r="CGE160" s="386"/>
      <c r="CGF160" s="386"/>
      <c r="CGG160" s="386"/>
      <c r="CGH160" s="386"/>
      <c r="CGI160" s="386"/>
      <c r="CGJ160" s="386"/>
      <c r="CGK160" s="386"/>
      <c r="CGL160" s="386"/>
      <c r="CGM160" s="386"/>
      <c r="CGN160" s="386"/>
      <c r="CGO160" s="386"/>
      <c r="CGP160" s="386"/>
      <c r="CGQ160" s="386"/>
      <c r="CGR160" s="386"/>
      <c r="CGS160" s="386"/>
      <c r="CGT160" s="386"/>
      <c r="CGU160" s="386"/>
      <c r="CGV160" s="386"/>
      <c r="CGW160" s="386"/>
      <c r="CGX160" s="386"/>
      <c r="CGY160" s="386"/>
      <c r="CGZ160" s="386"/>
      <c r="CHA160" s="386"/>
      <c r="CHB160" s="386"/>
      <c r="CHC160" s="386"/>
      <c r="CHD160" s="386"/>
      <c r="CHE160" s="386"/>
      <c r="CHF160" s="386"/>
      <c r="CHG160" s="386"/>
      <c r="CHH160" s="386"/>
      <c r="CHI160" s="386"/>
      <c r="CHJ160" s="386"/>
      <c r="CHK160" s="386"/>
      <c r="CHL160" s="386"/>
      <c r="CHM160" s="386"/>
      <c r="CHN160" s="386"/>
      <c r="CHO160" s="386"/>
      <c r="CHP160" s="386"/>
      <c r="CHQ160" s="386"/>
      <c r="CHR160" s="386"/>
      <c r="CHS160" s="386"/>
      <c r="CHT160" s="386"/>
      <c r="CHU160" s="386"/>
      <c r="CHV160" s="386"/>
      <c r="CHW160" s="386"/>
      <c r="CHX160" s="386"/>
      <c r="CHY160" s="386"/>
      <c r="CHZ160" s="386"/>
      <c r="CIA160" s="386"/>
      <c r="CIB160" s="386"/>
      <c r="CIC160" s="386"/>
      <c r="CID160" s="386"/>
      <c r="CIE160" s="386"/>
      <c r="CIF160" s="386"/>
      <c r="CIG160" s="386"/>
      <c r="CIH160" s="386"/>
      <c r="CII160" s="386"/>
      <c r="CIJ160" s="386"/>
      <c r="CIK160" s="386"/>
      <c r="CIL160" s="386"/>
      <c r="CIM160" s="386"/>
      <c r="CIN160" s="386"/>
      <c r="CIO160" s="386"/>
      <c r="CIP160" s="386"/>
      <c r="CIQ160" s="386"/>
      <c r="CIR160" s="386"/>
      <c r="CIS160" s="386"/>
      <c r="CIT160" s="386"/>
      <c r="CIU160" s="386"/>
      <c r="CIV160" s="386"/>
      <c r="CIW160" s="386"/>
      <c r="CIX160" s="386"/>
      <c r="CIY160" s="386"/>
      <c r="CIZ160" s="386"/>
      <c r="CJA160" s="386"/>
      <c r="CJB160" s="386"/>
      <c r="CJC160" s="386"/>
      <c r="CJD160" s="386"/>
      <c r="CJE160" s="386"/>
      <c r="CJF160" s="386"/>
      <c r="CJG160" s="386"/>
      <c r="CJH160" s="386"/>
      <c r="CJI160" s="386"/>
      <c r="CJJ160" s="386"/>
      <c r="CJK160" s="386"/>
      <c r="CJL160" s="386"/>
      <c r="CJM160" s="386"/>
      <c r="CJN160" s="386"/>
      <c r="CJO160" s="386"/>
      <c r="CJP160" s="386"/>
      <c r="CJQ160" s="386"/>
      <c r="CJR160" s="386"/>
      <c r="CJS160" s="386"/>
      <c r="CJT160" s="386"/>
      <c r="CJU160" s="386"/>
      <c r="CJV160" s="386"/>
      <c r="CJW160" s="386"/>
      <c r="CJX160" s="386"/>
      <c r="CJY160" s="386"/>
      <c r="CJZ160" s="386"/>
      <c r="CKA160" s="386"/>
      <c r="CKB160" s="386"/>
      <c r="CKC160" s="386"/>
      <c r="CKD160" s="386"/>
      <c r="CKE160" s="386"/>
      <c r="CKF160" s="386"/>
      <c r="CKG160" s="386"/>
      <c r="CKH160" s="386"/>
      <c r="CKI160" s="386"/>
      <c r="CKJ160" s="386"/>
      <c r="CKK160" s="386"/>
      <c r="CKL160" s="386"/>
      <c r="CKM160" s="386"/>
      <c r="CKN160" s="386"/>
      <c r="CKO160" s="386"/>
      <c r="CKP160" s="386"/>
      <c r="CKQ160" s="386"/>
      <c r="CKR160" s="386"/>
      <c r="CKS160" s="386"/>
      <c r="CKT160" s="386"/>
      <c r="CKU160" s="386"/>
      <c r="CKV160" s="386"/>
      <c r="CKW160" s="386"/>
      <c r="CKX160" s="386"/>
      <c r="CKY160" s="386"/>
      <c r="CKZ160" s="386"/>
      <c r="CLA160" s="386"/>
      <c r="CLB160" s="386"/>
      <c r="CLC160" s="386"/>
      <c r="CLD160" s="386"/>
      <c r="CLE160" s="386"/>
      <c r="CLF160" s="386"/>
      <c r="CLG160" s="386"/>
      <c r="CLH160" s="386"/>
      <c r="CLI160" s="386"/>
      <c r="CLJ160" s="386"/>
      <c r="CLK160" s="386"/>
      <c r="CLL160" s="386"/>
      <c r="CLM160" s="386"/>
      <c r="CLN160" s="386"/>
      <c r="CLO160" s="386"/>
      <c r="CLP160" s="386"/>
      <c r="CLQ160" s="386"/>
      <c r="CLR160" s="386"/>
      <c r="CLS160" s="386"/>
      <c r="CLT160" s="386"/>
      <c r="CLU160" s="386"/>
      <c r="CLV160" s="386"/>
      <c r="CLW160" s="386"/>
      <c r="CLX160" s="386"/>
      <c r="CLY160" s="386"/>
      <c r="CLZ160" s="386"/>
      <c r="CMA160" s="386"/>
      <c r="CMB160" s="386"/>
      <c r="CMC160" s="386"/>
      <c r="CMD160" s="386"/>
      <c r="CME160" s="386"/>
      <c r="CMF160" s="386"/>
      <c r="CMG160" s="386"/>
      <c r="CMH160" s="386"/>
      <c r="CMI160" s="386"/>
      <c r="CMJ160" s="386"/>
      <c r="CMK160" s="386"/>
      <c r="CML160" s="386"/>
      <c r="CMM160" s="386"/>
      <c r="CMN160" s="386"/>
      <c r="CMO160" s="386"/>
      <c r="CMP160" s="386"/>
      <c r="CMQ160" s="386"/>
      <c r="CMR160" s="386"/>
      <c r="CMS160" s="386"/>
      <c r="CMT160" s="386"/>
      <c r="CMU160" s="386"/>
      <c r="CMV160" s="386"/>
      <c r="CMW160" s="386"/>
      <c r="CMX160" s="386"/>
      <c r="CMY160" s="386"/>
      <c r="CMZ160" s="386"/>
      <c r="CNA160" s="386"/>
      <c r="CNB160" s="386"/>
      <c r="CNC160" s="386"/>
      <c r="CND160" s="386"/>
      <c r="CNE160" s="386"/>
      <c r="CNF160" s="386"/>
      <c r="CNG160" s="386"/>
      <c r="CNH160" s="386"/>
      <c r="CNI160" s="386"/>
      <c r="CNJ160" s="386"/>
      <c r="CNK160" s="386"/>
      <c r="CNL160" s="386"/>
      <c r="CNM160" s="386"/>
      <c r="CNN160" s="386"/>
      <c r="CNO160" s="386"/>
      <c r="CNP160" s="386"/>
      <c r="CNQ160" s="386"/>
      <c r="CNR160" s="386"/>
      <c r="CNS160" s="386"/>
      <c r="CNT160" s="386"/>
      <c r="CNU160" s="386"/>
      <c r="CNV160" s="386"/>
      <c r="CNW160" s="386"/>
      <c r="CNX160" s="386"/>
      <c r="CNY160" s="386"/>
      <c r="CNZ160" s="386"/>
      <c r="COA160" s="386"/>
      <c r="COB160" s="386"/>
      <c r="COC160" s="386"/>
      <c r="COD160" s="386"/>
      <c r="COE160" s="386"/>
      <c r="COF160" s="386"/>
      <c r="COG160" s="386"/>
      <c r="COH160" s="386"/>
      <c r="COI160" s="386"/>
      <c r="COJ160" s="386"/>
      <c r="COK160" s="386"/>
      <c r="COL160" s="386"/>
      <c r="COM160" s="386"/>
      <c r="CON160" s="386"/>
      <c r="COO160" s="386"/>
      <c r="COP160" s="386"/>
      <c r="COQ160" s="386"/>
      <c r="COR160" s="386"/>
      <c r="COS160" s="386"/>
      <c r="COT160" s="386"/>
      <c r="COU160" s="386"/>
      <c r="COV160" s="386"/>
      <c r="COW160" s="386"/>
      <c r="COX160" s="386"/>
      <c r="COY160" s="386"/>
      <c r="COZ160" s="386"/>
      <c r="CPA160" s="386"/>
      <c r="CPB160" s="386"/>
      <c r="CPC160" s="386"/>
      <c r="CPD160" s="386"/>
      <c r="CPE160" s="386"/>
      <c r="CPF160" s="386"/>
      <c r="CPG160" s="386"/>
      <c r="CPH160" s="386"/>
      <c r="CPI160" s="386"/>
      <c r="CPJ160" s="386"/>
      <c r="CPK160" s="386"/>
      <c r="CPL160" s="386"/>
      <c r="CPM160" s="386"/>
      <c r="CPN160" s="386"/>
      <c r="CPO160" s="386"/>
      <c r="CPP160" s="386"/>
      <c r="CPQ160" s="386"/>
      <c r="CPR160" s="386"/>
      <c r="CPS160" s="386"/>
      <c r="CPT160" s="386"/>
      <c r="CPU160" s="386"/>
      <c r="CPV160" s="386"/>
      <c r="CPW160" s="386"/>
      <c r="CPX160" s="386"/>
      <c r="CPY160" s="386"/>
      <c r="CPZ160" s="386"/>
      <c r="CQA160" s="386"/>
      <c r="CQB160" s="386"/>
      <c r="CQC160" s="386"/>
      <c r="CQD160" s="386"/>
      <c r="CQE160" s="386"/>
      <c r="CQF160" s="386"/>
      <c r="CQG160" s="386"/>
      <c r="CQH160" s="386"/>
      <c r="CQI160" s="386"/>
      <c r="CQJ160" s="386"/>
      <c r="CQK160" s="386"/>
      <c r="CQL160" s="386"/>
      <c r="CQM160" s="386"/>
      <c r="CQN160" s="386"/>
      <c r="CQO160" s="386"/>
      <c r="CQP160" s="386"/>
      <c r="CQQ160" s="386"/>
      <c r="CQR160" s="386"/>
      <c r="CQS160" s="386"/>
      <c r="CQT160" s="386"/>
      <c r="CQU160" s="386"/>
      <c r="CQV160" s="386"/>
      <c r="CQW160" s="386"/>
      <c r="CQX160" s="386"/>
      <c r="CQY160" s="386"/>
      <c r="CQZ160" s="386"/>
      <c r="CRA160" s="386"/>
      <c r="CRB160" s="386"/>
      <c r="CRC160" s="386"/>
      <c r="CRD160" s="386"/>
      <c r="CRE160" s="386"/>
      <c r="CRF160" s="386"/>
      <c r="CRG160" s="386"/>
      <c r="CRH160" s="386"/>
      <c r="CRI160" s="386"/>
      <c r="CRJ160" s="386"/>
      <c r="CRK160" s="386"/>
      <c r="CRL160" s="386"/>
      <c r="CRM160" s="386"/>
      <c r="CRN160" s="386"/>
      <c r="CRO160" s="386"/>
      <c r="CRP160" s="386"/>
      <c r="CRQ160" s="386"/>
      <c r="CRR160" s="386"/>
      <c r="CRS160" s="386"/>
      <c r="CRT160" s="386"/>
      <c r="CRU160" s="386"/>
      <c r="CRV160" s="386"/>
      <c r="CRW160" s="386"/>
      <c r="CRX160" s="386"/>
      <c r="CRY160" s="386"/>
      <c r="CRZ160" s="386"/>
      <c r="CSA160" s="386"/>
      <c r="CSB160" s="386"/>
      <c r="CSC160" s="386"/>
      <c r="CSD160" s="386"/>
      <c r="CSE160" s="386"/>
      <c r="CSF160" s="386"/>
      <c r="CSG160" s="386"/>
      <c r="CSH160" s="386"/>
      <c r="CSI160" s="386"/>
      <c r="CSJ160" s="386"/>
      <c r="CSK160" s="386"/>
      <c r="CSL160" s="386"/>
      <c r="CSM160" s="386"/>
      <c r="CSN160" s="386"/>
      <c r="CSO160" s="386"/>
      <c r="CSP160" s="386"/>
      <c r="CSQ160" s="386"/>
      <c r="CSR160" s="386"/>
      <c r="CSS160" s="386"/>
      <c r="CST160" s="386"/>
      <c r="CSU160" s="386"/>
      <c r="CSV160" s="386"/>
      <c r="CSW160" s="386"/>
      <c r="CSX160" s="386"/>
      <c r="CSY160" s="386"/>
      <c r="CSZ160" s="386"/>
      <c r="CTA160" s="386"/>
      <c r="CTB160" s="386"/>
      <c r="CTC160" s="386"/>
      <c r="CTD160" s="386"/>
      <c r="CTE160" s="386"/>
      <c r="CTF160" s="386"/>
      <c r="CTG160" s="386"/>
      <c r="CTH160" s="386"/>
      <c r="CTI160" s="386"/>
      <c r="CTJ160" s="386"/>
      <c r="CTK160" s="386"/>
      <c r="CTL160" s="386"/>
      <c r="CTM160" s="386"/>
      <c r="CTN160" s="386"/>
      <c r="CTO160" s="386"/>
      <c r="CTP160" s="386"/>
      <c r="CTQ160" s="386"/>
      <c r="CTR160" s="386"/>
      <c r="CTS160" s="386"/>
      <c r="CTT160" s="386"/>
      <c r="CTU160" s="386"/>
      <c r="CTV160" s="386"/>
      <c r="CTW160" s="386"/>
      <c r="CTX160" s="386"/>
      <c r="CTY160" s="386"/>
      <c r="CTZ160" s="386"/>
      <c r="CUA160" s="386"/>
      <c r="CUB160" s="386"/>
      <c r="CUC160" s="386"/>
      <c r="CUD160" s="386"/>
      <c r="CUE160" s="386"/>
      <c r="CUF160" s="386"/>
      <c r="CUG160" s="386"/>
      <c r="CUH160" s="386"/>
      <c r="CUI160" s="386"/>
      <c r="CUJ160" s="386"/>
      <c r="CUK160" s="386"/>
      <c r="CUL160" s="386"/>
      <c r="CUM160" s="386"/>
      <c r="CUN160" s="386"/>
      <c r="CUO160" s="386"/>
      <c r="CUP160" s="386"/>
      <c r="CUQ160" s="386"/>
      <c r="CUR160" s="386"/>
      <c r="CUS160" s="386"/>
      <c r="CUT160" s="386"/>
      <c r="CUU160" s="386"/>
      <c r="CUV160" s="386"/>
      <c r="CUW160" s="386"/>
      <c r="CUX160" s="386"/>
      <c r="CUY160" s="386"/>
      <c r="CUZ160" s="386"/>
      <c r="CVA160" s="386"/>
      <c r="CVB160" s="386"/>
      <c r="CVC160" s="386"/>
      <c r="CVD160" s="386"/>
      <c r="CVE160" s="386"/>
      <c r="CVF160" s="386"/>
      <c r="CVG160" s="386"/>
      <c r="CVH160" s="386"/>
      <c r="CVI160" s="386"/>
      <c r="CVJ160" s="386"/>
      <c r="CVK160" s="386"/>
      <c r="CVL160" s="386"/>
      <c r="CVM160" s="386"/>
      <c r="CVN160" s="386"/>
      <c r="CVO160" s="386"/>
      <c r="CVP160" s="386"/>
      <c r="CVQ160" s="386"/>
      <c r="CVR160" s="386"/>
      <c r="CVS160" s="386"/>
      <c r="CVT160" s="386"/>
      <c r="CVU160" s="386"/>
      <c r="CVV160" s="386"/>
      <c r="CVW160" s="386"/>
      <c r="CVX160" s="386"/>
      <c r="CVY160" s="386"/>
      <c r="CVZ160" s="386"/>
      <c r="CWA160" s="386"/>
      <c r="CWB160" s="386"/>
      <c r="CWC160" s="386"/>
      <c r="CWD160" s="386"/>
      <c r="CWE160" s="386"/>
      <c r="CWF160" s="386"/>
      <c r="CWG160" s="386"/>
      <c r="CWH160" s="386"/>
      <c r="CWI160" s="386"/>
      <c r="CWJ160" s="386"/>
      <c r="CWK160" s="386"/>
      <c r="CWL160" s="386"/>
      <c r="CWM160" s="386"/>
      <c r="CWN160" s="386"/>
      <c r="CWO160" s="386"/>
      <c r="CWP160" s="386"/>
      <c r="CWQ160" s="386"/>
      <c r="CWR160" s="386"/>
      <c r="CWS160" s="386"/>
      <c r="CWT160" s="386"/>
      <c r="CWU160" s="386"/>
      <c r="CWV160" s="386"/>
      <c r="CWW160" s="386"/>
      <c r="CWX160" s="386"/>
      <c r="CWY160" s="386"/>
      <c r="CWZ160" s="386"/>
      <c r="CXA160" s="386"/>
      <c r="CXB160" s="386"/>
      <c r="CXC160" s="386"/>
      <c r="CXD160" s="386"/>
      <c r="CXE160" s="386"/>
      <c r="CXF160" s="386"/>
      <c r="CXG160" s="386"/>
      <c r="CXH160" s="386"/>
      <c r="CXI160" s="386"/>
      <c r="CXJ160" s="386"/>
      <c r="CXK160" s="386"/>
      <c r="CXL160" s="386"/>
      <c r="CXM160" s="386"/>
      <c r="CXN160" s="386"/>
      <c r="CXO160" s="386"/>
      <c r="CXP160" s="386"/>
      <c r="CXQ160" s="386"/>
      <c r="CXR160" s="386"/>
      <c r="CXS160" s="386"/>
      <c r="CXT160" s="386"/>
      <c r="CXU160" s="386"/>
      <c r="CXV160" s="386"/>
      <c r="CXW160" s="386"/>
      <c r="CXX160" s="386"/>
      <c r="CXY160" s="386"/>
      <c r="CXZ160" s="386"/>
      <c r="CYA160" s="386"/>
      <c r="CYB160" s="386"/>
      <c r="CYC160" s="386"/>
      <c r="CYD160" s="386"/>
      <c r="CYE160" s="386"/>
      <c r="CYF160" s="386"/>
      <c r="CYG160" s="386"/>
      <c r="CYH160" s="386"/>
      <c r="CYI160" s="386"/>
      <c r="CYJ160" s="386"/>
      <c r="CYK160" s="386"/>
      <c r="CYL160" s="386"/>
      <c r="CYM160" s="386"/>
      <c r="CYN160" s="386"/>
      <c r="CYO160" s="386"/>
      <c r="CYP160" s="386"/>
      <c r="CYQ160" s="386"/>
      <c r="CYR160" s="386"/>
      <c r="CYS160" s="386"/>
      <c r="CYT160" s="386"/>
      <c r="CYU160" s="386"/>
      <c r="CYV160" s="386"/>
      <c r="CYW160" s="386"/>
      <c r="CYX160" s="386"/>
      <c r="CYY160" s="386"/>
      <c r="CYZ160" s="386"/>
      <c r="CZA160" s="386"/>
      <c r="CZB160" s="386"/>
      <c r="CZC160" s="386"/>
      <c r="CZD160" s="386"/>
      <c r="CZE160" s="386"/>
      <c r="CZF160" s="386"/>
      <c r="CZG160" s="386"/>
      <c r="CZH160" s="386"/>
      <c r="CZI160" s="386"/>
      <c r="CZJ160" s="386"/>
      <c r="CZK160" s="386"/>
      <c r="CZL160" s="386"/>
      <c r="CZM160" s="386"/>
      <c r="CZN160" s="386"/>
      <c r="CZO160" s="386"/>
      <c r="CZP160" s="386"/>
      <c r="CZQ160" s="386"/>
      <c r="CZR160" s="386"/>
      <c r="CZS160" s="386"/>
      <c r="CZT160" s="386"/>
      <c r="CZU160" s="386"/>
      <c r="CZV160" s="386"/>
      <c r="CZW160" s="386"/>
      <c r="CZX160" s="386"/>
      <c r="CZY160" s="386"/>
      <c r="CZZ160" s="386"/>
      <c r="DAA160" s="386"/>
      <c r="DAB160" s="386"/>
      <c r="DAC160" s="386"/>
      <c r="DAD160" s="386"/>
      <c r="DAE160" s="386"/>
      <c r="DAF160" s="386"/>
      <c r="DAG160" s="386"/>
      <c r="DAH160" s="386"/>
      <c r="DAI160" s="386"/>
      <c r="DAJ160" s="386"/>
      <c r="DAK160" s="386"/>
      <c r="DAL160" s="386"/>
      <c r="DAM160" s="386"/>
      <c r="DAN160" s="386"/>
      <c r="DAO160" s="386"/>
      <c r="DAP160" s="386"/>
      <c r="DAQ160" s="386"/>
      <c r="DAR160" s="386"/>
      <c r="DAS160" s="386"/>
      <c r="DAT160" s="386"/>
      <c r="DAU160" s="386"/>
      <c r="DAV160" s="386"/>
      <c r="DAW160" s="386"/>
      <c r="DAX160" s="386"/>
      <c r="DAY160" s="386"/>
      <c r="DAZ160" s="386"/>
      <c r="DBA160" s="386"/>
      <c r="DBB160" s="386"/>
      <c r="DBC160" s="386"/>
      <c r="DBD160" s="386"/>
      <c r="DBE160" s="386"/>
      <c r="DBF160" s="386"/>
      <c r="DBG160" s="386"/>
      <c r="DBH160" s="386"/>
      <c r="DBI160" s="386"/>
      <c r="DBJ160" s="386"/>
      <c r="DBK160" s="386"/>
      <c r="DBL160" s="386"/>
      <c r="DBM160" s="386"/>
      <c r="DBN160" s="386"/>
      <c r="DBO160" s="386"/>
      <c r="DBP160" s="386"/>
      <c r="DBQ160" s="386"/>
      <c r="DBR160" s="386"/>
      <c r="DBS160" s="386"/>
      <c r="DBT160" s="386"/>
      <c r="DBU160" s="386"/>
      <c r="DBV160" s="386"/>
      <c r="DBW160" s="386"/>
      <c r="DBX160" s="386"/>
      <c r="DBY160" s="386"/>
      <c r="DBZ160" s="386"/>
      <c r="DCA160" s="386"/>
      <c r="DCB160" s="386"/>
      <c r="DCC160" s="386"/>
      <c r="DCD160" s="386"/>
      <c r="DCE160" s="386"/>
      <c r="DCF160" s="386"/>
      <c r="DCG160" s="386"/>
      <c r="DCH160" s="386"/>
      <c r="DCI160" s="386"/>
      <c r="DCJ160" s="386"/>
      <c r="DCK160" s="386"/>
      <c r="DCL160" s="386"/>
      <c r="DCM160" s="386"/>
      <c r="DCN160" s="386"/>
      <c r="DCO160" s="386"/>
      <c r="DCP160" s="386"/>
      <c r="DCQ160" s="386"/>
      <c r="DCR160" s="386"/>
      <c r="DCS160" s="386"/>
      <c r="DCT160" s="386"/>
      <c r="DCU160" s="386"/>
      <c r="DCV160" s="386"/>
      <c r="DCW160" s="386"/>
      <c r="DCX160" s="386"/>
      <c r="DCY160" s="386"/>
      <c r="DCZ160" s="386"/>
      <c r="DDA160" s="386"/>
      <c r="DDB160" s="386"/>
      <c r="DDC160" s="386"/>
      <c r="DDD160" s="386"/>
      <c r="DDE160" s="386"/>
      <c r="DDF160" s="386"/>
      <c r="DDG160" s="386"/>
      <c r="DDH160" s="386"/>
      <c r="DDI160" s="386"/>
      <c r="DDJ160" s="386"/>
      <c r="DDK160" s="386"/>
      <c r="DDL160" s="386"/>
      <c r="DDM160" s="386"/>
      <c r="DDN160" s="386"/>
      <c r="DDO160" s="386"/>
      <c r="DDP160" s="386"/>
      <c r="DDQ160" s="386"/>
      <c r="DDR160" s="386"/>
      <c r="DDS160" s="386"/>
      <c r="DDT160" s="386"/>
      <c r="DDU160" s="386"/>
      <c r="DDV160" s="386"/>
      <c r="DDW160" s="386"/>
      <c r="DDX160" s="386"/>
      <c r="DDY160" s="386"/>
      <c r="DDZ160" s="386"/>
      <c r="DEA160" s="386"/>
      <c r="DEB160" s="386"/>
      <c r="DEC160" s="386"/>
      <c r="DED160" s="386"/>
      <c r="DEE160" s="386"/>
      <c r="DEF160" s="386"/>
      <c r="DEG160" s="386"/>
      <c r="DEH160" s="386"/>
      <c r="DEI160" s="386"/>
      <c r="DEJ160" s="386"/>
      <c r="DEK160" s="386"/>
      <c r="DEL160" s="386"/>
      <c r="DEM160" s="386"/>
      <c r="DEN160" s="386"/>
      <c r="DEO160" s="386"/>
      <c r="DEP160" s="386"/>
      <c r="DEQ160" s="386"/>
      <c r="DER160" s="386"/>
      <c r="DES160" s="386"/>
      <c r="DET160" s="386"/>
      <c r="DEU160" s="386"/>
      <c r="DEV160" s="386"/>
      <c r="DEW160" s="386"/>
      <c r="DEX160" s="386"/>
      <c r="DEY160" s="386"/>
      <c r="DEZ160" s="386"/>
      <c r="DFA160" s="386"/>
      <c r="DFB160" s="386"/>
      <c r="DFC160" s="386"/>
      <c r="DFD160" s="386"/>
      <c r="DFE160" s="386"/>
      <c r="DFF160" s="386"/>
      <c r="DFG160" s="386"/>
      <c r="DFH160" s="386"/>
      <c r="DFI160" s="386"/>
      <c r="DFJ160" s="386"/>
      <c r="DFK160" s="386"/>
      <c r="DFL160" s="386"/>
      <c r="DFM160" s="386"/>
      <c r="DFN160" s="386"/>
      <c r="DFO160" s="386"/>
      <c r="DFP160" s="386"/>
      <c r="DFQ160" s="386"/>
      <c r="DFR160" s="386"/>
      <c r="DFS160" s="386"/>
      <c r="DFT160" s="386"/>
      <c r="DFU160" s="386"/>
      <c r="DFV160" s="386"/>
      <c r="DFW160" s="386"/>
      <c r="DFX160" s="386"/>
      <c r="DFY160" s="386"/>
      <c r="DFZ160" s="386"/>
      <c r="DGA160" s="386"/>
      <c r="DGB160" s="386"/>
      <c r="DGC160" s="386"/>
      <c r="DGD160" s="386"/>
      <c r="DGE160" s="386"/>
      <c r="DGF160" s="386"/>
      <c r="DGG160" s="386"/>
      <c r="DGH160" s="386"/>
      <c r="DGI160" s="386"/>
      <c r="DGJ160" s="386"/>
      <c r="DGK160" s="386"/>
      <c r="DGL160" s="386"/>
      <c r="DGM160" s="386"/>
      <c r="DGN160" s="386"/>
      <c r="DGO160" s="386"/>
      <c r="DGP160" s="386"/>
      <c r="DGQ160" s="386"/>
      <c r="DGR160" s="386"/>
      <c r="DGS160" s="386"/>
      <c r="DGT160" s="386"/>
      <c r="DGU160" s="386"/>
      <c r="DGV160" s="386"/>
      <c r="DGW160" s="386"/>
      <c r="DGX160" s="386"/>
      <c r="DGY160" s="386"/>
      <c r="DGZ160" s="386"/>
      <c r="DHA160" s="386"/>
      <c r="DHB160" s="386"/>
      <c r="DHC160" s="386"/>
      <c r="DHD160" s="386"/>
      <c r="DHE160" s="386"/>
      <c r="DHF160" s="386"/>
      <c r="DHG160" s="386"/>
      <c r="DHH160" s="386"/>
      <c r="DHI160" s="386"/>
      <c r="DHJ160" s="386"/>
      <c r="DHK160" s="386"/>
      <c r="DHL160" s="386"/>
      <c r="DHM160" s="386"/>
      <c r="DHN160" s="386"/>
      <c r="DHO160" s="386"/>
      <c r="DHP160" s="386"/>
      <c r="DHQ160" s="386"/>
      <c r="DHR160" s="386"/>
      <c r="DHS160" s="386"/>
      <c r="DHT160" s="386"/>
      <c r="DHU160" s="386"/>
      <c r="DHV160" s="386"/>
      <c r="DHW160" s="386"/>
      <c r="DHX160" s="386"/>
      <c r="DHY160" s="386"/>
      <c r="DHZ160" s="386"/>
      <c r="DIA160" s="386"/>
      <c r="DIB160" s="386"/>
      <c r="DIC160" s="386"/>
      <c r="DID160" s="386"/>
      <c r="DIE160" s="386"/>
      <c r="DIF160" s="386"/>
      <c r="DIG160" s="386"/>
      <c r="DIH160" s="386"/>
      <c r="DII160" s="386"/>
      <c r="DIJ160" s="386"/>
      <c r="DIK160" s="386"/>
      <c r="DIL160" s="386"/>
      <c r="DIM160" s="386"/>
      <c r="DIN160" s="386"/>
      <c r="DIO160" s="386"/>
      <c r="DIP160" s="386"/>
      <c r="DIQ160" s="386"/>
      <c r="DIR160" s="386"/>
      <c r="DIS160" s="386"/>
      <c r="DIT160" s="386"/>
      <c r="DIU160" s="386"/>
      <c r="DIV160" s="386"/>
      <c r="DIW160" s="386"/>
      <c r="DIX160" s="386"/>
      <c r="DIY160" s="386"/>
      <c r="DIZ160" s="386"/>
      <c r="DJA160" s="386"/>
      <c r="DJB160" s="386"/>
      <c r="DJC160" s="386"/>
      <c r="DJD160" s="386"/>
      <c r="DJE160" s="386"/>
      <c r="DJF160" s="386"/>
      <c r="DJG160" s="386"/>
      <c r="DJH160" s="386"/>
      <c r="DJI160" s="386"/>
      <c r="DJJ160" s="386"/>
      <c r="DJK160" s="386"/>
      <c r="DJL160" s="386"/>
      <c r="DJM160" s="386"/>
      <c r="DJN160" s="386"/>
      <c r="DJO160" s="386"/>
      <c r="DJP160" s="386"/>
      <c r="DJQ160" s="386"/>
      <c r="DJR160" s="386"/>
      <c r="DJS160" s="386"/>
      <c r="DJT160" s="386"/>
      <c r="DJU160" s="386"/>
      <c r="DJV160" s="386"/>
      <c r="DJW160" s="386"/>
      <c r="DJX160" s="386"/>
      <c r="DJY160" s="386"/>
      <c r="DJZ160" s="386"/>
      <c r="DKA160" s="386"/>
      <c r="DKB160" s="386"/>
      <c r="DKC160" s="386"/>
      <c r="DKD160" s="386"/>
      <c r="DKE160" s="386"/>
      <c r="DKF160" s="386"/>
      <c r="DKG160" s="386"/>
      <c r="DKH160" s="386"/>
      <c r="DKI160" s="386"/>
      <c r="DKJ160" s="386"/>
      <c r="DKK160" s="386"/>
      <c r="DKL160" s="386"/>
      <c r="DKM160" s="386"/>
      <c r="DKN160" s="386"/>
      <c r="DKO160" s="386"/>
      <c r="DKP160" s="386"/>
      <c r="DKQ160" s="386"/>
      <c r="DKR160" s="386"/>
      <c r="DKS160" s="386"/>
      <c r="DKT160" s="386"/>
      <c r="DKU160" s="386"/>
      <c r="DKV160" s="386"/>
      <c r="DKW160" s="386"/>
      <c r="DKX160" s="386"/>
      <c r="DKY160" s="386"/>
      <c r="DKZ160" s="386"/>
      <c r="DLA160" s="386"/>
      <c r="DLB160" s="386"/>
      <c r="DLC160" s="386"/>
      <c r="DLD160" s="386"/>
      <c r="DLE160" s="386"/>
      <c r="DLF160" s="386"/>
      <c r="DLG160" s="386"/>
      <c r="DLH160" s="386"/>
      <c r="DLI160" s="386"/>
      <c r="DLJ160" s="386"/>
      <c r="DLK160" s="386"/>
      <c r="DLL160" s="386"/>
      <c r="DLM160" s="386"/>
      <c r="DLN160" s="386"/>
      <c r="DLO160" s="386"/>
      <c r="DLP160" s="386"/>
      <c r="DLQ160" s="386"/>
      <c r="DLR160" s="386"/>
      <c r="DLS160" s="386"/>
      <c r="DLT160" s="386"/>
      <c r="DLU160" s="386"/>
      <c r="DLV160" s="386"/>
      <c r="DLW160" s="386"/>
      <c r="DLX160" s="386"/>
      <c r="DLY160" s="386"/>
      <c r="DLZ160" s="386"/>
      <c r="DMA160" s="386"/>
      <c r="DMB160" s="386"/>
      <c r="DMC160" s="386"/>
      <c r="DMD160" s="386"/>
      <c r="DME160" s="386"/>
      <c r="DMF160" s="386"/>
      <c r="DMG160" s="386"/>
      <c r="DMH160" s="386"/>
      <c r="DMI160" s="386"/>
      <c r="DMJ160" s="386"/>
      <c r="DMK160" s="386"/>
      <c r="DML160" s="386"/>
      <c r="DMM160" s="386"/>
      <c r="DMN160" s="386"/>
      <c r="DMO160" s="386"/>
      <c r="DMP160" s="386"/>
      <c r="DMQ160" s="386"/>
      <c r="DMR160" s="386"/>
      <c r="DMS160" s="386"/>
      <c r="DMT160" s="386"/>
      <c r="DMU160" s="386"/>
      <c r="DMV160" s="386"/>
      <c r="DMW160" s="386"/>
      <c r="DMX160" s="386"/>
      <c r="DMY160" s="386"/>
      <c r="DMZ160" s="386"/>
      <c r="DNA160" s="386"/>
      <c r="DNB160" s="386"/>
      <c r="DNC160" s="386"/>
      <c r="DND160" s="386"/>
      <c r="DNE160" s="386"/>
      <c r="DNF160" s="386"/>
      <c r="DNG160" s="386"/>
      <c r="DNH160" s="386"/>
      <c r="DNI160" s="386"/>
      <c r="DNJ160" s="386"/>
      <c r="DNK160" s="386"/>
      <c r="DNL160" s="386"/>
      <c r="DNM160" s="386"/>
      <c r="DNN160" s="386"/>
      <c r="DNO160" s="386"/>
      <c r="DNP160" s="386"/>
      <c r="DNQ160" s="386"/>
      <c r="DNR160" s="386"/>
      <c r="DNS160" s="386"/>
      <c r="DNT160" s="386"/>
      <c r="DNU160" s="386"/>
      <c r="DNV160" s="386"/>
      <c r="DNW160" s="386"/>
      <c r="DNX160" s="386"/>
      <c r="DNY160" s="386"/>
      <c r="DNZ160" s="386"/>
      <c r="DOA160" s="386"/>
      <c r="DOB160" s="386"/>
      <c r="DOC160" s="386"/>
      <c r="DOD160" s="386"/>
      <c r="DOE160" s="386"/>
      <c r="DOF160" s="386"/>
      <c r="DOG160" s="386"/>
      <c r="DOH160" s="386"/>
      <c r="DOI160" s="386"/>
      <c r="DOJ160" s="386"/>
      <c r="DOK160" s="386"/>
      <c r="DOL160" s="386"/>
      <c r="DOM160" s="386"/>
      <c r="DON160" s="386"/>
      <c r="DOO160" s="386"/>
      <c r="DOP160" s="386"/>
      <c r="DOQ160" s="386"/>
      <c r="DOR160" s="386"/>
      <c r="DOS160" s="386"/>
      <c r="DOT160" s="386"/>
      <c r="DOU160" s="386"/>
      <c r="DOV160" s="386"/>
      <c r="DOW160" s="386"/>
      <c r="DOX160" s="386"/>
      <c r="DOY160" s="386"/>
      <c r="DOZ160" s="386"/>
      <c r="DPA160" s="386"/>
      <c r="DPB160" s="386"/>
      <c r="DPC160" s="386"/>
      <c r="DPD160" s="386"/>
      <c r="DPE160" s="386"/>
      <c r="DPF160" s="386"/>
      <c r="DPG160" s="386"/>
      <c r="DPH160" s="386"/>
      <c r="DPI160" s="386"/>
      <c r="DPJ160" s="386"/>
      <c r="DPK160" s="386"/>
      <c r="DPL160" s="386"/>
      <c r="DPM160" s="386"/>
      <c r="DPN160" s="386"/>
      <c r="DPO160" s="386"/>
      <c r="DPP160" s="386"/>
      <c r="DPQ160" s="386"/>
      <c r="DPR160" s="386"/>
      <c r="DPS160" s="386"/>
      <c r="DPT160" s="386"/>
      <c r="DPU160" s="386"/>
      <c r="DPV160" s="386"/>
      <c r="DPW160" s="386"/>
      <c r="DPX160" s="386"/>
      <c r="DPY160" s="386"/>
      <c r="DPZ160" s="386"/>
      <c r="DQA160" s="386"/>
      <c r="DQB160" s="386"/>
      <c r="DQC160" s="386"/>
      <c r="DQD160" s="386"/>
      <c r="DQE160" s="386"/>
      <c r="DQF160" s="386"/>
      <c r="DQG160" s="386"/>
      <c r="DQH160" s="386"/>
      <c r="DQI160" s="386"/>
      <c r="DQJ160" s="386"/>
      <c r="DQK160" s="386"/>
      <c r="DQL160" s="386"/>
      <c r="DQM160" s="386"/>
      <c r="DQN160" s="386"/>
      <c r="DQO160" s="386"/>
      <c r="DQP160" s="386"/>
      <c r="DQQ160" s="386"/>
      <c r="DQR160" s="386"/>
      <c r="DQS160" s="386"/>
      <c r="DQT160" s="386"/>
      <c r="DQU160" s="386"/>
      <c r="DQV160" s="386"/>
      <c r="DQW160" s="386"/>
      <c r="DQX160" s="386"/>
      <c r="DQY160" s="386"/>
      <c r="DQZ160" s="386"/>
      <c r="DRA160" s="386"/>
      <c r="DRB160" s="386"/>
      <c r="DRC160" s="386"/>
      <c r="DRD160" s="386"/>
      <c r="DRE160" s="386"/>
      <c r="DRF160" s="386"/>
      <c r="DRG160" s="386"/>
      <c r="DRH160" s="386"/>
      <c r="DRI160" s="386"/>
      <c r="DRJ160" s="386"/>
      <c r="DRK160" s="386"/>
      <c r="DRL160" s="386"/>
      <c r="DRM160" s="386"/>
    </row>
    <row r="161" spans="1:3185" ht="30" customHeight="1">
      <c r="A161" s="387"/>
      <c r="B161" s="388"/>
      <c r="C161" s="389"/>
      <c r="D161" s="390"/>
      <c r="E161" s="391"/>
      <c r="F161" s="421"/>
      <c r="G161" s="396"/>
      <c r="H161" s="392"/>
      <c r="I161" s="422"/>
      <c r="J161" s="394"/>
      <c r="K161" s="411"/>
    </row>
    <row r="162" spans="1:3185" ht="30" customHeight="1">
      <c r="A162" s="387"/>
      <c r="B162" s="388"/>
      <c r="C162" s="389"/>
      <c r="D162" s="390"/>
      <c r="E162" s="391"/>
      <c r="F162" s="421"/>
      <c r="G162" s="396"/>
      <c r="H162" s="392"/>
      <c r="I162" s="422"/>
      <c r="J162" s="394"/>
      <c r="K162" s="411"/>
    </row>
    <row r="163" spans="1:3185" ht="30" customHeight="1">
      <c r="A163" s="387"/>
      <c r="B163" s="388"/>
      <c r="C163" s="389"/>
      <c r="D163" s="390"/>
      <c r="E163" s="391"/>
      <c r="F163" s="421"/>
      <c r="G163" s="396"/>
      <c r="H163" s="392"/>
      <c r="I163" s="422"/>
      <c r="J163" s="394"/>
      <c r="K163" s="411"/>
    </row>
    <row r="164" spans="1:3185" ht="30" customHeight="1">
      <c r="A164" s="387"/>
      <c r="B164" s="388"/>
      <c r="C164" s="389"/>
      <c r="D164" s="390"/>
      <c r="E164" s="391"/>
      <c r="F164" s="421"/>
      <c r="G164" s="396"/>
      <c r="H164" s="392"/>
      <c r="I164" s="422"/>
      <c r="J164" s="394"/>
      <c r="K164" s="411"/>
    </row>
    <row r="165" spans="1:3185" ht="30" customHeight="1">
      <c r="A165" s="387"/>
      <c r="B165" s="388"/>
      <c r="C165" s="389"/>
      <c r="D165" s="390"/>
      <c r="E165" s="391"/>
      <c r="F165" s="421"/>
      <c r="G165" s="396"/>
      <c r="H165" s="392"/>
      <c r="I165" s="422"/>
      <c r="J165" s="394"/>
      <c r="K165" s="411"/>
    </row>
    <row r="166" spans="1:3185" s="386" customFormat="1" ht="30" customHeight="1">
      <c r="A166" s="387"/>
      <c r="B166" s="388"/>
      <c r="C166" s="389"/>
      <c r="D166" s="390"/>
      <c r="E166" s="391"/>
      <c r="F166" s="422"/>
      <c r="G166" s="415"/>
      <c r="H166" s="392"/>
      <c r="I166" s="422"/>
      <c r="J166" s="394"/>
      <c r="K166" s="411"/>
      <c r="L166" s="406"/>
      <c r="M166" s="350"/>
      <c r="N166" s="350"/>
      <c r="O166" s="383"/>
      <c r="P166" s="383"/>
      <c r="Q166" s="383"/>
      <c r="R166" s="383"/>
      <c r="S166" s="383"/>
      <c r="T166" s="383"/>
      <c r="U166" s="383"/>
      <c r="V166" s="383"/>
      <c r="W166" s="383"/>
      <c r="X166" s="383"/>
      <c r="Y166" s="383"/>
      <c r="Z166" s="383"/>
      <c r="AA166" s="383"/>
      <c r="AB166" s="383"/>
      <c r="AC166" s="383"/>
      <c r="AD166" s="383"/>
      <c r="AE166" s="383"/>
      <c r="AF166" s="383"/>
      <c r="AG166" s="383"/>
      <c r="AH166" s="383"/>
      <c r="AI166" s="383"/>
      <c r="AJ166" s="383"/>
      <c r="AK166" s="383"/>
      <c r="AL166" s="383"/>
      <c r="AM166" s="383"/>
      <c r="AN166" s="383"/>
      <c r="AO166" s="383"/>
      <c r="AP166" s="383"/>
      <c r="AQ166" s="383"/>
      <c r="AR166" s="383"/>
      <c r="AS166" s="383"/>
      <c r="AT166" s="383"/>
      <c r="AU166" s="383"/>
      <c r="AV166" s="383"/>
      <c r="AW166" s="383"/>
      <c r="AX166" s="383"/>
      <c r="AY166" s="383"/>
      <c r="AZ166" s="383"/>
      <c r="BA166" s="383"/>
      <c r="BB166" s="383"/>
      <c r="BC166" s="383"/>
      <c r="BD166" s="383"/>
      <c r="BE166" s="383"/>
      <c r="BF166" s="383"/>
      <c r="BG166" s="383"/>
      <c r="BH166" s="383"/>
      <c r="BI166" s="383"/>
      <c r="BJ166" s="383"/>
      <c r="BK166" s="383"/>
      <c r="BL166" s="383"/>
      <c r="BM166" s="383"/>
      <c r="BN166" s="383"/>
      <c r="BO166" s="383"/>
      <c r="BP166" s="383"/>
      <c r="BQ166" s="383"/>
      <c r="BR166" s="383"/>
      <c r="BS166" s="383"/>
      <c r="BT166" s="383"/>
      <c r="BU166" s="383"/>
      <c r="BV166" s="383"/>
      <c r="BW166" s="383"/>
      <c r="BX166" s="383"/>
      <c r="BY166" s="383"/>
      <c r="BZ166" s="383"/>
      <c r="CA166" s="383"/>
      <c r="CB166" s="383"/>
      <c r="CC166" s="383"/>
      <c r="CD166" s="383"/>
      <c r="CE166" s="383"/>
      <c r="CF166" s="383"/>
      <c r="CG166" s="383"/>
      <c r="CH166" s="383"/>
      <c r="CI166" s="383"/>
      <c r="CJ166" s="383"/>
      <c r="CK166" s="383"/>
      <c r="CL166" s="383"/>
      <c r="CM166" s="383"/>
      <c r="CN166" s="383"/>
      <c r="CO166" s="383"/>
      <c r="CP166" s="383"/>
      <c r="CQ166" s="383"/>
      <c r="CR166" s="383"/>
      <c r="CS166" s="383"/>
      <c r="CT166" s="383"/>
      <c r="CU166" s="383"/>
      <c r="CV166" s="383"/>
      <c r="CW166" s="383"/>
      <c r="CX166" s="383"/>
      <c r="CY166" s="383"/>
      <c r="CZ166" s="383"/>
      <c r="DA166" s="383"/>
      <c r="DB166" s="383"/>
      <c r="DC166" s="383"/>
      <c r="DD166" s="383"/>
      <c r="DE166" s="383"/>
      <c r="DF166" s="383"/>
      <c r="DG166" s="383"/>
      <c r="DH166" s="383"/>
      <c r="DI166" s="383"/>
      <c r="DJ166" s="383"/>
      <c r="DK166" s="383"/>
      <c r="DL166" s="383"/>
      <c r="DM166" s="383"/>
      <c r="DN166" s="383"/>
      <c r="DO166" s="383"/>
      <c r="DP166" s="383"/>
      <c r="DQ166" s="383"/>
      <c r="DR166" s="383"/>
      <c r="DS166" s="383"/>
      <c r="DT166" s="383"/>
      <c r="DU166" s="383"/>
      <c r="DV166" s="383"/>
      <c r="DW166" s="383"/>
      <c r="DX166" s="383"/>
      <c r="DY166" s="383"/>
      <c r="DZ166" s="383"/>
      <c r="EA166" s="383"/>
      <c r="EB166" s="383"/>
      <c r="EC166" s="383"/>
      <c r="ED166" s="383"/>
      <c r="EE166" s="383"/>
      <c r="EF166" s="383"/>
      <c r="EG166" s="383"/>
      <c r="EH166" s="383"/>
      <c r="EI166" s="383"/>
      <c r="EJ166" s="383"/>
      <c r="EK166" s="383"/>
      <c r="EL166" s="383"/>
      <c r="EM166" s="383"/>
      <c r="EN166" s="383"/>
      <c r="EO166" s="383"/>
      <c r="EP166" s="383"/>
      <c r="EQ166" s="383"/>
      <c r="ER166" s="383"/>
      <c r="ES166" s="383"/>
      <c r="ET166" s="383"/>
      <c r="EU166" s="383"/>
      <c r="EV166" s="383"/>
      <c r="EW166" s="383"/>
      <c r="EX166" s="383"/>
      <c r="EY166" s="383"/>
      <c r="EZ166" s="383"/>
      <c r="FA166" s="383"/>
      <c r="FB166" s="383"/>
      <c r="FC166" s="383"/>
      <c r="FD166" s="383"/>
      <c r="FE166" s="383"/>
      <c r="FF166" s="383"/>
      <c r="FG166" s="383"/>
      <c r="FH166" s="383"/>
      <c r="FI166" s="383"/>
      <c r="FJ166" s="383"/>
      <c r="FK166" s="383"/>
      <c r="FL166" s="383"/>
      <c r="FM166" s="383"/>
      <c r="FN166" s="383"/>
      <c r="FO166" s="383"/>
      <c r="FP166" s="383"/>
      <c r="FQ166" s="383"/>
      <c r="FR166" s="383"/>
      <c r="FS166" s="383"/>
      <c r="FT166" s="383"/>
      <c r="FU166" s="383"/>
      <c r="FV166" s="383"/>
      <c r="FW166" s="383"/>
      <c r="FX166" s="383"/>
      <c r="FY166" s="383"/>
      <c r="FZ166" s="383"/>
      <c r="GA166" s="383"/>
      <c r="GB166" s="383"/>
      <c r="GC166" s="383"/>
      <c r="GD166" s="383"/>
      <c r="GE166" s="383"/>
      <c r="GF166" s="383"/>
      <c r="GG166" s="383"/>
      <c r="GH166" s="383"/>
      <c r="GI166" s="383"/>
      <c r="GJ166" s="383"/>
      <c r="GK166" s="383"/>
      <c r="GL166" s="383"/>
      <c r="GM166" s="383"/>
      <c r="GN166" s="383"/>
      <c r="GO166" s="383"/>
      <c r="GP166" s="383"/>
      <c r="GQ166" s="383"/>
      <c r="GR166" s="383"/>
      <c r="GS166" s="383"/>
      <c r="GT166" s="383"/>
      <c r="GU166" s="383"/>
      <c r="GV166" s="383"/>
      <c r="GW166" s="383"/>
      <c r="GX166" s="383"/>
      <c r="GY166" s="383"/>
      <c r="GZ166" s="383"/>
      <c r="HA166" s="383"/>
      <c r="HB166" s="383"/>
      <c r="HC166" s="383"/>
      <c r="HD166" s="383"/>
      <c r="HE166" s="383"/>
      <c r="HF166" s="383"/>
      <c r="HG166" s="383"/>
      <c r="HH166" s="383"/>
      <c r="HI166" s="383"/>
      <c r="HJ166" s="383"/>
      <c r="HK166" s="383"/>
      <c r="HL166" s="383"/>
      <c r="HM166" s="383"/>
      <c r="HN166" s="383"/>
      <c r="HO166" s="383"/>
      <c r="HP166" s="383"/>
      <c r="HQ166" s="383"/>
      <c r="HR166" s="383"/>
      <c r="HS166" s="383"/>
      <c r="HT166" s="383"/>
      <c r="HU166" s="383"/>
      <c r="HV166" s="383"/>
      <c r="HW166" s="383"/>
      <c r="HX166" s="383"/>
      <c r="HY166" s="383"/>
      <c r="HZ166" s="383"/>
      <c r="IA166" s="383"/>
      <c r="IB166" s="383"/>
      <c r="IC166" s="383"/>
      <c r="ID166" s="383"/>
      <c r="IE166" s="383"/>
      <c r="IF166" s="383"/>
      <c r="IG166" s="383"/>
      <c r="IH166" s="383"/>
      <c r="II166" s="383"/>
      <c r="IJ166" s="383"/>
      <c r="IK166" s="383"/>
      <c r="IL166" s="383"/>
      <c r="IM166" s="383"/>
      <c r="IN166" s="383"/>
      <c r="IO166" s="383"/>
      <c r="IP166" s="383"/>
      <c r="IQ166" s="383"/>
      <c r="IR166" s="383"/>
      <c r="IS166" s="383"/>
      <c r="IT166" s="383"/>
      <c r="IU166" s="383"/>
      <c r="IV166" s="383"/>
      <c r="IW166" s="383"/>
      <c r="IX166" s="383"/>
      <c r="IY166" s="383"/>
      <c r="IZ166" s="383"/>
      <c r="JA166" s="383"/>
      <c r="JB166" s="383"/>
      <c r="JC166" s="383"/>
      <c r="JD166" s="383"/>
      <c r="JE166" s="383"/>
      <c r="JF166" s="383"/>
      <c r="JG166" s="383"/>
      <c r="JH166" s="383"/>
      <c r="JI166" s="383"/>
      <c r="JJ166" s="383"/>
      <c r="JK166" s="383"/>
      <c r="JL166" s="383"/>
      <c r="JM166" s="383"/>
      <c r="JN166" s="383"/>
      <c r="JO166" s="383"/>
      <c r="JP166" s="383"/>
      <c r="JQ166" s="383"/>
      <c r="JR166" s="383"/>
      <c r="JS166" s="383"/>
      <c r="JT166" s="383"/>
      <c r="JU166" s="383"/>
      <c r="JV166" s="383"/>
      <c r="JW166" s="383"/>
      <c r="JX166" s="383"/>
      <c r="JY166" s="383"/>
      <c r="JZ166" s="383"/>
      <c r="KA166" s="383"/>
      <c r="KB166" s="383"/>
      <c r="KC166" s="383"/>
      <c r="KD166" s="383"/>
      <c r="KE166" s="383"/>
      <c r="KF166" s="383"/>
      <c r="KG166" s="383"/>
      <c r="KH166" s="383"/>
      <c r="KI166" s="383"/>
      <c r="KJ166" s="383"/>
      <c r="KK166" s="383"/>
      <c r="KL166" s="383"/>
      <c r="KM166" s="383"/>
      <c r="KN166" s="383"/>
      <c r="KO166" s="383"/>
      <c r="KP166" s="383"/>
      <c r="KQ166" s="383"/>
      <c r="KR166" s="383"/>
      <c r="KS166" s="383"/>
      <c r="KT166" s="383"/>
      <c r="KU166" s="383"/>
      <c r="KV166" s="383"/>
      <c r="KW166" s="383"/>
      <c r="KX166" s="383"/>
      <c r="KY166" s="383"/>
      <c r="KZ166" s="383"/>
      <c r="LA166" s="383"/>
      <c r="LB166" s="383"/>
      <c r="LC166" s="383"/>
      <c r="LD166" s="383"/>
      <c r="LE166" s="383"/>
      <c r="LF166" s="383"/>
      <c r="LG166" s="383"/>
      <c r="LH166" s="383"/>
      <c r="LI166" s="383"/>
      <c r="LJ166" s="383"/>
      <c r="LK166" s="383"/>
      <c r="LL166" s="383"/>
      <c r="LM166" s="383"/>
      <c r="LN166" s="383"/>
      <c r="LO166" s="383"/>
      <c r="LP166" s="383"/>
      <c r="LQ166" s="383"/>
      <c r="LR166" s="383"/>
      <c r="LS166" s="383"/>
      <c r="LT166" s="383"/>
      <c r="LU166" s="383"/>
      <c r="LV166" s="383"/>
      <c r="LW166" s="383"/>
      <c r="LX166" s="383"/>
      <c r="LY166" s="383"/>
      <c r="LZ166" s="383"/>
      <c r="MA166" s="383"/>
      <c r="MB166" s="383"/>
      <c r="MC166" s="383"/>
      <c r="MD166" s="383"/>
      <c r="ME166" s="383"/>
      <c r="MF166" s="383"/>
      <c r="MG166" s="383"/>
      <c r="MH166" s="383"/>
      <c r="MI166" s="383"/>
      <c r="MJ166" s="383"/>
      <c r="MK166" s="383"/>
      <c r="ML166" s="383"/>
      <c r="MM166" s="383"/>
      <c r="MN166" s="383"/>
      <c r="MO166" s="383"/>
      <c r="MP166" s="383"/>
      <c r="MQ166" s="383"/>
      <c r="MR166" s="383"/>
      <c r="MS166" s="383"/>
      <c r="MT166" s="383"/>
      <c r="MU166" s="383"/>
      <c r="MV166" s="383"/>
      <c r="MW166" s="383"/>
      <c r="MX166" s="383"/>
      <c r="MY166" s="383"/>
      <c r="MZ166" s="383"/>
      <c r="NA166" s="383"/>
      <c r="NB166" s="383"/>
      <c r="NC166" s="383"/>
      <c r="ND166" s="383"/>
      <c r="NE166" s="383"/>
      <c r="NF166" s="383"/>
      <c r="NG166" s="383"/>
      <c r="NH166" s="383"/>
      <c r="NI166" s="383"/>
      <c r="NJ166" s="383"/>
      <c r="NK166" s="383"/>
      <c r="NL166" s="383"/>
      <c r="NM166" s="383"/>
      <c r="NN166" s="383"/>
      <c r="NO166" s="383"/>
      <c r="NP166" s="383"/>
      <c r="NQ166" s="383"/>
      <c r="NR166" s="383"/>
      <c r="NS166" s="383"/>
      <c r="NT166" s="383"/>
      <c r="NU166" s="383"/>
      <c r="NV166" s="383"/>
      <c r="NW166" s="383"/>
      <c r="NX166" s="383"/>
      <c r="NY166" s="383"/>
      <c r="NZ166" s="383"/>
      <c r="OA166" s="383"/>
      <c r="OB166" s="383"/>
      <c r="OC166" s="383"/>
      <c r="OD166" s="383"/>
      <c r="OE166" s="383"/>
      <c r="OF166" s="383"/>
      <c r="OG166" s="383"/>
      <c r="OH166" s="383"/>
      <c r="OI166" s="383"/>
      <c r="OJ166" s="383"/>
      <c r="OK166" s="383"/>
      <c r="OL166" s="383"/>
      <c r="OM166" s="383"/>
      <c r="ON166" s="383"/>
      <c r="OO166" s="383"/>
      <c r="OP166" s="383"/>
      <c r="OQ166" s="383"/>
      <c r="OR166" s="383"/>
      <c r="OS166" s="383"/>
      <c r="OT166" s="383"/>
      <c r="OU166" s="383"/>
      <c r="OV166" s="383"/>
      <c r="OW166" s="383"/>
      <c r="OX166" s="383"/>
      <c r="OY166" s="383"/>
      <c r="OZ166" s="383"/>
      <c r="PA166" s="383"/>
      <c r="PB166" s="383"/>
      <c r="PC166" s="383"/>
      <c r="PD166" s="383"/>
      <c r="PE166" s="383"/>
      <c r="PF166" s="383"/>
      <c r="PG166" s="383"/>
      <c r="PH166" s="383"/>
      <c r="PI166" s="383"/>
      <c r="PJ166" s="383"/>
      <c r="PK166" s="383"/>
      <c r="PL166" s="383"/>
      <c r="PM166" s="383"/>
      <c r="PN166" s="383"/>
      <c r="PO166" s="383"/>
      <c r="PP166" s="383"/>
      <c r="PQ166" s="383"/>
      <c r="PR166" s="383"/>
      <c r="PS166" s="383"/>
      <c r="PT166" s="383"/>
      <c r="PU166" s="383"/>
      <c r="PV166" s="383"/>
      <c r="PW166" s="383"/>
      <c r="PX166" s="383"/>
      <c r="PY166" s="383"/>
      <c r="PZ166" s="383"/>
      <c r="QA166" s="383"/>
      <c r="QB166" s="383"/>
      <c r="QC166" s="383"/>
      <c r="QD166" s="383"/>
      <c r="QE166" s="383"/>
      <c r="QF166" s="383"/>
      <c r="QG166" s="383"/>
      <c r="QH166" s="383"/>
      <c r="QI166" s="383"/>
      <c r="QJ166" s="383"/>
      <c r="QK166" s="383"/>
      <c r="QL166" s="383"/>
      <c r="QM166" s="383"/>
      <c r="QN166" s="383"/>
      <c r="QO166" s="383"/>
      <c r="QP166" s="383"/>
      <c r="QQ166" s="383"/>
      <c r="QR166" s="383"/>
      <c r="QS166" s="383"/>
      <c r="QT166" s="383"/>
      <c r="QU166" s="383"/>
      <c r="QV166" s="383"/>
      <c r="QW166" s="383"/>
      <c r="QX166" s="383"/>
      <c r="QY166" s="383"/>
      <c r="QZ166" s="383"/>
      <c r="RA166" s="383"/>
      <c r="RB166" s="383"/>
      <c r="RC166" s="383"/>
      <c r="RD166" s="383"/>
      <c r="RE166" s="383"/>
      <c r="RF166" s="383"/>
      <c r="RG166" s="383"/>
      <c r="RH166" s="383"/>
      <c r="RI166" s="383"/>
      <c r="RJ166" s="383"/>
      <c r="RK166" s="383"/>
      <c r="RL166" s="383"/>
      <c r="RM166" s="383"/>
      <c r="RN166" s="383"/>
      <c r="RO166" s="383"/>
      <c r="RP166" s="383"/>
      <c r="RQ166" s="383"/>
      <c r="RR166" s="383"/>
      <c r="RS166" s="383"/>
      <c r="RT166" s="383"/>
      <c r="RU166" s="383"/>
      <c r="RV166" s="383"/>
      <c r="RW166" s="383"/>
      <c r="RX166" s="383"/>
      <c r="RY166" s="383"/>
      <c r="RZ166" s="383"/>
      <c r="SA166" s="383"/>
      <c r="SB166" s="383"/>
      <c r="SC166" s="383"/>
      <c r="SD166" s="383"/>
      <c r="SE166" s="383"/>
      <c r="SF166" s="383"/>
      <c r="SG166" s="383"/>
      <c r="SH166" s="383"/>
      <c r="SI166" s="383"/>
      <c r="SJ166" s="383"/>
      <c r="SK166" s="383"/>
      <c r="SL166" s="383"/>
      <c r="SM166" s="383"/>
      <c r="SN166" s="383"/>
      <c r="SO166" s="383"/>
      <c r="SP166" s="383"/>
      <c r="SQ166" s="383"/>
      <c r="SR166" s="383"/>
      <c r="SS166" s="383"/>
      <c r="ST166" s="383"/>
      <c r="SU166" s="383"/>
      <c r="SV166" s="383"/>
      <c r="SW166" s="383"/>
      <c r="SX166" s="383"/>
      <c r="SY166" s="383"/>
      <c r="SZ166" s="383"/>
      <c r="TA166" s="383"/>
      <c r="TB166" s="383"/>
      <c r="TC166" s="383"/>
      <c r="TD166" s="383"/>
      <c r="TE166" s="383"/>
      <c r="TF166" s="383"/>
      <c r="TG166" s="383"/>
      <c r="TH166" s="383"/>
      <c r="TI166" s="383"/>
      <c r="TJ166" s="383"/>
      <c r="TK166" s="383"/>
      <c r="TL166" s="383"/>
      <c r="TM166" s="383"/>
      <c r="TN166" s="383"/>
      <c r="TO166" s="383"/>
      <c r="TP166" s="383"/>
      <c r="TQ166" s="383"/>
      <c r="TR166" s="383"/>
      <c r="TS166" s="383"/>
      <c r="TT166" s="383"/>
      <c r="TU166" s="383"/>
      <c r="TV166" s="383"/>
      <c r="TW166" s="383"/>
      <c r="TX166" s="383"/>
      <c r="TY166" s="383"/>
      <c r="TZ166" s="383"/>
      <c r="UA166" s="383"/>
      <c r="UB166" s="383"/>
      <c r="UC166" s="383"/>
      <c r="UD166" s="383"/>
      <c r="UE166" s="383"/>
      <c r="UF166" s="383"/>
      <c r="UG166" s="383"/>
      <c r="UH166" s="383"/>
      <c r="UI166" s="383"/>
      <c r="UJ166" s="383"/>
      <c r="UK166" s="383"/>
      <c r="UL166" s="383"/>
      <c r="UM166" s="383"/>
      <c r="UN166" s="383"/>
      <c r="UO166" s="383"/>
      <c r="UP166" s="383"/>
      <c r="UQ166" s="383"/>
      <c r="UR166" s="383"/>
      <c r="US166" s="383"/>
      <c r="UT166" s="383"/>
      <c r="UU166" s="383"/>
      <c r="UV166" s="383"/>
      <c r="UW166" s="383"/>
      <c r="UX166" s="383"/>
      <c r="UY166" s="383"/>
      <c r="UZ166" s="383"/>
      <c r="VA166" s="383"/>
      <c r="VB166" s="383"/>
      <c r="VC166" s="383"/>
      <c r="VD166" s="383"/>
      <c r="VE166" s="383"/>
      <c r="VF166" s="383"/>
      <c r="VG166" s="383"/>
      <c r="VH166" s="383"/>
      <c r="VI166" s="383"/>
      <c r="VJ166" s="383"/>
      <c r="VK166" s="383"/>
      <c r="VL166" s="383"/>
      <c r="VM166" s="383"/>
      <c r="VN166" s="383"/>
      <c r="VO166" s="383"/>
      <c r="VP166" s="383"/>
      <c r="VQ166" s="383"/>
      <c r="VR166" s="383"/>
      <c r="VS166" s="383"/>
      <c r="VT166" s="383"/>
      <c r="VU166" s="383"/>
      <c r="VV166" s="383"/>
      <c r="VW166" s="383"/>
      <c r="VX166" s="383"/>
      <c r="VY166" s="383"/>
      <c r="VZ166" s="383"/>
      <c r="WA166" s="383"/>
      <c r="WB166" s="383"/>
      <c r="WC166" s="383"/>
      <c r="WD166" s="383"/>
      <c r="WE166" s="383"/>
      <c r="WF166" s="383"/>
      <c r="WG166" s="383"/>
      <c r="WH166" s="383"/>
      <c r="WI166" s="383"/>
      <c r="WJ166" s="383"/>
      <c r="WK166" s="383"/>
      <c r="WL166" s="383"/>
      <c r="WM166" s="383"/>
      <c r="WN166" s="383"/>
      <c r="WO166" s="383"/>
      <c r="WP166" s="383"/>
      <c r="WQ166" s="383"/>
      <c r="WR166" s="383"/>
      <c r="WS166" s="383"/>
      <c r="WT166" s="383"/>
      <c r="WU166" s="383"/>
      <c r="WV166" s="383"/>
      <c r="WW166" s="383"/>
      <c r="WX166" s="383"/>
      <c r="WY166" s="383"/>
      <c r="WZ166" s="383"/>
      <c r="XA166" s="383"/>
      <c r="XB166" s="383"/>
      <c r="XC166" s="383"/>
      <c r="XD166" s="383"/>
      <c r="XE166" s="383"/>
      <c r="XF166" s="383"/>
      <c r="XG166" s="383"/>
      <c r="XH166" s="383"/>
      <c r="XI166" s="383"/>
      <c r="XJ166" s="383"/>
      <c r="XK166" s="383"/>
      <c r="XL166" s="383"/>
      <c r="XM166" s="383"/>
      <c r="XN166" s="383"/>
      <c r="XO166" s="383"/>
      <c r="XP166" s="383"/>
      <c r="XQ166" s="383"/>
      <c r="XR166" s="383"/>
      <c r="XS166" s="383"/>
      <c r="XT166" s="383"/>
      <c r="XU166" s="383"/>
      <c r="XV166" s="383"/>
      <c r="XW166" s="383"/>
      <c r="XX166" s="383"/>
      <c r="XY166" s="383"/>
      <c r="XZ166" s="383"/>
      <c r="YA166" s="383"/>
      <c r="YB166" s="383"/>
      <c r="YC166" s="383"/>
      <c r="YD166" s="383"/>
      <c r="YE166" s="383"/>
      <c r="YF166" s="383"/>
      <c r="YG166" s="383"/>
      <c r="YH166" s="383"/>
      <c r="YI166" s="383"/>
      <c r="YJ166" s="383"/>
      <c r="YK166" s="383"/>
      <c r="YL166" s="383"/>
      <c r="YM166" s="383"/>
      <c r="YN166" s="383"/>
      <c r="YO166" s="383"/>
      <c r="YP166" s="383"/>
      <c r="YQ166" s="383"/>
      <c r="YR166" s="383"/>
      <c r="YS166" s="383"/>
      <c r="YT166" s="383"/>
      <c r="YU166" s="383"/>
      <c r="YV166" s="383"/>
      <c r="YW166" s="383"/>
      <c r="YX166" s="383"/>
      <c r="YY166" s="383"/>
      <c r="YZ166" s="383"/>
      <c r="ZA166" s="383"/>
      <c r="ZB166" s="383"/>
      <c r="ZC166" s="383"/>
      <c r="ZD166" s="383"/>
      <c r="ZE166" s="383"/>
      <c r="ZF166" s="383"/>
      <c r="ZG166" s="383"/>
      <c r="ZH166" s="383"/>
      <c r="ZI166" s="383"/>
      <c r="ZJ166" s="383"/>
      <c r="ZK166" s="383"/>
      <c r="ZL166" s="383"/>
      <c r="ZM166" s="383"/>
      <c r="ZN166" s="383"/>
      <c r="ZO166" s="383"/>
      <c r="ZP166" s="383"/>
      <c r="ZQ166" s="383"/>
      <c r="ZR166" s="383"/>
      <c r="ZS166" s="383"/>
      <c r="ZT166" s="383"/>
      <c r="ZU166" s="383"/>
      <c r="ZV166" s="383"/>
      <c r="ZW166" s="383"/>
      <c r="ZX166" s="383"/>
      <c r="ZY166" s="383"/>
      <c r="ZZ166" s="383"/>
      <c r="AAA166" s="383"/>
      <c r="AAB166" s="383"/>
      <c r="AAC166" s="383"/>
      <c r="AAD166" s="383"/>
      <c r="AAE166" s="383"/>
      <c r="AAF166" s="383"/>
      <c r="AAG166" s="383"/>
      <c r="AAH166" s="383"/>
      <c r="AAI166" s="383"/>
      <c r="AAJ166" s="383"/>
      <c r="AAK166" s="383"/>
      <c r="AAL166" s="383"/>
      <c r="AAM166" s="383"/>
      <c r="AAN166" s="383"/>
      <c r="AAO166" s="383"/>
      <c r="AAP166" s="383"/>
      <c r="AAQ166" s="383"/>
      <c r="AAR166" s="383"/>
      <c r="AAS166" s="383"/>
      <c r="AAT166" s="383"/>
      <c r="AAU166" s="383"/>
      <c r="AAV166" s="383"/>
      <c r="AAW166" s="383"/>
      <c r="AAX166" s="383"/>
      <c r="AAY166" s="383"/>
      <c r="AAZ166" s="383"/>
      <c r="ABA166" s="383"/>
      <c r="ABB166" s="383"/>
      <c r="ABC166" s="383"/>
      <c r="ABD166" s="383"/>
      <c r="ABE166" s="383"/>
      <c r="ABF166" s="383"/>
      <c r="ABG166" s="383"/>
      <c r="ABH166" s="383"/>
      <c r="ABI166" s="383"/>
      <c r="ABJ166" s="383"/>
      <c r="ABK166" s="383"/>
      <c r="ABL166" s="383"/>
      <c r="ABM166" s="383"/>
      <c r="ABN166" s="383"/>
      <c r="ABO166" s="383"/>
      <c r="ABP166" s="383"/>
      <c r="ABQ166" s="383"/>
      <c r="ABR166" s="383"/>
      <c r="ABS166" s="383"/>
      <c r="ABT166" s="383"/>
      <c r="ABU166" s="383"/>
      <c r="ABV166" s="383"/>
      <c r="ABW166" s="383"/>
      <c r="ABX166" s="383"/>
      <c r="ABY166" s="383"/>
      <c r="ABZ166" s="383"/>
      <c r="ACA166" s="383"/>
      <c r="ACB166" s="383"/>
      <c r="ACC166" s="383"/>
      <c r="ACD166" s="383"/>
      <c r="ACE166" s="383"/>
      <c r="ACF166" s="383"/>
      <c r="ACG166" s="383"/>
      <c r="ACH166" s="383"/>
      <c r="ACI166" s="383"/>
      <c r="ACJ166" s="383"/>
      <c r="ACK166" s="383"/>
      <c r="ACL166" s="383"/>
      <c r="ACM166" s="383"/>
      <c r="ACN166" s="383"/>
      <c r="ACO166" s="383"/>
      <c r="ACP166" s="383"/>
      <c r="ACQ166" s="383"/>
      <c r="ACR166" s="383"/>
      <c r="ACS166" s="383"/>
      <c r="ACT166" s="383"/>
      <c r="ACU166" s="383"/>
      <c r="ACV166" s="383"/>
      <c r="ACW166" s="383"/>
      <c r="ACX166" s="383"/>
      <c r="ACY166" s="383"/>
      <c r="ACZ166" s="383"/>
      <c r="ADA166" s="383"/>
      <c r="ADB166" s="383"/>
      <c r="ADC166" s="383"/>
      <c r="ADD166" s="383"/>
      <c r="ADE166" s="383"/>
      <c r="ADF166" s="383"/>
      <c r="ADG166" s="383"/>
      <c r="ADH166" s="383"/>
      <c r="ADI166" s="383"/>
      <c r="ADJ166" s="383"/>
      <c r="ADK166" s="383"/>
      <c r="ADL166" s="383"/>
      <c r="ADM166" s="383"/>
      <c r="ADN166" s="383"/>
      <c r="ADO166" s="383"/>
      <c r="ADP166" s="383"/>
      <c r="ADQ166" s="383"/>
      <c r="ADR166" s="383"/>
      <c r="ADS166" s="383"/>
      <c r="ADT166" s="383"/>
      <c r="ADU166" s="383"/>
      <c r="ADV166" s="383"/>
      <c r="ADW166" s="383"/>
      <c r="ADX166" s="383"/>
      <c r="ADY166" s="383"/>
      <c r="ADZ166" s="383"/>
      <c r="AEA166" s="383"/>
      <c r="AEB166" s="383"/>
      <c r="AEC166" s="383"/>
      <c r="AED166" s="383"/>
      <c r="AEE166" s="383"/>
      <c r="AEF166" s="383"/>
      <c r="AEG166" s="383"/>
      <c r="AEH166" s="383"/>
      <c r="AEI166" s="383"/>
      <c r="AEJ166" s="383"/>
      <c r="AEK166" s="383"/>
      <c r="AEL166" s="383"/>
      <c r="AEM166" s="383"/>
      <c r="AEN166" s="383"/>
      <c r="AEO166" s="383"/>
      <c r="AEP166" s="383"/>
      <c r="AEQ166" s="383"/>
      <c r="AER166" s="383"/>
      <c r="AES166" s="383"/>
      <c r="AET166" s="383"/>
      <c r="AEU166" s="383"/>
      <c r="AEV166" s="383"/>
      <c r="AEW166" s="383"/>
      <c r="AEX166" s="383"/>
      <c r="AEY166" s="383"/>
      <c r="AEZ166" s="383"/>
      <c r="AFA166" s="383"/>
      <c r="AFB166" s="383"/>
      <c r="AFC166" s="383"/>
      <c r="AFD166" s="383"/>
      <c r="AFE166" s="383"/>
      <c r="AFF166" s="383"/>
      <c r="AFG166" s="383"/>
      <c r="AFH166" s="383"/>
      <c r="AFI166" s="383"/>
      <c r="AFJ166" s="383"/>
      <c r="AFK166" s="383"/>
      <c r="AFL166" s="383"/>
      <c r="AFM166" s="383"/>
      <c r="AFN166" s="383"/>
      <c r="AFO166" s="383"/>
      <c r="AFP166" s="383"/>
      <c r="AFQ166" s="383"/>
      <c r="AFR166" s="383"/>
      <c r="AFS166" s="383"/>
      <c r="AFT166" s="383"/>
      <c r="AFU166" s="383"/>
      <c r="AFV166" s="383"/>
      <c r="AFW166" s="383"/>
      <c r="AFX166" s="383"/>
      <c r="AFY166" s="383"/>
      <c r="AFZ166" s="383"/>
      <c r="AGA166" s="383"/>
      <c r="AGB166" s="383"/>
      <c r="AGC166" s="383"/>
      <c r="AGD166" s="383"/>
      <c r="AGE166" s="383"/>
      <c r="AGF166" s="383"/>
      <c r="AGG166" s="383"/>
      <c r="AGH166" s="383"/>
      <c r="AGI166" s="383"/>
      <c r="AGJ166" s="383"/>
      <c r="AGK166" s="383"/>
      <c r="AGL166" s="383"/>
      <c r="AGM166" s="383"/>
      <c r="AGN166" s="383"/>
      <c r="AGO166" s="383"/>
      <c r="AGP166" s="383"/>
      <c r="AGQ166" s="383"/>
      <c r="AGR166" s="383"/>
      <c r="AGS166" s="383"/>
      <c r="AGT166" s="383"/>
      <c r="AGU166" s="383"/>
      <c r="AGV166" s="383"/>
      <c r="AGW166" s="383"/>
      <c r="AGX166" s="383"/>
      <c r="AGY166" s="383"/>
      <c r="AGZ166" s="383"/>
      <c r="AHA166" s="383"/>
      <c r="AHB166" s="383"/>
      <c r="AHC166" s="383"/>
      <c r="AHD166" s="383"/>
      <c r="AHE166" s="383"/>
      <c r="AHF166" s="383"/>
      <c r="AHG166" s="383"/>
      <c r="AHH166" s="383"/>
      <c r="AHI166" s="383"/>
      <c r="AHJ166" s="383"/>
      <c r="AHK166" s="383"/>
      <c r="AHL166" s="383"/>
      <c r="AHM166" s="383"/>
      <c r="AHN166" s="383"/>
      <c r="AHO166" s="383"/>
      <c r="AHP166" s="383"/>
      <c r="AHQ166" s="383"/>
      <c r="AHR166" s="383"/>
      <c r="AHS166" s="383"/>
      <c r="AHT166" s="383"/>
      <c r="AHU166" s="383"/>
      <c r="AHV166" s="383"/>
      <c r="AHW166" s="383"/>
      <c r="AHX166" s="383"/>
      <c r="AHY166" s="383"/>
      <c r="AHZ166" s="383"/>
      <c r="AIA166" s="383"/>
      <c r="AIB166" s="383"/>
      <c r="AIC166" s="383"/>
      <c r="AID166" s="383"/>
      <c r="AIE166" s="383"/>
      <c r="AIF166" s="383"/>
      <c r="AIG166" s="383"/>
      <c r="AIH166" s="383"/>
      <c r="AII166" s="383"/>
      <c r="AIJ166" s="383"/>
      <c r="AIK166" s="383"/>
      <c r="AIL166" s="383"/>
      <c r="AIM166" s="383"/>
      <c r="AIN166" s="383"/>
      <c r="AIO166" s="383"/>
      <c r="AIP166" s="383"/>
      <c r="AIQ166" s="383"/>
      <c r="AIR166" s="383"/>
      <c r="AIS166" s="383"/>
      <c r="AIT166" s="383"/>
      <c r="AIU166" s="383"/>
      <c r="AIV166" s="383"/>
      <c r="AIW166" s="383"/>
      <c r="AIX166" s="383"/>
      <c r="AIY166" s="383"/>
      <c r="AIZ166" s="383"/>
      <c r="AJA166" s="383"/>
      <c r="AJB166" s="383"/>
      <c r="AJC166" s="383"/>
      <c r="AJD166" s="383"/>
      <c r="AJE166" s="383"/>
      <c r="AJF166" s="383"/>
      <c r="AJG166" s="383"/>
      <c r="AJH166" s="383"/>
      <c r="AJI166" s="383"/>
      <c r="AJJ166" s="383"/>
      <c r="AJK166" s="383"/>
      <c r="AJL166" s="383"/>
      <c r="AJM166" s="383"/>
      <c r="AJN166" s="383"/>
      <c r="AJO166" s="383"/>
      <c r="AJP166" s="383"/>
      <c r="AJQ166" s="383"/>
      <c r="AJR166" s="383"/>
      <c r="AJS166" s="383"/>
      <c r="AJT166" s="383"/>
      <c r="AJU166" s="383"/>
      <c r="AJV166" s="383"/>
      <c r="AJW166" s="383"/>
      <c r="AJX166" s="383"/>
      <c r="AJY166" s="383"/>
      <c r="AJZ166" s="383"/>
      <c r="AKA166" s="383"/>
      <c r="AKB166" s="383"/>
      <c r="AKC166" s="383"/>
      <c r="AKD166" s="383"/>
      <c r="AKE166" s="383"/>
      <c r="AKF166" s="383"/>
      <c r="AKG166" s="383"/>
      <c r="AKH166" s="383"/>
      <c r="AKI166" s="383"/>
      <c r="AKJ166" s="383"/>
      <c r="AKK166" s="383"/>
      <c r="AKL166" s="383"/>
      <c r="AKM166" s="383"/>
      <c r="AKN166" s="383"/>
      <c r="AKO166" s="383"/>
      <c r="AKP166" s="383"/>
      <c r="AKQ166" s="383"/>
      <c r="AKR166" s="383"/>
      <c r="AKS166" s="383"/>
      <c r="AKT166" s="383"/>
      <c r="AKU166" s="383"/>
      <c r="AKV166" s="383"/>
      <c r="AKW166" s="383"/>
      <c r="AKX166" s="383"/>
      <c r="AKY166" s="383"/>
      <c r="AKZ166" s="383"/>
      <c r="ALA166" s="383"/>
      <c r="ALB166" s="383"/>
      <c r="ALC166" s="383"/>
      <c r="ALD166" s="383"/>
      <c r="ALE166" s="383"/>
      <c r="ALF166" s="383"/>
      <c r="ALG166" s="383"/>
      <c r="ALH166" s="383"/>
      <c r="ALI166" s="383"/>
      <c r="ALJ166" s="383"/>
      <c r="ALK166" s="383"/>
      <c r="ALL166" s="383"/>
      <c r="ALM166" s="383"/>
      <c r="ALN166" s="383"/>
      <c r="ALO166" s="383"/>
      <c r="ALP166" s="383"/>
      <c r="ALQ166" s="383"/>
      <c r="ALR166" s="383"/>
      <c r="ALS166" s="383"/>
      <c r="ALT166" s="383"/>
      <c r="ALU166" s="383"/>
      <c r="ALV166" s="383"/>
      <c r="ALW166" s="383"/>
      <c r="ALX166" s="383"/>
      <c r="ALY166" s="383"/>
      <c r="ALZ166" s="383"/>
      <c r="AMA166" s="383"/>
      <c r="AMB166" s="383"/>
      <c r="AMC166" s="383"/>
      <c r="AMD166" s="383"/>
      <c r="AME166" s="383"/>
      <c r="AMF166" s="383"/>
      <c r="AMG166" s="383"/>
      <c r="AMH166" s="383"/>
      <c r="AMI166" s="383"/>
      <c r="AMJ166" s="383"/>
      <c r="AMK166" s="383"/>
      <c r="AML166" s="383"/>
      <c r="AMM166" s="383"/>
      <c r="AMN166" s="383"/>
      <c r="AMO166" s="383"/>
      <c r="AMP166" s="383"/>
      <c r="AMQ166" s="383"/>
      <c r="AMR166" s="383"/>
      <c r="AMS166" s="383"/>
      <c r="AMT166" s="383"/>
      <c r="AMU166" s="383"/>
      <c r="AMV166" s="383"/>
      <c r="AMW166" s="383"/>
      <c r="AMX166" s="383"/>
      <c r="AMY166" s="383"/>
      <c r="AMZ166" s="383"/>
      <c r="ANA166" s="383"/>
      <c r="ANB166" s="383"/>
      <c r="ANC166" s="383"/>
      <c r="AND166" s="383"/>
      <c r="ANE166" s="383"/>
      <c r="ANF166" s="383"/>
      <c r="ANG166" s="383"/>
      <c r="ANH166" s="383"/>
      <c r="ANI166" s="383"/>
      <c r="ANJ166" s="383"/>
      <c r="ANK166" s="383"/>
      <c r="ANL166" s="383"/>
      <c r="ANM166" s="383"/>
      <c r="ANN166" s="383"/>
      <c r="ANO166" s="383"/>
      <c r="ANP166" s="383"/>
      <c r="ANQ166" s="383"/>
      <c r="ANR166" s="383"/>
      <c r="ANS166" s="383"/>
      <c r="ANT166" s="383"/>
      <c r="ANU166" s="383"/>
      <c r="ANV166" s="383"/>
      <c r="ANW166" s="383"/>
      <c r="ANX166" s="383"/>
      <c r="ANY166" s="383"/>
      <c r="ANZ166" s="383"/>
      <c r="AOA166" s="383"/>
      <c r="AOB166" s="383"/>
      <c r="AOC166" s="383"/>
      <c r="AOD166" s="383"/>
      <c r="AOE166" s="383"/>
      <c r="AOF166" s="383"/>
      <c r="AOG166" s="383"/>
      <c r="AOH166" s="383"/>
      <c r="AOI166" s="383"/>
      <c r="AOJ166" s="383"/>
      <c r="AOK166" s="383"/>
      <c r="AOL166" s="383"/>
      <c r="AOM166" s="383"/>
      <c r="AON166" s="383"/>
      <c r="AOO166" s="383"/>
      <c r="AOP166" s="383"/>
      <c r="AOQ166" s="383"/>
      <c r="AOR166" s="383"/>
      <c r="AOS166" s="383"/>
      <c r="AOT166" s="383"/>
      <c r="AOU166" s="383"/>
      <c r="AOV166" s="383"/>
      <c r="AOW166" s="383"/>
      <c r="AOX166" s="383"/>
      <c r="AOY166" s="383"/>
      <c r="AOZ166" s="383"/>
      <c r="APA166" s="383"/>
      <c r="APB166" s="383"/>
      <c r="APC166" s="383"/>
      <c r="APD166" s="383"/>
      <c r="APE166" s="383"/>
      <c r="APF166" s="383"/>
      <c r="APG166" s="383"/>
      <c r="APH166" s="383"/>
      <c r="API166" s="383"/>
      <c r="APJ166" s="383"/>
      <c r="APK166" s="383"/>
      <c r="APL166" s="383"/>
      <c r="APM166" s="383"/>
      <c r="APN166" s="383"/>
      <c r="APO166" s="383"/>
      <c r="APP166" s="383"/>
      <c r="APQ166" s="383"/>
      <c r="APR166" s="383"/>
      <c r="APS166" s="383"/>
      <c r="APT166" s="383"/>
      <c r="APU166" s="383"/>
      <c r="APV166" s="383"/>
      <c r="APW166" s="383"/>
      <c r="APX166" s="383"/>
      <c r="APY166" s="383"/>
      <c r="APZ166" s="383"/>
      <c r="AQA166" s="383"/>
      <c r="AQB166" s="383"/>
      <c r="AQC166" s="383"/>
      <c r="AQD166" s="383"/>
      <c r="AQE166" s="383"/>
      <c r="AQF166" s="383"/>
      <c r="AQG166" s="383"/>
      <c r="AQH166" s="383"/>
      <c r="AQI166" s="383"/>
      <c r="AQJ166" s="383"/>
      <c r="AQK166" s="383"/>
      <c r="AQL166" s="383"/>
      <c r="AQM166" s="383"/>
      <c r="AQN166" s="383"/>
      <c r="AQO166" s="383"/>
      <c r="AQP166" s="383"/>
      <c r="AQQ166" s="383"/>
      <c r="AQR166" s="383"/>
      <c r="AQS166" s="383"/>
      <c r="AQT166" s="383"/>
      <c r="AQU166" s="383"/>
      <c r="AQV166" s="383"/>
      <c r="AQW166" s="383"/>
      <c r="AQX166" s="383"/>
      <c r="AQY166" s="383"/>
      <c r="AQZ166" s="383"/>
      <c r="ARA166" s="383"/>
      <c r="ARB166" s="383"/>
      <c r="ARC166" s="383"/>
      <c r="ARD166" s="383"/>
      <c r="ARE166" s="383"/>
      <c r="ARF166" s="383"/>
      <c r="ARG166" s="383"/>
      <c r="ARH166" s="383"/>
      <c r="ARI166" s="383"/>
      <c r="ARJ166" s="383"/>
      <c r="ARK166" s="383"/>
      <c r="ARL166" s="383"/>
      <c r="ARM166" s="383"/>
      <c r="ARN166" s="383"/>
      <c r="ARO166" s="383"/>
      <c r="ARP166" s="383"/>
      <c r="ARQ166" s="383"/>
      <c r="ARR166" s="383"/>
      <c r="ARS166" s="383"/>
      <c r="ART166" s="383"/>
      <c r="ARU166" s="383"/>
      <c r="ARV166" s="383"/>
      <c r="ARW166" s="383"/>
      <c r="ARX166" s="383"/>
      <c r="ARY166" s="383"/>
      <c r="ARZ166" s="383"/>
      <c r="ASA166" s="383"/>
      <c r="ASB166" s="383"/>
      <c r="ASC166" s="383"/>
      <c r="ASD166" s="383"/>
      <c r="ASE166" s="383"/>
      <c r="ASF166" s="383"/>
      <c r="ASG166" s="383"/>
      <c r="ASH166" s="383"/>
      <c r="ASI166" s="383"/>
      <c r="ASJ166" s="383"/>
      <c r="ASK166" s="383"/>
      <c r="ASL166" s="383"/>
      <c r="ASM166" s="383"/>
      <c r="ASN166" s="383"/>
      <c r="ASO166" s="383"/>
      <c r="ASP166" s="383"/>
      <c r="ASQ166" s="383"/>
      <c r="ASR166" s="383"/>
      <c r="ASS166" s="383"/>
      <c r="AST166" s="383"/>
      <c r="ASU166" s="383"/>
      <c r="ASV166" s="383"/>
      <c r="ASW166" s="383"/>
      <c r="ASX166" s="383"/>
      <c r="ASY166" s="383"/>
      <c r="ASZ166" s="383"/>
      <c r="ATA166" s="383"/>
      <c r="ATB166" s="383"/>
      <c r="ATC166" s="383"/>
      <c r="ATD166" s="383"/>
      <c r="ATE166" s="383"/>
      <c r="ATF166" s="383"/>
      <c r="ATG166" s="383"/>
      <c r="ATH166" s="383"/>
      <c r="ATI166" s="383"/>
      <c r="ATJ166" s="383"/>
      <c r="ATK166" s="383"/>
      <c r="ATL166" s="383"/>
      <c r="ATM166" s="383"/>
      <c r="ATN166" s="383"/>
      <c r="ATO166" s="383"/>
      <c r="ATP166" s="383"/>
      <c r="ATQ166" s="383"/>
      <c r="ATR166" s="383"/>
      <c r="ATS166" s="383"/>
      <c r="ATT166" s="383"/>
      <c r="ATU166" s="383"/>
      <c r="ATV166" s="383"/>
      <c r="ATW166" s="383"/>
      <c r="ATX166" s="383"/>
      <c r="ATY166" s="383"/>
      <c r="ATZ166" s="383"/>
      <c r="AUA166" s="383"/>
      <c r="AUB166" s="383"/>
      <c r="AUC166" s="383"/>
      <c r="AUD166" s="383"/>
      <c r="AUE166" s="383"/>
      <c r="AUF166" s="383"/>
      <c r="AUG166" s="383"/>
      <c r="AUH166" s="383"/>
      <c r="AUI166" s="383"/>
      <c r="AUJ166" s="383"/>
      <c r="AUK166" s="383"/>
      <c r="AUL166" s="383"/>
      <c r="AUM166" s="383"/>
      <c r="AUN166" s="383"/>
      <c r="AUO166" s="383"/>
      <c r="AUP166" s="383"/>
      <c r="AUQ166" s="383"/>
      <c r="AUR166" s="383"/>
      <c r="AUS166" s="383"/>
      <c r="AUT166" s="383"/>
      <c r="AUU166" s="383"/>
      <c r="AUV166" s="383"/>
      <c r="AUW166" s="383"/>
      <c r="AUX166" s="383"/>
      <c r="AUY166" s="383"/>
      <c r="AUZ166" s="383"/>
      <c r="AVA166" s="383"/>
      <c r="AVB166" s="383"/>
      <c r="AVC166" s="383"/>
      <c r="AVD166" s="383"/>
      <c r="AVE166" s="383"/>
      <c r="AVF166" s="383"/>
      <c r="AVG166" s="383"/>
      <c r="AVH166" s="383"/>
      <c r="AVI166" s="383"/>
      <c r="AVJ166" s="383"/>
      <c r="AVK166" s="383"/>
      <c r="AVL166" s="383"/>
      <c r="AVM166" s="383"/>
      <c r="AVN166" s="383"/>
      <c r="AVO166" s="383"/>
      <c r="AVP166" s="383"/>
      <c r="AVQ166" s="383"/>
      <c r="AVR166" s="383"/>
      <c r="AVS166" s="383"/>
      <c r="AVT166" s="383"/>
      <c r="AVU166" s="383"/>
      <c r="AVV166" s="383"/>
      <c r="AVW166" s="383"/>
      <c r="AVX166" s="383"/>
      <c r="AVY166" s="383"/>
      <c r="AVZ166" s="383"/>
      <c r="AWA166" s="383"/>
      <c r="AWB166" s="383"/>
      <c r="AWC166" s="383"/>
      <c r="AWD166" s="383"/>
      <c r="AWE166" s="383"/>
      <c r="AWF166" s="383"/>
      <c r="AWG166" s="383"/>
      <c r="AWH166" s="383"/>
      <c r="AWI166" s="383"/>
      <c r="AWJ166" s="383"/>
      <c r="AWK166" s="383"/>
      <c r="AWL166" s="383"/>
      <c r="AWM166" s="383"/>
      <c r="AWN166" s="383"/>
      <c r="AWO166" s="383"/>
      <c r="AWP166" s="383"/>
      <c r="AWQ166" s="383"/>
      <c r="AWR166" s="383"/>
      <c r="AWS166" s="383"/>
      <c r="AWT166" s="383"/>
      <c r="AWU166" s="383"/>
      <c r="AWV166" s="383"/>
      <c r="AWW166" s="383"/>
      <c r="AWX166" s="383"/>
      <c r="AWY166" s="383"/>
      <c r="AWZ166" s="383"/>
      <c r="AXA166" s="383"/>
      <c r="AXB166" s="383"/>
      <c r="AXC166" s="383"/>
      <c r="AXD166" s="383"/>
      <c r="AXE166" s="383"/>
      <c r="AXF166" s="383"/>
      <c r="AXG166" s="383"/>
      <c r="AXH166" s="383"/>
      <c r="AXI166" s="383"/>
      <c r="AXJ166" s="383"/>
      <c r="AXK166" s="383"/>
      <c r="AXL166" s="383"/>
      <c r="AXM166" s="383"/>
      <c r="AXN166" s="383"/>
      <c r="AXO166" s="383"/>
      <c r="AXP166" s="383"/>
      <c r="AXQ166" s="383"/>
      <c r="AXR166" s="383"/>
      <c r="AXS166" s="383"/>
      <c r="AXT166" s="383"/>
      <c r="AXU166" s="383"/>
      <c r="AXV166" s="383"/>
      <c r="AXW166" s="383"/>
      <c r="AXX166" s="383"/>
      <c r="AXY166" s="383"/>
      <c r="AXZ166" s="383"/>
      <c r="AYA166" s="383"/>
      <c r="AYB166" s="383"/>
      <c r="AYC166" s="383"/>
      <c r="AYD166" s="383"/>
      <c r="AYE166" s="383"/>
      <c r="AYF166" s="383"/>
      <c r="AYG166" s="383"/>
      <c r="AYH166" s="383"/>
      <c r="AYI166" s="383"/>
      <c r="AYJ166" s="383"/>
      <c r="AYK166" s="383"/>
      <c r="AYL166" s="383"/>
      <c r="AYM166" s="383"/>
      <c r="AYN166" s="383"/>
      <c r="AYO166" s="383"/>
      <c r="AYP166" s="383"/>
      <c r="AYQ166" s="383"/>
      <c r="AYR166" s="383"/>
      <c r="AYS166" s="383"/>
      <c r="AYT166" s="383"/>
      <c r="AYU166" s="383"/>
      <c r="AYV166" s="383"/>
      <c r="AYW166" s="383"/>
      <c r="AYX166" s="383"/>
      <c r="AYY166" s="383"/>
      <c r="AYZ166" s="383"/>
      <c r="AZA166" s="383"/>
      <c r="AZB166" s="383"/>
      <c r="AZC166" s="383"/>
      <c r="AZD166" s="383"/>
      <c r="AZE166" s="383"/>
      <c r="AZF166" s="383"/>
      <c r="AZG166" s="383"/>
      <c r="AZH166" s="383"/>
      <c r="AZI166" s="383"/>
      <c r="AZJ166" s="383"/>
      <c r="AZK166" s="383"/>
      <c r="AZL166" s="383"/>
      <c r="AZM166" s="383"/>
      <c r="AZN166" s="383"/>
      <c r="AZO166" s="383"/>
      <c r="AZP166" s="383"/>
      <c r="AZQ166" s="383"/>
      <c r="AZR166" s="383"/>
      <c r="AZS166" s="383"/>
      <c r="AZT166" s="383"/>
      <c r="AZU166" s="383"/>
      <c r="AZV166" s="383"/>
      <c r="AZW166" s="383"/>
      <c r="AZX166" s="383"/>
      <c r="AZY166" s="383"/>
      <c r="AZZ166" s="383"/>
      <c r="BAA166" s="383"/>
      <c r="BAB166" s="383"/>
      <c r="BAC166" s="383"/>
      <c r="BAD166" s="383"/>
      <c r="BAE166" s="383"/>
      <c r="BAF166" s="383"/>
      <c r="BAG166" s="383"/>
      <c r="BAH166" s="383"/>
      <c r="BAI166" s="383"/>
      <c r="BAJ166" s="383"/>
      <c r="BAK166" s="383"/>
      <c r="BAL166" s="383"/>
      <c r="BAM166" s="383"/>
      <c r="BAN166" s="383"/>
      <c r="BAO166" s="383"/>
      <c r="BAP166" s="383"/>
      <c r="BAQ166" s="383"/>
      <c r="BAR166" s="383"/>
      <c r="BAS166" s="383"/>
      <c r="BAT166" s="383"/>
      <c r="BAU166" s="383"/>
      <c r="BAV166" s="383"/>
      <c r="BAW166" s="383"/>
      <c r="BAX166" s="383"/>
      <c r="BAY166" s="383"/>
      <c r="BAZ166" s="383"/>
      <c r="BBA166" s="383"/>
      <c r="BBB166" s="383"/>
      <c r="BBC166" s="383"/>
      <c r="BBD166" s="383"/>
      <c r="BBE166" s="383"/>
      <c r="BBF166" s="383"/>
      <c r="BBG166" s="383"/>
      <c r="BBH166" s="383"/>
      <c r="BBI166" s="383"/>
      <c r="BBJ166" s="383"/>
      <c r="BBK166" s="383"/>
      <c r="BBL166" s="383"/>
      <c r="BBM166" s="383"/>
      <c r="BBN166" s="383"/>
      <c r="BBO166" s="383"/>
      <c r="BBP166" s="383"/>
      <c r="BBQ166" s="383"/>
      <c r="BBR166" s="383"/>
      <c r="BBS166" s="383"/>
      <c r="BBT166" s="383"/>
      <c r="BBU166" s="383"/>
      <c r="BBV166" s="383"/>
      <c r="BBW166" s="383"/>
      <c r="BBX166" s="383"/>
      <c r="BBY166" s="383"/>
      <c r="BBZ166" s="383"/>
      <c r="BCA166" s="383"/>
      <c r="BCB166" s="383"/>
      <c r="BCC166" s="383"/>
      <c r="BCD166" s="383"/>
      <c r="BCE166" s="383"/>
      <c r="BCF166" s="383"/>
      <c r="BCG166" s="383"/>
      <c r="BCH166" s="383"/>
      <c r="BCI166" s="383"/>
      <c r="BCJ166" s="383"/>
      <c r="BCK166" s="383"/>
      <c r="BCL166" s="383"/>
      <c r="BCM166" s="383"/>
      <c r="BCN166" s="383"/>
      <c r="BCO166" s="383"/>
      <c r="BCP166" s="383"/>
      <c r="BCQ166" s="383"/>
      <c r="BCR166" s="383"/>
      <c r="BCS166" s="383"/>
      <c r="BCT166" s="383"/>
      <c r="BCU166" s="383"/>
      <c r="BCV166" s="383"/>
      <c r="BCW166" s="383"/>
      <c r="BCX166" s="383"/>
      <c r="BCY166" s="383"/>
      <c r="BCZ166" s="383"/>
      <c r="BDA166" s="383"/>
      <c r="BDB166" s="383"/>
      <c r="BDC166" s="383"/>
      <c r="BDD166" s="383"/>
      <c r="BDE166" s="383"/>
      <c r="BDF166" s="383"/>
      <c r="BDG166" s="383"/>
      <c r="BDH166" s="383"/>
      <c r="BDI166" s="383"/>
      <c r="BDJ166" s="383"/>
      <c r="BDK166" s="383"/>
      <c r="BDL166" s="383"/>
      <c r="BDM166" s="383"/>
      <c r="BDN166" s="383"/>
      <c r="BDO166" s="383"/>
      <c r="BDP166" s="383"/>
      <c r="BDQ166" s="383"/>
      <c r="BDR166" s="383"/>
      <c r="BDS166" s="383"/>
      <c r="BDT166" s="383"/>
      <c r="BDU166" s="383"/>
      <c r="BDV166" s="383"/>
      <c r="BDW166" s="383"/>
      <c r="BDX166" s="383"/>
      <c r="BDY166" s="383"/>
      <c r="BDZ166" s="383"/>
      <c r="BEA166" s="383"/>
      <c r="BEB166" s="383"/>
      <c r="BEC166" s="383"/>
      <c r="BED166" s="383"/>
      <c r="BEE166" s="383"/>
      <c r="BEF166" s="383"/>
      <c r="BEG166" s="383"/>
      <c r="BEH166" s="383"/>
      <c r="BEI166" s="383"/>
      <c r="BEJ166" s="383"/>
      <c r="BEK166" s="383"/>
      <c r="BEL166" s="383"/>
      <c r="BEM166" s="383"/>
      <c r="BEN166" s="383"/>
      <c r="BEO166" s="383"/>
      <c r="BEP166" s="383"/>
      <c r="BEQ166" s="383"/>
      <c r="BER166" s="383"/>
      <c r="BES166" s="383"/>
      <c r="BET166" s="383"/>
      <c r="BEU166" s="383"/>
      <c r="BEV166" s="383"/>
      <c r="BEW166" s="383"/>
      <c r="BEX166" s="383"/>
      <c r="BEY166" s="383"/>
      <c r="BEZ166" s="383"/>
      <c r="BFA166" s="383"/>
      <c r="BFB166" s="383"/>
      <c r="BFC166" s="383"/>
      <c r="BFD166" s="383"/>
      <c r="BFE166" s="383"/>
      <c r="BFF166" s="383"/>
      <c r="BFG166" s="383"/>
      <c r="BFH166" s="383"/>
      <c r="BFI166" s="383"/>
      <c r="BFJ166" s="383"/>
      <c r="BFK166" s="383"/>
      <c r="BFL166" s="383"/>
      <c r="BFM166" s="383"/>
      <c r="BFN166" s="383"/>
      <c r="BFO166" s="383"/>
      <c r="BFP166" s="383"/>
      <c r="BFQ166" s="383"/>
      <c r="BFR166" s="383"/>
      <c r="BFS166" s="383"/>
      <c r="BFT166" s="383"/>
      <c r="BFU166" s="383"/>
      <c r="BFV166" s="383"/>
      <c r="BFW166" s="383"/>
      <c r="BFX166" s="383"/>
      <c r="BFY166" s="383"/>
      <c r="BFZ166" s="383"/>
      <c r="BGA166" s="383"/>
      <c r="BGB166" s="383"/>
      <c r="BGC166" s="383"/>
      <c r="BGD166" s="383"/>
      <c r="BGE166" s="383"/>
      <c r="BGF166" s="383"/>
      <c r="BGG166" s="383"/>
      <c r="BGH166" s="383"/>
      <c r="BGI166" s="383"/>
      <c r="BGJ166" s="383"/>
      <c r="BGK166" s="383"/>
      <c r="BGL166" s="383"/>
      <c r="BGM166" s="383"/>
      <c r="BGN166" s="383"/>
      <c r="BGO166" s="383"/>
      <c r="BGP166" s="383"/>
      <c r="BGQ166" s="383"/>
      <c r="BGR166" s="383"/>
      <c r="BGS166" s="383"/>
      <c r="BGT166" s="383"/>
      <c r="BGU166" s="383"/>
      <c r="BGV166" s="383"/>
      <c r="BGW166" s="383"/>
      <c r="BGX166" s="383"/>
      <c r="BGY166" s="383"/>
      <c r="BGZ166" s="383"/>
      <c r="BHA166" s="383"/>
      <c r="BHB166" s="383"/>
      <c r="BHC166" s="383"/>
      <c r="BHD166" s="383"/>
      <c r="BHE166" s="383"/>
      <c r="BHF166" s="383"/>
      <c r="BHG166" s="383"/>
      <c r="BHH166" s="383"/>
      <c r="BHI166" s="383"/>
      <c r="BHJ166" s="383"/>
      <c r="BHK166" s="383"/>
      <c r="BHL166" s="383"/>
      <c r="BHM166" s="383"/>
      <c r="BHN166" s="383"/>
      <c r="BHO166" s="383"/>
      <c r="BHP166" s="383"/>
      <c r="BHQ166" s="383"/>
      <c r="BHR166" s="383"/>
      <c r="BHS166" s="383"/>
      <c r="BHT166" s="383"/>
      <c r="BHU166" s="383"/>
      <c r="BHV166" s="383"/>
      <c r="BHW166" s="383"/>
      <c r="BHX166" s="383"/>
      <c r="BHY166" s="383"/>
      <c r="BHZ166" s="383"/>
      <c r="BIA166" s="383"/>
      <c r="BIB166" s="383"/>
      <c r="BIC166" s="383"/>
      <c r="BID166" s="383"/>
      <c r="BIE166" s="383"/>
      <c r="BIF166" s="383"/>
      <c r="BIG166" s="383"/>
      <c r="BIH166" s="383"/>
      <c r="BII166" s="383"/>
      <c r="BIJ166" s="383"/>
      <c r="BIK166" s="383"/>
      <c r="BIL166" s="383"/>
      <c r="BIM166" s="383"/>
      <c r="BIN166" s="383"/>
      <c r="BIO166" s="383"/>
      <c r="BIP166" s="383"/>
      <c r="BIQ166" s="383"/>
      <c r="BIR166" s="383"/>
      <c r="BIS166" s="383"/>
      <c r="BIT166" s="383"/>
      <c r="BIU166" s="383"/>
      <c r="BIV166" s="383"/>
      <c r="BIW166" s="383"/>
      <c r="BIX166" s="383"/>
      <c r="BIY166" s="383"/>
      <c r="BIZ166" s="383"/>
      <c r="BJA166" s="383"/>
      <c r="BJB166" s="383"/>
      <c r="BJC166" s="383"/>
      <c r="BJD166" s="383"/>
      <c r="BJE166" s="383"/>
      <c r="BJF166" s="383"/>
      <c r="BJG166" s="383"/>
      <c r="BJH166" s="383"/>
      <c r="BJI166" s="383"/>
      <c r="BJJ166" s="383"/>
      <c r="BJK166" s="383"/>
      <c r="BJL166" s="383"/>
      <c r="BJM166" s="383"/>
      <c r="BJN166" s="383"/>
      <c r="BJO166" s="383"/>
      <c r="BJP166" s="383"/>
      <c r="BJQ166" s="383"/>
      <c r="BJR166" s="383"/>
      <c r="BJS166" s="383"/>
      <c r="BJT166" s="383"/>
      <c r="BJU166" s="383"/>
      <c r="BJV166" s="383"/>
      <c r="BJW166" s="383"/>
      <c r="BJX166" s="383"/>
      <c r="BJY166" s="383"/>
      <c r="BJZ166" s="383"/>
      <c r="BKA166" s="383"/>
      <c r="BKB166" s="383"/>
      <c r="BKC166" s="383"/>
      <c r="BKD166" s="383"/>
      <c r="BKE166" s="383"/>
      <c r="BKF166" s="383"/>
      <c r="BKG166" s="383"/>
      <c r="BKH166" s="383"/>
      <c r="BKI166" s="383"/>
      <c r="BKJ166" s="383"/>
      <c r="BKK166" s="383"/>
      <c r="BKL166" s="383"/>
      <c r="BKM166" s="383"/>
      <c r="BKN166" s="383"/>
      <c r="BKO166" s="383"/>
      <c r="BKP166" s="383"/>
      <c r="BKQ166" s="383"/>
      <c r="BKR166" s="383"/>
      <c r="BKS166" s="383"/>
      <c r="BKT166" s="383"/>
      <c r="BKU166" s="383"/>
      <c r="BKV166" s="383"/>
      <c r="BKW166" s="383"/>
      <c r="BKX166" s="383"/>
      <c r="BKY166" s="383"/>
      <c r="BKZ166" s="383"/>
      <c r="BLA166" s="383"/>
      <c r="BLB166" s="383"/>
      <c r="BLC166" s="383"/>
      <c r="BLD166" s="383"/>
      <c r="BLE166" s="383"/>
      <c r="BLF166" s="383"/>
      <c r="BLG166" s="383"/>
      <c r="BLH166" s="383"/>
      <c r="BLI166" s="383"/>
      <c r="BLJ166" s="383"/>
      <c r="BLK166" s="383"/>
      <c r="BLL166" s="383"/>
      <c r="BLM166" s="383"/>
      <c r="BLN166" s="383"/>
      <c r="BLO166" s="383"/>
      <c r="BLP166" s="383"/>
      <c r="BLQ166" s="383"/>
      <c r="BLR166" s="383"/>
      <c r="BLS166" s="383"/>
      <c r="BLT166" s="383"/>
      <c r="BLU166" s="383"/>
      <c r="BLV166" s="383"/>
      <c r="BLW166" s="383"/>
      <c r="BLX166" s="383"/>
      <c r="BLY166" s="383"/>
      <c r="BLZ166" s="383"/>
      <c r="BMA166" s="383"/>
      <c r="BMB166" s="383"/>
      <c r="BMC166" s="383"/>
      <c r="BMD166" s="383"/>
      <c r="BME166" s="383"/>
      <c r="BMF166" s="383"/>
      <c r="BMG166" s="383"/>
      <c r="BMH166" s="383"/>
      <c r="BMI166" s="383"/>
      <c r="BMJ166" s="383"/>
      <c r="BMK166" s="383"/>
      <c r="BML166" s="383"/>
      <c r="BMM166" s="383"/>
      <c r="BMN166" s="383"/>
      <c r="BMO166" s="383"/>
      <c r="BMP166" s="383"/>
      <c r="BMQ166" s="383"/>
      <c r="BMR166" s="383"/>
      <c r="BMS166" s="383"/>
      <c r="BMT166" s="383"/>
      <c r="BMU166" s="383"/>
      <c r="BMV166" s="383"/>
      <c r="BMW166" s="383"/>
      <c r="BMX166" s="383"/>
      <c r="BMY166" s="383"/>
      <c r="BMZ166" s="383"/>
      <c r="BNA166" s="383"/>
      <c r="BNB166" s="383"/>
      <c r="BNC166" s="383"/>
      <c r="BND166" s="383"/>
      <c r="BNE166" s="383"/>
      <c r="BNF166" s="383"/>
      <c r="BNG166" s="383"/>
      <c r="BNH166" s="383"/>
      <c r="BNI166" s="383"/>
      <c r="BNJ166" s="383"/>
      <c r="BNK166" s="383"/>
      <c r="BNL166" s="383"/>
      <c r="BNM166" s="383"/>
      <c r="BNN166" s="383"/>
      <c r="BNO166" s="383"/>
      <c r="BNP166" s="383"/>
      <c r="BNQ166" s="383"/>
      <c r="BNR166" s="383"/>
      <c r="BNS166" s="383"/>
      <c r="BNT166" s="383"/>
      <c r="BNU166" s="383"/>
      <c r="BNV166" s="383"/>
      <c r="BNW166" s="383"/>
      <c r="BNX166" s="383"/>
      <c r="BNY166" s="383"/>
      <c r="BNZ166" s="383"/>
      <c r="BOA166" s="383"/>
      <c r="BOB166" s="383"/>
      <c r="BOC166" s="383"/>
      <c r="BOD166" s="383"/>
      <c r="BOE166" s="383"/>
      <c r="BOF166" s="383"/>
      <c r="BOG166" s="383"/>
      <c r="BOH166" s="383"/>
      <c r="BOI166" s="383"/>
      <c r="BOJ166" s="383"/>
      <c r="BOK166" s="383"/>
      <c r="BOL166" s="383"/>
      <c r="BOM166" s="383"/>
      <c r="BON166" s="383"/>
      <c r="BOO166" s="383"/>
      <c r="BOP166" s="383"/>
      <c r="BOQ166" s="383"/>
      <c r="BOR166" s="383"/>
      <c r="BOS166" s="383"/>
      <c r="BOT166" s="383"/>
      <c r="BOU166" s="383"/>
      <c r="BOV166" s="383"/>
      <c r="BOW166" s="383"/>
      <c r="BOX166" s="383"/>
      <c r="BOY166" s="383"/>
      <c r="BOZ166" s="383"/>
      <c r="BPA166" s="383"/>
      <c r="BPB166" s="383"/>
      <c r="BPC166" s="383"/>
      <c r="BPD166" s="383"/>
      <c r="BPE166" s="383"/>
      <c r="BPF166" s="383"/>
      <c r="BPG166" s="383"/>
      <c r="BPH166" s="383"/>
      <c r="BPI166" s="383"/>
      <c r="BPJ166" s="383"/>
      <c r="BPK166" s="383"/>
      <c r="BPL166" s="383"/>
      <c r="BPM166" s="383"/>
      <c r="BPN166" s="383"/>
      <c r="BPO166" s="383"/>
      <c r="BPP166" s="383"/>
      <c r="BPQ166" s="383"/>
      <c r="BPR166" s="383"/>
      <c r="BPS166" s="383"/>
      <c r="BPT166" s="383"/>
      <c r="BPU166" s="383"/>
      <c r="BPV166" s="383"/>
      <c r="BPW166" s="383"/>
      <c r="BPX166" s="383"/>
      <c r="BPY166" s="383"/>
      <c r="BPZ166" s="383"/>
      <c r="BQA166" s="383"/>
      <c r="BQB166" s="383"/>
      <c r="BQC166" s="383"/>
      <c r="BQD166" s="383"/>
      <c r="BQE166" s="383"/>
      <c r="BQF166" s="383"/>
      <c r="BQG166" s="383"/>
      <c r="BQH166" s="383"/>
      <c r="BQI166" s="383"/>
      <c r="BQJ166" s="383"/>
      <c r="BQK166" s="383"/>
      <c r="BQL166" s="383"/>
      <c r="BQM166" s="383"/>
      <c r="BQN166" s="383"/>
      <c r="BQO166" s="383"/>
      <c r="BQP166" s="383"/>
      <c r="BQQ166" s="383"/>
      <c r="BQR166" s="383"/>
      <c r="BQS166" s="383"/>
      <c r="BQT166" s="383"/>
      <c r="BQU166" s="383"/>
      <c r="BQV166" s="383"/>
      <c r="BQW166" s="383"/>
      <c r="BQX166" s="383"/>
      <c r="BQY166" s="383"/>
      <c r="BQZ166" s="383"/>
      <c r="BRA166" s="383"/>
      <c r="BRB166" s="383"/>
      <c r="BRC166" s="383"/>
      <c r="BRD166" s="383"/>
      <c r="BRE166" s="383"/>
      <c r="BRF166" s="383"/>
      <c r="BRG166" s="383"/>
      <c r="BRH166" s="383"/>
      <c r="BRI166" s="383"/>
      <c r="BRJ166" s="383"/>
      <c r="BRK166" s="383"/>
      <c r="BRL166" s="383"/>
      <c r="BRM166" s="383"/>
      <c r="BRN166" s="383"/>
      <c r="BRO166" s="383"/>
      <c r="BRP166" s="383"/>
      <c r="BRQ166" s="383"/>
      <c r="BRR166" s="383"/>
      <c r="BRS166" s="383"/>
      <c r="BRT166" s="383"/>
      <c r="BRU166" s="383"/>
      <c r="BRV166" s="383"/>
      <c r="BRW166" s="383"/>
      <c r="BRX166" s="383"/>
      <c r="BRY166" s="383"/>
      <c r="BRZ166" s="383"/>
      <c r="BSA166" s="383"/>
      <c r="BSB166" s="383"/>
      <c r="BSC166" s="383"/>
      <c r="BSD166" s="383"/>
      <c r="BSE166" s="383"/>
      <c r="BSF166" s="383"/>
      <c r="BSG166" s="383"/>
      <c r="BSH166" s="383"/>
      <c r="BSI166" s="383"/>
      <c r="BSJ166" s="383"/>
      <c r="BSK166" s="383"/>
      <c r="BSL166" s="383"/>
      <c r="BSM166" s="383"/>
      <c r="BSN166" s="383"/>
      <c r="BSO166" s="383"/>
      <c r="BSP166" s="383"/>
      <c r="BSQ166" s="383"/>
      <c r="BSR166" s="383"/>
      <c r="BSS166" s="383"/>
      <c r="BST166" s="383"/>
      <c r="BSU166" s="383"/>
      <c r="BSV166" s="383"/>
      <c r="BSW166" s="383"/>
      <c r="BSX166" s="383"/>
      <c r="BSY166" s="383"/>
      <c r="BSZ166" s="383"/>
      <c r="BTA166" s="383"/>
      <c r="BTB166" s="383"/>
      <c r="BTC166" s="383"/>
      <c r="BTD166" s="383"/>
      <c r="BTE166" s="383"/>
      <c r="BTF166" s="383"/>
      <c r="BTG166" s="383"/>
      <c r="BTH166" s="383"/>
      <c r="BTI166" s="383"/>
      <c r="BTJ166" s="383"/>
      <c r="BTK166" s="383"/>
      <c r="BTL166" s="383"/>
      <c r="BTM166" s="383"/>
      <c r="BTN166" s="383"/>
      <c r="BTO166" s="383"/>
      <c r="BTP166" s="383"/>
      <c r="BTQ166" s="383"/>
      <c r="BTR166" s="383"/>
      <c r="BTS166" s="383"/>
      <c r="BTT166" s="383"/>
      <c r="BTU166" s="383"/>
      <c r="BTV166" s="383"/>
      <c r="BTW166" s="383"/>
      <c r="BTX166" s="383"/>
      <c r="BTY166" s="383"/>
      <c r="BTZ166" s="383"/>
      <c r="BUA166" s="383"/>
      <c r="BUB166" s="383"/>
      <c r="BUC166" s="383"/>
      <c r="BUD166" s="383"/>
      <c r="BUE166" s="383"/>
      <c r="BUF166" s="383"/>
      <c r="BUG166" s="383"/>
      <c r="BUH166" s="383"/>
      <c r="BUI166" s="383"/>
      <c r="BUJ166" s="383"/>
      <c r="BUK166" s="383"/>
      <c r="BUL166" s="383"/>
      <c r="BUM166" s="383"/>
      <c r="BUN166" s="383"/>
      <c r="BUO166" s="383"/>
      <c r="BUP166" s="383"/>
      <c r="BUQ166" s="383"/>
      <c r="BUR166" s="383"/>
      <c r="BUS166" s="383"/>
      <c r="BUT166" s="383"/>
      <c r="BUU166" s="383"/>
      <c r="BUV166" s="383"/>
      <c r="BUW166" s="383"/>
      <c r="BUX166" s="383"/>
      <c r="BUY166" s="383"/>
      <c r="BUZ166" s="383"/>
      <c r="BVA166" s="383"/>
      <c r="BVB166" s="383"/>
      <c r="BVC166" s="383"/>
      <c r="BVD166" s="383"/>
      <c r="BVE166" s="383"/>
      <c r="BVF166" s="383"/>
      <c r="BVG166" s="383"/>
      <c r="BVH166" s="383"/>
      <c r="BVI166" s="383"/>
      <c r="BVJ166" s="383"/>
      <c r="BVK166" s="383"/>
      <c r="BVL166" s="383"/>
      <c r="BVM166" s="383"/>
      <c r="BVN166" s="383"/>
      <c r="BVO166" s="383"/>
      <c r="BVP166" s="383"/>
      <c r="BVQ166" s="383"/>
      <c r="BVR166" s="383"/>
      <c r="BVS166" s="383"/>
      <c r="BVT166" s="383"/>
      <c r="BVU166" s="383"/>
      <c r="BVV166" s="383"/>
      <c r="BVW166" s="383"/>
      <c r="BVX166" s="383"/>
      <c r="BVY166" s="383"/>
      <c r="BVZ166" s="383"/>
      <c r="BWA166" s="383"/>
      <c r="BWB166" s="383"/>
      <c r="BWC166" s="383"/>
      <c r="BWD166" s="383"/>
      <c r="BWE166" s="383"/>
      <c r="BWF166" s="383"/>
      <c r="BWG166" s="383"/>
      <c r="BWH166" s="383"/>
      <c r="BWI166" s="383"/>
      <c r="BWJ166" s="383"/>
      <c r="BWK166" s="383"/>
      <c r="BWL166" s="383"/>
      <c r="BWM166" s="383"/>
      <c r="BWN166" s="383"/>
      <c r="BWO166" s="383"/>
      <c r="BWP166" s="383"/>
      <c r="BWQ166" s="383"/>
      <c r="BWR166" s="383"/>
      <c r="BWS166" s="383"/>
      <c r="BWT166" s="383"/>
      <c r="BWU166" s="383"/>
      <c r="BWV166" s="383"/>
      <c r="BWW166" s="383"/>
      <c r="BWX166" s="383"/>
      <c r="BWY166" s="383"/>
      <c r="BWZ166" s="383"/>
      <c r="BXA166" s="383"/>
      <c r="BXB166" s="383"/>
      <c r="BXC166" s="383"/>
      <c r="BXD166" s="383"/>
      <c r="BXE166" s="383"/>
      <c r="BXF166" s="383"/>
      <c r="BXG166" s="383"/>
      <c r="BXH166" s="383"/>
      <c r="BXI166" s="383"/>
      <c r="BXJ166" s="383"/>
      <c r="BXK166" s="383"/>
      <c r="BXL166" s="383"/>
      <c r="BXM166" s="383"/>
      <c r="BXN166" s="383"/>
      <c r="BXO166" s="383"/>
      <c r="BXP166" s="383"/>
      <c r="BXQ166" s="383"/>
      <c r="BXR166" s="383"/>
      <c r="BXS166" s="383"/>
      <c r="BXT166" s="383"/>
      <c r="BXU166" s="383"/>
      <c r="BXV166" s="383"/>
      <c r="BXW166" s="383"/>
      <c r="BXX166" s="383"/>
      <c r="BXY166" s="383"/>
      <c r="BXZ166" s="383"/>
      <c r="BYA166" s="383"/>
      <c r="BYB166" s="383"/>
      <c r="BYC166" s="383"/>
      <c r="BYD166" s="383"/>
      <c r="BYE166" s="383"/>
      <c r="BYF166" s="383"/>
      <c r="BYG166" s="383"/>
      <c r="BYH166" s="383"/>
      <c r="BYI166" s="383"/>
      <c r="BYJ166" s="383"/>
      <c r="BYK166" s="383"/>
      <c r="BYL166" s="383"/>
      <c r="BYM166" s="383"/>
      <c r="BYN166" s="383"/>
      <c r="BYO166" s="383"/>
      <c r="BYP166" s="383"/>
      <c r="BYQ166" s="383"/>
      <c r="BYR166" s="383"/>
      <c r="BYS166" s="383"/>
      <c r="BYT166" s="383"/>
      <c r="BYU166" s="383"/>
      <c r="BYV166" s="383"/>
      <c r="BYW166" s="383"/>
      <c r="BYX166" s="383"/>
      <c r="BYY166" s="383"/>
      <c r="BYZ166" s="383"/>
      <c r="BZA166" s="383"/>
      <c r="BZB166" s="383"/>
      <c r="BZC166" s="383"/>
      <c r="BZD166" s="383"/>
      <c r="BZE166" s="383"/>
      <c r="BZF166" s="383"/>
      <c r="BZG166" s="383"/>
      <c r="BZH166" s="383"/>
      <c r="BZI166" s="383"/>
      <c r="BZJ166" s="383"/>
      <c r="BZK166" s="383"/>
      <c r="BZL166" s="383"/>
      <c r="BZM166" s="383"/>
      <c r="BZN166" s="383"/>
      <c r="BZO166" s="383"/>
      <c r="BZP166" s="383"/>
      <c r="BZQ166" s="383"/>
      <c r="BZR166" s="383"/>
      <c r="BZS166" s="383"/>
      <c r="BZT166" s="383"/>
      <c r="BZU166" s="383"/>
      <c r="BZV166" s="383"/>
      <c r="BZW166" s="383"/>
      <c r="BZX166" s="383"/>
      <c r="BZY166" s="383"/>
      <c r="BZZ166" s="383"/>
      <c r="CAA166" s="383"/>
      <c r="CAB166" s="383"/>
      <c r="CAC166" s="383"/>
      <c r="CAD166" s="383"/>
      <c r="CAE166" s="383"/>
      <c r="CAF166" s="383"/>
      <c r="CAG166" s="383"/>
      <c r="CAH166" s="383"/>
      <c r="CAI166" s="383"/>
      <c r="CAJ166" s="383"/>
      <c r="CAK166" s="383"/>
      <c r="CAL166" s="383"/>
      <c r="CAM166" s="383"/>
      <c r="CAN166" s="383"/>
      <c r="CAO166" s="383"/>
      <c r="CAP166" s="383"/>
      <c r="CAQ166" s="383"/>
      <c r="CAR166" s="383"/>
      <c r="CAS166" s="383"/>
      <c r="CAT166" s="383"/>
      <c r="CAU166" s="383"/>
      <c r="CAV166" s="383"/>
      <c r="CAW166" s="383"/>
      <c r="CAX166" s="383"/>
      <c r="CAY166" s="383"/>
      <c r="CAZ166" s="383"/>
      <c r="CBA166" s="383"/>
      <c r="CBB166" s="383"/>
      <c r="CBC166" s="383"/>
      <c r="CBD166" s="383"/>
      <c r="CBE166" s="383"/>
      <c r="CBF166" s="383"/>
      <c r="CBG166" s="383"/>
      <c r="CBH166" s="383"/>
      <c r="CBI166" s="383"/>
      <c r="CBJ166" s="383"/>
      <c r="CBK166" s="383"/>
      <c r="CBL166" s="383"/>
      <c r="CBM166" s="383"/>
      <c r="CBN166" s="383"/>
      <c r="CBO166" s="383"/>
      <c r="CBP166" s="383"/>
      <c r="CBQ166" s="383"/>
      <c r="CBR166" s="383"/>
      <c r="CBS166" s="383"/>
      <c r="CBT166" s="383"/>
      <c r="CBU166" s="383"/>
      <c r="CBV166" s="383"/>
      <c r="CBW166" s="383"/>
      <c r="CBX166" s="383"/>
      <c r="CBY166" s="383"/>
      <c r="CBZ166" s="383"/>
      <c r="CCA166" s="383"/>
      <c r="CCB166" s="383"/>
      <c r="CCC166" s="383"/>
      <c r="CCD166" s="383"/>
      <c r="CCE166" s="383"/>
      <c r="CCF166" s="383"/>
      <c r="CCG166" s="383"/>
      <c r="CCH166" s="383"/>
      <c r="CCI166" s="383"/>
      <c r="CCJ166" s="383"/>
      <c r="CCK166" s="383"/>
      <c r="CCL166" s="383"/>
      <c r="CCM166" s="383"/>
      <c r="CCN166" s="383"/>
      <c r="CCO166" s="383"/>
      <c r="CCP166" s="383"/>
      <c r="CCQ166" s="383"/>
      <c r="CCR166" s="383"/>
      <c r="CCS166" s="383"/>
      <c r="CCT166" s="383"/>
      <c r="CCU166" s="383"/>
      <c r="CCV166" s="383"/>
      <c r="CCW166" s="383"/>
      <c r="CCX166" s="383"/>
      <c r="CCY166" s="383"/>
      <c r="CCZ166" s="383"/>
      <c r="CDA166" s="383"/>
      <c r="CDB166" s="383"/>
      <c r="CDC166" s="383"/>
      <c r="CDD166" s="383"/>
      <c r="CDE166" s="383"/>
      <c r="CDF166" s="383"/>
      <c r="CDG166" s="383"/>
      <c r="CDH166" s="383"/>
      <c r="CDI166" s="383"/>
      <c r="CDJ166" s="383"/>
      <c r="CDK166" s="383"/>
      <c r="CDL166" s="383"/>
      <c r="CDM166" s="383"/>
      <c r="CDN166" s="383"/>
      <c r="CDO166" s="383"/>
      <c r="CDP166" s="383"/>
      <c r="CDQ166" s="383"/>
      <c r="CDR166" s="383"/>
      <c r="CDS166" s="383"/>
      <c r="CDT166" s="383"/>
      <c r="CDU166" s="383"/>
      <c r="CDV166" s="383"/>
      <c r="CDW166" s="383"/>
      <c r="CDX166" s="383"/>
      <c r="CDY166" s="383"/>
      <c r="CDZ166" s="383"/>
      <c r="CEA166" s="383"/>
      <c r="CEB166" s="383"/>
      <c r="CEC166" s="383"/>
      <c r="CED166" s="383"/>
      <c r="CEE166" s="383"/>
      <c r="CEF166" s="383"/>
      <c r="CEG166" s="383"/>
      <c r="CEH166" s="383"/>
      <c r="CEI166" s="383"/>
      <c r="CEJ166" s="383"/>
      <c r="CEK166" s="383"/>
      <c r="CEL166" s="383"/>
      <c r="CEM166" s="383"/>
      <c r="CEN166" s="383"/>
      <c r="CEO166" s="383"/>
      <c r="CEP166" s="383"/>
      <c r="CEQ166" s="383"/>
      <c r="CER166" s="383"/>
      <c r="CES166" s="383"/>
      <c r="CET166" s="383"/>
      <c r="CEU166" s="383"/>
      <c r="CEV166" s="383"/>
      <c r="CEW166" s="383"/>
      <c r="CEX166" s="383"/>
      <c r="CEY166" s="383"/>
      <c r="CEZ166" s="383"/>
      <c r="CFA166" s="383"/>
      <c r="CFB166" s="383"/>
      <c r="CFC166" s="383"/>
      <c r="CFD166" s="383"/>
      <c r="CFE166" s="383"/>
      <c r="CFF166" s="383"/>
      <c r="CFG166" s="383"/>
      <c r="CFH166" s="383"/>
      <c r="CFI166" s="383"/>
      <c r="CFJ166" s="383"/>
      <c r="CFK166" s="383"/>
      <c r="CFL166" s="383"/>
      <c r="CFM166" s="383"/>
      <c r="CFN166" s="383"/>
      <c r="CFO166" s="383"/>
      <c r="CFP166" s="383"/>
      <c r="CFQ166" s="383"/>
      <c r="CFR166" s="383"/>
      <c r="CFS166" s="383"/>
      <c r="CFT166" s="383"/>
      <c r="CFU166" s="383"/>
      <c r="CFV166" s="383"/>
      <c r="CFW166" s="383"/>
      <c r="CFX166" s="383"/>
      <c r="CFY166" s="383"/>
      <c r="CFZ166" s="383"/>
      <c r="CGA166" s="383"/>
      <c r="CGB166" s="383"/>
      <c r="CGC166" s="383"/>
      <c r="CGD166" s="383"/>
      <c r="CGE166" s="383"/>
      <c r="CGF166" s="383"/>
      <c r="CGG166" s="383"/>
      <c r="CGH166" s="383"/>
      <c r="CGI166" s="383"/>
      <c r="CGJ166" s="383"/>
      <c r="CGK166" s="383"/>
      <c r="CGL166" s="383"/>
      <c r="CGM166" s="383"/>
      <c r="CGN166" s="383"/>
      <c r="CGO166" s="383"/>
      <c r="CGP166" s="383"/>
      <c r="CGQ166" s="383"/>
      <c r="CGR166" s="383"/>
      <c r="CGS166" s="383"/>
      <c r="CGT166" s="383"/>
      <c r="CGU166" s="383"/>
      <c r="CGV166" s="383"/>
      <c r="CGW166" s="383"/>
      <c r="CGX166" s="383"/>
      <c r="CGY166" s="383"/>
      <c r="CGZ166" s="383"/>
      <c r="CHA166" s="383"/>
      <c r="CHB166" s="383"/>
      <c r="CHC166" s="383"/>
      <c r="CHD166" s="383"/>
      <c r="CHE166" s="383"/>
      <c r="CHF166" s="383"/>
      <c r="CHG166" s="383"/>
      <c r="CHH166" s="383"/>
      <c r="CHI166" s="383"/>
      <c r="CHJ166" s="383"/>
      <c r="CHK166" s="383"/>
      <c r="CHL166" s="383"/>
      <c r="CHM166" s="383"/>
      <c r="CHN166" s="383"/>
      <c r="CHO166" s="383"/>
      <c r="CHP166" s="383"/>
      <c r="CHQ166" s="383"/>
      <c r="CHR166" s="383"/>
      <c r="CHS166" s="383"/>
      <c r="CHT166" s="383"/>
      <c r="CHU166" s="383"/>
      <c r="CHV166" s="383"/>
      <c r="CHW166" s="383"/>
      <c r="CHX166" s="383"/>
      <c r="CHY166" s="383"/>
      <c r="CHZ166" s="383"/>
      <c r="CIA166" s="383"/>
      <c r="CIB166" s="383"/>
      <c r="CIC166" s="383"/>
      <c r="CID166" s="383"/>
      <c r="CIE166" s="383"/>
      <c r="CIF166" s="383"/>
      <c r="CIG166" s="383"/>
      <c r="CIH166" s="383"/>
      <c r="CII166" s="383"/>
      <c r="CIJ166" s="383"/>
      <c r="CIK166" s="383"/>
      <c r="CIL166" s="383"/>
      <c r="CIM166" s="383"/>
      <c r="CIN166" s="383"/>
      <c r="CIO166" s="383"/>
      <c r="CIP166" s="383"/>
      <c r="CIQ166" s="383"/>
      <c r="CIR166" s="383"/>
      <c r="CIS166" s="383"/>
      <c r="CIT166" s="383"/>
      <c r="CIU166" s="383"/>
      <c r="CIV166" s="383"/>
      <c r="CIW166" s="383"/>
      <c r="CIX166" s="383"/>
      <c r="CIY166" s="383"/>
      <c r="CIZ166" s="383"/>
      <c r="CJA166" s="383"/>
      <c r="CJB166" s="383"/>
      <c r="CJC166" s="383"/>
      <c r="CJD166" s="383"/>
      <c r="CJE166" s="383"/>
      <c r="CJF166" s="383"/>
      <c r="CJG166" s="383"/>
      <c r="CJH166" s="383"/>
      <c r="CJI166" s="383"/>
      <c r="CJJ166" s="383"/>
      <c r="CJK166" s="383"/>
      <c r="CJL166" s="383"/>
      <c r="CJM166" s="383"/>
      <c r="CJN166" s="383"/>
      <c r="CJO166" s="383"/>
      <c r="CJP166" s="383"/>
      <c r="CJQ166" s="383"/>
      <c r="CJR166" s="383"/>
      <c r="CJS166" s="383"/>
      <c r="CJT166" s="383"/>
      <c r="CJU166" s="383"/>
      <c r="CJV166" s="383"/>
      <c r="CJW166" s="383"/>
      <c r="CJX166" s="383"/>
      <c r="CJY166" s="383"/>
      <c r="CJZ166" s="383"/>
      <c r="CKA166" s="383"/>
      <c r="CKB166" s="383"/>
      <c r="CKC166" s="383"/>
      <c r="CKD166" s="383"/>
      <c r="CKE166" s="383"/>
      <c r="CKF166" s="383"/>
      <c r="CKG166" s="383"/>
      <c r="CKH166" s="383"/>
      <c r="CKI166" s="383"/>
      <c r="CKJ166" s="383"/>
      <c r="CKK166" s="383"/>
      <c r="CKL166" s="383"/>
      <c r="CKM166" s="383"/>
      <c r="CKN166" s="383"/>
      <c r="CKO166" s="383"/>
      <c r="CKP166" s="383"/>
      <c r="CKQ166" s="383"/>
      <c r="CKR166" s="383"/>
      <c r="CKS166" s="383"/>
      <c r="CKT166" s="383"/>
      <c r="CKU166" s="383"/>
      <c r="CKV166" s="383"/>
      <c r="CKW166" s="383"/>
      <c r="CKX166" s="383"/>
      <c r="CKY166" s="383"/>
      <c r="CKZ166" s="383"/>
      <c r="CLA166" s="383"/>
      <c r="CLB166" s="383"/>
      <c r="CLC166" s="383"/>
      <c r="CLD166" s="383"/>
      <c r="CLE166" s="383"/>
      <c r="CLF166" s="383"/>
      <c r="CLG166" s="383"/>
      <c r="CLH166" s="383"/>
      <c r="CLI166" s="383"/>
      <c r="CLJ166" s="383"/>
      <c r="CLK166" s="383"/>
      <c r="CLL166" s="383"/>
      <c r="CLM166" s="383"/>
      <c r="CLN166" s="383"/>
      <c r="CLO166" s="383"/>
      <c r="CLP166" s="383"/>
      <c r="CLQ166" s="383"/>
      <c r="CLR166" s="383"/>
      <c r="CLS166" s="383"/>
      <c r="CLT166" s="383"/>
      <c r="CLU166" s="383"/>
      <c r="CLV166" s="383"/>
      <c r="CLW166" s="383"/>
      <c r="CLX166" s="383"/>
      <c r="CLY166" s="383"/>
      <c r="CLZ166" s="383"/>
      <c r="CMA166" s="383"/>
      <c r="CMB166" s="383"/>
      <c r="CMC166" s="383"/>
      <c r="CMD166" s="383"/>
      <c r="CME166" s="383"/>
      <c r="CMF166" s="383"/>
      <c r="CMG166" s="383"/>
      <c r="CMH166" s="383"/>
      <c r="CMI166" s="383"/>
      <c r="CMJ166" s="383"/>
      <c r="CMK166" s="383"/>
      <c r="CML166" s="383"/>
      <c r="CMM166" s="383"/>
      <c r="CMN166" s="383"/>
      <c r="CMO166" s="383"/>
      <c r="CMP166" s="383"/>
      <c r="CMQ166" s="383"/>
      <c r="CMR166" s="383"/>
      <c r="CMS166" s="383"/>
      <c r="CMT166" s="383"/>
      <c r="CMU166" s="383"/>
      <c r="CMV166" s="383"/>
      <c r="CMW166" s="383"/>
      <c r="CMX166" s="383"/>
      <c r="CMY166" s="383"/>
      <c r="CMZ166" s="383"/>
      <c r="CNA166" s="383"/>
      <c r="CNB166" s="383"/>
      <c r="CNC166" s="383"/>
      <c r="CND166" s="383"/>
      <c r="CNE166" s="383"/>
      <c r="CNF166" s="383"/>
      <c r="CNG166" s="383"/>
      <c r="CNH166" s="383"/>
      <c r="CNI166" s="383"/>
      <c r="CNJ166" s="383"/>
      <c r="CNK166" s="383"/>
      <c r="CNL166" s="383"/>
      <c r="CNM166" s="383"/>
      <c r="CNN166" s="383"/>
      <c r="CNO166" s="383"/>
      <c r="CNP166" s="383"/>
      <c r="CNQ166" s="383"/>
      <c r="CNR166" s="383"/>
      <c r="CNS166" s="383"/>
      <c r="CNT166" s="383"/>
      <c r="CNU166" s="383"/>
      <c r="CNV166" s="383"/>
      <c r="CNW166" s="383"/>
      <c r="CNX166" s="383"/>
      <c r="CNY166" s="383"/>
      <c r="CNZ166" s="383"/>
      <c r="COA166" s="383"/>
      <c r="COB166" s="383"/>
      <c r="COC166" s="383"/>
      <c r="COD166" s="383"/>
      <c r="COE166" s="383"/>
      <c r="COF166" s="383"/>
      <c r="COG166" s="383"/>
      <c r="COH166" s="383"/>
      <c r="COI166" s="383"/>
      <c r="COJ166" s="383"/>
      <c r="COK166" s="383"/>
      <c r="COL166" s="383"/>
      <c r="COM166" s="383"/>
      <c r="CON166" s="383"/>
      <c r="COO166" s="383"/>
      <c r="COP166" s="383"/>
      <c r="COQ166" s="383"/>
      <c r="COR166" s="383"/>
      <c r="COS166" s="383"/>
      <c r="COT166" s="383"/>
      <c r="COU166" s="383"/>
      <c r="COV166" s="383"/>
      <c r="COW166" s="383"/>
      <c r="COX166" s="383"/>
      <c r="COY166" s="383"/>
      <c r="COZ166" s="383"/>
      <c r="CPA166" s="383"/>
      <c r="CPB166" s="383"/>
      <c r="CPC166" s="383"/>
      <c r="CPD166" s="383"/>
      <c r="CPE166" s="383"/>
      <c r="CPF166" s="383"/>
      <c r="CPG166" s="383"/>
      <c r="CPH166" s="383"/>
      <c r="CPI166" s="383"/>
      <c r="CPJ166" s="383"/>
      <c r="CPK166" s="383"/>
      <c r="CPL166" s="383"/>
      <c r="CPM166" s="383"/>
      <c r="CPN166" s="383"/>
      <c r="CPO166" s="383"/>
      <c r="CPP166" s="383"/>
      <c r="CPQ166" s="383"/>
      <c r="CPR166" s="383"/>
      <c r="CPS166" s="383"/>
      <c r="CPT166" s="383"/>
      <c r="CPU166" s="383"/>
      <c r="CPV166" s="383"/>
      <c r="CPW166" s="383"/>
      <c r="CPX166" s="383"/>
      <c r="CPY166" s="383"/>
      <c r="CPZ166" s="383"/>
      <c r="CQA166" s="383"/>
      <c r="CQB166" s="383"/>
      <c r="CQC166" s="383"/>
      <c r="CQD166" s="383"/>
      <c r="CQE166" s="383"/>
      <c r="CQF166" s="383"/>
      <c r="CQG166" s="383"/>
      <c r="CQH166" s="383"/>
      <c r="CQI166" s="383"/>
      <c r="CQJ166" s="383"/>
      <c r="CQK166" s="383"/>
      <c r="CQL166" s="383"/>
      <c r="CQM166" s="383"/>
      <c r="CQN166" s="383"/>
      <c r="CQO166" s="383"/>
      <c r="CQP166" s="383"/>
      <c r="CQQ166" s="383"/>
      <c r="CQR166" s="383"/>
      <c r="CQS166" s="383"/>
      <c r="CQT166" s="383"/>
      <c r="CQU166" s="383"/>
      <c r="CQV166" s="383"/>
      <c r="CQW166" s="383"/>
      <c r="CQX166" s="383"/>
      <c r="CQY166" s="383"/>
      <c r="CQZ166" s="383"/>
      <c r="CRA166" s="383"/>
      <c r="CRB166" s="383"/>
      <c r="CRC166" s="383"/>
      <c r="CRD166" s="383"/>
      <c r="CRE166" s="383"/>
      <c r="CRF166" s="383"/>
      <c r="CRG166" s="383"/>
      <c r="CRH166" s="383"/>
      <c r="CRI166" s="383"/>
      <c r="CRJ166" s="383"/>
      <c r="CRK166" s="383"/>
      <c r="CRL166" s="383"/>
      <c r="CRM166" s="383"/>
      <c r="CRN166" s="383"/>
      <c r="CRO166" s="383"/>
      <c r="CRP166" s="383"/>
      <c r="CRQ166" s="383"/>
      <c r="CRR166" s="383"/>
      <c r="CRS166" s="383"/>
      <c r="CRT166" s="383"/>
      <c r="CRU166" s="383"/>
      <c r="CRV166" s="383"/>
      <c r="CRW166" s="383"/>
      <c r="CRX166" s="383"/>
      <c r="CRY166" s="383"/>
      <c r="CRZ166" s="383"/>
      <c r="CSA166" s="383"/>
      <c r="CSB166" s="383"/>
      <c r="CSC166" s="383"/>
      <c r="CSD166" s="383"/>
      <c r="CSE166" s="383"/>
      <c r="CSF166" s="383"/>
      <c r="CSG166" s="383"/>
      <c r="CSH166" s="383"/>
      <c r="CSI166" s="383"/>
      <c r="CSJ166" s="383"/>
      <c r="CSK166" s="383"/>
      <c r="CSL166" s="383"/>
      <c r="CSM166" s="383"/>
      <c r="CSN166" s="383"/>
      <c r="CSO166" s="383"/>
      <c r="CSP166" s="383"/>
      <c r="CSQ166" s="383"/>
      <c r="CSR166" s="383"/>
      <c r="CSS166" s="383"/>
      <c r="CST166" s="383"/>
      <c r="CSU166" s="383"/>
      <c r="CSV166" s="383"/>
      <c r="CSW166" s="383"/>
      <c r="CSX166" s="383"/>
      <c r="CSY166" s="383"/>
      <c r="CSZ166" s="383"/>
      <c r="CTA166" s="383"/>
      <c r="CTB166" s="383"/>
      <c r="CTC166" s="383"/>
      <c r="CTD166" s="383"/>
      <c r="CTE166" s="383"/>
      <c r="CTF166" s="383"/>
      <c r="CTG166" s="383"/>
      <c r="CTH166" s="383"/>
      <c r="CTI166" s="383"/>
      <c r="CTJ166" s="383"/>
      <c r="CTK166" s="383"/>
      <c r="CTL166" s="383"/>
      <c r="CTM166" s="383"/>
      <c r="CTN166" s="383"/>
      <c r="CTO166" s="383"/>
      <c r="CTP166" s="383"/>
      <c r="CTQ166" s="383"/>
      <c r="CTR166" s="383"/>
      <c r="CTS166" s="383"/>
      <c r="CTT166" s="383"/>
      <c r="CTU166" s="383"/>
      <c r="CTV166" s="383"/>
      <c r="CTW166" s="383"/>
      <c r="CTX166" s="383"/>
      <c r="CTY166" s="383"/>
      <c r="CTZ166" s="383"/>
      <c r="CUA166" s="383"/>
      <c r="CUB166" s="383"/>
      <c r="CUC166" s="383"/>
      <c r="CUD166" s="383"/>
      <c r="CUE166" s="383"/>
      <c r="CUF166" s="383"/>
      <c r="CUG166" s="383"/>
      <c r="CUH166" s="383"/>
      <c r="CUI166" s="383"/>
      <c r="CUJ166" s="383"/>
      <c r="CUK166" s="383"/>
      <c r="CUL166" s="383"/>
      <c r="CUM166" s="383"/>
      <c r="CUN166" s="383"/>
      <c r="CUO166" s="383"/>
      <c r="CUP166" s="383"/>
      <c r="CUQ166" s="383"/>
      <c r="CUR166" s="383"/>
      <c r="CUS166" s="383"/>
      <c r="CUT166" s="383"/>
      <c r="CUU166" s="383"/>
      <c r="CUV166" s="383"/>
      <c r="CUW166" s="383"/>
      <c r="CUX166" s="383"/>
      <c r="CUY166" s="383"/>
      <c r="CUZ166" s="383"/>
      <c r="CVA166" s="383"/>
      <c r="CVB166" s="383"/>
      <c r="CVC166" s="383"/>
      <c r="CVD166" s="383"/>
      <c r="CVE166" s="383"/>
      <c r="CVF166" s="383"/>
      <c r="CVG166" s="383"/>
      <c r="CVH166" s="383"/>
      <c r="CVI166" s="383"/>
      <c r="CVJ166" s="383"/>
      <c r="CVK166" s="383"/>
      <c r="CVL166" s="383"/>
      <c r="CVM166" s="383"/>
      <c r="CVN166" s="383"/>
      <c r="CVO166" s="383"/>
      <c r="CVP166" s="383"/>
      <c r="CVQ166" s="383"/>
      <c r="CVR166" s="383"/>
      <c r="CVS166" s="383"/>
      <c r="CVT166" s="383"/>
      <c r="CVU166" s="383"/>
      <c r="CVV166" s="383"/>
      <c r="CVW166" s="383"/>
      <c r="CVX166" s="383"/>
      <c r="CVY166" s="383"/>
      <c r="CVZ166" s="383"/>
      <c r="CWA166" s="383"/>
      <c r="CWB166" s="383"/>
      <c r="CWC166" s="383"/>
      <c r="CWD166" s="383"/>
      <c r="CWE166" s="383"/>
      <c r="CWF166" s="383"/>
      <c r="CWG166" s="383"/>
      <c r="CWH166" s="383"/>
      <c r="CWI166" s="383"/>
      <c r="CWJ166" s="383"/>
      <c r="CWK166" s="383"/>
      <c r="CWL166" s="383"/>
      <c r="CWM166" s="383"/>
      <c r="CWN166" s="383"/>
      <c r="CWO166" s="383"/>
      <c r="CWP166" s="383"/>
      <c r="CWQ166" s="383"/>
      <c r="CWR166" s="383"/>
      <c r="CWS166" s="383"/>
      <c r="CWT166" s="383"/>
      <c r="CWU166" s="383"/>
      <c r="CWV166" s="383"/>
      <c r="CWW166" s="383"/>
      <c r="CWX166" s="383"/>
      <c r="CWY166" s="383"/>
      <c r="CWZ166" s="383"/>
      <c r="CXA166" s="383"/>
      <c r="CXB166" s="383"/>
      <c r="CXC166" s="383"/>
      <c r="CXD166" s="383"/>
      <c r="CXE166" s="383"/>
      <c r="CXF166" s="383"/>
      <c r="CXG166" s="383"/>
      <c r="CXH166" s="383"/>
      <c r="CXI166" s="383"/>
      <c r="CXJ166" s="383"/>
      <c r="CXK166" s="383"/>
      <c r="CXL166" s="383"/>
      <c r="CXM166" s="383"/>
      <c r="CXN166" s="383"/>
      <c r="CXO166" s="383"/>
      <c r="CXP166" s="383"/>
      <c r="CXQ166" s="383"/>
      <c r="CXR166" s="383"/>
      <c r="CXS166" s="383"/>
      <c r="CXT166" s="383"/>
      <c r="CXU166" s="383"/>
      <c r="CXV166" s="383"/>
      <c r="CXW166" s="383"/>
      <c r="CXX166" s="383"/>
      <c r="CXY166" s="383"/>
      <c r="CXZ166" s="383"/>
      <c r="CYA166" s="383"/>
      <c r="CYB166" s="383"/>
      <c r="CYC166" s="383"/>
      <c r="CYD166" s="383"/>
      <c r="CYE166" s="383"/>
      <c r="CYF166" s="383"/>
      <c r="CYG166" s="383"/>
      <c r="CYH166" s="383"/>
      <c r="CYI166" s="383"/>
      <c r="CYJ166" s="383"/>
      <c r="CYK166" s="383"/>
      <c r="CYL166" s="383"/>
      <c r="CYM166" s="383"/>
      <c r="CYN166" s="383"/>
      <c r="CYO166" s="383"/>
      <c r="CYP166" s="383"/>
      <c r="CYQ166" s="383"/>
      <c r="CYR166" s="383"/>
      <c r="CYS166" s="383"/>
      <c r="CYT166" s="383"/>
      <c r="CYU166" s="383"/>
      <c r="CYV166" s="383"/>
      <c r="CYW166" s="383"/>
      <c r="CYX166" s="383"/>
      <c r="CYY166" s="383"/>
      <c r="CYZ166" s="383"/>
      <c r="CZA166" s="383"/>
      <c r="CZB166" s="383"/>
      <c r="CZC166" s="383"/>
      <c r="CZD166" s="383"/>
      <c r="CZE166" s="383"/>
      <c r="CZF166" s="383"/>
      <c r="CZG166" s="383"/>
      <c r="CZH166" s="383"/>
      <c r="CZI166" s="383"/>
      <c r="CZJ166" s="383"/>
      <c r="CZK166" s="383"/>
      <c r="CZL166" s="383"/>
      <c r="CZM166" s="383"/>
      <c r="CZN166" s="383"/>
      <c r="CZO166" s="383"/>
      <c r="CZP166" s="383"/>
      <c r="CZQ166" s="383"/>
      <c r="CZR166" s="383"/>
      <c r="CZS166" s="383"/>
      <c r="CZT166" s="383"/>
      <c r="CZU166" s="383"/>
      <c r="CZV166" s="383"/>
      <c r="CZW166" s="383"/>
      <c r="CZX166" s="383"/>
      <c r="CZY166" s="383"/>
      <c r="CZZ166" s="383"/>
      <c r="DAA166" s="383"/>
      <c r="DAB166" s="383"/>
      <c r="DAC166" s="383"/>
      <c r="DAD166" s="383"/>
      <c r="DAE166" s="383"/>
      <c r="DAF166" s="383"/>
      <c r="DAG166" s="383"/>
      <c r="DAH166" s="383"/>
      <c r="DAI166" s="383"/>
      <c r="DAJ166" s="383"/>
      <c r="DAK166" s="383"/>
      <c r="DAL166" s="383"/>
      <c r="DAM166" s="383"/>
      <c r="DAN166" s="383"/>
      <c r="DAO166" s="383"/>
      <c r="DAP166" s="383"/>
      <c r="DAQ166" s="383"/>
      <c r="DAR166" s="383"/>
      <c r="DAS166" s="383"/>
      <c r="DAT166" s="383"/>
      <c r="DAU166" s="383"/>
      <c r="DAV166" s="383"/>
      <c r="DAW166" s="383"/>
      <c r="DAX166" s="383"/>
      <c r="DAY166" s="383"/>
      <c r="DAZ166" s="383"/>
      <c r="DBA166" s="383"/>
      <c r="DBB166" s="383"/>
      <c r="DBC166" s="383"/>
      <c r="DBD166" s="383"/>
      <c r="DBE166" s="383"/>
      <c r="DBF166" s="383"/>
      <c r="DBG166" s="383"/>
      <c r="DBH166" s="383"/>
      <c r="DBI166" s="383"/>
      <c r="DBJ166" s="383"/>
      <c r="DBK166" s="383"/>
      <c r="DBL166" s="383"/>
      <c r="DBM166" s="383"/>
      <c r="DBN166" s="383"/>
      <c r="DBO166" s="383"/>
      <c r="DBP166" s="383"/>
      <c r="DBQ166" s="383"/>
      <c r="DBR166" s="383"/>
      <c r="DBS166" s="383"/>
      <c r="DBT166" s="383"/>
      <c r="DBU166" s="383"/>
      <c r="DBV166" s="383"/>
      <c r="DBW166" s="383"/>
      <c r="DBX166" s="383"/>
      <c r="DBY166" s="383"/>
      <c r="DBZ166" s="383"/>
      <c r="DCA166" s="383"/>
      <c r="DCB166" s="383"/>
      <c r="DCC166" s="383"/>
      <c r="DCD166" s="383"/>
      <c r="DCE166" s="383"/>
      <c r="DCF166" s="383"/>
      <c r="DCG166" s="383"/>
      <c r="DCH166" s="383"/>
      <c r="DCI166" s="383"/>
      <c r="DCJ166" s="383"/>
      <c r="DCK166" s="383"/>
      <c r="DCL166" s="383"/>
      <c r="DCM166" s="383"/>
      <c r="DCN166" s="383"/>
      <c r="DCO166" s="383"/>
      <c r="DCP166" s="383"/>
      <c r="DCQ166" s="383"/>
      <c r="DCR166" s="383"/>
      <c r="DCS166" s="383"/>
      <c r="DCT166" s="383"/>
      <c r="DCU166" s="383"/>
      <c r="DCV166" s="383"/>
      <c r="DCW166" s="383"/>
      <c r="DCX166" s="383"/>
      <c r="DCY166" s="383"/>
      <c r="DCZ166" s="383"/>
      <c r="DDA166" s="383"/>
      <c r="DDB166" s="383"/>
      <c r="DDC166" s="383"/>
      <c r="DDD166" s="383"/>
      <c r="DDE166" s="383"/>
      <c r="DDF166" s="383"/>
      <c r="DDG166" s="383"/>
      <c r="DDH166" s="383"/>
      <c r="DDI166" s="383"/>
      <c r="DDJ166" s="383"/>
      <c r="DDK166" s="383"/>
      <c r="DDL166" s="383"/>
      <c r="DDM166" s="383"/>
      <c r="DDN166" s="383"/>
      <c r="DDO166" s="383"/>
      <c r="DDP166" s="383"/>
      <c r="DDQ166" s="383"/>
      <c r="DDR166" s="383"/>
      <c r="DDS166" s="383"/>
      <c r="DDT166" s="383"/>
      <c r="DDU166" s="383"/>
      <c r="DDV166" s="383"/>
      <c r="DDW166" s="383"/>
      <c r="DDX166" s="383"/>
      <c r="DDY166" s="383"/>
      <c r="DDZ166" s="383"/>
      <c r="DEA166" s="383"/>
      <c r="DEB166" s="383"/>
      <c r="DEC166" s="383"/>
      <c r="DED166" s="383"/>
      <c r="DEE166" s="383"/>
      <c r="DEF166" s="383"/>
      <c r="DEG166" s="383"/>
      <c r="DEH166" s="383"/>
      <c r="DEI166" s="383"/>
      <c r="DEJ166" s="383"/>
      <c r="DEK166" s="383"/>
      <c r="DEL166" s="383"/>
      <c r="DEM166" s="383"/>
      <c r="DEN166" s="383"/>
      <c r="DEO166" s="383"/>
      <c r="DEP166" s="383"/>
      <c r="DEQ166" s="383"/>
      <c r="DER166" s="383"/>
      <c r="DES166" s="383"/>
      <c r="DET166" s="383"/>
      <c r="DEU166" s="383"/>
      <c r="DEV166" s="383"/>
      <c r="DEW166" s="383"/>
      <c r="DEX166" s="383"/>
      <c r="DEY166" s="383"/>
      <c r="DEZ166" s="383"/>
      <c r="DFA166" s="383"/>
      <c r="DFB166" s="383"/>
      <c r="DFC166" s="383"/>
      <c r="DFD166" s="383"/>
      <c r="DFE166" s="383"/>
      <c r="DFF166" s="383"/>
      <c r="DFG166" s="383"/>
      <c r="DFH166" s="383"/>
      <c r="DFI166" s="383"/>
      <c r="DFJ166" s="383"/>
      <c r="DFK166" s="383"/>
      <c r="DFL166" s="383"/>
      <c r="DFM166" s="383"/>
      <c r="DFN166" s="383"/>
      <c r="DFO166" s="383"/>
      <c r="DFP166" s="383"/>
      <c r="DFQ166" s="383"/>
      <c r="DFR166" s="383"/>
      <c r="DFS166" s="383"/>
      <c r="DFT166" s="383"/>
      <c r="DFU166" s="383"/>
      <c r="DFV166" s="383"/>
      <c r="DFW166" s="383"/>
      <c r="DFX166" s="383"/>
      <c r="DFY166" s="383"/>
      <c r="DFZ166" s="383"/>
      <c r="DGA166" s="383"/>
      <c r="DGB166" s="383"/>
      <c r="DGC166" s="383"/>
      <c r="DGD166" s="383"/>
      <c r="DGE166" s="383"/>
      <c r="DGF166" s="383"/>
      <c r="DGG166" s="383"/>
      <c r="DGH166" s="383"/>
      <c r="DGI166" s="383"/>
      <c r="DGJ166" s="383"/>
      <c r="DGK166" s="383"/>
      <c r="DGL166" s="383"/>
      <c r="DGM166" s="383"/>
      <c r="DGN166" s="383"/>
      <c r="DGO166" s="383"/>
      <c r="DGP166" s="383"/>
      <c r="DGQ166" s="383"/>
      <c r="DGR166" s="383"/>
      <c r="DGS166" s="383"/>
      <c r="DGT166" s="383"/>
      <c r="DGU166" s="383"/>
      <c r="DGV166" s="383"/>
      <c r="DGW166" s="383"/>
      <c r="DGX166" s="383"/>
      <c r="DGY166" s="383"/>
      <c r="DGZ166" s="383"/>
      <c r="DHA166" s="383"/>
      <c r="DHB166" s="383"/>
      <c r="DHC166" s="383"/>
      <c r="DHD166" s="383"/>
      <c r="DHE166" s="383"/>
      <c r="DHF166" s="383"/>
      <c r="DHG166" s="383"/>
      <c r="DHH166" s="383"/>
      <c r="DHI166" s="383"/>
      <c r="DHJ166" s="383"/>
      <c r="DHK166" s="383"/>
      <c r="DHL166" s="383"/>
      <c r="DHM166" s="383"/>
      <c r="DHN166" s="383"/>
      <c r="DHO166" s="383"/>
      <c r="DHP166" s="383"/>
      <c r="DHQ166" s="383"/>
      <c r="DHR166" s="383"/>
      <c r="DHS166" s="383"/>
      <c r="DHT166" s="383"/>
      <c r="DHU166" s="383"/>
      <c r="DHV166" s="383"/>
      <c r="DHW166" s="383"/>
      <c r="DHX166" s="383"/>
      <c r="DHY166" s="383"/>
      <c r="DHZ166" s="383"/>
      <c r="DIA166" s="383"/>
      <c r="DIB166" s="383"/>
      <c r="DIC166" s="383"/>
      <c r="DID166" s="383"/>
      <c r="DIE166" s="383"/>
      <c r="DIF166" s="383"/>
      <c r="DIG166" s="383"/>
      <c r="DIH166" s="383"/>
      <c r="DII166" s="383"/>
      <c r="DIJ166" s="383"/>
      <c r="DIK166" s="383"/>
      <c r="DIL166" s="383"/>
      <c r="DIM166" s="383"/>
      <c r="DIN166" s="383"/>
      <c r="DIO166" s="383"/>
      <c r="DIP166" s="383"/>
      <c r="DIQ166" s="383"/>
      <c r="DIR166" s="383"/>
      <c r="DIS166" s="383"/>
      <c r="DIT166" s="383"/>
      <c r="DIU166" s="383"/>
      <c r="DIV166" s="383"/>
      <c r="DIW166" s="383"/>
      <c r="DIX166" s="383"/>
      <c r="DIY166" s="383"/>
      <c r="DIZ166" s="383"/>
      <c r="DJA166" s="383"/>
      <c r="DJB166" s="383"/>
      <c r="DJC166" s="383"/>
      <c r="DJD166" s="383"/>
      <c r="DJE166" s="383"/>
      <c r="DJF166" s="383"/>
      <c r="DJG166" s="383"/>
      <c r="DJH166" s="383"/>
      <c r="DJI166" s="383"/>
      <c r="DJJ166" s="383"/>
      <c r="DJK166" s="383"/>
      <c r="DJL166" s="383"/>
      <c r="DJM166" s="383"/>
      <c r="DJN166" s="383"/>
      <c r="DJO166" s="383"/>
      <c r="DJP166" s="383"/>
      <c r="DJQ166" s="383"/>
      <c r="DJR166" s="383"/>
      <c r="DJS166" s="383"/>
      <c r="DJT166" s="383"/>
      <c r="DJU166" s="383"/>
      <c r="DJV166" s="383"/>
      <c r="DJW166" s="383"/>
      <c r="DJX166" s="383"/>
      <c r="DJY166" s="383"/>
      <c r="DJZ166" s="383"/>
      <c r="DKA166" s="383"/>
      <c r="DKB166" s="383"/>
      <c r="DKC166" s="383"/>
      <c r="DKD166" s="383"/>
      <c r="DKE166" s="383"/>
      <c r="DKF166" s="383"/>
      <c r="DKG166" s="383"/>
      <c r="DKH166" s="383"/>
      <c r="DKI166" s="383"/>
      <c r="DKJ166" s="383"/>
      <c r="DKK166" s="383"/>
      <c r="DKL166" s="383"/>
      <c r="DKM166" s="383"/>
      <c r="DKN166" s="383"/>
      <c r="DKO166" s="383"/>
      <c r="DKP166" s="383"/>
      <c r="DKQ166" s="383"/>
      <c r="DKR166" s="383"/>
      <c r="DKS166" s="383"/>
      <c r="DKT166" s="383"/>
      <c r="DKU166" s="383"/>
      <c r="DKV166" s="383"/>
      <c r="DKW166" s="383"/>
      <c r="DKX166" s="383"/>
      <c r="DKY166" s="383"/>
      <c r="DKZ166" s="383"/>
      <c r="DLA166" s="383"/>
      <c r="DLB166" s="383"/>
      <c r="DLC166" s="383"/>
      <c r="DLD166" s="383"/>
      <c r="DLE166" s="383"/>
      <c r="DLF166" s="383"/>
      <c r="DLG166" s="383"/>
      <c r="DLH166" s="383"/>
      <c r="DLI166" s="383"/>
      <c r="DLJ166" s="383"/>
      <c r="DLK166" s="383"/>
      <c r="DLL166" s="383"/>
      <c r="DLM166" s="383"/>
      <c r="DLN166" s="383"/>
      <c r="DLO166" s="383"/>
      <c r="DLP166" s="383"/>
      <c r="DLQ166" s="383"/>
      <c r="DLR166" s="383"/>
      <c r="DLS166" s="383"/>
      <c r="DLT166" s="383"/>
      <c r="DLU166" s="383"/>
      <c r="DLV166" s="383"/>
      <c r="DLW166" s="383"/>
      <c r="DLX166" s="383"/>
      <c r="DLY166" s="383"/>
      <c r="DLZ166" s="383"/>
      <c r="DMA166" s="383"/>
      <c r="DMB166" s="383"/>
      <c r="DMC166" s="383"/>
      <c r="DMD166" s="383"/>
      <c r="DME166" s="383"/>
      <c r="DMF166" s="383"/>
      <c r="DMG166" s="383"/>
      <c r="DMH166" s="383"/>
      <c r="DMI166" s="383"/>
      <c r="DMJ166" s="383"/>
      <c r="DMK166" s="383"/>
      <c r="DML166" s="383"/>
      <c r="DMM166" s="383"/>
      <c r="DMN166" s="383"/>
      <c r="DMO166" s="383"/>
      <c r="DMP166" s="383"/>
      <c r="DMQ166" s="383"/>
      <c r="DMR166" s="383"/>
      <c r="DMS166" s="383"/>
      <c r="DMT166" s="383"/>
      <c r="DMU166" s="383"/>
      <c r="DMV166" s="383"/>
      <c r="DMW166" s="383"/>
      <c r="DMX166" s="383"/>
      <c r="DMY166" s="383"/>
      <c r="DMZ166" s="383"/>
      <c r="DNA166" s="383"/>
      <c r="DNB166" s="383"/>
      <c r="DNC166" s="383"/>
      <c r="DND166" s="383"/>
      <c r="DNE166" s="383"/>
      <c r="DNF166" s="383"/>
      <c r="DNG166" s="383"/>
      <c r="DNH166" s="383"/>
      <c r="DNI166" s="383"/>
      <c r="DNJ166" s="383"/>
      <c r="DNK166" s="383"/>
      <c r="DNL166" s="383"/>
      <c r="DNM166" s="383"/>
      <c r="DNN166" s="383"/>
      <c r="DNO166" s="383"/>
      <c r="DNP166" s="383"/>
      <c r="DNQ166" s="383"/>
      <c r="DNR166" s="383"/>
      <c r="DNS166" s="383"/>
      <c r="DNT166" s="383"/>
      <c r="DNU166" s="383"/>
      <c r="DNV166" s="383"/>
      <c r="DNW166" s="383"/>
      <c r="DNX166" s="383"/>
      <c r="DNY166" s="383"/>
      <c r="DNZ166" s="383"/>
      <c r="DOA166" s="383"/>
      <c r="DOB166" s="383"/>
      <c r="DOC166" s="383"/>
      <c r="DOD166" s="383"/>
      <c r="DOE166" s="383"/>
      <c r="DOF166" s="383"/>
      <c r="DOG166" s="383"/>
      <c r="DOH166" s="383"/>
      <c r="DOI166" s="383"/>
      <c r="DOJ166" s="383"/>
      <c r="DOK166" s="383"/>
      <c r="DOL166" s="383"/>
      <c r="DOM166" s="383"/>
      <c r="DON166" s="383"/>
      <c r="DOO166" s="383"/>
      <c r="DOP166" s="383"/>
      <c r="DOQ166" s="383"/>
      <c r="DOR166" s="383"/>
      <c r="DOS166" s="383"/>
      <c r="DOT166" s="383"/>
      <c r="DOU166" s="383"/>
      <c r="DOV166" s="383"/>
      <c r="DOW166" s="383"/>
      <c r="DOX166" s="383"/>
      <c r="DOY166" s="383"/>
      <c r="DOZ166" s="383"/>
      <c r="DPA166" s="383"/>
      <c r="DPB166" s="383"/>
      <c r="DPC166" s="383"/>
      <c r="DPD166" s="383"/>
      <c r="DPE166" s="383"/>
      <c r="DPF166" s="383"/>
      <c r="DPG166" s="383"/>
      <c r="DPH166" s="383"/>
      <c r="DPI166" s="383"/>
      <c r="DPJ166" s="383"/>
      <c r="DPK166" s="383"/>
      <c r="DPL166" s="383"/>
      <c r="DPM166" s="383"/>
      <c r="DPN166" s="383"/>
      <c r="DPO166" s="383"/>
      <c r="DPP166" s="383"/>
      <c r="DPQ166" s="383"/>
      <c r="DPR166" s="383"/>
      <c r="DPS166" s="383"/>
      <c r="DPT166" s="383"/>
      <c r="DPU166" s="383"/>
      <c r="DPV166" s="383"/>
      <c r="DPW166" s="383"/>
      <c r="DPX166" s="383"/>
      <c r="DPY166" s="383"/>
      <c r="DPZ166" s="383"/>
      <c r="DQA166" s="383"/>
      <c r="DQB166" s="383"/>
      <c r="DQC166" s="383"/>
      <c r="DQD166" s="383"/>
      <c r="DQE166" s="383"/>
      <c r="DQF166" s="383"/>
      <c r="DQG166" s="383"/>
      <c r="DQH166" s="383"/>
      <c r="DQI166" s="383"/>
      <c r="DQJ166" s="383"/>
      <c r="DQK166" s="383"/>
      <c r="DQL166" s="383"/>
      <c r="DQM166" s="383"/>
      <c r="DQN166" s="383"/>
      <c r="DQO166" s="383"/>
      <c r="DQP166" s="383"/>
      <c r="DQQ166" s="383"/>
      <c r="DQR166" s="383"/>
      <c r="DQS166" s="383"/>
      <c r="DQT166" s="383"/>
      <c r="DQU166" s="383"/>
      <c r="DQV166" s="383"/>
      <c r="DQW166" s="383"/>
      <c r="DQX166" s="383"/>
      <c r="DQY166" s="383"/>
      <c r="DQZ166" s="383"/>
      <c r="DRA166" s="383"/>
      <c r="DRB166" s="383"/>
      <c r="DRC166" s="383"/>
      <c r="DRD166" s="383"/>
      <c r="DRE166" s="383"/>
      <c r="DRF166" s="383"/>
      <c r="DRG166" s="383"/>
      <c r="DRH166" s="383"/>
      <c r="DRI166" s="383"/>
      <c r="DRJ166" s="383"/>
      <c r="DRK166" s="383"/>
      <c r="DRL166" s="383"/>
      <c r="DRM166" s="383"/>
    </row>
    <row r="167" spans="1:3185" ht="30" customHeight="1">
      <c r="A167" s="387"/>
      <c r="B167" s="388"/>
      <c r="C167" s="389"/>
      <c r="D167" s="390"/>
      <c r="E167" s="391"/>
      <c r="F167" s="421"/>
      <c r="G167" s="396"/>
      <c r="H167" s="392"/>
      <c r="I167" s="422"/>
      <c r="J167" s="394"/>
      <c r="K167" s="411"/>
    </row>
    <row r="168" spans="1:3185" ht="30" customHeight="1">
      <c r="A168" s="387"/>
      <c r="B168" s="388"/>
      <c r="C168" s="389"/>
      <c r="D168" s="390"/>
      <c r="E168" s="391"/>
      <c r="F168" s="421"/>
      <c r="G168" s="396"/>
      <c r="H168" s="392"/>
      <c r="I168" s="422"/>
      <c r="J168" s="394"/>
      <c r="K168" s="411"/>
    </row>
    <row r="169" spans="1:3185" ht="30" customHeight="1">
      <c r="A169" s="387"/>
      <c r="B169" s="388"/>
      <c r="C169" s="389"/>
      <c r="D169" s="390"/>
      <c r="E169" s="391"/>
      <c r="F169" s="421"/>
      <c r="G169" s="399"/>
      <c r="H169" s="389"/>
      <c r="I169" s="422"/>
      <c r="J169" s="394"/>
      <c r="K169" s="411"/>
    </row>
    <row r="170" spans="1:3185" ht="30" customHeight="1">
      <c r="A170" s="387"/>
      <c r="B170" s="388"/>
      <c r="C170" s="389"/>
      <c r="D170" s="390"/>
      <c r="E170" s="391"/>
      <c r="F170" s="421"/>
      <c r="G170" s="396"/>
      <c r="H170" s="392"/>
      <c r="I170" s="422"/>
      <c r="J170" s="394"/>
      <c r="K170" s="411"/>
    </row>
    <row r="171" spans="1:3185" ht="30" customHeight="1">
      <c r="A171" s="387"/>
      <c r="B171" s="388"/>
      <c r="C171" s="389"/>
      <c r="D171" s="390"/>
      <c r="E171" s="391"/>
      <c r="F171" s="421"/>
      <c r="G171" s="396"/>
      <c r="H171" s="392"/>
      <c r="I171" s="422"/>
      <c r="J171" s="394"/>
      <c r="K171" s="411"/>
    </row>
    <row r="172" spans="1:3185" ht="30" customHeight="1">
      <c r="A172" s="387"/>
      <c r="B172" s="388"/>
      <c r="C172" s="389"/>
      <c r="D172" s="390"/>
      <c r="E172" s="391"/>
      <c r="F172" s="421"/>
      <c r="G172" s="396"/>
      <c r="H172" s="392"/>
      <c r="I172" s="422"/>
      <c r="J172" s="394"/>
      <c r="K172" s="411"/>
    </row>
    <row r="173" spans="1:3185" ht="30" customHeight="1">
      <c r="A173" s="387"/>
      <c r="B173" s="388"/>
      <c r="C173" s="389"/>
      <c r="D173" s="390"/>
      <c r="E173" s="391"/>
      <c r="F173" s="421"/>
      <c r="G173" s="396"/>
      <c r="H173" s="392"/>
      <c r="I173" s="422"/>
      <c r="J173" s="394"/>
      <c r="K173" s="411"/>
    </row>
    <row r="174" spans="1:3185" ht="30" customHeight="1">
      <c r="A174" s="387"/>
      <c r="B174" s="388"/>
      <c r="C174" s="389"/>
      <c r="D174" s="390"/>
      <c r="E174" s="391"/>
      <c r="F174" s="421"/>
      <c r="G174" s="396"/>
      <c r="H174" s="392"/>
      <c r="I174" s="422"/>
      <c r="J174" s="394"/>
      <c r="K174" s="411"/>
    </row>
    <row r="175" spans="1:3185" ht="30" customHeight="1">
      <c r="A175" s="387"/>
      <c r="B175" s="388"/>
      <c r="C175" s="389"/>
      <c r="D175" s="390"/>
      <c r="E175" s="391"/>
      <c r="F175" s="421"/>
      <c r="G175" s="396"/>
      <c r="H175" s="392"/>
      <c r="I175" s="422"/>
      <c r="J175" s="394"/>
      <c r="K175" s="411"/>
    </row>
    <row r="176" spans="1:3185" ht="30" customHeight="1">
      <c r="A176" s="387"/>
      <c r="B176" s="388"/>
      <c r="C176" s="389"/>
      <c r="D176" s="390"/>
      <c r="E176" s="391"/>
      <c r="F176" s="421"/>
      <c r="G176" s="396"/>
      <c r="H176" s="392"/>
      <c r="I176" s="422"/>
      <c r="J176" s="394"/>
      <c r="K176" s="411"/>
    </row>
    <row r="177" spans="1:12" ht="30" customHeight="1">
      <c r="A177" s="387"/>
      <c r="B177" s="388"/>
      <c r="C177" s="389"/>
      <c r="D177" s="390"/>
      <c r="E177" s="391"/>
      <c r="F177" s="421"/>
      <c r="G177" s="396"/>
      <c r="H177" s="392"/>
      <c r="I177" s="422"/>
      <c r="J177" s="394"/>
      <c r="K177" s="411"/>
    </row>
    <row r="178" spans="1:12" ht="30" customHeight="1">
      <c r="A178" s="387"/>
      <c r="B178" s="388"/>
      <c r="C178" s="389"/>
      <c r="D178" s="390"/>
      <c r="E178" s="391"/>
      <c r="F178" s="421"/>
      <c r="G178" s="396"/>
      <c r="H178" s="392"/>
      <c r="I178" s="422"/>
      <c r="J178" s="394"/>
      <c r="K178" s="411"/>
    </row>
    <row r="179" spans="1:12" ht="30" customHeight="1">
      <c r="A179" s="387"/>
      <c r="B179" s="388"/>
      <c r="C179" s="389"/>
      <c r="D179" s="390"/>
      <c r="E179" s="391"/>
      <c r="F179" s="421"/>
      <c r="G179" s="396"/>
      <c r="H179" s="392"/>
      <c r="I179" s="422"/>
      <c r="J179" s="394"/>
      <c r="K179" s="411"/>
    </row>
    <row r="180" spans="1:12" ht="30" customHeight="1">
      <c r="A180" s="387"/>
      <c r="B180" s="388"/>
      <c r="C180" s="389"/>
      <c r="D180" s="390"/>
      <c r="E180" s="391"/>
      <c r="F180" s="421"/>
      <c r="G180" s="396"/>
      <c r="H180" s="392"/>
      <c r="I180" s="422"/>
      <c r="J180" s="394"/>
      <c r="K180" s="411"/>
    </row>
    <row r="181" spans="1:12" ht="30" customHeight="1">
      <c r="A181" s="387"/>
      <c r="B181" s="388"/>
      <c r="C181" s="389"/>
      <c r="D181" s="390"/>
      <c r="E181" s="391"/>
      <c r="F181" s="421"/>
      <c r="G181" s="396"/>
      <c r="H181" s="392"/>
      <c r="I181" s="422"/>
      <c r="J181" s="394"/>
      <c r="K181" s="411"/>
    </row>
    <row r="182" spans="1:12" ht="30" customHeight="1">
      <c r="A182" s="387"/>
      <c r="B182" s="388"/>
      <c r="C182" s="389"/>
      <c r="D182" s="390"/>
      <c r="E182" s="391"/>
      <c r="F182" s="421"/>
      <c r="G182" s="396"/>
      <c r="H182" s="392"/>
      <c r="I182" s="422"/>
      <c r="J182" s="394"/>
      <c r="K182" s="411"/>
    </row>
    <row r="183" spans="1:12" ht="30" customHeight="1">
      <c r="A183" s="387"/>
      <c r="B183" s="388"/>
      <c r="C183" s="389"/>
      <c r="D183" s="401"/>
      <c r="E183" s="391"/>
      <c r="F183" s="422"/>
      <c r="G183" s="416"/>
      <c r="H183" s="392"/>
      <c r="I183" s="422"/>
      <c r="J183" s="397"/>
      <c r="K183" s="411"/>
      <c r="L183" s="406"/>
    </row>
    <row r="184" spans="1:12" ht="30" customHeight="1">
      <c r="A184" s="387"/>
      <c r="B184" s="388"/>
      <c r="C184" s="389"/>
      <c r="D184" s="390"/>
      <c r="E184" s="391"/>
      <c r="F184" s="421"/>
      <c r="G184" s="396"/>
      <c r="H184" s="392"/>
      <c r="I184" s="422"/>
      <c r="J184" s="394"/>
      <c r="K184" s="411"/>
    </row>
    <row r="185" spans="1:12" ht="30" customHeight="1">
      <c r="A185" s="387"/>
      <c r="B185" s="388"/>
      <c r="C185" s="389"/>
      <c r="D185" s="401"/>
      <c r="E185" s="391"/>
      <c r="F185" s="422"/>
      <c r="G185" s="399"/>
      <c r="H185" s="406"/>
      <c r="I185" s="422"/>
      <c r="J185" s="397"/>
      <c r="K185" s="411"/>
      <c r="L185" s="406"/>
    </row>
    <row r="186" spans="1:12" ht="30" customHeight="1">
      <c r="A186" s="387"/>
      <c r="B186" s="388"/>
      <c r="C186" s="389"/>
      <c r="D186" s="390"/>
      <c r="E186" s="391"/>
      <c r="F186" s="421"/>
      <c r="G186" s="396"/>
      <c r="H186" s="392"/>
      <c r="I186" s="422"/>
      <c r="J186" s="394"/>
      <c r="K186" s="411"/>
    </row>
    <row r="187" spans="1:12" ht="30" customHeight="1">
      <c r="A187" s="387"/>
      <c r="B187" s="388"/>
      <c r="C187" s="389"/>
      <c r="D187" s="390"/>
      <c r="E187" s="391"/>
      <c r="F187" s="421"/>
      <c r="G187" s="396"/>
      <c r="H187" s="392"/>
      <c r="I187" s="422"/>
      <c r="J187" s="394"/>
      <c r="K187" s="411"/>
    </row>
    <row r="188" spans="1:12" ht="30" customHeight="1">
      <c r="A188" s="387"/>
      <c r="B188" s="388"/>
      <c r="C188" s="389"/>
      <c r="D188" s="390"/>
      <c r="E188" s="391"/>
      <c r="F188" s="421"/>
      <c r="G188" s="396"/>
      <c r="H188" s="392"/>
      <c r="I188" s="422"/>
      <c r="J188" s="394"/>
      <c r="K188" s="412"/>
    </row>
    <row r="189" spans="1:12" ht="30" customHeight="1">
      <c r="A189" s="387"/>
      <c r="B189" s="388"/>
      <c r="C189" s="389"/>
      <c r="D189" s="390"/>
      <c r="E189" s="391"/>
      <c r="F189" s="421"/>
      <c r="G189" s="399"/>
      <c r="H189" s="392"/>
      <c r="I189" s="422"/>
      <c r="J189" s="394"/>
      <c r="K189" s="412"/>
    </row>
    <row r="190" spans="1:12" ht="30" customHeight="1">
      <c r="A190" s="387"/>
      <c r="B190" s="388"/>
      <c r="C190" s="389"/>
      <c r="D190" s="390"/>
      <c r="E190" s="391"/>
      <c r="F190" s="421"/>
      <c r="G190" s="396"/>
      <c r="H190" s="392"/>
      <c r="I190" s="422"/>
      <c r="J190" s="394"/>
      <c r="K190" s="413"/>
    </row>
    <row r="191" spans="1:12" ht="30" customHeight="1">
      <c r="A191" s="387"/>
      <c r="B191" s="388"/>
      <c r="C191" s="389"/>
      <c r="D191" s="390"/>
      <c r="E191" s="391"/>
      <c r="F191" s="421"/>
      <c r="G191" s="396"/>
      <c r="H191" s="392"/>
      <c r="I191" s="422"/>
      <c r="J191" s="394"/>
      <c r="K191" s="412"/>
    </row>
    <row r="192" spans="1:12" ht="30" customHeight="1">
      <c r="A192" s="387"/>
      <c r="B192" s="388"/>
      <c r="C192" s="389"/>
      <c r="D192" s="390"/>
      <c r="E192" s="391"/>
      <c r="F192" s="421"/>
      <c r="G192" s="396"/>
      <c r="H192" s="392"/>
      <c r="I192" s="422"/>
      <c r="J192" s="394"/>
      <c r="K192" s="412"/>
    </row>
    <row r="193" spans="1:14" ht="30" customHeight="1">
      <c r="A193" s="387"/>
      <c r="B193" s="388"/>
      <c r="C193" s="389"/>
      <c r="D193" s="390"/>
      <c r="E193" s="391"/>
      <c r="F193" s="421"/>
      <c r="G193" s="396"/>
      <c r="H193" s="392"/>
      <c r="I193" s="422"/>
      <c r="J193" s="394"/>
      <c r="K193" s="412"/>
    </row>
    <row r="194" spans="1:14" ht="30" customHeight="1">
      <c r="A194" s="387"/>
      <c r="B194" s="388"/>
      <c r="C194" s="389"/>
      <c r="D194" s="390"/>
      <c r="E194" s="391"/>
      <c r="F194" s="421"/>
      <c r="G194" s="396"/>
      <c r="H194" s="392"/>
      <c r="I194" s="422"/>
      <c r="J194" s="394"/>
      <c r="K194" s="413"/>
    </row>
    <row r="195" spans="1:14" ht="30" customHeight="1">
      <c r="A195" s="387"/>
      <c r="B195" s="388"/>
      <c r="C195" s="389"/>
      <c r="D195" s="390"/>
      <c r="E195" s="391"/>
      <c r="F195" s="421"/>
      <c r="G195" s="396"/>
      <c r="H195" s="392"/>
      <c r="I195" s="422"/>
      <c r="J195" s="394"/>
      <c r="K195" s="411"/>
    </row>
    <row r="196" spans="1:14" ht="30" customHeight="1">
      <c r="A196" s="387"/>
      <c r="B196" s="388"/>
      <c r="C196" s="389"/>
      <c r="D196" s="390"/>
      <c r="E196" s="391"/>
      <c r="F196" s="421"/>
      <c r="G196" s="396"/>
      <c r="H196" s="392"/>
      <c r="I196" s="422"/>
      <c r="J196" s="394"/>
      <c r="K196" s="411"/>
      <c r="L196" s="406"/>
    </row>
    <row r="197" spans="1:14" ht="30" customHeight="1">
      <c r="A197" s="387"/>
      <c r="B197" s="388"/>
      <c r="C197" s="389"/>
      <c r="D197" s="390"/>
      <c r="E197" s="391"/>
      <c r="F197" s="421"/>
      <c r="G197" s="396"/>
      <c r="H197" s="392"/>
      <c r="I197" s="422"/>
      <c r="J197" s="397"/>
      <c r="K197" s="411"/>
      <c r="L197" s="406"/>
    </row>
    <row r="198" spans="1:14" ht="30" customHeight="1">
      <c r="A198" s="387"/>
      <c r="B198" s="388"/>
      <c r="C198" s="389"/>
      <c r="D198" s="390"/>
      <c r="E198" s="391"/>
      <c r="F198" s="421"/>
      <c r="G198" s="396"/>
      <c r="H198" s="392"/>
      <c r="I198" s="422"/>
      <c r="J198" s="394"/>
      <c r="K198" s="412"/>
    </row>
    <row r="199" spans="1:14" ht="30" customHeight="1">
      <c r="A199" s="387"/>
      <c r="B199" s="388"/>
      <c r="C199" s="389"/>
      <c r="D199" s="390"/>
      <c r="E199" s="391"/>
      <c r="F199" s="421"/>
      <c r="G199" s="396"/>
      <c r="H199" s="392"/>
      <c r="I199" s="422"/>
      <c r="J199" s="394"/>
      <c r="K199" s="411"/>
      <c r="L199" s="406"/>
      <c r="N199" s="406"/>
    </row>
    <row r="200" spans="1:14" ht="30" customHeight="1">
      <c r="A200" s="387"/>
      <c r="B200" s="388"/>
      <c r="C200" s="389"/>
      <c r="D200" s="390"/>
      <c r="E200" s="391"/>
      <c r="F200" s="421"/>
      <c r="G200" s="396"/>
      <c r="H200" s="392"/>
      <c r="I200" s="422"/>
      <c r="J200" s="397"/>
      <c r="K200" s="411"/>
      <c r="L200" s="406"/>
    </row>
    <row r="201" spans="1:14" ht="30" customHeight="1">
      <c r="A201" s="387"/>
      <c r="B201" s="388"/>
      <c r="C201" s="389"/>
      <c r="D201" s="390"/>
      <c r="E201" s="391"/>
      <c r="F201" s="421"/>
      <c r="G201" s="396"/>
      <c r="H201" s="392"/>
      <c r="I201" s="422"/>
      <c r="J201" s="397"/>
      <c r="K201" s="411"/>
      <c r="L201" s="406"/>
    </row>
    <row r="202" spans="1:14" ht="30" customHeight="1">
      <c r="A202" s="387"/>
      <c r="B202" s="388"/>
      <c r="C202" s="389"/>
      <c r="D202" s="390"/>
      <c r="E202" s="391"/>
      <c r="F202" s="421"/>
      <c r="G202" s="396"/>
      <c r="H202" s="392"/>
      <c r="I202" s="422"/>
      <c r="J202" s="397"/>
      <c r="K202" s="411"/>
      <c r="L202" s="406"/>
    </row>
    <row r="203" spans="1:14" ht="30" customHeight="1">
      <c r="A203" s="387"/>
      <c r="B203" s="388"/>
      <c r="C203" s="389"/>
      <c r="D203" s="390"/>
      <c r="E203" s="391"/>
      <c r="F203" s="421"/>
      <c r="G203" s="396"/>
      <c r="H203" s="392"/>
      <c r="I203" s="422"/>
      <c r="J203" s="394"/>
      <c r="K203" s="411"/>
      <c r="L203" s="406"/>
    </row>
    <row r="204" spans="1:14" ht="30" customHeight="1">
      <c r="A204" s="387"/>
      <c r="B204" s="388"/>
      <c r="C204" s="389"/>
      <c r="D204" s="390"/>
      <c r="E204" s="391"/>
      <c r="F204" s="421"/>
      <c r="G204" s="396"/>
      <c r="H204" s="392"/>
      <c r="I204" s="422"/>
      <c r="J204" s="397"/>
      <c r="K204" s="411"/>
      <c r="L204" s="406"/>
    </row>
    <row r="205" spans="1:14" ht="30" customHeight="1">
      <c r="A205" s="387"/>
      <c r="B205" s="388"/>
      <c r="C205" s="389"/>
      <c r="D205" s="390"/>
      <c r="E205" s="391"/>
      <c r="F205" s="421"/>
      <c r="G205" s="396"/>
      <c r="H205" s="392"/>
      <c r="I205" s="422"/>
      <c r="J205" s="397"/>
      <c r="K205" s="411"/>
      <c r="L205" s="406"/>
    </row>
    <row r="206" spans="1:14" ht="30" customHeight="1">
      <c r="A206" s="387"/>
      <c r="B206" s="388"/>
      <c r="C206" s="389"/>
      <c r="D206" s="390"/>
      <c r="E206" s="391"/>
      <c r="F206" s="421"/>
      <c r="G206" s="396"/>
      <c r="H206" s="392"/>
      <c r="I206" s="422"/>
      <c r="J206" s="394"/>
      <c r="K206" s="411"/>
      <c r="L206" s="406"/>
    </row>
    <row r="207" spans="1:14" ht="30" customHeight="1">
      <c r="A207" s="387"/>
      <c r="B207" s="388"/>
      <c r="C207" s="389"/>
      <c r="D207" s="390"/>
      <c r="E207" s="391"/>
      <c r="F207" s="421"/>
      <c r="G207" s="396"/>
      <c r="H207" s="392"/>
      <c r="I207" s="422"/>
      <c r="J207" s="397"/>
      <c r="K207" s="411"/>
      <c r="L207" s="406"/>
    </row>
    <row r="208" spans="1:14" ht="30" customHeight="1">
      <c r="A208" s="387"/>
      <c r="B208" s="388"/>
      <c r="C208" s="389"/>
      <c r="D208" s="390"/>
      <c r="E208" s="391"/>
      <c r="F208" s="421"/>
      <c r="G208" s="399"/>
      <c r="H208" s="392"/>
      <c r="I208" s="422"/>
      <c r="J208" s="394"/>
      <c r="K208" s="412"/>
    </row>
    <row r="209" spans="1:13" ht="30" customHeight="1">
      <c r="A209" s="387"/>
      <c r="B209" s="388"/>
      <c r="C209" s="389"/>
      <c r="D209" s="390"/>
      <c r="E209" s="391"/>
      <c r="F209" s="421"/>
      <c r="G209" s="396"/>
      <c r="H209" s="392"/>
      <c r="I209" s="422"/>
      <c r="J209" s="394"/>
      <c r="K209" s="411"/>
    </row>
    <row r="210" spans="1:13" ht="30" customHeight="1">
      <c r="A210" s="387"/>
      <c r="B210" s="388"/>
      <c r="C210" s="389"/>
      <c r="D210" s="390"/>
      <c r="E210" s="391"/>
      <c r="F210" s="421"/>
      <c r="G210" s="396"/>
      <c r="H210" s="392"/>
      <c r="I210" s="422"/>
      <c r="J210" s="397"/>
      <c r="K210" s="411"/>
      <c r="L210" s="406"/>
    </row>
    <row r="211" spans="1:13" ht="30" customHeight="1">
      <c r="A211" s="387"/>
      <c r="B211" s="388"/>
      <c r="C211" s="389"/>
      <c r="D211" s="390"/>
      <c r="E211" s="391"/>
      <c r="F211" s="421"/>
      <c r="G211" s="396"/>
      <c r="H211" s="392"/>
      <c r="I211" s="422"/>
      <c r="J211" s="394"/>
      <c r="K211" s="414"/>
      <c r="L211" s="406"/>
    </row>
    <row r="212" spans="1:13" ht="30" customHeight="1">
      <c r="A212" s="387"/>
      <c r="B212" s="388"/>
      <c r="C212" s="389"/>
      <c r="D212" s="390"/>
      <c r="E212" s="391"/>
      <c r="F212" s="421"/>
      <c r="G212" s="396"/>
      <c r="H212" s="392"/>
      <c r="I212" s="422"/>
      <c r="J212" s="397"/>
      <c r="K212" s="411"/>
      <c r="L212" s="406"/>
    </row>
    <row r="213" spans="1:13" ht="30" customHeight="1">
      <c r="A213" s="387"/>
      <c r="B213" s="388"/>
      <c r="C213" s="389"/>
      <c r="D213" s="390"/>
      <c r="E213" s="391"/>
      <c r="F213" s="421"/>
      <c r="G213" s="396"/>
      <c r="H213" s="392"/>
      <c r="I213" s="422"/>
      <c r="J213" s="394"/>
      <c r="K213" s="411"/>
      <c r="L213" s="406"/>
    </row>
    <row r="214" spans="1:13" ht="30" customHeight="1">
      <c r="A214" s="387"/>
      <c r="B214" s="388"/>
      <c r="C214" s="389"/>
      <c r="D214" s="390"/>
      <c r="E214" s="391"/>
      <c r="F214" s="421"/>
      <c r="G214" s="396"/>
      <c r="H214" s="392"/>
      <c r="I214" s="422"/>
      <c r="J214" s="394"/>
      <c r="K214" s="414"/>
      <c r="L214" s="406"/>
    </row>
    <row r="215" spans="1:13" ht="30" customHeight="1">
      <c r="A215" s="387"/>
      <c r="B215" s="388"/>
      <c r="C215" s="389"/>
      <c r="D215" s="390"/>
      <c r="E215" s="391"/>
      <c r="F215" s="421"/>
      <c r="G215" s="396"/>
      <c r="H215" s="392"/>
      <c r="I215" s="422"/>
      <c r="J215" s="397"/>
      <c r="K215" s="411"/>
      <c r="L215" s="406"/>
    </row>
    <row r="216" spans="1:13" ht="30" customHeight="1">
      <c r="A216" s="387"/>
      <c r="B216" s="400"/>
      <c r="C216" s="387"/>
      <c r="D216" s="401"/>
      <c r="E216" s="391"/>
      <c r="F216" s="422"/>
      <c r="G216" s="399"/>
      <c r="H216" s="390"/>
      <c r="I216" s="422"/>
      <c r="J216" s="394"/>
      <c r="K216" s="412"/>
    </row>
    <row r="217" spans="1:13" ht="30" customHeight="1">
      <c r="A217" s="387"/>
      <c r="B217" s="388"/>
      <c r="C217" s="389"/>
      <c r="D217" s="390"/>
      <c r="E217" s="391"/>
      <c r="F217" s="421"/>
      <c r="G217" s="396"/>
      <c r="H217" s="392"/>
      <c r="I217" s="422"/>
      <c r="J217" s="397"/>
      <c r="K217" s="411"/>
      <c r="L217" s="406"/>
    </row>
    <row r="218" spans="1:13" ht="30" customHeight="1">
      <c r="A218" s="387"/>
      <c r="B218" s="388"/>
      <c r="C218" s="389"/>
      <c r="D218" s="390"/>
      <c r="E218" s="391"/>
      <c r="F218" s="421"/>
      <c r="G218" s="396"/>
      <c r="H218" s="392"/>
      <c r="I218" s="422"/>
      <c r="J218" s="394"/>
      <c r="K218" s="414"/>
      <c r="L218" s="406"/>
    </row>
    <row r="219" spans="1:13" ht="30" customHeight="1">
      <c r="A219" s="387"/>
      <c r="B219" s="388"/>
      <c r="C219" s="389"/>
      <c r="D219" s="390"/>
      <c r="E219" s="391"/>
      <c r="F219" s="421"/>
      <c r="G219" s="396"/>
      <c r="H219" s="392"/>
      <c r="I219" s="422"/>
      <c r="J219" s="397"/>
      <c r="K219" s="411"/>
      <c r="L219" s="406"/>
      <c r="M219" s="406"/>
    </row>
    <row r="220" spans="1:13" ht="30" customHeight="1">
      <c r="A220" s="387"/>
      <c r="B220" s="388"/>
      <c r="C220" s="389"/>
      <c r="D220" s="390"/>
      <c r="E220" s="391"/>
      <c r="F220" s="421"/>
      <c r="G220" s="417"/>
      <c r="H220" s="392"/>
      <c r="I220" s="422"/>
      <c r="J220" s="394"/>
      <c r="K220" s="414"/>
      <c r="L220" s="406"/>
    </row>
    <row r="221" spans="1:13" ht="30" customHeight="1">
      <c r="A221" s="387"/>
      <c r="B221" s="388"/>
      <c r="C221" s="389"/>
      <c r="D221" s="390"/>
      <c r="E221" s="391"/>
      <c r="F221" s="421"/>
      <c r="G221" s="417"/>
      <c r="H221" s="392"/>
      <c r="I221" s="422"/>
      <c r="J221" s="394"/>
      <c r="K221" s="411"/>
      <c r="L221" s="406"/>
    </row>
    <row r="222" spans="1:13" ht="30" customHeight="1">
      <c r="A222" s="387"/>
      <c r="B222" s="388"/>
      <c r="C222" s="389"/>
      <c r="D222" s="390"/>
      <c r="E222" s="391"/>
      <c r="F222" s="421"/>
      <c r="G222" s="396"/>
      <c r="H222" s="392"/>
      <c r="I222" s="422"/>
      <c r="J222" s="394"/>
      <c r="K222" s="411"/>
    </row>
    <row r="223" spans="1:13" ht="30" customHeight="1">
      <c r="A223" s="387"/>
      <c r="B223" s="388"/>
      <c r="C223" s="389"/>
      <c r="D223" s="390"/>
      <c r="E223" s="391"/>
      <c r="F223" s="421"/>
      <c r="G223" s="396"/>
      <c r="H223" s="392"/>
      <c r="I223" s="422"/>
      <c r="J223" s="394"/>
      <c r="K223" s="411"/>
      <c r="L223" s="406"/>
    </row>
    <row r="224" spans="1:13" ht="30" customHeight="1">
      <c r="A224" s="387"/>
      <c r="B224" s="388"/>
      <c r="C224" s="389"/>
      <c r="D224" s="390"/>
      <c r="E224" s="391"/>
      <c r="F224" s="421"/>
      <c r="G224" s="396"/>
      <c r="H224" s="392"/>
      <c r="I224" s="422"/>
      <c r="J224" s="394"/>
      <c r="K224" s="414"/>
      <c r="L224" s="406"/>
    </row>
    <row r="225" spans="1:12" ht="30" customHeight="1">
      <c r="A225" s="387"/>
      <c r="B225" s="388"/>
      <c r="C225" s="389"/>
      <c r="D225" s="390"/>
      <c r="E225" s="391"/>
      <c r="F225" s="421"/>
      <c r="G225" s="396"/>
      <c r="H225" s="392"/>
      <c r="I225" s="422"/>
      <c r="J225" s="394"/>
      <c r="K225" s="414"/>
      <c r="L225" s="406"/>
    </row>
    <row r="226" spans="1:12" ht="30" customHeight="1">
      <c r="A226" s="387"/>
      <c r="B226" s="388"/>
      <c r="C226" s="389"/>
      <c r="D226" s="390"/>
      <c r="E226" s="391"/>
      <c r="F226" s="421"/>
      <c r="G226" s="396"/>
      <c r="H226" s="397"/>
      <c r="I226" s="422"/>
      <c r="J226" s="394"/>
      <c r="K226" s="414"/>
      <c r="L226" s="406"/>
    </row>
    <row r="227" spans="1:12" ht="30" customHeight="1">
      <c r="A227" s="387"/>
      <c r="B227" s="388"/>
      <c r="C227" s="389"/>
      <c r="D227" s="390"/>
      <c r="E227" s="391"/>
      <c r="F227" s="421"/>
      <c r="G227" s="396"/>
      <c r="H227" s="392"/>
      <c r="I227" s="422"/>
      <c r="J227" s="394"/>
      <c r="K227" s="411"/>
      <c r="L227" s="406"/>
    </row>
    <row r="228" spans="1:12" ht="30" customHeight="1">
      <c r="A228" s="387"/>
      <c r="B228" s="388"/>
      <c r="C228" s="389"/>
      <c r="D228" s="390"/>
      <c r="E228" s="391"/>
      <c r="F228" s="421"/>
      <c r="G228" s="396"/>
      <c r="H228" s="392"/>
      <c r="I228" s="422"/>
      <c r="J228" s="397"/>
      <c r="K228" s="411"/>
      <c r="L228" s="406"/>
    </row>
    <row r="229" spans="1:12" ht="30" customHeight="1">
      <c r="A229" s="387"/>
      <c r="B229" s="388"/>
      <c r="C229" s="389"/>
      <c r="D229" s="390"/>
      <c r="E229" s="391"/>
      <c r="F229" s="421"/>
      <c r="G229" s="396"/>
      <c r="H229" s="392"/>
      <c r="I229" s="422"/>
      <c r="J229" s="397"/>
      <c r="K229" s="411"/>
      <c r="L229" s="406"/>
    </row>
    <row r="230" spans="1:12" ht="30" customHeight="1">
      <c r="A230" s="387"/>
      <c r="B230" s="400"/>
      <c r="C230" s="387"/>
      <c r="D230" s="401"/>
      <c r="E230" s="391"/>
      <c r="F230" s="422"/>
      <c r="G230" s="418"/>
      <c r="H230" s="392"/>
      <c r="I230" s="422"/>
      <c r="J230" s="394"/>
      <c r="K230" s="412"/>
    </row>
    <row r="231" spans="1:12" ht="30" customHeight="1">
      <c r="A231" s="387"/>
      <c r="B231" s="388"/>
      <c r="C231" s="389"/>
      <c r="D231" s="390"/>
      <c r="E231" s="391"/>
      <c r="F231" s="421"/>
      <c r="G231" s="396"/>
      <c r="H231" s="392"/>
      <c r="I231" s="422"/>
      <c r="J231" s="397"/>
      <c r="K231" s="411"/>
      <c r="L231" s="406"/>
    </row>
    <row r="232" spans="1:12" ht="30" customHeight="1">
      <c r="A232" s="387"/>
      <c r="B232" s="388"/>
      <c r="C232" s="389"/>
      <c r="D232" s="390"/>
      <c r="E232" s="391"/>
      <c r="F232" s="421"/>
      <c r="G232" s="396"/>
      <c r="H232" s="392"/>
      <c r="I232" s="422"/>
      <c r="J232" s="397"/>
      <c r="K232" s="411"/>
      <c r="L232" s="406"/>
    </row>
    <row r="233" spans="1:12" ht="30" customHeight="1">
      <c r="A233" s="387"/>
      <c r="B233" s="388"/>
      <c r="C233" s="389"/>
      <c r="D233" s="390"/>
      <c r="E233" s="391"/>
      <c r="F233" s="421"/>
      <c r="G233" s="396"/>
      <c r="H233" s="392"/>
      <c r="I233" s="422"/>
      <c r="J233" s="394"/>
      <c r="K233" s="414"/>
      <c r="L233" s="406"/>
    </row>
    <row r="234" spans="1:12" ht="30" customHeight="1">
      <c r="A234" s="387"/>
      <c r="B234" s="388"/>
      <c r="C234" s="389"/>
      <c r="D234" s="390"/>
      <c r="E234" s="391"/>
      <c r="F234" s="421"/>
      <c r="G234" s="396"/>
      <c r="H234" s="392"/>
      <c r="I234" s="422"/>
      <c r="J234" s="397"/>
      <c r="K234" s="411"/>
      <c r="L234" s="406"/>
    </row>
    <row r="235" spans="1:12" ht="30" customHeight="1">
      <c r="A235" s="387"/>
      <c r="B235" s="388"/>
      <c r="C235" s="389"/>
      <c r="D235" s="390"/>
      <c r="E235" s="391"/>
      <c r="F235" s="421"/>
      <c r="G235" s="396"/>
      <c r="H235" s="397"/>
      <c r="I235" s="422"/>
      <c r="J235" s="394"/>
      <c r="K235" s="414"/>
      <c r="L235" s="406"/>
    </row>
    <row r="236" spans="1:12" ht="30" customHeight="1">
      <c r="A236" s="387"/>
      <c r="B236" s="388"/>
      <c r="C236" s="389"/>
      <c r="D236" s="390"/>
      <c r="E236" s="391"/>
      <c r="F236" s="421"/>
      <c r="G236" s="396"/>
      <c r="H236" s="392"/>
      <c r="I236" s="422"/>
      <c r="J236" s="394"/>
      <c r="K236" s="414"/>
      <c r="L236" s="406"/>
    </row>
    <row r="237" spans="1:12" ht="30" customHeight="1">
      <c r="A237" s="387"/>
      <c r="B237" s="388"/>
      <c r="C237" s="389"/>
      <c r="D237" s="390"/>
      <c r="E237" s="391"/>
      <c r="F237" s="421"/>
      <c r="G237" s="396"/>
      <c r="H237" s="392"/>
      <c r="I237" s="422"/>
      <c r="J237" s="394"/>
      <c r="K237" s="414"/>
      <c r="L237" s="406"/>
    </row>
    <row r="238" spans="1:12" ht="30" customHeight="1">
      <c r="A238" s="387"/>
      <c r="B238" s="388"/>
      <c r="C238" s="389"/>
      <c r="D238" s="390"/>
      <c r="E238" s="391"/>
      <c r="F238" s="421"/>
      <c r="G238" s="396"/>
      <c r="H238" s="397"/>
      <c r="I238" s="422"/>
      <c r="J238" s="394"/>
      <c r="K238" s="414"/>
      <c r="L238" s="406"/>
    </row>
    <row r="239" spans="1:12" ht="30" customHeight="1">
      <c r="A239" s="387"/>
      <c r="B239" s="388"/>
      <c r="C239" s="389"/>
      <c r="D239" s="390"/>
      <c r="E239" s="391"/>
      <c r="F239" s="421"/>
      <c r="G239" s="396"/>
      <c r="H239" s="392"/>
      <c r="I239" s="422"/>
      <c r="J239" s="394"/>
      <c r="K239" s="414"/>
      <c r="L239" s="406"/>
    </row>
    <row r="240" spans="1:12" ht="30" customHeight="1">
      <c r="A240" s="387"/>
      <c r="B240" s="388"/>
      <c r="C240" s="389"/>
      <c r="D240" s="390"/>
      <c r="E240" s="391"/>
      <c r="F240" s="421"/>
      <c r="G240" s="396"/>
      <c r="H240" s="397"/>
      <c r="I240" s="422"/>
      <c r="J240" s="394"/>
      <c r="K240" s="414"/>
      <c r="L240" s="406"/>
    </row>
    <row r="241" spans="1:24" ht="30" customHeight="1">
      <c r="A241" s="387"/>
      <c r="B241" s="388"/>
      <c r="C241" s="389"/>
      <c r="D241" s="390"/>
      <c r="E241" s="391"/>
      <c r="F241" s="421"/>
      <c r="G241" s="396"/>
      <c r="H241" s="392"/>
      <c r="I241" s="422"/>
      <c r="J241" s="394"/>
      <c r="K241" s="411"/>
      <c r="L241" s="406"/>
    </row>
    <row r="242" spans="1:24" ht="30" customHeight="1">
      <c r="A242" s="387"/>
      <c r="B242" s="388"/>
      <c r="C242" s="389"/>
      <c r="D242" s="390"/>
      <c r="E242" s="391"/>
      <c r="F242" s="421"/>
      <c r="G242" s="396"/>
      <c r="H242" s="392"/>
      <c r="I242" s="422"/>
      <c r="J242" s="394"/>
      <c r="K242" s="411"/>
    </row>
    <row r="243" spans="1:24" ht="30" customHeight="1">
      <c r="A243" s="387"/>
      <c r="B243" s="400"/>
      <c r="C243" s="389"/>
      <c r="D243" s="401"/>
      <c r="E243" s="391"/>
      <c r="F243" s="422"/>
      <c r="G243" s="415"/>
      <c r="H243" s="394"/>
      <c r="I243" s="422"/>
      <c r="J243" s="394"/>
      <c r="K243" s="414"/>
      <c r="L243" s="406"/>
    </row>
    <row r="244" spans="1:24" ht="30" customHeight="1">
      <c r="A244" s="387"/>
      <c r="B244" s="388"/>
      <c r="C244" s="389"/>
      <c r="D244" s="390"/>
      <c r="E244" s="391"/>
      <c r="F244" s="421"/>
      <c r="G244" s="396"/>
      <c r="H244" s="397"/>
      <c r="I244" s="422"/>
      <c r="J244" s="394"/>
      <c r="K244" s="414"/>
      <c r="L244" s="406"/>
    </row>
    <row r="245" spans="1:24" ht="30" customHeight="1">
      <c r="A245" s="387"/>
      <c r="B245" s="388"/>
      <c r="C245" s="389"/>
      <c r="D245" s="390"/>
      <c r="E245" s="391"/>
      <c r="F245" s="421"/>
      <c r="G245" s="396"/>
      <c r="H245" s="397"/>
      <c r="I245" s="422"/>
      <c r="J245" s="394"/>
      <c r="K245" s="414"/>
      <c r="L245" s="406"/>
    </row>
    <row r="246" spans="1:24" ht="30" customHeight="1">
      <c r="A246" s="387"/>
      <c r="B246" s="388"/>
      <c r="C246" s="389"/>
      <c r="D246" s="390"/>
      <c r="E246" s="391"/>
      <c r="F246" s="421"/>
      <c r="G246" s="399"/>
      <c r="H246" s="397"/>
      <c r="I246" s="422"/>
      <c r="J246" s="394"/>
      <c r="K246" s="411"/>
      <c r="L246" s="406"/>
    </row>
    <row r="247" spans="1:24" ht="30" customHeight="1">
      <c r="A247" s="387"/>
      <c r="B247" s="400"/>
      <c r="C247" s="389"/>
      <c r="D247" s="401"/>
      <c r="E247" s="391"/>
      <c r="F247" s="422"/>
      <c r="G247" s="415"/>
      <c r="H247" s="392"/>
      <c r="I247" s="422"/>
      <c r="J247" s="394"/>
      <c r="K247" s="414"/>
      <c r="L247" s="406"/>
    </row>
    <row r="248" spans="1:24" ht="30" customHeight="1">
      <c r="A248" s="387"/>
      <c r="B248" s="388"/>
      <c r="C248" s="389"/>
      <c r="D248" s="390"/>
      <c r="E248" s="391"/>
      <c r="F248" s="421"/>
      <c r="G248" s="396"/>
      <c r="H248" s="397"/>
      <c r="I248" s="422"/>
      <c r="J248" s="394"/>
      <c r="K248" s="414"/>
      <c r="L248" s="406"/>
      <c r="X248" s="400" t="s">
        <v>462</v>
      </c>
    </row>
    <row r="249" spans="1:24" ht="30" customHeight="1">
      <c r="A249" s="387"/>
      <c r="B249" s="388"/>
      <c r="C249" s="389"/>
      <c r="D249" s="390"/>
      <c r="E249" s="391"/>
      <c r="F249" s="421"/>
      <c r="G249" s="396"/>
      <c r="H249" s="397"/>
      <c r="I249" s="422"/>
      <c r="J249" s="394"/>
      <c r="K249" s="414"/>
      <c r="L249" s="406"/>
      <c r="X249" s="400" t="s">
        <v>463</v>
      </c>
    </row>
    <row r="250" spans="1:24" ht="30" customHeight="1">
      <c r="A250" s="387"/>
      <c r="B250" s="388"/>
      <c r="C250" s="389"/>
      <c r="D250" s="401"/>
      <c r="E250" s="391"/>
      <c r="F250" s="422"/>
      <c r="G250" s="396"/>
      <c r="H250" s="394"/>
      <c r="I250" s="422"/>
      <c r="J250" s="394"/>
      <c r="K250" s="414"/>
      <c r="L250" s="406"/>
      <c r="X250" s="400" t="s">
        <v>464</v>
      </c>
    </row>
    <row r="251" spans="1:24" ht="30" customHeight="1">
      <c r="A251" s="387"/>
      <c r="B251" s="388"/>
      <c r="C251" s="389"/>
      <c r="D251" s="401"/>
      <c r="E251" s="391"/>
      <c r="F251" s="422"/>
      <c r="G251" s="419"/>
      <c r="H251" s="403"/>
      <c r="I251" s="422"/>
      <c r="J251" s="394"/>
      <c r="K251" s="414"/>
      <c r="L251" s="406"/>
      <c r="X251" s="400"/>
    </row>
    <row r="252" spans="1:24" ht="30" customHeight="1">
      <c r="A252" s="387"/>
      <c r="B252" s="388"/>
      <c r="C252" s="389"/>
      <c r="D252" s="390"/>
      <c r="E252" s="391"/>
      <c r="F252" s="421"/>
      <c r="G252" s="396"/>
      <c r="H252" s="392"/>
      <c r="I252" s="422"/>
      <c r="J252" s="394"/>
      <c r="K252" s="414"/>
      <c r="L252" s="406"/>
      <c r="X252" s="400"/>
    </row>
    <row r="253" spans="1:24" ht="30" customHeight="1">
      <c r="A253" s="387"/>
      <c r="B253" s="388"/>
      <c r="C253" s="389"/>
      <c r="D253" s="390"/>
      <c r="E253" s="391"/>
      <c r="F253" s="421"/>
      <c r="G253" s="396"/>
      <c r="H253" s="397"/>
      <c r="I253" s="422"/>
      <c r="J253" s="394"/>
      <c r="K253" s="414"/>
      <c r="L253" s="406"/>
      <c r="X253" s="400" t="s">
        <v>418</v>
      </c>
    </row>
    <row r="254" spans="1:24" ht="30" customHeight="1">
      <c r="A254" s="387"/>
      <c r="B254" s="388"/>
      <c r="C254" s="389"/>
      <c r="D254" s="390"/>
      <c r="E254" s="391"/>
      <c r="F254" s="421"/>
      <c r="G254" s="396"/>
      <c r="H254" s="392"/>
      <c r="I254" s="422"/>
      <c r="J254" s="397"/>
      <c r="K254" s="411"/>
      <c r="L254" s="406"/>
      <c r="X254" s="400" t="s">
        <v>174</v>
      </c>
    </row>
    <row r="255" spans="1:24" ht="30" customHeight="1">
      <c r="A255" s="387"/>
      <c r="B255" s="388"/>
      <c r="C255" s="389"/>
      <c r="D255" s="390"/>
      <c r="E255" s="391"/>
      <c r="F255" s="421"/>
      <c r="G255" s="396"/>
      <c r="H255" s="397"/>
      <c r="I255" s="422"/>
      <c r="J255" s="394"/>
      <c r="K255" s="414"/>
      <c r="L255" s="406"/>
      <c r="X255" s="400" t="s">
        <v>178</v>
      </c>
    </row>
    <row r="256" spans="1:24" ht="30" customHeight="1">
      <c r="A256" s="387"/>
      <c r="B256" s="388"/>
      <c r="C256" s="389"/>
      <c r="D256" s="390"/>
      <c r="E256" s="391"/>
      <c r="F256" s="421"/>
      <c r="G256" s="396"/>
      <c r="H256" s="392"/>
      <c r="I256" s="422"/>
      <c r="J256" s="397"/>
      <c r="K256" s="411"/>
      <c r="L256" s="406"/>
      <c r="X256" s="400" t="s">
        <v>179</v>
      </c>
    </row>
    <row r="257" spans="1:24" ht="30" customHeight="1">
      <c r="A257" s="387"/>
      <c r="B257" s="388"/>
      <c r="C257" s="389"/>
      <c r="D257" s="390"/>
      <c r="E257" s="391"/>
      <c r="F257" s="421"/>
      <c r="G257" s="396"/>
      <c r="H257" s="392"/>
      <c r="I257" s="422"/>
      <c r="J257" s="394"/>
      <c r="K257" s="411"/>
      <c r="L257" s="406"/>
      <c r="X257" s="400" t="s">
        <v>176</v>
      </c>
    </row>
    <row r="258" spans="1:24" ht="30" customHeight="1">
      <c r="A258" s="387"/>
      <c r="B258" s="388"/>
      <c r="C258" s="389"/>
      <c r="D258" s="390"/>
      <c r="E258" s="391"/>
      <c r="F258" s="421"/>
      <c r="G258" s="396"/>
      <c r="H258" s="397"/>
      <c r="I258" s="422"/>
      <c r="J258" s="394"/>
      <c r="K258" s="414"/>
      <c r="L258" s="406"/>
      <c r="X258" s="400"/>
    </row>
    <row r="259" spans="1:24" ht="30" customHeight="1">
      <c r="A259" s="387"/>
      <c r="B259" s="388"/>
      <c r="C259" s="389"/>
      <c r="D259" s="390"/>
      <c r="E259" s="391"/>
      <c r="F259" s="421"/>
      <c r="G259" s="396"/>
      <c r="H259" s="397"/>
      <c r="I259" s="422"/>
      <c r="J259" s="394"/>
      <c r="K259" s="414"/>
      <c r="L259" s="406"/>
      <c r="X259" s="400"/>
    </row>
    <row r="260" spans="1:24" ht="30" customHeight="1">
      <c r="A260" s="387"/>
      <c r="B260" s="388"/>
      <c r="C260" s="389"/>
      <c r="D260" s="390"/>
      <c r="E260" s="391"/>
      <c r="F260" s="421"/>
      <c r="G260" s="396"/>
      <c r="H260" s="397"/>
      <c r="I260" s="422"/>
      <c r="J260" s="394"/>
      <c r="K260" s="414"/>
      <c r="L260" s="406"/>
      <c r="X260" s="400"/>
    </row>
    <row r="261" spans="1:24" ht="30" customHeight="1">
      <c r="A261" s="387"/>
      <c r="B261" s="388"/>
      <c r="C261" s="389"/>
      <c r="D261" s="390"/>
      <c r="E261" s="391"/>
      <c r="F261" s="421"/>
      <c r="G261" s="396"/>
      <c r="H261" s="397"/>
      <c r="I261" s="422"/>
      <c r="J261" s="394"/>
      <c r="K261" s="414"/>
      <c r="L261" s="406"/>
      <c r="X261" s="400"/>
    </row>
    <row r="262" spans="1:24" ht="30" customHeight="1">
      <c r="A262" s="387"/>
      <c r="B262" s="400"/>
      <c r="C262" s="389"/>
      <c r="D262" s="401"/>
      <c r="E262" s="391"/>
      <c r="F262" s="422"/>
      <c r="G262" s="418"/>
      <c r="H262" s="392"/>
      <c r="I262" s="422"/>
      <c r="J262" s="394"/>
      <c r="K262" s="414"/>
      <c r="L262" s="406"/>
      <c r="X262" s="400"/>
    </row>
    <row r="263" spans="1:24" ht="30" customHeight="1">
      <c r="A263" s="387"/>
      <c r="B263" s="388"/>
      <c r="C263" s="389"/>
      <c r="D263" s="401"/>
      <c r="E263" s="391"/>
      <c r="F263" s="422"/>
      <c r="G263" s="396"/>
      <c r="H263" s="394"/>
      <c r="I263" s="422"/>
      <c r="J263" s="394"/>
      <c r="K263" s="411"/>
      <c r="L263" s="406"/>
      <c r="X263" s="400"/>
    </row>
    <row r="264" spans="1:24" ht="30" customHeight="1">
      <c r="A264" s="387"/>
      <c r="B264" s="400"/>
      <c r="C264" s="389"/>
      <c r="D264" s="401"/>
      <c r="E264" s="391"/>
      <c r="F264" s="422"/>
      <c r="G264" s="415"/>
      <c r="H264" s="392"/>
      <c r="I264" s="422"/>
      <c r="J264" s="394"/>
      <c r="K264" s="414"/>
      <c r="L264" s="406"/>
      <c r="X264" s="400"/>
    </row>
    <row r="265" spans="1:24" ht="30" customHeight="1">
      <c r="A265" s="387"/>
      <c r="B265" s="388"/>
      <c r="C265" s="389"/>
      <c r="D265" s="401"/>
      <c r="E265" s="391"/>
      <c r="F265" s="422"/>
      <c r="G265" s="416"/>
      <c r="H265" s="392"/>
      <c r="I265" s="422"/>
      <c r="J265" s="394"/>
      <c r="K265" s="414"/>
      <c r="L265" s="406"/>
      <c r="X265" s="400"/>
    </row>
    <row r="266" spans="1:24" ht="30" customHeight="1">
      <c r="A266" s="387"/>
      <c r="B266" s="388"/>
      <c r="C266" s="389"/>
      <c r="D266" s="401"/>
      <c r="E266" s="391"/>
      <c r="F266" s="422"/>
      <c r="G266" s="396"/>
      <c r="H266" s="397"/>
      <c r="I266" s="422"/>
      <c r="J266" s="394"/>
      <c r="K266" s="414"/>
      <c r="L266" s="406"/>
      <c r="X266" s="400"/>
    </row>
    <row r="267" spans="1:24" ht="30" customHeight="1">
      <c r="A267" s="387"/>
      <c r="B267" s="388"/>
      <c r="C267" s="389"/>
      <c r="D267" s="401"/>
      <c r="E267" s="391"/>
      <c r="F267" s="422"/>
      <c r="G267" s="396"/>
      <c r="H267" s="394"/>
      <c r="I267" s="422"/>
      <c r="J267" s="394"/>
      <c r="K267" s="414"/>
      <c r="L267" s="406"/>
      <c r="X267" s="400"/>
    </row>
    <row r="268" spans="1:24" ht="30" customHeight="1">
      <c r="A268" s="387"/>
      <c r="B268" s="388"/>
      <c r="C268" s="389"/>
      <c r="D268" s="401"/>
      <c r="E268" s="391"/>
      <c r="F268" s="422"/>
      <c r="G268" s="396"/>
      <c r="H268" s="394"/>
      <c r="I268" s="422"/>
      <c r="J268" s="394"/>
      <c r="K268" s="414"/>
      <c r="L268" s="406"/>
      <c r="X268" s="400"/>
    </row>
    <row r="269" spans="1:24" ht="30" customHeight="1">
      <c r="A269" s="387"/>
      <c r="B269" s="388"/>
      <c r="C269" s="389"/>
      <c r="D269" s="401"/>
      <c r="E269" s="391"/>
      <c r="F269" s="422"/>
      <c r="G269" s="396"/>
      <c r="H269" s="394"/>
      <c r="I269" s="422"/>
      <c r="J269" s="394"/>
      <c r="K269" s="414"/>
      <c r="L269" s="406"/>
      <c r="X269" s="400"/>
    </row>
    <row r="270" spans="1:24" ht="30" customHeight="1">
      <c r="A270" s="387"/>
      <c r="B270" s="389"/>
      <c r="C270" s="389"/>
      <c r="D270" s="401"/>
      <c r="E270" s="391"/>
      <c r="F270" s="422"/>
      <c r="G270" s="396"/>
      <c r="H270" s="394"/>
      <c r="I270" s="422"/>
      <c r="J270" s="394"/>
      <c r="K270" s="414"/>
      <c r="L270" s="406"/>
      <c r="X270" s="400"/>
    </row>
    <row r="271" spans="1:24" ht="30" customHeight="1">
      <c r="A271" s="387"/>
      <c r="B271" s="388"/>
      <c r="C271" s="389"/>
      <c r="D271" s="401"/>
      <c r="E271" s="391"/>
      <c r="F271" s="422"/>
      <c r="G271" s="396"/>
      <c r="H271" s="397"/>
      <c r="I271" s="422"/>
      <c r="J271" s="394"/>
      <c r="K271" s="414"/>
      <c r="L271" s="406"/>
      <c r="X271" s="400"/>
    </row>
    <row r="272" spans="1:24" ht="30" customHeight="1">
      <c r="A272" s="387"/>
      <c r="B272" s="388"/>
      <c r="C272" s="389"/>
      <c r="D272" s="401"/>
      <c r="E272" s="391"/>
      <c r="F272" s="422"/>
      <c r="G272" s="396"/>
      <c r="H272" s="394"/>
      <c r="I272" s="422"/>
      <c r="J272" s="394"/>
      <c r="K272" s="414"/>
      <c r="L272" s="406"/>
      <c r="X272" s="400"/>
    </row>
    <row r="273" spans="1:24" ht="30" customHeight="1">
      <c r="A273" s="387"/>
      <c r="B273" s="388"/>
      <c r="C273" s="389"/>
      <c r="D273" s="401"/>
      <c r="E273" s="391"/>
      <c r="F273" s="422"/>
      <c r="G273" s="396"/>
      <c r="H273" s="397"/>
      <c r="I273" s="422"/>
      <c r="J273" s="394"/>
      <c r="K273" s="414"/>
      <c r="L273" s="406"/>
      <c r="X273" s="400"/>
    </row>
    <row r="274" spans="1:24" ht="30" customHeight="1">
      <c r="A274" s="387"/>
      <c r="B274" s="388"/>
      <c r="C274" s="389"/>
      <c r="D274" s="389"/>
      <c r="E274" s="391"/>
      <c r="F274" s="422"/>
      <c r="G274" s="416"/>
      <c r="H274" s="392"/>
      <c r="I274" s="422"/>
      <c r="J274" s="394"/>
      <c r="K274" s="414"/>
      <c r="L274" s="406"/>
      <c r="X274" s="400"/>
    </row>
    <row r="275" spans="1:24" ht="30" customHeight="1">
      <c r="A275" s="387"/>
      <c r="B275" s="388"/>
      <c r="C275" s="389"/>
      <c r="D275" s="389"/>
      <c r="E275" s="391"/>
      <c r="F275" s="422"/>
      <c r="G275" s="416"/>
      <c r="H275" s="392"/>
      <c r="I275" s="422"/>
      <c r="J275" s="394"/>
      <c r="K275" s="414"/>
      <c r="L275" s="406"/>
      <c r="X275" s="400"/>
    </row>
    <row r="276" spans="1:24" ht="30" customHeight="1">
      <c r="A276" s="387"/>
      <c r="B276" s="388"/>
      <c r="C276" s="389"/>
      <c r="D276" s="389"/>
      <c r="E276" s="391"/>
      <c r="F276" s="422"/>
      <c r="G276" s="416"/>
      <c r="H276" s="392"/>
      <c r="I276" s="422"/>
      <c r="J276" s="394"/>
      <c r="K276" s="414"/>
      <c r="L276" s="406"/>
      <c r="X276" s="400"/>
    </row>
    <row r="277" spans="1:24" ht="30" customHeight="1">
      <c r="A277" s="387"/>
      <c r="B277" s="388"/>
      <c r="C277" s="389"/>
      <c r="D277" s="389"/>
      <c r="E277" s="391"/>
      <c r="F277" s="422"/>
      <c r="G277" s="396"/>
      <c r="H277" s="397"/>
      <c r="I277" s="422"/>
      <c r="J277" s="394"/>
      <c r="K277" s="414"/>
      <c r="L277" s="406"/>
      <c r="X277" s="400"/>
    </row>
    <row r="278" spans="1:24" ht="30" customHeight="1">
      <c r="A278" s="387"/>
      <c r="B278" s="388"/>
      <c r="C278" s="389"/>
      <c r="D278" s="389"/>
      <c r="E278" s="391"/>
      <c r="F278" s="422"/>
      <c r="G278" s="396"/>
      <c r="H278" s="397"/>
      <c r="I278" s="422"/>
      <c r="J278" s="394"/>
      <c r="K278" s="414"/>
      <c r="L278" s="406"/>
      <c r="X278" s="400"/>
    </row>
    <row r="279" spans="1:24" ht="30" customHeight="1">
      <c r="A279" s="387"/>
      <c r="B279" s="388"/>
      <c r="C279" s="389"/>
      <c r="D279" s="389"/>
      <c r="E279" s="391"/>
      <c r="F279" s="422"/>
      <c r="G279" s="416"/>
      <c r="H279" s="410"/>
      <c r="I279" s="422"/>
      <c r="J279" s="394"/>
      <c r="K279" s="414"/>
      <c r="L279" s="406"/>
      <c r="X279" s="400"/>
    </row>
    <row r="280" spans="1:24" ht="30" customHeight="1">
      <c r="A280" s="387"/>
      <c r="B280" s="388"/>
      <c r="C280" s="389"/>
      <c r="D280" s="389"/>
      <c r="E280" s="391"/>
      <c r="F280" s="422"/>
      <c r="G280" s="416"/>
      <c r="H280" s="392"/>
      <c r="I280" s="422"/>
      <c r="J280" s="394"/>
      <c r="K280" s="414"/>
      <c r="L280" s="406"/>
      <c r="X280" s="400"/>
    </row>
    <row r="281" spans="1:24" ht="30" customHeight="1">
      <c r="A281" s="387"/>
      <c r="B281" s="388"/>
      <c r="C281" s="389"/>
      <c r="D281" s="389"/>
      <c r="E281" s="391"/>
      <c r="F281" s="422"/>
      <c r="G281" s="396"/>
      <c r="H281" s="392"/>
      <c r="I281" s="422"/>
      <c r="J281" s="394"/>
      <c r="K281" s="414"/>
      <c r="L281" s="406"/>
      <c r="X281" s="400"/>
    </row>
    <row r="282" spans="1:24" ht="30" customHeight="1">
      <c r="A282" s="387"/>
      <c r="B282" s="400"/>
      <c r="C282" s="389"/>
      <c r="D282" s="389"/>
      <c r="E282" s="391"/>
      <c r="F282" s="422"/>
      <c r="G282" s="415"/>
      <c r="H282" s="392"/>
      <c r="I282" s="422"/>
      <c r="J282" s="394"/>
      <c r="K282" s="414"/>
      <c r="L282" s="406"/>
      <c r="X282" s="400"/>
    </row>
    <row r="283" spans="1:24" ht="30" customHeight="1">
      <c r="A283" s="387"/>
      <c r="B283" s="388"/>
      <c r="C283" s="389"/>
      <c r="D283" s="389"/>
      <c r="E283" s="391"/>
      <c r="F283" s="422"/>
      <c r="G283" s="416"/>
      <c r="H283" s="392"/>
      <c r="I283" s="422"/>
      <c r="J283" s="394"/>
      <c r="K283" s="414"/>
      <c r="L283" s="406"/>
      <c r="X283" s="400"/>
    </row>
    <row r="284" spans="1:24" ht="30" customHeight="1">
      <c r="A284" s="387"/>
      <c r="B284" s="388"/>
      <c r="C284" s="389"/>
      <c r="D284" s="389"/>
      <c r="E284" s="391"/>
      <c r="F284" s="422"/>
      <c r="G284" s="416"/>
      <c r="H284" s="392"/>
      <c r="I284" s="422"/>
      <c r="J284" s="394"/>
      <c r="K284" s="414"/>
      <c r="L284" s="406"/>
      <c r="X284" s="400"/>
    </row>
    <row r="285" spans="1:24" ht="30" customHeight="1">
      <c r="A285" s="387"/>
      <c r="B285" s="388"/>
      <c r="C285" s="389"/>
      <c r="D285" s="389"/>
      <c r="E285" s="391"/>
      <c r="F285" s="422"/>
      <c r="G285" s="416"/>
      <c r="H285" s="392"/>
      <c r="I285" s="422"/>
      <c r="J285" s="394"/>
      <c r="K285" s="414"/>
      <c r="L285" s="406"/>
      <c r="X285" s="400"/>
    </row>
    <row r="286" spans="1:24" ht="30" customHeight="1">
      <c r="A286" s="387"/>
      <c r="B286" s="388"/>
      <c r="C286" s="389"/>
      <c r="D286" s="389"/>
      <c r="E286" s="391"/>
      <c r="F286" s="422"/>
      <c r="G286" s="416"/>
      <c r="H286" s="392"/>
      <c r="I286" s="422"/>
      <c r="J286" s="394"/>
      <c r="K286" s="414"/>
      <c r="L286" s="406"/>
      <c r="X286" s="400"/>
    </row>
    <row r="287" spans="1:24" ht="30" customHeight="1">
      <c r="A287" s="387"/>
      <c r="B287" s="400"/>
      <c r="C287" s="389"/>
      <c r="D287" s="389"/>
      <c r="E287" s="391"/>
      <c r="F287" s="422"/>
      <c r="G287" s="416"/>
      <c r="H287" s="392"/>
      <c r="I287" s="422"/>
      <c r="J287" s="394"/>
      <c r="K287" s="414"/>
      <c r="L287" s="406"/>
      <c r="X287" s="400"/>
    </row>
    <row r="288" spans="1:24" ht="30" customHeight="1">
      <c r="A288" s="387"/>
      <c r="B288" s="404"/>
      <c r="C288" s="389"/>
      <c r="D288" s="389"/>
      <c r="E288" s="391"/>
      <c r="F288" s="422"/>
      <c r="G288" s="416"/>
      <c r="H288" s="392"/>
      <c r="I288" s="422"/>
      <c r="J288" s="394"/>
      <c r="K288" s="414"/>
      <c r="L288" s="406"/>
      <c r="X288" s="400"/>
    </row>
    <row r="289" spans="1:24" ht="30" customHeight="1">
      <c r="A289" s="387"/>
      <c r="B289" s="400"/>
      <c r="C289" s="389"/>
      <c r="D289" s="389"/>
      <c r="E289" s="391"/>
      <c r="F289" s="422"/>
      <c r="G289" s="416"/>
      <c r="H289" s="392"/>
      <c r="I289" s="422"/>
      <c r="J289" s="394"/>
      <c r="K289" s="414"/>
      <c r="L289" s="406"/>
      <c r="X289" s="400"/>
    </row>
    <row r="290" spans="1:24" ht="30" customHeight="1">
      <c r="A290" s="387"/>
      <c r="B290" s="404"/>
      <c r="C290" s="389"/>
      <c r="D290" s="389"/>
      <c r="E290" s="391"/>
      <c r="F290" s="422"/>
      <c r="G290" s="416"/>
      <c r="H290" s="392"/>
      <c r="I290" s="422"/>
      <c r="J290" s="394"/>
      <c r="K290" s="414"/>
      <c r="L290" s="406"/>
      <c r="X290" s="400"/>
    </row>
    <row r="291" spans="1:24" ht="30" customHeight="1">
      <c r="A291" s="387"/>
      <c r="B291" s="404"/>
      <c r="C291" s="389"/>
      <c r="D291" s="389"/>
      <c r="E291" s="391"/>
      <c r="F291" s="422"/>
      <c r="G291" s="416"/>
      <c r="H291" s="392"/>
      <c r="I291" s="422"/>
      <c r="J291" s="394"/>
      <c r="K291" s="414"/>
      <c r="L291" s="406"/>
      <c r="X291" s="400"/>
    </row>
    <row r="292" spans="1:24" ht="30" customHeight="1">
      <c r="A292" s="387"/>
      <c r="B292" s="400"/>
      <c r="C292" s="389"/>
      <c r="D292" s="389"/>
      <c r="E292" s="391"/>
      <c r="F292" s="422"/>
      <c r="G292" s="416"/>
      <c r="H292" s="392"/>
      <c r="I292" s="422"/>
      <c r="J292" s="394"/>
      <c r="K292" s="414"/>
      <c r="L292" s="406"/>
      <c r="X292" s="400"/>
    </row>
    <row r="293" spans="1:24" ht="30" customHeight="1">
      <c r="A293" s="387"/>
      <c r="B293" s="400"/>
      <c r="C293" s="389"/>
      <c r="D293" s="389"/>
      <c r="E293" s="405"/>
      <c r="F293" s="422"/>
      <c r="G293" s="416"/>
      <c r="H293" s="392"/>
      <c r="I293" s="422"/>
      <c r="J293" s="394"/>
      <c r="K293" s="414"/>
      <c r="L293" s="406"/>
      <c r="X293" s="400"/>
    </row>
    <row r="294" spans="1:24" ht="30" customHeight="1">
      <c r="A294" s="387"/>
      <c r="B294" s="400"/>
      <c r="C294" s="389"/>
      <c r="D294" s="389"/>
      <c r="E294" s="405"/>
      <c r="F294" s="422"/>
      <c r="G294" s="416"/>
      <c r="H294" s="392"/>
      <c r="I294" s="422"/>
      <c r="J294" s="394"/>
      <c r="K294" s="414"/>
      <c r="L294" s="406"/>
      <c r="X294" s="400"/>
    </row>
    <row r="295" spans="1:24" ht="30" customHeight="1">
      <c r="A295" s="387"/>
      <c r="B295" s="400"/>
      <c r="C295" s="389"/>
      <c r="D295" s="389"/>
      <c r="E295" s="391"/>
      <c r="F295" s="422"/>
      <c r="G295" s="416"/>
      <c r="H295" s="392"/>
      <c r="I295" s="422"/>
      <c r="J295" s="394"/>
      <c r="K295" s="414"/>
      <c r="L295" s="406"/>
      <c r="X295" s="400"/>
    </row>
    <row r="296" spans="1:24" ht="30" customHeight="1">
      <c r="A296" s="387"/>
      <c r="B296" s="400"/>
      <c r="C296" s="389"/>
      <c r="D296" s="389"/>
      <c r="E296" s="391"/>
      <c r="F296" s="422"/>
      <c r="G296" s="416"/>
      <c r="H296" s="392"/>
      <c r="I296" s="422"/>
      <c r="J296" s="394"/>
      <c r="K296" s="414"/>
      <c r="L296" s="406"/>
    </row>
    <row r="297" spans="1:24" ht="30" customHeight="1">
      <c r="A297" s="387"/>
      <c r="B297" s="400"/>
      <c r="C297" s="389"/>
      <c r="D297" s="389"/>
      <c r="E297" s="405"/>
      <c r="F297" s="422"/>
      <c r="G297" s="418"/>
      <c r="H297" s="392"/>
      <c r="I297" s="422"/>
      <c r="J297" s="394"/>
      <c r="K297" s="414"/>
      <c r="L297" s="406"/>
      <c r="X297" s="400"/>
    </row>
    <row r="298" spans="1:24" ht="30" customHeight="1">
      <c r="A298" s="387"/>
      <c r="B298" s="400"/>
      <c r="C298" s="389"/>
      <c r="D298" s="389"/>
      <c r="E298" s="405"/>
      <c r="F298" s="422"/>
      <c r="G298" s="418"/>
      <c r="H298" s="392"/>
      <c r="I298" s="422"/>
      <c r="J298" s="394"/>
      <c r="K298" s="414"/>
      <c r="L298" s="406"/>
      <c r="X298" s="400"/>
    </row>
    <row r="299" spans="1:24" ht="30" customHeight="1">
      <c r="A299" s="387"/>
      <c r="B299" s="400"/>
      <c r="C299" s="389"/>
      <c r="D299" s="389"/>
      <c r="E299" s="405"/>
      <c r="F299" s="422"/>
      <c r="G299" s="416"/>
      <c r="H299" s="392"/>
      <c r="I299" s="422"/>
      <c r="J299" s="394"/>
      <c r="K299" s="414"/>
      <c r="L299" s="406"/>
      <c r="X299" s="400"/>
    </row>
    <row r="300" spans="1:24" ht="30" customHeight="1">
      <c r="A300" s="387"/>
      <c r="B300" s="400"/>
      <c r="C300" s="389"/>
      <c r="D300" s="389"/>
      <c r="E300" s="405"/>
      <c r="F300" s="422"/>
      <c r="G300" s="416"/>
      <c r="H300" s="410"/>
      <c r="I300" s="410"/>
      <c r="J300" s="394"/>
      <c r="K300" s="414"/>
      <c r="L300" s="406"/>
      <c r="X300" s="400"/>
    </row>
    <row r="301" spans="1:24" ht="30" customHeight="1">
      <c r="A301" s="387"/>
      <c r="B301" s="400"/>
      <c r="C301" s="389"/>
      <c r="D301" s="389"/>
      <c r="E301" s="405"/>
      <c r="F301" s="422"/>
      <c r="G301" s="416"/>
      <c r="H301" s="410"/>
      <c r="I301" s="410"/>
      <c r="J301" s="394"/>
      <c r="K301" s="414"/>
      <c r="L301" s="406"/>
      <c r="X301" s="400"/>
    </row>
    <row r="302" spans="1:24">
      <c r="B302" s="400"/>
      <c r="C302" s="389"/>
      <c r="F302" s="422"/>
      <c r="G302" s="418"/>
      <c r="H302" s="392"/>
      <c r="X302" s="400"/>
    </row>
    <row r="303" spans="1:24" ht="30" customHeight="1">
      <c r="A303" s="387"/>
      <c r="B303" s="400"/>
      <c r="C303" s="389"/>
      <c r="D303" s="389"/>
      <c r="E303" s="405"/>
      <c r="F303" s="422"/>
      <c r="G303" s="416"/>
      <c r="H303" s="392"/>
      <c r="I303" s="422"/>
      <c r="J303" s="394"/>
      <c r="K303" s="414"/>
      <c r="L303" s="406"/>
    </row>
    <row r="304" spans="1:24" ht="30" customHeight="1">
      <c r="A304" s="387"/>
      <c r="B304" s="400"/>
      <c r="C304" s="389"/>
      <c r="D304" s="389"/>
      <c r="E304" s="405"/>
      <c r="F304" s="422"/>
      <c r="G304" s="418"/>
      <c r="H304" s="392"/>
      <c r="I304" s="422"/>
      <c r="J304" s="394"/>
      <c r="K304" s="414"/>
      <c r="L304" s="406"/>
    </row>
    <row r="305" spans="1:12" ht="30" customHeight="1">
      <c r="A305" s="387"/>
      <c r="B305" s="400"/>
      <c r="C305" s="389"/>
      <c r="D305" s="389"/>
      <c r="E305" s="405"/>
      <c r="F305" s="422"/>
      <c r="G305" s="418"/>
      <c r="H305" s="392"/>
      <c r="I305" s="422"/>
      <c r="J305" s="394"/>
      <c r="K305" s="414"/>
      <c r="L305" s="406"/>
    </row>
    <row r="306" spans="1:12" ht="30" customHeight="1">
      <c r="A306" s="387"/>
      <c r="B306" s="400"/>
      <c r="C306" s="389"/>
      <c r="D306" s="389"/>
      <c r="E306" s="405"/>
      <c r="F306" s="422"/>
      <c r="G306" s="418"/>
      <c r="H306" s="392"/>
      <c r="I306" s="422"/>
      <c r="J306" s="394"/>
      <c r="K306" s="414"/>
      <c r="L306" s="406"/>
    </row>
    <row r="307" spans="1:12" ht="30" customHeight="1">
      <c r="A307" s="387"/>
      <c r="B307" s="400"/>
      <c r="C307" s="389"/>
      <c r="D307" s="389"/>
      <c r="E307" s="405"/>
      <c r="F307" s="422"/>
      <c r="G307" s="418"/>
      <c r="H307" s="392"/>
      <c r="I307" s="422"/>
      <c r="J307" s="394"/>
      <c r="K307" s="414"/>
      <c r="L307" s="406"/>
    </row>
    <row r="308" spans="1:12" ht="30" customHeight="1">
      <c r="A308" s="387"/>
      <c r="B308" s="400"/>
      <c r="C308" s="389"/>
      <c r="D308" s="389"/>
      <c r="E308" s="405"/>
      <c r="F308" s="422"/>
      <c r="G308" s="418"/>
      <c r="H308" s="392"/>
      <c r="I308" s="422"/>
      <c r="J308" s="394"/>
      <c r="K308" s="414"/>
      <c r="L308" s="406"/>
    </row>
    <row r="325" spans="2:2">
      <c r="B325" s="429"/>
    </row>
    <row r="326" spans="2:2">
      <c r="B326" s="429"/>
    </row>
    <row r="327" spans="2:2">
      <c r="B327" s="429"/>
    </row>
    <row r="328" spans="2:2">
      <c r="B328" s="429"/>
    </row>
    <row r="329" spans="2:2">
      <c r="B329" s="429"/>
    </row>
    <row r="330" spans="2:2">
      <c r="B330" s="429"/>
    </row>
    <row r="331" spans="2:2">
      <c r="B331" s="429"/>
    </row>
    <row r="332" spans="2:2">
      <c r="B332" s="429"/>
    </row>
    <row r="333" spans="2:2">
      <c r="B333" s="429"/>
    </row>
    <row r="334" spans="2:2">
      <c r="B334" s="429"/>
    </row>
    <row r="335" spans="2:2">
      <c r="B335" s="429"/>
    </row>
  </sheetData>
  <autoFilter ref="A2:N308" xr:uid="{2186F83F-367B-471C-AEB0-65139BA78454}"/>
  <mergeCells count="1">
    <mergeCell ref="A1:M1"/>
  </mergeCells>
  <phoneticPr fontId="80" type="noConversion"/>
  <conditionalFormatting sqref="B101:B263 B3:B98">
    <cfRule type="duplicateValues" dxfId="204" priority="994"/>
  </conditionalFormatting>
  <conditionalFormatting sqref="B152:B301">
    <cfRule type="duplicateValues" dxfId="203" priority="720"/>
  </conditionalFormatting>
  <conditionalFormatting sqref="B264:B269 B271:B301">
    <cfRule type="duplicateValues" dxfId="202" priority="722"/>
  </conditionalFormatting>
  <conditionalFormatting sqref="B271:B301 B101:B269 B3:B98">
    <cfRule type="duplicateValues" dxfId="201" priority="998"/>
  </conditionalFormatting>
  <conditionalFormatting sqref="B271:B1048576 B101:B269 B2:B98">
    <cfRule type="duplicateValues" dxfId="200" priority="1003"/>
  </conditionalFormatting>
  <conditionalFormatting sqref="B302">
    <cfRule type="duplicateValues" dxfId="199" priority="426"/>
    <cfRule type="duplicateValues" dxfId="198" priority="427"/>
    <cfRule type="duplicateValues" dxfId="197" priority="428"/>
    <cfRule type="duplicateValues" dxfId="196" priority="429"/>
    <cfRule type="duplicateValues" dxfId="195" priority="430"/>
  </conditionalFormatting>
  <conditionalFormatting sqref="B303:B308">
    <cfRule type="duplicateValues" dxfId="194" priority="10"/>
    <cfRule type="duplicateValues" dxfId="193" priority="11"/>
    <cfRule type="duplicateValues" dxfId="192" priority="12"/>
    <cfRule type="duplicateValues" dxfId="191" priority="13"/>
    <cfRule type="duplicateValues" dxfId="190" priority="14"/>
    <cfRule type="duplicateValues" dxfId="189" priority="15"/>
    <cfRule type="duplicateValues" dxfId="188" priority="16"/>
    <cfRule type="duplicateValues" dxfId="187" priority="17"/>
    <cfRule type="duplicateValues" dxfId="186" priority="18"/>
  </conditionalFormatting>
  <conditionalFormatting sqref="B309:B319">
    <cfRule type="duplicateValues" dxfId="185" priority="431"/>
    <cfRule type="duplicateValues" dxfId="184" priority="432"/>
    <cfRule type="duplicateValues" dxfId="183" priority="433"/>
    <cfRule type="duplicateValues" dxfId="182" priority="434"/>
    <cfRule type="duplicateValues" dxfId="181" priority="435"/>
  </conditionalFormatting>
  <conditionalFormatting sqref="B336:B1048576 B271:B301 B101:B269 B2:B98">
    <cfRule type="duplicateValues" dxfId="180" priority="1008"/>
    <cfRule type="duplicateValues" dxfId="179" priority="1013"/>
    <cfRule type="duplicateValues" dxfId="178" priority="1009"/>
    <cfRule type="duplicateValues" dxfId="177" priority="1010"/>
    <cfRule type="duplicateValues" dxfId="176" priority="1011"/>
    <cfRule type="duplicateValues" dxfId="175" priority="1012"/>
  </conditionalFormatting>
  <conditionalFormatting sqref="X248:X257">
    <cfRule type="duplicateValues" dxfId="174" priority="473"/>
    <cfRule type="duplicateValues" dxfId="173" priority="474"/>
    <cfRule type="duplicateValues" dxfId="172" priority="475"/>
    <cfRule type="duplicateValues" dxfId="171" priority="476"/>
    <cfRule type="duplicateValues" dxfId="170" priority="477"/>
  </conditionalFormatting>
  <conditionalFormatting sqref="X258:X295">
    <cfRule type="duplicateValues" dxfId="169" priority="743"/>
    <cfRule type="duplicateValues" dxfId="168" priority="744"/>
    <cfRule type="duplicateValues" dxfId="167" priority="745"/>
    <cfRule type="duplicateValues" dxfId="166" priority="747"/>
    <cfRule type="duplicateValues" dxfId="165" priority="746"/>
  </conditionalFormatting>
  <conditionalFormatting sqref="X297:X302">
    <cfRule type="duplicateValues" dxfId="164" priority="23"/>
    <cfRule type="duplicateValues" dxfId="163" priority="22"/>
    <cfRule type="duplicateValues" dxfId="162" priority="21"/>
    <cfRule type="duplicateValues" dxfId="161" priority="20"/>
    <cfRule type="duplicateValues" dxfId="160" priority="19"/>
  </conditionalFormatting>
  <pageMargins left="0.25" right="0.25" top="0.75" bottom="0.75" header="0.3" footer="0.3"/>
  <pageSetup paperSize="9" scale="52" fitToHeight="0" orientation="portrait" r:id="rId1"/>
  <rowBreaks count="1" manualBreakCount="1">
    <brk id="41" max="1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BA83-67EE-467F-8A65-AFFDFF66B40D}">
  <sheetPr codeName="Sheet12">
    <tabColor rgb="FF00FF00"/>
  </sheetPr>
  <dimension ref="A1:Y187"/>
  <sheetViews>
    <sheetView zoomScale="55" zoomScaleNormal="55" zoomScaleSheetLayoutView="72" workbookViewId="0">
      <selection activeCell="F53" sqref="F53"/>
    </sheetView>
  </sheetViews>
  <sheetFormatPr defaultColWidth="8.81640625" defaultRowHeight="15.5"/>
  <cols>
    <col min="1" max="1" width="8.81640625" style="249"/>
    <col min="2" max="2" width="9.54296875" style="249" customWidth="1"/>
    <col min="3" max="3" width="12.453125" style="249" customWidth="1"/>
    <col min="4" max="4" width="14.453125" style="249" bestFit="1" customWidth="1"/>
    <col min="5" max="5" width="12.54296875" style="249" customWidth="1"/>
    <col min="6" max="6" width="21" style="249" bestFit="1" customWidth="1"/>
    <col min="7" max="7" width="17.453125" style="113" customWidth="1"/>
    <col min="8" max="9" width="29.7265625" style="249" customWidth="1"/>
    <col min="10" max="10" width="20.453125" style="249" customWidth="1"/>
    <col min="11" max="11" width="16.453125" style="249" customWidth="1"/>
    <col min="12" max="12" width="15.1796875" style="249" bestFit="1" customWidth="1"/>
    <col min="13" max="13" width="14.81640625" style="249" customWidth="1"/>
    <col min="14" max="14" width="16.453125" style="249" customWidth="1"/>
    <col min="15" max="15" width="21.54296875" style="249" customWidth="1"/>
    <col min="16" max="16" width="23.453125" style="249" customWidth="1"/>
    <col min="17" max="16384" width="8.81640625" style="249"/>
  </cols>
  <sheetData>
    <row r="1" spans="1:16" ht="16" thickBot="1"/>
    <row r="2" spans="1:16" ht="38.15" customHeight="1">
      <c r="A2" s="692" t="s">
        <v>465</v>
      </c>
      <c r="B2" s="693"/>
      <c r="C2" s="693"/>
      <c r="D2" s="693"/>
      <c r="E2" s="693"/>
      <c r="F2" s="693"/>
      <c r="G2" s="693"/>
      <c r="H2" s="693"/>
      <c r="I2" s="693"/>
      <c r="J2" s="693"/>
      <c r="K2" s="693"/>
      <c r="L2" s="693"/>
      <c r="M2" s="693"/>
      <c r="N2" s="693"/>
      <c r="O2" s="693"/>
      <c r="P2" s="430">
        <f>FDN!N1</f>
        <v>46246</v>
      </c>
    </row>
    <row r="3" spans="1:16" ht="31">
      <c r="A3" s="431" t="s">
        <v>244</v>
      </c>
      <c r="B3" s="432" t="s">
        <v>466</v>
      </c>
      <c r="C3" s="432" t="s">
        <v>467</v>
      </c>
      <c r="D3" s="433" t="s">
        <v>341</v>
      </c>
      <c r="E3" s="432" t="s">
        <v>468</v>
      </c>
      <c r="F3" s="432" t="s">
        <v>262</v>
      </c>
      <c r="G3" s="433" t="s">
        <v>344</v>
      </c>
      <c r="H3" s="434" t="s">
        <v>469</v>
      </c>
      <c r="I3" s="434" t="s">
        <v>1078</v>
      </c>
      <c r="J3" s="435" t="s">
        <v>470</v>
      </c>
      <c r="K3" s="435" t="s">
        <v>471</v>
      </c>
      <c r="L3" s="435" t="s">
        <v>33</v>
      </c>
      <c r="M3" s="432" t="s">
        <v>472</v>
      </c>
      <c r="N3" s="432" t="s">
        <v>473</v>
      </c>
      <c r="O3" s="432" t="s">
        <v>474</v>
      </c>
      <c r="P3" s="436" t="s">
        <v>475</v>
      </c>
    </row>
    <row r="4" spans="1:16" ht="25.15" customHeight="1">
      <c r="A4" s="437">
        <v>1</v>
      </c>
      <c r="B4" s="438" t="s">
        <v>176</v>
      </c>
      <c r="C4" s="438" t="s">
        <v>350</v>
      </c>
      <c r="D4" s="438">
        <v>46023</v>
      </c>
      <c r="E4" s="439">
        <v>37.729999999999997</v>
      </c>
      <c r="F4" s="440" t="s">
        <v>38</v>
      </c>
      <c r="G4" s="438">
        <v>46029</v>
      </c>
      <c r="H4" s="441" t="s">
        <v>476</v>
      </c>
      <c r="I4" s="441" t="s">
        <v>1079</v>
      </c>
      <c r="J4" s="442"/>
      <c r="K4" s="443"/>
      <c r="L4" s="444"/>
      <c r="M4" s="444"/>
      <c r="N4" s="444"/>
      <c r="O4" s="440"/>
      <c r="P4" s="618"/>
    </row>
    <row r="5" spans="1:16" ht="25.15" customHeight="1">
      <c r="A5" s="437">
        <v>2</v>
      </c>
      <c r="B5" s="438" t="s">
        <v>138</v>
      </c>
      <c r="C5" s="438" t="s">
        <v>357</v>
      </c>
      <c r="D5" s="438">
        <v>46027</v>
      </c>
      <c r="E5" s="445">
        <v>39.457999999999998</v>
      </c>
      <c r="F5" s="440" t="s">
        <v>38</v>
      </c>
      <c r="G5" s="438">
        <v>46034</v>
      </c>
      <c r="H5" s="444" t="s">
        <v>477</v>
      </c>
      <c r="I5" s="444"/>
      <c r="J5" s="440"/>
      <c r="K5" s="440"/>
      <c r="L5" s="440"/>
      <c r="M5" s="440"/>
      <c r="N5" s="440"/>
      <c r="O5" s="440"/>
      <c r="P5" s="440"/>
    </row>
    <row r="6" spans="1:16" ht="25.15" customHeight="1">
      <c r="A6" s="437">
        <v>3</v>
      </c>
      <c r="B6" s="438" t="s">
        <v>168</v>
      </c>
      <c r="C6" s="438" t="s">
        <v>300</v>
      </c>
      <c r="D6" s="438">
        <v>46030</v>
      </c>
      <c r="E6" s="439">
        <v>54.417999999999999</v>
      </c>
      <c r="F6" s="440" t="s">
        <v>38</v>
      </c>
      <c r="G6" s="438">
        <v>46035</v>
      </c>
      <c r="H6" s="441" t="s">
        <v>476</v>
      </c>
      <c r="I6" s="441" t="s">
        <v>1079</v>
      </c>
      <c r="J6" s="440"/>
      <c r="K6" s="440"/>
      <c r="L6" s="440"/>
      <c r="M6" s="440"/>
      <c r="N6" s="440"/>
      <c r="O6" s="440"/>
      <c r="P6" s="440"/>
    </row>
    <row r="7" spans="1:16" ht="25.15" customHeight="1">
      <c r="A7" s="437">
        <v>4</v>
      </c>
      <c r="B7" s="438" t="s">
        <v>136</v>
      </c>
      <c r="C7" s="438" t="s">
        <v>391</v>
      </c>
      <c r="D7" s="438">
        <v>46035</v>
      </c>
      <c r="E7" s="439">
        <v>63.509</v>
      </c>
      <c r="F7" s="440" t="s">
        <v>38</v>
      </c>
      <c r="G7" s="438">
        <v>46047</v>
      </c>
      <c r="H7" s="444" t="s">
        <v>477</v>
      </c>
      <c r="I7" s="444"/>
      <c r="J7" s="440"/>
      <c r="K7" s="440"/>
      <c r="L7" s="440"/>
      <c r="M7" s="440"/>
      <c r="N7" s="440"/>
      <c r="O7" s="440"/>
      <c r="P7" s="440"/>
    </row>
    <row r="8" spans="1:16" ht="25.15" customHeight="1">
      <c r="A8" s="437">
        <v>5</v>
      </c>
      <c r="B8" s="438" t="s">
        <v>382</v>
      </c>
      <c r="C8" s="438" t="s">
        <v>357</v>
      </c>
      <c r="D8" s="438">
        <v>46036</v>
      </c>
      <c r="E8" s="445">
        <v>39.457999999999998</v>
      </c>
      <c r="F8" s="440" t="s">
        <v>38</v>
      </c>
      <c r="G8" s="438">
        <v>46043</v>
      </c>
      <c r="H8" s="446" t="s">
        <v>476</v>
      </c>
      <c r="I8" s="446" t="s">
        <v>1079</v>
      </c>
      <c r="J8" s="440"/>
      <c r="K8" s="440"/>
      <c r="L8" s="440"/>
      <c r="M8" s="440"/>
      <c r="N8" s="440"/>
      <c r="O8" s="440"/>
      <c r="P8" s="440"/>
    </row>
    <row r="9" spans="1:16" ht="25.15" customHeight="1">
      <c r="A9" s="437">
        <v>6</v>
      </c>
      <c r="B9" s="442" t="s">
        <v>376</v>
      </c>
      <c r="C9" s="438" t="s">
        <v>357</v>
      </c>
      <c r="D9" s="438">
        <v>46038</v>
      </c>
      <c r="E9" s="445">
        <v>39.457999999999998</v>
      </c>
      <c r="F9" s="440" t="s">
        <v>38</v>
      </c>
      <c r="G9" s="438">
        <v>46051</v>
      </c>
      <c r="H9" s="446" t="s">
        <v>478</v>
      </c>
      <c r="I9" s="446"/>
      <c r="J9" s="442"/>
      <c r="K9" s="444"/>
      <c r="L9" s="444"/>
      <c r="M9" s="440" t="s">
        <v>38</v>
      </c>
      <c r="N9" s="503">
        <v>46090</v>
      </c>
      <c r="O9" s="503">
        <v>46090</v>
      </c>
      <c r="P9" s="444" t="s">
        <v>1077</v>
      </c>
    </row>
    <row r="10" spans="1:16" ht="25.15" customHeight="1">
      <c r="A10" s="437">
        <v>7</v>
      </c>
      <c r="B10" s="442" t="s">
        <v>407</v>
      </c>
      <c r="C10" s="438" t="s">
        <v>350</v>
      </c>
      <c r="D10" s="438">
        <v>46040</v>
      </c>
      <c r="E10" s="439">
        <v>37.729999999999997</v>
      </c>
      <c r="F10" s="440" t="s">
        <v>38</v>
      </c>
      <c r="G10" s="438">
        <v>46050</v>
      </c>
      <c r="H10" s="443" t="s">
        <v>477</v>
      </c>
      <c r="I10" s="443"/>
      <c r="J10" s="440"/>
      <c r="K10" s="440"/>
      <c r="L10" s="440"/>
      <c r="M10" s="440"/>
      <c r="N10" s="440"/>
      <c r="O10" s="503"/>
      <c r="P10" s="440"/>
    </row>
    <row r="11" spans="1:16" ht="25.15" customHeight="1">
      <c r="A11" s="437">
        <v>8</v>
      </c>
      <c r="B11" s="442" t="s">
        <v>388</v>
      </c>
      <c r="C11" s="438" t="s">
        <v>389</v>
      </c>
      <c r="D11" s="438">
        <v>46044</v>
      </c>
      <c r="E11" s="439">
        <v>65.757000000000005</v>
      </c>
      <c r="F11" s="440" t="s">
        <v>38</v>
      </c>
      <c r="G11" s="438">
        <v>46052</v>
      </c>
      <c r="H11" s="446" t="s">
        <v>476</v>
      </c>
      <c r="I11" s="441" t="s">
        <v>1079</v>
      </c>
      <c r="J11" s="440"/>
      <c r="K11" s="440"/>
      <c r="L11" s="440"/>
      <c r="M11" s="440" t="s">
        <v>38</v>
      </c>
      <c r="N11" s="503">
        <v>46091</v>
      </c>
      <c r="O11" s="503">
        <v>46091</v>
      </c>
      <c r="P11" s="444" t="s">
        <v>1077</v>
      </c>
    </row>
    <row r="12" spans="1:16" ht="25.15" customHeight="1">
      <c r="A12" s="437">
        <v>9</v>
      </c>
      <c r="B12" s="442" t="s">
        <v>178</v>
      </c>
      <c r="C12" s="438" t="s">
        <v>350</v>
      </c>
      <c r="D12" s="438">
        <v>46049</v>
      </c>
      <c r="E12" s="439">
        <v>37.729999999999997</v>
      </c>
      <c r="F12" s="440" t="s">
        <v>38</v>
      </c>
      <c r="G12" s="438">
        <v>46053</v>
      </c>
      <c r="H12" s="443" t="s">
        <v>477</v>
      </c>
      <c r="I12" s="443"/>
      <c r="J12" s="442"/>
      <c r="K12" s="444"/>
      <c r="L12" s="444"/>
      <c r="M12" s="444"/>
      <c r="N12" s="444"/>
      <c r="O12" s="440"/>
      <c r="P12" s="444"/>
    </row>
    <row r="13" spans="1:16" ht="25.15" customHeight="1">
      <c r="A13" s="437">
        <v>10</v>
      </c>
      <c r="B13" s="442" t="s">
        <v>392</v>
      </c>
      <c r="C13" s="438" t="s">
        <v>393</v>
      </c>
      <c r="D13" s="438">
        <v>46052</v>
      </c>
      <c r="E13" s="439">
        <v>65.757000000000005</v>
      </c>
      <c r="F13" s="440" t="s">
        <v>38</v>
      </c>
      <c r="G13" s="438">
        <v>46064</v>
      </c>
      <c r="H13" s="446" t="s">
        <v>478</v>
      </c>
      <c r="I13" s="441"/>
      <c r="J13" s="442"/>
      <c r="K13" s="444"/>
      <c r="L13" s="444"/>
      <c r="M13" s="444"/>
      <c r="N13" s="444"/>
      <c r="O13" s="444"/>
      <c r="P13" s="444"/>
    </row>
    <row r="14" spans="1:16" ht="25.15" customHeight="1">
      <c r="A14" s="437">
        <v>11</v>
      </c>
      <c r="B14" s="442" t="s">
        <v>372</v>
      </c>
      <c r="C14" s="438" t="s">
        <v>373</v>
      </c>
      <c r="D14" s="438">
        <v>46054</v>
      </c>
      <c r="E14" s="439">
        <v>64.254000000000005</v>
      </c>
      <c r="F14" s="440" t="s">
        <v>38</v>
      </c>
      <c r="G14" s="438">
        <v>46060</v>
      </c>
      <c r="H14" s="446" t="s">
        <v>476</v>
      </c>
      <c r="I14" s="446" t="s">
        <v>1079</v>
      </c>
      <c r="J14" s="440"/>
      <c r="K14" s="440"/>
      <c r="L14" s="440"/>
      <c r="M14" s="440"/>
      <c r="N14" s="440"/>
      <c r="O14" s="444"/>
      <c r="P14" s="440"/>
    </row>
    <row r="15" spans="1:16" ht="25.15" customHeight="1">
      <c r="A15" s="437">
        <v>12</v>
      </c>
      <c r="B15" s="442" t="s">
        <v>390</v>
      </c>
      <c r="C15" s="438" t="s">
        <v>350</v>
      </c>
      <c r="D15" s="438">
        <v>46061</v>
      </c>
      <c r="E15" s="439">
        <v>37.729999999999997</v>
      </c>
      <c r="F15" s="440" t="s">
        <v>38</v>
      </c>
      <c r="G15" s="438">
        <v>46066</v>
      </c>
      <c r="H15" s="446" t="s">
        <v>476</v>
      </c>
      <c r="I15" s="441" t="s">
        <v>1079</v>
      </c>
      <c r="J15" s="442"/>
      <c r="K15" s="444"/>
      <c r="L15" s="444"/>
      <c r="M15" s="444"/>
      <c r="N15" s="444"/>
      <c r="O15" s="503"/>
      <c r="P15" s="444"/>
    </row>
    <row r="16" spans="1:16" ht="25.15" customHeight="1">
      <c r="A16" s="437">
        <v>13</v>
      </c>
      <c r="B16" s="442" t="s">
        <v>180</v>
      </c>
      <c r="C16" s="438" t="s">
        <v>350</v>
      </c>
      <c r="D16" s="438">
        <v>46066</v>
      </c>
      <c r="E16" s="439">
        <v>37.729999999999997</v>
      </c>
      <c r="F16" s="440" t="s">
        <v>38</v>
      </c>
      <c r="G16" s="438">
        <v>46070</v>
      </c>
      <c r="H16" s="446" t="s">
        <v>476</v>
      </c>
      <c r="I16" s="441" t="s">
        <v>1079</v>
      </c>
      <c r="J16" s="442"/>
      <c r="K16" s="444"/>
      <c r="L16" s="444"/>
      <c r="M16" s="440" t="s">
        <v>38</v>
      </c>
      <c r="N16" s="503">
        <v>46155</v>
      </c>
      <c r="O16" s="503">
        <v>46155</v>
      </c>
      <c r="P16" s="444" t="s">
        <v>1077</v>
      </c>
    </row>
    <row r="17" spans="1:20" ht="25.15" customHeight="1">
      <c r="A17" s="437">
        <v>14</v>
      </c>
      <c r="B17" s="442" t="s">
        <v>400</v>
      </c>
      <c r="C17" s="438" t="s">
        <v>373</v>
      </c>
      <c r="D17" s="438">
        <v>46065</v>
      </c>
      <c r="E17" s="439">
        <v>64.254000000000005</v>
      </c>
      <c r="F17" s="440" t="s">
        <v>38</v>
      </c>
      <c r="G17" s="438">
        <v>46073</v>
      </c>
      <c r="H17" s="446" t="s">
        <v>478</v>
      </c>
      <c r="I17" s="446"/>
      <c r="J17" s="447"/>
      <c r="K17" s="440"/>
      <c r="L17" s="440"/>
      <c r="M17" s="440"/>
      <c r="N17" s="440"/>
      <c r="O17" s="440"/>
      <c r="P17" s="440"/>
    </row>
    <row r="18" spans="1:20" ht="25.15" customHeight="1">
      <c r="A18" s="437">
        <v>15</v>
      </c>
      <c r="B18" s="442" t="s">
        <v>385</v>
      </c>
      <c r="C18" s="438" t="s">
        <v>350</v>
      </c>
      <c r="D18" s="438">
        <v>46071</v>
      </c>
      <c r="E18" s="439">
        <v>37.729999999999997</v>
      </c>
      <c r="F18" s="440" t="s">
        <v>38</v>
      </c>
      <c r="G18" s="438">
        <v>46075</v>
      </c>
      <c r="H18" s="446" t="s">
        <v>476</v>
      </c>
      <c r="I18" s="441" t="s">
        <v>1079</v>
      </c>
      <c r="J18" s="442"/>
      <c r="K18" s="444"/>
      <c r="L18" s="444"/>
      <c r="M18" s="440" t="s">
        <v>38</v>
      </c>
      <c r="N18" s="503">
        <v>46155</v>
      </c>
      <c r="O18" s="503">
        <v>46155</v>
      </c>
      <c r="P18" s="444" t="s">
        <v>1077</v>
      </c>
    </row>
    <row r="19" spans="1:20" ht="25.15" customHeight="1">
      <c r="A19" s="437">
        <v>16</v>
      </c>
      <c r="B19" s="442" t="s">
        <v>423</v>
      </c>
      <c r="C19" s="438" t="s">
        <v>350</v>
      </c>
      <c r="D19" s="438">
        <v>46076</v>
      </c>
      <c r="E19" s="439">
        <v>37.729999999999997</v>
      </c>
      <c r="F19" s="440" t="s">
        <v>38</v>
      </c>
      <c r="G19" s="438">
        <v>46080</v>
      </c>
      <c r="H19" s="446" t="s">
        <v>476</v>
      </c>
      <c r="I19" s="441" t="s">
        <v>1079</v>
      </c>
      <c r="J19" s="442"/>
      <c r="K19" s="444"/>
      <c r="L19" s="444"/>
      <c r="M19" s="440" t="s">
        <v>38</v>
      </c>
      <c r="N19" s="503">
        <v>46157</v>
      </c>
      <c r="O19" s="503">
        <v>46157</v>
      </c>
      <c r="P19" s="444" t="s">
        <v>1077</v>
      </c>
    </row>
    <row r="20" spans="1:20" ht="25.15" customHeight="1">
      <c r="A20" s="437">
        <v>17</v>
      </c>
      <c r="B20" s="442" t="s">
        <v>403</v>
      </c>
      <c r="C20" s="438" t="s">
        <v>350</v>
      </c>
      <c r="D20" s="438">
        <v>46075</v>
      </c>
      <c r="E20" s="439">
        <v>37.729999999999997</v>
      </c>
      <c r="F20" s="440" t="s">
        <v>38</v>
      </c>
      <c r="G20" s="438">
        <v>46081</v>
      </c>
      <c r="H20" s="446" t="s">
        <v>478</v>
      </c>
      <c r="I20" s="446"/>
      <c r="J20" s="442"/>
      <c r="K20" s="444"/>
      <c r="L20" s="444"/>
      <c r="M20" s="444"/>
      <c r="N20" s="444"/>
      <c r="O20" s="444"/>
      <c r="P20" s="444"/>
    </row>
    <row r="21" spans="1:20" ht="25.15" customHeight="1">
      <c r="A21" s="437">
        <v>18</v>
      </c>
      <c r="B21" s="442" t="s">
        <v>371</v>
      </c>
      <c r="C21" s="438" t="s">
        <v>357</v>
      </c>
      <c r="D21" s="438">
        <v>46080</v>
      </c>
      <c r="E21" s="445">
        <v>39.457999999999998</v>
      </c>
      <c r="F21" s="440" t="s">
        <v>38</v>
      </c>
      <c r="G21" s="438">
        <v>46086</v>
      </c>
      <c r="H21" s="446" t="s">
        <v>476</v>
      </c>
      <c r="I21" s="441" t="s">
        <v>1079</v>
      </c>
      <c r="J21" s="442"/>
      <c r="K21" s="444"/>
      <c r="L21" s="444"/>
      <c r="M21" s="440" t="s">
        <v>38</v>
      </c>
      <c r="N21" s="503">
        <v>46155</v>
      </c>
      <c r="O21" s="503">
        <v>46155</v>
      </c>
      <c r="P21" s="444" t="s">
        <v>1077</v>
      </c>
    </row>
    <row r="22" spans="1:20" ht="25.15" customHeight="1">
      <c r="A22" s="437">
        <v>19</v>
      </c>
      <c r="B22" s="442" t="s">
        <v>397</v>
      </c>
      <c r="C22" s="438" t="s">
        <v>357</v>
      </c>
      <c r="D22" s="438">
        <v>46082</v>
      </c>
      <c r="E22" s="445">
        <v>39.457999999999998</v>
      </c>
      <c r="F22" s="440" t="s">
        <v>38</v>
      </c>
      <c r="G22" s="438">
        <v>46090</v>
      </c>
      <c r="H22" s="446" t="s">
        <v>478</v>
      </c>
      <c r="I22" s="446"/>
      <c r="J22" s="442"/>
      <c r="K22" s="444"/>
      <c r="L22" s="444"/>
      <c r="M22" s="444"/>
      <c r="N22" s="444"/>
      <c r="O22" s="444"/>
      <c r="P22" s="444"/>
    </row>
    <row r="23" spans="1:20" ht="25.15" customHeight="1">
      <c r="A23" s="437">
        <v>20</v>
      </c>
      <c r="B23" s="442" t="s">
        <v>177</v>
      </c>
      <c r="C23" s="438" t="s">
        <v>399</v>
      </c>
      <c r="D23" s="438">
        <v>46089</v>
      </c>
      <c r="E23" s="439">
        <v>44.726999999999997</v>
      </c>
      <c r="F23" s="440" t="s">
        <v>38</v>
      </c>
      <c r="G23" s="438">
        <v>46097</v>
      </c>
      <c r="H23" s="446" t="s">
        <v>476</v>
      </c>
      <c r="I23" s="441" t="s">
        <v>1079</v>
      </c>
      <c r="J23" s="442"/>
      <c r="K23" s="444"/>
      <c r="L23" s="444"/>
      <c r="M23" s="444"/>
      <c r="N23" s="444"/>
      <c r="O23" s="444"/>
      <c r="P23" s="444"/>
    </row>
    <row r="24" spans="1:20" ht="25.15" customHeight="1">
      <c r="A24" s="437">
        <v>21</v>
      </c>
      <c r="B24" s="442" t="s">
        <v>412</v>
      </c>
      <c r="C24" s="438" t="s">
        <v>350</v>
      </c>
      <c r="D24" s="438">
        <v>46091</v>
      </c>
      <c r="E24" s="439">
        <v>37.729999999999997</v>
      </c>
      <c r="F24" s="440" t="s">
        <v>38</v>
      </c>
      <c r="G24" s="438">
        <v>46098</v>
      </c>
      <c r="H24" s="446" t="s">
        <v>478</v>
      </c>
      <c r="I24" s="446"/>
      <c r="J24" s="442"/>
      <c r="K24" s="444"/>
      <c r="L24" s="444"/>
      <c r="M24" s="444"/>
      <c r="N24" s="444"/>
      <c r="O24" s="448"/>
      <c r="P24" s="444"/>
    </row>
    <row r="25" spans="1:20" ht="25.15" customHeight="1">
      <c r="A25" s="437">
        <v>22</v>
      </c>
      <c r="B25" s="442" t="s">
        <v>140</v>
      </c>
      <c r="C25" s="442" t="s">
        <v>302</v>
      </c>
      <c r="D25" s="438">
        <v>46097</v>
      </c>
      <c r="E25" s="439">
        <v>72.233999999999995</v>
      </c>
      <c r="F25" s="440" t="s">
        <v>38</v>
      </c>
      <c r="G25" s="438">
        <v>46105</v>
      </c>
      <c r="H25" s="446" t="s">
        <v>476</v>
      </c>
      <c r="I25" s="441" t="s">
        <v>1079</v>
      </c>
      <c r="J25" s="442"/>
      <c r="K25" s="444"/>
      <c r="L25" s="437"/>
      <c r="M25" s="442"/>
      <c r="N25" s="442"/>
      <c r="O25" s="444"/>
      <c r="P25" s="439"/>
      <c r="Q25" s="504"/>
      <c r="R25" s="505"/>
      <c r="S25" s="506"/>
      <c r="T25" s="113"/>
    </row>
    <row r="26" spans="1:20" ht="25.15" customHeight="1">
      <c r="A26" s="437">
        <v>23</v>
      </c>
      <c r="B26" s="442" t="s">
        <v>421</v>
      </c>
      <c r="C26" s="438" t="s">
        <v>399</v>
      </c>
      <c r="D26" s="438">
        <v>46098</v>
      </c>
      <c r="E26" s="439">
        <v>44.726999999999997</v>
      </c>
      <c r="F26" s="440" t="s">
        <v>38</v>
      </c>
      <c r="G26" s="438">
        <v>46107</v>
      </c>
      <c r="H26" s="446" t="s">
        <v>478</v>
      </c>
      <c r="I26" s="446"/>
      <c r="J26" s="442"/>
      <c r="K26" s="444"/>
      <c r="L26" s="444"/>
      <c r="M26" s="444"/>
      <c r="N26" s="444"/>
      <c r="O26" s="444"/>
      <c r="P26" s="444"/>
    </row>
    <row r="27" spans="1:20" ht="25.15" customHeight="1">
      <c r="A27" s="437">
        <v>24</v>
      </c>
      <c r="B27" s="442" t="s">
        <v>411</v>
      </c>
      <c r="C27" s="438" t="s">
        <v>300</v>
      </c>
      <c r="D27" s="438">
        <v>46105</v>
      </c>
      <c r="E27" s="439">
        <v>54.417999999999999</v>
      </c>
      <c r="F27" s="440" t="s">
        <v>38</v>
      </c>
      <c r="G27" s="438">
        <v>46111</v>
      </c>
      <c r="H27" s="446" t="s">
        <v>476</v>
      </c>
      <c r="I27" s="441" t="s">
        <v>1079</v>
      </c>
      <c r="J27" s="442"/>
      <c r="K27" s="444"/>
      <c r="L27" s="442"/>
      <c r="M27" s="440" t="s">
        <v>38</v>
      </c>
      <c r="N27" s="503">
        <v>46161</v>
      </c>
      <c r="O27" s="503">
        <v>46161</v>
      </c>
      <c r="P27" s="444" t="s">
        <v>1077</v>
      </c>
      <c r="Q27" s="507"/>
      <c r="R27" s="113"/>
      <c r="S27" s="507"/>
      <c r="T27" s="113"/>
    </row>
    <row r="28" spans="1:20" ht="25.15" customHeight="1">
      <c r="A28" s="437">
        <v>25</v>
      </c>
      <c r="B28" s="442" t="s">
        <v>408</v>
      </c>
      <c r="C28" s="438" t="s">
        <v>350</v>
      </c>
      <c r="D28" s="438">
        <v>46107</v>
      </c>
      <c r="E28" s="439">
        <v>37.729999999999997</v>
      </c>
      <c r="F28" s="440" t="s">
        <v>38</v>
      </c>
      <c r="G28" s="438">
        <v>46112</v>
      </c>
      <c r="H28" s="446" t="s">
        <v>478</v>
      </c>
      <c r="I28" s="446"/>
      <c r="J28" s="442"/>
      <c r="K28" s="444"/>
      <c r="L28" s="444"/>
      <c r="M28" s="444"/>
      <c r="N28" s="444"/>
      <c r="O28" s="503"/>
      <c r="P28" s="444"/>
    </row>
    <row r="29" spans="1:20" ht="25.15" customHeight="1">
      <c r="A29" s="437">
        <v>26</v>
      </c>
      <c r="B29" s="442" t="s">
        <v>419</v>
      </c>
      <c r="C29" s="438" t="s">
        <v>302</v>
      </c>
      <c r="D29" s="438">
        <v>46114</v>
      </c>
      <c r="E29" s="440">
        <v>72.233999999999995</v>
      </c>
      <c r="F29" s="440" t="s">
        <v>38</v>
      </c>
      <c r="G29" s="438">
        <v>46121</v>
      </c>
      <c r="H29" s="443" t="s">
        <v>476</v>
      </c>
      <c r="I29" s="441" t="s">
        <v>1079</v>
      </c>
      <c r="J29" s="442"/>
      <c r="K29" s="444"/>
      <c r="L29" s="444"/>
      <c r="M29" s="440" t="s">
        <v>38</v>
      </c>
      <c r="N29" s="503">
        <v>46158</v>
      </c>
      <c r="O29" s="503">
        <v>46158</v>
      </c>
      <c r="P29" s="444" t="s">
        <v>1077</v>
      </c>
    </row>
    <row r="30" spans="1:20" ht="25.15" customHeight="1">
      <c r="A30" s="437">
        <v>27</v>
      </c>
      <c r="B30" s="442" t="s">
        <v>405</v>
      </c>
      <c r="C30" s="442" t="s">
        <v>350</v>
      </c>
      <c r="D30" s="438">
        <v>46121</v>
      </c>
      <c r="E30" s="439">
        <v>37.795999999999999</v>
      </c>
      <c r="F30" s="440" t="s">
        <v>38</v>
      </c>
      <c r="G30" s="438">
        <v>46127</v>
      </c>
      <c r="H30" s="443" t="s">
        <v>476</v>
      </c>
      <c r="I30" s="441" t="s">
        <v>1079</v>
      </c>
      <c r="J30" s="442"/>
      <c r="K30" s="444"/>
      <c r="L30" s="444"/>
      <c r="M30" s="440" t="s">
        <v>38</v>
      </c>
      <c r="N30" s="503">
        <v>46159</v>
      </c>
      <c r="O30" s="503">
        <v>46159</v>
      </c>
      <c r="P30" s="444" t="s">
        <v>1077</v>
      </c>
    </row>
    <row r="31" spans="1:20" ht="25.15" customHeight="1">
      <c r="A31" s="437">
        <v>28</v>
      </c>
      <c r="B31" s="442" t="s">
        <v>430</v>
      </c>
      <c r="C31" s="442" t="s">
        <v>350</v>
      </c>
      <c r="D31" s="438">
        <v>46127</v>
      </c>
      <c r="E31" s="439">
        <v>37.795999999999999</v>
      </c>
      <c r="F31" s="440" t="s">
        <v>38</v>
      </c>
      <c r="G31" s="438">
        <v>46133</v>
      </c>
      <c r="H31" s="443" t="s">
        <v>476</v>
      </c>
      <c r="I31" s="441" t="s">
        <v>1079</v>
      </c>
      <c r="J31" s="442"/>
      <c r="K31" s="444"/>
      <c r="L31" s="444"/>
      <c r="M31" s="440" t="s">
        <v>38</v>
      </c>
      <c r="N31" s="503">
        <v>46160</v>
      </c>
      <c r="O31" s="503">
        <v>46160</v>
      </c>
      <c r="P31" s="444" t="s">
        <v>1077</v>
      </c>
    </row>
    <row r="32" spans="1:20" ht="25.15" customHeight="1">
      <c r="A32" s="437">
        <v>29</v>
      </c>
      <c r="B32" s="442" t="s">
        <v>406</v>
      </c>
      <c r="C32" s="442" t="s">
        <v>350</v>
      </c>
      <c r="D32" s="438">
        <v>46134</v>
      </c>
      <c r="E32" s="439">
        <v>37.795999999999999</v>
      </c>
      <c r="F32" s="440" t="s">
        <v>38</v>
      </c>
      <c r="G32" s="438">
        <v>46141</v>
      </c>
      <c r="H32" s="446" t="s">
        <v>476</v>
      </c>
      <c r="I32" s="441" t="s">
        <v>1079</v>
      </c>
      <c r="J32" s="442"/>
      <c r="K32" s="444"/>
      <c r="L32" s="444"/>
      <c r="M32" s="440" t="s">
        <v>38</v>
      </c>
      <c r="N32" s="503">
        <v>46160</v>
      </c>
      <c r="O32" s="503">
        <v>46160</v>
      </c>
      <c r="P32" s="444" t="s">
        <v>1077</v>
      </c>
    </row>
    <row r="33" spans="1:16" s="453" customFormat="1" ht="25.15" customHeight="1">
      <c r="A33" s="437">
        <v>30</v>
      </c>
      <c r="B33" s="442" t="s">
        <v>404</v>
      </c>
      <c r="C33" s="442" t="s">
        <v>350</v>
      </c>
      <c r="D33" s="438">
        <v>46142</v>
      </c>
      <c r="E33" s="439">
        <v>37.795999999999999</v>
      </c>
      <c r="F33" s="440" t="s">
        <v>38</v>
      </c>
      <c r="G33" s="438">
        <v>46148</v>
      </c>
      <c r="H33" s="446" t="s">
        <v>476</v>
      </c>
      <c r="I33" s="446" t="s">
        <v>1079</v>
      </c>
      <c r="J33" s="442"/>
      <c r="K33" s="444"/>
      <c r="L33" s="444"/>
      <c r="M33" s="440" t="s">
        <v>38</v>
      </c>
      <c r="N33" s="503">
        <v>46163</v>
      </c>
      <c r="O33" s="503">
        <v>46163</v>
      </c>
      <c r="P33" s="444" t="s">
        <v>1077</v>
      </c>
    </row>
    <row r="34" spans="1:16" s="453" customFormat="1" ht="25.15" customHeight="1">
      <c r="A34" s="437">
        <v>31</v>
      </c>
      <c r="B34" s="442" t="s">
        <v>383</v>
      </c>
      <c r="C34" s="442" t="s">
        <v>350</v>
      </c>
      <c r="D34" s="438">
        <v>46145</v>
      </c>
      <c r="E34" s="439">
        <v>37.795999999999999</v>
      </c>
      <c r="F34" s="440" t="s">
        <v>38</v>
      </c>
      <c r="G34" s="438">
        <v>46149</v>
      </c>
      <c r="H34" s="446" t="s">
        <v>479</v>
      </c>
      <c r="I34" s="446"/>
      <c r="J34" s="442"/>
      <c r="K34" s="444"/>
      <c r="L34" s="444"/>
      <c r="M34" s="444"/>
      <c r="N34" s="444"/>
      <c r="O34" s="444"/>
      <c r="P34" s="444"/>
    </row>
    <row r="35" spans="1:16" s="453" customFormat="1" ht="25.15" customHeight="1">
      <c r="A35" s="437">
        <v>32</v>
      </c>
      <c r="B35" s="442" t="s">
        <v>422</v>
      </c>
      <c r="C35" s="442" t="s">
        <v>350</v>
      </c>
      <c r="D35" s="438">
        <v>46149</v>
      </c>
      <c r="E35" s="439">
        <v>37.795999999999999</v>
      </c>
      <c r="F35" s="440" t="s">
        <v>38</v>
      </c>
      <c r="G35" s="438">
        <v>46155</v>
      </c>
      <c r="H35" s="446" t="s">
        <v>476</v>
      </c>
      <c r="I35" s="441" t="s">
        <v>1079</v>
      </c>
      <c r="J35" s="442"/>
      <c r="K35" s="444"/>
      <c r="L35" s="444"/>
      <c r="M35" s="440" t="s">
        <v>38</v>
      </c>
      <c r="N35" s="503">
        <v>46162</v>
      </c>
      <c r="O35" s="503">
        <v>46162</v>
      </c>
      <c r="P35" s="444" t="s">
        <v>1077</v>
      </c>
    </row>
    <row r="36" spans="1:16" s="453" customFormat="1" ht="25.15" customHeight="1">
      <c r="A36" s="437">
        <v>33</v>
      </c>
      <c r="B36" s="442" t="s">
        <v>386</v>
      </c>
      <c r="C36" s="442" t="s">
        <v>350</v>
      </c>
      <c r="D36" s="438">
        <v>46150</v>
      </c>
      <c r="E36" s="439">
        <v>37.795999999999999</v>
      </c>
      <c r="F36" s="440" t="s">
        <v>38</v>
      </c>
      <c r="G36" s="438">
        <v>46154</v>
      </c>
      <c r="H36" s="446" t="s">
        <v>479</v>
      </c>
      <c r="I36" s="446"/>
      <c r="J36" s="442" t="s">
        <v>67</v>
      </c>
      <c r="K36" s="444"/>
      <c r="L36" s="444"/>
      <c r="M36" s="444"/>
      <c r="N36" s="444"/>
      <c r="O36" s="444"/>
      <c r="P36" s="444"/>
    </row>
    <row r="37" spans="1:16" s="453" customFormat="1" ht="25.15" customHeight="1">
      <c r="A37" s="437">
        <v>34</v>
      </c>
      <c r="B37" s="442" t="s">
        <v>387</v>
      </c>
      <c r="C37" s="442" t="s">
        <v>350</v>
      </c>
      <c r="D37" s="438">
        <v>46155</v>
      </c>
      <c r="E37" s="439">
        <v>37.795999999999999</v>
      </c>
      <c r="F37" s="440" t="s">
        <v>38</v>
      </c>
      <c r="G37" s="438">
        <v>46159</v>
      </c>
      <c r="H37" s="446" t="s">
        <v>479</v>
      </c>
      <c r="I37" s="446"/>
      <c r="J37" s="442"/>
      <c r="K37" s="444"/>
      <c r="L37" s="444"/>
      <c r="M37" s="444"/>
      <c r="N37" s="444"/>
      <c r="O37" s="444"/>
      <c r="P37" s="444"/>
    </row>
    <row r="38" spans="1:16" s="453" customFormat="1" ht="25.15" customHeight="1">
      <c r="A38" s="437">
        <v>35</v>
      </c>
      <c r="B38" s="442" t="s">
        <v>417</v>
      </c>
      <c r="C38" s="442" t="s">
        <v>396</v>
      </c>
      <c r="D38" s="438">
        <v>46156</v>
      </c>
      <c r="E38" s="439">
        <v>36.043999999999997</v>
      </c>
      <c r="F38" s="440" t="s">
        <v>38</v>
      </c>
      <c r="G38" s="438">
        <v>46160</v>
      </c>
      <c r="H38" s="446" t="s">
        <v>476</v>
      </c>
      <c r="I38" s="441" t="s">
        <v>1079</v>
      </c>
      <c r="J38" s="442"/>
      <c r="K38" s="444"/>
      <c r="L38" s="444"/>
      <c r="M38" s="444"/>
      <c r="N38" s="444"/>
      <c r="O38" s="444"/>
      <c r="P38" s="444"/>
    </row>
    <row r="39" spans="1:16" s="453" customFormat="1" ht="25.15" customHeight="1">
      <c r="A39" s="437">
        <v>36</v>
      </c>
      <c r="B39" s="442" t="s">
        <v>139</v>
      </c>
      <c r="C39" s="442" t="s">
        <v>357</v>
      </c>
      <c r="D39" s="438">
        <v>46151</v>
      </c>
      <c r="E39" s="439">
        <v>39.457999999999998</v>
      </c>
      <c r="F39" s="440" t="s">
        <v>38</v>
      </c>
      <c r="G39" s="438">
        <v>46163</v>
      </c>
      <c r="H39" s="446" t="s">
        <v>478</v>
      </c>
      <c r="I39" s="446"/>
      <c r="J39" s="442" t="s">
        <v>67</v>
      </c>
      <c r="K39" s="444"/>
      <c r="L39" s="444"/>
      <c r="M39" s="444"/>
      <c r="N39" s="444"/>
      <c r="O39" s="444"/>
      <c r="P39" s="444"/>
    </row>
    <row r="40" spans="1:16" s="453" customFormat="1" ht="30.75" customHeight="1">
      <c r="A40" s="437">
        <v>37</v>
      </c>
      <c r="B40" s="442" t="s">
        <v>410</v>
      </c>
      <c r="C40" s="442" t="s">
        <v>396</v>
      </c>
      <c r="D40" s="438">
        <v>46160</v>
      </c>
      <c r="E40" s="439">
        <v>36.043999999999997</v>
      </c>
      <c r="F40" s="440" t="s">
        <v>38</v>
      </c>
      <c r="G40" s="438">
        <v>46164</v>
      </c>
      <c r="H40" s="446" t="s">
        <v>476</v>
      </c>
      <c r="I40" s="441" t="s">
        <v>1079</v>
      </c>
      <c r="J40" s="442" t="s">
        <v>67</v>
      </c>
      <c r="K40" s="444"/>
      <c r="L40" s="444"/>
      <c r="M40" s="444"/>
      <c r="N40" s="444"/>
      <c r="O40" s="444"/>
      <c r="P40" s="444"/>
    </row>
    <row r="41" spans="1:16" ht="30.75" customHeight="1">
      <c r="A41" s="437">
        <v>38</v>
      </c>
      <c r="B41" s="442" t="s">
        <v>425</v>
      </c>
      <c r="C41" s="442" t="s">
        <v>330</v>
      </c>
      <c r="D41" s="438">
        <v>46161</v>
      </c>
      <c r="E41" s="439">
        <v>64.254000000000005</v>
      </c>
      <c r="F41" s="440" t="s">
        <v>38</v>
      </c>
      <c r="G41" s="438">
        <v>46167</v>
      </c>
      <c r="H41" s="446" t="s">
        <v>479</v>
      </c>
      <c r="I41" s="446"/>
      <c r="J41" s="442" t="s">
        <v>67</v>
      </c>
      <c r="K41" s="444"/>
      <c r="L41" s="444"/>
      <c r="M41" s="444"/>
      <c r="N41" s="444"/>
      <c r="O41" s="444"/>
      <c r="P41" s="444"/>
    </row>
    <row r="42" spans="1:16" ht="30.75" customHeight="1">
      <c r="A42" s="437">
        <v>39</v>
      </c>
      <c r="B42" s="442" t="s">
        <v>418</v>
      </c>
      <c r="C42" s="442" t="s">
        <v>300</v>
      </c>
      <c r="D42" s="438">
        <v>46165</v>
      </c>
      <c r="E42" s="439">
        <v>54.417999999999999</v>
      </c>
      <c r="F42" s="440" t="s">
        <v>38</v>
      </c>
      <c r="G42" s="438">
        <v>46170</v>
      </c>
      <c r="H42" s="446" t="s">
        <v>476</v>
      </c>
      <c r="I42" s="446"/>
      <c r="J42" s="442" t="s">
        <v>67</v>
      </c>
      <c r="K42" s="444"/>
      <c r="L42" s="444"/>
      <c r="M42" s="444"/>
      <c r="N42" s="444"/>
      <c r="O42" s="444"/>
      <c r="P42" s="444"/>
    </row>
    <row r="43" spans="1:16" ht="30.75" customHeight="1">
      <c r="A43" s="437">
        <v>40</v>
      </c>
      <c r="B43" s="442" t="s">
        <v>364</v>
      </c>
      <c r="C43" s="442" t="s">
        <v>350</v>
      </c>
      <c r="D43" s="438">
        <v>46164</v>
      </c>
      <c r="E43" s="439">
        <v>37.795999999999999</v>
      </c>
      <c r="F43" s="440" t="s">
        <v>38</v>
      </c>
      <c r="G43" s="438">
        <v>46172</v>
      </c>
      <c r="H43" s="446" t="s">
        <v>478</v>
      </c>
      <c r="I43" s="446"/>
      <c r="J43" s="442" t="s">
        <v>67</v>
      </c>
      <c r="K43" s="444"/>
      <c r="L43" s="444"/>
      <c r="M43" s="444"/>
      <c r="N43" s="444"/>
      <c r="O43" s="444"/>
      <c r="P43" s="444"/>
    </row>
    <row r="44" spans="1:16" ht="30.75" customHeight="1">
      <c r="A44" s="437">
        <v>41</v>
      </c>
      <c r="B44" s="442" t="s">
        <v>370</v>
      </c>
      <c r="C44" s="442" t="s">
        <v>298</v>
      </c>
      <c r="D44" s="438">
        <v>46170</v>
      </c>
      <c r="E44" s="439">
        <v>80.254999999999995</v>
      </c>
      <c r="F44" s="440" t="s">
        <v>38</v>
      </c>
      <c r="G44" s="438">
        <v>46177</v>
      </c>
      <c r="H44" s="446" t="s">
        <v>479</v>
      </c>
      <c r="I44" s="446"/>
      <c r="J44" s="442" t="s">
        <v>67</v>
      </c>
      <c r="K44" s="444"/>
      <c r="L44" s="444"/>
      <c r="M44" s="444"/>
      <c r="N44" s="444"/>
      <c r="O44" s="444"/>
      <c r="P44" s="444"/>
    </row>
    <row r="45" spans="1:16" ht="30.75" customHeight="1">
      <c r="A45" s="437">
        <v>42</v>
      </c>
      <c r="B45" s="442" t="s">
        <v>374</v>
      </c>
      <c r="C45" s="442" t="s">
        <v>335</v>
      </c>
      <c r="D45" s="438">
        <v>46171</v>
      </c>
      <c r="E45" s="439">
        <v>54.417999999999999</v>
      </c>
      <c r="F45" s="440" t="s">
        <v>38</v>
      </c>
      <c r="G45" s="438">
        <v>46177</v>
      </c>
      <c r="H45" s="446" t="s">
        <v>476</v>
      </c>
      <c r="I45" s="446"/>
      <c r="J45" s="442" t="s">
        <v>67</v>
      </c>
      <c r="K45" s="444"/>
      <c r="L45" s="444"/>
      <c r="M45" s="444"/>
      <c r="N45" s="444"/>
      <c r="O45" s="444"/>
      <c r="P45" s="444"/>
    </row>
    <row r="46" spans="1:16" ht="30.75" customHeight="1">
      <c r="A46" s="437">
        <v>43</v>
      </c>
      <c r="B46" s="442" t="s">
        <v>137</v>
      </c>
      <c r="C46" s="442" t="s">
        <v>350</v>
      </c>
      <c r="D46" s="438">
        <v>46173</v>
      </c>
      <c r="E46" s="439">
        <v>37.795999999999999</v>
      </c>
      <c r="F46" s="440" t="s">
        <v>38</v>
      </c>
      <c r="G46" s="438">
        <v>46181</v>
      </c>
      <c r="H46" s="446" t="s">
        <v>478</v>
      </c>
      <c r="I46" s="446"/>
      <c r="J46" s="442" t="s">
        <v>67</v>
      </c>
      <c r="K46" s="444"/>
      <c r="L46" s="444"/>
      <c r="M46" s="444"/>
      <c r="N46" s="444"/>
      <c r="O46" s="444"/>
      <c r="P46" s="444"/>
    </row>
    <row r="47" spans="1:16" ht="30.75" customHeight="1">
      <c r="A47" s="437">
        <v>44</v>
      </c>
      <c r="B47" s="442" t="s">
        <v>377</v>
      </c>
      <c r="C47" s="442" t="s">
        <v>350</v>
      </c>
      <c r="D47" s="438">
        <v>46178</v>
      </c>
      <c r="E47" s="439">
        <v>37.795999999999999</v>
      </c>
      <c r="F47" s="440" t="s">
        <v>38</v>
      </c>
      <c r="G47" s="438">
        <v>46182</v>
      </c>
      <c r="H47" s="446" t="s">
        <v>476</v>
      </c>
      <c r="I47" s="446"/>
      <c r="J47" s="442">
        <v>33</v>
      </c>
      <c r="K47" s="444"/>
      <c r="L47" s="444"/>
      <c r="M47" s="444"/>
      <c r="N47" s="444"/>
      <c r="O47" s="444"/>
      <c r="P47" s="444"/>
    </row>
    <row r="48" spans="1:16" ht="30.75" customHeight="1">
      <c r="A48" s="437">
        <v>45</v>
      </c>
      <c r="B48" s="442" t="s">
        <v>369</v>
      </c>
      <c r="C48" s="442" t="s">
        <v>298</v>
      </c>
      <c r="D48" s="438">
        <v>46178</v>
      </c>
      <c r="E48" s="439">
        <v>80.254999999999995</v>
      </c>
      <c r="F48" s="440" t="s">
        <v>38</v>
      </c>
      <c r="G48" s="438">
        <v>46186</v>
      </c>
      <c r="H48" s="446" t="s">
        <v>479</v>
      </c>
      <c r="I48" s="446"/>
      <c r="J48" s="442">
        <v>30</v>
      </c>
      <c r="K48" s="444"/>
      <c r="L48" s="444"/>
      <c r="M48" s="444"/>
      <c r="N48" s="444"/>
      <c r="O48" s="444"/>
      <c r="P48" s="444"/>
    </row>
    <row r="49" spans="1:16" s="541" customFormat="1" ht="34.5" customHeight="1">
      <c r="A49" s="447">
        <v>46</v>
      </c>
      <c r="B49" s="440" t="s">
        <v>367</v>
      </c>
      <c r="C49" s="440" t="s">
        <v>350</v>
      </c>
      <c r="D49" s="448">
        <v>46199</v>
      </c>
      <c r="E49" s="439">
        <v>37.795999999999999</v>
      </c>
      <c r="F49" s="440" t="s">
        <v>38</v>
      </c>
      <c r="G49" s="438">
        <v>46206</v>
      </c>
      <c r="H49" s="444" t="s">
        <v>1117</v>
      </c>
      <c r="I49" s="444"/>
      <c r="J49" s="442">
        <v>30</v>
      </c>
      <c r="K49" s="444"/>
      <c r="L49" s="444"/>
      <c r="M49" s="444"/>
      <c r="N49" s="444"/>
      <c r="O49" s="444"/>
      <c r="P49" s="444"/>
    </row>
    <row r="50" spans="1:16" s="541" customFormat="1" ht="34.5" customHeight="1">
      <c r="A50" s="447">
        <v>47</v>
      </c>
      <c r="B50" s="440" t="s">
        <v>359</v>
      </c>
      <c r="C50" s="440" t="s">
        <v>350</v>
      </c>
      <c r="D50" s="448">
        <v>46203</v>
      </c>
      <c r="E50" s="439">
        <v>37.795999999999999</v>
      </c>
      <c r="F50" s="440" t="s">
        <v>38</v>
      </c>
      <c r="G50" s="438">
        <v>46217</v>
      </c>
      <c r="H50" s="444" t="s">
        <v>1123</v>
      </c>
      <c r="I50" s="444"/>
      <c r="J50" s="442">
        <v>35</v>
      </c>
      <c r="K50" s="444"/>
      <c r="L50" s="444"/>
      <c r="M50" s="444"/>
      <c r="N50" s="444"/>
      <c r="O50" s="444"/>
      <c r="P50" s="444"/>
    </row>
    <row r="51" spans="1:16" s="541" customFormat="1" ht="48" customHeight="1">
      <c r="A51" s="447">
        <v>48</v>
      </c>
      <c r="B51" s="440" t="s">
        <v>378</v>
      </c>
      <c r="C51" s="440" t="s">
        <v>350</v>
      </c>
      <c r="D51" s="448">
        <v>46218</v>
      </c>
      <c r="E51" s="439">
        <v>37.795999999999999</v>
      </c>
      <c r="F51" s="626" t="s">
        <v>1183</v>
      </c>
      <c r="G51" s="438">
        <v>46236</v>
      </c>
      <c r="H51" s="444" t="s">
        <v>1123</v>
      </c>
      <c r="I51" s="444"/>
      <c r="J51" s="442">
        <v>35</v>
      </c>
      <c r="K51" s="444"/>
      <c r="L51" s="444"/>
      <c r="M51" s="444"/>
      <c r="N51" s="444"/>
      <c r="O51" s="444"/>
      <c r="P51" s="444"/>
    </row>
    <row r="52" spans="1:16" s="453" customFormat="1" ht="36.75" hidden="1" customHeight="1">
      <c r="A52" s="456">
        <v>48</v>
      </c>
      <c r="B52" s="449" t="s">
        <v>395</v>
      </c>
      <c r="C52" s="449" t="s">
        <v>396</v>
      </c>
      <c r="D52" s="457">
        <v>46207</v>
      </c>
      <c r="E52" s="452">
        <v>36.045000000000002</v>
      </c>
      <c r="F52" s="540" t="s">
        <v>67</v>
      </c>
      <c r="G52" s="250"/>
      <c r="H52" s="451" t="s">
        <v>1117</v>
      </c>
      <c r="I52" s="451"/>
      <c r="J52" s="450">
        <v>30</v>
      </c>
      <c r="K52" s="451"/>
      <c r="L52" s="451"/>
      <c r="M52" s="451"/>
      <c r="N52" s="451"/>
      <c r="O52" s="451"/>
      <c r="P52" s="451"/>
    </row>
    <row r="53" spans="1:16" s="453" customFormat="1" ht="34" customHeight="1">
      <c r="A53" s="456">
        <v>49</v>
      </c>
      <c r="B53" s="449" t="s">
        <v>1181</v>
      </c>
      <c r="C53" s="449" t="s">
        <v>302</v>
      </c>
      <c r="D53" s="457">
        <v>46236</v>
      </c>
      <c r="E53" s="455">
        <v>72.233999999999995</v>
      </c>
      <c r="F53" s="540" t="s">
        <v>1186</v>
      </c>
      <c r="G53" s="250"/>
      <c r="H53" s="451" t="s">
        <v>1123</v>
      </c>
      <c r="I53" s="451"/>
      <c r="J53" s="450">
        <v>35</v>
      </c>
      <c r="K53" s="451"/>
      <c r="L53" s="461"/>
      <c r="M53" s="451"/>
      <c r="N53" s="451"/>
      <c r="O53" s="451"/>
      <c r="P53" s="451"/>
    </row>
    <row r="54" spans="1:16" s="453" customFormat="1" ht="25.15" customHeight="1">
      <c r="A54" s="456"/>
      <c r="B54" s="449"/>
      <c r="C54" s="449"/>
      <c r="D54" s="457"/>
      <c r="E54" s="449"/>
      <c r="F54" s="458"/>
      <c r="G54" s="250"/>
      <c r="H54" s="454"/>
      <c r="I54" s="454"/>
      <c r="J54" s="450"/>
      <c r="K54" s="451"/>
      <c r="L54" s="451"/>
      <c r="M54" s="451"/>
      <c r="N54" s="451"/>
      <c r="O54" s="451"/>
      <c r="P54" s="451"/>
    </row>
    <row r="55" spans="1:16" s="453" customFormat="1" ht="25.15" customHeight="1">
      <c r="A55" s="456"/>
      <c r="B55" s="449"/>
      <c r="C55" s="449"/>
      <c r="D55" s="457"/>
      <c r="E55" s="449"/>
      <c r="F55" s="458"/>
      <c r="G55" s="250"/>
      <c r="H55" s="454"/>
      <c r="I55" s="454"/>
      <c r="J55" s="450"/>
      <c r="K55" s="451"/>
      <c r="L55" s="451"/>
      <c r="M55" s="451"/>
      <c r="N55" s="451"/>
      <c r="O55" s="451"/>
      <c r="P55" s="451"/>
    </row>
    <row r="56" spans="1:16" s="453" customFormat="1" ht="25.15" customHeight="1">
      <c r="A56" s="456"/>
      <c r="B56" s="449"/>
      <c r="C56" s="449"/>
      <c r="D56" s="457"/>
      <c r="E56" s="449"/>
      <c r="F56" s="458"/>
      <c r="G56" s="250"/>
      <c r="H56" s="454"/>
      <c r="I56" s="454"/>
      <c r="J56" s="450"/>
      <c r="K56" s="451"/>
      <c r="L56" s="451"/>
      <c r="M56" s="451"/>
      <c r="N56" s="451"/>
      <c r="O56" s="451"/>
      <c r="P56" s="451"/>
    </row>
    <row r="57" spans="1:16" s="453" customFormat="1" ht="25.15" customHeight="1">
      <c r="A57" s="456"/>
      <c r="B57" s="449"/>
      <c r="C57" s="449"/>
      <c r="D57" s="457"/>
      <c r="E57" s="452"/>
      <c r="F57" s="458"/>
      <c r="H57" s="625" t="s">
        <v>67</v>
      </c>
      <c r="I57" s="454"/>
      <c r="J57" s="450"/>
      <c r="K57" s="451"/>
      <c r="L57" s="451"/>
      <c r="M57" s="451"/>
      <c r="N57" s="451"/>
      <c r="O57" s="451"/>
      <c r="P57" s="451"/>
    </row>
    <row r="58" spans="1:16" s="453" customFormat="1" ht="25.15" customHeight="1">
      <c r="A58" s="456"/>
      <c r="B58" s="449"/>
      <c r="C58" s="449"/>
      <c r="D58" s="457"/>
      <c r="E58" s="455"/>
      <c r="F58" s="458"/>
      <c r="G58" s="250"/>
      <c r="H58" s="454"/>
      <c r="I58" s="454"/>
      <c r="J58" s="450"/>
      <c r="K58" s="451"/>
      <c r="L58" s="451"/>
      <c r="M58" s="451"/>
      <c r="N58" s="451"/>
      <c r="O58" s="451"/>
      <c r="P58" s="451"/>
    </row>
    <row r="59" spans="1:16" s="453" customFormat="1" ht="25.15" customHeight="1">
      <c r="A59" s="456"/>
      <c r="B59" s="449"/>
      <c r="C59" s="449"/>
      <c r="D59" s="457"/>
      <c r="E59" s="460"/>
      <c r="F59" s="458"/>
      <c r="G59" s="250"/>
      <c r="H59" s="454"/>
      <c r="I59" s="454"/>
      <c r="J59" s="450"/>
      <c r="K59" s="451"/>
      <c r="L59" s="451"/>
      <c r="M59" s="451"/>
      <c r="N59" s="451"/>
      <c r="O59" s="451"/>
      <c r="P59" s="451"/>
    </row>
    <row r="60" spans="1:16" s="453" customFormat="1" ht="25.15" customHeight="1">
      <c r="A60" s="456"/>
      <c r="B60" s="449"/>
      <c r="C60" s="449"/>
      <c r="D60" s="457"/>
      <c r="E60" s="460"/>
      <c r="F60" s="458"/>
      <c r="G60" s="250"/>
      <c r="H60" s="454"/>
      <c r="I60" s="454"/>
      <c r="J60" s="450"/>
      <c r="K60" s="451"/>
      <c r="L60" s="451"/>
      <c r="M60" s="451"/>
      <c r="N60" s="451"/>
      <c r="O60" s="451"/>
      <c r="P60" s="451"/>
    </row>
    <row r="61" spans="1:16" s="453" customFormat="1" ht="25.15" customHeight="1">
      <c r="A61" s="456"/>
      <c r="B61" s="449"/>
      <c r="C61" s="449"/>
      <c r="D61" s="457"/>
      <c r="E61" s="452"/>
      <c r="F61" s="458"/>
      <c r="G61" s="250"/>
      <c r="H61" s="454"/>
      <c r="I61" s="454"/>
      <c r="J61" s="450"/>
      <c r="K61" s="451"/>
      <c r="L61" s="451"/>
      <c r="M61" s="451"/>
      <c r="N61" s="451"/>
      <c r="O61" s="451"/>
      <c r="P61" s="451"/>
    </row>
    <row r="62" spans="1:16" s="453" customFormat="1" ht="25.15" customHeight="1">
      <c r="A62" s="456"/>
      <c r="B62" s="449"/>
      <c r="C62" s="449"/>
      <c r="D62" s="457"/>
      <c r="E62" s="452"/>
      <c r="F62" s="458"/>
      <c r="G62" s="250"/>
      <c r="H62" s="454"/>
      <c r="I62" s="454"/>
      <c r="J62" s="450"/>
      <c r="K62" s="451"/>
      <c r="L62" s="451"/>
      <c r="M62" s="451"/>
      <c r="N62" s="451"/>
      <c r="O62" s="451"/>
      <c r="P62" s="451"/>
    </row>
    <row r="63" spans="1:16" s="453" customFormat="1" ht="25.15" customHeight="1">
      <c r="A63" s="456"/>
      <c r="B63" s="449"/>
      <c r="C63" s="449"/>
      <c r="D63" s="457"/>
      <c r="E63" s="449"/>
      <c r="F63" s="458"/>
      <c r="G63" s="250"/>
      <c r="H63" s="454"/>
      <c r="I63" s="454"/>
      <c r="J63" s="450"/>
      <c r="K63" s="451"/>
      <c r="L63" s="451"/>
      <c r="M63" s="451"/>
      <c r="N63" s="451"/>
      <c r="O63" s="451"/>
      <c r="P63" s="451"/>
    </row>
    <row r="64" spans="1:16" s="453" customFormat="1" ht="25.15" customHeight="1">
      <c r="A64" s="456"/>
      <c r="B64" s="449"/>
      <c r="C64" s="449"/>
      <c r="D64" s="457"/>
      <c r="E64" s="452"/>
      <c r="F64" s="458"/>
      <c r="G64" s="250"/>
      <c r="H64" s="454"/>
      <c r="I64" s="454"/>
      <c r="J64" s="450"/>
      <c r="K64" s="451"/>
      <c r="L64" s="451"/>
      <c r="M64" s="451"/>
      <c r="N64" s="451"/>
      <c r="O64" s="451"/>
      <c r="P64" s="451"/>
    </row>
    <row r="65" spans="1:16" s="453" customFormat="1" ht="25.15" customHeight="1">
      <c r="A65" s="456"/>
      <c r="B65" s="449"/>
      <c r="C65" s="449"/>
      <c r="D65" s="457"/>
      <c r="E65" s="452"/>
      <c r="F65" s="458"/>
      <c r="G65" s="250"/>
      <c r="H65" s="454"/>
      <c r="I65" s="454"/>
      <c r="J65" s="459"/>
      <c r="K65" s="451"/>
      <c r="L65" s="451"/>
      <c r="M65" s="451"/>
      <c r="N65" s="451"/>
      <c r="O65" s="451"/>
      <c r="P65" s="451"/>
    </row>
    <row r="66" spans="1:16" s="453" customFormat="1" ht="25.15" customHeight="1">
      <c r="A66" s="456"/>
      <c r="B66" s="449"/>
      <c r="C66" s="449"/>
      <c r="D66" s="457"/>
      <c r="E66" s="452"/>
      <c r="F66" s="458"/>
      <c r="G66" s="250"/>
      <c r="H66" s="454"/>
      <c r="I66" s="454"/>
      <c r="J66" s="450"/>
      <c r="K66" s="451"/>
      <c r="L66" s="451"/>
      <c r="M66" s="451"/>
      <c r="N66" s="451"/>
      <c r="O66" s="451"/>
      <c r="P66" s="451"/>
    </row>
    <row r="67" spans="1:16" s="453" customFormat="1" ht="25.15" customHeight="1">
      <c r="A67" s="456"/>
      <c r="B67" s="449"/>
      <c r="C67" s="449"/>
      <c r="D67" s="457"/>
      <c r="E67" s="452"/>
      <c r="F67" s="458"/>
      <c r="G67" s="250"/>
      <c r="H67" s="462"/>
      <c r="I67" s="462"/>
      <c r="J67" s="450"/>
      <c r="K67" s="451"/>
      <c r="L67" s="451"/>
      <c r="M67" s="451"/>
      <c r="N67" s="451"/>
      <c r="O67" s="451"/>
      <c r="P67" s="451"/>
    </row>
    <row r="68" spans="1:16" s="453" customFormat="1" ht="25.15" customHeight="1">
      <c r="A68" s="456"/>
      <c r="B68" s="449"/>
      <c r="C68" s="449"/>
      <c r="D68" s="457"/>
      <c r="E68" s="452"/>
      <c r="F68" s="458"/>
      <c r="G68" s="250"/>
      <c r="H68" s="454"/>
      <c r="I68" s="454"/>
      <c r="J68" s="459"/>
      <c r="K68" s="451"/>
      <c r="L68" s="451"/>
      <c r="M68" s="451"/>
      <c r="N68" s="451"/>
      <c r="O68" s="451"/>
      <c r="P68" s="451"/>
    </row>
    <row r="69" spans="1:16" s="453" customFormat="1" ht="25.15" customHeight="1">
      <c r="A69" s="456"/>
      <c r="B69" s="449"/>
      <c r="C69" s="449"/>
      <c r="D69" s="457"/>
      <c r="E69" s="452"/>
      <c r="F69" s="458"/>
      <c r="G69" s="250"/>
      <c r="H69" s="454"/>
      <c r="I69" s="454"/>
      <c r="J69" s="450"/>
      <c r="K69" s="451"/>
      <c r="L69" s="451"/>
      <c r="M69" s="451"/>
      <c r="N69" s="451"/>
      <c r="O69" s="451"/>
      <c r="P69" s="451"/>
    </row>
    <row r="70" spans="1:16" s="453" customFormat="1" ht="25.15" customHeight="1">
      <c r="A70" s="456"/>
      <c r="B70" s="449"/>
      <c r="C70" s="449"/>
      <c r="D70" s="457"/>
      <c r="E70" s="452"/>
      <c r="F70" s="458"/>
      <c r="G70" s="250"/>
      <c r="H70" s="454"/>
      <c r="I70" s="454"/>
      <c r="J70" s="450"/>
      <c r="K70" s="451"/>
      <c r="L70" s="451"/>
      <c r="M70" s="451"/>
      <c r="N70" s="451"/>
      <c r="O70" s="451"/>
      <c r="P70" s="451"/>
    </row>
    <row r="71" spans="1:16" s="453" customFormat="1" ht="30" customHeight="1">
      <c r="A71" s="456"/>
      <c r="B71" s="449"/>
      <c r="C71" s="449"/>
      <c r="D71" s="457"/>
      <c r="E71" s="452"/>
      <c r="F71" s="458"/>
      <c r="G71" s="250"/>
      <c r="H71" s="454"/>
      <c r="I71" s="454"/>
      <c r="J71" s="450"/>
      <c r="K71" s="451"/>
      <c r="L71" s="451"/>
      <c r="M71" s="451"/>
      <c r="N71" s="451"/>
      <c r="O71" s="451"/>
      <c r="P71" s="451"/>
    </row>
    <row r="72" spans="1:16" s="453" customFormat="1" ht="30" customHeight="1">
      <c r="A72" s="456"/>
      <c r="B72" s="449"/>
      <c r="C72" s="449"/>
      <c r="D72" s="457"/>
      <c r="E72" s="452"/>
      <c r="F72" s="458"/>
      <c r="G72" s="250"/>
      <c r="H72" s="454"/>
      <c r="I72" s="454"/>
      <c r="J72" s="450"/>
      <c r="K72" s="451"/>
      <c r="L72" s="451"/>
      <c r="M72" s="451"/>
      <c r="N72" s="451"/>
      <c r="O72" s="451"/>
      <c r="P72" s="451"/>
    </row>
    <row r="73" spans="1:16" s="453" customFormat="1" ht="30" customHeight="1">
      <c r="A73" s="456"/>
      <c r="B73" s="449"/>
      <c r="C73" s="449"/>
      <c r="D73" s="457"/>
      <c r="E73" s="452"/>
      <c r="F73" s="458"/>
      <c r="G73" s="250"/>
      <c r="H73" s="454"/>
      <c r="I73" s="454"/>
      <c r="J73" s="450"/>
      <c r="K73" s="451"/>
      <c r="L73" s="451"/>
      <c r="M73" s="451"/>
      <c r="N73" s="451"/>
      <c r="O73" s="451"/>
      <c r="P73" s="451"/>
    </row>
    <row r="74" spans="1:16" s="453" customFormat="1" ht="30" customHeight="1">
      <c r="A74" s="456"/>
      <c r="B74" s="449"/>
      <c r="C74" s="449"/>
      <c r="D74" s="457"/>
      <c r="E74" s="452"/>
      <c r="F74" s="458"/>
      <c r="G74" s="250"/>
      <c r="H74" s="454"/>
      <c r="I74" s="454"/>
      <c r="J74" s="459"/>
      <c r="K74" s="451"/>
      <c r="L74" s="451"/>
      <c r="M74" s="451"/>
      <c r="N74" s="451"/>
      <c r="O74" s="451"/>
      <c r="P74" s="451"/>
    </row>
    <row r="75" spans="1:16" s="453" customFormat="1" ht="30" customHeight="1">
      <c r="A75" s="456"/>
      <c r="B75" s="449"/>
      <c r="C75" s="449"/>
      <c r="D75" s="457"/>
      <c r="E75" s="452"/>
      <c r="F75" s="458"/>
      <c r="G75" s="250"/>
      <c r="H75" s="454"/>
      <c r="I75" s="454"/>
      <c r="J75" s="450"/>
      <c r="K75" s="451"/>
      <c r="L75" s="451"/>
      <c r="M75" s="451"/>
      <c r="N75" s="451"/>
      <c r="O75" s="451"/>
      <c r="P75" s="451"/>
    </row>
    <row r="76" spans="1:16" s="453" customFormat="1" ht="30" customHeight="1">
      <c r="A76" s="456"/>
      <c r="B76" s="449"/>
      <c r="C76" s="449"/>
      <c r="D76" s="457"/>
      <c r="E76" s="452"/>
      <c r="F76" s="458"/>
      <c r="G76" s="250"/>
      <c r="H76" s="454"/>
      <c r="I76" s="454"/>
      <c r="J76" s="450"/>
      <c r="K76" s="451"/>
      <c r="L76" s="451"/>
      <c r="M76" s="451"/>
      <c r="N76" s="451"/>
      <c r="O76" s="451"/>
      <c r="P76" s="451"/>
    </row>
    <row r="77" spans="1:16" s="453" customFormat="1" ht="30" customHeight="1">
      <c r="A77" s="456"/>
      <c r="B77" s="449"/>
      <c r="C77" s="449"/>
      <c r="D77" s="457"/>
      <c r="E77" s="452"/>
      <c r="F77" s="458"/>
      <c r="G77" s="250"/>
      <c r="H77" s="454"/>
      <c r="I77" s="454"/>
      <c r="J77" s="450"/>
      <c r="K77" s="451"/>
      <c r="L77" s="451"/>
      <c r="M77" s="451"/>
      <c r="N77" s="451"/>
      <c r="O77" s="451"/>
      <c r="P77" s="451"/>
    </row>
    <row r="78" spans="1:16" s="453" customFormat="1" ht="30" customHeight="1">
      <c r="A78" s="456"/>
      <c r="B78" s="449"/>
      <c r="C78" s="449"/>
      <c r="D78" s="457"/>
      <c r="E78" s="452"/>
      <c r="F78" s="458"/>
      <c r="G78" s="250"/>
      <c r="H78" s="454"/>
      <c r="I78" s="454"/>
      <c r="J78" s="450"/>
      <c r="K78" s="451"/>
      <c r="L78" s="451"/>
      <c r="M78" s="451"/>
      <c r="N78" s="451"/>
      <c r="O78" s="451"/>
      <c r="P78" s="451"/>
    </row>
    <row r="79" spans="1:16" s="453" customFormat="1" ht="30" customHeight="1">
      <c r="A79" s="456"/>
      <c r="B79" s="449"/>
      <c r="C79" s="449"/>
      <c r="D79" s="457"/>
      <c r="E79" s="452"/>
      <c r="F79" s="458"/>
      <c r="G79" s="250"/>
      <c r="H79" s="451"/>
      <c r="I79" s="451"/>
      <c r="J79" s="450"/>
      <c r="K79" s="451"/>
      <c r="L79" s="451"/>
      <c r="M79" s="451"/>
      <c r="N79" s="451"/>
      <c r="O79" s="451"/>
      <c r="P79" s="451"/>
    </row>
    <row r="80" spans="1:16" s="453" customFormat="1" ht="30" customHeight="1">
      <c r="A80" s="456"/>
      <c r="B80" s="449"/>
      <c r="C80" s="449"/>
      <c r="D80" s="457"/>
      <c r="E80" s="452"/>
      <c r="F80" s="458"/>
      <c r="G80" s="250"/>
      <c r="H80" s="451"/>
      <c r="I80" s="451"/>
      <c r="J80" s="450"/>
      <c r="K80" s="451"/>
      <c r="L80" s="451"/>
      <c r="M80" s="451"/>
      <c r="N80" s="451"/>
      <c r="O80" s="451"/>
      <c r="P80" s="451"/>
    </row>
    <row r="81" spans="1:16" s="453" customFormat="1" ht="30" customHeight="1">
      <c r="A81" s="456"/>
      <c r="B81" s="449"/>
      <c r="C81" s="449"/>
      <c r="D81" s="457"/>
      <c r="E81" s="452"/>
      <c r="F81" s="458"/>
      <c r="G81" s="250"/>
      <c r="H81" s="451"/>
      <c r="I81" s="451"/>
      <c r="J81" s="450"/>
      <c r="K81" s="451"/>
      <c r="L81" s="451"/>
      <c r="M81" s="451"/>
      <c r="N81" s="451"/>
      <c r="O81" s="451"/>
      <c r="P81" s="451"/>
    </row>
    <row r="82" spans="1:16" s="453" customFormat="1" ht="30" customHeight="1">
      <c r="A82" s="456"/>
      <c r="B82" s="449"/>
      <c r="C82" s="449"/>
      <c r="D82" s="457"/>
      <c r="E82" s="452"/>
      <c r="F82" s="458"/>
      <c r="G82" s="250"/>
      <c r="H82" s="463"/>
      <c r="I82" s="463"/>
      <c r="J82" s="450"/>
      <c r="K82" s="451"/>
      <c r="L82" s="451"/>
      <c r="M82" s="451"/>
      <c r="N82" s="451"/>
      <c r="O82" s="451"/>
      <c r="P82" s="451"/>
    </row>
    <row r="83" spans="1:16" s="453" customFormat="1" ht="30" customHeight="1">
      <c r="A83" s="456"/>
      <c r="B83" s="449"/>
      <c r="C83" s="449"/>
      <c r="D83" s="457"/>
      <c r="E83" s="452"/>
      <c r="F83" s="458"/>
      <c r="G83" s="250"/>
      <c r="H83" s="463"/>
      <c r="I83" s="463"/>
      <c r="J83" s="450"/>
      <c r="K83" s="451"/>
      <c r="L83" s="451"/>
      <c r="M83" s="451"/>
      <c r="N83" s="451"/>
      <c r="O83" s="451"/>
      <c r="P83" s="451"/>
    </row>
    <row r="84" spans="1:16" s="453" customFormat="1" ht="30" customHeight="1">
      <c r="A84" s="456"/>
      <c r="B84" s="449"/>
      <c r="C84" s="449"/>
      <c r="D84" s="457"/>
      <c r="E84" s="452"/>
      <c r="F84" s="458"/>
      <c r="G84" s="250"/>
      <c r="H84" s="463"/>
      <c r="I84" s="463"/>
      <c r="J84" s="450"/>
      <c r="K84" s="451"/>
      <c r="L84" s="451"/>
      <c r="M84" s="451"/>
      <c r="N84" s="451"/>
      <c r="O84" s="451"/>
      <c r="P84" s="451"/>
    </row>
    <row r="85" spans="1:16" s="453" customFormat="1" ht="30" customHeight="1">
      <c r="A85" s="456"/>
      <c r="B85" s="449"/>
      <c r="C85" s="449"/>
      <c r="D85" s="457"/>
      <c r="E85" s="452"/>
      <c r="F85" s="458"/>
      <c r="G85" s="250"/>
      <c r="H85" s="463"/>
      <c r="I85" s="463"/>
      <c r="J85" s="450"/>
      <c r="K85" s="451"/>
      <c r="L85" s="451"/>
      <c r="M85" s="451"/>
      <c r="N85" s="451"/>
      <c r="O85" s="451"/>
      <c r="P85" s="451"/>
    </row>
    <row r="86" spans="1:16" s="453" customFormat="1" ht="30" customHeight="1">
      <c r="A86" s="456"/>
      <c r="B86" s="449"/>
      <c r="C86" s="449"/>
      <c r="D86" s="457"/>
      <c r="E86" s="452"/>
      <c r="F86" s="458"/>
      <c r="G86" s="250"/>
      <c r="H86" s="463"/>
      <c r="I86" s="463"/>
      <c r="J86" s="450"/>
      <c r="K86" s="451"/>
      <c r="L86" s="451"/>
      <c r="M86" s="451"/>
      <c r="N86" s="451"/>
      <c r="O86" s="451"/>
      <c r="P86" s="451"/>
    </row>
    <row r="87" spans="1:16" s="453" customFormat="1" ht="30" customHeight="1">
      <c r="A87" s="456"/>
      <c r="B87" s="449"/>
      <c r="C87" s="449"/>
      <c r="D87" s="457"/>
      <c r="E87" s="452"/>
      <c r="F87" s="458"/>
      <c r="G87" s="250"/>
      <c r="H87" s="463"/>
      <c r="I87" s="508"/>
      <c r="J87" s="459"/>
      <c r="K87" s="451"/>
      <c r="L87" s="451"/>
      <c r="M87" s="451"/>
      <c r="N87" s="451"/>
      <c r="O87" s="451"/>
      <c r="P87" s="451"/>
    </row>
    <row r="88" spans="1:16" s="453" customFormat="1" ht="30" customHeight="1">
      <c r="A88" s="456"/>
      <c r="B88" s="449"/>
      <c r="C88" s="449"/>
      <c r="D88" s="457"/>
      <c r="E88" s="452"/>
      <c r="F88" s="458"/>
      <c r="G88" s="250"/>
      <c r="H88" s="451"/>
      <c r="I88" s="451"/>
      <c r="J88" s="450"/>
      <c r="K88" s="451"/>
      <c r="L88" s="451"/>
      <c r="M88" s="451"/>
      <c r="N88" s="451"/>
      <c r="O88" s="451"/>
      <c r="P88" s="451"/>
    </row>
    <row r="89" spans="1:16" s="453" customFormat="1" ht="30" customHeight="1">
      <c r="A89" s="456"/>
      <c r="B89" s="449"/>
      <c r="C89" s="449"/>
      <c r="D89" s="457"/>
      <c r="E89" s="452"/>
      <c r="F89" s="458"/>
      <c r="G89" s="250"/>
      <c r="H89" s="463"/>
      <c r="I89" s="463"/>
      <c r="J89" s="450"/>
      <c r="K89" s="451"/>
      <c r="L89" s="451"/>
      <c r="M89" s="451"/>
      <c r="N89" s="451"/>
      <c r="O89" s="451"/>
      <c r="P89" s="451"/>
    </row>
    <row r="90" spans="1:16" s="453" customFormat="1" ht="30" customHeight="1">
      <c r="A90" s="456"/>
      <c r="B90" s="449"/>
      <c r="C90" s="449"/>
      <c r="D90" s="457"/>
      <c r="E90" s="452"/>
      <c r="F90" s="458"/>
      <c r="G90" s="250"/>
      <c r="H90" s="463"/>
      <c r="I90" s="508"/>
      <c r="J90" s="459"/>
      <c r="K90" s="451"/>
      <c r="L90" s="451"/>
      <c r="M90" s="451"/>
      <c r="N90" s="451"/>
      <c r="O90" s="451"/>
      <c r="P90" s="451"/>
    </row>
    <row r="91" spans="1:16" s="453" customFormat="1" ht="30" customHeight="1">
      <c r="A91" s="456"/>
      <c r="B91" s="449"/>
      <c r="C91" s="449"/>
      <c r="D91" s="457"/>
      <c r="E91" s="452"/>
      <c r="F91" s="458"/>
      <c r="G91" s="250"/>
      <c r="H91" s="463"/>
      <c r="I91" s="463"/>
      <c r="J91" s="450"/>
      <c r="K91" s="451"/>
      <c r="L91" s="451"/>
      <c r="M91" s="451"/>
      <c r="N91" s="451"/>
      <c r="O91" s="451"/>
      <c r="P91" s="451"/>
    </row>
    <row r="92" spans="1:16" s="453" customFormat="1" ht="30" customHeight="1">
      <c r="A92" s="456"/>
      <c r="B92" s="449"/>
      <c r="C92" s="449"/>
      <c r="D92" s="457"/>
      <c r="E92" s="452"/>
      <c r="F92" s="458"/>
      <c r="G92" s="250"/>
      <c r="H92" s="463"/>
      <c r="I92" s="463"/>
      <c r="J92" s="450"/>
      <c r="K92" s="451"/>
      <c r="L92" s="451"/>
      <c r="M92" s="451"/>
      <c r="N92" s="451"/>
      <c r="O92" s="451"/>
      <c r="P92" s="451"/>
    </row>
    <row r="93" spans="1:16" s="453" customFormat="1" ht="30" customHeight="1">
      <c r="A93" s="456"/>
      <c r="B93" s="449"/>
      <c r="C93" s="449"/>
      <c r="D93" s="457"/>
      <c r="E93" s="452"/>
      <c r="F93" s="458"/>
      <c r="G93" s="250"/>
      <c r="H93" s="451"/>
      <c r="I93" s="451"/>
      <c r="J93" s="450"/>
      <c r="K93" s="451"/>
      <c r="L93" s="451"/>
      <c r="M93" s="451"/>
      <c r="N93" s="451"/>
      <c r="O93" s="451"/>
      <c r="P93" s="451"/>
    </row>
    <row r="94" spans="1:16" s="453" customFormat="1" ht="30" customHeight="1">
      <c r="A94" s="456"/>
      <c r="B94" s="449"/>
      <c r="C94" s="449"/>
      <c r="D94" s="457"/>
      <c r="E94" s="452"/>
      <c r="F94" s="458"/>
      <c r="G94" s="250"/>
      <c r="H94" s="451"/>
      <c r="I94" s="451"/>
      <c r="J94" s="450"/>
      <c r="K94" s="451"/>
      <c r="L94" s="451"/>
      <c r="M94" s="451"/>
      <c r="N94" s="451"/>
      <c r="O94" s="451"/>
      <c r="P94" s="451"/>
    </row>
    <row r="95" spans="1:16" s="453" customFormat="1" ht="30" customHeight="1">
      <c r="A95" s="456"/>
      <c r="B95" s="449"/>
      <c r="C95" s="449"/>
      <c r="D95" s="457"/>
      <c r="E95" s="452"/>
      <c r="F95" s="458"/>
      <c r="G95" s="250"/>
      <c r="H95" s="451"/>
      <c r="I95" s="451"/>
      <c r="J95" s="450"/>
      <c r="K95" s="451"/>
      <c r="L95" s="450"/>
      <c r="M95" s="451"/>
      <c r="N95" s="451"/>
      <c r="O95" s="451"/>
      <c r="P95" s="451"/>
    </row>
    <row r="96" spans="1:16" s="453" customFormat="1" ht="30" customHeight="1">
      <c r="A96" s="456"/>
      <c r="B96" s="449"/>
      <c r="C96" s="449"/>
      <c r="D96" s="457"/>
      <c r="E96" s="452"/>
      <c r="F96" s="450"/>
      <c r="G96" s="250"/>
      <c r="H96" s="247"/>
      <c r="I96" s="247"/>
      <c r="J96" s="450"/>
      <c r="K96" s="451"/>
      <c r="L96" s="450"/>
      <c r="M96" s="451"/>
      <c r="N96" s="451"/>
      <c r="O96" s="451"/>
      <c r="P96" s="451"/>
    </row>
    <row r="97" spans="1:25" s="453" customFormat="1" ht="30" customHeight="1">
      <c r="A97" s="456"/>
      <c r="B97" s="449"/>
      <c r="C97" s="449"/>
      <c r="D97" s="457"/>
      <c r="E97" s="452"/>
      <c r="F97" s="458"/>
      <c r="G97" s="250"/>
      <c r="H97" s="247"/>
      <c r="I97" s="469"/>
      <c r="J97" s="459"/>
      <c r="K97" s="451"/>
      <c r="L97" s="451"/>
      <c r="M97" s="451"/>
      <c r="N97" s="451"/>
      <c r="O97" s="451"/>
      <c r="P97" s="451"/>
    </row>
    <row r="98" spans="1:25" s="453" customFormat="1" ht="30" customHeight="1">
      <c r="A98" s="456"/>
      <c r="B98" s="449"/>
      <c r="C98" s="449"/>
      <c r="D98" s="457"/>
      <c r="E98" s="452"/>
      <c r="F98" s="458"/>
      <c r="G98" s="250"/>
      <c r="H98" s="247"/>
      <c r="I98" s="247"/>
      <c r="J98" s="450"/>
      <c r="K98" s="451"/>
      <c r="L98" s="451"/>
      <c r="M98" s="451"/>
      <c r="N98" s="451"/>
      <c r="O98" s="451"/>
      <c r="P98" s="451"/>
    </row>
    <row r="99" spans="1:25" s="453" customFormat="1" ht="30" customHeight="1">
      <c r="A99" s="456"/>
      <c r="B99" s="449"/>
      <c r="C99" s="449"/>
      <c r="D99" s="457"/>
      <c r="E99" s="452"/>
      <c r="F99" s="458"/>
      <c r="G99" s="250"/>
      <c r="H99" s="247"/>
      <c r="I99" s="247"/>
      <c r="J99" s="450"/>
      <c r="K99" s="451"/>
      <c r="L99" s="451"/>
      <c r="M99" s="451"/>
      <c r="N99" s="451"/>
      <c r="O99" s="451"/>
      <c r="P99" s="451"/>
    </row>
    <row r="100" spans="1:25" s="453" customFormat="1" ht="30" customHeight="1">
      <c r="A100" s="456"/>
      <c r="B100" s="449"/>
      <c r="C100" s="449"/>
      <c r="D100" s="457"/>
      <c r="E100" s="452"/>
      <c r="F100" s="458"/>
      <c r="G100" s="250"/>
      <c r="H100" s="247"/>
      <c r="I100" s="247"/>
      <c r="J100" s="450"/>
      <c r="K100" s="451"/>
      <c r="L100" s="451"/>
      <c r="M100" s="451"/>
      <c r="N100" s="451"/>
      <c r="O100" s="451"/>
      <c r="P100" s="451"/>
    </row>
    <row r="101" spans="1:25" s="453" customFormat="1" ht="30" customHeight="1">
      <c r="A101" s="456"/>
      <c r="B101" s="449"/>
      <c r="C101" s="449"/>
      <c r="D101" s="457"/>
      <c r="E101" s="449"/>
      <c r="F101" s="458"/>
      <c r="G101" s="250"/>
      <c r="H101" s="247"/>
      <c r="I101" s="247"/>
      <c r="J101" s="450"/>
      <c r="K101" s="451"/>
      <c r="L101" s="450"/>
      <c r="M101" s="451"/>
      <c r="N101" s="451"/>
      <c r="O101" s="451"/>
      <c r="P101" s="451"/>
    </row>
    <row r="102" spans="1:25" s="453" customFormat="1" ht="30" customHeight="1">
      <c r="A102" s="456"/>
      <c r="B102" s="449"/>
      <c r="C102" s="449"/>
      <c r="D102" s="457"/>
      <c r="E102" s="452"/>
      <c r="F102" s="458"/>
      <c r="G102" s="250"/>
      <c r="H102" s="247"/>
      <c r="I102" s="469"/>
      <c r="J102" s="459"/>
      <c r="K102" s="451"/>
      <c r="L102" s="450"/>
      <c r="M102" s="451"/>
      <c r="N102" s="451"/>
      <c r="O102" s="451"/>
      <c r="P102" s="451"/>
    </row>
    <row r="103" spans="1:25" s="453" customFormat="1" ht="30" customHeight="1">
      <c r="A103" s="456"/>
      <c r="B103" s="449"/>
      <c r="C103" s="449"/>
      <c r="D103" s="457"/>
      <c r="E103" s="452"/>
      <c r="F103" s="458"/>
      <c r="G103" s="250"/>
      <c r="H103" s="247"/>
      <c r="I103" s="469"/>
      <c r="J103" s="459"/>
      <c r="K103" s="451"/>
      <c r="L103" s="450"/>
      <c r="M103" s="451"/>
      <c r="N103" s="451"/>
      <c r="O103" s="451"/>
      <c r="P103" s="451"/>
    </row>
    <row r="104" spans="1:25" s="453" customFormat="1" ht="30" customHeight="1">
      <c r="A104" s="456"/>
      <c r="B104" s="449"/>
      <c r="C104" s="449"/>
      <c r="D104" s="457"/>
      <c r="E104" s="452"/>
      <c r="F104" s="458"/>
      <c r="G104" s="250"/>
      <c r="H104" s="247"/>
      <c r="I104" s="247"/>
      <c r="J104" s="450"/>
      <c r="K104" s="451"/>
      <c r="L104" s="450"/>
      <c r="M104" s="451"/>
      <c r="N104" s="451"/>
      <c r="O104" s="451"/>
      <c r="P104" s="451"/>
    </row>
    <row r="105" spans="1:25" s="453" customFormat="1" ht="30" customHeight="1">
      <c r="A105" s="456"/>
      <c r="B105" s="449"/>
      <c r="C105" s="449"/>
      <c r="D105" s="457"/>
      <c r="E105" s="452"/>
      <c r="F105" s="458"/>
      <c r="G105" s="250"/>
      <c r="H105" s="247"/>
      <c r="I105" s="247"/>
      <c r="J105" s="450"/>
      <c r="K105" s="451"/>
      <c r="L105" s="450"/>
      <c r="M105" s="451"/>
      <c r="N105" s="451"/>
      <c r="O105" s="451"/>
      <c r="P105" s="451"/>
    </row>
    <row r="106" spans="1:25" s="453" customFormat="1" ht="30" customHeight="1">
      <c r="A106" s="456"/>
      <c r="B106" s="449"/>
      <c r="C106" s="449"/>
      <c r="D106" s="457"/>
      <c r="E106" s="452"/>
      <c r="F106" s="458"/>
      <c r="G106" s="250"/>
      <c r="H106" s="247"/>
      <c r="I106" s="247"/>
      <c r="J106" s="450"/>
      <c r="K106" s="451"/>
      <c r="L106" s="450"/>
      <c r="M106" s="451"/>
      <c r="N106" s="451"/>
      <c r="O106" s="451"/>
      <c r="P106" s="451"/>
    </row>
    <row r="107" spans="1:25" s="453" customFormat="1" ht="30" customHeight="1">
      <c r="A107" s="456"/>
      <c r="B107" s="449"/>
      <c r="C107" s="449"/>
      <c r="D107" s="457"/>
      <c r="E107" s="452"/>
      <c r="F107" s="458"/>
      <c r="G107" s="250"/>
      <c r="H107" s="247"/>
      <c r="I107" s="247"/>
      <c r="J107" s="450"/>
      <c r="K107" s="451"/>
      <c r="L107" s="450"/>
      <c r="M107" s="451"/>
      <c r="N107" s="451"/>
      <c r="O107" s="451"/>
      <c r="P107" s="451"/>
    </row>
    <row r="108" spans="1:25" s="453" customFormat="1" ht="30" customHeight="1">
      <c r="A108" s="456"/>
      <c r="B108" s="449"/>
      <c r="C108" s="449"/>
      <c r="D108" s="457"/>
      <c r="E108" s="452"/>
      <c r="F108" s="458"/>
      <c r="G108" s="250"/>
      <c r="H108" s="247"/>
      <c r="I108" s="247"/>
      <c r="J108" s="450"/>
      <c r="K108" s="451"/>
      <c r="L108" s="450"/>
      <c r="M108" s="451"/>
      <c r="N108" s="451"/>
      <c r="O108" s="451"/>
      <c r="P108" s="451"/>
    </row>
    <row r="109" spans="1:25" s="453" customFormat="1" ht="30" customHeight="1">
      <c r="A109" s="456"/>
      <c r="B109" s="449"/>
      <c r="C109" s="449"/>
      <c r="D109" s="457"/>
      <c r="E109" s="452"/>
      <c r="F109" s="458"/>
      <c r="G109" s="250"/>
      <c r="H109" s="247"/>
      <c r="I109" s="469"/>
      <c r="J109" s="459"/>
      <c r="K109" s="451"/>
      <c r="L109" s="450"/>
      <c r="M109" s="451"/>
      <c r="N109" s="451"/>
      <c r="O109" s="451"/>
      <c r="P109" s="451"/>
    </row>
    <row r="110" spans="1:25" s="453" customFormat="1" ht="30" customHeight="1">
      <c r="A110" s="456"/>
      <c r="B110" s="449"/>
      <c r="C110" s="449"/>
      <c r="D110" s="457"/>
      <c r="E110" s="452"/>
      <c r="F110" s="458"/>
      <c r="G110" s="250"/>
      <c r="H110" s="247"/>
      <c r="I110" s="469"/>
      <c r="J110" s="459"/>
      <c r="K110" s="451"/>
      <c r="L110" s="450"/>
      <c r="M110" s="451"/>
      <c r="N110" s="451"/>
      <c r="O110" s="451"/>
      <c r="P110" s="451"/>
    </row>
    <row r="111" spans="1:25" s="453" customFormat="1" ht="30" customHeight="1">
      <c r="A111" s="456"/>
      <c r="B111" s="449"/>
      <c r="C111" s="449"/>
      <c r="D111" s="457"/>
      <c r="E111" s="452"/>
      <c r="F111" s="458"/>
      <c r="G111" s="250"/>
      <c r="H111" s="247"/>
      <c r="I111" s="469"/>
      <c r="J111" s="459"/>
      <c r="K111" s="451"/>
      <c r="L111" s="450"/>
      <c r="M111" s="451"/>
      <c r="N111" s="451"/>
      <c r="O111" s="451"/>
      <c r="P111" s="451"/>
    </row>
    <row r="112" spans="1:25" s="453" customFormat="1" ht="30" customHeight="1">
      <c r="A112" s="456"/>
      <c r="B112" s="464"/>
      <c r="C112" s="449"/>
      <c r="D112" s="457"/>
      <c r="E112" s="465"/>
      <c r="F112" s="458"/>
      <c r="G112" s="250"/>
      <c r="H112" s="247"/>
      <c r="I112" s="247"/>
      <c r="J112" s="450"/>
      <c r="K112" s="451"/>
      <c r="L112" s="450"/>
      <c r="M112" s="451"/>
      <c r="N112" s="451"/>
      <c r="Y112" s="458"/>
    </row>
    <row r="113" spans="1:16" s="453" customFormat="1" ht="30" customHeight="1">
      <c r="A113" s="456"/>
      <c r="B113" s="449"/>
      <c r="C113" s="449"/>
      <c r="D113" s="457"/>
      <c r="E113" s="452"/>
      <c r="F113" s="458"/>
      <c r="G113" s="250"/>
      <c r="H113" s="247"/>
      <c r="I113" s="247"/>
      <c r="J113" s="450"/>
      <c r="K113" s="451"/>
      <c r="L113" s="450"/>
      <c r="M113" s="451"/>
      <c r="N113" s="451"/>
      <c r="O113" s="451"/>
      <c r="P113" s="451"/>
    </row>
    <row r="114" spans="1:16" s="453" customFormat="1" ht="30" customHeight="1">
      <c r="A114" s="456"/>
      <c r="B114" s="458"/>
      <c r="C114" s="449"/>
      <c r="D114" s="457"/>
      <c r="E114" s="452"/>
      <c r="F114" s="458"/>
      <c r="G114" s="250"/>
      <c r="H114" s="247"/>
      <c r="I114" s="247"/>
      <c r="J114" s="450"/>
      <c r="K114" s="466"/>
      <c r="L114" s="467"/>
      <c r="M114" s="451"/>
      <c r="N114" s="451"/>
      <c r="O114" s="451"/>
      <c r="P114" s="451"/>
    </row>
    <row r="115" spans="1:16" s="453" customFormat="1" ht="30" customHeight="1">
      <c r="A115" s="456"/>
      <c r="B115" s="449"/>
      <c r="C115" s="449"/>
      <c r="D115" s="457"/>
      <c r="E115" s="452"/>
      <c r="F115" s="458"/>
      <c r="G115" s="250"/>
      <c r="H115" s="247"/>
      <c r="I115" s="247"/>
      <c r="J115" s="450"/>
      <c r="K115" s="451"/>
      <c r="L115" s="450"/>
      <c r="M115" s="451"/>
      <c r="N115" s="451"/>
      <c r="O115" s="451"/>
      <c r="P115" s="451"/>
    </row>
    <row r="116" spans="1:16" s="453" customFormat="1" ht="30" customHeight="1">
      <c r="A116" s="456"/>
      <c r="B116" s="449"/>
      <c r="C116" s="449"/>
      <c r="D116" s="457"/>
      <c r="E116" s="452"/>
      <c r="F116" s="458"/>
      <c r="G116" s="250"/>
      <c r="H116" s="247"/>
      <c r="I116" s="247"/>
      <c r="J116" s="450"/>
      <c r="K116" s="451"/>
      <c r="L116" s="450"/>
      <c r="M116" s="451"/>
      <c r="N116" s="451"/>
      <c r="O116" s="451"/>
      <c r="P116" s="451"/>
    </row>
    <row r="117" spans="1:16" s="453" customFormat="1" ht="30" customHeight="1">
      <c r="A117" s="456"/>
      <c r="B117" s="449"/>
      <c r="C117" s="449"/>
      <c r="D117" s="457"/>
      <c r="E117" s="452"/>
      <c r="F117" s="458"/>
      <c r="G117" s="250"/>
      <c r="H117" s="247"/>
      <c r="I117" s="469"/>
      <c r="J117" s="459"/>
      <c r="K117" s="451"/>
      <c r="L117" s="450"/>
      <c r="M117" s="451"/>
      <c r="N117" s="451"/>
      <c r="O117" s="451"/>
      <c r="P117" s="451"/>
    </row>
    <row r="118" spans="1:16" s="453" customFormat="1" ht="30" customHeight="1">
      <c r="A118" s="456"/>
      <c r="B118" s="449"/>
      <c r="C118" s="449"/>
      <c r="D118" s="457"/>
      <c r="E118" s="452"/>
      <c r="F118" s="458"/>
      <c r="G118" s="250"/>
      <c r="H118" s="247"/>
      <c r="I118" s="247"/>
      <c r="J118" s="450"/>
      <c r="K118" s="451"/>
      <c r="L118" s="450"/>
      <c r="M118" s="451"/>
      <c r="N118" s="451"/>
      <c r="O118" s="451"/>
      <c r="P118" s="451"/>
    </row>
    <row r="119" spans="1:16" s="453" customFormat="1" ht="30" customHeight="1">
      <c r="A119" s="456"/>
      <c r="B119" s="449"/>
      <c r="C119" s="449"/>
      <c r="D119" s="457"/>
      <c r="E119" s="452"/>
      <c r="F119" s="450"/>
      <c r="G119" s="250"/>
      <c r="H119" s="247"/>
      <c r="I119" s="247"/>
      <c r="J119" s="450"/>
      <c r="K119" s="451"/>
      <c r="L119" s="450"/>
      <c r="M119" s="451"/>
      <c r="N119" s="451"/>
      <c r="O119" s="451"/>
      <c r="P119" s="451"/>
    </row>
    <row r="120" spans="1:16" s="453" customFormat="1" ht="30" customHeight="1">
      <c r="A120" s="456"/>
      <c r="B120" s="449"/>
      <c r="C120" s="449"/>
      <c r="D120" s="457"/>
      <c r="E120" s="452"/>
      <c r="F120" s="458"/>
      <c r="G120" s="250"/>
      <c r="H120" s="247"/>
      <c r="I120" s="469"/>
      <c r="J120" s="459"/>
      <c r="K120" s="451"/>
      <c r="L120" s="450"/>
      <c r="M120" s="451"/>
      <c r="N120" s="451"/>
      <c r="O120" s="451"/>
      <c r="P120" s="451"/>
    </row>
    <row r="121" spans="1:16" s="453" customFormat="1" ht="30" customHeight="1">
      <c r="A121" s="456"/>
      <c r="B121" s="449"/>
      <c r="C121" s="449"/>
      <c r="D121" s="457"/>
      <c r="E121" s="452"/>
      <c r="F121" s="458"/>
      <c r="G121" s="250"/>
      <c r="H121" s="247"/>
      <c r="I121" s="247"/>
      <c r="J121" s="450"/>
      <c r="K121" s="451"/>
      <c r="L121" s="450"/>
      <c r="M121" s="451"/>
      <c r="N121" s="451"/>
      <c r="O121" s="451"/>
      <c r="P121" s="451"/>
    </row>
    <row r="122" spans="1:16" s="453" customFormat="1" ht="30" customHeight="1">
      <c r="A122" s="456"/>
      <c r="B122" s="449"/>
      <c r="C122" s="449"/>
      <c r="D122" s="457"/>
      <c r="E122" s="452"/>
      <c r="F122" s="458"/>
      <c r="G122" s="250"/>
      <c r="H122" s="247"/>
      <c r="I122" s="247"/>
      <c r="J122" s="450"/>
      <c r="K122" s="451"/>
      <c r="L122" s="450"/>
      <c r="M122" s="451"/>
      <c r="N122" s="451"/>
      <c r="O122" s="451"/>
      <c r="P122" s="451"/>
    </row>
    <row r="123" spans="1:16" s="453" customFormat="1" ht="30" customHeight="1">
      <c r="A123" s="456"/>
      <c r="B123" s="449"/>
      <c r="C123" s="449"/>
      <c r="D123" s="457"/>
      <c r="E123" s="452"/>
      <c r="F123" s="458"/>
      <c r="G123" s="250"/>
      <c r="H123" s="247"/>
      <c r="I123" s="469"/>
      <c r="J123" s="459"/>
      <c r="K123" s="451"/>
      <c r="L123" s="450"/>
      <c r="M123" s="451"/>
      <c r="N123" s="451"/>
      <c r="O123" s="451"/>
      <c r="P123" s="451"/>
    </row>
    <row r="124" spans="1:16" s="453" customFormat="1" ht="30" customHeight="1">
      <c r="A124" s="456"/>
      <c r="B124" s="449"/>
      <c r="C124" s="449"/>
      <c r="D124" s="457"/>
      <c r="E124" s="465"/>
      <c r="F124" s="458"/>
      <c r="G124" s="250"/>
      <c r="H124" s="247"/>
      <c r="I124" s="469"/>
      <c r="J124" s="459"/>
      <c r="K124" s="451"/>
      <c r="L124" s="450"/>
      <c r="M124" s="451"/>
      <c r="N124" s="451"/>
      <c r="O124" s="451"/>
      <c r="P124" s="451"/>
    </row>
    <row r="125" spans="1:16" s="453" customFormat="1" ht="30" customHeight="1">
      <c r="A125" s="456"/>
      <c r="B125" s="449"/>
      <c r="C125" s="449"/>
      <c r="D125" s="457"/>
      <c r="E125" s="452"/>
      <c r="F125" s="458"/>
      <c r="G125" s="250"/>
      <c r="H125" s="247"/>
      <c r="I125" s="247"/>
      <c r="J125" s="450"/>
      <c r="K125" s="451"/>
      <c r="L125" s="450"/>
      <c r="M125" s="451"/>
      <c r="N125" s="451"/>
      <c r="O125" s="451"/>
      <c r="P125" s="451"/>
    </row>
    <row r="126" spans="1:16" s="453" customFormat="1" ht="30" customHeight="1">
      <c r="A126" s="456"/>
      <c r="B126" s="449"/>
      <c r="C126" s="449"/>
      <c r="D126" s="457"/>
      <c r="E126" s="452"/>
      <c r="F126" s="458"/>
      <c r="G126" s="250"/>
      <c r="H126" s="247"/>
      <c r="I126" s="247"/>
      <c r="J126" s="450"/>
      <c r="K126" s="451"/>
      <c r="L126" s="450"/>
      <c r="M126" s="451"/>
      <c r="N126" s="451"/>
      <c r="O126" s="451"/>
      <c r="P126" s="451"/>
    </row>
    <row r="127" spans="1:16" s="453" customFormat="1" ht="30" customHeight="1">
      <c r="A127" s="456"/>
      <c r="B127" s="449"/>
      <c r="C127" s="449"/>
      <c r="D127" s="457"/>
      <c r="E127" s="452"/>
      <c r="F127" s="458"/>
      <c r="G127" s="250"/>
      <c r="H127" s="247"/>
      <c r="I127" s="469"/>
      <c r="J127" s="459"/>
      <c r="K127" s="451"/>
      <c r="L127" s="450"/>
      <c r="M127" s="451"/>
      <c r="N127" s="451"/>
      <c r="O127" s="451"/>
      <c r="P127" s="451"/>
    </row>
    <row r="128" spans="1:16" s="453" customFormat="1" ht="30" customHeight="1">
      <c r="A128" s="456"/>
      <c r="B128" s="449"/>
      <c r="C128" s="449"/>
      <c r="D128" s="457"/>
      <c r="E128" s="452"/>
      <c r="F128" s="458"/>
      <c r="G128" s="250"/>
      <c r="H128" s="247"/>
      <c r="I128" s="469"/>
      <c r="J128" s="459"/>
      <c r="K128" s="451"/>
      <c r="L128" s="450"/>
      <c r="M128" s="451"/>
      <c r="N128" s="451"/>
      <c r="O128" s="451"/>
      <c r="P128" s="451"/>
    </row>
    <row r="129" spans="1:16" s="453" customFormat="1" ht="30" customHeight="1">
      <c r="A129" s="456"/>
      <c r="B129" s="449"/>
      <c r="C129" s="449"/>
      <c r="D129" s="457"/>
      <c r="E129" s="452"/>
      <c r="F129" s="458"/>
      <c r="G129" s="250"/>
      <c r="H129" s="247"/>
      <c r="I129" s="247"/>
      <c r="J129" s="450"/>
      <c r="K129" s="451"/>
      <c r="L129" s="450"/>
      <c r="M129" s="451"/>
      <c r="N129" s="451"/>
      <c r="O129" s="451"/>
      <c r="P129" s="451"/>
    </row>
    <row r="130" spans="1:16" s="453" customFormat="1" ht="30" customHeight="1">
      <c r="A130" s="456"/>
      <c r="B130" s="449"/>
      <c r="C130" s="449"/>
      <c r="D130" s="457"/>
      <c r="E130" s="452"/>
      <c r="F130" s="458"/>
      <c r="G130" s="250"/>
      <c r="H130" s="247"/>
      <c r="I130" s="247"/>
      <c r="J130" s="450"/>
      <c r="K130" s="451"/>
      <c r="L130" s="450"/>
      <c r="M130" s="451"/>
      <c r="N130" s="451"/>
      <c r="O130" s="451"/>
      <c r="P130" s="451"/>
    </row>
    <row r="131" spans="1:16" s="453" customFormat="1" ht="30" customHeight="1">
      <c r="A131" s="456"/>
      <c r="B131" s="449"/>
      <c r="C131" s="449"/>
      <c r="D131" s="457"/>
      <c r="E131" s="452"/>
      <c r="F131" s="458"/>
      <c r="G131" s="250"/>
      <c r="H131" s="247"/>
      <c r="I131" s="469"/>
      <c r="J131" s="459"/>
      <c r="K131" s="451"/>
      <c r="L131" s="450"/>
      <c r="M131" s="451"/>
      <c r="N131" s="451"/>
      <c r="O131" s="451"/>
      <c r="P131" s="451"/>
    </row>
    <row r="132" spans="1:16" s="453" customFormat="1" ht="30" customHeight="1">
      <c r="A132" s="456"/>
      <c r="B132" s="449"/>
      <c r="C132" s="449"/>
      <c r="D132" s="457"/>
      <c r="E132" s="452"/>
      <c r="F132" s="458"/>
      <c r="G132" s="250"/>
      <c r="H132" s="247"/>
      <c r="I132" s="247"/>
      <c r="J132" s="450"/>
      <c r="K132" s="451"/>
      <c r="L132" s="450"/>
      <c r="M132" s="451"/>
      <c r="N132" s="451"/>
      <c r="O132" s="451"/>
      <c r="P132" s="451"/>
    </row>
    <row r="133" spans="1:16" s="453" customFormat="1" ht="30" customHeight="1">
      <c r="A133" s="456"/>
      <c r="B133" s="449"/>
      <c r="C133" s="449"/>
      <c r="D133" s="457"/>
      <c r="E133" s="452"/>
      <c r="F133" s="458"/>
      <c r="G133" s="250"/>
      <c r="H133" s="247"/>
      <c r="I133" s="247"/>
      <c r="J133" s="450"/>
      <c r="K133" s="451"/>
      <c r="L133" s="450"/>
      <c r="M133" s="451"/>
      <c r="N133" s="451"/>
      <c r="O133" s="451"/>
      <c r="P133" s="451"/>
    </row>
    <row r="134" spans="1:16" s="453" customFormat="1" ht="30" customHeight="1">
      <c r="A134" s="456"/>
      <c r="B134" s="449"/>
      <c r="C134" s="449"/>
      <c r="D134" s="457"/>
      <c r="E134" s="449"/>
      <c r="F134" s="458"/>
      <c r="G134" s="250"/>
      <c r="H134" s="247"/>
      <c r="I134" s="469"/>
      <c r="J134" s="459"/>
      <c r="K134" s="451"/>
      <c r="L134" s="450"/>
      <c r="M134" s="451"/>
      <c r="N134" s="451"/>
      <c r="O134" s="451"/>
      <c r="P134" s="451"/>
    </row>
    <row r="135" spans="1:16" s="453" customFormat="1" ht="30" customHeight="1">
      <c r="A135" s="456"/>
      <c r="B135" s="449"/>
      <c r="C135" s="449"/>
      <c r="D135" s="457"/>
      <c r="E135" s="452"/>
      <c r="F135" s="458"/>
      <c r="G135" s="250"/>
      <c r="H135" s="247"/>
      <c r="I135" s="469"/>
      <c r="J135" s="459"/>
      <c r="K135" s="451"/>
      <c r="L135" s="450"/>
      <c r="M135" s="451"/>
      <c r="N135" s="451"/>
      <c r="O135" s="451"/>
      <c r="P135" s="451"/>
    </row>
    <row r="136" spans="1:16" s="453" customFormat="1" ht="30" customHeight="1">
      <c r="A136" s="456"/>
      <c r="B136" s="449"/>
      <c r="C136" s="449"/>
      <c r="D136" s="457"/>
      <c r="E136" s="449"/>
      <c r="F136" s="458"/>
      <c r="G136" s="250"/>
      <c r="H136" s="247"/>
      <c r="I136" s="469"/>
      <c r="J136" s="459"/>
      <c r="K136" s="451"/>
      <c r="L136" s="450"/>
      <c r="M136" s="451"/>
      <c r="N136" s="451"/>
      <c r="O136" s="451"/>
      <c r="P136" s="451"/>
    </row>
    <row r="137" spans="1:16" s="453" customFormat="1" ht="30" customHeight="1">
      <c r="A137" s="456"/>
      <c r="B137" s="449"/>
      <c r="C137" s="449"/>
      <c r="D137" s="457"/>
      <c r="E137" s="449"/>
      <c r="F137" s="458"/>
      <c r="G137" s="250"/>
      <c r="H137" s="247"/>
      <c r="I137" s="469"/>
      <c r="J137" s="459"/>
      <c r="K137" s="451"/>
      <c r="L137" s="450"/>
      <c r="M137" s="451"/>
      <c r="N137" s="451"/>
      <c r="O137" s="451"/>
      <c r="P137" s="451"/>
    </row>
    <row r="138" spans="1:16" s="453" customFormat="1" ht="30" customHeight="1">
      <c r="A138" s="456"/>
      <c r="B138" s="449"/>
      <c r="C138" s="449"/>
      <c r="D138" s="457"/>
      <c r="E138" s="452"/>
      <c r="F138" s="458"/>
      <c r="G138" s="457"/>
      <c r="H138" s="247"/>
      <c r="I138" s="469"/>
      <c r="J138" s="459"/>
      <c r="K138" s="451"/>
      <c r="L138" s="450"/>
      <c r="M138" s="451"/>
      <c r="N138" s="451"/>
      <c r="O138" s="451"/>
      <c r="P138" s="451"/>
    </row>
    <row r="139" spans="1:16" s="453" customFormat="1" ht="30" customHeight="1">
      <c r="A139" s="456"/>
      <c r="B139" s="449"/>
      <c r="C139" s="449"/>
      <c r="D139" s="457"/>
      <c r="E139" s="452"/>
      <c r="F139" s="450"/>
      <c r="G139" s="457"/>
      <c r="H139" s="247"/>
      <c r="I139" s="469"/>
      <c r="J139" s="459"/>
      <c r="K139" s="451"/>
      <c r="L139" s="450"/>
      <c r="M139" s="451"/>
      <c r="N139" s="451"/>
      <c r="O139" s="451"/>
      <c r="P139" s="451"/>
    </row>
    <row r="140" spans="1:16" s="453" customFormat="1" ht="30" customHeight="1">
      <c r="A140" s="456"/>
      <c r="B140" s="449"/>
      <c r="C140" s="449"/>
      <c r="D140" s="457"/>
      <c r="E140" s="452"/>
      <c r="F140" s="458"/>
      <c r="G140" s="457"/>
      <c r="H140" s="247"/>
      <c r="I140" s="469"/>
      <c r="J140" s="459"/>
      <c r="K140" s="451"/>
      <c r="L140" s="450"/>
      <c r="M140" s="451"/>
      <c r="N140" s="451"/>
      <c r="O140" s="451"/>
      <c r="P140" s="451"/>
    </row>
    <row r="141" spans="1:16" s="453" customFormat="1" ht="30" customHeight="1">
      <c r="A141" s="456"/>
      <c r="B141" s="449"/>
      <c r="C141" s="449"/>
      <c r="D141" s="457"/>
      <c r="E141" s="452"/>
      <c r="F141" s="458"/>
      <c r="G141" s="457"/>
      <c r="H141" s="247"/>
      <c r="I141" s="469"/>
      <c r="J141" s="459"/>
      <c r="K141" s="451"/>
      <c r="L141" s="450"/>
      <c r="M141" s="451"/>
      <c r="N141" s="451"/>
      <c r="O141" s="451"/>
      <c r="P141" s="451"/>
    </row>
    <row r="142" spans="1:16" s="453" customFormat="1" ht="30" customHeight="1">
      <c r="A142" s="456"/>
      <c r="B142" s="449"/>
      <c r="C142" s="449"/>
      <c r="D142" s="457"/>
      <c r="E142" s="449"/>
      <c r="F142" s="458"/>
      <c r="G142" s="457"/>
      <c r="H142" s="247"/>
      <c r="I142" s="469"/>
      <c r="J142" s="459"/>
      <c r="K142" s="451"/>
      <c r="L142" s="450"/>
      <c r="M142" s="451"/>
      <c r="N142" s="451"/>
      <c r="O142" s="451"/>
      <c r="P142" s="451"/>
    </row>
    <row r="143" spans="1:16" s="453" customFormat="1" ht="30" customHeight="1">
      <c r="A143" s="456"/>
      <c r="B143" s="449"/>
      <c r="C143" s="449"/>
      <c r="D143" s="457"/>
      <c r="E143" s="452"/>
      <c r="F143" s="458"/>
      <c r="G143" s="457"/>
      <c r="H143" s="247"/>
      <c r="I143" s="469"/>
      <c r="J143" s="459"/>
      <c r="K143" s="451"/>
      <c r="L143" s="450"/>
      <c r="M143" s="451"/>
      <c r="N143" s="451"/>
      <c r="O143" s="451"/>
      <c r="P143" s="451"/>
    </row>
    <row r="144" spans="1:16" s="453" customFormat="1" ht="30" customHeight="1">
      <c r="A144" s="456"/>
      <c r="B144" s="449"/>
      <c r="C144" s="449"/>
      <c r="D144" s="457"/>
      <c r="E144" s="452"/>
      <c r="F144" s="450"/>
      <c r="G144" s="457"/>
      <c r="H144" s="247"/>
      <c r="I144" s="469"/>
      <c r="J144" s="459"/>
      <c r="K144" s="451"/>
      <c r="L144" s="450"/>
      <c r="M144" s="451"/>
      <c r="N144" s="451"/>
      <c r="O144" s="451"/>
      <c r="P144" s="451"/>
    </row>
    <row r="145" spans="1:16" s="453" customFormat="1" ht="30" customHeight="1">
      <c r="A145" s="456"/>
      <c r="B145" s="449"/>
      <c r="C145" s="449"/>
      <c r="D145" s="457"/>
      <c r="E145" s="452"/>
      <c r="F145" s="458"/>
      <c r="G145" s="457"/>
      <c r="H145" s="247"/>
      <c r="I145" s="469"/>
      <c r="J145" s="459"/>
      <c r="K145" s="451"/>
      <c r="L145" s="450"/>
      <c r="M145" s="451"/>
      <c r="N145" s="451"/>
      <c r="O145" s="451"/>
      <c r="P145" s="451"/>
    </row>
    <row r="146" spans="1:16" s="453" customFormat="1" ht="30" customHeight="1">
      <c r="A146" s="456"/>
      <c r="B146" s="449"/>
      <c r="C146" s="449"/>
      <c r="D146" s="457"/>
      <c r="E146" s="452"/>
      <c r="F146" s="458"/>
      <c r="G146" s="457"/>
      <c r="H146" s="247"/>
      <c r="I146" s="469"/>
      <c r="J146" s="459"/>
      <c r="K146" s="451"/>
      <c r="L146" s="450"/>
      <c r="M146" s="451"/>
      <c r="N146" s="451"/>
      <c r="O146" s="451"/>
      <c r="P146" s="451"/>
    </row>
    <row r="147" spans="1:16" s="453" customFormat="1" ht="30" customHeight="1">
      <c r="A147" s="456"/>
      <c r="B147" s="449"/>
      <c r="C147" s="449"/>
      <c r="D147" s="457"/>
      <c r="E147" s="452"/>
      <c r="F147" s="458"/>
      <c r="G147" s="457"/>
      <c r="H147" s="247"/>
      <c r="I147" s="469"/>
      <c r="J147" s="459"/>
      <c r="K147" s="451"/>
      <c r="L147" s="450"/>
      <c r="M147" s="451"/>
      <c r="N147" s="451"/>
      <c r="O147" s="451"/>
      <c r="P147" s="451"/>
    </row>
    <row r="148" spans="1:16" s="453" customFormat="1" ht="30" customHeight="1">
      <c r="A148" s="456"/>
      <c r="B148" s="449"/>
      <c r="C148" s="449"/>
      <c r="D148" s="457"/>
      <c r="E148" s="452"/>
      <c r="F148" s="458"/>
      <c r="G148" s="457"/>
      <c r="H148" s="247"/>
      <c r="I148" s="469"/>
      <c r="J148" s="459"/>
      <c r="K148" s="451"/>
      <c r="L148" s="450"/>
      <c r="M148" s="451"/>
      <c r="N148" s="451"/>
      <c r="O148" s="451"/>
      <c r="P148" s="451"/>
    </row>
    <row r="149" spans="1:16" s="453" customFormat="1" ht="30" customHeight="1">
      <c r="A149" s="456"/>
      <c r="B149" s="449"/>
      <c r="C149" s="449"/>
      <c r="D149" s="457"/>
      <c r="E149" s="452"/>
      <c r="F149" s="458"/>
      <c r="G149" s="457"/>
      <c r="H149" s="247"/>
      <c r="I149" s="469"/>
      <c r="J149" s="459"/>
      <c r="K149" s="451"/>
      <c r="L149" s="450"/>
      <c r="M149" s="451"/>
      <c r="N149" s="451"/>
      <c r="O149" s="451"/>
      <c r="P149" s="451"/>
    </row>
    <row r="150" spans="1:16" s="453" customFormat="1" ht="30" customHeight="1">
      <c r="A150" s="456"/>
      <c r="B150" s="449"/>
      <c r="C150" s="449"/>
      <c r="D150" s="457"/>
      <c r="E150" s="452"/>
      <c r="F150" s="458"/>
      <c r="G150" s="457"/>
      <c r="H150" s="247"/>
      <c r="I150" s="469"/>
      <c r="J150" s="459"/>
      <c r="K150" s="451"/>
      <c r="L150" s="450"/>
      <c r="M150" s="451"/>
      <c r="N150" s="451"/>
      <c r="O150" s="451"/>
      <c r="P150" s="451"/>
    </row>
    <row r="151" spans="1:16" s="453" customFormat="1" ht="30" customHeight="1">
      <c r="A151" s="456"/>
      <c r="B151" s="449"/>
      <c r="C151" s="449"/>
      <c r="D151" s="457"/>
      <c r="E151" s="452"/>
      <c r="F151" s="458"/>
      <c r="G151" s="457"/>
      <c r="H151" s="247"/>
      <c r="I151" s="469"/>
      <c r="J151" s="459"/>
      <c r="K151" s="451"/>
      <c r="L151" s="450"/>
      <c r="M151" s="451"/>
      <c r="N151" s="451"/>
      <c r="O151" s="451"/>
      <c r="P151" s="451"/>
    </row>
    <row r="152" spans="1:16" s="453" customFormat="1" ht="30" customHeight="1">
      <c r="A152" s="456"/>
      <c r="B152" s="449"/>
      <c r="C152" s="449"/>
      <c r="D152" s="457"/>
      <c r="E152" s="449"/>
      <c r="F152" s="458"/>
      <c r="G152" s="457"/>
      <c r="H152" s="247"/>
      <c r="I152" s="469"/>
      <c r="J152" s="459"/>
      <c r="K152" s="451"/>
      <c r="L152" s="450"/>
      <c r="M152" s="451"/>
      <c r="N152" s="451"/>
      <c r="O152" s="451"/>
      <c r="P152" s="451"/>
    </row>
    <row r="153" spans="1:16" s="453" customFormat="1" ht="30" customHeight="1">
      <c r="A153" s="456"/>
      <c r="B153" s="449"/>
      <c r="C153" s="449"/>
      <c r="D153" s="457"/>
      <c r="E153" s="455"/>
      <c r="F153" s="458"/>
      <c r="G153" s="457"/>
      <c r="H153" s="247"/>
      <c r="I153" s="247"/>
      <c r="J153" s="450"/>
      <c r="K153" s="451"/>
      <c r="L153" s="450"/>
      <c r="M153" s="451"/>
      <c r="N153" s="451"/>
      <c r="O153" s="451"/>
      <c r="P153" s="451"/>
    </row>
    <row r="154" spans="1:16" s="453" customFormat="1" ht="30" customHeight="1">
      <c r="A154" s="456"/>
      <c r="B154" s="449"/>
      <c r="C154" s="449"/>
      <c r="D154" s="457"/>
      <c r="E154" s="449"/>
      <c r="F154" s="458"/>
      <c r="G154" s="457"/>
      <c r="H154" s="247"/>
      <c r="I154" s="469"/>
      <c r="J154" s="459"/>
      <c r="K154" s="451"/>
      <c r="L154" s="450"/>
      <c r="M154" s="451"/>
      <c r="N154" s="451"/>
      <c r="O154" s="451"/>
      <c r="P154" s="451"/>
    </row>
    <row r="155" spans="1:16" s="453" customFormat="1" ht="30" customHeight="1">
      <c r="A155" s="456"/>
      <c r="B155" s="449"/>
      <c r="C155" s="449"/>
      <c r="D155" s="457"/>
      <c r="E155" s="452"/>
      <c r="F155" s="458"/>
      <c r="G155" s="457"/>
      <c r="H155" s="247"/>
      <c r="I155" s="469"/>
      <c r="J155" s="459"/>
      <c r="K155" s="451"/>
      <c r="L155" s="450"/>
      <c r="M155" s="451"/>
      <c r="N155" s="451"/>
      <c r="O155" s="451"/>
      <c r="P155" s="451"/>
    </row>
    <row r="156" spans="1:16" s="453" customFormat="1" ht="30" customHeight="1">
      <c r="A156" s="456"/>
      <c r="B156" s="449"/>
      <c r="C156" s="449"/>
      <c r="D156" s="457"/>
      <c r="E156" s="452"/>
      <c r="F156" s="458"/>
      <c r="G156" s="457"/>
      <c r="H156" s="247"/>
      <c r="I156" s="469"/>
      <c r="J156" s="459"/>
      <c r="K156" s="451"/>
      <c r="L156" s="450"/>
      <c r="M156" s="451"/>
      <c r="N156" s="451"/>
      <c r="O156" s="451"/>
      <c r="P156" s="451"/>
    </row>
    <row r="157" spans="1:16" s="453" customFormat="1" ht="30" customHeight="1">
      <c r="A157" s="456"/>
      <c r="B157" s="449"/>
      <c r="C157" s="449"/>
      <c r="D157" s="457"/>
      <c r="E157" s="452"/>
      <c r="F157" s="450"/>
      <c r="G157" s="457"/>
      <c r="H157" s="247"/>
      <c r="I157" s="469"/>
      <c r="J157" s="459"/>
      <c r="K157" s="451"/>
      <c r="L157" s="450"/>
      <c r="M157" s="451"/>
      <c r="N157" s="451"/>
      <c r="O157" s="451"/>
      <c r="P157" s="451"/>
    </row>
    <row r="158" spans="1:16" s="453" customFormat="1" ht="30" customHeight="1">
      <c r="A158" s="456"/>
      <c r="B158" s="449"/>
      <c r="C158" s="449"/>
      <c r="D158" s="457"/>
      <c r="E158" s="465"/>
      <c r="F158" s="458"/>
      <c r="G158" s="457"/>
      <c r="H158" s="247"/>
      <c r="I158" s="469"/>
      <c r="J158" s="459"/>
      <c r="K158" s="451"/>
      <c r="L158" s="451"/>
      <c r="M158" s="451"/>
      <c r="N158" s="451"/>
      <c r="O158" s="451"/>
      <c r="P158" s="451"/>
    </row>
    <row r="159" spans="1:16" s="453" customFormat="1" ht="30" customHeight="1">
      <c r="A159" s="456"/>
      <c r="B159" s="449"/>
      <c r="C159" s="449"/>
      <c r="D159" s="457"/>
      <c r="E159" s="452"/>
      <c r="F159" s="458"/>
      <c r="G159" s="457"/>
      <c r="H159" s="247"/>
      <c r="I159" s="247"/>
      <c r="J159" s="450"/>
      <c r="K159" s="451"/>
      <c r="L159" s="450"/>
      <c r="M159" s="451"/>
      <c r="N159" s="451"/>
      <c r="O159" s="451"/>
      <c r="P159" s="451"/>
    </row>
    <row r="160" spans="1:16" s="453" customFormat="1" ht="30" customHeight="1">
      <c r="A160" s="456"/>
      <c r="B160" s="450"/>
      <c r="C160" s="449"/>
      <c r="D160" s="457"/>
      <c r="E160" s="452"/>
      <c r="F160" s="458"/>
      <c r="G160" s="457"/>
      <c r="H160" s="247"/>
      <c r="I160" s="469"/>
      <c r="J160" s="459"/>
      <c r="K160" s="451"/>
      <c r="L160" s="450"/>
      <c r="M160" s="451"/>
      <c r="N160" s="451"/>
      <c r="O160" s="451"/>
      <c r="P160" s="451"/>
    </row>
    <row r="161" spans="1:16" s="453" customFormat="1" ht="30" customHeight="1">
      <c r="A161" s="456"/>
      <c r="B161" s="449"/>
      <c r="C161" s="449"/>
      <c r="D161" s="457"/>
      <c r="E161" s="452"/>
      <c r="F161" s="458"/>
      <c r="G161" s="457"/>
      <c r="H161" s="247"/>
      <c r="I161" s="469"/>
      <c r="J161" s="459"/>
      <c r="K161" s="451"/>
      <c r="L161" s="450"/>
      <c r="M161" s="451"/>
      <c r="N161" s="451"/>
      <c r="O161" s="451"/>
      <c r="P161" s="451"/>
    </row>
    <row r="162" spans="1:16" s="453" customFormat="1" ht="30" customHeight="1">
      <c r="A162" s="456"/>
      <c r="B162" s="449"/>
      <c r="C162" s="449"/>
      <c r="D162" s="457"/>
      <c r="E162" s="452"/>
      <c r="F162" s="458"/>
      <c r="G162" s="457"/>
      <c r="H162" s="247"/>
      <c r="I162" s="469"/>
      <c r="J162" s="459"/>
      <c r="K162" s="451"/>
      <c r="L162" s="450"/>
      <c r="M162" s="451"/>
      <c r="N162" s="451"/>
      <c r="O162" s="451"/>
      <c r="P162" s="451"/>
    </row>
    <row r="163" spans="1:16" s="453" customFormat="1" ht="30" customHeight="1">
      <c r="A163" s="456"/>
      <c r="B163" s="449"/>
      <c r="C163" s="449"/>
      <c r="D163" s="457"/>
      <c r="E163" s="452"/>
      <c r="F163" s="458"/>
      <c r="G163" s="457"/>
      <c r="H163" s="247"/>
      <c r="I163" s="469"/>
      <c r="J163" s="459"/>
      <c r="K163" s="451"/>
      <c r="L163" s="450"/>
      <c r="M163" s="451"/>
      <c r="N163" s="451"/>
      <c r="O163" s="451"/>
      <c r="P163" s="451"/>
    </row>
    <row r="164" spans="1:16" s="453" customFormat="1" ht="30" customHeight="1">
      <c r="A164" s="456"/>
      <c r="B164" s="449"/>
      <c r="C164" s="449"/>
      <c r="D164" s="457"/>
      <c r="E164" s="452"/>
      <c r="F164" s="458"/>
      <c r="G164" s="457"/>
      <c r="H164" s="247"/>
      <c r="I164" s="469"/>
      <c r="J164" s="459"/>
      <c r="K164" s="451"/>
      <c r="L164" s="450"/>
      <c r="M164" s="451"/>
      <c r="N164" s="451"/>
      <c r="O164" s="451"/>
      <c r="P164" s="451"/>
    </row>
    <row r="165" spans="1:16" s="453" customFormat="1" ht="30" customHeight="1">
      <c r="A165" s="456"/>
      <c r="B165" s="449"/>
      <c r="C165" s="449"/>
      <c r="D165" s="457"/>
      <c r="E165" s="449"/>
      <c r="F165" s="458"/>
      <c r="G165" s="457"/>
      <c r="H165" s="247"/>
      <c r="I165" s="247"/>
      <c r="J165" s="450"/>
      <c r="K165" s="451"/>
      <c r="L165" s="450"/>
      <c r="M165" s="451"/>
      <c r="N165" s="451"/>
      <c r="O165" s="451"/>
      <c r="P165" s="451"/>
    </row>
    <row r="166" spans="1:16" s="453" customFormat="1" ht="30" customHeight="1">
      <c r="A166" s="456"/>
      <c r="B166" s="449"/>
      <c r="C166" s="449"/>
      <c r="D166" s="457"/>
      <c r="E166" s="455"/>
      <c r="F166" s="450"/>
      <c r="G166" s="457"/>
      <c r="H166" s="247"/>
      <c r="I166" s="469"/>
      <c r="J166" s="459"/>
      <c r="K166" s="451"/>
      <c r="L166" s="450"/>
      <c r="M166" s="451"/>
      <c r="N166" s="451"/>
      <c r="O166" s="451"/>
      <c r="P166" s="451"/>
    </row>
    <row r="167" spans="1:16" s="453" customFormat="1" ht="30" customHeight="1">
      <c r="A167" s="456"/>
      <c r="B167" s="449"/>
      <c r="C167" s="449"/>
      <c r="D167" s="457"/>
      <c r="E167" s="465"/>
      <c r="F167" s="458"/>
      <c r="G167" s="457"/>
      <c r="H167" s="247"/>
      <c r="I167" s="469"/>
      <c r="J167" s="459"/>
      <c r="K167" s="451"/>
      <c r="L167" s="450"/>
      <c r="M167" s="451"/>
      <c r="N167" s="451"/>
      <c r="O167" s="451"/>
      <c r="P167" s="451"/>
    </row>
    <row r="168" spans="1:16" s="453" customFormat="1" ht="30" customHeight="1">
      <c r="A168" s="456"/>
      <c r="B168" s="449"/>
      <c r="C168" s="449"/>
      <c r="D168" s="457"/>
      <c r="E168" s="452"/>
      <c r="F168" s="458"/>
      <c r="G168" s="457"/>
      <c r="H168" s="247"/>
      <c r="I168" s="469"/>
      <c r="J168" s="459"/>
      <c r="K168" s="451"/>
      <c r="L168" s="450"/>
      <c r="M168" s="451"/>
      <c r="N168" s="451"/>
      <c r="O168" s="451"/>
      <c r="P168" s="451"/>
    </row>
    <row r="169" spans="1:16" s="453" customFormat="1" ht="30" customHeight="1">
      <c r="A169" s="456"/>
      <c r="B169" s="449"/>
      <c r="C169" s="449"/>
      <c r="D169" s="457"/>
      <c r="E169" s="452"/>
      <c r="F169" s="450"/>
      <c r="G169" s="457"/>
      <c r="H169" s="468"/>
      <c r="I169" s="468"/>
      <c r="J169" s="450"/>
      <c r="K169" s="451"/>
      <c r="L169" s="450"/>
      <c r="M169" s="451"/>
      <c r="N169" s="451"/>
      <c r="O169" s="451"/>
      <c r="P169" s="451"/>
    </row>
    <row r="170" spans="1:16" s="453" customFormat="1" ht="30" customHeight="1">
      <c r="A170" s="456"/>
      <c r="B170" s="450"/>
      <c r="C170" s="449"/>
      <c r="D170" s="457"/>
      <c r="E170" s="452"/>
      <c r="F170" s="458"/>
      <c r="G170" s="457"/>
      <c r="H170" s="247"/>
      <c r="I170" s="469"/>
      <c r="J170" s="459"/>
      <c r="K170" s="451"/>
      <c r="L170" s="450"/>
      <c r="M170" s="451"/>
      <c r="N170" s="451"/>
      <c r="O170" s="451"/>
      <c r="P170" s="451"/>
    </row>
    <row r="171" spans="1:16" s="453" customFormat="1" ht="30" customHeight="1">
      <c r="A171" s="456"/>
      <c r="B171" s="449"/>
      <c r="C171" s="449"/>
      <c r="D171" s="457"/>
      <c r="E171" s="452"/>
      <c r="F171" s="458"/>
      <c r="G171" s="457"/>
      <c r="H171" s="247"/>
      <c r="I171" s="247"/>
      <c r="J171" s="450"/>
      <c r="K171" s="451"/>
      <c r="L171" s="450"/>
      <c r="M171" s="451"/>
      <c r="N171" s="451"/>
      <c r="O171" s="451"/>
      <c r="P171" s="451"/>
    </row>
    <row r="172" spans="1:16" s="453" customFormat="1" ht="30" customHeight="1">
      <c r="A172" s="456"/>
      <c r="B172" s="449"/>
      <c r="C172" s="449"/>
      <c r="D172" s="457"/>
      <c r="E172" s="465"/>
      <c r="F172" s="458"/>
      <c r="G172" s="457"/>
      <c r="H172" s="247"/>
      <c r="I172" s="469"/>
      <c r="J172" s="459"/>
      <c r="K172" s="451"/>
      <c r="L172" s="450"/>
      <c r="M172" s="451"/>
      <c r="N172" s="451"/>
      <c r="O172" s="451"/>
      <c r="P172" s="451"/>
    </row>
    <row r="173" spans="1:16" s="453" customFormat="1" ht="30" customHeight="1">
      <c r="A173" s="456"/>
      <c r="B173" s="449"/>
      <c r="C173" s="449"/>
      <c r="D173" s="457"/>
      <c r="E173" s="452"/>
      <c r="F173" s="450"/>
      <c r="G173" s="457"/>
      <c r="H173" s="247"/>
      <c r="I173" s="469"/>
      <c r="J173" s="459"/>
      <c r="K173" s="451"/>
      <c r="L173" s="450"/>
      <c r="M173" s="451"/>
      <c r="N173" s="451"/>
      <c r="O173" s="451"/>
      <c r="P173" s="451"/>
    </row>
    <row r="174" spans="1:16" s="453" customFormat="1" ht="30" customHeight="1">
      <c r="A174" s="456"/>
      <c r="B174" s="449"/>
      <c r="C174" s="449"/>
      <c r="D174" s="457"/>
      <c r="E174" s="452"/>
      <c r="F174" s="450"/>
      <c r="G174" s="457"/>
      <c r="H174" s="247"/>
      <c r="I174" s="469"/>
      <c r="J174" s="459"/>
      <c r="K174" s="451"/>
      <c r="L174" s="450"/>
      <c r="M174" s="451"/>
      <c r="N174" s="451"/>
      <c r="O174" s="451"/>
      <c r="P174" s="451"/>
    </row>
    <row r="175" spans="1:16" s="453" customFormat="1" ht="30" customHeight="1">
      <c r="A175" s="456"/>
      <c r="B175" s="449"/>
      <c r="C175" s="449"/>
      <c r="D175" s="457"/>
      <c r="E175" s="449"/>
      <c r="F175" s="450"/>
      <c r="G175" s="457"/>
      <c r="H175" s="247"/>
      <c r="I175" s="247"/>
      <c r="J175" s="450"/>
      <c r="K175" s="451"/>
      <c r="L175" s="450"/>
      <c r="M175" s="451"/>
      <c r="N175" s="451"/>
      <c r="O175" s="451"/>
      <c r="P175" s="451"/>
    </row>
    <row r="176" spans="1:16" s="453" customFormat="1" ht="30" customHeight="1">
      <c r="A176" s="456"/>
      <c r="B176" s="449"/>
      <c r="C176" s="449"/>
      <c r="D176" s="457"/>
      <c r="E176" s="452"/>
      <c r="F176" s="450"/>
      <c r="G176" s="457"/>
      <c r="H176" s="247"/>
      <c r="I176" s="247"/>
      <c r="J176" s="450"/>
      <c r="K176" s="451"/>
      <c r="L176" s="450"/>
      <c r="M176" s="451"/>
      <c r="N176" s="451"/>
      <c r="O176" s="451"/>
      <c r="P176" s="451"/>
    </row>
    <row r="177" spans="1:16" s="453" customFormat="1" ht="30" customHeight="1">
      <c r="A177" s="456"/>
      <c r="B177" s="449"/>
      <c r="C177" s="449"/>
      <c r="D177" s="457"/>
      <c r="E177" s="449"/>
      <c r="F177" s="450"/>
      <c r="G177" s="457"/>
      <c r="H177" s="247"/>
      <c r="I177" s="247"/>
      <c r="J177" s="450"/>
      <c r="K177" s="451"/>
      <c r="L177" s="450"/>
      <c r="M177" s="451"/>
      <c r="N177" s="451"/>
      <c r="O177" s="451"/>
      <c r="P177" s="451"/>
    </row>
    <row r="178" spans="1:16" s="453" customFormat="1" ht="30" customHeight="1">
      <c r="A178" s="456"/>
      <c r="B178" s="449"/>
      <c r="C178" s="449"/>
      <c r="D178" s="457"/>
      <c r="E178" s="452"/>
      <c r="F178" s="458"/>
      <c r="G178" s="457"/>
      <c r="H178" s="468"/>
      <c r="I178" s="468"/>
      <c r="J178" s="450"/>
      <c r="K178" s="451"/>
      <c r="L178" s="450"/>
      <c r="M178" s="451"/>
      <c r="N178" s="451"/>
      <c r="O178" s="451"/>
      <c r="P178" s="451"/>
    </row>
    <row r="179" spans="1:16" s="453" customFormat="1" ht="30" customHeight="1">
      <c r="A179" s="456"/>
      <c r="B179" s="449"/>
      <c r="C179" s="449"/>
      <c r="D179" s="457"/>
      <c r="E179" s="452"/>
      <c r="F179" s="450"/>
      <c r="G179" s="457"/>
      <c r="H179" s="247"/>
      <c r="I179" s="469"/>
      <c r="J179" s="459"/>
      <c r="K179" s="451"/>
      <c r="L179" s="450"/>
      <c r="M179" s="451"/>
      <c r="N179" s="451"/>
      <c r="O179" s="451"/>
      <c r="P179" s="451"/>
    </row>
    <row r="180" spans="1:16" s="453" customFormat="1" ht="30" customHeight="1">
      <c r="A180" s="456"/>
      <c r="B180" s="449"/>
      <c r="C180" s="449"/>
      <c r="D180" s="457"/>
      <c r="E180" s="452"/>
      <c r="F180" s="450"/>
      <c r="G180" s="457"/>
      <c r="H180" s="247"/>
      <c r="I180" s="469"/>
      <c r="J180" s="459"/>
      <c r="K180" s="451"/>
      <c r="L180" s="450"/>
      <c r="M180" s="451"/>
      <c r="N180" s="451"/>
      <c r="O180" s="451"/>
      <c r="P180" s="451"/>
    </row>
    <row r="181" spans="1:16" s="453" customFormat="1" ht="30" customHeight="1">
      <c r="A181" s="456"/>
      <c r="B181" s="449"/>
      <c r="C181" s="449"/>
      <c r="D181" s="457"/>
      <c r="E181" s="452"/>
      <c r="F181" s="450"/>
      <c r="G181" s="457"/>
      <c r="H181" s="247"/>
      <c r="I181" s="469"/>
      <c r="J181" s="459"/>
      <c r="K181" s="451"/>
      <c r="L181" s="450"/>
      <c r="M181" s="451"/>
      <c r="N181" s="451"/>
      <c r="O181" s="451"/>
      <c r="P181" s="451"/>
    </row>
    <row r="182" spans="1:16" s="453" customFormat="1" ht="30" customHeight="1">
      <c r="A182" s="456"/>
      <c r="B182" s="449"/>
      <c r="C182" s="449"/>
      <c r="D182" s="457"/>
      <c r="E182" s="452"/>
      <c r="F182" s="450"/>
      <c r="G182" s="457"/>
      <c r="H182" s="468"/>
      <c r="I182" s="509"/>
      <c r="J182" s="459"/>
      <c r="K182" s="451"/>
      <c r="L182" s="450"/>
      <c r="M182" s="451"/>
      <c r="N182" s="451"/>
      <c r="O182" s="451"/>
      <c r="P182" s="451"/>
    </row>
    <row r="183" spans="1:16" s="453" customFormat="1" ht="30" customHeight="1">
      <c r="A183" s="456"/>
      <c r="B183" s="449"/>
      <c r="C183" s="449"/>
      <c r="D183" s="457"/>
      <c r="E183" s="452"/>
      <c r="F183" s="450"/>
      <c r="G183" s="457"/>
      <c r="H183" s="247"/>
      <c r="I183" s="247"/>
      <c r="J183" s="450"/>
      <c r="K183" s="451"/>
      <c r="L183" s="450"/>
      <c r="M183" s="451"/>
      <c r="N183" s="451"/>
      <c r="O183" s="451"/>
      <c r="P183" s="451"/>
    </row>
    <row r="184" spans="1:16" s="453" customFormat="1" ht="30" customHeight="1">
      <c r="A184" s="456"/>
      <c r="B184" s="449"/>
      <c r="C184" s="449"/>
      <c r="D184" s="457"/>
      <c r="E184" s="452"/>
      <c r="F184" s="458"/>
      <c r="G184" s="457"/>
      <c r="H184" s="247"/>
      <c r="I184" s="247"/>
      <c r="J184" s="450"/>
      <c r="K184" s="451"/>
      <c r="L184" s="450"/>
      <c r="M184" s="451"/>
      <c r="N184" s="451"/>
      <c r="O184" s="451"/>
      <c r="P184" s="451"/>
    </row>
    <row r="185" spans="1:16" s="453" customFormat="1" ht="30" customHeight="1">
      <c r="A185" s="456"/>
      <c r="B185" s="449"/>
      <c r="C185" s="449"/>
      <c r="D185" s="457"/>
      <c r="E185" s="452"/>
      <c r="F185" s="458"/>
      <c r="G185" s="457"/>
      <c r="H185" s="247"/>
      <c r="I185" s="469"/>
      <c r="J185" s="459"/>
      <c r="K185" s="451"/>
      <c r="L185" s="450"/>
      <c r="M185" s="451"/>
      <c r="N185" s="451"/>
      <c r="O185" s="451"/>
      <c r="P185" s="451"/>
    </row>
    <row r="186" spans="1:16" ht="27" customHeight="1">
      <c r="A186" s="456"/>
      <c r="B186" s="449"/>
      <c r="C186" s="449"/>
      <c r="D186" s="457"/>
      <c r="E186" s="452"/>
      <c r="F186" s="450"/>
      <c r="G186" s="457"/>
      <c r="H186" s="469"/>
      <c r="I186" s="469"/>
      <c r="J186" s="450"/>
      <c r="K186" s="453"/>
      <c r="L186" s="470"/>
      <c r="M186" s="453"/>
      <c r="N186" s="453"/>
      <c r="O186" s="453"/>
      <c r="P186" s="453"/>
    </row>
    <row r="187" spans="1:16" ht="29.25" customHeight="1">
      <c r="A187" s="456"/>
      <c r="B187" s="449"/>
      <c r="C187" s="449"/>
      <c r="D187" s="457"/>
      <c r="E187" s="452"/>
      <c r="F187" s="450"/>
      <c r="G187" s="457"/>
      <c r="H187" s="247"/>
      <c r="I187" s="247"/>
      <c r="J187" s="450"/>
      <c r="K187" s="453"/>
      <c r="L187" s="470"/>
      <c r="M187" s="453"/>
      <c r="N187" s="453"/>
      <c r="O187" s="453"/>
      <c r="P187" s="453"/>
    </row>
  </sheetData>
  <autoFilter ref="A3:P187" xr:uid="{5744E25C-7B3A-4393-ACB4-09EF27C91DC9}">
    <sortState xmlns:xlrd2="http://schemas.microsoft.com/office/spreadsheetml/2017/richdata2" ref="A4:P187">
      <sortCondition ref="A3:A187"/>
    </sortState>
  </autoFilter>
  <sortState xmlns:xlrd2="http://schemas.microsoft.com/office/spreadsheetml/2017/richdata2" ref="O3:O43">
    <sortCondition sortBy="cellColor" ref="O43" dxfId="227"/>
  </sortState>
  <mergeCells count="1">
    <mergeCell ref="A2:O2"/>
  </mergeCells>
  <phoneticPr fontId="80" type="noConversion"/>
  <conditionalFormatting sqref="B112">
    <cfRule type="duplicateValues" dxfId="159" priority="15"/>
    <cfRule type="duplicateValues" dxfId="158" priority="16"/>
    <cfRule type="duplicateValues" dxfId="157" priority="17"/>
    <cfRule type="duplicateValues" dxfId="156" priority="18"/>
    <cfRule type="duplicateValues" dxfId="155" priority="19"/>
    <cfRule type="duplicateValues" dxfId="154" priority="20"/>
    <cfRule type="duplicateValues" dxfId="153" priority="12"/>
    <cfRule type="duplicateValues" dxfId="152" priority="13"/>
    <cfRule type="duplicateValues" dxfId="151" priority="14"/>
  </conditionalFormatting>
  <conditionalFormatting sqref="B113:B156 B1 B158 B160:B185 B188:B1048576 B4:B111">
    <cfRule type="duplicateValues" dxfId="150" priority="39"/>
  </conditionalFormatting>
  <conditionalFormatting sqref="B113:B156 B158 B160:B185 B18:B111">
    <cfRule type="duplicateValues" dxfId="149" priority="41"/>
  </conditionalFormatting>
  <conditionalFormatting sqref="B186">
    <cfRule type="duplicateValues" dxfId="148" priority="2"/>
    <cfRule type="duplicateValues" dxfId="147" priority="3"/>
  </conditionalFormatting>
  <conditionalFormatting sqref="B187">
    <cfRule type="duplicateValues" dxfId="146" priority="1"/>
  </conditionalFormatting>
  <conditionalFormatting sqref="H64:I64">
    <cfRule type="duplicateValues" dxfId="145" priority="38"/>
  </conditionalFormatting>
  <conditionalFormatting sqref="H65:I65">
    <cfRule type="duplicateValues" dxfId="144" priority="37"/>
  </conditionalFormatting>
  <conditionalFormatting sqref="H67:I67">
    <cfRule type="duplicateValues" dxfId="143" priority="36"/>
  </conditionalFormatting>
  <conditionalFormatting sqref="H68:I68">
    <cfRule type="duplicateValues" dxfId="142" priority="35"/>
  </conditionalFormatting>
  <conditionalFormatting sqref="H69:I69">
    <cfRule type="duplicateValues" dxfId="141" priority="34"/>
  </conditionalFormatting>
  <conditionalFormatting sqref="H70:I71">
    <cfRule type="duplicateValues" dxfId="140" priority="33"/>
  </conditionalFormatting>
  <conditionalFormatting sqref="H74:I74">
    <cfRule type="duplicateValues" dxfId="139" priority="32"/>
  </conditionalFormatting>
  <conditionalFormatting sqref="H75:I75">
    <cfRule type="duplicateValues" dxfId="138" priority="31"/>
  </conditionalFormatting>
  <conditionalFormatting sqref="H76:I76">
    <cfRule type="duplicateValues" dxfId="137" priority="30"/>
  </conditionalFormatting>
  <conditionalFormatting sqref="H77:I77">
    <cfRule type="duplicateValues" dxfId="136" priority="29"/>
  </conditionalFormatting>
  <conditionalFormatting sqref="H78:I78">
    <cfRule type="duplicateValues" dxfId="135" priority="28"/>
  </conditionalFormatting>
  <conditionalFormatting sqref="H79:I79">
    <cfRule type="duplicateValues" dxfId="134" priority="27"/>
  </conditionalFormatting>
  <conditionalFormatting sqref="H80:I80">
    <cfRule type="duplicateValues" dxfId="133" priority="26"/>
  </conditionalFormatting>
  <conditionalFormatting sqref="H81:I81">
    <cfRule type="duplicateValues" dxfId="132" priority="25"/>
  </conditionalFormatting>
  <conditionalFormatting sqref="H83:I84">
    <cfRule type="duplicateValues" dxfId="131" priority="24"/>
  </conditionalFormatting>
  <conditionalFormatting sqref="H86:I86">
    <cfRule type="duplicateValues" dxfId="130" priority="40"/>
  </conditionalFormatting>
  <conditionalFormatting sqref="H91:I91">
    <cfRule type="duplicateValues" dxfId="129" priority="22"/>
  </conditionalFormatting>
  <conditionalFormatting sqref="H92:I92">
    <cfRule type="duplicateValues" dxfId="128" priority="23"/>
  </conditionalFormatting>
  <conditionalFormatting sqref="H93:I93">
    <cfRule type="duplicateValues" dxfId="127" priority="21"/>
  </conditionalFormatting>
  <conditionalFormatting sqref="M25">
    <cfRule type="duplicateValues" dxfId="126" priority="4"/>
    <cfRule type="duplicateValues" dxfId="125" priority="5"/>
  </conditionalFormatting>
  <conditionalFormatting sqref="Y112">
    <cfRule type="duplicateValues" dxfId="124" priority="7"/>
    <cfRule type="duplicateValues" dxfId="123" priority="8"/>
    <cfRule type="duplicateValues" dxfId="122" priority="9"/>
    <cfRule type="duplicateValues" dxfId="121" priority="10"/>
    <cfRule type="duplicateValues" dxfId="120" priority="11"/>
  </conditionalFormatting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D9C0-5319-4A7C-954C-EC9D72A81D93}">
  <sheetPr codeName="Sheet14">
    <pageSetUpPr fitToPage="1"/>
  </sheetPr>
  <dimension ref="A1:BW875"/>
  <sheetViews>
    <sheetView showGridLines="0" view="pageBreakPreview" topLeftCell="A31" zoomScale="60" zoomScaleNormal="40" workbookViewId="0">
      <selection activeCell="AF46" sqref="AF46"/>
    </sheetView>
  </sheetViews>
  <sheetFormatPr defaultColWidth="8.54296875" defaultRowHeight="10.5"/>
  <cols>
    <col min="1" max="1" width="4.54296875" style="158" customWidth="1"/>
    <col min="2" max="2" width="8.453125" style="158" customWidth="1"/>
    <col min="3" max="3" width="6.54296875" style="158" customWidth="1"/>
    <col min="4" max="4" width="8.453125" style="158" customWidth="1"/>
    <col min="5" max="5" width="6.54296875" style="158" customWidth="1"/>
    <col min="6" max="6" width="8.453125" style="158" customWidth="1"/>
    <col min="7" max="7" width="6.54296875" style="158" customWidth="1"/>
    <col min="8" max="8" width="8.453125" style="158" customWidth="1"/>
    <col min="9" max="9" width="6.54296875" style="158" customWidth="1"/>
    <col min="10" max="10" width="8.453125" style="158" customWidth="1"/>
    <col min="11" max="11" width="6.54296875" style="158" customWidth="1"/>
    <col min="12" max="12" width="8.453125" style="158" customWidth="1"/>
    <col min="13" max="13" width="6.54296875" style="158" customWidth="1"/>
    <col min="14" max="14" width="8.453125" style="158" customWidth="1"/>
    <col min="15" max="15" width="6.54296875" style="158" customWidth="1"/>
    <col min="16" max="16" width="8.453125" style="158" customWidth="1"/>
    <col min="17" max="17" width="6.54296875" style="158" customWidth="1"/>
    <col min="18" max="18" width="8.54296875" style="158" customWidth="1"/>
    <col min="19" max="19" width="6.54296875" style="158" customWidth="1"/>
    <col min="20" max="20" width="8.453125" style="158" customWidth="1"/>
    <col min="21" max="21" width="6.54296875" style="158" customWidth="1"/>
    <col min="22" max="22" width="8.453125" style="158" customWidth="1"/>
    <col min="23" max="23" width="6.54296875" style="158" customWidth="1"/>
    <col min="24" max="24" width="8.453125" style="158" customWidth="1"/>
    <col min="25" max="25" width="6.54296875" style="158" customWidth="1"/>
    <col min="26" max="26" width="8.453125" style="158" customWidth="1"/>
    <col min="27" max="27" width="6.54296875" style="158" customWidth="1"/>
    <col min="28" max="28" width="8.453125" style="158" customWidth="1"/>
    <col min="29" max="29" width="6.54296875" style="158" customWidth="1"/>
    <col min="30" max="30" width="8.453125" style="158" customWidth="1"/>
    <col min="31" max="31" width="6.54296875" style="158" customWidth="1"/>
    <col min="32" max="32" width="16.26953125" style="158" customWidth="1"/>
    <col min="33" max="40" width="6.1796875" style="158" hidden="1" customWidth="1"/>
    <col min="41" max="41" width="6.54296875" style="158" hidden="1" customWidth="1"/>
    <col min="42" max="62" width="6.1796875" style="158" hidden="1" customWidth="1"/>
    <col min="63" max="72" width="0" style="158" hidden="1" customWidth="1"/>
    <col min="73" max="73" width="8.54296875" style="158" hidden="1" customWidth="1"/>
    <col min="74" max="76" width="8.54296875" style="158"/>
    <col min="77" max="77" width="16.453125" style="158" bestFit="1" customWidth="1"/>
    <col min="78" max="78" width="23.453125" style="158" bestFit="1" customWidth="1"/>
    <col min="79" max="79" width="25.1796875" style="158" bestFit="1" customWidth="1"/>
    <col min="80" max="80" width="12.26953125" style="158" bestFit="1" customWidth="1"/>
    <col min="81" max="16384" width="8.54296875" style="158"/>
  </cols>
  <sheetData>
    <row r="1" spans="1:41" ht="26.5" thickBot="1">
      <c r="A1" s="758" t="s">
        <v>480</v>
      </c>
      <c r="B1" s="759"/>
      <c r="C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  <c r="O1" s="759"/>
      <c r="P1" s="759"/>
      <c r="Q1" s="759"/>
      <c r="R1" s="759"/>
      <c r="S1" s="759"/>
      <c r="T1" s="759"/>
      <c r="U1" s="759"/>
      <c r="V1" s="759"/>
      <c r="W1" s="759"/>
      <c r="X1" s="759"/>
      <c r="Y1" s="759"/>
      <c r="Z1" s="759"/>
      <c r="AA1" s="759"/>
      <c r="AB1" s="759"/>
      <c r="AC1" s="759"/>
      <c r="AD1" s="759"/>
      <c r="AE1" s="759"/>
      <c r="AF1" s="760"/>
      <c r="AG1" s="170"/>
      <c r="AH1" s="170"/>
      <c r="AI1" s="170"/>
      <c r="AJ1" s="170"/>
      <c r="AK1" s="170"/>
      <c r="AL1" s="170"/>
      <c r="AM1" s="728"/>
      <c r="AN1" s="728"/>
      <c r="AO1" s="729"/>
    </row>
    <row r="2" spans="1:41" s="159" customFormat="1" ht="17">
      <c r="A2" s="544" t="s">
        <v>481</v>
      </c>
      <c r="B2" s="545"/>
      <c r="C2" s="545"/>
      <c r="D2" s="546"/>
      <c r="E2" s="547" t="s">
        <v>482</v>
      </c>
      <c r="F2" s="548"/>
      <c r="G2" s="549"/>
      <c r="H2" s="549"/>
      <c r="I2" s="549"/>
      <c r="J2" s="549"/>
      <c r="K2" s="546"/>
      <c r="L2" s="546"/>
      <c r="M2" s="546"/>
      <c r="N2" s="546"/>
      <c r="O2" s="546"/>
      <c r="P2" s="546"/>
      <c r="Q2" s="546"/>
      <c r="R2" s="546"/>
      <c r="S2" s="546"/>
      <c r="T2" s="546" t="s">
        <v>20</v>
      </c>
      <c r="U2" s="546"/>
      <c r="V2" s="549"/>
      <c r="W2" s="549"/>
      <c r="X2" s="549"/>
      <c r="Y2" s="549"/>
      <c r="Z2" s="549"/>
      <c r="AA2" s="549"/>
      <c r="AB2" s="549"/>
      <c r="AC2" s="549"/>
      <c r="AD2" s="549"/>
      <c r="AE2" s="549"/>
      <c r="AF2" s="550"/>
      <c r="AG2" s="730"/>
      <c r="AH2" s="730"/>
      <c r="AI2" s="730"/>
      <c r="AJ2" s="730"/>
      <c r="AK2" s="730"/>
      <c r="AL2" s="730"/>
      <c r="AM2" s="730"/>
      <c r="AN2" s="730"/>
      <c r="AO2" s="731"/>
    </row>
    <row r="3" spans="1:41" s="159" customFormat="1" ht="17.149999999999999" customHeight="1">
      <c r="A3" s="544" t="s">
        <v>483</v>
      </c>
      <c r="B3" s="545"/>
      <c r="C3" s="545"/>
      <c r="D3" s="551"/>
      <c r="E3" s="547" t="s">
        <v>484</v>
      </c>
      <c r="F3" s="551"/>
      <c r="G3" s="551"/>
      <c r="H3" s="551"/>
      <c r="I3" s="551"/>
      <c r="J3" s="551"/>
      <c r="K3" s="551"/>
      <c r="L3" s="551"/>
      <c r="M3" s="551"/>
      <c r="N3" s="551"/>
      <c r="O3" s="551"/>
      <c r="P3" s="551"/>
      <c r="Q3" s="551"/>
      <c r="R3" s="551"/>
      <c r="S3" s="551"/>
      <c r="T3" s="551"/>
      <c r="U3" s="551"/>
      <c r="V3" s="549"/>
      <c r="W3" s="549"/>
      <c r="X3" s="549"/>
      <c r="Y3" s="549"/>
      <c r="Z3" s="549"/>
      <c r="AA3" s="549"/>
      <c r="AB3" s="549"/>
      <c r="AC3" s="549"/>
      <c r="AD3" s="549"/>
      <c r="AE3" s="549"/>
      <c r="AF3" s="550"/>
      <c r="AG3" s="732" t="s">
        <v>485</v>
      </c>
      <c r="AH3" s="733"/>
      <c r="AI3" s="733"/>
      <c r="AJ3" s="171" t="s">
        <v>486</v>
      </c>
      <c r="AK3" s="171"/>
      <c r="AL3" s="171"/>
      <c r="AM3" s="734" t="s">
        <v>487</v>
      </c>
      <c r="AN3" s="734" t="s">
        <v>488</v>
      </c>
      <c r="AO3" s="737" t="s">
        <v>489</v>
      </c>
    </row>
    <row r="4" spans="1:41" s="159" customFormat="1" ht="17.149999999999999" customHeight="1">
      <c r="A4" s="552" t="s">
        <v>265</v>
      </c>
      <c r="B4" s="553"/>
      <c r="C4" s="553"/>
      <c r="D4" s="554"/>
      <c r="E4" s="547" t="s">
        <v>490</v>
      </c>
      <c r="F4" s="554"/>
      <c r="G4" s="554"/>
      <c r="H4" s="554"/>
      <c r="I4" s="554"/>
      <c r="J4" s="554"/>
      <c r="K4" s="554"/>
      <c r="L4" s="554"/>
      <c r="M4" s="554"/>
      <c r="N4" s="554"/>
      <c r="O4" s="554"/>
      <c r="P4" s="554"/>
      <c r="Q4" s="554"/>
      <c r="R4" s="554"/>
      <c r="S4" s="554"/>
      <c r="T4" s="554"/>
      <c r="U4" s="554"/>
      <c r="V4" s="549"/>
      <c r="W4" s="549"/>
      <c r="X4" s="549"/>
      <c r="Y4" s="549"/>
      <c r="Z4" s="549"/>
      <c r="AA4" s="549"/>
      <c r="AB4" s="549"/>
      <c r="AC4" s="549"/>
      <c r="AD4" s="549"/>
      <c r="AE4" s="549"/>
      <c r="AF4" s="550"/>
      <c r="AG4" s="732" t="s">
        <v>491</v>
      </c>
      <c r="AH4" s="733" t="s">
        <v>492</v>
      </c>
      <c r="AI4" s="733" t="s">
        <v>493</v>
      </c>
      <c r="AJ4" s="733" t="s">
        <v>491</v>
      </c>
      <c r="AK4" s="733" t="s">
        <v>492</v>
      </c>
      <c r="AL4" s="733" t="s">
        <v>493</v>
      </c>
      <c r="AM4" s="735"/>
      <c r="AN4" s="735"/>
      <c r="AO4" s="738"/>
    </row>
    <row r="5" spans="1:41" s="159" customFormat="1" ht="17.5" customHeight="1" thickBot="1">
      <c r="A5" s="555"/>
      <c r="B5" s="160"/>
      <c r="C5" s="160"/>
      <c r="D5" s="161"/>
      <c r="E5" s="162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3"/>
      <c r="W5" s="163"/>
      <c r="X5" s="163"/>
      <c r="Y5" s="163"/>
      <c r="Z5" s="163"/>
      <c r="AA5" s="163"/>
      <c r="AB5" s="163"/>
      <c r="AC5" s="163"/>
      <c r="AD5" s="172" t="s">
        <v>2</v>
      </c>
      <c r="AE5" s="779">
        <f>'765KV ASOTL'!G1</f>
        <v>46246</v>
      </c>
      <c r="AF5" s="780"/>
      <c r="AG5" s="732"/>
      <c r="AH5" s="733"/>
      <c r="AI5" s="733"/>
      <c r="AJ5" s="733"/>
      <c r="AK5" s="733"/>
      <c r="AL5" s="733"/>
      <c r="AM5" s="736"/>
      <c r="AN5" s="736"/>
      <c r="AO5" s="739"/>
    </row>
    <row r="6" spans="1:41" s="159" customFormat="1" ht="13.4" customHeight="1">
      <c r="A6" s="765" t="s">
        <v>494</v>
      </c>
      <c r="B6" s="766"/>
      <c r="C6" s="766"/>
      <c r="D6" s="766"/>
      <c r="E6" s="766"/>
      <c r="F6" s="766"/>
      <c r="G6" s="766"/>
      <c r="H6" s="766"/>
      <c r="I6" s="766"/>
      <c r="J6" s="766"/>
      <c r="K6" s="766"/>
      <c r="L6" s="781" t="s">
        <v>495</v>
      </c>
      <c r="M6" s="782"/>
      <c r="N6" s="782"/>
      <c r="O6" s="782"/>
      <c r="P6" s="782"/>
      <c r="Q6" s="782"/>
      <c r="R6" s="173"/>
      <c r="S6" s="173"/>
      <c r="T6" s="173"/>
      <c r="U6" s="173"/>
      <c r="V6" s="173"/>
      <c r="W6" s="174"/>
      <c r="X6" s="155"/>
      <c r="Y6" s="155"/>
      <c r="Z6" s="155"/>
      <c r="AA6" s="155"/>
      <c r="AB6" s="155"/>
      <c r="AC6" s="155"/>
      <c r="AD6" s="155"/>
      <c r="AE6" s="155"/>
      <c r="AF6" s="556"/>
      <c r="AG6" s="164"/>
      <c r="AH6" s="164"/>
      <c r="AI6" s="164"/>
      <c r="AJ6" s="164"/>
      <c r="AK6" s="164"/>
      <c r="AL6" s="164"/>
      <c r="AM6" s="164"/>
      <c r="AN6" s="164"/>
      <c r="AO6" s="165"/>
    </row>
    <row r="7" spans="1:41" s="159" customFormat="1" ht="13.4" customHeight="1" thickBot="1">
      <c r="A7" s="767"/>
      <c r="B7" s="768"/>
      <c r="C7" s="768"/>
      <c r="D7" s="768"/>
      <c r="E7" s="768"/>
      <c r="F7" s="768"/>
      <c r="G7" s="768"/>
      <c r="H7" s="768"/>
      <c r="I7" s="768"/>
      <c r="J7" s="768"/>
      <c r="K7" s="768"/>
      <c r="L7" s="783"/>
      <c r="M7" s="784"/>
      <c r="N7" s="784"/>
      <c r="O7" s="784"/>
      <c r="P7" s="784"/>
      <c r="Q7" s="784"/>
      <c r="R7" s="175"/>
      <c r="S7" s="175"/>
      <c r="T7" s="175"/>
      <c r="U7" s="175"/>
      <c r="V7" s="175"/>
      <c r="W7" s="176"/>
      <c r="X7" s="557"/>
      <c r="Y7" s="557"/>
      <c r="Z7" s="557"/>
      <c r="AA7" s="557"/>
      <c r="AB7" s="557"/>
      <c r="AC7" s="557"/>
      <c r="AD7" s="557"/>
      <c r="AE7" s="557"/>
      <c r="AF7" s="558"/>
      <c r="AG7" s="164"/>
      <c r="AH7" s="164"/>
      <c r="AI7" s="164"/>
      <c r="AJ7" s="164"/>
      <c r="AK7" s="164"/>
      <c r="AL7" s="164"/>
      <c r="AM7" s="164"/>
      <c r="AN7" s="164"/>
      <c r="AO7" s="165"/>
    </row>
    <row r="8" spans="1:41" s="159" customFormat="1" ht="17.149999999999999" customHeight="1">
      <c r="A8" s="769" t="s">
        <v>244</v>
      </c>
      <c r="B8" s="771" t="s">
        <v>22</v>
      </c>
      <c r="C8" s="772"/>
      <c r="D8" s="773"/>
      <c r="E8" s="777" t="s">
        <v>246</v>
      </c>
      <c r="F8" s="771" t="s">
        <v>496</v>
      </c>
      <c r="G8" s="773"/>
      <c r="H8" s="771" t="s">
        <v>497</v>
      </c>
      <c r="I8" s="773"/>
      <c r="J8" s="771" t="s">
        <v>498</v>
      </c>
      <c r="K8" s="773"/>
      <c r="L8" s="792" t="s">
        <v>244</v>
      </c>
      <c r="M8" s="794" t="s">
        <v>499</v>
      </c>
      <c r="N8" s="795"/>
      <c r="O8" s="798" t="s">
        <v>500</v>
      </c>
      <c r="P8" s="792" t="s">
        <v>501</v>
      </c>
      <c r="Q8" s="761" t="s">
        <v>502</v>
      </c>
      <c r="T8" s="559"/>
      <c r="U8" s="559"/>
      <c r="V8" s="559"/>
      <c r="W8" s="559"/>
      <c r="X8" s="559"/>
      <c r="Y8" s="559"/>
      <c r="Z8" s="559"/>
      <c r="AA8" s="559"/>
      <c r="AB8" s="559"/>
      <c r="AC8" s="559"/>
      <c r="AD8" s="559"/>
      <c r="AE8" s="559"/>
      <c r="AF8" s="560"/>
      <c r="AG8" s="164"/>
      <c r="AH8" s="164"/>
      <c r="AI8" s="164"/>
      <c r="AJ8" s="164"/>
      <c r="AK8" s="164"/>
      <c r="AL8" s="164"/>
      <c r="AM8" s="164"/>
      <c r="AN8" s="164"/>
      <c r="AO8" s="165"/>
    </row>
    <row r="9" spans="1:41" s="159" customFormat="1" ht="17.899999999999999" customHeight="1" thickBot="1">
      <c r="A9" s="770"/>
      <c r="B9" s="774"/>
      <c r="C9" s="775"/>
      <c r="D9" s="776"/>
      <c r="E9" s="778"/>
      <c r="F9" s="774"/>
      <c r="G9" s="776"/>
      <c r="H9" s="774"/>
      <c r="I9" s="776"/>
      <c r="J9" s="774"/>
      <c r="K9" s="776"/>
      <c r="L9" s="793"/>
      <c r="M9" s="796"/>
      <c r="N9" s="797"/>
      <c r="O9" s="799"/>
      <c r="P9" s="793"/>
      <c r="Q9" s="762"/>
      <c r="T9" s="559"/>
      <c r="U9" s="559"/>
      <c r="V9" s="559"/>
      <c r="W9" s="559"/>
      <c r="X9" s="559"/>
      <c r="Y9" s="559"/>
      <c r="Z9" s="559"/>
      <c r="AA9" s="559"/>
      <c r="AB9" s="559"/>
      <c r="AC9" s="559"/>
      <c r="AD9" s="559"/>
      <c r="AE9" s="559"/>
      <c r="AF9" s="560"/>
      <c r="AG9" s="164"/>
      <c r="AH9" s="164"/>
      <c r="AI9" s="164"/>
      <c r="AJ9" s="164"/>
      <c r="AK9" s="164"/>
      <c r="AL9" s="164"/>
      <c r="AM9" s="164"/>
      <c r="AN9" s="164"/>
      <c r="AO9" s="165"/>
    </row>
    <row r="10" spans="1:41" s="159" customFormat="1" ht="17.5" customHeight="1">
      <c r="A10" s="561">
        <v>1</v>
      </c>
      <c r="B10" s="785" t="s">
        <v>37</v>
      </c>
      <c r="C10" s="786"/>
      <c r="D10" s="787"/>
      <c r="E10" s="177" t="s">
        <v>503</v>
      </c>
      <c r="F10" s="788">
        <v>114.51600000000001</v>
      </c>
      <c r="G10" s="789"/>
      <c r="H10" s="790">
        <f>'Survey Anx'!F39</f>
        <v>107.97099999999999</v>
      </c>
      <c r="I10" s="791"/>
      <c r="J10" s="788">
        <f t="shared" ref="J10:J19" si="0">F10-H10</f>
        <v>6.5450000000000159</v>
      </c>
      <c r="K10" s="789"/>
      <c r="L10" s="177">
        <v>1</v>
      </c>
      <c r="M10" s="763" t="s">
        <v>504</v>
      </c>
      <c r="N10" s="764"/>
      <c r="O10" s="178"/>
      <c r="P10" s="178"/>
      <c r="Q10" s="178"/>
      <c r="T10" s="562"/>
      <c r="U10" s="562"/>
      <c r="V10" s="562"/>
      <c r="W10" s="562"/>
      <c r="X10" s="562"/>
      <c r="Y10" s="562"/>
      <c r="Z10" s="562"/>
      <c r="AA10" s="562"/>
      <c r="AB10" s="562"/>
      <c r="AC10" s="562"/>
      <c r="AD10" s="562"/>
      <c r="AE10" s="562"/>
      <c r="AF10" s="563"/>
      <c r="AG10" s="719"/>
      <c r="AH10" s="719"/>
      <c r="AI10" s="719"/>
      <c r="AJ10" s="719"/>
      <c r="AK10" s="719"/>
      <c r="AL10" s="719"/>
      <c r="AM10" s="720"/>
      <c r="AN10" s="720"/>
      <c r="AO10" s="722"/>
    </row>
    <row r="11" spans="1:41" s="159" customFormat="1" ht="17">
      <c r="A11" s="564">
        <v>2</v>
      </c>
      <c r="B11" s="747" t="s">
        <v>21</v>
      </c>
      <c r="C11" s="748"/>
      <c r="D11" s="749"/>
      <c r="E11" s="179" t="s">
        <v>503</v>
      </c>
      <c r="F11" s="750">
        <v>114.51600000000001</v>
      </c>
      <c r="G11" s="751"/>
      <c r="H11" s="752">
        <f>'Survey Anx'!I39</f>
        <v>94.51900000000002</v>
      </c>
      <c r="I11" s="753"/>
      <c r="J11" s="750">
        <f t="shared" si="0"/>
        <v>19.996999999999986</v>
      </c>
      <c r="K11" s="751"/>
      <c r="L11" s="204">
        <f t="shared" ref="L11:L18" si="1">L10+1</f>
        <v>2</v>
      </c>
      <c r="M11" s="724" t="s">
        <v>505</v>
      </c>
      <c r="N11" s="725"/>
      <c r="O11" s="168"/>
      <c r="P11" s="168"/>
      <c r="Q11" s="168"/>
      <c r="T11" s="562"/>
      <c r="U11" s="562"/>
      <c r="V11" s="562"/>
      <c r="W11" s="562"/>
      <c r="X11" s="562"/>
      <c r="Y11" s="562"/>
      <c r="Z11" s="562"/>
      <c r="AA11" s="562"/>
      <c r="AB11" s="562"/>
      <c r="AC11" s="562"/>
      <c r="AD11" s="562"/>
      <c r="AE11" s="562"/>
      <c r="AF11" s="563"/>
      <c r="AG11" s="719"/>
      <c r="AH11" s="719"/>
      <c r="AI11" s="719"/>
      <c r="AJ11" s="719"/>
      <c r="AK11" s="719"/>
      <c r="AL11" s="719"/>
      <c r="AM11" s="720"/>
      <c r="AN11" s="720"/>
      <c r="AO11" s="722"/>
    </row>
    <row r="12" spans="1:41" s="159" customFormat="1" ht="17.5" customHeight="1">
      <c r="A12" s="564">
        <v>3</v>
      </c>
      <c r="B12" s="747" t="s">
        <v>52</v>
      </c>
      <c r="C12" s="748"/>
      <c r="D12" s="749"/>
      <c r="E12" s="179" t="s">
        <v>506</v>
      </c>
      <c r="F12" s="754">
        <v>30</v>
      </c>
      <c r="G12" s="755"/>
      <c r="H12" s="756">
        <v>30</v>
      </c>
      <c r="I12" s="757"/>
      <c r="J12" s="754">
        <f t="shared" si="0"/>
        <v>0</v>
      </c>
      <c r="K12" s="755"/>
      <c r="L12" s="204">
        <f t="shared" si="1"/>
        <v>3</v>
      </c>
      <c r="M12" s="724" t="s">
        <v>507</v>
      </c>
      <c r="N12" s="725"/>
      <c r="O12" s="168"/>
      <c r="P12" s="168"/>
      <c r="Q12" s="168"/>
      <c r="T12" s="562"/>
      <c r="U12" s="562"/>
      <c r="V12" s="562"/>
      <c r="W12" s="562"/>
      <c r="X12" s="562"/>
      <c r="Y12" s="562"/>
      <c r="Z12" s="562"/>
      <c r="AA12" s="562"/>
      <c r="AB12" s="562"/>
      <c r="AC12" s="562"/>
      <c r="AD12" s="562"/>
      <c r="AE12" s="562"/>
      <c r="AF12" s="563"/>
      <c r="AG12" s="720"/>
      <c r="AH12" s="720"/>
      <c r="AI12" s="720"/>
      <c r="AJ12" s="720"/>
      <c r="AK12" s="720"/>
      <c r="AL12" s="720"/>
      <c r="AM12" s="720"/>
      <c r="AN12" s="720"/>
      <c r="AO12" s="722"/>
    </row>
    <row r="13" spans="1:41" s="159" customFormat="1" ht="17.5" customHeight="1">
      <c r="A13" s="564">
        <v>4</v>
      </c>
      <c r="B13" s="747" t="s">
        <v>54</v>
      </c>
      <c r="C13" s="748"/>
      <c r="D13" s="749"/>
      <c r="E13" s="179" t="s">
        <v>506</v>
      </c>
      <c r="F13" s="754">
        <v>293</v>
      </c>
      <c r="G13" s="755"/>
      <c r="H13" s="756">
        <f>BV20</f>
        <v>95</v>
      </c>
      <c r="I13" s="757"/>
      <c r="J13" s="754">
        <f t="shared" si="0"/>
        <v>198</v>
      </c>
      <c r="K13" s="755"/>
      <c r="L13" s="204">
        <f t="shared" si="1"/>
        <v>4</v>
      </c>
      <c r="M13" s="724" t="s">
        <v>508</v>
      </c>
      <c r="N13" s="725"/>
      <c r="O13" s="168"/>
      <c r="P13" s="168"/>
      <c r="Q13" s="168"/>
      <c r="T13" s="562"/>
      <c r="U13" s="562"/>
      <c r="V13" s="562"/>
      <c r="W13" s="562"/>
      <c r="X13" s="562"/>
      <c r="Y13" s="562"/>
      <c r="Z13" s="562"/>
      <c r="AA13" s="562"/>
      <c r="AB13" s="562"/>
      <c r="AC13" s="562"/>
      <c r="AD13" s="562"/>
      <c r="AE13" s="562"/>
      <c r="AF13" s="563"/>
      <c r="AG13" s="720"/>
      <c r="AH13" s="720"/>
      <c r="AI13" s="720"/>
      <c r="AJ13" s="720"/>
      <c r="AK13" s="720"/>
      <c r="AL13" s="720"/>
      <c r="AM13" s="720"/>
      <c r="AN13" s="720"/>
      <c r="AO13" s="722"/>
    </row>
    <row r="14" spans="1:41" s="159" customFormat="1" ht="17.5" customHeight="1">
      <c r="A14" s="564">
        <v>5</v>
      </c>
      <c r="B14" s="747" t="s">
        <v>55</v>
      </c>
      <c r="C14" s="748"/>
      <c r="D14" s="749"/>
      <c r="E14" s="179" t="s">
        <v>506</v>
      </c>
      <c r="F14" s="754">
        <v>293</v>
      </c>
      <c r="G14" s="755"/>
      <c r="H14" s="756">
        <v>89</v>
      </c>
      <c r="I14" s="757"/>
      <c r="J14" s="754">
        <f t="shared" si="0"/>
        <v>204</v>
      </c>
      <c r="K14" s="755"/>
      <c r="L14" s="204">
        <f t="shared" si="1"/>
        <v>5</v>
      </c>
      <c r="M14" s="724" t="s">
        <v>509</v>
      </c>
      <c r="N14" s="725"/>
      <c r="O14" s="168"/>
      <c r="P14" s="168"/>
      <c r="Q14" s="168"/>
      <c r="T14" s="562"/>
      <c r="U14" s="562"/>
      <c r="V14" s="562"/>
      <c r="W14" s="562"/>
      <c r="X14" s="562"/>
      <c r="Y14" s="562"/>
      <c r="Z14" s="562"/>
      <c r="AA14" s="562"/>
      <c r="AB14" s="562"/>
      <c r="AC14" s="562"/>
      <c r="AD14" s="562"/>
      <c r="AE14" s="562"/>
      <c r="AF14" s="563"/>
      <c r="AG14" s="720"/>
      <c r="AH14" s="720"/>
      <c r="AI14" s="720"/>
      <c r="AJ14" s="720"/>
      <c r="AK14" s="720"/>
      <c r="AL14" s="720"/>
      <c r="AM14" s="720"/>
      <c r="AN14" s="720"/>
      <c r="AO14" s="722"/>
    </row>
    <row r="15" spans="1:41" s="159" customFormat="1" ht="17.149999999999999" customHeight="1">
      <c r="A15" s="564">
        <v>6</v>
      </c>
      <c r="B15" s="747" t="s">
        <v>510</v>
      </c>
      <c r="C15" s="748"/>
      <c r="D15" s="749"/>
      <c r="E15" s="179" t="s">
        <v>506</v>
      </c>
      <c r="F15" s="754">
        <v>293</v>
      </c>
      <c r="G15" s="755"/>
      <c r="H15" s="756">
        <f>BW20</f>
        <v>47</v>
      </c>
      <c r="I15" s="757"/>
      <c r="J15" s="754">
        <f t="shared" si="0"/>
        <v>246</v>
      </c>
      <c r="K15" s="755"/>
      <c r="L15" s="204">
        <f t="shared" si="1"/>
        <v>6</v>
      </c>
      <c r="M15" s="724" t="s">
        <v>511</v>
      </c>
      <c r="N15" s="725"/>
      <c r="O15" s="168"/>
      <c r="P15" s="168"/>
      <c r="Q15" s="168"/>
      <c r="T15" s="562"/>
      <c r="U15" s="562"/>
      <c r="V15" s="562"/>
      <c r="W15" s="562"/>
      <c r="X15" s="562"/>
      <c r="Y15" s="562"/>
      <c r="Z15" s="562"/>
      <c r="AA15" s="562"/>
      <c r="AB15" s="562"/>
      <c r="AC15" s="562"/>
      <c r="AD15" s="562"/>
      <c r="AE15" s="562"/>
      <c r="AF15" s="563"/>
      <c r="AG15" s="720"/>
      <c r="AH15" s="720"/>
      <c r="AI15" s="720"/>
      <c r="AJ15" s="720"/>
      <c r="AK15" s="720"/>
      <c r="AL15" s="720"/>
      <c r="AM15" s="720"/>
      <c r="AN15" s="720"/>
      <c r="AO15" s="722"/>
    </row>
    <row r="16" spans="1:41" s="159" customFormat="1" ht="17.5" customHeight="1">
      <c r="A16" s="564">
        <v>7</v>
      </c>
      <c r="B16" s="747" t="s">
        <v>512</v>
      </c>
      <c r="C16" s="748"/>
      <c r="D16" s="749"/>
      <c r="E16" s="179" t="s">
        <v>506</v>
      </c>
      <c r="F16" s="754">
        <v>293</v>
      </c>
      <c r="G16" s="755"/>
      <c r="H16" s="756">
        <v>13</v>
      </c>
      <c r="I16" s="757"/>
      <c r="J16" s="754">
        <f t="shared" si="0"/>
        <v>280</v>
      </c>
      <c r="K16" s="755"/>
      <c r="L16" s="204">
        <f t="shared" si="1"/>
        <v>7</v>
      </c>
      <c r="M16" s="724" t="s">
        <v>67</v>
      </c>
      <c r="N16" s="725"/>
      <c r="O16" s="168"/>
      <c r="P16" s="168"/>
      <c r="Q16" s="168"/>
      <c r="T16" s="562"/>
      <c r="U16" s="562"/>
      <c r="V16" s="562"/>
      <c r="W16" s="562"/>
      <c r="X16" s="562"/>
      <c r="Y16" s="562"/>
      <c r="Z16" s="562"/>
      <c r="AA16" s="562"/>
      <c r="AB16" s="562"/>
      <c r="AC16" s="562"/>
      <c r="AD16" s="562"/>
      <c r="AE16" s="562"/>
      <c r="AF16" s="563"/>
      <c r="AG16" s="720"/>
      <c r="AH16" s="720"/>
      <c r="AI16" s="720"/>
      <c r="AJ16" s="720"/>
      <c r="AK16" s="720"/>
      <c r="AL16" s="720"/>
      <c r="AM16" s="720"/>
      <c r="AN16" s="720"/>
      <c r="AO16" s="722"/>
    </row>
    <row r="17" spans="1:75" s="159" customFormat="1" ht="17.5" customHeight="1">
      <c r="A17" s="564">
        <v>8</v>
      </c>
      <c r="B17" s="747" t="s">
        <v>513</v>
      </c>
      <c r="C17" s="748"/>
      <c r="D17" s="749"/>
      <c r="E17" s="179" t="s">
        <v>503</v>
      </c>
      <c r="F17" s="750">
        <v>114.51600000000001</v>
      </c>
      <c r="G17" s="751"/>
      <c r="H17" s="752">
        <v>0</v>
      </c>
      <c r="I17" s="753"/>
      <c r="J17" s="750">
        <f t="shared" si="0"/>
        <v>114.51600000000001</v>
      </c>
      <c r="K17" s="751"/>
      <c r="L17" s="204">
        <f t="shared" si="1"/>
        <v>8</v>
      </c>
      <c r="M17" s="724" t="s">
        <v>67</v>
      </c>
      <c r="N17" s="725"/>
      <c r="O17" s="168"/>
      <c r="P17" s="168"/>
      <c r="Q17" s="168"/>
      <c r="T17" s="562"/>
      <c r="U17" s="562"/>
      <c r="V17" s="562"/>
      <c r="W17" s="562"/>
      <c r="X17" s="562"/>
      <c r="Y17" s="562"/>
      <c r="Z17" s="562"/>
      <c r="AA17" s="562"/>
      <c r="AB17" s="562"/>
      <c r="AC17" s="562"/>
      <c r="AD17" s="562"/>
      <c r="AE17" s="562"/>
      <c r="AF17" s="563"/>
      <c r="AG17" s="720"/>
      <c r="AH17" s="720"/>
      <c r="AI17" s="720"/>
      <c r="AJ17" s="720"/>
      <c r="AK17" s="720"/>
      <c r="AL17" s="720"/>
      <c r="AM17" s="720"/>
      <c r="AN17" s="720"/>
      <c r="AO17" s="722"/>
    </row>
    <row r="18" spans="1:75" s="159" customFormat="1" ht="17.5" customHeight="1">
      <c r="A18" s="564">
        <v>9</v>
      </c>
      <c r="B18" s="747" t="s">
        <v>514</v>
      </c>
      <c r="C18" s="748"/>
      <c r="D18" s="749"/>
      <c r="E18" s="179" t="s">
        <v>503</v>
      </c>
      <c r="F18" s="750">
        <v>114.51600000000001</v>
      </c>
      <c r="G18" s="751"/>
      <c r="H18" s="752">
        <v>0</v>
      </c>
      <c r="I18" s="753"/>
      <c r="J18" s="750">
        <f t="shared" si="0"/>
        <v>114.51600000000001</v>
      </c>
      <c r="K18" s="751"/>
      <c r="L18" s="204">
        <f t="shared" si="1"/>
        <v>9</v>
      </c>
      <c r="M18" s="724" t="s">
        <v>67</v>
      </c>
      <c r="N18" s="725"/>
      <c r="O18" s="168"/>
      <c r="P18" s="168"/>
      <c r="Q18" s="168"/>
      <c r="T18" s="562"/>
      <c r="U18" s="562"/>
      <c r="V18" s="562"/>
      <c r="W18" s="562"/>
      <c r="X18" s="562"/>
      <c r="Y18" s="562"/>
      <c r="Z18" s="562"/>
      <c r="AA18" s="562"/>
      <c r="AB18" s="562"/>
      <c r="AC18" s="562"/>
      <c r="AD18" s="562"/>
      <c r="AE18" s="562"/>
      <c r="AF18" s="563"/>
      <c r="AG18" s="720"/>
      <c r="AH18" s="720"/>
      <c r="AI18" s="720"/>
      <c r="AJ18" s="720"/>
      <c r="AK18" s="720"/>
      <c r="AL18" s="720"/>
      <c r="AM18" s="720"/>
      <c r="AN18" s="720"/>
      <c r="AO18" s="722"/>
    </row>
    <row r="19" spans="1:75" s="159" customFormat="1" ht="18" customHeight="1" thickBot="1">
      <c r="A19" s="565">
        <v>10</v>
      </c>
      <c r="B19" s="740" t="s">
        <v>515</v>
      </c>
      <c r="C19" s="741"/>
      <c r="D19" s="742"/>
      <c r="E19" s="180" t="s">
        <v>503</v>
      </c>
      <c r="F19" s="743">
        <v>114.51600000000001</v>
      </c>
      <c r="G19" s="744"/>
      <c r="H19" s="745">
        <v>0</v>
      </c>
      <c r="I19" s="746"/>
      <c r="J19" s="743">
        <f t="shared" si="0"/>
        <v>114.51600000000001</v>
      </c>
      <c r="K19" s="744"/>
      <c r="L19" s="204">
        <f>L18+1</f>
        <v>10</v>
      </c>
      <c r="M19" s="726" t="s">
        <v>67</v>
      </c>
      <c r="N19" s="727"/>
      <c r="O19" s="169"/>
      <c r="P19" s="169"/>
      <c r="Q19" s="169"/>
      <c r="R19" s="181"/>
      <c r="S19" s="181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566"/>
      <c r="AG19" s="721"/>
      <c r="AH19" s="721"/>
      <c r="AI19" s="721"/>
      <c r="AJ19" s="721"/>
      <c r="AK19" s="721"/>
      <c r="AL19" s="721"/>
      <c r="AM19" s="721"/>
      <c r="AN19" s="721"/>
      <c r="AO19" s="723"/>
      <c r="BV19" s="324" t="s">
        <v>516</v>
      </c>
      <c r="BW19" s="324" t="s">
        <v>517</v>
      </c>
    </row>
    <row r="20" spans="1:75" s="159" customFormat="1" ht="18" customHeight="1">
      <c r="A20" s="567"/>
      <c r="B20" s="568"/>
      <c r="C20" s="568"/>
      <c r="D20" s="568"/>
      <c r="E20" s="569"/>
      <c r="F20" s="570"/>
      <c r="G20" s="570"/>
      <c r="H20" s="571"/>
      <c r="I20" s="571"/>
      <c r="J20" s="570"/>
      <c r="K20" s="570"/>
      <c r="L20" s="572"/>
      <c r="M20" s="569"/>
      <c r="N20" s="569"/>
      <c r="O20" s="573"/>
      <c r="P20" s="573"/>
      <c r="Q20" s="573"/>
      <c r="T20" s="562"/>
      <c r="U20" s="562"/>
      <c r="V20" s="562"/>
      <c r="W20" s="562"/>
      <c r="X20" s="562"/>
      <c r="Y20" s="562"/>
      <c r="Z20" s="562"/>
      <c r="AA20" s="562"/>
      <c r="AB20" s="562"/>
      <c r="AC20" s="562"/>
      <c r="AD20" s="562"/>
      <c r="AE20" s="562"/>
      <c r="AF20" s="563"/>
      <c r="AG20" s="303"/>
      <c r="AH20" s="303"/>
      <c r="AI20" s="303"/>
      <c r="AJ20" s="303"/>
      <c r="AK20" s="303"/>
      <c r="AL20" s="303"/>
      <c r="AM20" s="303"/>
      <c r="AN20" s="303"/>
      <c r="AO20" s="303"/>
      <c r="BV20" s="324">
        <v>95</v>
      </c>
      <c r="BW20" s="324">
        <v>47</v>
      </c>
    </row>
    <row r="21" spans="1:75" s="166" customFormat="1" ht="13" customHeight="1">
      <c r="A21" s="206"/>
      <c r="B21" s="200">
        <v>1</v>
      </c>
      <c r="C21" s="200"/>
      <c r="D21" s="200">
        <v>2</v>
      </c>
      <c r="E21" s="200"/>
      <c r="F21" s="200">
        <v>3</v>
      </c>
      <c r="G21" s="200"/>
      <c r="H21" s="200">
        <v>4</v>
      </c>
      <c r="I21" s="200"/>
      <c r="J21" s="200">
        <v>5</v>
      </c>
      <c r="K21" s="200"/>
      <c r="L21" s="200">
        <v>6</v>
      </c>
      <c r="M21" s="200"/>
      <c r="N21" s="200">
        <v>7</v>
      </c>
      <c r="O21" s="200"/>
      <c r="P21" s="200">
        <v>8</v>
      </c>
      <c r="Q21" s="200"/>
      <c r="R21" s="200">
        <v>9</v>
      </c>
      <c r="S21" s="200"/>
      <c r="T21" s="200">
        <v>10</v>
      </c>
      <c r="U21" s="200"/>
      <c r="V21" s="200">
        <v>11</v>
      </c>
      <c r="W21" s="200"/>
      <c r="X21" s="200">
        <v>12</v>
      </c>
      <c r="Y21" s="200"/>
      <c r="Z21" s="200">
        <v>13</v>
      </c>
      <c r="AA21" s="200"/>
      <c r="AB21" s="200">
        <v>14</v>
      </c>
      <c r="AC21" s="200"/>
      <c r="AD21" s="200">
        <v>15</v>
      </c>
      <c r="AE21" s="200"/>
      <c r="AF21" s="574"/>
      <c r="AG21" s="303"/>
      <c r="AH21" s="303"/>
      <c r="AI21" s="303"/>
      <c r="AJ21" s="302"/>
      <c r="AK21" s="159"/>
      <c r="AL21" s="159"/>
      <c r="AM21" s="159"/>
      <c r="AN21" s="159"/>
      <c r="AO21" s="159"/>
    </row>
    <row r="22" spans="1:75" s="159" customFormat="1" ht="18" customHeight="1">
      <c r="A22" s="206"/>
      <c r="B22" s="200"/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  <c r="AA22" s="200"/>
      <c r="AB22" s="200"/>
      <c r="AC22" s="200"/>
      <c r="AD22" s="200"/>
      <c r="AE22" s="200"/>
      <c r="AF22" s="574"/>
      <c r="AG22" s="303"/>
      <c r="AH22" s="303"/>
      <c r="AI22" s="303"/>
      <c r="AJ22" s="302"/>
    </row>
    <row r="23" spans="1:75" s="535" customFormat="1" ht="13" customHeight="1">
      <c r="A23" s="575"/>
      <c r="B23" s="534" t="s">
        <v>518</v>
      </c>
      <c r="C23" s="576"/>
      <c r="D23" s="534" t="s">
        <v>519</v>
      </c>
      <c r="E23" s="577"/>
      <c r="F23" s="534" t="s">
        <v>520</v>
      </c>
      <c r="G23" s="577"/>
      <c r="H23" s="534" t="s">
        <v>521</v>
      </c>
      <c r="I23" s="577"/>
      <c r="J23" s="534" t="s">
        <v>522</v>
      </c>
      <c r="K23" s="577"/>
      <c r="L23" s="534" t="s">
        <v>523</v>
      </c>
      <c r="M23" s="577"/>
      <c r="N23" s="534" t="s">
        <v>524</v>
      </c>
      <c r="O23" s="577"/>
      <c r="P23" s="534" t="s">
        <v>525</v>
      </c>
      <c r="Q23" s="577"/>
      <c r="R23" s="534" t="s">
        <v>272</v>
      </c>
      <c r="S23" s="577"/>
      <c r="T23" s="534" t="s">
        <v>526</v>
      </c>
      <c r="U23" s="577"/>
      <c r="V23" s="534" t="s">
        <v>527</v>
      </c>
      <c r="W23" s="577"/>
      <c r="X23" s="534" t="s">
        <v>277</v>
      </c>
      <c r="Y23" s="577"/>
      <c r="Z23" s="534" t="s">
        <v>528</v>
      </c>
      <c r="AA23" s="577"/>
      <c r="AB23" s="534" t="s">
        <v>529</v>
      </c>
      <c r="AC23" s="577"/>
      <c r="AD23" s="534" t="s">
        <v>530</v>
      </c>
      <c r="AE23" s="577"/>
      <c r="AF23" s="578"/>
      <c r="AG23" s="303"/>
      <c r="AH23" s="303"/>
      <c r="AI23" s="303"/>
      <c r="AJ23" s="302"/>
    </row>
    <row r="24" spans="1:75" s="159" customFormat="1" ht="13" customHeight="1">
      <c r="A24" s="206"/>
      <c r="B24" s="200"/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200"/>
      <c r="AB24" s="200"/>
      <c r="AC24" s="200"/>
      <c r="AD24" s="200"/>
      <c r="AE24" s="200"/>
      <c r="AF24" s="574"/>
      <c r="AG24" s="303"/>
      <c r="AH24" s="303"/>
      <c r="AI24" s="303"/>
      <c r="AJ24" s="302"/>
    </row>
    <row r="25" spans="1:75" s="159" customFormat="1" ht="13" customHeight="1">
      <c r="A25" s="206"/>
      <c r="B25" s="254"/>
      <c r="C25" s="200"/>
      <c r="D25" s="254"/>
      <c r="E25" s="254"/>
      <c r="F25" s="254"/>
      <c r="G25" s="200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00"/>
      <c r="X25" s="254"/>
      <c r="Y25" s="254"/>
      <c r="Z25" s="254"/>
      <c r="AA25" s="200"/>
      <c r="AB25" s="254"/>
      <c r="AC25" s="254"/>
      <c r="AD25" s="254"/>
      <c r="AE25" s="254"/>
      <c r="AF25" s="574"/>
      <c r="AG25" s="303"/>
      <c r="AH25" s="303"/>
      <c r="AI25" s="303"/>
      <c r="AJ25" s="302"/>
    </row>
    <row r="26" spans="1:75" s="159" customFormat="1" ht="13" customHeight="1" thickBot="1">
      <c r="A26" s="206"/>
      <c r="B26" s="254"/>
      <c r="C26" s="200"/>
      <c r="D26" s="254"/>
      <c r="E26" s="254"/>
      <c r="F26" s="254"/>
      <c r="G26" s="200"/>
      <c r="H26" s="254"/>
      <c r="I26" s="254"/>
      <c r="J26" s="254"/>
      <c r="K26" s="254"/>
      <c r="L26" s="254"/>
      <c r="M26" s="254"/>
      <c r="N26" s="254"/>
      <c r="O26" s="254"/>
      <c r="P26" s="254"/>
      <c r="Q26" s="254"/>
      <c r="R26" s="254"/>
      <c r="S26" s="254"/>
      <c r="T26" s="254"/>
      <c r="U26" s="254"/>
      <c r="V26" s="254"/>
      <c r="W26" s="200"/>
      <c r="X26" s="254"/>
      <c r="Y26" s="254"/>
      <c r="Z26" s="254"/>
      <c r="AA26" s="200"/>
      <c r="AB26" s="254"/>
      <c r="AC26" s="254"/>
      <c r="AD26" s="254"/>
      <c r="AE26" s="254"/>
      <c r="AF26" s="574"/>
      <c r="AG26" s="303"/>
      <c r="AH26" s="303"/>
      <c r="AI26" s="303"/>
      <c r="AJ26" s="302"/>
    </row>
    <row r="27" spans="1:75" s="159" customFormat="1" ht="13" customHeight="1">
      <c r="A27" s="206"/>
      <c r="B27" s="261"/>
      <c r="C27" s="579"/>
      <c r="D27" s="261"/>
      <c r="E27" s="579"/>
      <c r="F27" s="261"/>
      <c r="G27" s="579"/>
      <c r="H27" s="261"/>
      <c r="I27" s="579"/>
      <c r="J27" s="261"/>
      <c r="K27" s="579"/>
      <c r="L27" s="261"/>
      <c r="M27" s="579"/>
      <c r="N27" s="698" t="s">
        <v>531</v>
      </c>
      <c r="O27" s="579"/>
      <c r="P27" s="698" t="s">
        <v>531</v>
      </c>
      <c r="Q27" s="579"/>
      <c r="R27" s="261"/>
      <c r="S27" s="579"/>
      <c r="T27" s="261"/>
      <c r="U27" s="579"/>
      <c r="V27" s="261"/>
      <c r="W27" s="579"/>
      <c r="X27" s="261"/>
      <c r="Y27" s="579"/>
      <c r="Z27" s="261"/>
      <c r="AA27" s="579"/>
      <c r="AB27" s="261"/>
      <c r="AC27" s="579"/>
      <c r="AD27" s="261"/>
      <c r="AE27" s="579"/>
      <c r="AF27" s="580"/>
      <c r="AG27" s="303"/>
      <c r="AH27" s="303"/>
      <c r="AI27" s="303"/>
      <c r="AJ27" s="302"/>
    </row>
    <row r="28" spans="1:75" s="159" customFormat="1" ht="13" customHeight="1">
      <c r="A28" s="206"/>
      <c r="B28" s="263" t="s">
        <v>531</v>
      </c>
      <c r="C28" s="581">
        <v>393.72</v>
      </c>
      <c r="D28" s="263" t="s">
        <v>531</v>
      </c>
      <c r="E28" s="581">
        <v>225.97</v>
      </c>
      <c r="F28" s="263" t="s">
        <v>531</v>
      </c>
      <c r="G28" s="581">
        <v>193.84</v>
      </c>
      <c r="H28" s="263" t="s">
        <v>531</v>
      </c>
      <c r="I28" s="581">
        <v>401.38</v>
      </c>
      <c r="J28" s="263" t="s">
        <v>531</v>
      </c>
      <c r="K28" s="581">
        <v>284.73</v>
      </c>
      <c r="L28" s="263" t="s">
        <v>531</v>
      </c>
      <c r="M28" s="581">
        <v>238.17</v>
      </c>
      <c r="N28" s="699"/>
      <c r="O28" s="581">
        <v>164.96</v>
      </c>
      <c r="P28" s="699"/>
      <c r="Q28" s="581">
        <v>343</v>
      </c>
      <c r="R28" s="263" t="s">
        <v>531</v>
      </c>
      <c r="S28" s="581">
        <v>453</v>
      </c>
      <c r="T28" s="263" t="s">
        <v>531</v>
      </c>
      <c r="U28" s="581">
        <v>369</v>
      </c>
      <c r="V28" s="263" t="s">
        <v>531</v>
      </c>
      <c r="W28" s="581">
        <v>405</v>
      </c>
      <c r="X28" s="263" t="s">
        <v>531</v>
      </c>
      <c r="Y28" s="581">
        <v>416</v>
      </c>
      <c r="Z28" s="263" t="s">
        <v>531</v>
      </c>
      <c r="AA28" s="581">
        <v>420</v>
      </c>
      <c r="AB28" s="263" t="s">
        <v>531</v>
      </c>
      <c r="AC28" s="581">
        <v>364</v>
      </c>
      <c r="AD28" s="263" t="s">
        <v>531</v>
      </c>
      <c r="AE28" s="581">
        <v>401</v>
      </c>
      <c r="AF28" s="574"/>
      <c r="AG28" s="303"/>
      <c r="AH28" s="303"/>
      <c r="AI28" s="303"/>
      <c r="AJ28" s="302"/>
    </row>
    <row r="29" spans="1:75" s="159" customFormat="1" ht="13" customHeight="1" thickBot="1">
      <c r="A29" s="206"/>
      <c r="B29" s="264"/>
      <c r="C29" s="200"/>
      <c r="D29" s="264"/>
      <c r="E29" s="200"/>
      <c r="F29" s="264"/>
      <c r="G29" s="200"/>
      <c r="H29" s="264"/>
      <c r="I29" s="200"/>
      <c r="J29" s="264"/>
      <c r="K29" s="200"/>
      <c r="L29" s="264"/>
      <c r="M29" s="200"/>
      <c r="N29" s="700"/>
      <c r="O29" s="200"/>
      <c r="P29" s="700"/>
      <c r="Q29" s="200"/>
      <c r="R29" s="264"/>
      <c r="S29" s="200"/>
      <c r="T29" s="264"/>
      <c r="U29" s="200"/>
      <c r="V29" s="264"/>
      <c r="W29" s="200"/>
      <c r="X29" s="264"/>
      <c r="Y29" s="200"/>
      <c r="Z29" s="264"/>
      <c r="AA29" s="200"/>
      <c r="AB29" s="264"/>
      <c r="AC29" s="200"/>
      <c r="AD29" s="264"/>
      <c r="AE29" s="200"/>
      <c r="AF29" s="574"/>
      <c r="AG29" s="303"/>
      <c r="AH29" s="303"/>
      <c r="AI29" s="303"/>
      <c r="AJ29" s="302"/>
    </row>
    <row r="30" spans="1:75" s="258" customFormat="1" ht="25.5" customHeight="1">
      <c r="A30" s="582"/>
      <c r="B30" s="258" t="s">
        <v>532</v>
      </c>
      <c r="D30" s="258" t="s">
        <v>268</v>
      </c>
      <c r="F30" s="258" t="s">
        <v>268</v>
      </c>
      <c r="H30" s="258" t="s">
        <v>533</v>
      </c>
      <c r="J30" s="258" t="s">
        <v>534</v>
      </c>
      <c r="L30" s="258" t="s">
        <v>534</v>
      </c>
      <c r="N30" s="258" t="s">
        <v>534</v>
      </c>
      <c r="P30" s="258" t="s">
        <v>534</v>
      </c>
      <c r="R30" s="258" t="s">
        <v>535</v>
      </c>
      <c r="S30" s="258" t="s">
        <v>67</v>
      </c>
      <c r="T30" s="258" t="s">
        <v>285</v>
      </c>
      <c r="V30" s="258" t="s">
        <v>536</v>
      </c>
      <c r="X30" s="258" t="s">
        <v>278</v>
      </c>
      <c r="Z30" s="258" t="s">
        <v>285</v>
      </c>
      <c r="AB30" s="258" t="s">
        <v>285</v>
      </c>
      <c r="AD30" s="258" t="s">
        <v>285</v>
      </c>
      <c r="AF30" s="583"/>
    </row>
    <row r="31" spans="1:75" s="159" customFormat="1" ht="13" customHeight="1">
      <c r="A31" s="206"/>
      <c r="B31" s="200"/>
      <c r="C31" s="254"/>
      <c r="D31" s="200"/>
      <c r="E31" s="254"/>
      <c r="F31" s="200"/>
      <c r="G31" s="200"/>
      <c r="H31" s="200"/>
      <c r="I31" s="200"/>
      <c r="J31" s="200"/>
      <c r="K31" s="584" t="s">
        <v>1075</v>
      </c>
      <c r="L31" s="200"/>
      <c r="M31" s="254"/>
      <c r="N31" s="200"/>
      <c r="O31" s="584" t="s">
        <v>1105</v>
      </c>
      <c r="P31" s="200"/>
      <c r="Q31" s="254"/>
      <c r="R31" s="200"/>
      <c r="S31" s="254"/>
      <c r="T31" s="200"/>
      <c r="U31" s="254"/>
      <c r="V31" s="200"/>
      <c r="W31" s="254"/>
      <c r="X31" s="200"/>
      <c r="Y31" s="254"/>
      <c r="Z31" s="200"/>
      <c r="AA31" s="254"/>
      <c r="AB31" s="200"/>
      <c r="AC31" s="585"/>
      <c r="AD31" s="200"/>
      <c r="AE31" s="200"/>
      <c r="AF31" s="574"/>
      <c r="AG31" s="303"/>
      <c r="AH31" s="303"/>
      <c r="AI31" s="303"/>
      <c r="AJ31" s="302"/>
    </row>
    <row r="32" spans="1:75" s="159" customFormat="1" ht="13" customHeight="1">
      <c r="A32" s="206"/>
      <c r="O32" s="586" t="s">
        <v>1106</v>
      </c>
      <c r="AE32" s="200"/>
      <c r="AF32" s="574"/>
      <c r="AG32" s="303"/>
      <c r="AH32" s="303"/>
      <c r="AI32" s="303"/>
      <c r="AJ32" s="303"/>
    </row>
    <row r="33" spans="1:75" s="159" customFormat="1" ht="13" customHeight="1">
      <c r="A33" s="206"/>
      <c r="B33" s="200">
        <v>16</v>
      </c>
      <c r="C33" s="200"/>
      <c r="D33" s="200">
        <v>17</v>
      </c>
      <c r="E33" s="200"/>
      <c r="F33" s="200">
        <v>18</v>
      </c>
      <c r="G33" s="200"/>
      <c r="H33" s="200">
        <v>19</v>
      </c>
      <c r="I33" s="200"/>
      <c r="J33" s="200">
        <v>20</v>
      </c>
      <c r="K33" s="200"/>
      <c r="L33" s="200">
        <v>21</v>
      </c>
      <c r="M33" s="200"/>
      <c r="N33" s="200">
        <v>22</v>
      </c>
      <c r="P33" s="200">
        <v>23</v>
      </c>
      <c r="Q33" s="200"/>
      <c r="R33" s="200">
        <v>24</v>
      </c>
      <c r="S33" s="200"/>
      <c r="T33" s="200">
        <v>25</v>
      </c>
      <c r="U33" s="200"/>
      <c r="V33" s="200">
        <v>26</v>
      </c>
      <c r="W33" s="200"/>
      <c r="X33" s="200">
        <v>27</v>
      </c>
      <c r="Y33" s="200"/>
      <c r="Z33" s="200">
        <v>28</v>
      </c>
      <c r="AA33" s="200"/>
      <c r="AB33" s="200">
        <v>29</v>
      </c>
      <c r="AC33" s="200"/>
      <c r="AD33" s="200">
        <v>30</v>
      </c>
      <c r="AE33" s="200"/>
      <c r="AF33" s="574"/>
      <c r="AG33" s="303"/>
      <c r="AH33" s="303"/>
      <c r="AI33" s="303"/>
      <c r="AJ33" s="302"/>
    </row>
    <row r="34" spans="1:75" s="530" customFormat="1" ht="13" customHeight="1">
      <c r="A34" s="587"/>
      <c r="B34" s="531" t="s">
        <v>281</v>
      </c>
      <c r="C34" s="588"/>
      <c r="D34" s="531" t="s">
        <v>537</v>
      </c>
      <c r="E34" s="258"/>
      <c r="F34" s="531" t="s">
        <v>538</v>
      </c>
      <c r="G34" s="258"/>
      <c r="H34" s="531" t="s">
        <v>284</v>
      </c>
      <c r="I34" s="258"/>
      <c r="J34" s="531" t="s">
        <v>539</v>
      </c>
      <c r="K34" s="258"/>
      <c r="L34" s="531" t="s">
        <v>540</v>
      </c>
      <c r="M34" s="258"/>
      <c r="N34" s="531" t="s">
        <v>541</v>
      </c>
      <c r="O34" s="258"/>
      <c r="P34" s="531" t="s">
        <v>542</v>
      </c>
      <c r="Q34" s="258"/>
      <c r="R34" s="531" t="s">
        <v>543</v>
      </c>
      <c r="S34" s="258"/>
      <c r="T34" s="531" t="s">
        <v>544</v>
      </c>
      <c r="U34" s="258"/>
      <c r="V34" s="531" t="s">
        <v>545</v>
      </c>
      <c r="W34" s="258"/>
      <c r="X34" s="531" t="s">
        <v>442</v>
      </c>
      <c r="Y34" s="258"/>
      <c r="Z34" s="531" t="s">
        <v>448</v>
      </c>
      <c r="AA34" s="258"/>
      <c r="AB34" s="531" t="s">
        <v>378</v>
      </c>
      <c r="AC34" s="258"/>
      <c r="AD34" s="531" t="s">
        <v>372</v>
      </c>
      <c r="AE34" s="258"/>
      <c r="AF34" s="589"/>
      <c r="AG34" s="532"/>
      <c r="AH34" s="532"/>
      <c r="AI34" s="532"/>
      <c r="AJ34" s="533"/>
    </row>
    <row r="35" spans="1:75" s="159" customFormat="1" ht="13" customHeight="1">
      <c r="A35" s="206"/>
      <c r="B35" s="200"/>
      <c r="C35" s="200"/>
      <c r="D35" s="200"/>
      <c r="E35" s="200"/>
      <c r="F35" s="59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574"/>
      <c r="AG35" s="303"/>
      <c r="AH35" s="303"/>
      <c r="AI35" s="303"/>
      <c r="AJ35" s="302"/>
    </row>
    <row r="36" spans="1:75" s="159" customFormat="1" ht="13" customHeight="1">
      <c r="A36" s="206"/>
      <c r="B36" s="254"/>
      <c r="C36" s="254"/>
      <c r="D36" s="254"/>
      <c r="E36" s="254"/>
      <c r="F36" s="254"/>
      <c r="G36" s="254"/>
      <c r="H36" s="254"/>
      <c r="I36" s="254"/>
      <c r="J36" s="254"/>
      <c r="K36" s="254"/>
      <c r="L36" s="254"/>
      <c r="M36" s="200"/>
      <c r="N36" s="254"/>
      <c r="O36" s="254"/>
      <c r="P36" s="254"/>
      <c r="Q36" s="200"/>
      <c r="R36" s="254"/>
      <c r="S36" s="254"/>
      <c r="T36" s="254"/>
      <c r="U36" s="254"/>
      <c r="V36" s="254"/>
      <c r="W36" s="254"/>
      <c r="X36" s="254"/>
      <c r="Y36" s="200"/>
      <c r="Z36" s="254"/>
      <c r="AA36" s="254"/>
      <c r="AB36" s="254"/>
      <c r="AC36" s="200"/>
      <c r="AD36" s="254"/>
      <c r="AE36" s="254"/>
      <c r="AF36" s="574"/>
      <c r="AG36" s="303"/>
      <c r="AH36" s="303"/>
      <c r="AI36" s="303"/>
      <c r="AJ36" s="302"/>
    </row>
    <row r="37" spans="1:75" s="159" customFormat="1" ht="13" customHeight="1" thickBot="1">
      <c r="A37" s="206"/>
      <c r="B37" s="254"/>
      <c r="C37" s="254"/>
      <c r="D37" s="254"/>
      <c r="E37" s="254"/>
      <c r="F37" s="254"/>
      <c r="G37" s="254"/>
      <c r="H37" s="254"/>
      <c r="I37" s="254"/>
      <c r="J37" s="254"/>
      <c r="K37" s="254"/>
      <c r="L37" s="254"/>
      <c r="M37" s="200"/>
      <c r="N37" s="254"/>
      <c r="O37" s="254"/>
      <c r="P37" s="254"/>
      <c r="Q37" s="200"/>
      <c r="R37" s="254"/>
      <c r="S37" s="254"/>
      <c r="T37" s="254"/>
      <c r="U37" s="254"/>
      <c r="V37" s="254"/>
      <c r="W37" s="254"/>
      <c r="X37" s="254"/>
      <c r="Y37" s="200"/>
      <c r="Z37" s="254"/>
      <c r="AA37" s="254"/>
      <c r="AB37" s="254"/>
      <c r="AC37" s="200"/>
      <c r="AD37" s="254"/>
      <c r="AE37" s="254"/>
      <c r="AF37" s="574"/>
      <c r="AG37" s="303"/>
      <c r="AH37" s="303"/>
      <c r="AI37" s="303"/>
      <c r="AJ37" s="302"/>
    </row>
    <row r="38" spans="1:75" s="159" customFormat="1" ht="13" customHeight="1">
      <c r="A38" s="206"/>
      <c r="B38" s="261"/>
      <c r="C38" s="579"/>
      <c r="D38" s="261"/>
      <c r="E38" s="579"/>
      <c r="F38" s="261"/>
      <c r="G38" s="579"/>
      <c r="H38" s="261"/>
      <c r="I38" s="579"/>
      <c r="J38" s="261"/>
      <c r="K38" s="579"/>
      <c r="L38" s="261"/>
      <c r="M38" s="579"/>
      <c r="N38" s="261"/>
      <c r="O38" s="579"/>
      <c r="P38" s="261"/>
      <c r="Q38" s="579"/>
      <c r="R38" s="261"/>
      <c r="S38" s="579"/>
      <c r="T38" s="261"/>
      <c r="U38" s="579"/>
      <c r="V38" s="261"/>
      <c r="W38" s="579"/>
      <c r="X38" s="184"/>
      <c r="Y38" s="591"/>
      <c r="Z38" s="184"/>
      <c r="AA38" s="591"/>
      <c r="AB38" s="184"/>
      <c r="AC38" s="591"/>
      <c r="AD38" s="184"/>
      <c r="AE38" s="591"/>
      <c r="AF38" s="574"/>
      <c r="AG38" s="303"/>
      <c r="AH38" s="303"/>
      <c r="AI38" s="303"/>
      <c r="AJ38" s="302"/>
      <c r="BV38" s="499">
        <v>4</v>
      </c>
      <c r="BW38" s="499">
        <f>1</f>
        <v>1</v>
      </c>
    </row>
    <row r="39" spans="1:75" s="159" customFormat="1" ht="13" customHeight="1">
      <c r="A39" s="206"/>
      <c r="B39" s="263" t="s">
        <v>531</v>
      </c>
      <c r="C39" s="581">
        <v>412</v>
      </c>
      <c r="D39" s="263" t="s">
        <v>531</v>
      </c>
      <c r="E39" s="581">
        <v>405</v>
      </c>
      <c r="F39" s="263" t="s">
        <v>531</v>
      </c>
      <c r="G39" s="581">
        <v>391</v>
      </c>
      <c r="H39" s="263" t="s">
        <v>531</v>
      </c>
      <c r="I39" s="581">
        <v>397</v>
      </c>
      <c r="J39" s="263" t="s">
        <v>531</v>
      </c>
      <c r="K39" s="581">
        <v>390</v>
      </c>
      <c r="L39" s="263" t="s">
        <v>531</v>
      </c>
      <c r="M39" s="581">
        <v>397.5</v>
      </c>
      <c r="N39" s="263" t="s">
        <v>531</v>
      </c>
      <c r="O39" s="581">
        <v>591</v>
      </c>
      <c r="P39" s="263" t="s">
        <v>531</v>
      </c>
      <c r="Q39" s="581">
        <v>534</v>
      </c>
      <c r="R39" s="263" t="s">
        <v>531</v>
      </c>
      <c r="S39" s="581">
        <v>799</v>
      </c>
      <c r="T39" s="263" t="s">
        <v>531</v>
      </c>
      <c r="U39" s="581">
        <v>321</v>
      </c>
      <c r="V39" s="263" t="s">
        <v>531</v>
      </c>
      <c r="W39" s="581">
        <v>449</v>
      </c>
      <c r="X39" s="191"/>
      <c r="Y39" s="592">
        <v>412.99900000000002</v>
      </c>
      <c r="Z39" s="191"/>
      <c r="AA39" s="592">
        <v>390</v>
      </c>
      <c r="AB39" s="187"/>
      <c r="AC39" s="592">
        <v>377.19900000000001</v>
      </c>
      <c r="AD39" s="187"/>
      <c r="AE39" s="592">
        <v>374.428</v>
      </c>
      <c r="AF39" s="574"/>
      <c r="AG39" s="303"/>
      <c r="AH39" s="303"/>
      <c r="AI39" s="303"/>
      <c r="AJ39" s="302"/>
    </row>
    <row r="40" spans="1:75" s="159" customFormat="1" ht="13" customHeight="1" thickBot="1">
      <c r="A40" s="206"/>
      <c r="B40" s="264"/>
      <c r="C40" s="200"/>
      <c r="D40" s="264"/>
      <c r="E40" s="200"/>
      <c r="F40" s="264"/>
      <c r="G40" s="200"/>
      <c r="H40" s="264"/>
      <c r="I40" s="200"/>
      <c r="J40" s="264"/>
      <c r="K40" s="200"/>
      <c r="L40" s="264"/>
      <c r="M40" s="200"/>
      <c r="N40" s="264"/>
      <c r="O40" s="200"/>
      <c r="P40" s="264"/>
      <c r="Q40" s="200"/>
      <c r="R40" s="264"/>
      <c r="S40" s="200"/>
      <c r="T40" s="264"/>
      <c r="U40" s="200"/>
      <c r="V40" s="264"/>
      <c r="W40" s="200"/>
      <c r="X40" s="189"/>
      <c r="Y40" s="166"/>
      <c r="Z40" s="189"/>
      <c r="AA40" s="166"/>
      <c r="AB40" s="189"/>
      <c r="AC40" s="166"/>
      <c r="AD40" s="189"/>
      <c r="AE40" s="166"/>
      <c r="AF40" s="574"/>
      <c r="AG40" s="303"/>
      <c r="AH40" s="303"/>
      <c r="AI40" s="303"/>
      <c r="AJ40" s="302"/>
    </row>
    <row r="41" spans="1:75" s="258" customFormat="1" ht="25.5" customHeight="1">
      <c r="A41" s="582"/>
      <c r="B41" s="258" t="s">
        <v>278</v>
      </c>
      <c r="D41" s="258" t="s">
        <v>285</v>
      </c>
      <c r="F41" s="258" t="s">
        <v>285</v>
      </c>
      <c r="H41" s="258" t="s">
        <v>285</v>
      </c>
      <c r="J41" s="258" t="s">
        <v>285</v>
      </c>
      <c r="L41" s="258" t="s">
        <v>546</v>
      </c>
      <c r="N41" s="258" t="s">
        <v>290</v>
      </c>
      <c r="P41" s="258" t="s">
        <v>292</v>
      </c>
      <c r="R41" s="258" t="s">
        <v>295</v>
      </c>
      <c r="T41" s="258" t="s">
        <v>295</v>
      </c>
      <c r="V41" s="258" t="s">
        <v>547</v>
      </c>
      <c r="X41" s="258" t="s">
        <v>373</v>
      </c>
      <c r="Z41" s="258" t="s">
        <v>357</v>
      </c>
      <c r="AB41" s="258" t="s">
        <v>350</v>
      </c>
      <c r="AD41" s="258" t="s">
        <v>373</v>
      </c>
      <c r="AF41" s="583"/>
    </row>
    <row r="42" spans="1:75" s="159" customFormat="1" ht="13" customHeight="1">
      <c r="A42" s="206"/>
      <c r="B42" s="200"/>
      <c r="C42" s="254"/>
      <c r="D42" s="200"/>
      <c r="E42" s="254"/>
      <c r="F42" s="200"/>
      <c r="G42" s="254"/>
      <c r="H42" s="694" t="s">
        <v>548</v>
      </c>
      <c r="I42" s="694"/>
      <c r="J42" s="694"/>
      <c r="K42" s="694"/>
      <c r="L42" s="694"/>
      <c r="R42" s="593" t="s">
        <v>1076</v>
      </c>
      <c r="S42" s="200"/>
      <c r="T42" s="200"/>
      <c r="U42" s="254"/>
      <c r="V42" s="200"/>
      <c r="W42" s="254"/>
      <c r="X42" s="254"/>
      <c r="Y42" s="254"/>
      <c r="Z42" s="254"/>
      <c r="AA42" s="254"/>
      <c r="AB42" s="254"/>
      <c r="AC42" s="254"/>
      <c r="AD42" s="254"/>
      <c r="AE42" s="254"/>
      <c r="AF42" s="574"/>
      <c r="AG42" s="303"/>
      <c r="AH42" s="303"/>
      <c r="AI42" s="303"/>
      <c r="AJ42" s="302"/>
    </row>
    <row r="43" spans="1:75" s="159" customFormat="1" ht="13" customHeight="1">
      <c r="A43" s="206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R43" s="200"/>
      <c r="S43" s="200"/>
      <c r="T43" s="200"/>
      <c r="U43" s="200"/>
      <c r="V43" s="200"/>
      <c r="W43" s="200"/>
      <c r="X43" s="200"/>
      <c r="Y43" s="200"/>
      <c r="Z43" s="200"/>
      <c r="AA43" s="200"/>
      <c r="AB43" s="200"/>
      <c r="AC43" s="200"/>
      <c r="AD43" s="200"/>
      <c r="AE43" s="585"/>
      <c r="AF43" s="574"/>
      <c r="AG43" s="303"/>
      <c r="AH43" s="303"/>
      <c r="AI43" s="303"/>
      <c r="AJ43" s="302"/>
    </row>
    <row r="44" spans="1:75" s="166" customFormat="1" ht="13" customHeight="1">
      <c r="A44" s="206"/>
      <c r="B44" s="200">
        <v>31</v>
      </c>
      <c r="C44" s="200"/>
      <c r="D44" s="200">
        <v>32</v>
      </c>
      <c r="E44" s="200"/>
      <c r="F44" s="200">
        <v>33</v>
      </c>
      <c r="G44" s="200"/>
      <c r="H44" s="200">
        <v>34</v>
      </c>
      <c r="I44" s="200"/>
      <c r="J44" s="200">
        <v>35</v>
      </c>
      <c r="K44" s="200"/>
      <c r="L44" s="200">
        <v>36</v>
      </c>
      <c r="M44" s="200"/>
      <c r="N44" s="200">
        <v>37</v>
      </c>
      <c r="O44" s="200"/>
      <c r="P44" s="200">
        <v>38</v>
      </c>
      <c r="Q44" s="200"/>
      <c r="R44" s="200">
        <v>39</v>
      </c>
      <c r="S44" s="200"/>
      <c r="T44" s="200">
        <v>40</v>
      </c>
      <c r="U44" s="200"/>
      <c r="V44" s="200">
        <v>41</v>
      </c>
      <c r="W44" s="200"/>
      <c r="X44" s="200">
        <v>42</v>
      </c>
      <c r="Y44" s="200"/>
      <c r="Z44" s="200">
        <v>43</v>
      </c>
      <c r="AA44" s="200"/>
      <c r="AB44" s="200">
        <v>44</v>
      </c>
      <c r="AC44" s="200"/>
      <c r="AD44" s="200">
        <v>45</v>
      </c>
      <c r="AE44" s="200"/>
      <c r="AF44" s="574"/>
      <c r="AG44" s="711"/>
      <c r="AH44" s="707"/>
      <c r="AI44" s="707"/>
      <c r="AJ44" s="707"/>
      <c r="AK44" s="707"/>
      <c r="AL44" s="707"/>
      <c r="AM44" s="707"/>
      <c r="AN44" s="707"/>
      <c r="AO44" s="709"/>
    </row>
    <row r="45" spans="1:75" s="193" customFormat="1" ht="13" customHeight="1">
      <c r="A45" s="587"/>
      <c r="B45" s="529" t="s">
        <v>136</v>
      </c>
      <c r="C45" s="258"/>
      <c r="D45" s="529" t="s">
        <v>370</v>
      </c>
      <c r="E45" s="258"/>
      <c r="F45" s="529" t="s">
        <v>368</v>
      </c>
      <c r="G45" s="258"/>
      <c r="H45" s="529" t="s">
        <v>369</v>
      </c>
      <c r="I45" s="258"/>
      <c r="J45" s="529" t="s">
        <v>367</v>
      </c>
      <c r="K45" s="258"/>
      <c r="L45" s="529" t="s">
        <v>380</v>
      </c>
      <c r="M45" s="588"/>
      <c r="N45" s="529" t="s">
        <v>395</v>
      </c>
      <c r="O45" s="258"/>
      <c r="P45" s="529" t="s">
        <v>174</v>
      </c>
      <c r="Q45" s="258"/>
      <c r="R45" s="529" t="s">
        <v>137</v>
      </c>
      <c r="S45" s="258"/>
      <c r="T45" s="529" t="s">
        <v>138</v>
      </c>
      <c r="U45" s="258"/>
      <c r="V45" s="529" t="s">
        <v>139</v>
      </c>
      <c r="W45" s="258"/>
      <c r="X45" s="529" t="s">
        <v>365</v>
      </c>
      <c r="Y45" s="258"/>
      <c r="Z45" s="529" t="s">
        <v>364</v>
      </c>
      <c r="AA45" s="258"/>
      <c r="AB45" s="529" t="s">
        <v>140</v>
      </c>
      <c r="AC45" s="258"/>
      <c r="AD45" s="529" t="s">
        <v>382</v>
      </c>
      <c r="AE45" s="258"/>
      <c r="AF45" s="589"/>
      <c r="AG45" s="711"/>
      <c r="AH45" s="707"/>
      <c r="AI45" s="707"/>
      <c r="AJ45" s="707"/>
      <c r="AK45" s="707"/>
      <c r="AL45" s="707"/>
      <c r="AM45" s="707"/>
      <c r="AN45" s="707"/>
      <c r="AO45" s="709"/>
    </row>
    <row r="46" spans="1:75" s="166" customFormat="1" ht="13" customHeight="1">
      <c r="A46" s="206"/>
      <c r="B46" s="200"/>
      <c r="C46" s="200"/>
      <c r="D46" s="200"/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  <c r="AA46" s="200"/>
      <c r="AB46" s="200"/>
      <c r="AC46" s="200"/>
      <c r="AD46" s="200"/>
      <c r="AE46" s="200"/>
      <c r="AF46" s="574"/>
      <c r="AG46" s="711"/>
      <c r="AH46" s="707"/>
      <c r="AI46" s="707"/>
      <c r="AJ46" s="707"/>
      <c r="AK46" s="707"/>
      <c r="AL46" s="707"/>
      <c r="AM46" s="707"/>
      <c r="AN46" s="707"/>
      <c r="AO46" s="709"/>
    </row>
    <row r="47" spans="1:75" s="166" customFormat="1" ht="13" customHeight="1">
      <c r="A47" s="206"/>
      <c r="B47" s="254"/>
      <c r="C47" s="254"/>
      <c r="D47" s="254"/>
      <c r="E47" s="254"/>
      <c r="F47" s="254"/>
      <c r="G47" s="254"/>
      <c r="H47" s="254"/>
      <c r="I47" s="254"/>
      <c r="J47" s="254"/>
      <c r="K47" s="254"/>
      <c r="L47" s="254"/>
      <c r="M47" s="254"/>
      <c r="N47" s="254"/>
      <c r="O47" s="200"/>
      <c r="P47" s="254"/>
      <c r="Q47" s="254"/>
      <c r="R47" s="254"/>
      <c r="S47" s="200"/>
      <c r="T47" s="254"/>
      <c r="U47" s="254"/>
      <c r="V47" s="254"/>
      <c r="W47" s="254"/>
      <c r="X47" s="254"/>
      <c r="Y47" s="254"/>
      <c r="Z47" s="254"/>
      <c r="AA47" s="254"/>
      <c r="AB47" s="254"/>
      <c r="AC47" s="254"/>
      <c r="AD47" s="254"/>
      <c r="AE47" s="254"/>
      <c r="AF47" s="574"/>
      <c r="AG47" s="711"/>
      <c r="AH47" s="707"/>
      <c r="AI47" s="707"/>
      <c r="AJ47" s="707"/>
      <c r="AK47" s="707"/>
      <c r="AL47" s="707"/>
      <c r="AM47" s="707"/>
      <c r="AN47" s="707"/>
      <c r="AO47" s="709"/>
    </row>
    <row r="48" spans="1:75" s="166" customFormat="1" ht="13" customHeight="1" thickBot="1">
      <c r="A48" s="206"/>
      <c r="B48" s="254"/>
      <c r="C48" s="254"/>
      <c r="D48" s="254"/>
      <c r="E48" s="254"/>
      <c r="F48" s="254"/>
      <c r="G48" s="254"/>
      <c r="H48" s="254"/>
      <c r="I48" s="254"/>
      <c r="J48" s="254"/>
      <c r="K48" s="254"/>
      <c r="L48" s="254"/>
      <c r="M48" s="254"/>
      <c r="N48" s="254"/>
      <c r="O48" s="200"/>
      <c r="P48" s="254"/>
      <c r="Q48" s="254"/>
      <c r="R48" s="254"/>
      <c r="S48" s="200"/>
      <c r="T48" s="254"/>
      <c r="U48" s="254"/>
      <c r="V48" s="254"/>
      <c r="W48" s="254"/>
      <c r="X48" s="254"/>
      <c r="Y48" s="254"/>
      <c r="Z48" s="254"/>
      <c r="AA48" s="254"/>
      <c r="AB48" s="254"/>
      <c r="AC48" s="254"/>
      <c r="AD48" s="254"/>
      <c r="AE48" s="254"/>
      <c r="AF48" s="574"/>
      <c r="AG48" s="711"/>
      <c r="AH48" s="707"/>
      <c r="AI48" s="707"/>
      <c r="AJ48" s="707"/>
      <c r="AK48" s="707"/>
      <c r="AL48" s="707"/>
      <c r="AM48" s="707"/>
      <c r="AN48" s="707"/>
      <c r="AO48" s="709"/>
    </row>
    <row r="49" spans="1:75" s="166" customFormat="1" ht="12.65" customHeight="1">
      <c r="A49" s="594"/>
      <c r="B49" s="202"/>
      <c r="C49" s="591"/>
      <c r="D49" s="184"/>
      <c r="E49" s="591"/>
      <c r="F49" s="184"/>
      <c r="G49" s="591"/>
      <c r="H49" s="184"/>
      <c r="I49" s="591"/>
      <c r="J49" s="184"/>
      <c r="K49" s="591"/>
      <c r="L49" s="184"/>
      <c r="M49" s="591"/>
      <c r="N49" s="184"/>
      <c r="O49" s="591"/>
      <c r="P49" s="184"/>
      <c r="Q49" s="591"/>
      <c r="R49" s="184"/>
      <c r="S49" s="591"/>
      <c r="T49" s="184"/>
      <c r="U49" s="591"/>
      <c r="V49" s="184"/>
      <c r="W49" s="591"/>
      <c r="X49" s="184"/>
      <c r="Y49" s="591"/>
      <c r="Z49" s="184"/>
      <c r="AA49" s="591"/>
      <c r="AB49" s="701"/>
      <c r="AC49" s="591"/>
      <c r="AD49" s="184"/>
      <c r="AE49" s="591"/>
      <c r="AF49" s="574"/>
      <c r="AG49" s="711"/>
      <c r="AH49" s="707"/>
      <c r="AI49" s="707"/>
      <c r="AJ49" s="707"/>
      <c r="AK49" s="707"/>
      <c r="AL49" s="707"/>
      <c r="AM49" s="707"/>
      <c r="AN49" s="707"/>
      <c r="AO49" s="709"/>
      <c r="BV49" s="500">
        <f>15</f>
        <v>15</v>
      </c>
      <c r="BW49" s="500">
        <v>10</v>
      </c>
    </row>
    <row r="50" spans="1:75" s="166" customFormat="1" ht="13.5" customHeight="1">
      <c r="A50" s="594"/>
      <c r="B50" s="187"/>
      <c r="C50" s="592">
        <v>421.99400000000003</v>
      </c>
      <c r="D50" s="187"/>
      <c r="E50" s="592">
        <v>232.608</v>
      </c>
      <c r="F50" s="187"/>
      <c r="G50" s="592">
        <v>216.64099999999999</v>
      </c>
      <c r="H50" s="187"/>
      <c r="I50" s="592">
        <v>355.99799999999999</v>
      </c>
      <c r="J50" s="187"/>
      <c r="K50" s="592">
        <v>384</v>
      </c>
      <c r="L50" s="187"/>
      <c r="M50" s="592">
        <v>362</v>
      </c>
      <c r="N50" s="191"/>
      <c r="O50" s="592">
        <v>307.02800000000002</v>
      </c>
      <c r="P50" s="191"/>
      <c r="Q50" s="592">
        <v>379.00200000000001</v>
      </c>
      <c r="R50" s="187"/>
      <c r="S50" s="592">
        <v>412</v>
      </c>
      <c r="T50" s="187"/>
      <c r="U50" s="592">
        <v>429</v>
      </c>
      <c r="V50" s="187"/>
      <c r="W50" s="592">
        <v>408</v>
      </c>
      <c r="X50" s="191"/>
      <c r="Y50" s="592">
        <v>395</v>
      </c>
      <c r="Z50" s="187"/>
      <c r="AA50" s="592">
        <v>380.68599999999998</v>
      </c>
      <c r="AB50" s="702"/>
      <c r="AC50" s="592">
        <v>410.99700000000001</v>
      </c>
      <c r="AD50" s="187"/>
      <c r="AE50" s="592">
        <v>413</v>
      </c>
      <c r="AF50" s="574"/>
      <c r="AG50" s="711"/>
      <c r="AH50" s="707"/>
      <c r="AI50" s="707"/>
      <c r="AJ50" s="707"/>
      <c r="AK50" s="707"/>
      <c r="AL50" s="707"/>
      <c r="AM50" s="707"/>
      <c r="AN50" s="707"/>
      <c r="AO50" s="709"/>
    </row>
    <row r="51" spans="1:75" s="166" customFormat="1" ht="13.5" customHeight="1" thickBot="1">
      <c r="A51" s="594"/>
      <c r="B51" s="203"/>
      <c r="D51" s="189"/>
      <c r="F51" s="189"/>
      <c r="H51" s="189"/>
      <c r="J51" s="189"/>
      <c r="L51" s="189"/>
      <c r="N51" s="189"/>
      <c r="P51" s="189"/>
      <c r="R51" s="189"/>
      <c r="T51" s="189"/>
      <c r="V51" s="189"/>
      <c r="X51" s="189"/>
      <c r="Z51" s="189"/>
      <c r="AB51" s="703"/>
      <c r="AD51" s="189"/>
      <c r="AF51" s="574"/>
      <c r="AG51" s="711"/>
      <c r="AH51" s="707"/>
      <c r="AI51" s="707"/>
      <c r="AJ51" s="707"/>
      <c r="AK51" s="707"/>
      <c r="AL51" s="707"/>
      <c r="AM51" s="707"/>
      <c r="AN51" s="707"/>
      <c r="AO51" s="709"/>
    </row>
    <row r="52" spans="1:75" s="166" customFormat="1" ht="14.15" customHeight="1">
      <c r="A52" s="206"/>
      <c r="B52" s="258" t="s">
        <v>391</v>
      </c>
      <c r="C52" s="254"/>
      <c r="D52" s="258" t="s">
        <v>298</v>
      </c>
      <c r="E52" s="254"/>
      <c r="F52" s="258" t="s">
        <v>302</v>
      </c>
      <c r="G52" s="254"/>
      <c r="H52" s="595" t="s">
        <v>298</v>
      </c>
      <c r="I52" s="254"/>
      <c r="J52" s="254" t="s">
        <v>350</v>
      </c>
      <c r="K52" s="254"/>
      <c r="L52" s="254" t="s">
        <v>350</v>
      </c>
      <c r="M52" s="254"/>
      <c r="N52" s="254" t="s">
        <v>396</v>
      </c>
      <c r="O52" s="254"/>
      <c r="P52" s="258" t="s">
        <v>298</v>
      </c>
      <c r="Q52" s="254"/>
      <c r="R52" s="254" t="s">
        <v>350</v>
      </c>
      <c r="S52" s="254"/>
      <c r="T52" s="254" t="s">
        <v>357</v>
      </c>
      <c r="U52" s="254"/>
      <c r="V52" s="258" t="s">
        <v>357</v>
      </c>
      <c r="W52" s="254"/>
      <c r="X52" s="254" t="s">
        <v>350</v>
      </c>
      <c r="Y52" s="254"/>
      <c r="Z52" s="258" t="s">
        <v>350</v>
      </c>
      <c r="AA52" s="254"/>
      <c r="AB52" s="258" t="s">
        <v>302</v>
      </c>
      <c r="AC52" s="254"/>
      <c r="AD52" s="258" t="s">
        <v>357</v>
      </c>
      <c r="AE52" s="254"/>
      <c r="AF52" s="574"/>
      <c r="AG52" s="711"/>
      <c r="AH52" s="707"/>
      <c r="AI52" s="707"/>
      <c r="AJ52" s="707"/>
      <c r="AK52" s="707"/>
      <c r="AL52" s="707"/>
      <c r="AM52" s="707"/>
      <c r="AN52" s="707"/>
      <c r="AO52" s="709"/>
    </row>
    <row r="53" spans="1:75" s="166" customFormat="1" ht="14.15" customHeight="1">
      <c r="A53" s="206"/>
      <c r="B53" s="254"/>
      <c r="C53" s="254"/>
      <c r="D53" s="254"/>
      <c r="E53" s="254"/>
      <c r="F53" s="254"/>
      <c r="G53" s="254"/>
      <c r="H53" s="254"/>
      <c r="I53" s="254"/>
      <c r="J53" s="254"/>
      <c r="K53" s="254"/>
      <c r="L53" s="254"/>
      <c r="M53" s="254"/>
      <c r="N53" s="200"/>
      <c r="O53" s="596"/>
      <c r="P53" s="200"/>
      <c r="Q53" s="596"/>
      <c r="R53" s="200"/>
      <c r="S53" s="596"/>
      <c r="T53" s="200"/>
      <c r="U53" s="596"/>
      <c r="V53" s="200"/>
      <c r="W53" s="596"/>
      <c r="X53" s="200"/>
      <c r="Y53" s="596"/>
      <c r="Z53" s="200"/>
      <c r="AA53" s="597"/>
      <c r="AB53" s="200"/>
      <c r="AC53" s="596"/>
      <c r="AD53" s="200"/>
      <c r="AE53" s="596"/>
      <c r="AF53" s="574"/>
      <c r="AG53" s="712"/>
      <c r="AH53" s="708"/>
      <c r="AI53" s="708"/>
      <c r="AJ53" s="708"/>
      <c r="AK53" s="708"/>
      <c r="AL53" s="708"/>
      <c r="AM53" s="708"/>
      <c r="AN53" s="708"/>
      <c r="AO53" s="710"/>
    </row>
    <row r="54" spans="1:75" s="166" customFormat="1" ht="14.15" customHeight="1">
      <c r="A54" s="206"/>
      <c r="B54" s="200"/>
      <c r="C54" s="200"/>
      <c r="D54" s="200"/>
      <c r="E54" s="200"/>
      <c r="F54" s="200"/>
      <c r="G54" s="200"/>
      <c r="H54" s="200"/>
      <c r="I54" s="200"/>
      <c r="J54" s="598"/>
      <c r="K54" s="585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0"/>
      <c r="AA54" s="200"/>
      <c r="AB54" s="200"/>
      <c r="AC54" s="200"/>
      <c r="AD54" s="200"/>
      <c r="AE54" s="200"/>
      <c r="AF54" s="574"/>
      <c r="AG54" s="716">
        <v>10</v>
      </c>
      <c r="AH54" s="717">
        <v>10</v>
      </c>
      <c r="AI54" s="717">
        <f>AG54-AH54</f>
        <v>0</v>
      </c>
      <c r="AJ54" s="717">
        <f>AG54</f>
        <v>10</v>
      </c>
      <c r="AK54" s="717">
        <v>10</v>
      </c>
      <c r="AL54" s="717">
        <f>AJ54-AK54</f>
        <v>0</v>
      </c>
      <c r="AM54" s="717">
        <v>1.2729999999999999</v>
      </c>
      <c r="AN54" s="717">
        <v>1.2729999999999999</v>
      </c>
      <c r="AO54" s="718"/>
    </row>
    <row r="55" spans="1:75" s="166" customFormat="1" ht="14.15" customHeight="1">
      <c r="A55" s="206"/>
      <c r="B55" s="200"/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585"/>
      <c r="AF55" s="574"/>
      <c r="AG55" s="711"/>
      <c r="AH55" s="707"/>
      <c r="AI55" s="707"/>
      <c r="AJ55" s="707"/>
      <c r="AK55" s="707"/>
      <c r="AL55" s="707"/>
      <c r="AM55" s="707"/>
      <c r="AN55" s="707"/>
      <c r="AO55" s="709"/>
    </row>
    <row r="56" spans="1:75" s="166" customFormat="1" ht="14.15" customHeight="1">
      <c r="A56" s="206"/>
      <c r="B56" s="200">
        <v>46</v>
      </c>
      <c r="C56" s="200"/>
      <c r="D56" s="200">
        <v>47</v>
      </c>
      <c r="E56" s="200"/>
      <c r="F56" s="200">
        <v>48</v>
      </c>
      <c r="G56" s="200"/>
      <c r="H56" s="200">
        <v>49</v>
      </c>
      <c r="I56" s="200"/>
      <c r="J56" s="200">
        <v>50</v>
      </c>
      <c r="K56" s="200"/>
      <c r="L56" s="200">
        <v>51</v>
      </c>
      <c r="M56" s="200"/>
      <c r="N56" s="200">
        <v>52</v>
      </c>
      <c r="O56" s="200"/>
      <c r="P56" s="200">
        <v>53</v>
      </c>
      <c r="Q56" s="200"/>
      <c r="R56" s="200">
        <v>54</v>
      </c>
      <c r="S56" s="200"/>
      <c r="T56" s="200">
        <v>55</v>
      </c>
      <c r="U56" s="200"/>
      <c r="V56" s="200">
        <v>56</v>
      </c>
      <c r="W56" s="200"/>
      <c r="X56" s="200">
        <v>57</v>
      </c>
      <c r="Y56" s="200"/>
      <c r="Z56" s="200">
        <v>58</v>
      </c>
      <c r="AA56" s="200"/>
      <c r="AB56" s="200">
        <v>59</v>
      </c>
      <c r="AC56" s="200"/>
      <c r="AD56" s="200">
        <v>60</v>
      </c>
      <c r="AE56" s="200"/>
      <c r="AF56" s="574"/>
      <c r="AG56" s="711"/>
      <c r="AH56" s="707"/>
      <c r="AI56" s="707"/>
      <c r="AJ56" s="707"/>
      <c r="AK56" s="707"/>
      <c r="AL56" s="707"/>
      <c r="AM56" s="707"/>
      <c r="AN56" s="707"/>
      <c r="AO56" s="709"/>
    </row>
    <row r="57" spans="1:75" s="193" customFormat="1" ht="14.15" customHeight="1">
      <c r="A57" s="587"/>
      <c r="B57" s="529" t="s">
        <v>390</v>
      </c>
      <c r="C57" s="588"/>
      <c r="D57" s="529" t="s">
        <v>168</v>
      </c>
      <c r="E57" s="258"/>
      <c r="F57" s="529" t="s">
        <v>176</v>
      </c>
      <c r="G57" s="258"/>
      <c r="H57" s="529" t="s">
        <v>177</v>
      </c>
      <c r="I57" s="258"/>
      <c r="J57" s="529" t="s">
        <v>418</v>
      </c>
      <c r="K57" s="258"/>
      <c r="L57" s="529" t="s">
        <v>400</v>
      </c>
      <c r="M57" s="258"/>
      <c r="N57" s="529" t="s">
        <v>376</v>
      </c>
      <c r="O57" s="258"/>
      <c r="P57" s="529" t="s">
        <v>377</v>
      </c>
      <c r="Q57" s="258"/>
      <c r="R57" s="529" t="s">
        <v>374</v>
      </c>
      <c r="S57" s="258"/>
      <c r="T57" s="529" t="s">
        <v>388</v>
      </c>
      <c r="U57" s="258"/>
      <c r="V57" s="529" t="s">
        <v>392</v>
      </c>
      <c r="W57" s="258"/>
      <c r="X57" s="529" t="s">
        <v>549</v>
      </c>
      <c r="Y57" s="258"/>
      <c r="Z57" s="529" t="s">
        <v>404</v>
      </c>
      <c r="AA57" s="258"/>
      <c r="AB57" s="529" t="s">
        <v>407</v>
      </c>
      <c r="AC57" s="258"/>
      <c r="AD57" s="529" t="s">
        <v>178</v>
      </c>
      <c r="AE57" s="258"/>
      <c r="AF57" s="589"/>
      <c r="AG57" s="711"/>
      <c r="AH57" s="707"/>
      <c r="AI57" s="707"/>
      <c r="AJ57" s="707"/>
      <c r="AK57" s="707"/>
      <c r="AL57" s="707"/>
      <c r="AM57" s="707"/>
      <c r="AN57" s="707"/>
      <c r="AO57" s="709"/>
    </row>
    <row r="58" spans="1:75" s="166" customFormat="1" ht="13.5" customHeight="1">
      <c r="A58" s="206"/>
      <c r="B58" s="200"/>
      <c r="C58" s="200"/>
      <c r="D58" s="200"/>
      <c r="E58" s="200"/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  <c r="AA58" s="200"/>
      <c r="AB58" s="200"/>
      <c r="AC58" s="200"/>
      <c r="AD58" s="200"/>
      <c r="AE58" s="200"/>
      <c r="AF58" s="574"/>
      <c r="AG58" s="711"/>
      <c r="AH58" s="707"/>
      <c r="AI58" s="707"/>
      <c r="AJ58" s="707"/>
      <c r="AK58" s="707"/>
      <c r="AL58" s="707"/>
      <c r="AM58" s="707"/>
      <c r="AN58" s="707"/>
      <c r="AO58" s="709"/>
    </row>
    <row r="59" spans="1:75" s="166" customFormat="1" ht="13.5" customHeight="1">
      <c r="A59" s="206"/>
      <c r="B59" s="254"/>
      <c r="C59" s="254"/>
      <c r="D59" s="254"/>
      <c r="E59" s="200"/>
      <c r="F59" s="254"/>
      <c r="G59" s="254"/>
      <c r="H59" s="254"/>
      <c r="I59" s="200"/>
      <c r="J59" s="254"/>
      <c r="K59" s="254"/>
      <c r="L59" s="254"/>
      <c r="M59" s="254"/>
      <c r="N59" s="254"/>
      <c r="O59" s="254"/>
      <c r="P59" s="254"/>
      <c r="Q59" s="254"/>
      <c r="R59" s="254"/>
      <c r="S59" s="254"/>
      <c r="T59" s="254"/>
      <c r="U59" s="254"/>
      <c r="V59" s="254"/>
      <c r="W59" s="254"/>
      <c r="X59" s="254"/>
      <c r="Y59" s="200"/>
      <c r="Z59" s="254"/>
      <c r="AA59" s="254"/>
      <c r="AB59" s="254"/>
      <c r="AC59" s="200"/>
      <c r="AD59" s="254"/>
      <c r="AE59" s="254"/>
      <c r="AF59" s="574"/>
      <c r="AG59" s="711"/>
      <c r="AH59" s="707"/>
      <c r="AI59" s="707"/>
      <c r="AJ59" s="707"/>
      <c r="AK59" s="707"/>
      <c r="AL59" s="707"/>
      <c r="AM59" s="707"/>
      <c r="AN59" s="707"/>
      <c r="AO59" s="709"/>
    </row>
    <row r="60" spans="1:75" s="166" customFormat="1" ht="13.5" customHeight="1" thickBot="1">
      <c r="A60" s="206"/>
      <c r="B60" s="254"/>
      <c r="C60" s="254"/>
      <c r="D60" s="254"/>
      <c r="E60" s="200"/>
      <c r="F60" s="254"/>
      <c r="G60" s="254"/>
      <c r="H60" s="254"/>
      <c r="I60" s="200"/>
      <c r="J60" s="254"/>
      <c r="K60" s="254"/>
      <c r="L60" s="254"/>
      <c r="M60" s="254"/>
      <c r="N60" s="254"/>
      <c r="O60" s="254"/>
      <c r="P60" s="254"/>
      <c r="Q60" s="254"/>
      <c r="R60" s="254"/>
      <c r="S60" s="254"/>
      <c r="T60" s="254"/>
      <c r="U60" s="254"/>
      <c r="V60" s="254"/>
      <c r="W60" s="254"/>
      <c r="X60" s="254"/>
      <c r="Y60" s="200"/>
      <c r="Z60" s="254"/>
      <c r="AA60" s="254"/>
      <c r="AB60" s="254"/>
      <c r="AC60" s="200"/>
      <c r="AD60" s="254"/>
      <c r="AE60" s="254"/>
      <c r="AF60" s="574"/>
      <c r="AG60" s="711"/>
      <c r="AH60" s="707"/>
      <c r="AI60" s="707"/>
      <c r="AJ60" s="707"/>
      <c r="AK60" s="707"/>
      <c r="AL60" s="707"/>
      <c r="AM60" s="707"/>
      <c r="AN60" s="707"/>
      <c r="AO60" s="709"/>
    </row>
    <row r="61" spans="1:75" s="166" customFormat="1" ht="13.5" customHeight="1">
      <c r="A61" s="206"/>
      <c r="B61" s="184"/>
      <c r="C61" s="591"/>
      <c r="D61" s="184"/>
      <c r="E61" s="591"/>
      <c r="F61" s="184"/>
      <c r="G61" s="591"/>
      <c r="H61" s="184"/>
      <c r="I61" s="591"/>
      <c r="J61" s="184"/>
      <c r="K61" s="591"/>
      <c r="L61" s="184"/>
      <c r="M61" s="591"/>
      <c r="N61" s="184"/>
      <c r="O61" s="591"/>
      <c r="P61" s="184"/>
      <c r="Q61" s="591"/>
      <c r="R61" s="184"/>
      <c r="S61" s="591"/>
      <c r="T61" s="184"/>
      <c r="U61" s="591"/>
      <c r="V61" s="701"/>
      <c r="W61" s="591"/>
      <c r="X61" s="704" t="s">
        <v>550</v>
      </c>
      <c r="Y61" s="591"/>
      <c r="Z61" s="701"/>
      <c r="AA61" s="591"/>
      <c r="AB61" s="701"/>
      <c r="AC61" s="591"/>
      <c r="AD61" s="701"/>
      <c r="AE61" s="591"/>
      <c r="AF61" s="574"/>
      <c r="AG61" s="711"/>
      <c r="AH61" s="707"/>
      <c r="AI61" s="707"/>
      <c r="AJ61" s="707"/>
      <c r="AK61" s="707"/>
      <c r="AL61" s="707"/>
      <c r="AM61" s="707"/>
      <c r="AN61" s="707"/>
      <c r="AO61" s="709"/>
      <c r="BV61" s="500">
        <f>14</f>
        <v>14</v>
      </c>
      <c r="BW61" s="500">
        <v>14</v>
      </c>
    </row>
    <row r="62" spans="1:75" s="166" customFormat="1" ht="13.5" customHeight="1">
      <c r="A62" s="206"/>
      <c r="B62" s="191"/>
      <c r="C62" s="592">
        <v>386.81599999999997</v>
      </c>
      <c r="D62" s="187"/>
      <c r="E62" s="592">
        <v>324.00400000000002</v>
      </c>
      <c r="F62" s="187"/>
      <c r="G62" s="592">
        <v>416</v>
      </c>
      <c r="H62" s="191"/>
      <c r="I62" s="592">
        <v>404.53</v>
      </c>
      <c r="J62" s="191"/>
      <c r="K62" s="592">
        <v>374.07600000000002</v>
      </c>
      <c r="L62" s="191"/>
      <c r="M62" s="592">
        <v>423.00299999999999</v>
      </c>
      <c r="N62" s="187"/>
      <c r="O62" s="592">
        <v>420</v>
      </c>
      <c r="P62" s="187"/>
      <c r="Q62" s="592">
        <v>375.06400000000002</v>
      </c>
      <c r="R62" s="187"/>
      <c r="S62" s="592">
        <v>417.21499999999997</v>
      </c>
      <c r="T62" s="187"/>
      <c r="U62" s="592">
        <v>498.00099999999998</v>
      </c>
      <c r="V62" s="702"/>
      <c r="W62" s="592">
        <v>448</v>
      </c>
      <c r="X62" s="705"/>
      <c r="Y62" s="592">
        <v>394</v>
      </c>
      <c r="Z62" s="702"/>
      <c r="AA62" s="592">
        <v>383</v>
      </c>
      <c r="AB62" s="702"/>
      <c r="AC62" s="592">
        <v>379</v>
      </c>
      <c r="AD62" s="702"/>
      <c r="AE62" s="592">
        <v>380.83699999999999</v>
      </c>
      <c r="AF62" s="574"/>
      <c r="AG62" s="711"/>
      <c r="AH62" s="707"/>
      <c r="AI62" s="707"/>
      <c r="AJ62" s="707"/>
      <c r="AK62" s="707"/>
      <c r="AL62" s="707"/>
      <c r="AM62" s="707"/>
      <c r="AN62" s="707"/>
      <c r="AO62" s="709"/>
    </row>
    <row r="63" spans="1:75" s="166" customFormat="1" ht="13.5" customHeight="1" thickBot="1">
      <c r="A63" s="206"/>
      <c r="B63" s="189"/>
      <c r="D63" s="189"/>
      <c r="F63" s="189"/>
      <c r="H63" s="189"/>
      <c r="J63" s="189"/>
      <c r="L63" s="189"/>
      <c r="N63" s="189"/>
      <c r="P63" s="189"/>
      <c r="R63" s="189"/>
      <c r="T63" s="189"/>
      <c r="V63" s="703"/>
      <c r="X63" s="706"/>
      <c r="Z63" s="703"/>
      <c r="AB63" s="703"/>
      <c r="AD63" s="703"/>
      <c r="AF63" s="574"/>
      <c r="AG63" s="711"/>
      <c r="AH63" s="707"/>
      <c r="AI63" s="707"/>
      <c r="AJ63" s="707"/>
      <c r="AK63" s="707"/>
      <c r="AL63" s="707"/>
      <c r="AM63" s="707"/>
      <c r="AN63" s="707"/>
      <c r="AO63" s="709"/>
    </row>
    <row r="64" spans="1:75" s="166" customFormat="1" ht="14.15" customHeight="1">
      <c r="A64" s="206"/>
      <c r="B64" s="258" t="s">
        <v>350</v>
      </c>
      <c r="C64" s="254"/>
      <c r="D64" s="258" t="s">
        <v>300</v>
      </c>
      <c r="E64" s="254"/>
      <c r="F64" s="258" t="s">
        <v>350</v>
      </c>
      <c r="G64" s="254"/>
      <c r="H64" s="258" t="s">
        <v>399</v>
      </c>
      <c r="I64" s="254"/>
      <c r="J64" s="258" t="s">
        <v>300</v>
      </c>
      <c r="K64" s="254"/>
      <c r="L64" s="258" t="s">
        <v>373</v>
      </c>
      <c r="M64" s="254"/>
      <c r="N64" s="258" t="s">
        <v>357</v>
      </c>
      <c r="O64" s="254"/>
      <c r="P64" s="254" t="s">
        <v>350</v>
      </c>
      <c r="Q64" s="254"/>
      <c r="R64" s="258" t="s">
        <v>335</v>
      </c>
      <c r="S64" s="254"/>
      <c r="T64" s="258" t="s">
        <v>389</v>
      </c>
      <c r="U64" s="254"/>
      <c r="V64" s="258" t="s">
        <v>393</v>
      </c>
      <c r="W64" s="254"/>
      <c r="X64" s="258" t="s">
        <v>357</v>
      </c>
      <c r="Y64" s="254"/>
      <c r="Z64" s="254" t="s">
        <v>350</v>
      </c>
      <c r="AA64" s="254"/>
      <c r="AB64" s="254" t="s">
        <v>350</v>
      </c>
      <c r="AC64" s="254"/>
      <c r="AD64" s="254" t="s">
        <v>350</v>
      </c>
      <c r="AE64" s="254"/>
      <c r="AF64" s="574"/>
      <c r="AG64" s="711"/>
      <c r="AH64" s="707"/>
      <c r="AI64" s="707"/>
      <c r="AJ64" s="707"/>
      <c r="AK64" s="707"/>
      <c r="AL64" s="707"/>
      <c r="AM64" s="707"/>
      <c r="AN64" s="707"/>
      <c r="AO64" s="709"/>
    </row>
    <row r="65" spans="1:75" s="166" customFormat="1" ht="14.15" customHeight="1">
      <c r="A65" s="206"/>
      <c r="B65" s="200"/>
      <c r="C65" s="200"/>
      <c r="D65" s="200"/>
      <c r="E65" s="596"/>
      <c r="F65" s="200"/>
      <c r="G65" s="596"/>
      <c r="H65" s="200"/>
      <c r="I65" s="200"/>
      <c r="J65" s="200"/>
      <c r="K65" s="596"/>
      <c r="L65" s="200"/>
      <c r="M65" s="596"/>
      <c r="N65" s="200"/>
      <c r="O65" s="596"/>
      <c r="P65" s="200"/>
      <c r="Q65" s="200"/>
      <c r="R65" s="200"/>
      <c r="S65" s="200"/>
      <c r="T65" s="200"/>
      <c r="U65" s="596"/>
      <c r="V65" s="200"/>
      <c r="W65" s="585"/>
      <c r="X65" s="200"/>
      <c r="Y65" s="200"/>
      <c r="Z65" s="200"/>
      <c r="AA65" s="200"/>
      <c r="AB65" s="200"/>
      <c r="AC65" s="599"/>
      <c r="AD65" s="200"/>
      <c r="AE65" s="599"/>
      <c r="AF65" s="574"/>
      <c r="AG65" s="712"/>
      <c r="AH65" s="708"/>
      <c r="AI65" s="708"/>
      <c r="AJ65" s="708"/>
      <c r="AK65" s="708"/>
      <c r="AL65" s="708"/>
      <c r="AM65" s="708"/>
      <c r="AN65" s="708"/>
      <c r="AO65" s="710"/>
    </row>
    <row r="66" spans="1:75" s="166" customFormat="1" ht="13.5" customHeight="1">
      <c r="A66" s="206"/>
      <c r="B66" s="200"/>
      <c r="C66" s="200"/>
      <c r="D66" s="200"/>
      <c r="E66" s="200"/>
      <c r="F66" s="200"/>
      <c r="G66" s="200"/>
      <c r="H66" s="200"/>
      <c r="I66" s="597"/>
      <c r="J66" s="200"/>
      <c r="K66" s="200"/>
      <c r="L66" s="200"/>
      <c r="M66" s="200"/>
      <c r="N66" s="200"/>
      <c r="O66" s="200"/>
      <c r="P66" s="200"/>
      <c r="Q66" s="200"/>
      <c r="R66" s="200"/>
      <c r="S66" s="584" t="s">
        <v>1107</v>
      </c>
      <c r="T66" s="200"/>
      <c r="U66" s="200"/>
      <c r="V66" s="200"/>
      <c r="W66" s="584" t="s">
        <v>1108</v>
      </c>
      <c r="X66" s="200"/>
      <c r="Y66" s="200"/>
      <c r="Z66" s="200"/>
      <c r="AA66" s="584" t="s">
        <v>1107</v>
      </c>
      <c r="AB66" s="200"/>
      <c r="AC66" s="200"/>
      <c r="AD66" s="200"/>
      <c r="AE66" s="200"/>
      <c r="AF66" s="574"/>
      <c r="AG66" s="716">
        <v>10</v>
      </c>
      <c r="AH66" s="717">
        <v>9</v>
      </c>
      <c r="AI66" s="717">
        <f>AG66-AH66</f>
        <v>1</v>
      </c>
      <c r="AJ66" s="717">
        <f>COUNTA($D$57:$V$57)</f>
        <v>10</v>
      </c>
      <c r="AK66" s="717">
        <v>7</v>
      </c>
      <c r="AL66" s="717">
        <f>AJ66-AK66</f>
        <v>3</v>
      </c>
      <c r="AM66" s="717">
        <v>0.91500000000000004</v>
      </c>
      <c r="AN66" s="717">
        <f>0.672+0.243</f>
        <v>0.91500000000000004</v>
      </c>
      <c r="AO66" s="718"/>
    </row>
    <row r="67" spans="1:75" s="166" customFormat="1" ht="14.15" customHeight="1">
      <c r="A67" s="206"/>
      <c r="B67" s="200"/>
      <c r="C67" s="200"/>
      <c r="D67" s="200"/>
      <c r="E67" s="200"/>
      <c r="F67" s="200"/>
      <c r="G67" s="200"/>
      <c r="H67" s="200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00"/>
      <c r="V67" s="200"/>
      <c r="W67" s="200"/>
      <c r="X67" s="200"/>
      <c r="Y67" s="200"/>
      <c r="Z67" s="200"/>
      <c r="AB67" s="200"/>
      <c r="AC67" s="200"/>
      <c r="AD67" s="200"/>
      <c r="AE67" s="200"/>
      <c r="AF67" s="574"/>
      <c r="AG67" s="712"/>
      <c r="AH67" s="708"/>
      <c r="AI67" s="708"/>
      <c r="AJ67" s="708"/>
      <c r="AK67" s="708"/>
      <c r="AL67" s="708"/>
      <c r="AM67" s="708"/>
      <c r="AN67" s="708"/>
      <c r="AO67" s="710"/>
    </row>
    <row r="68" spans="1:75" s="166" customFormat="1" ht="13.5" customHeight="1">
      <c r="A68" s="206"/>
      <c r="B68" s="200"/>
      <c r="C68" s="200"/>
      <c r="D68" s="200"/>
      <c r="E68" s="200"/>
      <c r="F68" s="200"/>
      <c r="G68" s="200"/>
      <c r="H68" s="200"/>
      <c r="I68" s="200"/>
      <c r="J68" s="200"/>
      <c r="K68" s="597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  <c r="AA68" s="200"/>
      <c r="AB68" s="200"/>
      <c r="AC68" s="200"/>
      <c r="AD68" s="200"/>
      <c r="AE68" s="200"/>
      <c r="AF68" s="574"/>
      <c r="AG68" s="716">
        <v>10</v>
      </c>
      <c r="AH68" s="717">
        <v>10</v>
      </c>
      <c r="AI68" s="717">
        <f>AG68-AH68</f>
        <v>0</v>
      </c>
      <c r="AJ68" s="717">
        <f>COUNTA($B$70:$L$70)</f>
        <v>6</v>
      </c>
      <c r="AK68" s="717">
        <v>9</v>
      </c>
      <c r="AL68" s="717">
        <f>AJ68-AK68</f>
        <v>-3</v>
      </c>
      <c r="AM68" s="717"/>
      <c r="AN68" s="717"/>
      <c r="AO68" s="718"/>
    </row>
    <row r="69" spans="1:75" s="166" customFormat="1" ht="13.5" customHeight="1">
      <c r="A69" s="206"/>
      <c r="B69" s="200">
        <v>61</v>
      </c>
      <c r="C69" s="200"/>
      <c r="D69" s="200">
        <v>62</v>
      </c>
      <c r="E69" s="200"/>
      <c r="F69" s="200">
        <v>63</v>
      </c>
      <c r="G69" s="200"/>
      <c r="H69" s="200">
        <v>64</v>
      </c>
      <c r="I69" s="200"/>
      <c r="J69" s="200">
        <v>65</v>
      </c>
      <c r="K69" s="200"/>
      <c r="L69" s="200">
        <v>66</v>
      </c>
      <c r="M69" s="200"/>
      <c r="N69" s="200">
        <v>67</v>
      </c>
      <c r="O69" s="200"/>
      <c r="P69" s="200">
        <v>68</v>
      </c>
      <c r="Q69" s="200"/>
      <c r="R69" s="200">
        <v>69</v>
      </c>
      <c r="S69" s="200"/>
      <c r="T69" s="200">
        <v>70</v>
      </c>
      <c r="U69" s="200"/>
      <c r="V69" s="200">
        <v>71</v>
      </c>
      <c r="W69" s="200"/>
      <c r="X69" s="200">
        <v>72</v>
      </c>
      <c r="Y69" s="200"/>
      <c r="Z69" s="200">
        <v>73</v>
      </c>
      <c r="AA69" s="200"/>
      <c r="AB69" s="200">
        <v>74</v>
      </c>
      <c r="AC69" s="200"/>
      <c r="AD69" s="200">
        <v>75</v>
      </c>
      <c r="AE69" s="200"/>
      <c r="AF69" s="574"/>
      <c r="AG69" s="711"/>
      <c r="AH69" s="707"/>
      <c r="AI69" s="707"/>
      <c r="AJ69" s="707"/>
      <c r="AK69" s="707"/>
      <c r="AL69" s="707"/>
      <c r="AM69" s="707"/>
      <c r="AN69" s="707"/>
      <c r="AO69" s="709"/>
    </row>
    <row r="70" spans="1:75" s="193" customFormat="1" ht="13.5" customHeight="1">
      <c r="A70" s="587"/>
      <c r="B70" s="529" t="s">
        <v>419</v>
      </c>
      <c r="C70" s="258"/>
      <c r="D70" s="529" t="s">
        <v>405</v>
      </c>
      <c r="E70" s="258"/>
      <c r="F70" s="529" t="s">
        <v>430</v>
      </c>
      <c r="G70" s="258"/>
      <c r="H70" s="529" t="s">
        <v>406</v>
      </c>
      <c r="I70" s="258"/>
      <c r="J70" s="529" t="s">
        <v>411</v>
      </c>
      <c r="K70" s="258"/>
      <c r="L70" s="529" t="s">
        <v>422</v>
      </c>
      <c r="M70" s="258"/>
      <c r="N70" s="529" t="s">
        <v>551</v>
      </c>
      <c r="O70" s="258"/>
      <c r="P70" s="529" t="s">
        <v>417</v>
      </c>
      <c r="Q70" s="258"/>
      <c r="R70" s="529" t="s">
        <v>410</v>
      </c>
      <c r="S70" s="258"/>
      <c r="T70" s="529" t="s">
        <v>425</v>
      </c>
      <c r="U70" s="258"/>
      <c r="V70" s="529" t="s">
        <v>423</v>
      </c>
      <c r="W70" s="258"/>
      <c r="X70" s="529" t="s">
        <v>385</v>
      </c>
      <c r="Y70" s="258"/>
      <c r="Z70" s="529" t="s">
        <v>180</v>
      </c>
      <c r="AA70" s="258"/>
      <c r="AB70" s="529" t="s">
        <v>371</v>
      </c>
      <c r="AC70" s="258"/>
      <c r="AD70" s="529" t="s">
        <v>383</v>
      </c>
      <c r="AE70" s="258"/>
      <c r="AF70" s="589"/>
      <c r="AG70" s="711"/>
      <c r="AH70" s="707"/>
      <c r="AI70" s="707"/>
      <c r="AJ70" s="707"/>
      <c r="AK70" s="707"/>
      <c r="AL70" s="707"/>
      <c r="AM70" s="707"/>
      <c r="AN70" s="707"/>
      <c r="AO70" s="709"/>
    </row>
    <row r="71" spans="1:75" s="166" customFormat="1" ht="13.5" customHeight="1">
      <c r="A71" s="206"/>
      <c r="B71" s="200"/>
      <c r="C71" s="200"/>
      <c r="D71" s="200"/>
      <c r="E71" s="200"/>
      <c r="F71" s="200"/>
      <c r="G71" s="200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200"/>
      <c r="X71" s="200"/>
      <c r="Y71" s="200"/>
      <c r="Z71" s="200"/>
      <c r="AA71" s="200"/>
      <c r="AB71" s="200"/>
      <c r="AC71" s="200"/>
      <c r="AD71" s="200"/>
      <c r="AE71" s="200"/>
      <c r="AF71" s="574"/>
      <c r="AG71" s="711"/>
      <c r="AH71" s="707"/>
      <c r="AI71" s="707"/>
      <c r="AJ71" s="707"/>
      <c r="AK71" s="707"/>
      <c r="AL71" s="707"/>
      <c r="AM71" s="707"/>
      <c r="AN71" s="707"/>
      <c r="AO71" s="709"/>
    </row>
    <row r="72" spans="1:75" s="166" customFormat="1" ht="13.5" customHeight="1">
      <c r="A72" s="206"/>
      <c r="B72" s="254"/>
      <c r="C72" s="254"/>
      <c r="D72" s="254"/>
      <c r="E72" s="254"/>
      <c r="F72" s="254"/>
      <c r="G72" s="254"/>
      <c r="H72" s="254"/>
      <c r="I72" s="254"/>
      <c r="J72" s="254"/>
      <c r="K72" s="254"/>
      <c r="L72" s="254"/>
      <c r="M72" s="254"/>
      <c r="N72" s="254"/>
      <c r="O72" s="200"/>
      <c r="P72" s="254"/>
      <c r="Q72" s="254"/>
      <c r="R72" s="254"/>
      <c r="S72" s="200"/>
      <c r="T72" s="254"/>
      <c r="U72" s="254"/>
      <c r="V72" s="254"/>
      <c r="W72" s="254"/>
      <c r="X72" s="254"/>
      <c r="Y72" s="254"/>
      <c r="Z72" s="254"/>
      <c r="AA72" s="254"/>
      <c r="AB72" s="254"/>
      <c r="AC72" s="254"/>
      <c r="AD72" s="254"/>
      <c r="AE72" s="254"/>
      <c r="AF72" s="574"/>
      <c r="AG72" s="711"/>
      <c r="AH72" s="707"/>
      <c r="AI72" s="707"/>
      <c r="AJ72" s="707"/>
      <c r="AK72" s="707"/>
      <c r="AL72" s="707"/>
      <c r="AM72" s="707"/>
      <c r="AN72" s="707"/>
      <c r="AO72" s="709"/>
    </row>
    <row r="73" spans="1:75" s="166" customFormat="1" ht="13.5" customHeight="1" thickBot="1">
      <c r="A73" s="206"/>
      <c r="B73" s="254"/>
      <c r="C73" s="254"/>
      <c r="D73" s="254"/>
      <c r="E73" s="254"/>
      <c r="F73" s="254"/>
      <c r="G73" s="254"/>
      <c r="H73" s="254"/>
      <c r="I73" s="254"/>
      <c r="J73" s="254"/>
      <c r="K73" s="254"/>
      <c r="L73" s="254"/>
      <c r="M73" s="254"/>
      <c r="N73" s="254"/>
      <c r="O73" s="200"/>
      <c r="P73" s="254"/>
      <c r="Q73" s="254"/>
      <c r="R73" s="254"/>
      <c r="S73" s="200"/>
      <c r="T73" s="254"/>
      <c r="U73" s="254"/>
      <c r="V73" s="254"/>
      <c r="W73" s="254"/>
      <c r="X73" s="254"/>
      <c r="Y73" s="254"/>
      <c r="Z73" s="254"/>
      <c r="AA73" s="254"/>
      <c r="AB73" s="254"/>
      <c r="AC73" s="254"/>
      <c r="AD73" s="254"/>
      <c r="AE73" s="254"/>
      <c r="AF73" s="574"/>
      <c r="AG73" s="711"/>
      <c r="AH73" s="707"/>
      <c r="AI73" s="707"/>
      <c r="AJ73" s="707"/>
      <c r="AK73" s="707"/>
      <c r="AL73" s="707"/>
      <c r="AM73" s="707"/>
      <c r="AN73" s="707"/>
      <c r="AO73" s="709"/>
      <c r="BV73" s="500">
        <v>14</v>
      </c>
      <c r="BW73" s="500">
        <v>14</v>
      </c>
    </row>
    <row r="74" spans="1:75" s="166" customFormat="1" ht="13.5" customHeight="1">
      <c r="A74" s="594"/>
      <c r="B74" s="184"/>
      <c r="C74" s="591"/>
      <c r="D74" s="184"/>
      <c r="E74" s="591"/>
      <c r="F74" s="184"/>
      <c r="G74" s="591"/>
      <c r="H74" s="184"/>
      <c r="I74" s="591"/>
      <c r="J74" s="184"/>
      <c r="K74" s="591"/>
      <c r="L74" s="184"/>
      <c r="M74" s="591"/>
      <c r="N74" s="194"/>
      <c r="O74" s="591"/>
      <c r="P74" s="184"/>
      <c r="Q74" s="591"/>
      <c r="R74" s="701"/>
      <c r="S74" s="591"/>
      <c r="T74" s="701"/>
      <c r="U74" s="591"/>
      <c r="V74" s="701"/>
      <c r="W74" s="591"/>
      <c r="X74" s="184"/>
      <c r="Y74" s="591"/>
      <c r="Z74" s="184"/>
      <c r="AA74" s="591"/>
      <c r="AB74" s="184"/>
      <c r="AC74" s="591"/>
      <c r="AD74" s="184"/>
      <c r="AE74" s="591"/>
      <c r="AF74" s="574"/>
      <c r="AG74" s="711"/>
      <c r="AH74" s="707"/>
      <c r="AI74" s="707"/>
      <c r="AJ74" s="707"/>
      <c r="AK74" s="707"/>
      <c r="AL74" s="707"/>
      <c r="AM74" s="707"/>
      <c r="AN74" s="707"/>
      <c r="AO74" s="709"/>
    </row>
    <row r="75" spans="1:75" s="166" customFormat="1" ht="13.5" customHeight="1">
      <c r="A75" s="594"/>
      <c r="B75" s="187"/>
      <c r="C75" s="592">
        <v>366.00299999999999</v>
      </c>
      <c r="D75" s="187"/>
      <c r="E75" s="592">
        <v>376</v>
      </c>
      <c r="F75" s="187"/>
      <c r="G75" s="592">
        <v>368</v>
      </c>
      <c r="H75" s="191"/>
      <c r="I75" s="592">
        <v>373.96499999999997</v>
      </c>
      <c r="J75" s="191"/>
      <c r="K75" s="592">
        <v>373.005</v>
      </c>
      <c r="L75" s="191"/>
      <c r="M75" s="592">
        <v>362.45</v>
      </c>
      <c r="N75" s="195"/>
      <c r="O75" s="592">
        <v>323</v>
      </c>
      <c r="P75" s="191"/>
      <c r="Q75" s="592">
        <v>299</v>
      </c>
      <c r="R75" s="702"/>
      <c r="S75" s="592">
        <v>350.38099999999997</v>
      </c>
      <c r="T75" s="702"/>
      <c r="U75" s="592">
        <v>333.99700000000001</v>
      </c>
      <c r="V75" s="702"/>
      <c r="W75" s="592">
        <v>394</v>
      </c>
      <c r="X75" s="191"/>
      <c r="Y75" s="592">
        <v>363</v>
      </c>
      <c r="Z75" s="187"/>
      <c r="AA75" s="592">
        <v>413</v>
      </c>
      <c r="AB75" s="187"/>
      <c r="AC75" s="592">
        <v>376</v>
      </c>
      <c r="AD75" s="187"/>
      <c r="AE75" s="592">
        <v>388</v>
      </c>
      <c r="AF75" s="574"/>
      <c r="AG75" s="711"/>
      <c r="AH75" s="707"/>
      <c r="AI75" s="707"/>
      <c r="AJ75" s="707"/>
      <c r="AK75" s="707"/>
      <c r="AL75" s="707"/>
      <c r="AM75" s="707"/>
      <c r="AN75" s="707"/>
      <c r="AO75" s="709"/>
    </row>
    <row r="76" spans="1:75" s="166" customFormat="1" ht="13.5" customHeight="1" thickBot="1">
      <c r="A76" s="594"/>
      <c r="B76" s="189"/>
      <c r="D76" s="189"/>
      <c r="F76" s="189"/>
      <c r="H76" s="189"/>
      <c r="J76" s="189"/>
      <c r="L76" s="189"/>
      <c r="N76" s="196"/>
      <c r="P76" s="189"/>
      <c r="R76" s="703"/>
      <c r="T76" s="703"/>
      <c r="V76" s="703"/>
      <c r="X76" s="189"/>
      <c r="Z76" s="189"/>
      <c r="AB76" s="189"/>
      <c r="AD76" s="189"/>
      <c r="AF76" s="574"/>
      <c r="AG76" s="711"/>
      <c r="AH76" s="707"/>
      <c r="AI76" s="707"/>
      <c r="AJ76" s="707"/>
      <c r="AK76" s="707"/>
      <c r="AL76" s="707"/>
      <c r="AM76" s="707"/>
      <c r="AN76" s="707"/>
      <c r="AO76" s="709"/>
    </row>
    <row r="77" spans="1:75" s="166" customFormat="1" ht="14.15" customHeight="1">
      <c r="A77" s="206"/>
      <c r="B77" s="258" t="s">
        <v>302</v>
      </c>
      <c r="C77" s="254"/>
      <c r="D77" s="258" t="s">
        <v>350</v>
      </c>
      <c r="E77" s="254"/>
      <c r="F77" s="258" t="s">
        <v>350</v>
      </c>
      <c r="G77" s="254"/>
      <c r="H77" s="258" t="s">
        <v>350</v>
      </c>
      <c r="I77" s="254"/>
      <c r="J77" s="254" t="s">
        <v>300</v>
      </c>
      <c r="K77" s="254"/>
      <c r="L77" s="258" t="s">
        <v>396</v>
      </c>
      <c r="M77" s="254"/>
      <c r="N77" s="258" t="s">
        <v>298</v>
      </c>
      <c r="O77" s="254"/>
      <c r="P77" s="254" t="s">
        <v>396</v>
      </c>
      <c r="Q77" s="254"/>
      <c r="R77" s="258" t="s">
        <v>396</v>
      </c>
      <c r="S77" s="254"/>
      <c r="T77" s="258" t="s">
        <v>330</v>
      </c>
      <c r="U77" s="254"/>
      <c r="V77" s="258" t="s">
        <v>350</v>
      </c>
      <c r="W77" s="254"/>
      <c r="X77" s="254" t="s">
        <v>350</v>
      </c>
      <c r="Y77" s="254"/>
      <c r="Z77" s="258" t="s">
        <v>350</v>
      </c>
      <c r="AA77" s="254"/>
      <c r="AB77" s="254" t="s">
        <v>357</v>
      </c>
      <c r="AC77" s="254"/>
      <c r="AD77" s="254" t="s">
        <v>350</v>
      </c>
      <c r="AE77" s="254"/>
      <c r="AF77" s="574"/>
      <c r="AG77" s="711"/>
      <c r="AH77" s="707"/>
      <c r="AI77" s="707"/>
      <c r="AJ77" s="707"/>
      <c r="AK77" s="707"/>
      <c r="AL77" s="707"/>
      <c r="AM77" s="707"/>
      <c r="AN77" s="707"/>
      <c r="AO77" s="709"/>
    </row>
    <row r="78" spans="1:75" s="200" customFormat="1" ht="14.15" customHeight="1" thickBot="1">
      <c r="A78" s="206"/>
      <c r="C78" s="596"/>
      <c r="G78" s="585"/>
      <c r="I78" s="600"/>
      <c r="O78" s="601" t="s">
        <v>1109</v>
      </c>
      <c r="Q78" s="597"/>
      <c r="W78" s="254"/>
      <c r="AA78" s="254"/>
      <c r="AC78" s="254"/>
      <c r="AE78" s="254"/>
      <c r="AF78" s="574"/>
      <c r="AG78" s="713"/>
      <c r="AH78" s="714"/>
      <c r="AI78" s="714"/>
      <c r="AJ78" s="714"/>
      <c r="AK78" s="714"/>
      <c r="AL78" s="714"/>
      <c r="AM78" s="714"/>
      <c r="AN78" s="714"/>
      <c r="AO78" s="715"/>
    </row>
    <row r="79" spans="1:75" s="166" customFormat="1" ht="13.5" customHeight="1">
      <c r="A79" s="206"/>
      <c r="B79" s="200"/>
      <c r="C79" s="200"/>
      <c r="D79" s="200"/>
      <c r="E79" s="200"/>
      <c r="F79" s="200"/>
      <c r="G79" s="200"/>
      <c r="H79" s="200"/>
      <c r="I79" s="200"/>
      <c r="J79" s="200"/>
      <c r="K79" s="200"/>
      <c r="L79" s="200"/>
      <c r="M79" s="200"/>
      <c r="N79" s="200"/>
      <c r="O79" s="200"/>
      <c r="P79" s="200"/>
      <c r="Q79" s="200"/>
      <c r="R79" s="200"/>
      <c r="S79" s="200"/>
      <c r="T79" s="200"/>
      <c r="U79" s="200"/>
      <c r="V79" s="200"/>
      <c r="W79" s="200"/>
      <c r="X79" s="200"/>
      <c r="Y79" s="200"/>
      <c r="Z79" s="200"/>
      <c r="AA79" s="200"/>
      <c r="AB79" s="200"/>
      <c r="AC79" s="200"/>
      <c r="AD79" s="200"/>
      <c r="AE79" s="200"/>
      <c r="AF79" s="574"/>
      <c r="AG79" s="711"/>
      <c r="AH79" s="707"/>
      <c r="AI79" s="707"/>
      <c r="AJ79" s="707"/>
      <c r="AK79" s="707"/>
      <c r="AL79" s="707"/>
      <c r="AM79" s="707"/>
      <c r="AN79" s="707"/>
      <c r="AO79" s="709"/>
    </row>
    <row r="80" spans="1:75" s="166" customFormat="1" ht="13.5" customHeight="1">
      <c r="A80" s="206"/>
      <c r="B80" s="200">
        <v>76</v>
      </c>
      <c r="C80" s="200"/>
      <c r="D80" s="200">
        <v>77</v>
      </c>
      <c r="E80" s="200"/>
      <c r="F80" s="200">
        <v>78</v>
      </c>
      <c r="G80" s="200"/>
      <c r="H80" s="200">
        <v>79</v>
      </c>
      <c r="I80" s="200"/>
      <c r="J80" s="200">
        <v>80</v>
      </c>
      <c r="K80" s="200"/>
      <c r="L80" s="200">
        <v>81</v>
      </c>
      <c r="M80" s="200"/>
      <c r="N80" s="200">
        <v>82</v>
      </c>
      <c r="O80" s="200"/>
      <c r="P80" s="200">
        <v>83</v>
      </c>
      <c r="Q80" s="200"/>
      <c r="R80" s="200">
        <v>84</v>
      </c>
      <c r="S80" s="200"/>
      <c r="T80" s="200">
        <v>85</v>
      </c>
      <c r="U80" s="200"/>
      <c r="V80" s="200">
        <v>86</v>
      </c>
      <c r="W80" s="200"/>
      <c r="X80" s="200">
        <v>87</v>
      </c>
      <c r="Y80" s="200"/>
      <c r="Z80" s="200">
        <v>88</v>
      </c>
      <c r="AA80" s="200"/>
      <c r="AB80" s="200">
        <v>89</v>
      </c>
      <c r="AC80" s="200"/>
      <c r="AD80" s="200">
        <v>90</v>
      </c>
      <c r="AE80" s="200"/>
      <c r="AF80" s="574"/>
      <c r="AG80" s="711"/>
      <c r="AH80" s="707"/>
      <c r="AI80" s="707"/>
      <c r="AJ80" s="707"/>
      <c r="AK80" s="707"/>
      <c r="AL80" s="707"/>
      <c r="AM80" s="707"/>
      <c r="AN80" s="707"/>
      <c r="AO80" s="709"/>
    </row>
    <row r="81" spans="1:75" s="193" customFormat="1" ht="13.5" customHeight="1">
      <c r="A81" s="587"/>
      <c r="B81" s="258" t="s">
        <v>386</v>
      </c>
      <c r="C81" s="258"/>
      <c r="D81" s="258" t="s">
        <v>387</v>
      </c>
      <c r="E81" s="258"/>
      <c r="F81" s="258" t="s">
        <v>552</v>
      </c>
      <c r="G81" s="258"/>
      <c r="H81" s="258" t="s">
        <v>553</v>
      </c>
      <c r="I81" s="258"/>
      <c r="J81" s="258" t="s">
        <v>169</v>
      </c>
      <c r="K81" s="258"/>
      <c r="L81" s="258" t="s">
        <v>554</v>
      </c>
      <c r="M81" s="258"/>
      <c r="N81" s="258" t="s">
        <v>555</v>
      </c>
      <c r="O81" s="258"/>
      <c r="P81" s="258" t="s">
        <v>452</v>
      </c>
      <c r="Q81" s="258"/>
      <c r="R81" s="258" t="s">
        <v>458</v>
      </c>
      <c r="S81" s="258"/>
      <c r="T81" s="258" t="s">
        <v>454</v>
      </c>
      <c r="U81" s="258"/>
      <c r="V81" s="258" t="s">
        <v>556</v>
      </c>
      <c r="W81" s="258"/>
      <c r="X81" s="258" t="s">
        <v>557</v>
      </c>
      <c r="Y81" s="258"/>
      <c r="Z81" s="258" t="s">
        <v>558</v>
      </c>
      <c r="AA81" s="258"/>
      <c r="AB81" s="588" t="s">
        <v>559</v>
      </c>
      <c r="AC81" s="588"/>
      <c r="AD81" s="258" t="s">
        <v>445</v>
      </c>
      <c r="AE81" s="258"/>
      <c r="AF81" s="589"/>
      <c r="AG81" s="711"/>
      <c r="AH81" s="707"/>
      <c r="AI81" s="707"/>
      <c r="AJ81" s="707"/>
      <c r="AK81" s="707"/>
      <c r="AL81" s="707"/>
      <c r="AM81" s="707"/>
      <c r="AN81" s="707"/>
      <c r="AO81" s="709"/>
    </row>
    <row r="82" spans="1:75" s="166" customFormat="1" ht="13.5" customHeight="1">
      <c r="A82" s="206"/>
      <c r="B82" s="200"/>
      <c r="C82" s="200"/>
      <c r="D82" s="200"/>
      <c r="E82" s="200"/>
      <c r="F82" s="200"/>
      <c r="G82" s="200"/>
      <c r="H82" s="200"/>
      <c r="I82" s="200"/>
      <c r="J82" s="200"/>
      <c r="K82" s="200"/>
      <c r="L82" s="200"/>
      <c r="M82" s="200"/>
      <c r="N82" s="200"/>
      <c r="O82" s="200"/>
      <c r="P82" s="200"/>
      <c r="Q82" s="200"/>
      <c r="R82" s="200"/>
      <c r="S82" s="200"/>
      <c r="T82" s="200"/>
      <c r="U82" s="200"/>
      <c r="V82" s="200"/>
      <c r="W82" s="200"/>
      <c r="X82" s="200"/>
      <c r="Y82" s="200"/>
      <c r="Z82" s="200"/>
      <c r="AA82" s="200"/>
      <c r="AB82" s="200"/>
      <c r="AC82" s="200"/>
      <c r="AD82" s="200"/>
      <c r="AE82" s="200"/>
      <c r="AF82" s="574"/>
      <c r="AG82" s="711"/>
      <c r="AH82" s="707"/>
      <c r="AI82" s="707"/>
      <c r="AJ82" s="707"/>
      <c r="AK82" s="707"/>
      <c r="AL82" s="707"/>
      <c r="AM82" s="707"/>
      <c r="AN82" s="707"/>
      <c r="AO82" s="709"/>
    </row>
    <row r="83" spans="1:75" s="166" customFormat="1" ht="13.5" customHeight="1">
      <c r="A83" s="206"/>
      <c r="B83" s="254"/>
      <c r="C83" s="254"/>
      <c r="D83" s="254"/>
      <c r="E83" s="200"/>
      <c r="F83" s="254"/>
      <c r="G83" s="254"/>
      <c r="H83" s="254"/>
      <c r="I83" s="200"/>
      <c r="J83" s="254"/>
      <c r="K83" s="254"/>
      <c r="L83" s="254"/>
      <c r="M83" s="254"/>
      <c r="N83" s="254"/>
      <c r="O83" s="254"/>
      <c r="P83" s="254"/>
      <c r="Q83" s="254"/>
      <c r="R83" s="254"/>
      <c r="S83" s="254"/>
      <c r="T83" s="254"/>
      <c r="U83" s="254"/>
      <c r="V83" s="254"/>
      <c r="W83" s="254"/>
      <c r="X83" s="254"/>
      <c r="Y83" s="200"/>
      <c r="Z83" s="254"/>
      <c r="AA83" s="254"/>
      <c r="AB83" s="254"/>
      <c r="AC83" s="200"/>
      <c r="AD83" s="254"/>
      <c r="AE83" s="254"/>
      <c r="AF83" s="574"/>
      <c r="AG83" s="711"/>
      <c r="AH83" s="707"/>
      <c r="AI83" s="707"/>
      <c r="AJ83" s="707"/>
      <c r="AK83" s="707"/>
      <c r="AL83" s="707"/>
      <c r="AM83" s="707"/>
      <c r="AN83" s="707"/>
      <c r="AO83" s="709"/>
    </row>
    <row r="84" spans="1:75" s="166" customFormat="1" ht="13.5" customHeight="1" thickBot="1">
      <c r="A84" s="206"/>
      <c r="B84" s="254"/>
      <c r="C84" s="254"/>
      <c r="D84" s="254"/>
      <c r="E84" s="200"/>
      <c r="F84" s="254"/>
      <c r="G84" s="254"/>
      <c r="H84" s="254"/>
      <c r="I84" s="200"/>
      <c r="J84" s="254"/>
      <c r="K84" s="254"/>
      <c r="L84" s="254"/>
      <c r="M84" s="254"/>
      <c r="N84" s="254"/>
      <c r="O84" s="254"/>
      <c r="P84" s="254"/>
      <c r="Q84" s="254"/>
      <c r="R84" s="254"/>
      <c r="S84" s="254"/>
      <c r="T84" s="254"/>
      <c r="U84" s="254"/>
      <c r="V84" s="254"/>
      <c r="W84" s="254"/>
      <c r="X84" s="254"/>
      <c r="Y84" s="200"/>
      <c r="Z84" s="254"/>
      <c r="AA84" s="254"/>
      <c r="AB84" s="254"/>
      <c r="AC84" s="200"/>
      <c r="AD84" s="254"/>
      <c r="AE84" s="254"/>
      <c r="AF84" s="574"/>
      <c r="AG84" s="711"/>
      <c r="AH84" s="707"/>
      <c r="AI84" s="707"/>
      <c r="AJ84" s="707"/>
      <c r="AK84" s="707"/>
      <c r="AL84" s="707"/>
      <c r="AM84" s="707"/>
      <c r="AN84" s="707"/>
      <c r="AO84" s="709"/>
    </row>
    <row r="85" spans="1:75" s="166" customFormat="1" ht="14.15" customHeight="1">
      <c r="A85" s="594"/>
      <c r="B85" s="184"/>
      <c r="C85" s="591"/>
      <c r="D85" s="184"/>
      <c r="E85" s="591"/>
      <c r="F85" s="184"/>
      <c r="G85" s="591"/>
      <c r="H85" s="183"/>
      <c r="I85" s="591"/>
      <c r="J85" s="183"/>
      <c r="K85" s="591"/>
      <c r="L85" s="183"/>
      <c r="M85" s="591"/>
      <c r="N85" s="695" t="s">
        <v>67</v>
      </c>
      <c r="O85" s="591"/>
      <c r="P85" s="184"/>
      <c r="Q85" s="591"/>
      <c r="R85" s="184"/>
      <c r="S85" s="591"/>
      <c r="T85" s="184"/>
      <c r="U85" s="591"/>
      <c r="V85" s="183"/>
      <c r="W85" s="591"/>
      <c r="X85" s="255"/>
      <c r="Y85" s="591"/>
      <c r="Z85" s="183"/>
      <c r="AA85" s="591"/>
      <c r="AB85" s="184"/>
      <c r="AC85" s="591"/>
      <c r="AD85" s="184"/>
      <c r="AE85" s="591"/>
      <c r="AF85" s="574"/>
      <c r="AG85" s="711"/>
      <c r="AH85" s="707"/>
      <c r="AI85" s="707"/>
      <c r="AJ85" s="707"/>
      <c r="AK85" s="707"/>
      <c r="AL85" s="707"/>
      <c r="AM85" s="707"/>
      <c r="AN85" s="707"/>
      <c r="AO85" s="709"/>
      <c r="BV85" s="500">
        <v>9</v>
      </c>
      <c r="BW85" s="500">
        <v>2</v>
      </c>
    </row>
    <row r="86" spans="1:75" s="166" customFormat="1" ht="14.15" customHeight="1">
      <c r="A86" s="594"/>
      <c r="B86" s="187"/>
      <c r="C86" s="592">
        <v>378</v>
      </c>
      <c r="D86" s="187"/>
      <c r="E86" s="592">
        <v>342.70600000000002</v>
      </c>
      <c r="F86" s="187" t="s">
        <v>67</v>
      </c>
      <c r="G86" s="592">
        <v>259.34199999999998</v>
      </c>
      <c r="H86" s="186"/>
      <c r="I86" s="592">
        <v>268</v>
      </c>
      <c r="J86" s="186"/>
      <c r="K86" s="592">
        <v>276.41000000000003</v>
      </c>
      <c r="L86" s="186"/>
      <c r="M86" s="592">
        <v>438.12599999999998</v>
      </c>
      <c r="N86" s="696"/>
      <c r="O86" s="592">
        <v>399.67099999999999</v>
      </c>
      <c r="P86" s="187"/>
      <c r="Q86" s="592">
        <v>438.27600000000001</v>
      </c>
      <c r="R86" s="187" t="s">
        <v>67</v>
      </c>
      <c r="S86" s="592">
        <v>400</v>
      </c>
      <c r="T86" s="187"/>
      <c r="U86" s="592">
        <v>440</v>
      </c>
      <c r="V86" s="186"/>
      <c r="W86" s="592">
        <v>375</v>
      </c>
      <c r="X86" s="256"/>
      <c r="Y86" s="592">
        <v>298.19299999999998</v>
      </c>
      <c r="Z86" s="186"/>
      <c r="AA86" s="592">
        <v>348</v>
      </c>
      <c r="AB86" s="187" t="s">
        <v>67</v>
      </c>
      <c r="AC86" s="592">
        <v>422</v>
      </c>
      <c r="AD86" s="187"/>
      <c r="AE86" s="592">
        <v>242.87700000000001</v>
      </c>
      <c r="AF86" s="574"/>
      <c r="AG86" s="712"/>
      <c r="AH86" s="708"/>
      <c r="AI86" s="708"/>
      <c r="AJ86" s="708"/>
      <c r="AK86" s="708"/>
      <c r="AL86" s="708"/>
      <c r="AM86" s="708"/>
      <c r="AN86" s="708"/>
      <c r="AO86" s="710"/>
    </row>
    <row r="87" spans="1:75" s="166" customFormat="1" ht="13.5" customHeight="1" thickBot="1">
      <c r="A87" s="594"/>
      <c r="B87" s="189"/>
      <c r="D87" s="189"/>
      <c r="F87" s="189"/>
      <c r="H87" s="188"/>
      <c r="J87" s="188"/>
      <c r="L87" s="188"/>
      <c r="N87" s="697"/>
      <c r="P87" s="189"/>
      <c r="R87" s="189"/>
      <c r="T87" s="189"/>
      <c r="V87" s="188"/>
      <c r="X87" s="257"/>
      <c r="Z87" s="188"/>
      <c r="AB87" s="189"/>
      <c r="AD87" s="189"/>
      <c r="AF87" s="574"/>
      <c r="AG87" s="716">
        <v>10</v>
      </c>
      <c r="AH87" s="717">
        <v>7</v>
      </c>
      <c r="AI87" s="717">
        <f>AG87-AH87</f>
        <v>3</v>
      </c>
      <c r="AJ87" s="717">
        <f>COUNTA(#REF!)</f>
        <v>1</v>
      </c>
      <c r="AK87" s="717">
        <v>5</v>
      </c>
      <c r="AL87" s="717">
        <v>5</v>
      </c>
      <c r="AM87" s="717"/>
      <c r="AN87" s="717"/>
      <c r="AO87" s="718"/>
    </row>
    <row r="88" spans="1:75" s="166" customFormat="1" ht="16.5" customHeight="1">
      <c r="A88" s="206"/>
      <c r="B88" s="254" t="s">
        <v>350</v>
      </c>
      <c r="C88" s="254"/>
      <c r="D88" s="254" t="s">
        <v>350</v>
      </c>
      <c r="E88" s="254"/>
      <c r="F88" s="254" t="s">
        <v>373</v>
      </c>
      <c r="G88" s="254"/>
      <c r="H88" s="258" t="s">
        <v>330</v>
      </c>
      <c r="I88" s="254"/>
      <c r="J88" s="258" t="s">
        <v>560</v>
      </c>
      <c r="K88" s="254"/>
      <c r="L88" s="258" t="s">
        <v>560</v>
      </c>
      <c r="M88" s="254"/>
      <c r="N88" s="254" t="s">
        <v>357</v>
      </c>
      <c r="O88" s="254"/>
      <c r="P88" s="254" t="s">
        <v>357</v>
      </c>
      <c r="Q88" s="254"/>
      <c r="R88" s="258" t="s">
        <v>357</v>
      </c>
      <c r="S88" s="254"/>
      <c r="T88" s="254" t="s">
        <v>350</v>
      </c>
      <c r="U88" s="254"/>
      <c r="V88" s="254" t="s">
        <v>357</v>
      </c>
      <c r="W88" s="254"/>
      <c r="X88" s="254" t="s">
        <v>560</v>
      </c>
      <c r="Y88" s="254"/>
      <c r="Z88" s="254" t="s">
        <v>305</v>
      </c>
      <c r="AA88" s="254"/>
      <c r="AB88" s="258" t="s">
        <v>561</v>
      </c>
      <c r="AC88" s="254"/>
      <c r="AD88" s="258" t="s">
        <v>298</v>
      </c>
      <c r="AE88" s="254"/>
      <c r="AF88" s="574"/>
      <c r="AG88" s="711"/>
      <c r="AH88" s="707"/>
      <c r="AI88" s="707"/>
      <c r="AJ88" s="707"/>
      <c r="AK88" s="707"/>
      <c r="AL88" s="707"/>
      <c r="AM88" s="707"/>
      <c r="AN88" s="707"/>
      <c r="AO88" s="709"/>
    </row>
    <row r="89" spans="1:75" s="166" customFormat="1" ht="13.5" customHeight="1">
      <c r="A89" s="206"/>
      <c r="B89" s="200"/>
      <c r="C89" s="585"/>
      <c r="D89" s="200"/>
      <c r="E89" s="254"/>
      <c r="F89" s="200"/>
      <c r="G89" s="584" t="s">
        <v>1110</v>
      </c>
      <c r="H89" s="200"/>
      <c r="I89" s="254"/>
      <c r="J89" s="200"/>
      <c r="K89" s="602" t="s">
        <v>1112</v>
      </c>
      <c r="L89" s="200"/>
      <c r="M89" s="254"/>
      <c r="N89" s="200"/>
      <c r="O89" s="254"/>
      <c r="P89" s="200"/>
      <c r="Q89" s="254"/>
      <c r="R89" s="200"/>
      <c r="S89" s="254"/>
      <c r="T89" s="200"/>
      <c r="U89" s="200"/>
      <c r="V89" s="200"/>
      <c r="W89" s="200"/>
      <c r="X89" s="200"/>
      <c r="Y89" s="584" t="s">
        <v>1113</v>
      </c>
      <c r="Z89" s="200"/>
      <c r="AA89" s="200"/>
      <c r="AB89" s="200"/>
      <c r="AC89" s="585"/>
      <c r="AD89" s="200"/>
      <c r="AE89" s="200"/>
      <c r="AF89" s="574"/>
      <c r="AG89" s="711"/>
      <c r="AH89" s="707"/>
      <c r="AI89" s="707"/>
      <c r="AJ89" s="707"/>
      <c r="AK89" s="707"/>
      <c r="AL89" s="707"/>
      <c r="AM89" s="707"/>
      <c r="AN89" s="707"/>
      <c r="AO89" s="709"/>
    </row>
    <row r="90" spans="1:75" s="166" customFormat="1" ht="13.5" customHeight="1">
      <c r="A90" s="206"/>
      <c r="B90" s="200"/>
      <c r="C90" s="200"/>
      <c r="D90" s="200"/>
      <c r="E90" s="200"/>
      <c r="F90" s="200"/>
      <c r="G90" s="584" t="s">
        <v>1111</v>
      </c>
      <c r="H90" s="200"/>
      <c r="I90" s="200"/>
      <c r="J90" s="200"/>
      <c r="L90" s="200"/>
      <c r="M90" s="200"/>
      <c r="N90" s="200"/>
      <c r="O90" s="200"/>
      <c r="P90" s="200"/>
      <c r="Q90" s="200"/>
      <c r="R90" s="200"/>
      <c r="S90" s="200"/>
      <c r="T90" s="200"/>
      <c r="U90" s="200"/>
      <c r="V90" s="200"/>
      <c r="W90" s="200"/>
      <c r="X90" s="200"/>
      <c r="Y90" s="200"/>
      <c r="Z90" s="200"/>
      <c r="AA90" s="200"/>
      <c r="AC90" s="200"/>
      <c r="AD90" s="200"/>
      <c r="AE90" s="200"/>
      <c r="AF90" s="574"/>
      <c r="AG90" s="711"/>
      <c r="AH90" s="707"/>
      <c r="AI90" s="707"/>
      <c r="AJ90" s="707"/>
      <c r="AK90" s="707"/>
      <c r="AL90" s="707"/>
      <c r="AM90" s="707"/>
      <c r="AN90" s="707"/>
      <c r="AO90" s="709"/>
    </row>
    <row r="91" spans="1:75" s="166" customFormat="1" ht="13.5" customHeight="1">
      <c r="A91" s="206"/>
      <c r="B91" s="200">
        <v>91</v>
      </c>
      <c r="C91" s="200"/>
      <c r="D91" s="200">
        <v>92</v>
      </c>
      <c r="E91" s="200"/>
      <c r="F91" s="200">
        <v>93</v>
      </c>
      <c r="G91" s="200"/>
      <c r="H91" s="200">
        <v>94</v>
      </c>
      <c r="I91" s="200"/>
      <c r="J91" s="200">
        <v>95</v>
      </c>
      <c r="K91" s="200"/>
      <c r="L91" s="200">
        <v>96</v>
      </c>
      <c r="M91" s="200"/>
      <c r="N91" s="200">
        <v>97</v>
      </c>
      <c r="O91" s="200"/>
      <c r="P91" s="200">
        <v>98</v>
      </c>
      <c r="Q91" s="200"/>
      <c r="R91" s="200">
        <v>99</v>
      </c>
      <c r="S91" s="200"/>
      <c r="T91" s="200">
        <v>100</v>
      </c>
      <c r="U91" s="200"/>
      <c r="V91" s="200">
        <v>101</v>
      </c>
      <c r="W91" s="200"/>
      <c r="X91" s="200">
        <v>102</v>
      </c>
      <c r="Y91" s="200"/>
      <c r="Z91" s="200">
        <v>103</v>
      </c>
      <c r="AA91" s="200"/>
      <c r="AB91" s="200">
        <v>104</v>
      </c>
      <c r="AC91" s="200"/>
      <c r="AD91" s="200">
        <v>105</v>
      </c>
      <c r="AE91" s="200"/>
      <c r="AF91" s="574"/>
      <c r="AG91" s="711"/>
      <c r="AH91" s="707"/>
      <c r="AI91" s="707"/>
      <c r="AJ91" s="707"/>
      <c r="AK91" s="707"/>
      <c r="AL91" s="707"/>
      <c r="AM91" s="707"/>
      <c r="AN91" s="707"/>
      <c r="AO91" s="709"/>
    </row>
    <row r="92" spans="1:75" s="166" customFormat="1" ht="13.5" customHeight="1">
      <c r="A92" s="206"/>
      <c r="B92" s="254" t="s">
        <v>453</v>
      </c>
      <c r="C92" s="254"/>
      <c r="D92" s="254" t="s">
        <v>455</v>
      </c>
      <c r="E92" s="254"/>
      <c r="F92" s="254" t="s">
        <v>459</v>
      </c>
      <c r="G92" s="254"/>
      <c r="H92" s="254" t="s">
        <v>562</v>
      </c>
      <c r="I92" s="254"/>
      <c r="J92" s="254" t="s">
        <v>450</v>
      </c>
      <c r="K92" s="254"/>
      <c r="L92" s="254" t="s">
        <v>358</v>
      </c>
      <c r="M92" s="254"/>
      <c r="N92" s="254" t="s">
        <v>456</v>
      </c>
      <c r="O92" s="254"/>
      <c r="P92" s="254" t="s">
        <v>349</v>
      </c>
      <c r="Q92" s="254"/>
      <c r="R92" s="254" t="s">
        <v>354</v>
      </c>
      <c r="S92" s="254"/>
      <c r="T92" s="254" t="s">
        <v>356</v>
      </c>
      <c r="U92" s="254"/>
      <c r="V92" s="254" t="s">
        <v>361</v>
      </c>
      <c r="W92" s="254"/>
      <c r="X92" s="254" t="s">
        <v>360</v>
      </c>
      <c r="Y92" s="200"/>
      <c r="Z92" s="254" t="s">
        <v>359</v>
      </c>
      <c r="AA92" s="254"/>
      <c r="AB92" s="254" t="s">
        <v>362</v>
      </c>
      <c r="AC92" s="254"/>
      <c r="AD92" s="254" t="s">
        <v>363</v>
      </c>
      <c r="AE92" s="254"/>
      <c r="AF92" s="574"/>
      <c r="AG92" s="711"/>
      <c r="AH92" s="707"/>
      <c r="AI92" s="707"/>
      <c r="AJ92" s="707"/>
      <c r="AK92" s="707"/>
      <c r="AL92" s="707"/>
      <c r="AM92" s="707"/>
      <c r="AN92" s="707"/>
      <c r="AO92" s="709"/>
    </row>
    <row r="93" spans="1:75" s="166" customFormat="1" ht="13.5" customHeight="1">
      <c r="A93" s="206"/>
      <c r="B93" s="200"/>
      <c r="C93" s="200"/>
      <c r="D93" s="200"/>
      <c r="E93" s="200"/>
      <c r="F93" s="200"/>
      <c r="G93" s="200"/>
      <c r="H93" s="200"/>
      <c r="I93" s="200"/>
      <c r="J93" s="200"/>
      <c r="K93" s="200"/>
      <c r="L93" s="200"/>
      <c r="M93" s="200"/>
      <c r="N93" s="200"/>
      <c r="O93" s="200"/>
      <c r="P93" s="200"/>
      <c r="Q93" s="200"/>
      <c r="R93" s="200"/>
      <c r="S93" s="200"/>
      <c r="T93" s="200"/>
      <c r="U93" s="200"/>
      <c r="V93" s="200"/>
      <c r="W93" s="200"/>
      <c r="X93" s="200"/>
      <c r="Y93" s="200"/>
      <c r="Z93" s="200"/>
      <c r="AA93" s="200"/>
      <c r="AB93" s="200"/>
      <c r="AC93" s="200"/>
      <c r="AD93" s="200"/>
      <c r="AE93" s="200"/>
      <c r="AF93" s="574"/>
      <c r="AG93" s="711"/>
      <c r="AH93" s="707"/>
      <c r="AI93" s="707"/>
      <c r="AJ93" s="707"/>
      <c r="AK93" s="707"/>
      <c r="AL93" s="707"/>
      <c r="AM93" s="707"/>
      <c r="AN93" s="707"/>
      <c r="AO93" s="709"/>
    </row>
    <row r="94" spans="1:75" s="166" customFormat="1" ht="13.5" customHeight="1">
      <c r="A94" s="206"/>
      <c r="B94" s="254"/>
      <c r="C94" s="254"/>
      <c r="D94" s="254"/>
      <c r="E94" s="254"/>
      <c r="F94" s="254"/>
      <c r="G94" s="254"/>
      <c r="H94" s="254"/>
      <c r="I94" s="254"/>
      <c r="J94" s="254"/>
      <c r="K94" s="254"/>
      <c r="L94" s="254"/>
      <c r="M94" s="254"/>
      <c r="N94" s="254"/>
      <c r="O94" s="200"/>
      <c r="P94" s="254"/>
      <c r="Q94" s="254"/>
      <c r="R94" s="254"/>
      <c r="S94" s="200"/>
      <c r="T94" s="254"/>
      <c r="U94" s="254"/>
      <c r="V94" s="254"/>
      <c r="W94" s="254"/>
      <c r="X94" s="254"/>
      <c r="Y94" s="254"/>
      <c r="Z94" s="254"/>
      <c r="AA94" s="254"/>
      <c r="AB94" s="254"/>
      <c r="AC94" s="254"/>
      <c r="AD94" s="254"/>
      <c r="AE94" s="254"/>
      <c r="AF94" s="574"/>
      <c r="AG94" s="711"/>
      <c r="AH94" s="707"/>
      <c r="AI94" s="707"/>
      <c r="AJ94" s="707"/>
      <c r="AK94" s="707"/>
      <c r="AL94" s="707"/>
      <c r="AM94" s="707"/>
      <c r="AN94" s="707"/>
      <c r="AO94" s="709"/>
    </row>
    <row r="95" spans="1:75" s="166" customFormat="1" ht="13.5" customHeight="1" thickBot="1">
      <c r="A95" s="206"/>
      <c r="B95" s="254"/>
      <c r="C95" s="254"/>
      <c r="D95" s="254"/>
      <c r="E95" s="254"/>
      <c r="F95" s="254"/>
      <c r="G95" s="254"/>
      <c r="H95" s="254"/>
      <c r="I95" s="254"/>
      <c r="J95" s="254"/>
      <c r="K95" s="254"/>
      <c r="L95" s="254"/>
      <c r="M95" s="254"/>
      <c r="N95" s="254"/>
      <c r="O95" s="200"/>
      <c r="P95" s="254"/>
      <c r="Q95" s="254"/>
      <c r="R95" s="254"/>
      <c r="S95" s="200"/>
      <c r="T95" s="254"/>
      <c r="U95" s="254"/>
      <c r="V95" s="254"/>
      <c r="W95" s="254"/>
      <c r="X95" s="254"/>
      <c r="Y95" s="254"/>
      <c r="Z95" s="254"/>
      <c r="AA95" s="254"/>
      <c r="AB95" s="254"/>
      <c r="AC95" s="254"/>
      <c r="AD95" s="254"/>
      <c r="AE95" s="254"/>
      <c r="AF95" s="574"/>
      <c r="AG95" s="711"/>
      <c r="AH95" s="707"/>
      <c r="AI95" s="707"/>
      <c r="AJ95" s="707"/>
      <c r="AK95" s="707"/>
      <c r="AL95" s="707"/>
      <c r="AM95" s="707"/>
      <c r="AN95" s="707"/>
      <c r="AO95" s="709"/>
    </row>
    <row r="96" spans="1:75" s="166" customFormat="1" ht="13.5" customHeight="1">
      <c r="A96" s="594"/>
      <c r="B96" s="184"/>
      <c r="C96" s="591"/>
      <c r="D96" s="184"/>
      <c r="E96" s="591"/>
      <c r="F96" s="184"/>
      <c r="G96" s="591"/>
      <c r="H96" s="202"/>
      <c r="I96" s="591"/>
      <c r="J96" s="202"/>
      <c r="K96" s="591"/>
      <c r="L96" s="184"/>
      <c r="M96" s="591"/>
      <c r="N96" s="184"/>
      <c r="O96" s="591"/>
      <c r="P96" s="184"/>
      <c r="Q96" s="591"/>
      <c r="R96" s="184"/>
      <c r="S96" s="591"/>
      <c r="T96" s="184"/>
      <c r="U96" s="591"/>
      <c r="V96" s="184"/>
      <c r="W96" s="591"/>
      <c r="X96" s="184"/>
      <c r="Y96" s="591"/>
      <c r="Z96" s="184"/>
      <c r="AA96" s="591"/>
      <c r="AB96" s="184"/>
      <c r="AC96" s="591"/>
      <c r="AD96" s="184"/>
      <c r="AE96" s="591"/>
      <c r="AF96" s="574"/>
      <c r="AG96" s="711"/>
      <c r="AH96" s="707"/>
      <c r="AI96" s="707"/>
      <c r="AJ96" s="707"/>
      <c r="AK96" s="707"/>
      <c r="AL96" s="707"/>
      <c r="AM96" s="707"/>
      <c r="AN96" s="707"/>
      <c r="AO96" s="709"/>
      <c r="BV96" s="500">
        <v>15</v>
      </c>
      <c r="BW96" s="500">
        <v>1</v>
      </c>
    </row>
    <row r="97" spans="1:75" s="166" customFormat="1" ht="13.5" customHeight="1">
      <c r="A97" s="594"/>
      <c r="B97" s="187"/>
      <c r="C97" s="592">
        <v>234.98</v>
      </c>
      <c r="D97" s="187" t="s">
        <v>67</v>
      </c>
      <c r="E97" s="592">
        <v>375.72</v>
      </c>
      <c r="F97" s="187" t="s">
        <v>67</v>
      </c>
      <c r="G97" s="592">
        <v>348</v>
      </c>
      <c r="H97" s="187"/>
      <c r="I97" s="592">
        <v>355.50400000000002</v>
      </c>
      <c r="J97" s="187"/>
      <c r="K97" s="592">
        <v>380.67899999999997</v>
      </c>
      <c r="L97" s="187"/>
      <c r="M97" s="592">
        <v>408</v>
      </c>
      <c r="N97" s="187"/>
      <c r="O97" s="592">
        <v>413</v>
      </c>
      <c r="P97" s="187"/>
      <c r="Q97" s="592">
        <v>381</v>
      </c>
      <c r="R97" s="187"/>
      <c r="S97" s="592">
        <v>364</v>
      </c>
      <c r="T97" s="187"/>
      <c r="U97" s="592">
        <v>404.71</v>
      </c>
      <c r="V97" s="187"/>
      <c r="W97" s="592">
        <v>406.00099999999998</v>
      </c>
      <c r="X97" s="191"/>
      <c r="Y97" s="592">
        <v>402</v>
      </c>
      <c r="Z97" s="187"/>
      <c r="AA97" s="592">
        <v>365</v>
      </c>
      <c r="AB97" s="187"/>
      <c r="AC97" s="592">
        <v>420</v>
      </c>
      <c r="AD97" s="187"/>
      <c r="AE97" s="592">
        <v>408.99900000000002</v>
      </c>
      <c r="AF97" s="574"/>
      <c r="AG97" s="711"/>
      <c r="AH97" s="707"/>
      <c r="AI97" s="707"/>
      <c r="AJ97" s="707"/>
      <c r="AK97" s="707"/>
      <c r="AL97" s="707"/>
      <c r="AM97" s="707"/>
      <c r="AN97" s="707"/>
      <c r="AO97" s="709"/>
    </row>
    <row r="98" spans="1:75" s="166" customFormat="1" ht="13.5" customHeight="1" thickBot="1">
      <c r="A98" s="594"/>
      <c r="B98" s="189"/>
      <c r="D98" s="189"/>
      <c r="F98" s="189"/>
      <c r="H98" s="203"/>
      <c r="J98" s="203"/>
      <c r="L98" s="189"/>
      <c r="N98" s="189"/>
      <c r="P98" s="189"/>
      <c r="R98" s="189"/>
      <c r="T98" s="189"/>
      <c r="V98" s="189"/>
      <c r="X98" s="189"/>
      <c r="Z98" s="189"/>
      <c r="AB98" s="189"/>
      <c r="AD98" s="189"/>
      <c r="AF98" s="574"/>
      <c r="AG98" s="711"/>
      <c r="AH98" s="707"/>
      <c r="AI98" s="707"/>
      <c r="AJ98" s="707"/>
      <c r="AK98" s="707"/>
      <c r="AL98" s="707"/>
      <c r="AM98" s="707"/>
      <c r="AN98" s="707"/>
      <c r="AO98" s="709"/>
    </row>
    <row r="99" spans="1:75" s="166" customFormat="1" ht="14.15" customHeight="1">
      <c r="A99" s="206"/>
      <c r="B99" s="254" t="s">
        <v>350</v>
      </c>
      <c r="C99" s="254"/>
      <c r="D99" s="254" t="s">
        <v>373</v>
      </c>
      <c r="E99" s="254"/>
      <c r="F99" s="254" t="s">
        <v>330</v>
      </c>
      <c r="G99" s="254"/>
      <c r="H99" s="258" t="s">
        <v>396</v>
      </c>
      <c r="I99" s="254"/>
      <c r="J99" s="254" t="s">
        <v>300</v>
      </c>
      <c r="K99" s="254"/>
      <c r="L99" s="254" t="s">
        <v>350</v>
      </c>
      <c r="M99" s="254"/>
      <c r="N99" s="254" t="s">
        <v>357</v>
      </c>
      <c r="O99" s="254"/>
      <c r="P99" s="254" t="s">
        <v>350</v>
      </c>
      <c r="Q99" s="254"/>
      <c r="R99" s="254" t="s">
        <v>350</v>
      </c>
      <c r="S99" s="254"/>
      <c r="T99" s="258" t="s">
        <v>357</v>
      </c>
      <c r="U99" s="254"/>
      <c r="V99" s="254" t="s">
        <v>300</v>
      </c>
      <c r="W99" s="254"/>
      <c r="X99" s="254" t="s">
        <v>357</v>
      </c>
      <c r="Y99" s="254"/>
      <c r="Z99" s="254" t="s">
        <v>350</v>
      </c>
      <c r="AA99" s="254"/>
      <c r="AB99" s="254" t="s">
        <v>350</v>
      </c>
      <c r="AC99" s="254"/>
      <c r="AD99" s="254" t="s">
        <v>357</v>
      </c>
      <c r="AE99" s="254"/>
      <c r="AF99" s="574"/>
      <c r="AG99" s="711"/>
      <c r="AH99" s="707"/>
      <c r="AI99" s="707"/>
      <c r="AJ99" s="707"/>
      <c r="AK99" s="707"/>
      <c r="AL99" s="707"/>
      <c r="AM99" s="707"/>
      <c r="AN99" s="707"/>
      <c r="AO99" s="709"/>
    </row>
    <row r="100" spans="1:75" s="166" customFormat="1" ht="14.15" customHeight="1">
      <c r="A100" s="206"/>
      <c r="B100" s="200"/>
      <c r="C100" s="603" t="s">
        <v>1010</v>
      </c>
      <c r="D100" s="200"/>
      <c r="E100" s="603" t="s">
        <v>1114</v>
      </c>
      <c r="F100" s="200" t="s">
        <v>565</v>
      </c>
      <c r="G100" s="254"/>
      <c r="H100" s="200"/>
      <c r="I100" s="593" t="s">
        <v>1116</v>
      </c>
      <c r="J100" s="200"/>
      <c r="K100" s="254"/>
      <c r="L100" s="200"/>
      <c r="M100" s="254"/>
      <c r="N100" s="200"/>
      <c r="O100" s="254"/>
      <c r="P100" s="200"/>
      <c r="Q100" s="254"/>
      <c r="R100" s="200"/>
      <c r="S100" s="254"/>
      <c r="T100" s="200"/>
      <c r="U100" s="254"/>
      <c r="V100" s="200"/>
      <c r="W100" s="254"/>
      <c r="X100" s="200"/>
      <c r="Y100" s="254"/>
      <c r="Z100" s="200"/>
      <c r="AA100" s="254"/>
      <c r="AB100" s="200"/>
      <c r="AC100" s="254"/>
      <c r="AD100" s="200"/>
      <c r="AE100" s="585"/>
      <c r="AF100" s="574"/>
      <c r="AG100" s="712"/>
      <c r="AH100" s="708"/>
      <c r="AI100" s="708"/>
      <c r="AJ100" s="708"/>
      <c r="AK100" s="708"/>
      <c r="AL100" s="708"/>
      <c r="AM100" s="708"/>
      <c r="AN100" s="708"/>
      <c r="AO100" s="710"/>
    </row>
    <row r="101" spans="1:75" s="166" customFormat="1" ht="13.5" customHeight="1">
      <c r="A101" s="206"/>
      <c r="B101" s="200"/>
      <c r="C101" s="603" t="s">
        <v>1115</v>
      </c>
      <c r="D101" s="200"/>
      <c r="E101" s="603" t="s">
        <v>1115</v>
      </c>
      <c r="F101" s="200"/>
      <c r="G101" s="588"/>
      <c r="H101" s="200"/>
      <c r="I101" s="200"/>
      <c r="J101" s="200"/>
      <c r="K101" s="200"/>
      <c r="L101" s="200"/>
      <c r="M101" s="200"/>
      <c r="N101" s="200"/>
      <c r="O101" s="200"/>
      <c r="P101" s="200"/>
      <c r="Q101" s="200"/>
      <c r="R101" s="200"/>
      <c r="S101" s="200"/>
      <c r="T101" s="200"/>
      <c r="U101" s="200"/>
      <c r="V101" s="200"/>
      <c r="W101" s="200"/>
      <c r="X101" s="200"/>
      <c r="Y101" s="584" t="s">
        <v>1124</v>
      </c>
      <c r="Z101" s="200"/>
      <c r="AA101" s="200"/>
      <c r="AB101" s="200"/>
      <c r="AC101" s="200"/>
      <c r="AD101" s="200"/>
      <c r="AE101" s="200"/>
      <c r="AF101" s="574"/>
      <c r="AG101" s="711"/>
      <c r="AH101" s="707"/>
      <c r="AI101" s="707"/>
      <c r="AJ101" s="707"/>
      <c r="AK101" s="707"/>
      <c r="AL101" s="707"/>
      <c r="AM101" s="707"/>
      <c r="AN101" s="707"/>
      <c r="AO101" s="709"/>
    </row>
    <row r="102" spans="1:75" s="166" customFormat="1" ht="13.5" customHeight="1">
      <c r="A102" s="206"/>
      <c r="B102" s="200">
        <v>106</v>
      </c>
      <c r="C102" s="200"/>
      <c r="D102" s="200">
        <v>107</v>
      </c>
      <c r="E102" s="200"/>
      <c r="F102" s="200">
        <v>108</v>
      </c>
      <c r="G102" s="200"/>
      <c r="H102" s="200">
        <v>109</v>
      </c>
      <c r="I102" s="200"/>
      <c r="J102" s="200">
        <v>110</v>
      </c>
      <c r="K102" s="200"/>
      <c r="L102" s="200">
        <v>111</v>
      </c>
      <c r="M102" s="200"/>
      <c r="N102" s="200">
        <v>112</v>
      </c>
      <c r="O102" s="200"/>
      <c r="P102" s="200">
        <v>113</v>
      </c>
      <c r="Q102" s="200"/>
      <c r="R102" s="200">
        <v>114</v>
      </c>
      <c r="S102" s="200"/>
      <c r="T102" s="200">
        <v>115</v>
      </c>
      <c r="U102" s="200"/>
      <c r="V102" s="200">
        <v>116</v>
      </c>
      <c r="W102" s="200"/>
      <c r="X102" s="200">
        <v>117</v>
      </c>
      <c r="Y102" s="200"/>
      <c r="Z102" s="200">
        <v>118</v>
      </c>
      <c r="AA102" s="200"/>
      <c r="AB102" s="200">
        <v>119</v>
      </c>
      <c r="AC102" s="200"/>
      <c r="AD102" s="200">
        <v>120</v>
      </c>
      <c r="AE102" s="200"/>
      <c r="AF102" s="574"/>
      <c r="AG102" s="711"/>
      <c r="AH102" s="707"/>
      <c r="AI102" s="707"/>
      <c r="AJ102" s="707"/>
      <c r="AK102" s="707"/>
      <c r="AL102" s="707"/>
      <c r="AM102" s="707"/>
      <c r="AN102" s="707"/>
      <c r="AO102" s="709"/>
    </row>
    <row r="103" spans="1:75" s="166" customFormat="1" ht="13.5" customHeight="1">
      <c r="A103" s="206"/>
      <c r="B103" s="254" t="s">
        <v>461</v>
      </c>
      <c r="C103" s="254"/>
      <c r="D103" s="254" t="s">
        <v>566</v>
      </c>
      <c r="E103" s="254"/>
      <c r="F103" s="254" t="s">
        <v>567</v>
      </c>
      <c r="G103" s="254"/>
      <c r="H103" s="254" t="s">
        <v>568</v>
      </c>
      <c r="I103" s="254"/>
      <c r="J103" s="254" t="s">
        <v>429</v>
      </c>
      <c r="K103" s="254"/>
      <c r="L103" s="254" t="s">
        <v>569</v>
      </c>
      <c r="M103" s="254"/>
      <c r="N103" s="254" t="s">
        <v>428</v>
      </c>
      <c r="O103" s="254"/>
      <c r="P103" s="254" t="s">
        <v>427</v>
      </c>
      <c r="Q103" s="254"/>
      <c r="R103" s="254" t="s">
        <v>439</v>
      </c>
      <c r="S103" s="254"/>
      <c r="T103" s="254" t="s">
        <v>570</v>
      </c>
      <c r="U103" s="254"/>
      <c r="V103" s="254" t="s">
        <v>571</v>
      </c>
      <c r="W103" s="254"/>
      <c r="X103" s="254" t="s">
        <v>572</v>
      </c>
      <c r="Y103" s="200"/>
      <c r="Z103" s="254" t="s">
        <v>573</v>
      </c>
      <c r="AA103" s="254"/>
      <c r="AB103" s="254" t="s">
        <v>574</v>
      </c>
      <c r="AC103" s="254"/>
      <c r="AD103" s="254" t="s">
        <v>575</v>
      </c>
      <c r="AE103" s="254"/>
      <c r="AF103" s="574"/>
      <c r="AG103" s="711"/>
      <c r="AH103" s="707"/>
      <c r="AI103" s="707"/>
      <c r="AJ103" s="707"/>
      <c r="AK103" s="707"/>
      <c r="AL103" s="707"/>
      <c r="AM103" s="707"/>
      <c r="AN103" s="707"/>
      <c r="AO103" s="709"/>
    </row>
    <row r="104" spans="1:75" s="166" customFormat="1" ht="13.5" customHeight="1">
      <c r="A104" s="206"/>
      <c r="B104" s="200"/>
      <c r="C104" s="200"/>
      <c r="D104" s="200"/>
      <c r="E104" s="200"/>
      <c r="F104" s="200"/>
      <c r="G104" s="200"/>
      <c r="H104" s="200"/>
      <c r="I104" s="200"/>
      <c r="J104" s="200"/>
      <c r="K104" s="200"/>
      <c r="L104" s="200"/>
      <c r="M104" s="200"/>
      <c r="N104" s="200"/>
      <c r="O104" s="200"/>
      <c r="P104" s="200"/>
      <c r="Q104" s="200"/>
      <c r="R104" s="200"/>
      <c r="S104" s="200"/>
      <c r="T104" s="200"/>
      <c r="U104" s="200"/>
      <c r="V104" s="200"/>
      <c r="W104" s="200"/>
      <c r="X104" s="200"/>
      <c r="Y104" s="200"/>
      <c r="Z104" s="200"/>
      <c r="AA104" s="200"/>
      <c r="AB104" s="200"/>
      <c r="AC104" s="200"/>
      <c r="AD104" s="200"/>
      <c r="AE104" s="200"/>
      <c r="AF104" s="574"/>
      <c r="AG104" s="711"/>
      <c r="AH104" s="707"/>
      <c r="AI104" s="707"/>
      <c r="AJ104" s="707"/>
      <c r="AK104" s="707"/>
      <c r="AL104" s="707"/>
      <c r="AM104" s="707"/>
      <c r="AN104" s="707"/>
      <c r="AO104" s="709"/>
    </row>
    <row r="105" spans="1:75" s="166" customFormat="1" ht="13.5" customHeight="1">
      <c r="A105" s="206"/>
      <c r="B105" s="254"/>
      <c r="C105" s="254"/>
      <c r="D105" s="254"/>
      <c r="E105" s="200"/>
      <c r="F105" s="254"/>
      <c r="G105" s="254"/>
      <c r="H105" s="254"/>
      <c r="I105" s="200"/>
      <c r="J105" s="254"/>
      <c r="K105" s="254"/>
      <c r="L105" s="254"/>
      <c r="M105" s="254"/>
      <c r="N105" s="254"/>
      <c r="O105" s="254"/>
      <c r="P105" s="254"/>
      <c r="Q105" s="254"/>
      <c r="R105" s="254"/>
      <c r="S105" s="254"/>
      <c r="T105" s="254"/>
      <c r="U105" s="254"/>
      <c r="V105" s="254"/>
      <c r="W105" s="254"/>
      <c r="X105" s="254"/>
      <c r="Y105" s="200"/>
      <c r="Z105" s="254"/>
      <c r="AA105" s="254"/>
      <c r="AB105" s="254"/>
      <c r="AC105" s="200"/>
      <c r="AD105" s="254"/>
      <c r="AE105" s="254"/>
      <c r="AF105" s="574"/>
      <c r="AG105" s="711"/>
      <c r="AH105" s="707"/>
      <c r="AI105" s="707"/>
      <c r="AJ105" s="707"/>
      <c r="AK105" s="707"/>
      <c r="AL105" s="707"/>
      <c r="AM105" s="707"/>
      <c r="AN105" s="707"/>
      <c r="AO105" s="709"/>
    </row>
    <row r="106" spans="1:75" s="166" customFormat="1" ht="13.5" customHeight="1" thickBot="1">
      <c r="A106" s="206"/>
      <c r="B106" s="254"/>
      <c r="C106" s="254"/>
      <c r="D106" s="254"/>
      <c r="E106" s="200"/>
      <c r="F106" s="254"/>
      <c r="G106" s="254"/>
      <c r="H106" s="254"/>
      <c r="I106" s="200"/>
      <c r="J106" s="254"/>
      <c r="K106" s="254"/>
      <c r="L106" s="254"/>
      <c r="M106" s="254"/>
      <c r="N106" s="254"/>
      <c r="O106" s="254"/>
      <c r="P106" s="254"/>
      <c r="Q106" s="254"/>
      <c r="R106" s="254"/>
      <c r="S106" s="254"/>
      <c r="T106" s="254"/>
      <c r="U106" s="254"/>
      <c r="V106" s="254"/>
      <c r="W106" s="254"/>
      <c r="X106" s="254"/>
      <c r="Y106" s="200"/>
      <c r="Z106" s="254"/>
      <c r="AA106" s="254"/>
      <c r="AB106" s="254"/>
      <c r="AC106" s="200"/>
      <c r="AD106" s="254"/>
      <c r="AE106" s="254"/>
      <c r="AF106" s="574"/>
      <c r="AG106" s="711"/>
      <c r="AH106" s="707"/>
      <c r="AI106" s="707"/>
      <c r="AJ106" s="707"/>
      <c r="AK106" s="707"/>
      <c r="AL106" s="707"/>
      <c r="AM106" s="707"/>
      <c r="AN106" s="707"/>
      <c r="AO106" s="709"/>
    </row>
    <row r="107" spans="1:75" s="166" customFormat="1" ht="13.5" customHeight="1">
      <c r="A107" s="594"/>
      <c r="B107" s="194"/>
      <c r="C107" s="591"/>
      <c r="D107" s="521"/>
      <c r="E107" s="591"/>
      <c r="F107" s="487"/>
      <c r="G107" s="591"/>
      <c r="H107" s="183"/>
      <c r="I107" s="591"/>
      <c r="J107" s="184"/>
      <c r="K107" s="591"/>
      <c r="L107" s="183"/>
      <c r="M107" s="591"/>
      <c r="N107" s="184"/>
      <c r="O107" s="591"/>
      <c r="P107" s="184"/>
      <c r="Q107" s="591"/>
      <c r="R107" s="184"/>
      <c r="S107" s="591"/>
      <c r="T107" s="183"/>
      <c r="U107" s="591"/>
      <c r="V107" s="183"/>
      <c r="W107" s="591"/>
      <c r="X107" s="261"/>
      <c r="Y107" s="579"/>
      <c r="Z107" s="261"/>
      <c r="AA107" s="579"/>
      <c r="AB107" s="261"/>
      <c r="AC107" s="579"/>
      <c r="AD107" s="261"/>
      <c r="AE107" s="579"/>
      <c r="AF107" s="574"/>
      <c r="AG107" s="711"/>
      <c r="AH107" s="707"/>
      <c r="AI107" s="707"/>
      <c r="AJ107" s="707"/>
      <c r="AK107" s="707"/>
      <c r="AL107" s="707"/>
      <c r="AM107" s="707"/>
      <c r="AN107" s="707"/>
      <c r="AO107" s="709"/>
      <c r="BV107" s="500">
        <f>4</f>
        <v>4</v>
      </c>
      <c r="BW107" s="500">
        <v>0</v>
      </c>
    </row>
    <row r="108" spans="1:75" s="166" customFormat="1" ht="13.5" customHeight="1">
      <c r="A108" s="594"/>
      <c r="B108" s="195" t="s">
        <v>550</v>
      </c>
      <c r="C108" s="592">
        <v>388.00099999999998</v>
      </c>
      <c r="D108" s="523" t="s">
        <v>550</v>
      </c>
      <c r="E108" s="592">
        <v>348.62799999999999</v>
      </c>
      <c r="F108" s="201" t="s">
        <v>97</v>
      </c>
      <c r="G108" s="592">
        <v>424.14</v>
      </c>
      <c r="H108" s="186"/>
      <c r="I108" s="592">
        <v>412</v>
      </c>
      <c r="J108" s="191"/>
      <c r="K108" s="592">
        <v>406</v>
      </c>
      <c r="L108" s="186"/>
      <c r="M108" s="592">
        <v>370.19200000000001</v>
      </c>
      <c r="N108" s="191"/>
      <c r="O108" s="592">
        <v>378.53399999999999</v>
      </c>
      <c r="P108" s="191"/>
      <c r="Q108" s="592">
        <v>408.00400000000002</v>
      </c>
      <c r="R108" s="187"/>
      <c r="S108" s="592">
        <v>405.55099999999999</v>
      </c>
      <c r="T108" s="186"/>
      <c r="U108" s="592">
        <v>405.99900000000002</v>
      </c>
      <c r="V108" s="186"/>
      <c r="W108" s="592">
        <v>386</v>
      </c>
      <c r="X108" s="262"/>
      <c r="Y108" s="581">
        <v>408.363</v>
      </c>
      <c r="Z108" s="263"/>
      <c r="AA108" s="581">
        <v>380.99700000000001</v>
      </c>
      <c r="AB108" s="263"/>
      <c r="AC108" s="581">
        <v>426.00099999999998</v>
      </c>
      <c r="AD108" s="263"/>
      <c r="AE108" s="581">
        <v>394.47500000000002</v>
      </c>
      <c r="AF108" s="574"/>
      <c r="AG108" s="711"/>
      <c r="AH108" s="707"/>
      <c r="AI108" s="707"/>
      <c r="AJ108" s="707"/>
      <c r="AK108" s="707"/>
      <c r="AL108" s="707"/>
      <c r="AM108" s="707"/>
      <c r="AN108" s="707"/>
      <c r="AO108" s="709"/>
    </row>
    <row r="109" spans="1:75" s="166" customFormat="1" ht="13.5" customHeight="1" thickBot="1">
      <c r="A109" s="594"/>
      <c r="B109" s="196"/>
      <c r="D109" s="522"/>
      <c r="F109" s="192"/>
      <c r="H109" s="188"/>
      <c r="J109" s="189"/>
      <c r="L109" s="188"/>
      <c r="N109" s="191"/>
      <c r="P109" s="191"/>
      <c r="R109" s="189"/>
      <c r="T109" s="188"/>
      <c r="V109" s="188"/>
      <c r="X109" s="264"/>
      <c r="Y109" s="200"/>
      <c r="Z109" s="264"/>
      <c r="AA109" s="200"/>
      <c r="AB109" s="264"/>
      <c r="AC109" s="200"/>
      <c r="AD109" s="264"/>
      <c r="AE109" s="200"/>
      <c r="AF109" s="574"/>
      <c r="AG109" s="711"/>
      <c r="AH109" s="707"/>
      <c r="AI109" s="707"/>
      <c r="AJ109" s="707"/>
      <c r="AK109" s="707"/>
      <c r="AL109" s="707"/>
      <c r="AM109" s="707"/>
      <c r="AN109" s="707"/>
      <c r="AO109" s="709"/>
    </row>
    <row r="110" spans="1:75" s="166" customFormat="1" ht="14.15" customHeight="1">
      <c r="A110" s="206"/>
      <c r="B110" s="254" t="s">
        <v>350</v>
      </c>
      <c r="C110" s="254"/>
      <c r="D110" s="254" t="s">
        <v>350</v>
      </c>
      <c r="E110" s="254"/>
      <c r="F110" s="254" t="s">
        <v>300</v>
      </c>
      <c r="G110" s="254"/>
      <c r="H110" s="254" t="s">
        <v>399</v>
      </c>
      <c r="I110" s="254"/>
      <c r="J110" s="254" t="s">
        <v>357</v>
      </c>
      <c r="K110" s="254"/>
      <c r="L110" s="254" t="s">
        <v>350</v>
      </c>
      <c r="M110" s="254"/>
      <c r="N110" s="254" t="s">
        <v>373</v>
      </c>
      <c r="O110" s="254"/>
      <c r="P110" s="254" t="s">
        <v>292</v>
      </c>
      <c r="Q110" s="254"/>
      <c r="R110" s="254" t="s">
        <v>350</v>
      </c>
      <c r="S110" s="254"/>
      <c r="T110" s="254" t="s">
        <v>309</v>
      </c>
      <c r="U110" s="254"/>
      <c r="V110" s="254" t="s">
        <v>350</v>
      </c>
      <c r="W110" s="254"/>
      <c r="X110" s="254" t="s">
        <v>350</v>
      </c>
      <c r="Y110" s="254"/>
      <c r="Z110" s="254" t="s">
        <v>576</v>
      </c>
      <c r="AA110" s="254"/>
      <c r="AB110" s="254" t="s">
        <v>399</v>
      </c>
      <c r="AC110" s="254"/>
      <c r="AD110" s="254" t="s">
        <v>350</v>
      </c>
      <c r="AE110" s="254"/>
      <c r="AF110" s="574"/>
      <c r="AG110" s="711"/>
      <c r="AH110" s="707"/>
      <c r="AI110" s="707"/>
      <c r="AJ110" s="707"/>
      <c r="AK110" s="707"/>
      <c r="AL110" s="707"/>
      <c r="AM110" s="707"/>
      <c r="AN110" s="707"/>
      <c r="AO110" s="709"/>
    </row>
    <row r="111" spans="1:75" s="166" customFormat="1" ht="14.15" customHeight="1">
      <c r="A111" s="206"/>
      <c r="B111" s="200"/>
      <c r="C111" s="200"/>
      <c r="D111" s="200"/>
      <c r="E111" s="200"/>
      <c r="F111" s="200"/>
      <c r="G111" s="254"/>
      <c r="H111" s="200"/>
      <c r="I111" s="254"/>
      <c r="J111" s="200"/>
      <c r="K111" s="254"/>
      <c r="L111" s="200"/>
      <c r="M111" s="254"/>
      <c r="N111" s="200"/>
      <c r="O111" s="603" t="s">
        <v>1115</v>
      </c>
      <c r="P111" s="200"/>
      <c r="Q111" s="200"/>
      <c r="R111" s="200"/>
      <c r="S111" s="597"/>
      <c r="T111" s="200"/>
      <c r="U111" s="603" t="s">
        <v>1115</v>
      </c>
      <c r="V111" s="200"/>
      <c r="W111" s="585"/>
      <c r="X111" s="200"/>
      <c r="Y111" s="254"/>
      <c r="Z111" s="200"/>
      <c r="AA111" s="258" t="s">
        <v>1130</v>
      </c>
      <c r="AB111" s="200"/>
      <c r="AC111" s="604" t="s">
        <v>1128</v>
      </c>
      <c r="AD111" s="200"/>
      <c r="AE111" s="200"/>
      <c r="AF111" s="574"/>
      <c r="AG111" s="712"/>
      <c r="AH111" s="708"/>
      <c r="AI111" s="708"/>
      <c r="AJ111" s="708"/>
      <c r="AK111" s="708"/>
      <c r="AL111" s="708"/>
      <c r="AM111" s="708"/>
      <c r="AN111" s="708"/>
      <c r="AO111" s="710"/>
    </row>
    <row r="112" spans="1:75" s="166" customFormat="1" ht="13.5" customHeight="1">
      <c r="A112" s="206"/>
      <c r="B112" s="200"/>
      <c r="C112" s="200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584" t="s">
        <v>1125</v>
      </c>
      <c r="P112" s="200"/>
      <c r="Q112" s="200"/>
      <c r="R112" s="200"/>
      <c r="S112" s="200"/>
      <c r="T112" s="200"/>
      <c r="U112" s="200"/>
      <c r="V112" s="200"/>
      <c r="W112" s="200"/>
      <c r="X112" s="200"/>
      <c r="Y112" s="200"/>
      <c r="Z112" s="200"/>
      <c r="AA112" s="584" t="s">
        <v>1127</v>
      </c>
      <c r="AB112" s="200"/>
      <c r="AC112" s="604" t="s">
        <v>1129</v>
      </c>
      <c r="AD112" s="200"/>
      <c r="AE112" s="200"/>
      <c r="AF112" s="574"/>
      <c r="AG112" s="711"/>
      <c r="AH112" s="707"/>
      <c r="AI112" s="707"/>
      <c r="AJ112" s="707"/>
      <c r="AK112" s="707"/>
      <c r="AL112" s="707"/>
      <c r="AM112" s="707"/>
      <c r="AN112" s="707"/>
      <c r="AO112" s="709"/>
    </row>
    <row r="113" spans="1:75" s="166" customFormat="1" ht="13.5" customHeight="1">
      <c r="A113" s="206"/>
      <c r="B113" s="200">
        <v>120</v>
      </c>
      <c r="C113" s="200"/>
      <c r="D113" s="200">
        <v>121</v>
      </c>
      <c r="E113" s="200"/>
      <c r="F113" s="200">
        <v>123</v>
      </c>
      <c r="G113" s="200"/>
      <c r="H113" s="200">
        <v>124</v>
      </c>
      <c r="I113" s="200"/>
      <c r="J113" s="200">
        <v>125</v>
      </c>
      <c r="K113" s="200"/>
      <c r="L113" s="200">
        <v>126</v>
      </c>
      <c r="M113" s="200"/>
      <c r="N113" s="200">
        <v>127</v>
      </c>
      <c r="O113" s="200"/>
      <c r="P113" s="200">
        <v>128</v>
      </c>
      <c r="Q113" s="200"/>
      <c r="R113" s="200">
        <v>129</v>
      </c>
      <c r="S113" s="200"/>
      <c r="T113" s="200">
        <v>130</v>
      </c>
      <c r="U113" s="200"/>
      <c r="V113" s="200">
        <v>131</v>
      </c>
      <c r="W113" s="200"/>
      <c r="X113" s="200">
        <v>132</v>
      </c>
      <c r="Y113" s="200"/>
      <c r="Z113" s="200">
        <v>133</v>
      </c>
      <c r="AA113" s="200"/>
      <c r="AB113" s="200">
        <v>134</v>
      </c>
      <c r="AC113" s="200"/>
      <c r="AD113" s="200">
        <v>135</v>
      </c>
      <c r="AE113" s="200"/>
      <c r="AF113" s="574"/>
      <c r="AG113" s="711"/>
      <c r="AH113" s="707"/>
      <c r="AI113" s="707"/>
      <c r="AJ113" s="707"/>
      <c r="AK113" s="707"/>
      <c r="AL113" s="707"/>
      <c r="AM113" s="707"/>
      <c r="AN113" s="707"/>
      <c r="AO113" s="709"/>
    </row>
    <row r="114" spans="1:75" s="166" customFormat="1" ht="13.5" customHeight="1">
      <c r="A114" s="206"/>
      <c r="B114" s="254" t="s">
        <v>577</v>
      </c>
      <c r="C114" s="254"/>
      <c r="D114" s="254" t="s">
        <v>578</v>
      </c>
      <c r="E114" s="254"/>
      <c r="F114" s="254" t="s">
        <v>579</v>
      </c>
      <c r="G114" s="254"/>
      <c r="H114" s="254" t="s">
        <v>580</v>
      </c>
      <c r="I114" s="254"/>
      <c r="J114" s="254" t="s">
        <v>181</v>
      </c>
      <c r="K114" s="254"/>
      <c r="L114" s="254" t="s">
        <v>581</v>
      </c>
      <c r="M114" s="254"/>
      <c r="N114" s="254" t="s">
        <v>582</v>
      </c>
      <c r="O114" s="254"/>
      <c r="P114" s="254" t="s">
        <v>583</v>
      </c>
      <c r="Q114" s="254"/>
      <c r="R114" s="254" t="s">
        <v>584</v>
      </c>
      <c r="S114" s="254"/>
      <c r="T114" s="254" t="s">
        <v>585</v>
      </c>
      <c r="U114" s="254"/>
      <c r="V114" s="254" t="s">
        <v>586</v>
      </c>
      <c r="W114" s="254"/>
      <c r="X114" s="254" t="s">
        <v>587</v>
      </c>
      <c r="Y114" s="200"/>
      <c r="Z114" s="254" t="s">
        <v>588</v>
      </c>
      <c r="AA114" s="254"/>
      <c r="AB114" s="254" t="s">
        <v>589</v>
      </c>
      <c r="AC114" s="254"/>
      <c r="AD114" s="254" t="s">
        <v>590</v>
      </c>
      <c r="AE114" s="254"/>
      <c r="AF114" s="574"/>
      <c r="AG114" s="711"/>
      <c r="AH114" s="707"/>
      <c r="AI114" s="707"/>
      <c r="AJ114" s="707"/>
      <c r="AK114" s="707"/>
      <c r="AL114" s="707"/>
      <c r="AM114" s="707"/>
      <c r="AN114" s="707"/>
      <c r="AO114" s="709"/>
    </row>
    <row r="115" spans="1:75" s="166" customFormat="1" ht="13.5" customHeight="1">
      <c r="A115" s="206"/>
      <c r="B115" s="200"/>
      <c r="C115" s="200"/>
      <c r="D115" s="200"/>
      <c r="E115" s="200"/>
      <c r="F115" s="200"/>
      <c r="G115" s="200"/>
      <c r="H115" s="200"/>
      <c r="I115" s="200"/>
      <c r="J115" s="200"/>
      <c r="K115" s="200"/>
      <c r="L115" s="200"/>
      <c r="M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  <c r="X115" s="200"/>
      <c r="Y115" s="200"/>
      <c r="Z115" s="200"/>
      <c r="AA115" s="200"/>
      <c r="AB115" s="200"/>
      <c r="AC115" s="200"/>
      <c r="AD115" s="200"/>
      <c r="AE115" s="200"/>
      <c r="AF115" s="574"/>
      <c r="AG115" s="711"/>
      <c r="AH115" s="707"/>
      <c r="AI115" s="707"/>
      <c r="AJ115" s="707"/>
      <c r="AK115" s="707"/>
      <c r="AL115" s="707"/>
      <c r="AM115" s="707"/>
      <c r="AN115" s="707"/>
      <c r="AO115" s="709"/>
    </row>
    <row r="116" spans="1:75" s="166" customFormat="1" ht="13.5" customHeight="1">
      <c r="A116" s="206"/>
      <c r="B116" s="254"/>
      <c r="C116" s="254"/>
      <c r="D116" s="254"/>
      <c r="E116" s="254"/>
      <c r="F116" s="254"/>
      <c r="G116" s="254"/>
      <c r="H116" s="254"/>
      <c r="I116" s="254"/>
      <c r="J116" s="254"/>
      <c r="K116" s="254"/>
      <c r="L116" s="254"/>
      <c r="M116" s="254"/>
      <c r="N116" s="254"/>
      <c r="O116" s="200"/>
      <c r="P116" s="254"/>
      <c r="Q116" s="254"/>
      <c r="R116" s="254"/>
      <c r="S116" s="200"/>
      <c r="T116" s="254"/>
      <c r="U116" s="254"/>
      <c r="V116" s="254"/>
      <c r="W116" s="254"/>
      <c r="X116" s="254"/>
      <c r="Y116" s="254"/>
      <c r="Z116" s="254"/>
      <c r="AA116" s="254"/>
      <c r="AB116" s="254"/>
      <c r="AC116" s="254"/>
      <c r="AD116" s="254"/>
      <c r="AE116" s="254"/>
      <c r="AF116" s="574"/>
      <c r="AG116" s="711"/>
      <c r="AH116" s="707"/>
      <c r="AI116" s="707"/>
      <c r="AJ116" s="707"/>
      <c r="AK116" s="707"/>
      <c r="AL116" s="707"/>
      <c r="AM116" s="707"/>
      <c r="AN116" s="707"/>
      <c r="AO116" s="709"/>
    </row>
    <row r="117" spans="1:75" s="166" customFormat="1" ht="13.5" customHeight="1" thickBot="1">
      <c r="A117" s="206"/>
      <c r="B117" s="254"/>
      <c r="C117" s="254"/>
      <c r="D117" s="254"/>
      <c r="E117" s="254"/>
      <c r="F117" s="254"/>
      <c r="G117" s="254"/>
      <c r="H117" s="254"/>
      <c r="I117" s="254"/>
      <c r="J117" s="254"/>
      <c r="K117" s="254"/>
      <c r="L117" s="254"/>
      <c r="M117" s="254"/>
      <c r="N117" s="254"/>
      <c r="O117" s="200"/>
      <c r="P117" s="254"/>
      <c r="Q117" s="254"/>
      <c r="R117" s="254"/>
      <c r="S117" s="200"/>
      <c r="T117" s="254"/>
      <c r="U117" s="254"/>
      <c r="V117" s="254"/>
      <c r="W117" s="254"/>
      <c r="X117" s="254"/>
      <c r="Y117" s="254"/>
      <c r="Z117" s="254"/>
      <c r="AA117" s="254"/>
      <c r="AB117" s="254"/>
      <c r="AC117" s="254"/>
      <c r="AD117" s="254"/>
      <c r="AE117" s="254"/>
      <c r="AF117" s="574"/>
      <c r="AG117" s="711"/>
      <c r="AH117" s="707"/>
      <c r="AI117" s="707"/>
      <c r="AJ117" s="707"/>
      <c r="AK117" s="707"/>
      <c r="AL117" s="707"/>
      <c r="AM117" s="707"/>
      <c r="AN117" s="707"/>
      <c r="AO117" s="709"/>
    </row>
    <row r="118" spans="1:75" s="166" customFormat="1" ht="13.5" customHeight="1">
      <c r="A118" s="206"/>
      <c r="B118" s="261"/>
      <c r="C118" s="579"/>
      <c r="D118" s="261"/>
      <c r="E118" s="579"/>
      <c r="F118" s="536"/>
      <c r="G118" s="579"/>
      <c r="H118" s="202"/>
      <c r="I118" s="579"/>
      <c r="J118" s="261"/>
      <c r="K118" s="579"/>
      <c r="L118" s="261"/>
      <c r="M118" s="579"/>
      <c r="N118" s="261"/>
      <c r="O118" s="579"/>
      <c r="P118" s="261"/>
      <c r="Q118" s="579"/>
      <c r="R118" s="261"/>
      <c r="S118" s="579"/>
      <c r="T118" s="261"/>
      <c r="U118" s="579"/>
      <c r="V118" s="261"/>
      <c r="W118" s="579"/>
      <c r="X118" s="261"/>
      <c r="Y118" s="579"/>
      <c r="Z118" s="261"/>
      <c r="AA118" s="579"/>
      <c r="AB118" s="261"/>
      <c r="AC118" s="579"/>
      <c r="AD118" s="261"/>
      <c r="AE118" s="579"/>
      <c r="AF118" s="574"/>
      <c r="AG118" s="711"/>
      <c r="AH118" s="707"/>
      <c r="AI118" s="707"/>
      <c r="AJ118" s="707"/>
      <c r="AK118" s="707"/>
      <c r="AL118" s="707"/>
      <c r="AM118" s="707"/>
      <c r="AN118" s="707"/>
      <c r="AO118" s="709"/>
      <c r="BV118" s="500">
        <v>1</v>
      </c>
      <c r="BW118" s="500">
        <v>0</v>
      </c>
    </row>
    <row r="119" spans="1:75" s="166" customFormat="1" ht="13.5" customHeight="1">
      <c r="A119" s="206"/>
      <c r="B119" s="263"/>
      <c r="C119" s="581">
        <v>411.00400000000002</v>
      </c>
      <c r="D119" s="263" t="s">
        <v>550</v>
      </c>
      <c r="E119" s="581">
        <v>423</v>
      </c>
      <c r="F119" s="195" t="s">
        <v>550</v>
      </c>
      <c r="G119" s="581">
        <v>395</v>
      </c>
      <c r="H119" s="187" t="s">
        <v>67</v>
      </c>
      <c r="I119" s="581">
        <v>358.32400000000001</v>
      </c>
      <c r="J119" s="263"/>
      <c r="K119" s="581">
        <v>409.99599999999998</v>
      </c>
      <c r="L119" s="263"/>
      <c r="M119" s="581">
        <v>399.88200000000001</v>
      </c>
      <c r="N119" s="263"/>
      <c r="O119" s="581">
        <v>410.99799999999999</v>
      </c>
      <c r="P119" s="263"/>
      <c r="Q119" s="581">
        <v>402</v>
      </c>
      <c r="R119" s="263"/>
      <c r="S119" s="581">
        <v>422</v>
      </c>
      <c r="T119" s="263"/>
      <c r="U119" s="581">
        <v>409</v>
      </c>
      <c r="V119" s="263"/>
      <c r="W119" s="581">
        <v>394</v>
      </c>
      <c r="X119" s="262"/>
      <c r="Y119" s="581">
        <v>393</v>
      </c>
      <c r="Z119" s="263"/>
      <c r="AA119" s="581">
        <v>405.06099999999998</v>
      </c>
      <c r="AB119" s="263"/>
      <c r="AC119" s="581">
        <v>404.97500000000002</v>
      </c>
      <c r="AD119" s="263"/>
      <c r="AE119" s="581">
        <v>382.005</v>
      </c>
      <c r="AF119" s="574"/>
      <c r="AG119" s="711"/>
      <c r="AH119" s="707"/>
      <c r="AI119" s="707"/>
      <c r="AJ119" s="707"/>
      <c r="AK119" s="707"/>
      <c r="AL119" s="707"/>
      <c r="AM119" s="707"/>
      <c r="AN119" s="707"/>
      <c r="AO119" s="709"/>
    </row>
    <row r="120" spans="1:75" s="166" customFormat="1" ht="13.5" customHeight="1" thickBot="1">
      <c r="A120" s="206"/>
      <c r="B120" s="264"/>
      <c r="C120" s="200"/>
      <c r="D120" s="264"/>
      <c r="E120" s="200"/>
      <c r="F120" s="537"/>
      <c r="G120" s="200"/>
      <c r="H120" s="203"/>
      <c r="I120" s="200"/>
      <c r="J120" s="264"/>
      <c r="K120" s="200"/>
      <c r="L120" s="264"/>
      <c r="M120" s="200"/>
      <c r="N120" s="264"/>
      <c r="O120" s="200"/>
      <c r="P120" s="264"/>
      <c r="Q120" s="200"/>
      <c r="R120" s="264"/>
      <c r="S120" s="200"/>
      <c r="T120" s="264"/>
      <c r="U120" s="200"/>
      <c r="V120" s="264"/>
      <c r="W120" s="200"/>
      <c r="X120" s="264"/>
      <c r="Y120" s="200"/>
      <c r="Z120" s="264"/>
      <c r="AA120" s="200"/>
      <c r="AB120" s="264"/>
      <c r="AC120" s="200"/>
      <c r="AD120" s="264"/>
      <c r="AE120" s="200"/>
      <c r="AF120" s="574"/>
      <c r="AG120" s="711"/>
      <c r="AH120" s="707"/>
      <c r="AI120" s="707"/>
      <c r="AJ120" s="707"/>
      <c r="AK120" s="707"/>
      <c r="AL120" s="707"/>
      <c r="AM120" s="707"/>
      <c r="AN120" s="707"/>
      <c r="AO120" s="709"/>
    </row>
    <row r="121" spans="1:75" s="166" customFormat="1" ht="14.15" customHeight="1">
      <c r="A121" s="206"/>
      <c r="B121" s="254" t="s">
        <v>373</v>
      </c>
      <c r="C121" s="254"/>
      <c r="D121" s="254" t="s">
        <v>357</v>
      </c>
      <c r="E121" s="254"/>
      <c r="F121" s="254" t="s">
        <v>350</v>
      </c>
      <c r="G121" s="254"/>
      <c r="H121" s="254" t="s">
        <v>350</v>
      </c>
      <c r="I121" s="254"/>
      <c r="J121" s="254" t="s">
        <v>302</v>
      </c>
      <c r="K121" s="254"/>
      <c r="L121" s="254" t="s">
        <v>357</v>
      </c>
      <c r="M121" s="254"/>
      <c r="N121" s="254" t="s">
        <v>302</v>
      </c>
      <c r="O121" s="254"/>
      <c r="P121" s="254" t="s">
        <v>357</v>
      </c>
      <c r="Q121" s="254"/>
      <c r="R121" s="254" t="s">
        <v>350</v>
      </c>
      <c r="S121" s="254"/>
      <c r="T121" s="254" t="s">
        <v>357</v>
      </c>
      <c r="U121" s="254"/>
      <c r="V121" s="254" t="s">
        <v>350</v>
      </c>
      <c r="W121" s="254"/>
      <c r="X121" s="254" t="s">
        <v>350</v>
      </c>
      <c r="Y121" s="254"/>
      <c r="Z121" s="254" t="s">
        <v>357</v>
      </c>
      <c r="AA121" s="254"/>
      <c r="AB121" s="254" t="s">
        <v>330</v>
      </c>
      <c r="AC121" s="254"/>
      <c r="AD121" s="254" t="s">
        <v>591</v>
      </c>
      <c r="AE121" s="254"/>
      <c r="AF121" s="574"/>
      <c r="AG121" s="711"/>
      <c r="AH121" s="707"/>
      <c r="AI121" s="707"/>
      <c r="AJ121" s="707"/>
      <c r="AK121" s="707"/>
      <c r="AL121" s="707"/>
      <c r="AM121" s="707"/>
      <c r="AN121" s="707"/>
      <c r="AO121" s="709"/>
    </row>
    <row r="122" spans="1:75" s="166" customFormat="1" ht="14.15" customHeight="1" thickBot="1">
      <c r="A122" s="206"/>
      <c r="B122" s="200"/>
      <c r="C122" s="584" t="s">
        <v>1131</v>
      </c>
      <c r="D122" s="200"/>
      <c r="E122" s="254"/>
      <c r="F122" s="200"/>
      <c r="G122" s="254"/>
      <c r="H122" s="200"/>
      <c r="I122" s="254"/>
      <c r="J122" s="200"/>
      <c r="K122" s="604" t="s">
        <v>1129</v>
      </c>
      <c r="L122" s="200"/>
      <c r="M122" s="254"/>
      <c r="N122" s="200"/>
      <c r="O122" s="254"/>
      <c r="P122" s="200"/>
      <c r="Q122" s="254"/>
      <c r="R122" s="200"/>
      <c r="S122" s="254"/>
      <c r="T122" s="200"/>
      <c r="U122" s="585"/>
      <c r="V122" s="200"/>
      <c r="W122" s="200"/>
      <c r="X122" s="200"/>
      <c r="Y122" s="254"/>
      <c r="Z122" s="200"/>
      <c r="AA122" s="254"/>
      <c r="AB122" s="200"/>
      <c r="AC122" s="604" t="s">
        <v>1115</v>
      </c>
      <c r="AD122" s="200"/>
      <c r="AE122" s="604" t="s">
        <v>1115</v>
      </c>
      <c r="AF122" s="574"/>
      <c r="AG122" s="713"/>
      <c r="AH122" s="714"/>
      <c r="AI122" s="714"/>
      <c r="AJ122" s="714"/>
      <c r="AK122" s="714"/>
      <c r="AL122" s="714"/>
      <c r="AM122" s="714"/>
      <c r="AN122" s="714"/>
      <c r="AO122" s="715"/>
    </row>
    <row r="123" spans="1:75" s="166" customFormat="1" ht="13.5" customHeight="1">
      <c r="A123" s="206"/>
      <c r="B123" s="200"/>
      <c r="C123" s="200"/>
      <c r="D123" s="200"/>
      <c r="E123" s="200"/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R123" s="200"/>
      <c r="S123" s="584" t="s">
        <v>1132</v>
      </c>
      <c r="T123" s="200"/>
      <c r="U123" s="584" t="s">
        <v>1132</v>
      </c>
      <c r="V123" s="200"/>
      <c r="W123" s="200"/>
      <c r="X123" s="200"/>
      <c r="Y123" s="200"/>
      <c r="Z123" s="200"/>
      <c r="AA123" s="200"/>
      <c r="AB123" s="200"/>
      <c r="AC123" s="604" t="s">
        <v>1020</v>
      </c>
      <c r="AD123" s="200"/>
      <c r="AE123" s="604" t="s">
        <v>997</v>
      </c>
      <c r="AF123" s="574"/>
      <c r="AG123" s="711"/>
      <c r="AH123" s="707"/>
      <c r="AI123" s="707"/>
      <c r="AJ123" s="707"/>
      <c r="AK123" s="707"/>
      <c r="AL123" s="707"/>
      <c r="AM123" s="707"/>
      <c r="AN123" s="707"/>
      <c r="AO123" s="709"/>
    </row>
    <row r="124" spans="1:75" s="166" customFormat="1" ht="13.5" customHeight="1">
      <c r="A124" s="206"/>
      <c r="B124" s="200">
        <v>136</v>
      </c>
      <c r="C124" s="200"/>
      <c r="D124" s="200">
        <v>137</v>
      </c>
      <c r="E124" s="200"/>
      <c r="F124" s="200">
        <v>138</v>
      </c>
      <c r="G124" s="200"/>
      <c r="H124" s="200">
        <v>139</v>
      </c>
      <c r="I124" s="200"/>
      <c r="J124" s="200">
        <v>140</v>
      </c>
      <c r="K124" s="200"/>
      <c r="L124" s="200">
        <v>141</v>
      </c>
      <c r="M124" s="200"/>
      <c r="N124" s="200">
        <v>142</v>
      </c>
      <c r="O124" s="200"/>
      <c r="P124" s="200">
        <v>143</v>
      </c>
      <c r="Q124" s="200"/>
      <c r="R124" s="200">
        <v>144</v>
      </c>
      <c r="S124" s="200"/>
      <c r="T124" s="200">
        <v>145</v>
      </c>
      <c r="U124" s="200"/>
      <c r="V124" s="200">
        <v>146</v>
      </c>
      <c r="W124" s="200"/>
      <c r="X124" s="200">
        <v>147</v>
      </c>
      <c r="Y124" s="200"/>
      <c r="Z124" s="200">
        <v>148</v>
      </c>
      <c r="AA124" s="200"/>
      <c r="AB124" s="200">
        <v>149</v>
      </c>
      <c r="AC124" s="200"/>
      <c r="AD124" s="200">
        <v>150</v>
      </c>
      <c r="AE124" s="200"/>
      <c r="AF124" s="574"/>
      <c r="AG124" s="711"/>
      <c r="AH124" s="707"/>
      <c r="AI124" s="707"/>
      <c r="AJ124" s="707"/>
      <c r="AK124" s="707"/>
      <c r="AL124" s="707"/>
      <c r="AM124" s="707"/>
      <c r="AN124" s="707"/>
      <c r="AO124" s="709"/>
    </row>
    <row r="125" spans="1:75" s="166" customFormat="1" ht="13.5" customHeight="1">
      <c r="A125" s="206"/>
      <c r="B125" s="254" t="s">
        <v>592</v>
      </c>
      <c r="C125" s="254"/>
      <c r="D125" s="254" t="s">
        <v>165</v>
      </c>
      <c r="E125" s="254"/>
      <c r="F125" s="254" t="s">
        <v>593</v>
      </c>
      <c r="G125" s="254"/>
      <c r="H125" s="254" t="s">
        <v>594</v>
      </c>
      <c r="I125" s="254"/>
      <c r="J125" s="254" t="s">
        <v>595</v>
      </c>
      <c r="K125" s="254"/>
      <c r="L125" s="254" t="s">
        <v>596</v>
      </c>
      <c r="M125" s="254"/>
      <c r="N125" s="254" t="s">
        <v>597</v>
      </c>
      <c r="O125" s="254"/>
      <c r="P125" s="254" t="s">
        <v>598</v>
      </c>
      <c r="Q125" s="254"/>
      <c r="R125" s="254" t="s">
        <v>599</v>
      </c>
      <c r="S125" s="254"/>
      <c r="T125" s="254" t="s">
        <v>600</v>
      </c>
      <c r="U125" s="254"/>
      <c r="V125" s="254" t="s">
        <v>601</v>
      </c>
      <c r="W125" s="254"/>
      <c r="X125" s="254" t="s">
        <v>602</v>
      </c>
      <c r="Y125" s="200"/>
      <c r="Z125" s="254" t="s">
        <v>182</v>
      </c>
      <c r="AA125" s="254"/>
      <c r="AB125" s="254" t="s">
        <v>141</v>
      </c>
      <c r="AC125" s="254"/>
      <c r="AD125" s="254" t="s">
        <v>449</v>
      </c>
      <c r="AE125" s="254"/>
      <c r="AF125" s="574"/>
      <c r="AG125" s="711"/>
      <c r="AH125" s="707"/>
      <c r="AI125" s="707"/>
      <c r="AJ125" s="707"/>
      <c r="AK125" s="707"/>
      <c r="AL125" s="707"/>
      <c r="AM125" s="707"/>
      <c r="AN125" s="707"/>
      <c r="AO125" s="709"/>
    </row>
    <row r="126" spans="1:75" s="166" customFormat="1" ht="13.5" customHeight="1">
      <c r="A126" s="206"/>
      <c r="B126" s="200"/>
      <c r="C126" s="200"/>
      <c r="D126" s="200"/>
      <c r="E126" s="200"/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  <c r="V126" s="200"/>
      <c r="W126" s="200"/>
      <c r="X126" s="200"/>
      <c r="Y126" s="200"/>
      <c r="Z126" s="200"/>
      <c r="AA126" s="200"/>
      <c r="AB126" s="200"/>
      <c r="AC126" s="200"/>
      <c r="AD126" s="200"/>
      <c r="AE126" s="200"/>
      <c r="AF126" s="574"/>
      <c r="AG126" s="711"/>
      <c r="AH126" s="707"/>
      <c r="AI126" s="707"/>
      <c r="AJ126" s="707"/>
      <c r="AK126" s="707"/>
      <c r="AL126" s="707"/>
      <c r="AM126" s="707"/>
      <c r="AN126" s="707"/>
      <c r="AO126" s="709"/>
    </row>
    <row r="127" spans="1:75" s="166" customFormat="1" ht="13.5" customHeight="1">
      <c r="A127" s="206"/>
      <c r="B127" s="254"/>
      <c r="C127" s="254"/>
      <c r="D127" s="254"/>
      <c r="E127" s="200"/>
      <c r="F127" s="254"/>
      <c r="G127" s="254"/>
      <c r="H127" s="254"/>
      <c r="I127" s="200"/>
      <c r="J127" s="254"/>
      <c r="K127" s="254"/>
      <c r="L127" s="254"/>
      <c r="M127" s="254"/>
      <c r="N127" s="254"/>
      <c r="O127" s="254"/>
      <c r="P127" s="254"/>
      <c r="Q127" s="254"/>
      <c r="R127" s="254"/>
      <c r="S127" s="254"/>
      <c r="T127" s="254"/>
      <c r="U127" s="254"/>
      <c r="V127" s="254"/>
      <c r="W127" s="254"/>
      <c r="X127" s="254"/>
      <c r="Y127" s="200"/>
      <c r="Z127" s="254"/>
      <c r="AA127" s="254"/>
      <c r="AB127" s="254"/>
      <c r="AC127" s="200"/>
      <c r="AD127" s="254"/>
      <c r="AE127" s="254"/>
      <c r="AF127" s="574"/>
      <c r="AG127" s="711"/>
      <c r="AH127" s="707"/>
      <c r="AI127" s="707"/>
      <c r="AJ127" s="707"/>
      <c r="AK127" s="707"/>
      <c r="AL127" s="707"/>
      <c r="AM127" s="707"/>
      <c r="AN127" s="707"/>
      <c r="AO127" s="709"/>
    </row>
    <row r="128" spans="1:75" s="166" customFormat="1" ht="13.5" customHeight="1" thickBot="1">
      <c r="A128" s="206"/>
      <c r="B128" s="254"/>
      <c r="C128" s="254"/>
      <c r="D128" s="254"/>
      <c r="E128" s="200"/>
      <c r="F128" s="254"/>
      <c r="G128" s="254"/>
      <c r="H128" s="254"/>
      <c r="I128" s="200"/>
      <c r="J128" s="254"/>
      <c r="K128" s="254"/>
      <c r="L128" s="254"/>
      <c r="M128" s="254"/>
      <c r="N128" s="254"/>
      <c r="O128" s="254"/>
      <c r="P128" s="254"/>
      <c r="Q128" s="254"/>
      <c r="R128" s="254"/>
      <c r="S128" s="254"/>
      <c r="T128" s="254"/>
      <c r="U128" s="254"/>
      <c r="V128" s="254"/>
      <c r="W128" s="254"/>
      <c r="X128" s="254"/>
      <c r="Y128" s="200"/>
      <c r="Z128" s="254"/>
      <c r="AA128" s="254"/>
      <c r="AB128" s="254"/>
      <c r="AC128" s="200"/>
      <c r="AD128" s="254"/>
      <c r="AE128" s="254"/>
      <c r="AF128" s="574"/>
      <c r="AG128" s="711"/>
      <c r="AH128" s="707"/>
      <c r="AI128" s="707"/>
      <c r="AJ128" s="707"/>
      <c r="AK128" s="707"/>
      <c r="AL128" s="707"/>
      <c r="AM128" s="707"/>
      <c r="AN128" s="707"/>
      <c r="AO128" s="709"/>
    </row>
    <row r="129" spans="1:75" s="166" customFormat="1" ht="13.5" customHeight="1">
      <c r="A129" s="206"/>
      <c r="B129" s="261"/>
      <c r="C129" s="579"/>
      <c r="D129" s="261"/>
      <c r="E129" s="579"/>
      <c r="F129" s="261"/>
      <c r="G129" s="579"/>
      <c r="H129" s="261"/>
      <c r="I129" s="579"/>
      <c r="J129" s="261"/>
      <c r="K129" s="579"/>
      <c r="L129" s="261"/>
      <c r="M129" s="579"/>
      <c r="N129" s="261"/>
      <c r="O129" s="579"/>
      <c r="P129" s="261"/>
      <c r="Q129" s="579"/>
      <c r="R129" s="261"/>
      <c r="S129" s="579"/>
      <c r="T129" s="261"/>
      <c r="U129" s="579"/>
      <c r="V129" s="261"/>
      <c r="W129" s="579"/>
      <c r="X129" s="261"/>
      <c r="Y129" s="579"/>
      <c r="Z129" s="261"/>
      <c r="AA129" s="579"/>
      <c r="AB129" s="261"/>
      <c r="AC129" s="579"/>
      <c r="AD129" s="184"/>
      <c r="AE129" s="579"/>
      <c r="AF129" s="574"/>
      <c r="AG129" s="711"/>
      <c r="AH129" s="707"/>
      <c r="AI129" s="707"/>
      <c r="AJ129" s="707"/>
      <c r="AK129" s="707"/>
      <c r="AL129" s="707"/>
      <c r="AM129" s="707"/>
      <c r="AN129" s="707"/>
      <c r="AO129" s="709"/>
    </row>
    <row r="130" spans="1:75" s="166" customFormat="1" ht="13.5" customHeight="1">
      <c r="A130" s="206"/>
      <c r="B130" s="263"/>
      <c r="C130" s="581">
        <v>428.053</v>
      </c>
      <c r="D130" s="263"/>
      <c r="E130" s="581">
        <v>155.72499999999999</v>
      </c>
      <c r="F130" s="263"/>
      <c r="G130" s="581">
        <v>387</v>
      </c>
      <c r="H130" s="263"/>
      <c r="I130" s="581">
        <v>344</v>
      </c>
      <c r="J130" s="263"/>
      <c r="K130" s="581">
        <v>384</v>
      </c>
      <c r="L130" s="263"/>
      <c r="M130" s="581">
        <v>391</v>
      </c>
      <c r="N130" s="263"/>
      <c r="O130" s="581">
        <v>426</v>
      </c>
      <c r="P130" s="263"/>
      <c r="Q130" s="581">
        <v>328.995</v>
      </c>
      <c r="R130" s="263"/>
      <c r="S130" s="581">
        <v>428.03899999999999</v>
      </c>
      <c r="T130" s="263"/>
      <c r="U130" s="581">
        <v>314</v>
      </c>
      <c r="V130" s="263"/>
      <c r="W130" s="581">
        <v>365.78</v>
      </c>
      <c r="X130" s="262"/>
      <c r="Y130" s="581">
        <v>407</v>
      </c>
      <c r="Z130" s="263" t="s">
        <v>550</v>
      </c>
      <c r="AA130" s="581">
        <v>276</v>
      </c>
      <c r="AB130" s="263" t="s">
        <v>550</v>
      </c>
      <c r="AC130" s="581">
        <v>410</v>
      </c>
      <c r="AD130" s="187"/>
      <c r="AE130" s="581">
        <v>418</v>
      </c>
      <c r="AF130" s="574"/>
      <c r="AG130" s="711"/>
      <c r="AH130" s="707"/>
      <c r="AI130" s="707"/>
      <c r="AJ130" s="707"/>
      <c r="AK130" s="707"/>
      <c r="AL130" s="707"/>
      <c r="AM130" s="707"/>
      <c r="AN130" s="707"/>
      <c r="AO130" s="709"/>
      <c r="BV130" s="500">
        <v>1</v>
      </c>
      <c r="BW130" s="500">
        <v>0</v>
      </c>
    </row>
    <row r="131" spans="1:75" s="166" customFormat="1" ht="13.5" customHeight="1" thickBot="1">
      <c r="A131" s="206"/>
      <c r="B131" s="264"/>
      <c r="C131" s="200"/>
      <c r="D131" s="264"/>
      <c r="E131" s="200"/>
      <c r="F131" s="264"/>
      <c r="G131" s="200"/>
      <c r="H131" s="264"/>
      <c r="I131" s="200"/>
      <c r="J131" s="264"/>
      <c r="K131" s="200"/>
      <c r="L131" s="264"/>
      <c r="M131" s="200"/>
      <c r="N131" s="264"/>
      <c r="O131" s="200"/>
      <c r="P131" s="264"/>
      <c r="Q131" s="200"/>
      <c r="R131" s="264"/>
      <c r="S131" s="200"/>
      <c r="T131" s="264"/>
      <c r="U131" s="200"/>
      <c r="V131" s="264"/>
      <c r="W131" s="200"/>
      <c r="X131" s="264"/>
      <c r="Y131" s="200"/>
      <c r="Z131" s="264"/>
      <c r="AA131" s="200"/>
      <c r="AB131" s="264"/>
      <c r="AC131" s="200"/>
      <c r="AD131" s="189"/>
      <c r="AE131" s="200"/>
      <c r="AF131" s="574"/>
      <c r="AG131" s="711"/>
      <c r="AH131" s="707"/>
      <c r="AI131" s="707"/>
      <c r="AJ131" s="707"/>
      <c r="AK131" s="707"/>
      <c r="AL131" s="707"/>
      <c r="AM131" s="707"/>
      <c r="AN131" s="707"/>
      <c r="AO131" s="709"/>
    </row>
    <row r="132" spans="1:75" s="166" customFormat="1" ht="14.15" customHeight="1">
      <c r="A132" s="206"/>
      <c r="B132" s="254" t="s">
        <v>350</v>
      </c>
      <c r="C132" s="254"/>
      <c r="D132" s="254" t="s">
        <v>305</v>
      </c>
      <c r="E132" s="254"/>
      <c r="F132" s="254" t="s">
        <v>305</v>
      </c>
      <c r="G132" s="254"/>
      <c r="H132" s="254" t="s">
        <v>396</v>
      </c>
      <c r="I132" s="254"/>
      <c r="J132" s="254" t="s">
        <v>350</v>
      </c>
      <c r="K132" s="254"/>
      <c r="L132" s="254" t="s">
        <v>350</v>
      </c>
      <c r="M132" s="254"/>
      <c r="N132" s="254" t="s">
        <v>350</v>
      </c>
      <c r="O132" s="254"/>
      <c r="P132" s="254" t="s">
        <v>322</v>
      </c>
      <c r="Q132" s="254"/>
      <c r="R132" s="254" t="s">
        <v>561</v>
      </c>
      <c r="S132" s="254"/>
      <c r="T132" s="254" t="s">
        <v>302</v>
      </c>
      <c r="U132" s="254"/>
      <c r="V132" s="254" t="s">
        <v>350</v>
      </c>
      <c r="W132" s="254"/>
      <c r="X132" s="254" t="s">
        <v>396</v>
      </c>
      <c r="Y132" s="254"/>
      <c r="Z132" s="254" t="s">
        <v>305</v>
      </c>
      <c r="AA132" s="254"/>
      <c r="AB132" s="254" t="s">
        <v>560</v>
      </c>
      <c r="AC132" s="254"/>
      <c r="AD132" s="254" t="s">
        <v>357</v>
      </c>
      <c r="AE132" s="254"/>
      <c r="AF132" s="574"/>
      <c r="AG132" s="711"/>
      <c r="AH132" s="707"/>
      <c r="AI132" s="707"/>
      <c r="AJ132" s="707"/>
      <c r="AK132" s="707"/>
      <c r="AL132" s="707"/>
      <c r="AM132" s="707"/>
      <c r="AN132" s="707"/>
      <c r="AO132" s="709"/>
    </row>
    <row r="133" spans="1:75" s="166" customFormat="1" ht="14.15" customHeight="1">
      <c r="A133" s="206"/>
      <c r="B133" s="200"/>
      <c r="C133" s="200"/>
      <c r="D133" s="200"/>
      <c r="E133" s="200"/>
      <c r="F133" s="200"/>
      <c r="G133" s="200"/>
      <c r="H133" s="200"/>
      <c r="I133" s="200"/>
      <c r="J133" s="200"/>
      <c r="K133" s="200"/>
      <c r="L133" s="200"/>
      <c r="M133" s="254"/>
      <c r="N133" s="200"/>
      <c r="O133" s="254"/>
      <c r="P133" s="200"/>
      <c r="Q133" s="254"/>
      <c r="R133" s="200"/>
      <c r="S133" s="200"/>
      <c r="T133" s="200"/>
      <c r="U133" s="200"/>
      <c r="V133" s="200"/>
      <c r="W133" s="200"/>
      <c r="X133" s="200"/>
      <c r="Y133" s="200"/>
      <c r="Z133" s="200"/>
      <c r="AA133" s="200"/>
      <c r="AB133" s="200"/>
      <c r="AC133" s="200"/>
      <c r="AD133" s="200"/>
      <c r="AE133" s="200"/>
      <c r="AF133" s="574"/>
      <c r="AG133" s="712"/>
      <c r="AH133" s="708"/>
      <c r="AI133" s="708"/>
      <c r="AJ133" s="708"/>
      <c r="AK133" s="708"/>
      <c r="AL133" s="708"/>
      <c r="AM133" s="708"/>
      <c r="AN133" s="708"/>
      <c r="AO133" s="710"/>
    </row>
    <row r="134" spans="1:75" s="166" customFormat="1" ht="13.5" customHeight="1">
      <c r="A134" s="206"/>
      <c r="B134" s="200"/>
      <c r="C134" s="200"/>
      <c r="D134" s="200"/>
      <c r="E134" s="584" t="s">
        <v>1133</v>
      </c>
      <c r="F134" s="200"/>
      <c r="G134" s="584" t="s">
        <v>1134</v>
      </c>
      <c r="H134" s="200"/>
      <c r="I134" s="584" t="s">
        <v>1135</v>
      </c>
      <c r="J134" s="200"/>
      <c r="K134" s="200"/>
      <c r="L134" s="200"/>
      <c r="M134" s="200"/>
      <c r="N134" s="200"/>
      <c r="O134" s="584" t="s">
        <v>1135</v>
      </c>
      <c r="P134" s="200"/>
      <c r="Q134" s="604" t="s">
        <v>1115</v>
      </c>
      <c r="R134" s="200"/>
      <c r="S134" s="584" t="s">
        <v>1137</v>
      </c>
      <c r="T134" s="200"/>
      <c r="U134" s="200"/>
      <c r="V134" s="200"/>
      <c r="W134" s="584" t="s">
        <v>1137</v>
      </c>
      <c r="X134" s="200"/>
      <c r="Y134" s="200"/>
      <c r="Z134" s="200"/>
      <c r="AA134" s="604" t="s">
        <v>1112</v>
      </c>
      <c r="AB134" s="200"/>
      <c r="AC134" s="200"/>
      <c r="AD134" s="200"/>
      <c r="AE134" s="584" t="s">
        <v>1126</v>
      </c>
      <c r="AF134" s="574"/>
      <c r="AG134" s="197">
        <v>10</v>
      </c>
      <c r="AH134" s="156">
        <v>7</v>
      </c>
      <c r="AI134" s="156">
        <f>AG134-AH134</f>
        <v>3</v>
      </c>
      <c r="AJ134" s="156">
        <f>COUNTA($B$125:$I$125)</f>
        <v>4</v>
      </c>
      <c r="AK134" s="156">
        <v>6</v>
      </c>
      <c r="AL134" s="156">
        <v>5</v>
      </c>
      <c r="AM134" s="156"/>
      <c r="AN134" s="156"/>
      <c r="AO134" s="190"/>
    </row>
    <row r="135" spans="1:75" s="166" customFormat="1" ht="13.5" customHeight="1">
      <c r="A135" s="206"/>
      <c r="B135" s="200"/>
      <c r="C135" s="200"/>
      <c r="D135" s="200"/>
      <c r="E135" s="200"/>
      <c r="F135" s="200"/>
      <c r="G135" s="200"/>
      <c r="H135" s="200"/>
      <c r="I135" s="200"/>
      <c r="J135" s="200"/>
      <c r="K135" s="200"/>
      <c r="L135" s="200"/>
      <c r="M135" s="200"/>
      <c r="N135" s="200"/>
      <c r="O135" s="200"/>
      <c r="P135" s="200"/>
      <c r="Q135" s="584" t="s">
        <v>1136</v>
      </c>
      <c r="R135" s="200"/>
      <c r="S135" s="200"/>
      <c r="T135" s="200"/>
      <c r="U135" s="200"/>
      <c r="V135" s="200"/>
      <c r="W135" s="200"/>
      <c r="X135" s="200"/>
      <c r="Y135" s="200"/>
      <c r="Z135" s="200"/>
      <c r="AA135" s="584" t="s">
        <v>1136</v>
      </c>
      <c r="AB135" s="200"/>
      <c r="AC135" s="200"/>
      <c r="AD135" s="200"/>
      <c r="AE135" s="200"/>
      <c r="AF135" s="605"/>
      <c r="AG135" s="197">
        <v>10</v>
      </c>
      <c r="AH135" s="156">
        <v>3</v>
      </c>
      <c r="AI135" s="156">
        <f>AG135-AH135</f>
        <v>7</v>
      </c>
      <c r="AJ135" s="156">
        <f>COUNTA($F$125:$V$125)</f>
        <v>9</v>
      </c>
      <c r="AK135" s="156"/>
      <c r="AL135" s="156">
        <v>5</v>
      </c>
      <c r="AM135" s="156"/>
      <c r="AN135" s="156"/>
      <c r="AO135" s="190"/>
    </row>
    <row r="136" spans="1:75" s="166" customFormat="1" ht="13.5" customHeight="1">
      <c r="A136" s="206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200"/>
      <c r="U136" s="200"/>
      <c r="V136" s="200"/>
      <c r="W136" s="200"/>
      <c r="X136" s="200"/>
      <c r="Y136" s="200"/>
      <c r="Z136" s="200"/>
      <c r="AA136" s="200"/>
      <c r="AB136" s="200"/>
      <c r="AC136" s="200"/>
      <c r="AD136" s="200"/>
      <c r="AE136" s="200"/>
      <c r="AF136" s="605"/>
      <c r="AG136" s="320"/>
      <c r="AH136" s="321"/>
      <c r="AI136" s="321"/>
      <c r="AJ136" s="321"/>
      <c r="AK136" s="321"/>
      <c r="AL136" s="321"/>
      <c r="AM136" s="321"/>
      <c r="AN136" s="321"/>
      <c r="AO136" s="322"/>
    </row>
    <row r="137" spans="1:75" s="166" customFormat="1" ht="13.5" customHeight="1">
      <c r="A137" s="206"/>
      <c r="B137" s="200">
        <v>151</v>
      </c>
      <c r="C137" s="200"/>
      <c r="D137" s="200">
        <v>152</v>
      </c>
      <c r="E137" s="200"/>
      <c r="F137" s="200">
        <v>153</v>
      </c>
      <c r="G137" s="200"/>
      <c r="H137" s="200">
        <v>154</v>
      </c>
      <c r="I137" s="200"/>
      <c r="J137" s="200">
        <v>155</v>
      </c>
      <c r="K137" s="200"/>
      <c r="L137" s="200">
        <v>156</v>
      </c>
      <c r="M137" s="200"/>
      <c r="N137" s="200">
        <v>157</v>
      </c>
      <c r="O137" s="200"/>
      <c r="P137" s="200">
        <v>158</v>
      </c>
      <c r="Q137" s="200"/>
      <c r="R137" s="200">
        <v>159</v>
      </c>
      <c r="S137" s="200"/>
      <c r="T137" s="200">
        <v>160</v>
      </c>
      <c r="U137" s="200"/>
      <c r="V137" s="200">
        <v>161</v>
      </c>
      <c r="W137" s="200"/>
      <c r="X137" s="200">
        <v>162</v>
      </c>
      <c r="Y137" s="200"/>
      <c r="Z137" s="200">
        <v>163</v>
      </c>
      <c r="AA137" s="200"/>
      <c r="AB137" s="200">
        <v>164</v>
      </c>
      <c r="AC137" s="200"/>
      <c r="AD137" s="200">
        <v>165</v>
      </c>
      <c r="AE137" s="200"/>
      <c r="AF137" s="574"/>
      <c r="AG137" s="320"/>
      <c r="AH137" s="321"/>
      <c r="AI137" s="321"/>
      <c r="AJ137" s="321"/>
      <c r="AK137" s="321"/>
      <c r="AL137" s="321"/>
      <c r="AM137" s="321"/>
      <c r="AN137" s="322"/>
    </row>
    <row r="138" spans="1:75" s="166" customFormat="1" ht="13.5" customHeight="1">
      <c r="A138" s="206"/>
      <c r="B138" s="254" t="s">
        <v>438</v>
      </c>
      <c r="C138" s="254"/>
      <c r="D138" s="254" t="s">
        <v>441</v>
      </c>
      <c r="E138" s="254"/>
      <c r="F138" s="254" t="s">
        <v>443</v>
      </c>
      <c r="G138" s="254"/>
      <c r="H138" s="254" t="s">
        <v>603</v>
      </c>
      <c r="I138" s="254"/>
      <c r="J138" s="254" t="s">
        <v>604</v>
      </c>
      <c r="K138" s="254"/>
      <c r="L138" s="254" t="s">
        <v>605</v>
      </c>
      <c r="M138" s="254"/>
      <c r="N138" s="254" t="s">
        <v>606</v>
      </c>
      <c r="O138" s="254"/>
      <c r="P138" s="254" t="s">
        <v>607</v>
      </c>
      <c r="Q138" s="254"/>
      <c r="R138" s="254" t="s">
        <v>608</v>
      </c>
      <c r="S138" s="254"/>
      <c r="T138" s="254" t="s">
        <v>609</v>
      </c>
      <c r="U138" s="254"/>
      <c r="V138" s="254" t="s">
        <v>610</v>
      </c>
      <c r="W138" s="254"/>
      <c r="X138" s="254" t="s">
        <v>611</v>
      </c>
      <c r="Y138" s="254"/>
      <c r="Z138" s="254" t="s">
        <v>612</v>
      </c>
      <c r="AA138" s="254"/>
      <c r="AB138" s="304" t="s">
        <v>745</v>
      </c>
      <c r="AC138" s="254"/>
      <c r="AD138" s="304" t="s">
        <v>142</v>
      </c>
      <c r="AE138" s="254"/>
      <c r="AF138" s="574"/>
      <c r="AG138" s="320"/>
      <c r="AH138" s="321"/>
      <c r="AI138" s="321"/>
      <c r="AJ138" s="321"/>
      <c r="AK138" s="321"/>
      <c r="AL138" s="321"/>
      <c r="AM138" s="321"/>
      <c r="AN138" s="322"/>
    </row>
    <row r="139" spans="1:75" s="166" customFormat="1" ht="13.5" customHeight="1">
      <c r="A139" s="206"/>
      <c r="B139" s="200"/>
      <c r="C139" s="200"/>
      <c r="D139" s="200"/>
      <c r="E139" s="200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200"/>
      <c r="S139" s="200"/>
      <c r="T139" s="200"/>
      <c r="U139" s="200"/>
      <c r="V139" s="200"/>
      <c r="W139" s="200"/>
      <c r="X139" s="200"/>
      <c r="Y139" s="200"/>
      <c r="Z139" s="200"/>
      <c r="AA139" s="200"/>
      <c r="AB139" s="200"/>
      <c r="AC139" s="200"/>
      <c r="AD139" s="200"/>
      <c r="AE139" s="200"/>
      <c r="AF139" s="574"/>
      <c r="AG139" s="320"/>
      <c r="AH139" s="321"/>
      <c r="AI139" s="321"/>
      <c r="AJ139" s="321"/>
      <c r="AK139" s="321"/>
      <c r="AL139" s="321"/>
      <c r="AM139" s="321"/>
      <c r="AN139" s="322"/>
    </row>
    <row r="140" spans="1:75" s="166" customFormat="1" ht="13.5" customHeight="1">
      <c r="A140" s="206"/>
      <c r="B140" s="254"/>
      <c r="C140" s="254"/>
      <c r="D140" s="254"/>
      <c r="E140" s="254"/>
      <c r="F140" s="254"/>
      <c r="G140" s="254"/>
      <c r="H140" s="254"/>
      <c r="I140" s="254"/>
      <c r="J140" s="254"/>
      <c r="K140" s="254"/>
      <c r="L140" s="254"/>
      <c r="M140" s="254"/>
      <c r="N140" s="254"/>
      <c r="O140" s="254"/>
      <c r="P140" s="254"/>
      <c r="Q140" s="254"/>
      <c r="R140" s="254"/>
      <c r="S140" s="200"/>
      <c r="T140" s="254"/>
      <c r="U140" s="254"/>
      <c r="V140" s="254"/>
      <c r="W140" s="254"/>
      <c r="X140" s="254"/>
      <c r="Y140" s="254"/>
      <c r="Z140" s="254"/>
      <c r="AA140" s="254"/>
      <c r="AB140" s="254"/>
      <c r="AC140" s="254"/>
      <c r="AD140" s="254"/>
      <c r="AE140" s="254"/>
      <c r="AF140" s="574"/>
      <c r="AG140" s="320"/>
      <c r="AH140" s="321"/>
      <c r="AI140" s="321"/>
      <c r="AJ140" s="321"/>
      <c r="AK140" s="321"/>
      <c r="AL140" s="321"/>
      <c r="AM140" s="321"/>
      <c r="AN140" s="322"/>
    </row>
    <row r="141" spans="1:75" s="166" customFormat="1" ht="13.5" customHeight="1" thickBot="1">
      <c r="A141" s="206"/>
      <c r="B141" s="254"/>
      <c r="C141" s="254"/>
      <c r="D141" s="254"/>
      <c r="E141" s="254"/>
      <c r="F141" s="254"/>
      <c r="G141" s="254"/>
      <c r="H141" s="254"/>
      <c r="I141" s="254"/>
      <c r="J141" s="254"/>
      <c r="K141" s="254"/>
      <c r="L141" s="254"/>
      <c r="M141" s="254"/>
      <c r="N141" s="254"/>
      <c r="O141" s="254"/>
      <c r="P141" s="254"/>
      <c r="Q141" s="254"/>
      <c r="R141" s="254"/>
      <c r="S141" s="200"/>
      <c r="T141" s="254"/>
      <c r="U141" s="254"/>
      <c r="V141" s="254"/>
      <c r="W141" s="254"/>
      <c r="X141" s="254"/>
      <c r="Y141" s="254"/>
      <c r="Z141" s="254"/>
      <c r="AA141" s="254"/>
      <c r="AB141" s="254"/>
      <c r="AC141" s="254"/>
      <c r="AD141" s="254"/>
      <c r="AE141" s="254"/>
      <c r="AF141" s="574"/>
      <c r="AG141" s="320"/>
      <c r="AH141" s="321"/>
      <c r="AI141" s="321"/>
      <c r="AJ141" s="321"/>
      <c r="AK141" s="321"/>
      <c r="AL141" s="321"/>
      <c r="AM141" s="321"/>
      <c r="AN141" s="322"/>
    </row>
    <row r="142" spans="1:75" s="166" customFormat="1" ht="13.5" customHeight="1">
      <c r="A142" s="206"/>
      <c r="B142" s="184"/>
      <c r="C142" s="579"/>
      <c r="D142" s="184"/>
      <c r="E142" s="579"/>
      <c r="F142" s="184"/>
      <c r="G142" s="579"/>
      <c r="H142" s="261"/>
      <c r="I142" s="579"/>
      <c r="J142" s="261"/>
      <c r="K142" s="579"/>
      <c r="L142" s="261"/>
      <c r="M142" s="579"/>
      <c r="N142" s="261"/>
      <c r="O142" s="579"/>
      <c r="P142" s="261"/>
      <c r="Q142" s="579"/>
      <c r="R142" s="261"/>
      <c r="S142" s="579"/>
      <c r="T142" s="261"/>
      <c r="U142" s="579"/>
      <c r="V142" s="261"/>
      <c r="W142" s="579"/>
      <c r="X142" s="261"/>
      <c r="Y142" s="579"/>
      <c r="Z142" s="261"/>
      <c r="AA142" s="579"/>
      <c r="AB142" s="261"/>
      <c r="AC142" s="579"/>
      <c r="AD142" s="261"/>
      <c r="AE142" s="579"/>
      <c r="AF142" s="580"/>
      <c r="AG142" s="320"/>
      <c r="AH142" s="321"/>
      <c r="AI142" s="321"/>
      <c r="AJ142" s="321"/>
      <c r="AK142" s="321"/>
      <c r="AL142" s="321"/>
      <c r="AM142" s="321"/>
      <c r="AN142" s="322"/>
      <c r="BV142" s="500">
        <v>3</v>
      </c>
      <c r="BW142" s="500">
        <v>0</v>
      </c>
    </row>
    <row r="143" spans="1:75" s="166" customFormat="1" ht="13.5" customHeight="1">
      <c r="A143" s="206"/>
      <c r="B143" s="187"/>
      <c r="C143" s="581">
        <v>383</v>
      </c>
      <c r="D143" s="187"/>
      <c r="E143" s="581">
        <v>409</v>
      </c>
      <c r="F143" s="187"/>
      <c r="G143" s="581">
        <v>420</v>
      </c>
      <c r="H143" s="263"/>
      <c r="I143" s="581">
        <v>414</v>
      </c>
      <c r="J143" s="263"/>
      <c r="K143" s="581">
        <v>406</v>
      </c>
      <c r="L143" s="263"/>
      <c r="M143" s="581">
        <v>403.13900000000001</v>
      </c>
      <c r="N143" s="263"/>
      <c r="O143" s="581">
        <v>381.59</v>
      </c>
      <c r="P143" s="263"/>
      <c r="Q143" s="606">
        <v>357.99599999999998</v>
      </c>
      <c r="R143" s="263"/>
      <c r="S143" s="581">
        <v>365</v>
      </c>
      <c r="T143" s="263"/>
      <c r="U143" s="581">
        <v>378</v>
      </c>
      <c r="V143" s="263"/>
      <c r="W143" s="606">
        <v>370</v>
      </c>
      <c r="X143" s="262"/>
      <c r="Y143" s="581">
        <v>437.53399999999999</v>
      </c>
      <c r="Z143" s="263"/>
      <c r="AA143" s="581"/>
      <c r="AB143" s="263"/>
      <c r="AC143" s="581">
        <v>411</v>
      </c>
      <c r="AD143" s="263"/>
      <c r="AE143" s="606">
        <v>345</v>
      </c>
      <c r="AF143" s="574"/>
      <c r="AG143" s="320"/>
      <c r="AH143" s="321"/>
      <c r="AI143" s="321"/>
      <c r="AJ143" s="321"/>
      <c r="AK143" s="321"/>
      <c r="AL143" s="321"/>
      <c r="AM143" s="321"/>
      <c r="AN143" s="322"/>
    </row>
    <row r="144" spans="1:75" s="166" customFormat="1" ht="13.5" customHeight="1" thickBot="1">
      <c r="A144" s="206"/>
      <c r="B144" s="189"/>
      <c r="C144" s="200"/>
      <c r="D144" s="189"/>
      <c r="E144" s="200"/>
      <c r="F144" s="189"/>
      <c r="G144" s="200"/>
      <c r="H144" s="264"/>
      <c r="I144" s="200"/>
      <c r="J144" s="264"/>
      <c r="K144" s="200"/>
      <c r="L144" s="264"/>
      <c r="M144" s="200"/>
      <c r="N144" s="264"/>
      <c r="O144" s="200"/>
      <c r="P144" s="264"/>
      <c r="Q144" s="254"/>
      <c r="R144" s="264"/>
      <c r="S144" s="200"/>
      <c r="T144" s="264"/>
      <c r="U144" s="200"/>
      <c r="V144" s="264"/>
      <c r="W144" s="254"/>
      <c r="X144" s="264"/>
      <c r="Y144" s="200"/>
      <c r="Z144" s="264"/>
      <c r="AA144" s="200"/>
      <c r="AB144" s="264"/>
      <c r="AC144" s="200"/>
      <c r="AD144" s="264"/>
      <c r="AE144" s="254"/>
      <c r="AF144" s="574"/>
      <c r="AG144" s="320"/>
      <c r="AH144" s="321"/>
      <c r="AI144" s="321"/>
      <c r="AJ144" s="321"/>
      <c r="AK144" s="321"/>
      <c r="AL144" s="321"/>
      <c r="AM144" s="321"/>
      <c r="AN144" s="322"/>
    </row>
    <row r="145" spans="1:40" s="166" customFormat="1" ht="14.15" customHeight="1">
      <c r="A145" s="206"/>
      <c r="B145" s="254" t="s">
        <v>350</v>
      </c>
      <c r="C145" s="254"/>
      <c r="D145" s="254" t="s">
        <v>350</v>
      </c>
      <c r="E145" s="254"/>
      <c r="F145" s="254" t="s">
        <v>357</v>
      </c>
      <c r="G145" s="254"/>
      <c r="H145" s="254" t="s">
        <v>350</v>
      </c>
      <c r="I145" s="254"/>
      <c r="J145" s="254" t="s">
        <v>357</v>
      </c>
      <c r="K145" s="254"/>
      <c r="L145" s="254" t="s">
        <v>302</v>
      </c>
      <c r="M145" s="254"/>
      <c r="N145" s="254" t="s">
        <v>591</v>
      </c>
      <c r="O145" s="254"/>
      <c r="P145" s="254" t="s">
        <v>298</v>
      </c>
      <c r="Q145" s="254"/>
      <c r="R145" s="254" t="s">
        <v>396</v>
      </c>
      <c r="S145" s="254"/>
      <c r="T145" s="254" t="s">
        <v>350</v>
      </c>
      <c r="U145" s="254"/>
      <c r="V145" s="254" t="s">
        <v>350</v>
      </c>
      <c r="W145" s="254"/>
      <c r="X145" s="254" t="s">
        <v>350</v>
      </c>
      <c r="Y145" s="200"/>
      <c r="Z145" s="254" t="s">
        <v>389</v>
      </c>
      <c r="AA145" s="254"/>
      <c r="AB145" s="254" t="s">
        <v>324</v>
      </c>
      <c r="AC145" s="254"/>
      <c r="AD145" s="254" t="s">
        <v>918</v>
      </c>
      <c r="AE145" s="254"/>
      <c r="AF145" s="574"/>
      <c r="AG145" s="320"/>
      <c r="AH145" s="321"/>
      <c r="AI145" s="321"/>
      <c r="AJ145" s="321"/>
      <c r="AK145" s="321"/>
      <c r="AL145" s="321"/>
      <c r="AM145" s="321"/>
      <c r="AN145" s="322"/>
    </row>
    <row r="146" spans="1:40" s="167" customFormat="1" ht="13.4" customHeight="1">
      <c r="A146" s="206"/>
      <c r="B146" s="200"/>
      <c r="C146" s="200"/>
      <c r="D146" s="200"/>
      <c r="E146" s="200"/>
      <c r="F146" s="200"/>
      <c r="G146" s="200"/>
      <c r="H146" s="200"/>
      <c r="I146" s="200"/>
      <c r="J146" s="200"/>
      <c r="K146" s="200"/>
      <c r="L146" s="200"/>
      <c r="M146" s="200"/>
      <c r="N146" s="200"/>
      <c r="O146" s="604" t="s">
        <v>1115</v>
      </c>
      <c r="Q146" s="200"/>
      <c r="R146" s="200"/>
      <c r="S146" s="200"/>
      <c r="T146" s="200"/>
      <c r="U146" s="604" t="s">
        <v>1138</v>
      </c>
      <c r="V146" s="200"/>
      <c r="W146" s="200"/>
      <c r="X146" s="200"/>
      <c r="Y146" s="200"/>
      <c r="Z146" s="200"/>
      <c r="AA146" s="200"/>
      <c r="AB146" s="200"/>
      <c r="AC146" s="200"/>
      <c r="AD146" s="200"/>
      <c r="AE146" s="200"/>
      <c r="AF146" s="574"/>
    </row>
    <row r="147" spans="1:40" s="167" customFormat="1" ht="13.4" customHeight="1">
      <c r="A147" s="206"/>
      <c r="B147" s="200"/>
      <c r="C147" s="200"/>
      <c r="D147" s="200"/>
      <c r="E147" s="200"/>
      <c r="F147" s="200"/>
      <c r="G147" s="200"/>
      <c r="H147" s="200"/>
      <c r="I147" s="200"/>
      <c r="J147" s="200"/>
      <c r="K147" s="584" t="s">
        <v>1134</v>
      </c>
      <c r="L147" s="200"/>
      <c r="M147" s="200"/>
      <c r="N147" s="200"/>
      <c r="O147" s="603" t="s">
        <v>1017</v>
      </c>
      <c r="P147" s="200"/>
      <c r="Q147" s="200"/>
      <c r="R147" s="200"/>
      <c r="S147" s="200"/>
      <c r="T147" s="200"/>
      <c r="U147" s="603" t="s">
        <v>1115</v>
      </c>
      <c r="V147" s="200"/>
      <c r="W147" s="200"/>
      <c r="X147" s="200"/>
      <c r="Y147" s="200"/>
      <c r="Z147" s="200"/>
      <c r="AA147" s="200"/>
      <c r="AB147" s="200"/>
      <c r="AC147" s="200"/>
      <c r="AD147" s="200"/>
      <c r="AE147" s="200"/>
      <c r="AF147" s="574"/>
    </row>
    <row r="148" spans="1:40" s="167" customFormat="1" ht="13.4" customHeight="1">
      <c r="A148" s="206"/>
      <c r="B148" s="200"/>
      <c r="C148" s="200"/>
      <c r="D148" s="200"/>
      <c r="E148" s="200"/>
      <c r="F148" s="200"/>
      <c r="G148" s="200"/>
      <c r="H148" s="200"/>
      <c r="I148" s="200"/>
      <c r="J148" s="200"/>
      <c r="K148" s="584"/>
      <c r="L148" s="200"/>
      <c r="M148" s="200"/>
      <c r="N148" s="200"/>
      <c r="O148" s="603"/>
      <c r="P148" s="200"/>
      <c r="Q148" s="200"/>
      <c r="R148" s="200"/>
      <c r="S148" s="200"/>
      <c r="T148" s="200"/>
      <c r="U148" s="603"/>
      <c r="V148" s="200"/>
      <c r="W148" s="200"/>
      <c r="X148" s="200"/>
      <c r="Y148" s="200"/>
      <c r="Z148" s="200"/>
      <c r="AA148" s="200"/>
      <c r="AB148" s="200"/>
      <c r="AC148" s="200"/>
      <c r="AD148" s="200"/>
      <c r="AE148" s="200"/>
      <c r="AF148" s="574"/>
    </row>
    <row r="149" spans="1:40" s="167" customFormat="1" ht="13.4" customHeight="1">
      <c r="A149" s="206"/>
      <c r="B149" s="200"/>
      <c r="C149" s="200"/>
      <c r="D149" s="200"/>
      <c r="E149" s="200"/>
      <c r="F149" s="200"/>
      <c r="G149" s="200"/>
      <c r="H149" s="200"/>
      <c r="I149" s="200"/>
      <c r="J149" s="200"/>
      <c r="K149" s="200"/>
      <c r="L149" s="200"/>
      <c r="M149" s="200"/>
      <c r="N149" s="200"/>
      <c r="O149" s="200"/>
      <c r="P149" s="200"/>
      <c r="Q149" s="200"/>
      <c r="R149" s="200"/>
      <c r="S149" s="200"/>
      <c r="T149" s="200"/>
      <c r="U149" s="200"/>
      <c r="V149" s="200"/>
      <c r="W149" s="200"/>
      <c r="X149" s="200"/>
      <c r="Y149" s="200"/>
      <c r="Z149" s="200"/>
      <c r="AA149" s="200"/>
      <c r="AB149" s="200"/>
      <c r="AC149" s="200"/>
      <c r="AD149" s="200"/>
      <c r="AE149" s="200"/>
      <c r="AF149" s="574"/>
    </row>
    <row r="150" spans="1:40" s="167" customFormat="1" ht="13.4" customHeight="1">
      <c r="A150" s="206"/>
      <c r="B150" s="200">
        <v>166</v>
      </c>
      <c r="C150" s="200"/>
      <c r="D150" s="200">
        <v>167</v>
      </c>
      <c r="E150" s="200"/>
      <c r="F150" s="200">
        <v>168</v>
      </c>
      <c r="G150" s="200"/>
      <c r="H150" s="200">
        <v>169</v>
      </c>
      <c r="I150" s="200"/>
      <c r="J150" s="200">
        <v>170</v>
      </c>
      <c r="K150" s="200"/>
      <c r="L150" s="200">
        <v>171</v>
      </c>
      <c r="M150" s="200"/>
      <c r="N150" s="200">
        <v>172</v>
      </c>
      <c r="O150" s="200"/>
      <c r="P150" s="200">
        <v>173</v>
      </c>
      <c r="Q150" s="200"/>
      <c r="R150" s="200">
        <v>174</v>
      </c>
      <c r="S150" s="200"/>
      <c r="T150" s="200">
        <v>175</v>
      </c>
      <c r="U150" s="200"/>
      <c r="V150" s="200">
        <v>176</v>
      </c>
      <c r="W150" s="200"/>
      <c r="X150" s="200">
        <v>177</v>
      </c>
      <c r="Y150" s="200"/>
      <c r="Z150" s="200">
        <v>178</v>
      </c>
      <c r="AA150" s="200"/>
      <c r="AB150" s="200">
        <v>179</v>
      </c>
      <c r="AC150" s="200"/>
      <c r="AD150" s="200">
        <v>180</v>
      </c>
      <c r="AE150" s="200"/>
      <c r="AF150" s="574"/>
    </row>
    <row r="151" spans="1:40" s="167" customFormat="1" ht="13.4" customHeight="1">
      <c r="A151" s="206"/>
      <c r="B151" s="304" t="s">
        <v>143</v>
      </c>
      <c r="C151" s="200"/>
      <c r="D151" s="304" t="s">
        <v>1139</v>
      </c>
      <c r="E151" s="254"/>
      <c r="F151" s="304" t="s">
        <v>1140</v>
      </c>
      <c r="G151" s="254"/>
      <c r="H151" s="304" t="s">
        <v>1141</v>
      </c>
      <c r="I151" s="254"/>
      <c r="J151" s="304" t="s">
        <v>1142</v>
      </c>
      <c r="K151" s="254"/>
      <c r="L151" s="304" t="s">
        <v>1143</v>
      </c>
      <c r="M151" s="254"/>
      <c r="N151" s="304" t="s">
        <v>1144</v>
      </c>
      <c r="O151" s="254"/>
      <c r="P151" s="304" t="s">
        <v>1145</v>
      </c>
      <c r="Q151" s="254"/>
      <c r="R151" s="304" t="s">
        <v>1146</v>
      </c>
      <c r="S151" s="254"/>
      <c r="T151" s="304" t="s">
        <v>1147</v>
      </c>
      <c r="U151" s="254"/>
      <c r="V151" s="304" t="s">
        <v>1148</v>
      </c>
      <c r="W151" s="254"/>
      <c r="X151" s="304" t="s">
        <v>1149</v>
      </c>
      <c r="Y151" s="254"/>
      <c r="Z151" s="304" t="s">
        <v>1150</v>
      </c>
      <c r="AA151" s="254"/>
      <c r="AB151" s="304" t="s">
        <v>1151</v>
      </c>
      <c r="AC151" s="254"/>
      <c r="AD151" s="304" t="s">
        <v>1152</v>
      </c>
      <c r="AE151" s="254"/>
      <c r="AF151" s="574"/>
    </row>
    <row r="152" spans="1:40" s="167" customFormat="1" ht="13.4" customHeight="1">
      <c r="A152" s="206"/>
      <c r="B152" s="200"/>
      <c r="C152" s="200"/>
      <c r="D152" s="200"/>
      <c r="E152" s="200"/>
      <c r="F152" s="200"/>
      <c r="G152" s="200"/>
      <c r="H152" s="200"/>
      <c r="I152" s="200"/>
      <c r="J152" s="200"/>
      <c r="K152" s="200"/>
      <c r="L152" s="200"/>
      <c r="M152" s="200"/>
      <c r="N152" s="200"/>
      <c r="O152" s="200"/>
      <c r="P152" s="200"/>
      <c r="Q152" s="200"/>
      <c r="R152" s="200"/>
      <c r="S152" s="200"/>
      <c r="T152" s="200"/>
      <c r="U152" s="200"/>
      <c r="V152" s="200"/>
      <c r="W152" s="200"/>
      <c r="X152" s="200"/>
      <c r="Y152" s="200"/>
      <c r="Z152" s="200"/>
      <c r="AA152" s="200"/>
      <c r="AB152" s="200"/>
      <c r="AC152" s="200"/>
      <c r="AD152" s="200"/>
      <c r="AE152" s="200"/>
      <c r="AF152" s="574"/>
    </row>
    <row r="153" spans="1:40" s="167" customFormat="1" ht="13.4" customHeight="1">
      <c r="A153" s="206"/>
      <c r="B153" s="254"/>
      <c r="C153" s="200"/>
      <c r="D153" s="254"/>
      <c r="E153" s="254"/>
      <c r="F153" s="254"/>
      <c r="G153" s="200"/>
      <c r="H153" s="254"/>
      <c r="I153" s="254"/>
      <c r="J153" s="254"/>
      <c r="K153" s="254"/>
      <c r="L153" s="254"/>
      <c r="M153" s="254"/>
      <c r="N153" s="254"/>
      <c r="O153" s="254"/>
      <c r="P153" s="254"/>
      <c r="Q153" s="254"/>
      <c r="R153" s="254"/>
      <c r="S153" s="254"/>
      <c r="T153" s="254"/>
      <c r="U153" s="254"/>
      <c r="V153" s="254"/>
      <c r="W153" s="254"/>
      <c r="X153" s="254"/>
      <c r="Y153" s="254"/>
      <c r="Z153" s="254"/>
      <c r="AA153" s="200"/>
      <c r="AB153" s="254"/>
      <c r="AC153" s="254"/>
      <c r="AD153" s="254"/>
      <c r="AE153" s="254"/>
      <c r="AF153" s="574"/>
    </row>
    <row r="154" spans="1:40" s="167" customFormat="1" ht="13.4" customHeight="1" thickBot="1">
      <c r="A154" s="206"/>
      <c r="B154" s="254"/>
      <c r="C154" s="200"/>
      <c r="D154" s="254"/>
      <c r="E154" s="254"/>
      <c r="F154" s="254"/>
      <c r="G154" s="200"/>
      <c r="H154" s="254"/>
      <c r="I154" s="254"/>
      <c r="J154" s="254"/>
      <c r="K154" s="254"/>
      <c r="L154" s="254"/>
      <c r="M154" s="254"/>
      <c r="N154" s="254"/>
      <c r="O154" s="254"/>
      <c r="P154" s="254"/>
      <c r="Q154" s="254"/>
      <c r="R154" s="254"/>
      <c r="S154" s="254"/>
      <c r="T154" s="254"/>
      <c r="U154" s="254"/>
      <c r="V154" s="254"/>
      <c r="W154" s="254"/>
      <c r="X154" s="254"/>
      <c r="Y154" s="254"/>
      <c r="Z154" s="254"/>
      <c r="AA154" s="200"/>
      <c r="AB154" s="254"/>
      <c r="AC154" s="254"/>
      <c r="AD154" s="254"/>
      <c r="AE154" s="254"/>
      <c r="AF154" s="574"/>
    </row>
    <row r="155" spans="1:40" s="167" customFormat="1" ht="13.4" customHeight="1">
      <c r="A155" s="206"/>
      <c r="B155" s="261"/>
      <c r="C155" s="579"/>
      <c r="D155" s="261"/>
      <c r="E155" s="579"/>
      <c r="F155" s="261"/>
      <c r="G155" s="579"/>
      <c r="H155" s="261"/>
      <c r="I155" s="579"/>
      <c r="J155" s="261"/>
      <c r="K155" s="579"/>
      <c r="L155" s="261"/>
      <c r="M155" s="579"/>
      <c r="N155" s="261"/>
      <c r="O155" s="579"/>
      <c r="P155" s="261"/>
      <c r="Q155" s="579"/>
      <c r="R155" s="261"/>
      <c r="S155" s="579"/>
      <c r="T155" s="261"/>
      <c r="U155" s="579"/>
      <c r="V155" s="261"/>
      <c r="W155" s="579"/>
      <c r="X155" s="261"/>
      <c r="Y155" s="579"/>
      <c r="Z155" s="261"/>
      <c r="AA155" s="579"/>
      <c r="AB155" s="261"/>
      <c r="AC155" s="579"/>
      <c r="AD155" s="261"/>
      <c r="AE155" s="579"/>
      <c r="AF155" s="580"/>
    </row>
    <row r="156" spans="1:40" s="167" customFormat="1" ht="13.4" customHeight="1">
      <c r="A156" s="206"/>
      <c r="B156" s="262"/>
      <c r="C156" s="581">
        <v>225.81</v>
      </c>
      <c r="D156" s="263" t="s">
        <v>550</v>
      </c>
      <c r="E156" s="581">
        <v>451</v>
      </c>
      <c r="F156" s="263" t="s">
        <v>550</v>
      </c>
      <c r="G156" s="581">
        <v>385</v>
      </c>
      <c r="H156" s="263"/>
      <c r="I156" s="581">
        <v>429</v>
      </c>
      <c r="J156" s="263"/>
      <c r="K156" s="581">
        <v>408</v>
      </c>
      <c r="L156" s="263" t="s">
        <v>550</v>
      </c>
      <c r="M156" s="581">
        <v>407</v>
      </c>
      <c r="N156" s="263" t="s">
        <v>550</v>
      </c>
      <c r="O156" s="581">
        <v>434</v>
      </c>
      <c r="P156" s="263"/>
      <c r="Q156" s="581">
        <v>401</v>
      </c>
      <c r="R156" s="263"/>
      <c r="S156" s="581">
        <v>296</v>
      </c>
      <c r="T156" s="263"/>
      <c r="U156" s="581">
        <v>677</v>
      </c>
      <c r="V156" s="263"/>
      <c r="W156" s="581">
        <v>642</v>
      </c>
      <c r="X156" s="263"/>
      <c r="Y156" s="606">
        <v>414</v>
      </c>
      <c r="Z156" s="263"/>
      <c r="AA156" s="581">
        <v>446</v>
      </c>
      <c r="AB156" s="263"/>
      <c r="AC156" s="581">
        <v>411</v>
      </c>
      <c r="AD156" s="263"/>
      <c r="AE156" s="606">
        <v>345</v>
      </c>
      <c r="AF156" s="574"/>
    </row>
    <row r="157" spans="1:40" s="167" customFormat="1" ht="13.4" customHeight="1" thickBot="1">
      <c r="A157" s="206"/>
      <c r="B157" s="264"/>
      <c r="C157" s="200"/>
      <c r="D157" s="264"/>
      <c r="E157" s="200"/>
      <c r="F157" s="264"/>
      <c r="G157" s="200"/>
      <c r="H157" s="264"/>
      <c r="I157" s="200"/>
      <c r="J157" s="264"/>
      <c r="K157" s="200"/>
      <c r="L157" s="264"/>
      <c r="M157" s="200"/>
      <c r="N157" s="264"/>
      <c r="O157" s="200"/>
      <c r="P157" s="264"/>
      <c r="Q157" s="200"/>
      <c r="R157" s="264"/>
      <c r="S157" s="200"/>
      <c r="T157" s="264"/>
      <c r="U157" s="200"/>
      <c r="V157" s="264"/>
      <c r="W157" s="200"/>
      <c r="X157" s="264"/>
      <c r="Y157" s="254"/>
      <c r="Z157" s="264"/>
      <c r="AA157" s="200"/>
      <c r="AB157" s="264"/>
      <c r="AC157" s="200"/>
      <c r="AD157" s="264"/>
      <c r="AE157" s="254"/>
      <c r="AF157" s="574"/>
    </row>
    <row r="158" spans="1:40" s="167" customFormat="1" ht="13.4" customHeight="1">
      <c r="A158" s="206"/>
      <c r="B158" s="254" t="s">
        <v>393</v>
      </c>
      <c r="C158" s="254"/>
      <c r="D158" s="254" t="s">
        <v>918</v>
      </c>
      <c r="E158" s="254"/>
      <c r="F158" s="254" t="s">
        <v>396</v>
      </c>
      <c r="G158" s="254"/>
      <c r="H158" s="254" t="s">
        <v>357</v>
      </c>
      <c r="I158" s="254"/>
      <c r="J158" s="254" t="s">
        <v>350</v>
      </c>
      <c r="K158" s="254"/>
      <c r="L158" s="254" t="s">
        <v>357</v>
      </c>
      <c r="M158" s="254"/>
      <c r="N158" s="254" t="s">
        <v>399</v>
      </c>
      <c r="O158" s="254"/>
      <c r="P158" s="254" t="s">
        <v>357</v>
      </c>
      <c r="Q158" s="254"/>
      <c r="R158" s="254" t="s">
        <v>335</v>
      </c>
      <c r="S158" s="254"/>
      <c r="T158" s="254" t="s">
        <v>350</v>
      </c>
      <c r="U158" s="254"/>
      <c r="V158" s="254" t="s">
        <v>396</v>
      </c>
      <c r="W158" s="254"/>
      <c r="X158" s="254" t="s">
        <v>396</v>
      </c>
      <c r="Y158" s="254" t="s">
        <v>67</v>
      </c>
      <c r="Z158" s="254" t="s">
        <v>396</v>
      </c>
      <c r="AA158" s="254"/>
      <c r="AB158" s="254" t="s">
        <v>396</v>
      </c>
      <c r="AC158" s="254"/>
      <c r="AD158" s="254" t="s">
        <v>357</v>
      </c>
      <c r="AE158" s="254"/>
      <c r="AF158" s="574"/>
    </row>
    <row r="159" spans="1:40" s="167" customFormat="1" ht="13.4" customHeight="1">
      <c r="A159" s="206"/>
      <c r="B159" s="254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4"/>
      <c r="O159" s="254"/>
      <c r="P159" s="254"/>
      <c r="Q159" s="254"/>
      <c r="R159" s="254"/>
      <c r="S159" s="254"/>
      <c r="T159" s="254"/>
      <c r="U159" s="254"/>
      <c r="V159" s="254"/>
      <c r="W159" s="254"/>
      <c r="X159" s="254"/>
      <c r="Y159" s="254"/>
      <c r="Z159" s="254"/>
      <c r="AA159" s="254"/>
      <c r="AB159" s="254"/>
      <c r="AC159" s="254"/>
      <c r="AD159" s="254"/>
      <c r="AE159" s="254"/>
      <c r="AF159" s="574"/>
    </row>
    <row r="160" spans="1:40" s="167" customFormat="1" ht="13.4" customHeight="1">
      <c r="A160" s="206"/>
      <c r="B160" s="254"/>
      <c r="C160" s="254"/>
      <c r="D160" s="254"/>
      <c r="E160" s="254"/>
      <c r="F160" s="254"/>
      <c r="G160" s="254"/>
      <c r="H160" s="254"/>
      <c r="I160" s="254"/>
      <c r="J160" s="254"/>
      <c r="K160" s="254"/>
      <c r="L160" s="254"/>
      <c r="M160" s="254"/>
      <c r="N160" s="254"/>
      <c r="O160" s="254"/>
      <c r="P160" s="254"/>
      <c r="Q160" s="254"/>
      <c r="R160" s="254"/>
      <c r="S160" s="254"/>
      <c r="T160" s="254"/>
      <c r="U160" s="254"/>
      <c r="V160" s="254"/>
      <c r="W160" s="254"/>
      <c r="X160" s="254"/>
      <c r="Y160" s="254"/>
      <c r="Z160" s="254"/>
      <c r="AA160" s="254"/>
      <c r="AB160" s="254"/>
      <c r="AC160" s="254"/>
      <c r="AD160" s="254"/>
      <c r="AE160" s="254"/>
      <c r="AF160" s="574"/>
    </row>
    <row r="161" spans="1:75" s="167" customFormat="1" ht="13.4" customHeight="1">
      <c r="A161" s="206"/>
      <c r="B161" s="200"/>
      <c r="C161" s="200"/>
      <c r="D161" s="200"/>
      <c r="E161" s="200"/>
      <c r="F161" s="200"/>
      <c r="G161" s="200"/>
      <c r="H161" s="200"/>
      <c r="I161" s="200"/>
      <c r="J161" s="200"/>
      <c r="K161" s="584"/>
      <c r="L161" s="200"/>
      <c r="M161" s="200"/>
      <c r="N161" s="200"/>
      <c r="O161" s="603"/>
      <c r="P161" s="200"/>
      <c r="Q161" s="200"/>
      <c r="R161" s="200"/>
      <c r="S161" s="200"/>
      <c r="T161" s="200"/>
      <c r="U161" s="603"/>
      <c r="V161" s="200"/>
      <c r="W161" s="200"/>
      <c r="X161" s="200"/>
      <c r="Y161" s="200"/>
      <c r="Z161" s="200"/>
      <c r="AA161" s="200"/>
      <c r="AB161" s="200"/>
      <c r="AC161" s="200"/>
      <c r="AD161" s="200"/>
      <c r="AE161" s="200"/>
      <c r="AF161" s="574"/>
    </row>
    <row r="162" spans="1:75" s="167" customFormat="1" ht="13.4" customHeight="1">
      <c r="A162" s="206"/>
      <c r="B162" s="200"/>
      <c r="C162" s="200"/>
      <c r="D162" s="200"/>
      <c r="E162" s="200"/>
      <c r="F162" s="200"/>
      <c r="G162" s="200"/>
      <c r="AF162" s="607"/>
    </row>
    <row r="163" spans="1:75" s="167" customFormat="1" ht="13.4" customHeight="1">
      <c r="A163" s="206"/>
      <c r="B163" s="200">
        <v>181</v>
      </c>
      <c r="C163" s="200"/>
      <c r="D163" s="200">
        <v>182</v>
      </c>
      <c r="E163" s="200"/>
      <c r="F163" s="200">
        <v>183</v>
      </c>
      <c r="G163" s="200"/>
      <c r="H163" s="200">
        <v>184</v>
      </c>
      <c r="I163" s="200"/>
      <c r="J163" s="200">
        <v>185</v>
      </c>
      <c r="K163" s="200"/>
      <c r="L163" s="200">
        <v>186</v>
      </c>
      <c r="M163" s="200"/>
      <c r="N163" s="200">
        <v>187</v>
      </c>
      <c r="O163" s="200"/>
      <c r="P163" s="200">
        <v>188</v>
      </c>
      <c r="Q163" s="200"/>
      <c r="R163" s="200">
        <v>189</v>
      </c>
      <c r="S163" s="200"/>
      <c r="T163" s="200">
        <v>190</v>
      </c>
      <c r="U163" s="200"/>
      <c r="V163" s="200">
        <v>191</v>
      </c>
      <c r="W163" s="200"/>
      <c r="X163" s="200">
        <v>192</v>
      </c>
      <c r="Y163" s="200"/>
      <c r="Z163" s="200">
        <v>193</v>
      </c>
      <c r="AA163" s="200"/>
      <c r="AB163" s="200">
        <v>194</v>
      </c>
      <c r="AC163" s="200"/>
      <c r="AD163" s="200">
        <v>195</v>
      </c>
      <c r="AE163" s="200"/>
      <c r="AF163" s="607"/>
    </row>
    <row r="164" spans="1:75" s="167" customFormat="1" ht="13.4" customHeight="1">
      <c r="A164" s="206"/>
      <c r="B164" s="304" t="s">
        <v>686</v>
      </c>
      <c r="C164" s="200"/>
      <c r="D164" s="304" t="s">
        <v>183</v>
      </c>
      <c r="E164" s="254"/>
      <c r="F164" s="304" t="s">
        <v>1153</v>
      </c>
      <c r="G164" s="254"/>
      <c r="H164" s="304" t="s">
        <v>1154</v>
      </c>
      <c r="I164" s="254"/>
      <c r="J164" s="304" t="s">
        <v>1155</v>
      </c>
      <c r="K164" s="254"/>
      <c r="L164" s="304" t="s">
        <v>1156</v>
      </c>
      <c r="M164" s="254"/>
      <c r="N164" s="304" t="s">
        <v>1157</v>
      </c>
      <c r="O164" s="254"/>
      <c r="P164" s="304" t="s">
        <v>753</v>
      </c>
      <c r="Q164" s="254"/>
      <c r="R164" s="304" t="s">
        <v>1037</v>
      </c>
      <c r="S164" s="254"/>
      <c r="T164" s="304" t="s">
        <v>1158</v>
      </c>
      <c r="U164" s="254"/>
      <c r="V164" s="304" t="s">
        <v>1159</v>
      </c>
      <c r="W164" s="254"/>
      <c r="X164" s="304" t="s">
        <v>613</v>
      </c>
      <c r="Y164" s="200"/>
      <c r="Z164" s="304" t="s">
        <v>614</v>
      </c>
      <c r="AA164" s="254"/>
      <c r="AB164" s="304" t="s">
        <v>615</v>
      </c>
      <c r="AC164" s="254"/>
      <c r="AD164" s="304" t="s">
        <v>145</v>
      </c>
      <c r="AE164" s="254"/>
      <c r="AF164" s="607"/>
    </row>
    <row r="165" spans="1:75" s="167" customFormat="1" ht="13.4" customHeight="1">
      <c r="A165" s="206"/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  <c r="R165" s="200"/>
      <c r="S165" s="200"/>
      <c r="T165" s="200"/>
      <c r="U165" s="200"/>
      <c r="V165" s="200"/>
      <c r="W165" s="200"/>
      <c r="X165" s="200"/>
      <c r="Y165" s="200"/>
      <c r="Z165" s="200"/>
      <c r="AA165" s="200"/>
      <c r="AB165" s="200"/>
      <c r="AC165" s="200"/>
      <c r="AD165" s="200"/>
      <c r="AE165" s="200"/>
      <c r="AF165" s="607"/>
    </row>
    <row r="166" spans="1:75" s="167" customFormat="1" ht="13.4" customHeight="1">
      <c r="A166" s="206"/>
      <c r="B166" s="254"/>
      <c r="C166" s="200"/>
      <c r="D166" s="254"/>
      <c r="E166" s="254"/>
      <c r="F166" s="254"/>
      <c r="G166" s="200"/>
      <c r="H166" s="254"/>
      <c r="I166" s="254"/>
      <c r="J166" s="254"/>
      <c r="K166" s="254"/>
      <c r="L166" s="254"/>
      <c r="M166" s="254"/>
      <c r="N166" s="254"/>
      <c r="O166" s="254"/>
      <c r="P166" s="254"/>
      <c r="Q166" s="254"/>
      <c r="R166" s="254"/>
      <c r="S166" s="254"/>
      <c r="T166" s="254"/>
      <c r="U166" s="254"/>
      <c r="V166" s="254"/>
      <c r="W166" s="254"/>
      <c r="X166" s="254"/>
      <c r="Y166" s="200"/>
      <c r="Z166" s="254"/>
      <c r="AA166" s="254"/>
      <c r="AB166" s="254"/>
      <c r="AC166" s="200"/>
      <c r="AD166" s="254"/>
      <c r="AE166" s="254"/>
      <c r="AF166" s="607"/>
    </row>
    <row r="167" spans="1:75" s="167" customFormat="1" ht="13.4" customHeight="1" thickBot="1">
      <c r="A167" s="206"/>
      <c r="B167" s="254"/>
      <c r="C167" s="200"/>
      <c r="D167" s="254"/>
      <c r="E167" s="254"/>
      <c r="F167" s="254"/>
      <c r="G167" s="200"/>
      <c r="H167" s="254"/>
      <c r="I167" s="254"/>
      <c r="J167" s="254"/>
      <c r="K167" s="254"/>
      <c r="L167" s="254"/>
      <c r="M167" s="254"/>
      <c r="N167" s="254"/>
      <c r="O167" s="254"/>
      <c r="P167" s="254"/>
      <c r="Q167" s="254"/>
      <c r="R167" s="254"/>
      <c r="S167" s="254"/>
      <c r="T167" s="254"/>
      <c r="U167" s="254"/>
      <c r="V167" s="254"/>
      <c r="W167" s="254"/>
      <c r="X167" s="254"/>
      <c r="Y167" s="200"/>
      <c r="Z167" s="254"/>
      <c r="AA167" s="254"/>
      <c r="AB167" s="254"/>
      <c r="AC167" s="200"/>
      <c r="AD167" s="254"/>
      <c r="AE167" s="254"/>
      <c r="AF167" s="607"/>
    </row>
    <row r="168" spans="1:75" s="167" customFormat="1" ht="13.4" customHeight="1">
      <c r="A168" s="206"/>
      <c r="B168" s="261"/>
      <c r="C168" s="579"/>
      <c r="D168" s="261"/>
      <c r="E168" s="579"/>
      <c r="F168" s="261"/>
      <c r="G168" s="579"/>
      <c r="H168" s="261"/>
      <c r="I168" s="579"/>
      <c r="J168" s="261"/>
      <c r="K168" s="579"/>
      <c r="L168" s="261"/>
      <c r="M168" s="579"/>
      <c r="N168" s="261"/>
      <c r="O168" s="579"/>
      <c r="P168" s="261"/>
      <c r="Q168" s="579"/>
      <c r="R168" s="261"/>
      <c r="S168" s="579"/>
      <c r="T168" s="261"/>
      <c r="U168" s="579"/>
      <c r="V168" s="261"/>
      <c r="W168" s="579"/>
      <c r="X168" s="261"/>
      <c r="Y168" s="579"/>
      <c r="Z168" s="261"/>
      <c r="AA168" s="579"/>
      <c r="AB168" s="261"/>
      <c r="AC168" s="579"/>
      <c r="AD168" s="261"/>
      <c r="AE168" s="579"/>
      <c r="AF168" s="607"/>
    </row>
    <row r="169" spans="1:75" s="167" customFormat="1" ht="13.4" customHeight="1">
      <c r="A169" s="206"/>
      <c r="B169" s="262"/>
      <c r="C169" s="581">
        <v>225.81</v>
      </c>
      <c r="D169" s="263" t="s">
        <v>550</v>
      </c>
      <c r="E169" s="581">
        <v>451</v>
      </c>
      <c r="F169" s="263" t="s">
        <v>550</v>
      </c>
      <c r="G169" s="581">
        <v>385</v>
      </c>
      <c r="H169" s="263"/>
      <c r="I169" s="581">
        <v>429</v>
      </c>
      <c r="J169" s="263"/>
      <c r="K169" s="581">
        <v>408</v>
      </c>
      <c r="L169" s="263" t="s">
        <v>550</v>
      </c>
      <c r="M169" s="581">
        <v>407</v>
      </c>
      <c r="N169" s="263" t="s">
        <v>550</v>
      </c>
      <c r="O169" s="581">
        <v>434</v>
      </c>
      <c r="P169" s="263"/>
      <c r="Q169" s="581">
        <v>401</v>
      </c>
      <c r="R169" s="263"/>
      <c r="S169" s="581">
        <v>296</v>
      </c>
      <c r="T169" s="263"/>
      <c r="U169" s="581">
        <v>677</v>
      </c>
      <c r="V169" s="263"/>
      <c r="W169" s="581">
        <v>642</v>
      </c>
      <c r="X169" s="262"/>
      <c r="Y169" s="581">
        <v>225.81</v>
      </c>
      <c r="Z169" s="263" t="s">
        <v>550</v>
      </c>
      <c r="AA169" s="581">
        <v>451</v>
      </c>
      <c r="AB169" s="263" t="s">
        <v>550</v>
      </c>
      <c r="AC169" s="581">
        <v>385</v>
      </c>
      <c r="AD169" s="263"/>
      <c r="AE169" s="581">
        <v>429</v>
      </c>
      <c r="AF169" s="607"/>
    </row>
    <row r="170" spans="1:75" s="167" customFormat="1" ht="13.4" customHeight="1" thickBot="1">
      <c r="A170" s="206"/>
      <c r="B170" s="264"/>
      <c r="C170" s="200"/>
      <c r="D170" s="264"/>
      <c r="E170" s="200"/>
      <c r="F170" s="264"/>
      <c r="G170" s="200"/>
      <c r="H170" s="264"/>
      <c r="I170" s="200"/>
      <c r="J170" s="264"/>
      <c r="K170" s="200"/>
      <c r="L170" s="264"/>
      <c r="M170" s="200"/>
      <c r="N170" s="264"/>
      <c r="O170" s="200"/>
      <c r="P170" s="264"/>
      <c r="Q170" s="200"/>
      <c r="R170" s="264"/>
      <c r="S170" s="200"/>
      <c r="T170" s="264"/>
      <c r="U170" s="200"/>
      <c r="V170" s="264"/>
      <c r="W170" s="200"/>
      <c r="X170" s="264"/>
      <c r="Y170" s="200"/>
      <c r="Z170" s="264"/>
      <c r="AA170" s="200"/>
      <c r="AB170" s="264"/>
      <c r="AC170" s="200"/>
      <c r="AD170" s="264"/>
      <c r="AE170" s="200"/>
      <c r="AF170" s="607"/>
    </row>
    <row r="171" spans="1:75" s="167" customFormat="1" ht="13.5" customHeight="1">
      <c r="A171" s="206"/>
      <c r="B171" s="254" t="s">
        <v>335</v>
      </c>
      <c r="C171" s="254"/>
      <c r="D171" s="254" t="s">
        <v>350</v>
      </c>
      <c r="E171" s="254"/>
      <c r="F171" s="254" t="s">
        <v>357</v>
      </c>
      <c r="G171" s="254"/>
      <c r="H171" s="254" t="s">
        <v>350</v>
      </c>
      <c r="I171" s="254"/>
      <c r="J171" s="254" t="s">
        <v>357</v>
      </c>
      <c r="K171" s="254"/>
      <c r="L171" s="254" t="s">
        <v>357</v>
      </c>
      <c r="M171" s="254"/>
      <c r="N171" s="254" t="s">
        <v>322</v>
      </c>
      <c r="O171" s="254"/>
      <c r="P171" s="254" t="s">
        <v>298</v>
      </c>
      <c r="Q171" s="254"/>
      <c r="R171" s="254" t="s">
        <v>298</v>
      </c>
      <c r="S171" s="254"/>
      <c r="T171" s="254" t="s">
        <v>396</v>
      </c>
      <c r="U171" s="254"/>
      <c r="V171" s="254" t="s">
        <v>357</v>
      </c>
      <c r="W171" s="254"/>
      <c r="X171" s="254" t="s">
        <v>904</v>
      </c>
      <c r="Y171" s="254"/>
      <c r="Z171" s="254" t="s">
        <v>904</v>
      </c>
      <c r="AA171" s="254"/>
      <c r="AB171" s="254" t="s">
        <v>350</v>
      </c>
      <c r="AC171" s="254"/>
      <c r="AD171" s="254" t="s">
        <v>357</v>
      </c>
      <c r="AE171" s="254"/>
      <c r="AF171" s="607"/>
    </row>
    <row r="172" spans="1:75" s="167" customFormat="1" ht="13.5" customHeight="1">
      <c r="A172" s="206"/>
      <c r="B172" s="254"/>
      <c r="C172" s="254"/>
      <c r="D172" s="254"/>
      <c r="E172" s="254"/>
      <c r="F172" s="254"/>
      <c r="G172" s="254"/>
      <c r="H172" s="254"/>
      <c r="I172" s="254"/>
      <c r="J172" s="254"/>
      <c r="K172" s="254"/>
      <c r="L172" s="254"/>
      <c r="M172" s="254"/>
      <c r="N172" s="254"/>
      <c r="O172" s="254"/>
      <c r="P172" s="254"/>
      <c r="Q172" s="254"/>
      <c r="R172" s="254"/>
      <c r="S172" s="254"/>
      <c r="T172" s="254"/>
      <c r="U172" s="254"/>
      <c r="V172" s="254"/>
      <c r="W172" s="254"/>
      <c r="X172" s="254"/>
      <c r="Y172" s="254"/>
      <c r="Z172" s="254"/>
      <c r="AA172" s="254"/>
      <c r="AB172" s="254"/>
      <c r="AC172" s="254"/>
      <c r="AD172" s="254"/>
      <c r="AE172" s="254"/>
      <c r="AF172" s="574"/>
      <c r="BW172" s="200"/>
    </row>
    <row r="173" spans="1:75" s="167" customFormat="1" ht="13.5" customHeight="1">
      <c r="A173" s="206"/>
      <c r="B173" s="254"/>
      <c r="C173" s="254"/>
      <c r="D173" s="254"/>
      <c r="E173" s="254"/>
      <c r="F173" s="254"/>
      <c r="G173" s="254"/>
      <c r="H173" s="254"/>
      <c r="I173" s="254"/>
      <c r="J173" s="254"/>
      <c r="K173" s="254"/>
      <c r="L173" s="254"/>
      <c r="M173" s="254"/>
      <c r="N173" s="254"/>
      <c r="O173" s="254"/>
      <c r="P173" s="254"/>
      <c r="Q173" s="254"/>
      <c r="R173" s="254"/>
      <c r="S173" s="254"/>
      <c r="T173" s="254"/>
      <c r="U173" s="254"/>
      <c r="V173" s="254"/>
      <c r="W173" s="254"/>
      <c r="X173" s="254"/>
      <c r="Y173" s="254"/>
      <c r="AF173" s="574"/>
      <c r="BW173" s="200"/>
    </row>
    <row r="174" spans="1:75" s="167" customFormat="1" ht="13.5" customHeight="1">
      <c r="A174" s="206"/>
      <c r="B174" s="254"/>
      <c r="C174" s="254"/>
      <c r="D174" s="254"/>
      <c r="E174" s="254"/>
      <c r="F174" s="254"/>
      <c r="G174" s="254"/>
      <c r="H174" s="254"/>
      <c r="I174" s="254"/>
      <c r="J174" s="254"/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4"/>
      <c r="X174" s="254"/>
      <c r="Y174" s="254"/>
      <c r="Z174" s="254"/>
      <c r="AA174" s="254"/>
      <c r="AB174" s="254"/>
      <c r="AC174" s="254"/>
      <c r="AD174" s="254"/>
      <c r="AE174" s="254"/>
      <c r="AF174" s="608"/>
      <c r="BW174" s="254"/>
    </row>
    <row r="175" spans="1:75" s="167" customFormat="1" ht="13.5" customHeight="1">
      <c r="A175" s="206"/>
      <c r="B175" s="200">
        <v>196</v>
      </c>
      <c r="C175" s="200"/>
      <c r="D175" s="200">
        <v>197</v>
      </c>
      <c r="E175" s="200"/>
      <c r="F175" s="200">
        <v>198</v>
      </c>
      <c r="G175" s="200"/>
      <c r="H175" s="200">
        <v>199</v>
      </c>
      <c r="I175" s="200"/>
      <c r="J175" s="200">
        <v>200</v>
      </c>
      <c r="K175" s="200"/>
      <c r="L175" s="200">
        <v>201</v>
      </c>
      <c r="M175" s="200"/>
      <c r="N175" s="200">
        <v>202</v>
      </c>
      <c r="O175" s="200"/>
      <c r="P175" s="200">
        <v>203</v>
      </c>
      <c r="Q175" s="200"/>
      <c r="R175" s="200">
        <v>204</v>
      </c>
      <c r="S175" s="200"/>
      <c r="T175" s="200">
        <v>205</v>
      </c>
      <c r="U175" s="200"/>
      <c r="V175" s="200">
        <v>206</v>
      </c>
      <c r="W175" s="200"/>
      <c r="X175" s="254">
        <v>207</v>
      </c>
      <c r="Y175" s="254"/>
      <c r="Z175" s="254">
        <v>208</v>
      </c>
      <c r="AA175" s="254"/>
      <c r="AB175" s="254">
        <v>209</v>
      </c>
      <c r="AC175" s="254"/>
      <c r="AD175" s="254">
        <v>210</v>
      </c>
      <c r="AE175" s="254"/>
      <c r="AF175" s="607"/>
      <c r="BW175" s="254"/>
    </row>
    <row r="176" spans="1:75" s="167" customFormat="1" ht="13.5" customHeight="1">
      <c r="A176" s="206"/>
      <c r="B176" s="304" t="s">
        <v>616</v>
      </c>
      <c r="C176" s="254"/>
      <c r="D176" s="304" t="s">
        <v>617</v>
      </c>
      <c r="E176" s="254"/>
      <c r="F176" s="304" t="s">
        <v>618</v>
      </c>
      <c r="G176" s="254"/>
      <c r="H176" s="304" t="s">
        <v>619</v>
      </c>
      <c r="I176" s="254"/>
      <c r="J176" s="304" t="s">
        <v>146</v>
      </c>
      <c r="K176" s="254"/>
      <c r="L176" s="304" t="s">
        <v>620</v>
      </c>
      <c r="M176" s="254"/>
      <c r="N176" s="304" t="s">
        <v>621</v>
      </c>
      <c r="O176" s="254"/>
      <c r="P176" s="304" t="s">
        <v>622</v>
      </c>
      <c r="Q176" s="254"/>
      <c r="R176" s="304" t="s">
        <v>184</v>
      </c>
      <c r="S176" s="254"/>
      <c r="T176" s="304" t="s">
        <v>185</v>
      </c>
      <c r="U176" s="254"/>
      <c r="V176" s="304" t="s">
        <v>186</v>
      </c>
      <c r="W176" s="254"/>
      <c r="X176" s="304" t="s">
        <v>623</v>
      </c>
      <c r="Y176" s="200"/>
      <c r="Z176" s="304" t="s">
        <v>624</v>
      </c>
      <c r="AA176" s="200"/>
      <c r="AB176" s="304" t="s">
        <v>1160</v>
      </c>
      <c r="AC176" s="200"/>
      <c r="AD176" s="304" t="s">
        <v>1161</v>
      </c>
      <c r="AE176" s="200"/>
      <c r="AF176" s="607"/>
    </row>
    <row r="177" spans="1:75" s="167" customFormat="1" ht="13.5" customHeight="1">
      <c r="A177" s="206"/>
      <c r="B177" s="200"/>
      <c r="C177" s="200"/>
      <c r="D177" s="200"/>
      <c r="E177" s="200"/>
      <c r="F177" s="200"/>
      <c r="G177" s="200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200"/>
      <c r="U177" s="200"/>
      <c r="V177" s="200"/>
      <c r="W177" s="200"/>
      <c r="X177" s="200"/>
      <c r="Y177" s="200"/>
      <c r="Z177" s="200"/>
      <c r="AA177" s="200"/>
      <c r="AB177" s="200"/>
      <c r="AC177" s="200"/>
      <c r="AD177" s="200"/>
      <c r="AE177" s="200"/>
      <c r="AF177" s="607"/>
      <c r="BW177" s="254"/>
    </row>
    <row r="178" spans="1:75" s="167" customFormat="1" ht="13.5" customHeight="1">
      <c r="A178" s="206"/>
      <c r="B178" s="254"/>
      <c r="C178" s="254"/>
      <c r="D178" s="254"/>
      <c r="E178" s="254"/>
      <c r="F178" s="254"/>
      <c r="G178" s="254"/>
      <c r="H178" s="254"/>
      <c r="I178" s="254"/>
      <c r="J178" s="254"/>
      <c r="K178" s="254"/>
      <c r="L178" s="254"/>
      <c r="M178" s="254"/>
      <c r="N178" s="254"/>
      <c r="O178" s="254"/>
      <c r="P178" s="254"/>
      <c r="Q178" s="254"/>
      <c r="R178" s="254"/>
      <c r="S178" s="200"/>
      <c r="T178" s="254"/>
      <c r="U178" s="254"/>
      <c r="V178" s="254"/>
      <c r="W178" s="254"/>
      <c r="X178" s="254"/>
      <c r="Y178" s="200"/>
      <c r="Z178" s="254"/>
      <c r="AA178" s="254"/>
      <c r="AB178" s="254"/>
      <c r="AC178" s="200"/>
      <c r="AD178" s="254"/>
      <c r="AE178" s="200"/>
      <c r="AF178" s="607"/>
    </row>
    <row r="179" spans="1:75" s="167" customFormat="1" ht="13.5" customHeight="1" thickBot="1">
      <c r="A179" s="206"/>
      <c r="B179" s="254"/>
      <c r="C179" s="254"/>
      <c r="D179" s="254"/>
      <c r="E179" s="254"/>
      <c r="F179" s="254"/>
      <c r="G179" s="254"/>
      <c r="H179" s="254"/>
      <c r="I179" s="254"/>
      <c r="J179" s="254"/>
      <c r="K179" s="254"/>
      <c r="L179" s="254"/>
      <c r="M179" s="254"/>
      <c r="N179" s="254"/>
      <c r="O179" s="254"/>
      <c r="P179" s="254"/>
      <c r="Q179" s="254"/>
      <c r="R179" s="254"/>
      <c r="S179" s="200"/>
      <c r="T179" s="254"/>
      <c r="U179" s="254"/>
      <c r="V179" s="254"/>
      <c r="W179" s="254"/>
      <c r="X179" s="254"/>
      <c r="Y179" s="200"/>
      <c r="Z179" s="254"/>
      <c r="AA179" s="254"/>
      <c r="AB179" s="254"/>
      <c r="AC179" s="200"/>
      <c r="AD179" s="254"/>
      <c r="AE179" s="200"/>
      <c r="AF179" s="607"/>
    </row>
    <row r="180" spans="1:75" s="167" customFormat="1" ht="13.5" customHeight="1">
      <c r="A180" s="206"/>
      <c r="B180" s="261"/>
      <c r="C180" s="579"/>
      <c r="D180" s="261"/>
      <c r="E180" s="579"/>
      <c r="F180" s="261"/>
      <c r="G180" s="579"/>
      <c r="H180" s="261"/>
      <c r="I180" s="579"/>
      <c r="J180" s="261"/>
      <c r="K180" s="579"/>
      <c r="L180" s="261"/>
      <c r="M180" s="579"/>
      <c r="N180" s="261"/>
      <c r="O180" s="579"/>
      <c r="P180" s="261"/>
      <c r="Q180" s="579"/>
      <c r="R180" s="261"/>
      <c r="S180" s="579"/>
      <c r="T180" s="261"/>
      <c r="U180" s="579"/>
      <c r="V180" s="261"/>
      <c r="W180" s="579"/>
      <c r="X180" s="261"/>
      <c r="Y180" s="579"/>
      <c r="Z180" s="261"/>
      <c r="AA180" s="579"/>
      <c r="AB180" s="261"/>
      <c r="AC180" s="579"/>
      <c r="AD180" s="261"/>
      <c r="AE180" s="579"/>
      <c r="AF180" s="607"/>
    </row>
    <row r="181" spans="1:75" s="167" customFormat="1" ht="13.5" customHeight="1">
      <c r="A181" s="206"/>
      <c r="B181" s="263"/>
      <c r="C181" s="581">
        <v>408</v>
      </c>
      <c r="D181" s="263" t="s">
        <v>550</v>
      </c>
      <c r="E181" s="581">
        <v>407</v>
      </c>
      <c r="F181" s="263" t="s">
        <v>550</v>
      </c>
      <c r="G181" s="581">
        <v>434</v>
      </c>
      <c r="H181" s="263"/>
      <c r="I181" s="581">
        <v>401</v>
      </c>
      <c r="J181" s="263"/>
      <c r="K181" s="581">
        <v>296</v>
      </c>
      <c r="L181" s="263"/>
      <c r="M181" s="581">
        <v>677</v>
      </c>
      <c r="N181" s="263"/>
      <c r="O181" s="581">
        <v>642</v>
      </c>
      <c r="P181" s="263"/>
      <c r="Q181" s="606">
        <v>414</v>
      </c>
      <c r="R181" s="263"/>
      <c r="S181" s="581">
        <v>446</v>
      </c>
      <c r="T181" s="263"/>
      <c r="U181" s="581">
        <v>411</v>
      </c>
      <c r="V181" s="263"/>
      <c r="W181" s="606">
        <v>345</v>
      </c>
      <c r="X181" s="262"/>
      <c r="Y181" s="581">
        <v>345</v>
      </c>
      <c r="Z181" s="262"/>
      <c r="AA181" s="581">
        <v>372</v>
      </c>
      <c r="AB181" s="262"/>
      <c r="AC181" s="581" t="s">
        <v>67</v>
      </c>
      <c r="AD181" s="262"/>
      <c r="AE181" s="581" t="s">
        <v>67</v>
      </c>
      <c r="AF181" s="607"/>
    </row>
    <row r="182" spans="1:75" s="167" customFormat="1" ht="13.5" customHeight="1" thickBot="1">
      <c r="A182" s="206"/>
      <c r="B182" s="264"/>
      <c r="C182" s="200"/>
      <c r="D182" s="264"/>
      <c r="E182" s="200"/>
      <c r="F182" s="264"/>
      <c r="G182" s="200"/>
      <c r="H182" s="264"/>
      <c r="I182" s="200"/>
      <c r="J182" s="264"/>
      <c r="K182" s="200"/>
      <c r="L182" s="264"/>
      <c r="M182" s="200"/>
      <c r="N182" s="264"/>
      <c r="O182" s="200"/>
      <c r="P182" s="264"/>
      <c r="Q182" s="254"/>
      <c r="R182" s="264"/>
      <c r="S182" s="200"/>
      <c r="T182" s="264"/>
      <c r="U182" s="200"/>
      <c r="V182" s="264"/>
      <c r="W182" s="254"/>
      <c r="X182" s="264"/>
      <c r="Y182" s="200"/>
      <c r="Z182" s="264"/>
      <c r="AA182" s="200"/>
      <c r="AB182" s="264"/>
      <c r="AC182" s="200"/>
      <c r="AD182" s="264"/>
      <c r="AE182" s="200"/>
      <c r="AF182" s="607"/>
    </row>
    <row r="183" spans="1:75" s="167" customFormat="1" ht="13.5" customHeight="1">
      <c r="A183" s="206"/>
      <c r="B183" s="254" t="s">
        <v>357</v>
      </c>
      <c r="C183" s="254"/>
      <c r="D183" s="254" t="s">
        <v>335</v>
      </c>
      <c r="E183" s="254"/>
      <c r="F183" s="254" t="s">
        <v>399</v>
      </c>
      <c r="G183" s="254"/>
      <c r="H183" s="254" t="s">
        <v>350</v>
      </c>
      <c r="I183" s="254"/>
      <c r="J183" s="254" t="s">
        <v>591</v>
      </c>
      <c r="K183" s="254"/>
      <c r="L183" s="254" t="s">
        <v>290</v>
      </c>
      <c r="M183" s="254"/>
      <c r="N183" s="254" t="s">
        <v>318</v>
      </c>
      <c r="O183" s="254"/>
      <c r="P183" s="254" t="s">
        <v>320</v>
      </c>
      <c r="Q183" s="254" t="s">
        <v>67</v>
      </c>
      <c r="R183" s="254" t="s">
        <v>322</v>
      </c>
      <c r="S183" s="254"/>
      <c r="T183" s="254" t="s">
        <v>324</v>
      </c>
      <c r="U183" s="254"/>
      <c r="V183" s="254" t="s">
        <v>350</v>
      </c>
      <c r="W183" s="254"/>
      <c r="X183" s="167" t="s">
        <v>350</v>
      </c>
      <c r="Z183" s="167" t="s">
        <v>326</v>
      </c>
      <c r="AB183" s="167" t="s">
        <v>393</v>
      </c>
      <c r="AD183" s="167" t="s">
        <v>350</v>
      </c>
      <c r="AF183" s="607"/>
      <c r="BV183" s="198"/>
    </row>
    <row r="184" spans="1:75" s="167" customFormat="1" ht="13.5" customHeight="1">
      <c r="A184" s="206"/>
      <c r="B184" s="254"/>
      <c r="C184" s="254"/>
      <c r="D184" s="254"/>
      <c r="E184" s="254"/>
      <c r="F184" s="254"/>
      <c r="G184" s="254"/>
      <c r="H184" s="254"/>
      <c r="I184" s="254"/>
      <c r="J184" s="254"/>
      <c r="K184" s="254"/>
      <c r="L184" s="254"/>
      <c r="M184" s="254"/>
      <c r="N184" s="254"/>
      <c r="O184" s="254"/>
      <c r="P184" s="254"/>
      <c r="Q184" s="254"/>
      <c r="R184" s="254"/>
      <c r="S184" s="254"/>
      <c r="T184" s="254"/>
      <c r="U184" s="254"/>
      <c r="V184" s="254"/>
      <c r="W184" s="254"/>
      <c r="X184" s="258"/>
      <c r="Y184" s="254"/>
      <c r="Z184" s="254"/>
      <c r="AA184" s="254"/>
      <c r="AB184" s="254"/>
      <c r="AC184" s="254"/>
      <c r="AF184" s="608"/>
      <c r="BW184" s="158"/>
    </row>
    <row r="185" spans="1:75" s="167" customFormat="1" ht="13.5" customHeight="1">
      <c r="A185" s="206"/>
      <c r="Z185" s="254"/>
      <c r="AA185" s="254"/>
      <c r="AB185" s="254"/>
      <c r="AC185" s="254"/>
      <c r="AD185" s="254"/>
      <c r="AE185" s="254"/>
      <c r="AF185" s="574"/>
      <c r="BW185" s="158"/>
    </row>
    <row r="186" spans="1:75" s="167" customFormat="1" ht="13.5" customHeight="1">
      <c r="A186" s="206"/>
      <c r="Z186" s="200"/>
      <c r="AA186" s="254"/>
      <c r="AB186" s="200"/>
      <c r="AC186" s="585"/>
      <c r="AD186" s="200"/>
      <c r="AE186" s="200"/>
      <c r="AF186" s="574"/>
      <c r="BW186" s="158"/>
    </row>
    <row r="187" spans="1:75" s="167" customFormat="1" ht="13.5" customHeight="1">
      <c r="A187" s="206"/>
      <c r="B187" s="254"/>
      <c r="C187" s="254"/>
      <c r="D187" s="254"/>
      <c r="E187" s="254"/>
      <c r="F187" s="254"/>
      <c r="G187" s="254"/>
      <c r="H187" s="254"/>
      <c r="I187" s="254"/>
      <c r="J187" s="254"/>
      <c r="K187" s="254"/>
      <c r="L187" s="254"/>
      <c r="M187" s="254"/>
      <c r="N187" s="254"/>
      <c r="O187" s="254"/>
      <c r="P187" s="254"/>
      <c r="Q187" s="254"/>
      <c r="R187" s="254"/>
      <c r="S187" s="254"/>
      <c r="T187" s="254"/>
      <c r="U187" s="254"/>
      <c r="V187" s="254"/>
      <c r="W187" s="254"/>
      <c r="X187" s="258"/>
      <c r="Y187" s="254"/>
      <c r="Z187" s="254"/>
      <c r="AA187" s="254"/>
      <c r="AB187" s="254"/>
      <c r="AC187" s="254"/>
      <c r="AF187" s="608"/>
      <c r="BW187" s="158"/>
    </row>
    <row r="188" spans="1:75" s="167" customFormat="1" ht="13.5" customHeight="1">
      <c r="A188" s="206"/>
      <c r="B188" s="200">
        <v>211</v>
      </c>
      <c r="C188" s="200"/>
      <c r="D188" s="200">
        <v>212</v>
      </c>
      <c r="E188" s="200"/>
      <c r="F188" s="200">
        <v>213</v>
      </c>
      <c r="G188" s="200"/>
      <c r="H188" s="200">
        <v>214</v>
      </c>
      <c r="I188" s="200"/>
      <c r="J188" s="200">
        <v>215</v>
      </c>
      <c r="K188" s="200" t="s">
        <v>67</v>
      </c>
      <c r="L188" s="200">
        <v>216</v>
      </c>
      <c r="M188" s="200"/>
      <c r="N188" s="200">
        <v>217</v>
      </c>
      <c r="O188" s="200"/>
      <c r="P188" s="200">
        <v>218</v>
      </c>
      <c r="Q188" s="200"/>
      <c r="R188" s="200">
        <v>219</v>
      </c>
      <c r="S188" s="200"/>
      <c r="T188" s="200">
        <v>220</v>
      </c>
      <c r="U188" s="200"/>
      <c r="V188" s="200">
        <v>221</v>
      </c>
      <c r="W188" s="200"/>
      <c r="X188" s="200">
        <v>222</v>
      </c>
      <c r="Y188" s="200"/>
      <c r="Z188" s="200">
        <v>223</v>
      </c>
      <c r="AA188" s="200"/>
      <c r="AB188" s="200">
        <v>224</v>
      </c>
      <c r="AC188" s="200"/>
      <c r="AD188" s="200">
        <v>225</v>
      </c>
      <c r="AE188" s="254"/>
      <c r="AF188" s="608"/>
      <c r="BW188" s="158"/>
    </row>
    <row r="189" spans="1:75" s="167" customFormat="1" ht="13.5" customHeight="1">
      <c r="A189" s="206"/>
      <c r="B189" s="304" t="s">
        <v>1162</v>
      </c>
      <c r="C189" s="254"/>
      <c r="D189" s="304" t="s">
        <v>1163</v>
      </c>
      <c r="E189" s="254"/>
      <c r="F189" s="304" t="s">
        <v>1164</v>
      </c>
      <c r="G189" s="254"/>
      <c r="H189" s="304" t="s">
        <v>1165</v>
      </c>
      <c r="I189" s="254"/>
      <c r="J189" s="304" t="s">
        <v>1166</v>
      </c>
      <c r="K189" s="254"/>
      <c r="L189" s="304" t="s">
        <v>1167</v>
      </c>
      <c r="M189" s="254"/>
      <c r="N189" s="304" t="s">
        <v>1168</v>
      </c>
      <c r="O189" s="254"/>
      <c r="P189" s="304" t="s">
        <v>1047</v>
      </c>
      <c r="Q189" s="254"/>
      <c r="R189" s="304" t="s">
        <v>1048</v>
      </c>
      <c r="S189" s="254"/>
      <c r="T189" s="304" t="s">
        <v>1169</v>
      </c>
      <c r="U189" s="254"/>
      <c r="V189" s="304" t="s">
        <v>1170</v>
      </c>
      <c r="W189" s="254"/>
      <c r="X189" s="304" t="s">
        <v>1171</v>
      </c>
      <c r="Y189" s="200"/>
      <c r="Z189" s="304" t="s">
        <v>625</v>
      </c>
      <c r="AA189" s="200"/>
      <c r="AB189" s="304" t="s">
        <v>464</v>
      </c>
      <c r="AC189" s="200"/>
      <c r="AD189" s="304" t="s">
        <v>412</v>
      </c>
      <c r="AE189" s="200"/>
      <c r="AF189" s="607"/>
      <c r="BW189" s="158"/>
    </row>
    <row r="190" spans="1:75" s="167" customFormat="1" ht="13.5" customHeight="1">
      <c r="A190" s="206"/>
      <c r="Z190" s="200"/>
      <c r="AA190" s="200"/>
      <c r="AB190" s="200"/>
      <c r="AC190" s="200"/>
      <c r="AD190" s="200"/>
      <c r="AE190" s="200"/>
      <c r="AF190" s="574"/>
      <c r="BW190" s="158"/>
    </row>
    <row r="191" spans="1:75" s="167" customFormat="1" ht="13.5" customHeight="1">
      <c r="A191" s="206"/>
      <c r="B191" s="254"/>
      <c r="C191" s="254"/>
      <c r="D191" s="254"/>
      <c r="E191" s="254"/>
      <c r="F191" s="254"/>
      <c r="G191" s="254"/>
      <c r="H191" s="254"/>
      <c r="I191" s="254"/>
      <c r="J191" s="254"/>
      <c r="K191" s="254"/>
      <c r="L191" s="254"/>
      <c r="M191" s="200"/>
      <c r="N191" s="254"/>
      <c r="O191" s="254"/>
      <c r="P191" s="254"/>
      <c r="Q191" s="200"/>
      <c r="R191" s="254"/>
      <c r="S191" s="254"/>
      <c r="T191" s="254"/>
      <c r="U191" s="254"/>
      <c r="V191" s="254"/>
      <c r="W191" s="254"/>
      <c r="X191" s="254"/>
      <c r="Y191" s="254"/>
      <c r="Z191" s="254"/>
      <c r="AA191" s="254"/>
      <c r="AB191" s="254"/>
      <c r="AC191" s="254"/>
      <c r="AD191" s="254"/>
      <c r="AE191" s="254"/>
      <c r="AF191" s="574"/>
      <c r="BW191" s="158"/>
    </row>
    <row r="192" spans="1:75" s="167" customFormat="1" ht="13.5" customHeight="1" thickBot="1">
      <c r="A192" s="206"/>
      <c r="B192" s="254"/>
      <c r="C192" s="254"/>
      <c r="D192" s="254"/>
      <c r="E192" s="254"/>
      <c r="F192" s="254"/>
      <c r="G192" s="254"/>
      <c r="H192" s="254"/>
      <c r="I192" s="254"/>
      <c r="J192" s="254"/>
      <c r="K192" s="254"/>
      <c r="L192" s="254"/>
      <c r="M192" s="200"/>
      <c r="N192" s="254"/>
      <c r="O192" s="254"/>
      <c r="P192" s="254"/>
      <c r="Q192" s="200"/>
      <c r="R192" s="254"/>
      <c r="S192" s="254"/>
      <c r="T192" s="254"/>
      <c r="U192" s="254"/>
      <c r="V192" s="254"/>
      <c r="W192" s="254"/>
      <c r="X192" s="254"/>
      <c r="Y192" s="254"/>
      <c r="Z192" s="254"/>
      <c r="AA192" s="254"/>
      <c r="AB192" s="254"/>
      <c r="AC192" s="254"/>
      <c r="AD192" s="254"/>
      <c r="AE192" s="254"/>
      <c r="AF192" s="574"/>
      <c r="BW192" s="158"/>
    </row>
    <row r="193" spans="1:75" s="167" customFormat="1" ht="13.5" customHeight="1">
      <c r="A193" s="206"/>
      <c r="B193" s="183"/>
      <c r="C193" s="591"/>
      <c r="D193" s="183"/>
      <c r="E193" s="591"/>
      <c r="F193" s="261"/>
      <c r="G193" s="591"/>
      <c r="H193" s="183"/>
      <c r="I193" s="591"/>
      <c r="J193" s="183"/>
      <c r="K193" s="591"/>
      <c r="L193" s="183"/>
      <c r="M193" s="591"/>
      <c r="N193" s="183"/>
      <c r="O193" s="591"/>
      <c r="P193" s="183"/>
      <c r="Q193" s="591"/>
      <c r="R193" s="183"/>
      <c r="S193" s="591"/>
      <c r="T193" s="183"/>
      <c r="U193" s="591"/>
      <c r="V193" s="183"/>
      <c r="W193" s="591"/>
      <c r="X193" s="183"/>
      <c r="Y193" s="591"/>
      <c r="Z193" s="183"/>
      <c r="AA193" s="591"/>
      <c r="AB193" s="183"/>
      <c r="AC193" s="591"/>
      <c r="AD193" s="183"/>
      <c r="AE193" s="579"/>
      <c r="AF193" s="574"/>
      <c r="BW193" s="158"/>
    </row>
    <row r="194" spans="1:75" s="167" customFormat="1" ht="13.5" customHeight="1">
      <c r="A194" s="206"/>
      <c r="B194" s="201" t="s">
        <v>67</v>
      </c>
      <c r="C194" s="592">
        <v>244</v>
      </c>
      <c r="D194" s="201" t="s">
        <v>550</v>
      </c>
      <c r="E194" s="592">
        <v>390</v>
      </c>
      <c r="F194" s="262"/>
      <c r="G194" s="592">
        <v>377</v>
      </c>
      <c r="H194" s="186"/>
      <c r="I194" s="592">
        <v>382</v>
      </c>
      <c r="J194" s="186"/>
      <c r="K194" s="592">
        <v>390</v>
      </c>
      <c r="L194" s="186"/>
      <c r="M194" s="592">
        <v>364</v>
      </c>
      <c r="N194" s="186"/>
      <c r="O194" s="592">
        <v>390</v>
      </c>
      <c r="P194" s="186"/>
      <c r="Q194" s="592">
        <v>395</v>
      </c>
      <c r="R194" s="186" t="s">
        <v>550</v>
      </c>
      <c r="S194" s="592">
        <v>413</v>
      </c>
      <c r="T194" s="186"/>
      <c r="U194" s="592">
        <v>422</v>
      </c>
      <c r="V194" s="186"/>
      <c r="W194" s="592">
        <v>306</v>
      </c>
      <c r="X194" s="186"/>
      <c r="Y194" s="592">
        <v>357</v>
      </c>
      <c r="Z194" s="186"/>
      <c r="AA194" s="592">
        <v>390</v>
      </c>
      <c r="AB194" s="186"/>
      <c r="AC194" s="592">
        <v>430</v>
      </c>
      <c r="AD194" s="186"/>
      <c r="AE194" s="581">
        <v>399</v>
      </c>
      <c r="AF194" s="574"/>
      <c r="BW194" s="158"/>
    </row>
    <row r="195" spans="1:75" s="167" customFormat="1" ht="13.5" customHeight="1" thickBot="1">
      <c r="A195" s="206"/>
      <c r="B195" s="188"/>
      <c r="C195" s="166"/>
      <c r="D195" s="188"/>
      <c r="E195" s="166"/>
      <c r="F195" s="264"/>
      <c r="G195" s="166"/>
      <c r="H195" s="188"/>
      <c r="I195" s="166"/>
      <c r="J195" s="188"/>
      <c r="K195" s="166"/>
      <c r="L195" s="188"/>
      <c r="M195" s="166"/>
      <c r="N195" s="188"/>
      <c r="O195" s="166"/>
      <c r="P195" s="188"/>
      <c r="Q195" s="166"/>
      <c r="R195" s="188"/>
      <c r="S195" s="166"/>
      <c r="T195" s="188"/>
      <c r="U195" s="166"/>
      <c r="V195" s="188"/>
      <c r="W195" s="166"/>
      <c r="X195" s="188"/>
      <c r="Y195" s="166"/>
      <c r="Z195" s="188"/>
      <c r="AA195" s="166"/>
      <c r="AB195" s="188"/>
      <c r="AC195" s="166"/>
      <c r="AD195" s="188"/>
      <c r="AE195" s="200"/>
      <c r="AF195" s="574"/>
      <c r="BW195" s="158"/>
    </row>
    <row r="196" spans="1:75" s="167" customFormat="1" ht="13.5" customHeight="1">
      <c r="A196" s="206"/>
      <c r="B196" s="258" t="s">
        <v>350</v>
      </c>
      <c r="C196" s="254"/>
      <c r="D196" s="258" t="s">
        <v>350</v>
      </c>
      <c r="E196" s="254"/>
      <c r="F196" s="254" t="s">
        <v>350</v>
      </c>
      <c r="G196" s="254"/>
      <c r="H196" s="254" t="s">
        <v>396</v>
      </c>
      <c r="I196" s="254"/>
      <c r="J196" s="254" t="s">
        <v>335</v>
      </c>
      <c r="K196" s="254"/>
      <c r="L196" s="254" t="s">
        <v>396</v>
      </c>
      <c r="M196" s="254"/>
      <c r="N196" s="258" t="s">
        <v>396</v>
      </c>
      <c r="O196" s="254"/>
      <c r="P196" s="254" t="s">
        <v>396</v>
      </c>
      <c r="Q196" s="254"/>
      <c r="R196" s="258" t="s">
        <v>396</v>
      </c>
      <c r="S196" s="254"/>
      <c r="T196" s="254" t="s">
        <v>350</v>
      </c>
      <c r="U196" s="254"/>
      <c r="V196" s="254" t="s">
        <v>350</v>
      </c>
      <c r="W196" s="254"/>
      <c r="X196" s="254" t="s">
        <v>561</v>
      </c>
      <c r="Y196" s="254"/>
      <c r="Z196" s="254" t="s">
        <v>902</v>
      </c>
      <c r="AA196" s="254"/>
      <c r="AB196" s="254" t="s">
        <v>330</v>
      </c>
      <c r="AC196" s="254"/>
      <c r="AD196" s="254" t="s">
        <v>350</v>
      </c>
      <c r="AE196" s="254"/>
      <c r="AF196" s="574"/>
      <c r="BW196" s="158"/>
    </row>
    <row r="197" spans="1:75" ht="13.5" customHeight="1">
      <c r="A197" s="609"/>
      <c r="AF197" s="610"/>
    </row>
    <row r="198" spans="1:75" ht="13.5" customHeight="1">
      <c r="A198" s="609"/>
      <c r="AF198" s="610"/>
    </row>
    <row r="199" spans="1:75" s="167" customFormat="1" ht="13.5" customHeight="1">
      <c r="A199" s="206"/>
      <c r="AF199" s="607"/>
      <c r="BW199" s="158"/>
    </row>
    <row r="200" spans="1:75" ht="13.5" customHeight="1">
      <c r="A200" s="206"/>
      <c r="AF200" s="610"/>
    </row>
    <row r="201" spans="1:75" ht="13.5" customHeight="1">
      <c r="A201" s="206"/>
      <c r="B201" s="200">
        <v>226</v>
      </c>
      <c r="C201" s="200"/>
      <c r="D201" s="200">
        <v>227</v>
      </c>
      <c r="E201" s="200"/>
      <c r="F201" s="200">
        <v>228</v>
      </c>
      <c r="G201" s="200"/>
      <c r="H201" s="200">
        <v>229</v>
      </c>
      <c r="I201" s="200"/>
      <c r="J201" s="200">
        <v>230</v>
      </c>
      <c r="K201" s="200"/>
      <c r="L201" s="200">
        <v>231</v>
      </c>
      <c r="M201" s="200"/>
      <c r="N201" s="200">
        <v>232</v>
      </c>
      <c r="O201" s="200"/>
      <c r="P201" s="200">
        <v>233</v>
      </c>
      <c r="Q201" s="200"/>
      <c r="R201" s="200">
        <v>234</v>
      </c>
      <c r="S201" s="200"/>
      <c r="T201" s="200">
        <v>235</v>
      </c>
      <c r="U201" s="200"/>
      <c r="V201" s="200">
        <v>236</v>
      </c>
      <c r="W201" s="200"/>
      <c r="X201" s="254">
        <v>237</v>
      </c>
      <c r="Y201" s="254"/>
      <c r="AF201" s="610"/>
    </row>
    <row r="202" spans="1:75" ht="13.5" customHeight="1">
      <c r="A202" s="206"/>
      <c r="B202" s="304" t="s">
        <v>626</v>
      </c>
      <c r="C202" s="254"/>
      <c r="D202" s="304" t="s">
        <v>627</v>
      </c>
      <c r="E202" s="254"/>
      <c r="F202" s="304" t="s">
        <v>628</v>
      </c>
      <c r="G202" s="254"/>
      <c r="H202" s="304" t="s">
        <v>629</v>
      </c>
      <c r="I202" s="254"/>
      <c r="J202" s="304" t="s">
        <v>630</v>
      </c>
      <c r="K202" s="254"/>
      <c r="L202" s="304" t="s">
        <v>631</v>
      </c>
      <c r="M202" s="254"/>
      <c r="N202" s="304" t="s">
        <v>632</v>
      </c>
      <c r="O202" s="254"/>
      <c r="P202" s="304" t="s">
        <v>633</v>
      </c>
      <c r="Q202" s="254"/>
      <c r="R202" s="304" t="s">
        <v>634</v>
      </c>
      <c r="S202" s="254"/>
      <c r="T202" s="304" t="s">
        <v>635</v>
      </c>
      <c r="U202" s="254"/>
      <c r="V202" s="304" t="s">
        <v>636</v>
      </c>
      <c r="W202" s="254"/>
      <c r="X202" s="304" t="s">
        <v>637</v>
      </c>
      <c r="Y202" s="200"/>
      <c r="AF202" s="610"/>
    </row>
    <row r="203" spans="1:75" ht="13.5" customHeight="1">
      <c r="A203" s="206"/>
      <c r="B203" s="200"/>
      <c r="C203" s="200"/>
      <c r="D203" s="200"/>
      <c r="E203" s="200"/>
      <c r="F203" s="200"/>
      <c r="G203" s="200"/>
      <c r="H203" s="200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200"/>
      <c r="U203" s="200"/>
      <c r="V203" s="200"/>
      <c r="W203" s="200"/>
      <c r="X203" s="200"/>
      <c r="Y203" s="200"/>
      <c r="AF203" s="610"/>
    </row>
    <row r="204" spans="1:75" ht="13.5" customHeight="1">
      <c r="A204" s="206"/>
      <c r="B204" s="254"/>
      <c r="C204" s="254"/>
      <c r="D204" s="254"/>
      <c r="E204" s="254"/>
      <c r="F204" s="254"/>
      <c r="G204" s="254"/>
      <c r="H204" s="254"/>
      <c r="I204" s="254"/>
      <c r="J204" s="254"/>
      <c r="K204" s="254"/>
      <c r="L204" s="254"/>
      <c r="M204" s="254"/>
      <c r="N204" s="254"/>
      <c r="O204" s="254"/>
      <c r="P204" s="254"/>
      <c r="Q204" s="254"/>
      <c r="R204" s="254"/>
      <c r="S204" s="200"/>
      <c r="T204" s="254"/>
      <c r="U204" s="254"/>
      <c r="V204" s="254"/>
      <c r="W204" s="254"/>
      <c r="X204" s="254"/>
      <c r="Y204" s="200"/>
      <c r="AF204" s="610"/>
    </row>
    <row r="205" spans="1:75" ht="13.5" customHeight="1" thickBot="1">
      <c r="A205" s="206"/>
      <c r="B205" s="254"/>
      <c r="C205" s="254"/>
      <c r="D205" s="254"/>
      <c r="E205" s="254"/>
      <c r="F205" s="254"/>
      <c r="G205" s="254"/>
      <c r="H205" s="254"/>
      <c r="I205" s="254"/>
      <c r="J205" s="254"/>
      <c r="K205" s="254"/>
      <c r="L205" s="254"/>
      <c r="M205" s="254"/>
      <c r="N205" s="254"/>
      <c r="O205" s="254"/>
      <c r="P205" s="254"/>
      <c r="Q205" s="254"/>
      <c r="R205" s="254"/>
      <c r="S205" s="200"/>
      <c r="T205" s="254"/>
      <c r="U205" s="254"/>
      <c r="V205" s="254"/>
      <c r="W205" s="254"/>
      <c r="X205" s="254"/>
      <c r="Y205" s="200"/>
      <c r="AF205" s="610"/>
    </row>
    <row r="206" spans="1:75" ht="13.5" customHeight="1">
      <c r="A206" s="206"/>
      <c r="B206" s="261"/>
      <c r="C206" s="579"/>
      <c r="D206" s="261"/>
      <c r="E206" s="579"/>
      <c r="F206" s="261"/>
      <c r="G206" s="579"/>
      <c r="H206" s="261"/>
      <c r="I206" s="579"/>
      <c r="J206" s="261"/>
      <c r="K206" s="579"/>
      <c r="L206" s="261"/>
      <c r="M206" s="579"/>
      <c r="N206" s="261"/>
      <c r="O206" s="579"/>
      <c r="P206" s="261"/>
      <c r="Q206" s="579"/>
      <c r="R206" s="261"/>
      <c r="S206" s="579"/>
      <c r="T206" s="261"/>
      <c r="U206" s="579"/>
      <c r="V206" s="261"/>
      <c r="W206" s="579"/>
      <c r="X206" s="261"/>
      <c r="Y206" s="579"/>
      <c r="AF206" s="610"/>
    </row>
    <row r="207" spans="1:75" ht="13.5" customHeight="1">
      <c r="A207" s="594"/>
      <c r="B207" s="263"/>
      <c r="C207" s="581">
        <v>408</v>
      </c>
      <c r="D207" s="263" t="s">
        <v>550</v>
      </c>
      <c r="E207" s="581">
        <v>407</v>
      </c>
      <c r="F207" s="263" t="s">
        <v>550</v>
      </c>
      <c r="G207" s="581">
        <v>434</v>
      </c>
      <c r="H207" s="263"/>
      <c r="I207" s="581">
        <v>401</v>
      </c>
      <c r="J207" s="263"/>
      <c r="K207" s="581">
        <v>296</v>
      </c>
      <c r="L207" s="263"/>
      <c r="M207" s="581">
        <v>677</v>
      </c>
      <c r="N207" s="263"/>
      <c r="O207" s="581">
        <v>642</v>
      </c>
      <c r="P207" s="263"/>
      <c r="Q207" s="606">
        <v>414</v>
      </c>
      <c r="R207" s="263"/>
      <c r="S207" s="581">
        <v>446</v>
      </c>
      <c r="T207" s="263"/>
      <c r="U207" s="581">
        <v>411</v>
      </c>
      <c r="V207" s="263"/>
      <c r="W207" s="606">
        <v>345</v>
      </c>
      <c r="X207" s="262"/>
      <c r="Y207" s="581">
        <v>345</v>
      </c>
      <c r="AF207" s="610"/>
    </row>
    <row r="208" spans="1:75" ht="13.5" customHeight="1" thickBot="1">
      <c r="A208" s="594"/>
      <c r="B208" s="264"/>
      <c r="C208" s="200"/>
      <c r="D208" s="264"/>
      <c r="E208" s="200"/>
      <c r="F208" s="264"/>
      <c r="G208" s="200"/>
      <c r="H208" s="264"/>
      <c r="I208" s="200"/>
      <c r="J208" s="264"/>
      <c r="K208" s="200"/>
      <c r="L208" s="264"/>
      <c r="M208" s="200"/>
      <c r="N208" s="264"/>
      <c r="O208" s="200"/>
      <c r="P208" s="264"/>
      <c r="Q208" s="254"/>
      <c r="R208" s="264"/>
      <c r="S208" s="200"/>
      <c r="T208" s="264"/>
      <c r="U208" s="200"/>
      <c r="V208" s="264"/>
      <c r="W208" s="254"/>
      <c r="X208" s="264"/>
      <c r="Y208" s="200"/>
      <c r="AF208" s="610"/>
      <c r="BM208" s="501">
        <f>1</f>
        <v>1</v>
      </c>
    </row>
    <row r="209" spans="1:75" ht="13.5" customHeight="1">
      <c r="A209" s="594"/>
      <c r="B209" s="254" t="s">
        <v>350</v>
      </c>
      <c r="C209" s="254"/>
      <c r="D209" s="254" t="s">
        <v>350</v>
      </c>
      <c r="E209" s="254"/>
      <c r="F209" s="254" t="s">
        <v>350</v>
      </c>
      <c r="G209" s="254"/>
      <c r="H209" s="254" t="s">
        <v>335</v>
      </c>
      <c r="I209" s="254"/>
      <c r="J209" s="254" t="s">
        <v>350</v>
      </c>
      <c r="K209" s="254"/>
      <c r="L209" s="254" t="s">
        <v>300</v>
      </c>
      <c r="M209" s="254"/>
      <c r="N209" s="254" t="s">
        <v>357</v>
      </c>
      <c r="O209" s="254"/>
      <c r="P209" s="254" t="s">
        <v>350</v>
      </c>
      <c r="Q209" s="254" t="s">
        <v>67</v>
      </c>
      <c r="R209" s="254" t="s">
        <v>350</v>
      </c>
      <c r="S209" s="254"/>
      <c r="T209" s="254" t="s">
        <v>350</v>
      </c>
      <c r="U209" s="254"/>
      <c r="V209" s="254" t="s">
        <v>357</v>
      </c>
      <c r="W209" s="254"/>
      <c r="X209" s="167" t="s">
        <v>357</v>
      </c>
      <c r="Y209" s="167"/>
      <c r="AF209" s="610"/>
    </row>
    <row r="210" spans="1:75" ht="13.5" customHeight="1">
      <c r="A210" s="206"/>
      <c r="B210" s="254"/>
      <c r="C210" s="254"/>
      <c r="D210" s="254"/>
      <c r="E210" s="254"/>
      <c r="F210" s="254"/>
      <c r="G210" s="254"/>
      <c r="H210" s="254"/>
      <c r="I210" s="254"/>
      <c r="J210" s="254"/>
      <c r="K210" s="254"/>
      <c r="L210" s="254"/>
      <c r="M210" s="254"/>
      <c r="N210" s="254"/>
      <c r="O210" s="254"/>
      <c r="P210" s="254"/>
      <c r="Q210" s="254"/>
      <c r="R210" s="254"/>
      <c r="S210" s="254"/>
      <c r="T210" s="254"/>
      <c r="U210" s="254"/>
      <c r="V210" s="254"/>
      <c r="W210" s="254"/>
      <c r="X210" s="258"/>
      <c r="Y210" s="254"/>
      <c r="AF210" s="610"/>
    </row>
    <row r="211" spans="1:75" ht="13.5" customHeight="1">
      <c r="A211" s="206"/>
      <c r="B211" s="167"/>
      <c r="C211" s="167"/>
      <c r="D211" s="167"/>
      <c r="E211" s="167"/>
      <c r="F211" s="167"/>
      <c r="G211" s="167"/>
      <c r="H211" s="167"/>
      <c r="I211" s="167"/>
      <c r="J211" s="167"/>
      <c r="K211" s="167"/>
      <c r="L211" s="167"/>
      <c r="M211" s="167"/>
      <c r="N211" s="167"/>
      <c r="O211" s="167"/>
      <c r="P211" s="167"/>
      <c r="Q211" s="167"/>
      <c r="R211" s="167"/>
      <c r="S211" s="167"/>
      <c r="T211" s="167"/>
      <c r="U211" s="167"/>
      <c r="V211" s="167"/>
      <c r="W211" s="167"/>
      <c r="X211" s="167"/>
      <c r="Y211" s="167"/>
      <c r="Z211" s="254"/>
      <c r="AA211" s="254"/>
      <c r="AB211" s="254"/>
      <c r="AC211" s="254"/>
      <c r="AD211" s="254"/>
      <c r="AE211" s="254"/>
      <c r="AF211" s="574"/>
    </row>
    <row r="212" spans="1:75" ht="13.5" customHeight="1">
      <c r="A212" s="206"/>
      <c r="B212" s="200"/>
      <c r="C212" s="200"/>
      <c r="D212" s="200"/>
      <c r="E212" s="200"/>
      <c r="F212" s="200"/>
      <c r="G212" s="200"/>
      <c r="H212" s="200"/>
      <c r="I212" s="200"/>
      <c r="J212" s="200"/>
      <c r="K212" s="200"/>
      <c r="L212" s="200"/>
      <c r="M212" s="200"/>
      <c r="N212" s="200"/>
      <c r="O212" s="200"/>
      <c r="P212" s="200"/>
      <c r="Q212" s="200"/>
      <c r="R212" s="200"/>
      <c r="S212" s="200"/>
      <c r="T212" s="200"/>
      <c r="U212" s="200"/>
      <c r="V212" s="200"/>
      <c r="W212" s="200"/>
      <c r="X212" s="200"/>
      <c r="Y212" s="200"/>
      <c r="Z212" s="200"/>
      <c r="AA212" s="200"/>
      <c r="AB212" s="200"/>
      <c r="AC212" s="200"/>
      <c r="AD212" s="200"/>
      <c r="AE212" s="200"/>
      <c r="AF212" s="574"/>
    </row>
    <row r="213" spans="1:75" ht="13.5" customHeight="1">
      <c r="A213" s="206"/>
      <c r="B213" s="254">
        <v>238</v>
      </c>
      <c r="C213" s="254"/>
      <c r="D213" s="254">
        <v>239</v>
      </c>
      <c r="E213" s="254"/>
      <c r="F213" s="254">
        <v>240</v>
      </c>
      <c r="G213" s="254"/>
      <c r="H213" s="254">
        <v>241</v>
      </c>
      <c r="I213" s="254"/>
      <c r="J213" s="254">
        <v>242</v>
      </c>
      <c r="K213" s="254"/>
      <c r="L213" s="254">
        <v>243</v>
      </c>
      <c r="M213" s="254"/>
      <c r="N213" s="254">
        <v>244</v>
      </c>
      <c r="O213" s="254"/>
      <c r="P213" s="254">
        <v>245</v>
      </c>
      <c r="Q213" s="254"/>
      <c r="R213" s="254">
        <v>246</v>
      </c>
      <c r="S213" s="254"/>
      <c r="T213" s="254">
        <v>247</v>
      </c>
      <c r="U213" s="254"/>
      <c r="V213" s="254">
        <v>248</v>
      </c>
      <c r="W213" s="254"/>
      <c r="X213" s="254">
        <v>249</v>
      </c>
      <c r="Y213" s="254"/>
      <c r="Z213" s="254">
        <v>250</v>
      </c>
      <c r="AA213" s="254"/>
      <c r="AB213" s="254">
        <v>251</v>
      </c>
      <c r="AC213" s="254"/>
      <c r="AD213" s="254">
        <v>252</v>
      </c>
      <c r="AE213" s="254"/>
      <c r="AF213" s="608"/>
    </row>
    <row r="214" spans="1:75" s="167" customFormat="1" ht="13.5" customHeight="1">
      <c r="A214" s="206"/>
      <c r="B214" s="304" t="s">
        <v>638</v>
      </c>
      <c r="C214" s="254"/>
      <c r="D214" s="304" t="s">
        <v>639</v>
      </c>
      <c r="E214" s="254"/>
      <c r="F214" s="304" t="s">
        <v>640</v>
      </c>
      <c r="G214" s="254"/>
      <c r="H214" s="304" t="s">
        <v>641</v>
      </c>
      <c r="I214" s="254"/>
      <c r="J214" s="304" t="s">
        <v>642</v>
      </c>
      <c r="K214" s="254"/>
      <c r="L214" s="304" t="s">
        <v>643</v>
      </c>
      <c r="M214" s="254"/>
      <c r="N214" s="304" t="s">
        <v>644</v>
      </c>
      <c r="O214" s="254"/>
      <c r="P214" s="304" t="s">
        <v>645</v>
      </c>
      <c r="Q214" s="254"/>
      <c r="R214" s="304" t="s">
        <v>646</v>
      </c>
      <c r="S214" s="254"/>
      <c r="T214" s="304" t="s">
        <v>148</v>
      </c>
      <c r="U214" s="254"/>
      <c r="V214" s="304" t="s">
        <v>647</v>
      </c>
      <c r="W214" s="254"/>
      <c r="X214" s="304" t="s">
        <v>648</v>
      </c>
      <c r="Y214" s="200"/>
      <c r="Z214" s="304" t="s">
        <v>649</v>
      </c>
      <c r="AA214" s="200"/>
      <c r="AB214" s="304" t="s">
        <v>650</v>
      </c>
      <c r="AC214" s="200"/>
      <c r="AD214" s="304" t="s">
        <v>651</v>
      </c>
      <c r="AE214" s="200"/>
      <c r="AF214" s="607"/>
      <c r="BW214" s="158"/>
    </row>
    <row r="215" spans="1:75" ht="13.5" customHeight="1">
      <c r="A215" s="206"/>
      <c r="B215" s="200"/>
      <c r="C215" s="200"/>
      <c r="D215" s="200"/>
      <c r="E215" s="200"/>
      <c r="F215" s="200"/>
      <c r="G215" s="200"/>
      <c r="H215" s="200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 s="200"/>
      <c r="U215" s="200"/>
      <c r="V215" s="200"/>
      <c r="W215" s="200"/>
      <c r="X215" s="200"/>
      <c r="Y215" s="200"/>
      <c r="Z215" s="200"/>
      <c r="AA215" s="200"/>
      <c r="AB215" s="200"/>
      <c r="AC215" s="200"/>
      <c r="AD215" s="200"/>
      <c r="AE215" s="200"/>
      <c r="AF215" s="574"/>
    </row>
    <row r="216" spans="1:75" ht="13.5" customHeight="1">
      <c r="A216" s="206"/>
      <c r="B216" s="254"/>
      <c r="C216" s="200"/>
      <c r="D216" s="254"/>
      <c r="E216" s="254"/>
      <c r="F216" s="254"/>
      <c r="G216" s="200"/>
      <c r="H216" s="254"/>
      <c r="I216" s="254"/>
      <c r="J216" s="254"/>
      <c r="K216" s="254"/>
      <c r="L216" s="254"/>
      <c r="M216" s="254"/>
      <c r="N216" s="254"/>
      <c r="O216" s="254"/>
      <c r="P216" s="254"/>
      <c r="Q216" s="254"/>
      <c r="R216" s="254"/>
      <c r="S216" s="254"/>
      <c r="T216" s="254"/>
      <c r="U216" s="254"/>
      <c r="V216" s="254"/>
      <c r="W216" s="200"/>
      <c r="X216" s="254"/>
      <c r="Y216" s="254"/>
      <c r="Z216" s="254"/>
      <c r="AA216" s="200"/>
      <c r="AB216" s="254"/>
      <c r="AC216" s="254"/>
      <c r="AD216" s="254"/>
      <c r="AE216" s="254"/>
      <c r="AF216" s="574"/>
    </row>
    <row r="217" spans="1:75" ht="13.5" customHeight="1" thickBot="1">
      <c r="A217" s="206"/>
      <c r="B217" s="254"/>
      <c r="C217" s="200"/>
      <c r="D217" s="254"/>
      <c r="E217" s="254"/>
      <c r="F217" s="254"/>
      <c r="G217" s="200"/>
      <c r="H217" s="254"/>
      <c r="I217" s="254"/>
      <c r="J217" s="254"/>
      <c r="K217" s="254"/>
      <c r="L217" s="254"/>
      <c r="M217" s="254"/>
      <c r="N217" s="254"/>
      <c r="O217" s="254"/>
      <c r="P217" s="254"/>
      <c r="Q217" s="254"/>
      <c r="R217" s="254"/>
      <c r="S217" s="254"/>
      <c r="T217" s="254"/>
      <c r="U217" s="254"/>
      <c r="V217" s="254"/>
      <c r="W217" s="200"/>
      <c r="X217" s="254"/>
      <c r="Y217" s="254"/>
      <c r="Z217" s="254"/>
      <c r="AA217" s="200"/>
      <c r="AB217" s="254"/>
      <c r="AC217" s="254"/>
      <c r="AD217" s="254"/>
      <c r="AE217" s="254"/>
      <c r="AF217" s="574"/>
    </row>
    <row r="218" spans="1:75" ht="13.5" customHeight="1">
      <c r="A218" s="206"/>
      <c r="B218" s="261"/>
      <c r="C218" s="579"/>
      <c r="D218" s="261"/>
      <c r="E218" s="579"/>
      <c r="F218" s="261"/>
      <c r="G218" s="579"/>
      <c r="H218" s="261"/>
      <c r="I218" s="579"/>
      <c r="J218" s="261"/>
      <c r="K218" s="579"/>
      <c r="L218" s="261"/>
      <c r="M218" s="579"/>
      <c r="N218" s="261"/>
      <c r="O218" s="579"/>
      <c r="P218" s="261"/>
      <c r="Q218" s="579"/>
      <c r="R218" s="261"/>
      <c r="S218" s="579"/>
      <c r="T218" s="261"/>
      <c r="U218" s="579"/>
      <c r="V218" s="261"/>
      <c r="W218" s="579"/>
      <c r="X218" s="261"/>
      <c r="Y218" s="579"/>
      <c r="Z218" s="261"/>
      <c r="AA218" s="579"/>
      <c r="AB218" s="261"/>
      <c r="AC218" s="579"/>
      <c r="AD218" s="261"/>
      <c r="AE218" s="579"/>
      <c r="AF218" s="580"/>
      <c r="BV218" s="502">
        <v>0</v>
      </c>
      <c r="BW218" s="502">
        <v>0</v>
      </c>
    </row>
    <row r="219" spans="1:75" ht="13.5" customHeight="1">
      <c r="A219" s="206"/>
      <c r="B219" s="262"/>
      <c r="C219" s="581">
        <v>414</v>
      </c>
      <c r="D219" s="263"/>
      <c r="E219" s="581">
        <v>421</v>
      </c>
      <c r="F219" s="263"/>
      <c r="G219" s="581">
        <v>356</v>
      </c>
      <c r="H219" s="263"/>
      <c r="I219" s="581">
        <v>243</v>
      </c>
      <c r="J219" s="263" t="s">
        <v>550</v>
      </c>
      <c r="K219" s="581">
        <v>372</v>
      </c>
      <c r="L219" s="263"/>
      <c r="M219" s="581">
        <v>398</v>
      </c>
      <c r="N219" s="263"/>
      <c r="O219" s="581">
        <v>346</v>
      </c>
      <c r="P219" s="263"/>
      <c r="Q219" s="581">
        <v>405</v>
      </c>
      <c r="R219" s="263"/>
      <c r="S219" s="581">
        <v>417</v>
      </c>
      <c r="T219" s="263"/>
      <c r="U219" s="581">
        <v>402</v>
      </c>
      <c r="V219" s="263"/>
      <c r="W219" s="581">
        <v>415</v>
      </c>
      <c r="X219" s="263"/>
      <c r="Y219" s="581">
        <v>352</v>
      </c>
      <c r="Z219" s="263"/>
      <c r="AA219" s="581">
        <v>397</v>
      </c>
      <c r="AB219" s="263"/>
      <c r="AC219" s="581">
        <v>377</v>
      </c>
      <c r="AD219" s="263"/>
      <c r="AE219" s="581">
        <v>438</v>
      </c>
      <c r="AF219" s="574"/>
      <c r="BV219" s="198"/>
    </row>
    <row r="220" spans="1:75" ht="13.5" customHeight="1" thickBot="1">
      <c r="A220" s="206"/>
      <c r="B220" s="264"/>
      <c r="C220" s="200"/>
      <c r="D220" s="264"/>
      <c r="E220" s="200"/>
      <c r="F220" s="264"/>
      <c r="G220" s="200"/>
      <c r="H220" s="264"/>
      <c r="I220" s="200"/>
      <c r="J220" s="264"/>
      <c r="K220" s="200"/>
      <c r="L220" s="264"/>
      <c r="M220" s="200"/>
      <c r="N220" s="264"/>
      <c r="O220" s="200"/>
      <c r="P220" s="264"/>
      <c r="Q220" s="200"/>
      <c r="R220" s="264"/>
      <c r="S220" s="200"/>
      <c r="T220" s="264"/>
      <c r="U220" s="200"/>
      <c r="V220" s="264"/>
      <c r="W220" s="200"/>
      <c r="X220" s="264"/>
      <c r="Y220" s="200"/>
      <c r="Z220" s="264"/>
      <c r="AA220" s="200"/>
      <c r="AB220" s="264"/>
      <c r="AC220" s="200"/>
      <c r="AD220" s="264"/>
      <c r="AE220" s="200"/>
      <c r="AF220" s="574"/>
    </row>
    <row r="221" spans="1:75" ht="13.5" customHeight="1">
      <c r="A221" s="206"/>
      <c r="B221" s="258" t="s">
        <v>373</v>
      </c>
      <c r="C221" s="254"/>
      <c r="D221" s="254" t="s">
        <v>357</v>
      </c>
      <c r="E221" s="254"/>
      <c r="F221" s="254" t="s">
        <v>350</v>
      </c>
      <c r="G221" s="254"/>
      <c r="H221" s="258" t="s">
        <v>330</v>
      </c>
      <c r="I221" s="254"/>
      <c r="J221" s="258" t="s">
        <v>302</v>
      </c>
      <c r="K221" s="254"/>
      <c r="L221" s="254" t="s">
        <v>350</v>
      </c>
      <c r="M221" s="254"/>
      <c r="N221" s="254" t="s">
        <v>357</v>
      </c>
      <c r="O221" s="254"/>
      <c r="P221" s="254" t="s">
        <v>350</v>
      </c>
      <c r="Q221" s="254"/>
      <c r="R221" s="254" t="s">
        <v>357</v>
      </c>
      <c r="S221" s="254"/>
      <c r="T221" s="258" t="s">
        <v>330</v>
      </c>
      <c r="U221" s="254"/>
      <c r="V221" s="254" t="s">
        <v>357</v>
      </c>
      <c r="W221" s="254"/>
      <c r="X221" s="254" t="s">
        <v>350</v>
      </c>
      <c r="Y221" s="254"/>
      <c r="Z221" s="254" t="s">
        <v>350</v>
      </c>
      <c r="AA221" s="254"/>
      <c r="AB221" s="254" t="s">
        <v>350</v>
      </c>
      <c r="AC221" s="254"/>
      <c r="AD221" s="254" t="s">
        <v>350</v>
      </c>
      <c r="AE221" s="254"/>
      <c r="AF221" s="574"/>
    </row>
    <row r="222" spans="1:75" ht="13.5" customHeight="1">
      <c r="A222" s="206"/>
      <c r="B222" s="200"/>
      <c r="C222" s="254"/>
      <c r="D222" s="200"/>
      <c r="E222" s="254"/>
      <c r="F222" s="200"/>
      <c r="G222" s="200"/>
      <c r="H222" s="200"/>
      <c r="I222" s="200"/>
      <c r="J222" s="200"/>
      <c r="K222" s="254"/>
      <c r="L222" s="200"/>
      <c r="M222" s="254"/>
      <c r="N222" s="200"/>
      <c r="O222" s="254"/>
      <c r="P222" s="200"/>
      <c r="Q222" s="254"/>
      <c r="R222" s="200"/>
      <c r="S222" s="254"/>
      <c r="T222" s="200"/>
      <c r="U222" s="254"/>
      <c r="V222" s="200"/>
      <c r="W222" s="254"/>
      <c r="X222" s="200"/>
      <c r="Y222" s="254"/>
      <c r="Z222" s="200"/>
      <c r="AA222" s="254"/>
      <c r="AB222" s="200"/>
      <c r="AC222" s="585"/>
      <c r="AD222" s="200"/>
      <c r="AE222" s="200"/>
      <c r="AF222" s="574"/>
    </row>
    <row r="223" spans="1:75" ht="13.5" customHeight="1">
      <c r="A223" s="206"/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  <c r="Q223" s="200"/>
      <c r="R223" s="200"/>
      <c r="S223" s="200"/>
      <c r="T223" s="200"/>
      <c r="U223" s="200"/>
      <c r="V223" s="200"/>
      <c r="W223" s="200"/>
      <c r="X223" s="200"/>
      <c r="Y223" s="200"/>
      <c r="Z223" s="200"/>
      <c r="AA223" s="200"/>
      <c r="AB223" s="200"/>
      <c r="AC223" s="200"/>
      <c r="AD223" s="200"/>
      <c r="AE223" s="200"/>
      <c r="AF223" s="574"/>
    </row>
    <row r="224" spans="1:75" ht="13.5" customHeight="1">
      <c r="A224" s="206"/>
      <c r="B224" s="254">
        <v>253</v>
      </c>
      <c r="C224" s="611"/>
      <c r="D224" s="254">
        <v>254</v>
      </c>
      <c r="E224" s="254"/>
      <c r="F224" s="254">
        <v>255</v>
      </c>
      <c r="G224" s="254"/>
      <c r="H224" s="254">
        <v>256</v>
      </c>
      <c r="I224" s="254"/>
      <c r="J224" s="254">
        <v>257</v>
      </c>
      <c r="K224" s="254"/>
      <c r="L224" s="254">
        <v>258</v>
      </c>
      <c r="M224" s="254"/>
      <c r="N224" s="254">
        <v>259</v>
      </c>
      <c r="O224" s="254"/>
      <c r="P224" s="254">
        <v>260</v>
      </c>
      <c r="Q224" s="254"/>
      <c r="R224" s="254">
        <v>261</v>
      </c>
      <c r="S224" s="254"/>
      <c r="T224" s="254">
        <v>262</v>
      </c>
      <c r="U224" s="254"/>
      <c r="V224" s="254">
        <v>263</v>
      </c>
      <c r="W224" s="254"/>
      <c r="X224" s="254">
        <v>264</v>
      </c>
      <c r="Y224" s="254"/>
      <c r="Z224" s="254">
        <v>265</v>
      </c>
      <c r="AA224" s="254"/>
      <c r="AB224" s="254">
        <v>266</v>
      </c>
      <c r="AC224" s="254"/>
      <c r="AD224" s="254">
        <v>267</v>
      </c>
      <c r="AE224" s="254"/>
      <c r="AF224" s="574"/>
    </row>
    <row r="225" spans="1:75" s="167" customFormat="1" ht="13.5" customHeight="1">
      <c r="A225" s="206"/>
      <c r="B225" s="304" t="s">
        <v>652</v>
      </c>
      <c r="C225" s="254"/>
      <c r="D225" s="304" t="s">
        <v>149</v>
      </c>
      <c r="E225" s="254"/>
      <c r="F225" s="304" t="s">
        <v>653</v>
      </c>
      <c r="G225" s="254"/>
      <c r="H225" s="304" t="s">
        <v>654</v>
      </c>
      <c r="I225" s="254"/>
      <c r="J225" s="304" t="s">
        <v>655</v>
      </c>
      <c r="K225" s="254"/>
      <c r="L225" s="304" t="s">
        <v>656</v>
      </c>
      <c r="M225" s="254"/>
      <c r="N225" s="304" t="s">
        <v>657</v>
      </c>
      <c r="O225" s="254"/>
      <c r="P225" s="304" t="s">
        <v>658</v>
      </c>
      <c r="Q225" s="254"/>
      <c r="R225" s="304" t="s">
        <v>414</v>
      </c>
      <c r="S225" s="254"/>
      <c r="T225" s="304" t="s">
        <v>432</v>
      </c>
      <c r="U225" s="254"/>
      <c r="V225" s="304" t="s">
        <v>434</v>
      </c>
      <c r="W225" s="254"/>
      <c r="X225" s="304" t="s">
        <v>408</v>
      </c>
      <c r="Y225" s="200"/>
      <c r="Z225" s="304" t="s">
        <v>397</v>
      </c>
      <c r="AA225" s="200"/>
      <c r="AB225" s="304" t="s">
        <v>415</v>
      </c>
      <c r="AC225" s="200"/>
      <c r="AD225" s="304" t="s">
        <v>403</v>
      </c>
      <c r="AE225" s="200"/>
      <c r="AF225" s="607"/>
      <c r="BW225" s="158"/>
    </row>
    <row r="226" spans="1:75" ht="13.5" customHeight="1">
      <c r="A226" s="206"/>
      <c r="B226" s="200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  <c r="Q226" s="200"/>
      <c r="R226" s="200"/>
      <c r="S226" s="200"/>
      <c r="T226" s="200"/>
      <c r="U226" s="200"/>
      <c r="V226" s="200"/>
      <c r="W226" s="200"/>
      <c r="X226" s="200"/>
      <c r="Y226" s="200"/>
      <c r="Z226" s="200"/>
      <c r="AA226" s="200"/>
      <c r="AB226" s="200"/>
      <c r="AC226" s="200"/>
      <c r="AD226" s="200"/>
      <c r="AE226" s="200"/>
      <c r="AF226" s="574"/>
    </row>
    <row r="227" spans="1:75" ht="13.5" customHeight="1">
      <c r="A227" s="206"/>
      <c r="B227" s="254"/>
      <c r="C227" s="254"/>
      <c r="D227" s="254"/>
      <c r="E227" s="254"/>
      <c r="F227" s="254"/>
      <c r="G227" s="254"/>
      <c r="H227" s="254"/>
      <c r="I227" s="254"/>
      <c r="J227" s="254"/>
      <c r="K227" s="254"/>
      <c r="L227" s="254"/>
      <c r="M227" s="200"/>
      <c r="N227" s="254"/>
      <c r="O227" s="254"/>
      <c r="P227" s="254"/>
      <c r="Q227" s="200"/>
      <c r="R227" s="254"/>
      <c r="S227" s="254"/>
      <c r="T227" s="254"/>
      <c r="U227" s="254"/>
      <c r="V227" s="254"/>
      <c r="W227" s="254"/>
      <c r="X227" s="254"/>
      <c r="Y227" s="254"/>
      <c r="Z227" s="254"/>
      <c r="AA227" s="254"/>
      <c r="AB227" s="254"/>
      <c r="AC227" s="254"/>
      <c r="AD227" s="254"/>
      <c r="AE227" s="254"/>
      <c r="AF227" s="574"/>
    </row>
    <row r="228" spans="1:75" ht="13.5" customHeight="1" thickBot="1">
      <c r="A228" s="206"/>
      <c r="B228" s="254"/>
      <c r="C228" s="254"/>
      <c r="D228" s="254"/>
      <c r="E228" s="254"/>
      <c r="F228" s="254"/>
      <c r="G228" s="254"/>
      <c r="H228" s="254"/>
      <c r="I228" s="254"/>
      <c r="J228" s="254"/>
      <c r="K228" s="254"/>
      <c r="L228" s="254"/>
      <c r="M228" s="200"/>
      <c r="N228" s="254"/>
      <c r="O228" s="254"/>
      <c r="P228" s="254"/>
      <c r="Q228" s="200"/>
      <c r="R228" s="254"/>
      <c r="S228" s="254"/>
      <c r="T228" s="254"/>
      <c r="U228" s="254"/>
      <c r="V228" s="254"/>
      <c r="W228" s="254"/>
      <c r="X228" s="254"/>
      <c r="Y228" s="254"/>
      <c r="Z228" s="254"/>
      <c r="AA228" s="254"/>
      <c r="AB228" s="254"/>
      <c r="AC228" s="254"/>
      <c r="AD228" s="254"/>
      <c r="AE228" s="254"/>
      <c r="AF228" s="574"/>
    </row>
    <row r="229" spans="1:75" ht="13.5" customHeight="1">
      <c r="A229" s="594"/>
      <c r="B229" s="183"/>
      <c r="C229" s="591"/>
      <c r="D229" s="183"/>
      <c r="E229" s="591"/>
      <c r="F229" s="183"/>
      <c r="G229" s="591"/>
      <c r="H229" s="183"/>
      <c r="I229" s="591"/>
      <c r="J229" s="183"/>
      <c r="K229" s="591"/>
      <c r="L229" s="183"/>
      <c r="M229" s="591"/>
      <c r="N229" s="183"/>
      <c r="O229" s="591"/>
      <c r="P229" s="183"/>
      <c r="Q229" s="591"/>
      <c r="R229" s="701"/>
      <c r="S229" s="591"/>
      <c r="T229" s="184"/>
      <c r="U229" s="591"/>
      <c r="V229" s="184"/>
      <c r="W229" s="591"/>
      <c r="X229" s="701"/>
      <c r="Y229" s="591"/>
      <c r="Z229" s="701"/>
      <c r="AA229" s="591"/>
      <c r="AB229" s="701"/>
      <c r="AC229" s="591"/>
      <c r="AD229" s="184"/>
      <c r="AE229" s="579"/>
      <c r="AF229" s="574"/>
    </row>
    <row r="230" spans="1:75" ht="13.5" customHeight="1">
      <c r="A230" s="594"/>
      <c r="B230" s="185"/>
      <c r="C230" s="592">
        <v>363</v>
      </c>
      <c r="D230" s="186" t="s">
        <v>550</v>
      </c>
      <c r="E230" s="592">
        <v>380</v>
      </c>
      <c r="F230" s="186"/>
      <c r="G230" s="592">
        <v>346</v>
      </c>
      <c r="H230" s="186"/>
      <c r="I230" s="592">
        <v>390</v>
      </c>
      <c r="J230" s="186" t="s">
        <v>550</v>
      </c>
      <c r="K230" s="592">
        <v>405</v>
      </c>
      <c r="L230" s="186"/>
      <c r="M230" s="592">
        <v>421</v>
      </c>
      <c r="N230" s="186"/>
      <c r="O230" s="592">
        <v>391</v>
      </c>
      <c r="P230" s="186" t="s">
        <v>550</v>
      </c>
      <c r="Q230" s="592">
        <v>394</v>
      </c>
      <c r="R230" s="702"/>
      <c r="S230" s="592">
        <v>382</v>
      </c>
      <c r="T230" s="187"/>
      <c r="U230" s="592">
        <v>384</v>
      </c>
      <c r="V230" s="187"/>
      <c r="W230" s="592">
        <v>406</v>
      </c>
      <c r="X230" s="702"/>
      <c r="Y230" s="592">
        <v>352</v>
      </c>
      <c r="Z230" s="702"/>
      <c r="AA230" s="592">
        <v>453</v>
      </c>
      <c r="AB230" s="702"/>
      <c r="AC230" s="592">
        <v>388</v>
      </c>
      <c r="AD230" s="187"/>
      <c r="AE230" s="581">
        <v>395</v>
      </c>
      <c r="AF230" s="574"/>
      <c r="BV230" s="501">
        <f>7</f>
        <v>7</v>
      </c>
      <c r="BW230" s="502">
        <v>3</v>
      </c>
    </row>
    <row r="231" spans="1:75" ht="13.5" customHeight="1" thickBot="1">
      <c r="A231" s="594"/>
      <c r="B231" s="188"/>
      <c r="C231" s="166"/>
      <c r="D231" s="188"/>
      <c r="E231" s="166"/>
      <c r="F231" s="188"/>
      <c r="G231" s="166"/>
      <c r="H231" s="188"/>
      <c r="I231" s="166"/>
      <c r="J231" s="188"/>
      <c r="K231" s="166"/>
      <c r="L231" s="188"/>
      <c r="M231" s="166"/>
      <c r="N231" s="188"/>
      <c r="O231" s="166"/>
      <c r="P231" s="188"/>
      <c r="Q231" s="166"/>
      <c r="R231" s="703"/>
      <c r="S231" s="166"/>
      <c r="T231" s="189"/>
      <c r="U231" s="166"/>
      <c r="V231" s="189"/>
      <c r="W231" s="166"/>
      <c r="X231" s="703"/>
      <c r="Y231" s="166"/>
      <c r="Z231" s="703"/>
      <c r="AA231" s="166"/>
      <c r="AB231" s="703"/>
      <c r="AC231" s="166"/>
      <c r="AD231" s="189"/>
      <c r="AE231" s="200"/>
      <c r="AF231" s="574"/>
    </row>
    <row r="232" spans="1:75" ht="13.5" customHeight="1">
      <c r="A232" s="206"/>
      <c r="B232" s="254" t="s">
        <v>399</v>
      </c>
      <c r="C232" s="254"/>
      <c r="D232" s="258" t="s">
        <v>335</v>
      </c>
      <c r="E232" s="254"/>
      <c r="F232" s="254" t="s">
        <v>350</v>
      </c>
      <c r="G232" s="254"/>
      <c r="H232" s="254" t="s">
        <v>350</v>
      </c>
      <c r="I232" s="254"/>
      <c r="J232" s="254" t="s">
        <v>350</v>
      </c>
      <c r="K232" s="254"/>
      <c r="L232" s="254" t="s">
        <v>357</v>
      </c>
      <c r="M232" s="254"/>
      <c r="N232" s="254" t="s">
        <v>357</v>
      </c>
      <c r="O232" s="254"/>
      <c r="P232" s="254" t="s">
        <v>350</v>
      </c>
      <c r="Q232" s="254"/>
      <c r="R232" s="258" t="s">
        <v>335</v>
      </c>
      <c r="S232" s="254"/>
      <c r="T232" s="254" t="s">
        <v>350</v>
      </c>
      <c r="U232" s="254"/>
      <c r="V232" s="254" t="s">
        <v>357</v>
      </c>
      <c r="W232" s="254"/>
      <c r="X232" s="254" t="s">
        <v>350</v>
      </c>
      <c r="Y232" s="254"/>
      <c r="Z232" s="254" t="s">
        <v>357</v>
      </c>
      <c r="AA232" s="254"/>
      <c r="AB232" s="254" t="s">
        <v>399</v>
      </c>
      <c r="AC232" s="254"/>
      <c r="AD232" s="254" t="s">
        <v>350</v>
      </c>
      <c r="AE232" s="254"/>
      <c r="AF232" s="574"/>
    </row>
    <row r="233" spans="1:75" ht="13.5" customHeight="1">
      <c r="A233" s="206"/>
      <c r="B233" s="200"/>
      <c r="C233" s="254"/>
      <c r="D233" s="200"/>
      <c r="E233" s="254"/>
      <c r="F233" s="200"/>
      <c r="G233" s="254"/>
      <c r="H233" s="200"/>
      <c r="I233" s="254"/>
      <c r="J233" s="200"/>
      <c r="K233" s="200"/>
      <c r="L233" s="200"/>
      <c r="M233" s="200"/>
      <c r="N233" s="200"/>
      <c r="O233" s="200"/>
      <c r="P233" s="200"/>
      <c r="Q233" s="200"/>
      <c r="R233" s="200"/>
      <c r="S233" s="200"/>
      <c r="T233" s="200"/>
      <c r="U233" s="254"/>
      <c r="V233" s="200"/>
      <c r="W233" s="254"/>
      <c r="X233" s="200"/>
      <c r="Y233" s="254"/>
      <c r="Z233" s="200"/>
      <c r="AA233" s="200"/>
      <c r="AB233" s="200"/>
      <c r="AC233" s="200"/>
      <c r="AD233" s="200"/>
      <c r="AE233" s="200"/>
      <c r="AF233" s="574"/>
    </row>
    <row r="234" spans="1:75" ht="13.5" customHeight="1">
      <c r="A234" s="206"/>
      <c r="B234" s="200"/>
      <c r="C234" s="254"/>
      <c r="D234" s="200"/>
      <c r="E234" s="254"/>
      <c r="F234" s="200"/>
      <c r="G234" s="254"/>
      <c r="H234" s="200"/>
      <c r="I234" s="254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54"/>
      <c r="V234" s="200"/>
      <c r="W234" s="254"/>
      <c r="X234" s="612"/>
      <c r="Y234" s="254"/>
      <c r="Z234" s="612"/>
      <c r="AA234" s="200"/>
      <c r="AB234" s="200"/>
      <c r="AC234" s="200"/>
      <c r="AD234" s="200"/>
      <c r="AE234" s="200"/>
      <c r="AF234" s="574"/>
    </row>
    <row r="235" spans="1:75" ht="13.5" customHeight="1">
      <c r="A235" s="206"/>
      <c r="B235" s="200"/>
      <c r="C235" s="254"/>
      <c r="D235" s="200"/>
      <c r="E235" s="254"/>
      <c r="F235" s="200"/>
      <c r="G235" s="254"/>
      <c r="H235" s="200"/>
      <c r="I235" s="254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54"/>
      <c r="V235" s="200"/>
      <c r="W235" s="254"/>
      <c r="X235" s="612"/>
      <c r="Y235" s="254"/>
      <c r="Z235" s="612"/>
      <c r="AA235" s="200"/>
      <c r="AB235" s="200"/>
      <c r="AC235" s="200"/>
      <c r="AD235" s="200"/>
      <c r="AE235" s="200"/>
      <c r="AF235" s="574"/>
    </row>
    <row r="236" spans="1:75" ht="13.5" customHeight="1">
      <c r="A236" s="206"/>
      <c r="B236" s="200"/>
      <c r="C236" s="254"/>
      <c r="D236" s="200"/>
      <c r="E236" s="254"/>
      <c r="F236" s="200"/>
      <c r="G236" s="254"/>
      <c r="H236" s="200"/>
      <c r="I236" s="254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54"/>
      <c r="V236" s="200"/>
      <c r="W236" s="254"/>
      <c r="X236" s="612"/>
      <c r="Y236" s="254"/>
      <c r="Z236" s="612"/>
      <c r="AA236" s="200"/>
      <c r="AB236" s="200"/>
      <c r="AC236" s="200"/>
      <c r="AD236" s="200"/>
      <c r="AE236" s="200"/>
      <c r="AF236" s="574"/>
    </row>
    <row r="237" spans="1:75" ht="13.5" customHeight="1">
      <c r="A237" s="206"/>
      <c r="B237" s="254">
        <v>268</v>
      </c>
      <c r="C237" s="611"/>
      <c r="D237" s="254">
        <v>269</v>
      </c>
      <c r="E237" s="254"/>
      <c r="F237" s="254">
        <v>270</v>
      </c>
      <c r="G237" s="254"/>
      <c r="H237" s="254">
        <v>271</v>
      </c>
      <c r="I237" s="254"/>
      <c r="J237" s="254">
        <v>272</v>
      </c>
      <c r="K237" s="254"/>
      <c r="L237" s="254">
        <v>273</v>
      </c>
      <c r="M237" s="254"/>
      <c r="N237" s="254">
        <v>274</v>
      </c>
      <c r="O237" s="254"/>
      <c r="P237" s="254">
        <v>275</v>
      </c>
      <c r="Q237" s="254"/>
      <c r="R237" s="254">
        <v>276</v>
      </c>
      <c r="S237" s="254"/>
      <c r="T237" s="254">
        <v>277</v>
      </c>
      <c r="U237" s="254"/>
      <c r="V237" s="254">
        <v>278</v>
      </c>
      <c r="W237" s="254"/>
      <c r="X237" s="254">
        <v>279</v>
      </c>
      <c r="Y237" s="254"/>
      <c r="Z237" s="254">
        <v>280</v>
      </c>
      <c r="AA237" s="254"/>
      <c r="AB237" s="254">
        <v>281</v>
      </c>
      <c r="AC237" s="254"/>
      <c r="AD237" s="254">
        <v>282</v>
      </c>
      <c r="AE237" s="254"/>
      <c r="AF237" s="574"/>
    </row>
    <row r="238" spans="1:75" ht="13.5" customHeight="1">
      <c r="A238" s="206"/>
      <c r="B238" s="304" t="s">
        <v>150</v>
      </c>
      <c r="C238" s="254"/>
      <c r="D238" s="304" t="s">
        <v>436</v>
      </c>
      <c r="E238" s="254"/>
      <c r="F238" s="304" t="s">
        <v>435</v>
      </c>
      <c r="G238" s="254"/>
      <c r="H238" s="304" t="s">
        <v>659</v>
      </c>
      <c r="I238" s="254"/>
      <c r="J238" s="304" t="s">
        <v>437</v>
      </c>
      <c r="K238" s="254"/>
      <c r="L238" s="304" t="s">
        <v>431</v>
      </c>
      <c r="M238" s="254"/>
      <c r="N238" s="304" t="s">
        <v>151</v>
      </c>
      <c r="O238" s="254"/>
      <c r="P238" s="304" t="s">
        <v>421</v>
      </c>
      <c r="Q238" s="254"/>
      <c r="R238" s="304" t="s">
        <v>660</v>
      </c>
      <c r="S238" s="254"/>
      <c r="T238" s="304" t="s">
        <v>661</v>
      </c>
      <c r="U238" s="254"/>
      <c r="V238" s="304" t="s">
        <v>662</v>
      </c>
      <c r="W238" s="254"/>
      <c r="X238" s="304" t="s">
        <v>663</v>
      </c>
      <c r="Y238" s="200"/>
      <c r="Z238" s="304" t="s">
        <v>664</v>
      </c>
      <c r="AA238" s="200"/>
      <c r="AB238" s="304" t="s">
        <v>665</v>
      </c>
      <c r="AC238" s="200"/>
      <c r="AD238" s="304" t="s">
        <v>463</v>
      </c>
      <c r="AE238" s="200"/>
      <c r="AF238" s="607"/>
    </row>
    <row r="239" spans="1:75" ht="13.5" customHeight="1">
      <c r="A239" s="206"/>
      <c r="B239" s="200"/>
      <c r="C239" s="200"/>
      <c r="D239" s="200"/>
      <c r="E239" s="200"/>
      <c r="F239" s="200"/>
      <c r="G239" s="200"/>
      <c r="H239" s="200"/>
      <c r="I239" s="200"/>
      <c r="J239" s="200"/>
      <c r="K239" s="200"/>
      <c r="L239" s="200"/>
      <c r="M239" s="200"/>
      <c r="N239" s="200"/>
      <c r="O239" s="200"/>
      <c r="P239" s="200"/>
      <c r="Q239" s="200"/>
      <c r="R239" s="200"/>
      <c r="S239" s="200"/>
      <c r="T239" s="200"/>
      <c r="U239" s="200"/>
      <c r="V239" s="200"/>
      <c r="W239" s="200"/>
      <c r="X239" s="200"/>
      <c r="Y239" s="200"/>
      <c r="Z239" s="200"/>
      <c r="AA239" s="200"/>
      <c r="AB239" s="200"/>
      <c r="AC239" s="200"/>
      <c r="AD239" s="200"/>
      <c r="AE239" s="200"/>
      <c r="AF239" s="574"/>
    </row>
    <row r="240" spans="1:75" ht="13.5" customHeight="1">
      <c r="A240" s="206"/>
      <c r="B240" s="254"/>
      <c r="C240" s="200"/>
      <c r="D240" s="254"/>
      <c r="E240" s="254"/>
      <c r="F240" s="254"/>
      <c r="G240" s="200"/>
      <c r="H240" s="254"/>
      <c r="I240" s="254"/>
      <c r="J240" s="254"/>
      <c r="K240" s="254"/>
      <c r="L240" s="254"/>
      <c r="M240" s="254"/>
      <c r="N240" s="254"/>
      <c r="O240" s="254"/>
      <c r="P240" s="254"/>
      <c r="Q240" s="254"/>
      <c r="R240" s="254"/>
      <c r="S240" s="254"/>
      <c r="T240" s="254"/>
      <c r="U240" s="254"/>
      <c r="V240" s="254"/>
      <c r="W240" s="200"/>
      <c r="X240" s="254"/>
      <c r="Y240" s="254"/>
      <c r="Z240" s="254"/>
      <c r="AA240" s="200"/>
      <c r="AB240" s="254"/>
      <c r="AC240" s="254"/>
      <c r="AD240" s="254"/>
      <c r="AE240" s="254"/>
      <c r="AF240" s="574"/>
    </row>
    <row r="241" spans="1:75" ht="13.5" customHeight="1" thickBot="1">
      <c r="A241" s="206"/>
      <c r="B241" s="254"/>
      <c r="C241" s="200"/>
      <c r="D241" s="254"/>
      <c r="E241" s="254"/>
      <c r="F241" s="254"/>
      <c r="G241" s="200"/>
      <c r="H241" s="254"/>
      <c r="I241" s="254"/>
      <c r="J241" s="254"/>
      <c r="K241" s="254"/>
      <c r="L241" s="254"/>
      <c r="M241" s="254"/>
      <c r="N241" s="254"/>
      <c r="O241" s="254"/>
      <c r="P241" s="254"/>
      <c r="Q241" s="254"/>
      <c r="R241" s="254"/>
      <c r="S241" s="254"/>
      <c r="T241" s="254"/>
      <c r="U241" s="254"/>
      <c r="V241" s="254"/>
      <c r="W241" s="200"/>
      <c r="X241" s="254"/>
      <c r="Y241" s="254"/>
      <c r="Z241" s="254"/>
      <c r="AA241" s="200"/>
      <c r="AB241" s="254"/>
      <c r="AC241" s="254"/>
      <c r="AD241" s="254"/>
      <c r="AE241" s="254"/>
      <c r="AF241" s="574"/>
    </row>
    <row r="242" spans="1:75" ht="13.5" customHeight="1">
      <c r="A242" s="206"/>
      <c r="B242" s="184"/>
      <c r="C242" s="591"/>
      <c r="D242" s="184"/>
      <c r="E242" s="591"/>
      <c r="F242" s="184"/>
      <c r="G242" s="591"/>
      <c r="H242" s="183"/>
      <c r="I242" s="591"/>
      <c r="J242" s="184"/>
      <c r="K242" s="591"/>
      <c r="L242" s="184"/>
      <c r="M242" s="591"/>
      <c r="N242" s="184"/>
      <c r="O242" s="591"/>
      <c r="P242" s="202"/>
      <c r="Q242" s="591"/>
      <c r="R242" s="183"/>
      <c r="S242" s="591"/>
      <c r="T242" s="183"/>
      <c r="U242" s="591"/>
      <c r="V242" s="183"/>
      <c r="W242" s="591"/>
      <c r="X242" s="183"/>
      <c r="Y242" s="591"/>
      <c r="Z242" s="183"/>
      <c r="AA242" s="591"/>
      <c r="AB242" s="183"/>
      <c r="AC242" s="591"/>
      <c r="AD242" s="183"/>
      <c r="AE242" s="579"/>
      <c r="AF242" s="580"/>
    </row>
    <row r="243" spans="1:75" ht="13.5" customHeight="1">
      <c r="A243" s="206"/>
      <c r="B243" s="187"/>
      <c r="C243" s="592">
        <v>430</v>
      </c>
      <c r="D243" s="187"/>
      <c r="E243" s="592">
        <v>388</v>
      </c>
      <c r="F243" s="187"/>
      <c r="G243" s="592">
        <v>402</v>
      </c>
      <c r="H243" s="186"/>
      <c r="I243" s="592">
        <v>437</v>
      </c>
      <c r="J243" s="187"/>
      <c r="K243" s="592">
        <v>405</v>
      </c>
      <c r="L243" s="187"/>
      <c r="M243" s="592">
        <v>337</v>
      </c>
      <c r="N243" s="187"/>
      <c r="O243" s="592">
        <v>282</v>
      </c>
      <c r="P243" s="187"/>
      <c r="Q243" s="592">
        <v>435</v>
      </c>
      <c r="R243" s="186"/>
      <c r="S243" s="592">
        <v>407</v>
      </c>
      <c r="T243" s="186"/>
      <c r="U243" s="592">
        <v>426</v>
      </c>
      <c r="V243" s="186"/>
      <c r="W243" s="592">
        <v>374</v>
      </c>
      <c r="X243" s="186"/>
      <c r="Y243" s="592">
        <v>440</v>
      </c>
      <c r="Z243" s="186"/>
      <c r="AA243" s="592">
        <v>386</v>
      </c>
      <c r="AB243" s="186"/>
      <c r="AC243" s="592">
        <v>210</v>
      </c>
      <c r="AD243" s="186"/>
      <c r="AE243" s="581"/>
      <c r="AF243" s="574"/>
    </row>
    <row r="244" spans="1:75" ht="13.5" customHeight="1" thickBot="1">
      <c r="A244" s="206"/>
      <c r="B244" s="189"/>
      <c r="C244" s="166"/>
      <c r="D244" s="189"/>
      <c r="E244" s="166"/>
      <c r="F244" s="189"/>
      <c r="G244" s="166"/>
      <c r="H244" s="188"/>
      <c r="I244" s="166"/>
      <c r="J244" s="189"/>
      <c r="K244" s="166"/>
      <c r="L244" s="189"/>
      <c r="M244" s="166"/>
      <c r="N244" s="189"/>
      <c r="O244" s="166"/>
      <c r="P244" s="203"/>
      <c r="Q244" s="166"/>
      <c r="R244" s="188"/>
      <c r="S244" s="166"/>
      <c r="T244" s="188"/>
      <c r="U244" s="166"/>
      <c r="V244" s="188"/>
      <c r="W244" s="166"/>
      <c r="X244" s="188"/>
      <c r="Y244" s="166"/>
      <c r="Z244" s="188"/>
      <c r="AA244" s="166"/>
      <c r="AB244" s="188"/>
      <c r="AC244" s="166"/>
      <c r="AD244" s="188"/>
      <c r="AE244" s="200"/>
      <c r="AF244" s="574"/>
    </row>
    <row r="245" spans="1:75" ht="13.5" customHeight="1">
      <c r="A245" s="206"/>
      <c r="B245" s="258" t="s">
        <v>309</v>
      </c>
      <c r="C245" s="254"/>
      <c r="D245" s="254" t="s">
        <v>357</v>
      </c>
      <c r="E245" s="254"/>
      <c r="F245" s="254" t="s">
        <v>350</v>
      </c>
      <c r="G245" s="254"/>
      <c r="H245" s="258" t="s">
        <v>666</v>
      </c>
      <c r="I245" s="254"/>
      <c r="J245" s="254" t="s">
        <v>357</v>
      </c>
      <c r="K245" s="254"/>
      <c r="L245" s="254" t="s">
        <v>350</v>
      </c>
      <c r="M245" s="254"/>
      <c r="N245" s="258" t="s">
        <v>335</v>
      </c>
      <c r="O245" s="254"/>
      <c r="P245" s="254" t="s">
        <v>399</v>
      </c>
      <c r="Q245" s="254"/>
      <c r="R245" s="254" t="s">
        <v>350</v>
      </c>
      <c r="S245" s="254"/>
      <c r="T245" s="254" t="s">
        <v>399</v>
      </c>
      <c r="U245" s="254"/>
      <c r="V245" s="254" t="s">
        <v>350</v>
      </c>
      <c r="W245" s="254"/>
      <c r="X245" s="254" t="s">
        <v>357</v>
      </c>
      <c r="Y245" s="254"/>
      <c r="Z245" s="254" t="s">
        <v>350</v>
      </c>
      <c r="AA245" s="254"/>
      <c r="AB245" s="258" t="s">
        <v>300</v>
      </c>
      <c r="AC245" s="254"/>
      <c r="AD245" s="258" t="s">
        <v>300</v>
      </c>
      <c r="AE245" s="254"/>
      <c r="AF245" s="574"/>
    </row>
    <row r="246" spans="1:75" ht="13.5" customHeight="1">
      <c r="A246" s="206"/>
      <c r="B246" s="200"/>
      <c r="C246" s="254"/>
      <c r="D246" s="200"/>
      <c r="E246" s="254"/>
      <c r="F246" s="200"/>
      <c r="G246" s="254"/>
      <c r="H246" s="200"/>
      <c r="I246" s="254"/>
      <c r="J246" s="200"/>
      <c r="K246" s="200"/>
      <c r="L246" s="200"/>
      <c r="M246" s="200"/>
      <c r="N246" s="200"/>
      <c r="O246" s="200"/>
      <c r="P246" s="200"/>
      <c r="Q246" s="200"/>
      <c r="R246" s="200"/>
      <c r="S246" s="200"/>
      <c r="T246" s="200"/>
      <c r="U246" s="254"/>
      <c r="V246" s="200"/>
      <c r="W246" s="254"/>
      <c r="X246" s="612"/>
      <c r="Y246" s="254"/>
      <c r="Z246" s="612"/>
      <c r="AA246" s="200"/>
      <c r="AB246" s="200"/>
      <c r="AC246" s="200"/>
      <c r="AD246" s="200"/>
      <c r="AE246" s="200"/>
      <c r="AF246" s="574"/>
    </row>
    <row r="247" spans="1:75" ht="13.5" customHeight="1">
      <c r="A247" s="206"/>
      <c r="B247" s="200"/>
      <c r="C247" s="254"/>
      <c r="D247" s="200"/>
      <c r="E247" s="254"/>
      <c r="F247" s="200"/>
      <c r="G247" s="254"/>
      <c r="H247" s="200"/>
      <c r="I247" s="254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54"/>
      <c r="V247" s="200"/>
      <c r="W247" s="254"/>
      <c r="X247" s="612"/>
      <c r="Y247" s="254"/>
      <c r="Z247" s="612"/>
      <c r="AA247" s="200"/>
      <c r="AB247" s="200"/>
      <c r="AC247" s="200"/>
      <c r="AD247" s="200"/>
      <c r="AE247" s="200"/>
      <c r="AF247" s="574"/>
    </row>
    <row r="248" spans="1:75" ht="13.5" customHeight="1">
      <c r="A248" s="206"/>
      <c r="B248" s="200"/>
      <c r="C248" s="200"/>
      <c r="D248" s="200"/>
      <c r="E248" s="200"/>
      <c r="F248" s="200"/>
      <c r="G248" s="200"/>
      <c r="H248" s="200"/>
      <c r="I248" s="200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00"/>
      <c r="V248" s="200"/>
      <c r="W248" s="200"/>
      <c r="X248" s="200"/>
      <c r="Y248" s="200"/>
      <c r="Z248" s="200"/>
      <c r="AA248" s="200"/>
      <c r="AB248" s="200"/>
      <c r="AC248" s="200"/>
      <c r="AD248" s="200"/>
      <c r="AE248" s="200"/>
      <c r="AF248" s="574"/>
    </row>
    <row r="249" spans="1:75" ht="13.5" customHeight="1">
      <c r="A249" s="206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  <c r="AA249" s="200"/>
      <c r="AB249" s="200"/>
      <c r="AC249" s="200"/>
      <c r="AD249" s="200"/>
      <c r="AE249" s="200"/>
      <c r="AF249" s="574"/>
    </row>
    <row r="250" spans="1:75" s="167" customFormat="1" ht="13.5" customHeight="1">
      <c r="A250" s="206"/>
      <c r="B250" s="254">
        <v>283</v>
      </c>
      <c r="C250" s="254"/>
      <c r="D250" s="254">
        <v>284</v>
      </c>
      <c r="E250" s="254"/>
      <c r="F250" s="254">
        <v>285</v>
      </c>
      <c r="G250" s="254"/>
      <c r="H250" s="254">
        <v>286</v>
      </c>
      <c r="I250" s="254"/>
      <c r="J250" s="254">
        <v>287</v>
      </c>
      <c r="K250" s="254"/>
      <c r="L250" s="254">
        <v>288</v>
      </c>
      <c r="M250" s="254"/>
      <c r="N250" s="254">
        <v>289</v>
      </c>
      <c r="O250" s="254"/>
      <c r="P250" s="254">
        <v>290</v>
      </c>
      <c r="Q250" s="254"/>
      <c r="R250" s="254">
        <v>291</v>
      </c>
      <c r="S250" s="254"/>
      <c r="T250" s="254">
        <v>292</v>
      </c>
      <c r="U250" s="254"/>
      <c r="V250" s="254">
        <v>293</v>
      </c>
      <c r="W250" s="254"/>
      <c r="X250" s="254">
        <v>294</v>
      </c>
      <c r="Y250" s="254"/>
      <c r="Z250" s="254">
        <v>295</v>
      </c>
      <c r="AA250" s="254"/>
      <c r="AB250" s="254">
        <v>296</v>
      </c>
      <c r="AC250" s="254"/>
      <c r="AD250" s="254">
        <v>297</v>
      </c>
      <c r="AE250" s="254"/>
      <c r="AF250" s="608"/>
      <c r="BW250" s="158"/>
    </row>
    <row r="251" spans="1:75" ht="13.5" customHeight="1">
      <c r="A251" s="206"/>
      <c r="B251" s="304" t="s">
        <v>765</v>
      </c>
      <c r="C251" s="254"/>
      <c r="D251" s="304" t="s">
        <v>767</v>
      </c>
      <c r="E251" s="254"/>
      <c r="F251" s="304" t="s">
        <v>152</v>
      </c>
      <c r="G251" s="254"/>
      <c r="H251" s="304" t="s">
        <v>1173</v>
      </c>
      <c r="I251" s="254"/>
      <c r="J251" s="304" t="s">
        <v>166</v>
      </c>
      <c r="K251" s="254"/>
      <c r="L251" s="304" t="s">
        <v>769</v>
      </c>
      <c r="M251" s="254"/>
      <c r="N251" s="304" t="s">
        <v>153</v>
      </c>
      <c r="O251" s="254"/>
      <c r="P251" s="304" t="s">
        <v>770</v>
      </c>
      <c r="Q251" s="254"/>
      <c r="R251" s="304" t="s">
        <v>771</v>
      </c>
      <c r="S251" s="254"/>
      <c r="T251" s="304" t="s">
        <v>1174</v>
      </c>
      <c r="U251" s="254"/>
      <c r="V251" s="304" t="s">
        <v>1175</v>
      </c>
      <c r="W251" s="254"/>
      <c r="X251" s="304" t="s">
        <v>772</v>
      </c>
      <c r="Y251" s="200"/>
      <c r="Z251" s="304" t="s">
        <v>1176</v>
      </c>
      <c r="AA251" s="200"/>
      <c r="AB251" s="304" t="s">
        <v>1177</v>
      </c>
      <c r="AC251" s="200"/>
      <c r="AD251" s="304" t="s">
        <v>1178</v>
      </c>
      <c r="AE251" s="200"/>
      <c r="AF251" s="607"/>
    </row>
    <row r="252" spans="1:75" ht="13.5" customHeight="1">
      <c r="A252" s="206"/>
      <c r="B252" s="200"/>
      <c r="C252" s="200"/>
      <c r="D252" s="200"/>
      <c r="E252" s="200"/>
      <c r="F252" s="200"/>
      <c r="G252" s="200"/>
      <c r="H252" s="200"/>
      <c r="I252" s="200"/>
      <c r="J252" s="200"/>
      <c r="K252" s="200"/>
      <c r="L252" s="200"/>
      <c r="M252" s="200"/>
      <c r="N252" s="200"/>
      <c r="O252" s="200"/>
      <c r="P252" s="200"/>
      <c r="Q252" s="200"/>
      <c r="R252" s="200"/>
      <c r="S252" s="200"/>
      <c r="T252" s="200"/>
      <c r="U252" s="200"/>
      <c r="V252" s="200"/>
      <c r="W252" s="200"/>
      <c r="X252" s="200"/>
      <c r="Y252" s="200"/>
      <c r="Z252" s="200"/>
      <c r="AA252" s="200"/>
      <c r="AB252" s="200"/>
      <c r="AC252" s="200"/>
      <c r="AD252" s="200"/>
      <c r="AE252" s="200"/>
      <c r="AF252" s="574"/>
      <c r="BW252" s="502">
        <v>1</v>
      </c>
    </row>
    <row r="253" spans="1:75" ht="13.5" customHeight="1">
      <c r="A253" s="206"/>
      <c r="B253" s="254"/>
      <c r="C253" s="200"/>
      <c r="D253" s="254"/>
      <c r="E253" s="254"/>
      <c r="F253" s="254"/>
      <c r="G253" s="200"/>
      <c r="H253" s="254"/>
      <c r="I253" s="254"/>
      <c r="J253" s="254"/>
      <c r="K253" s="254"/>
      <c r="L253" s="254"/>
      <c r="M253" s="254"/>
      <c r="N253" s="254"/>
      <c r="O253" s="254"/>
      <c r="P253" s="254"/>
      <c r="Q253" s="254"/>
      <c r="R253" s="254"/>
      <c r="S253" s="254"/>
      <c r="T253" s="254"/>
      <c r="U253" s="254"/>
      <c r="V253" s="254"/>
      <c r="W253" s="200"/>
      <c r="X253" s="254"/>
      <c r="Y253" s="254"/>
      <c r="Z253" s="254"/>
      <c r="AA253" s="200"/>
      <c r="AB253" s="254"/>
      <c r="AC253" s="254"/>
      <c r="AD253" s="254"/>
      <c r="AE253" s="254"/>
      <c r="AF253" s="574"/>
    </row>
    <row r="254" spans="1:75" ht="13.5" customHeight="1" thickBot="1">
      <c r="A254" s="594"/>
      <c r="B254" s="254"/>
      <c r="C254" s="200"/>
      <c r="D254" s="254"/>
      <c r="E254" s="254"/>
      <c r="F254" s="254"/>
      <c r="G254" s="200"/>
      <c r="H254" s="254"/>
      <c r="I254" s="254"/>
      <c r="J254" s="254"/>
      <c r="K254" s="254"/>
      <c r="L254" s="254"/>
      <c r="M254" s="254"/>
      <c r="N254" s="254"/>
      <c r="O254" s="254"/>
      <c r="P254" s="254"/>
      <c r="Q254" s="254"/>
      <c r="R254" s="254"/>
      <c r="S254" s="254"/>
      <c r="T254" s="254"/>
      <c r="U254" s="254"/>
      <c r="V254" s="254"/>
      <c r="W254" s="200"/>
      <c r="X254" s="254"/>
      <c r="Y254" s="254"/>
      <c r="Z254" s="254"/>
      <c r="AA254" s="200"/>
      <c r="AB254" s="254"/>
      <c r="AC254" s="254"/>
      <c r="AD254" s="254"/>
      <c r="AE254" s="254"/>
      <c r="AF254" s="574"/>
    </row>
    <row r="255" spans="1:75" ht="13.5" customHeight="1">
      <c r="A255" s="594"/>
      <c r="B255" s="261"/>
      <c r="C255" s="579"/>
      <c r="D255" s="261"/>
      <c r="E255" s="579"/>
      <c r="F255" s="261"/>
      <c r="G255" s="579"/>
      <c r="H255" s="261"/>
      <c r="I255" s="579"/>
      <c r="J255" s="261"/>
      <c r="K255" s="579"/>
      <c r="L255" s="261"/>
      <c r="M255" s="579"/>
      <c r="N255" s="261"/>
      <c r="O255" s="579"/>
      <c r="P255" s="261"/>
      <c r="Q255" s="579"/>
      <c r="R255" s="261"/>
      <c r="S255" s="579"/>
      <c r="T255" s="261"/>
      <c r="U255" s="579"/>
      <c r="V255" s="261"/>
      <c r="W255" s="579"/>
      <c r="X255" s="261"/>
      <c r="Y255" s="579"/>
      <c r="Z255" s="261"/>
      <c r="AA255" s="579"/>
      <c r="AB255" s="261"/>
      <c r="AC255" s="579"/>
      <c r="AD255" s="261"/>
      <c r="AE255" s="579"/>
      <c r="AF255" s="580"/>
      <c r="BV255" s="501">
        <v>7</v>
      </c>
    </row>
    <row r="256" spans="1:75" ht="13.5" customHeight="1">
      <c r="A256" s="594"/>
      <c r="B256" s="262"/>
      <c r="C256" s="581">
        <v>414</v>
      </c>
      <c r="D256" s="263"/>
      <c r="E256" s="581">
        <v>421</v>
      </c>
      <c r="F256" s="263"/>
      <c r="G256" s="581">
        <v>356</v>
      </c>
      <c r="H256" s="263"/>
      <c r="I256" s="581">
        <v>243</v>
      </c>
      <c r="J256" s="263" t="s">
        <v>550</v>
      </c>
      <c r="K256" s="581">
        <v>372</v>
      </c>
      <c r="L256" s="263"/>
      <c r="M256" s="581">
        <v>398</v>
      </c>
      <c r="N256" s="263"/>
      <c r="O256" s="581">
        <v>346</v>
      </c>
      <c r="P256" s="263"/>
      <c r="Q256" s="581">
        <v>405</v>
      </c>
      <c r="R256" s="263"/>
      <c r="S256" s="581">
        <v>417</v>
      </c>
      <c r="T256" s="263"/>
      <c r="U256" s="581">
        <v>402</v>
      </c>
      <c r="V256" s="263"/>
      <c r="W256" s="581">
        <v>415</v>
      </c>
      <c r="X256" s="263"/>
      <c r="Y256" s="581">
        <v>352</v>
      </c>
      <c r="Z256" s="263"/>
      <c r="AA256" s="581">
        <v>397</v>
      </c>
      <c r="AB256" s="263"/>
      <c r="AC256" s="581">
        <v>377</v>
      </c>
      <c r="AD256" s="263"/>
      <c r="AE256" s="581">
        <v>438</v>
      </c>
      <c r="AF256" s="574"/>
    </row>
    <row r="257" spans="1:74" ht="13.5" customHeight="1" thickBot="1">
      <c r="A257" s="206"/>
      <c r="B257" s="264"/>
      <c r="C257" s="200"/>
      <c r="D257" s="264"/>
      <c r="E257" s="200"/>
      <c r="F257" s="264"/>
      <c r="G257" s="200"/>
      <c r="H257" s="264"/>
      <c r="I257" s="200"/>
      <c r="J257" s="264"/>
      <c r="K257" s="200"/>
      <c r="L257" s="264"/>
      <c r="M257" s="200"/>
      <c r="N257" s="264"/>
      <c r="O257" s="200"/>
      <c r="P257" s="264"/>
      <c r="Q257" s="200"/>
      <c r="R257" s="264"/>
      <c r="S257" s="200"/>
      <c r="T257" s="264"/>
      <c r="U257" s="200"/>
      <c r="V257" s="264"/>
      <c r="W257" s="200"/>
      <c r="X257" s="264"/>
      <c r="Y257" s="200"/>
      <c r="Z257" s="264"/>
      <c r="AA257" s="200"/>
      <c r="AB257" s="264"/>
      <c r="AC257" s="200"/>
      <c r="AD257" s="264"/>
      <c r="AE257" s="200"/>
      <c r="AF257" s="574"/>
    </row>
    <row r="258" spans="1:74" ht="13.5" customHeight="1">
      <c r="A258" s="206"/>
      <c r="B258" s="258" t="s">
        <v>373</v>
      </c>
      <c r="C258" s="254"/>
      <c r="D258" s="254" t="s">
        <v>357</v>
      </c>
      <c r="E258" s="254"/>
      <c r="F258" s="254" t="s">
        <v>350</v>
      </c>
      <c r="G258" s="254"/>
      <c r="H258" s="258" t="s">
        <v>330</v>
      </c>
      <c r="I258" s="254"/>
      <c r="J258" s="258" t="s">
        <v>302</v>
      </c>
      <c r="K258" s="254"/>
      <c r="L258" s="254" t="s">
        <v>350</v>
      </c>
      <c r="M258" s="254"/>
      <c r="N258" s="254" t="s">
        <v>357</v>
      </c>
      <c r="O258" s="254"/>
      <c r="P258" s="254" t="s">
        <v>350</v>
      </c>
      <c r="Q258" s="254"/>
      <c r="R258" s="254" t="s">
        <v>357</v>
      </c>
      <c r="S258" s="254"/>
      <c r="T258" s="258" t="s">
        <v>330</v>
      </c>
      <c r="U258" s="254"/>
      <c r="V258" s="254" t="s">
        <v>357</v>
      </c>
      <c r="W258" s="254"/>
      <c r="X258" s="254" t="s">
        <v>350</v>
      </c>
      <c r="Y258" s="254"/>
      <c r="Z258" s="254" t="s">
        <v>350</v>
      </c>
      <c r="AA258" s="254"/>
      <c r="AB258" s="254" t="s">
        <v>350</v>
      </c>
      <c r="AC258" s="254"/>
      <c r="AD258" s="254" t="s">
        <v>350</v>
      </c>
      <c r="AE258" s="254"/>
      <c r="AF258" s="574"/>
    </row>
    <row r="259" spans="1:74" ht="13.5" hidden="1" customHeight="1">
      <c r="A259" s="206"/>
      <c r="B259" s="200"/>
      <c r="C259" s="254"/>
      <c r="D259" s="200"/>
      <c r="E259" s="254"/>
      <c r="F259" s="200"/>
      <c r="G259" s="200"/>
      <c r="H259" s="200"/>
      <c r="I259" s="200"/>
      <c r="J259" s="200"/>
      <c r="K259" s="254"/>
      <c r="L259" s="200"/>
      <c r="M259" s="254"/>
      <c r="N259" s="200"/>
      <c r="O259" s="254"/>
      <c r="P259" s="200"/>
      <c r="Q259" s="254"/>
      <c r="R259" s="200"/>
      <c r="S259" s="254"/>
      <c r="T259" s="200"/>
      <c r="U259" s="254"/>
      <c r="V259" s="200"/>
      <c r="W259" s="254"/>
      <c r="X259" s="200"/>
      <c r="Y259" s="254"/>
      <c r="Z259" s="200"/>
      <c r="AA259" s="254"/>
      <c r="AB259" s="200"/>
      <c r="AC259" s="585"/>
      <c r="AD259" s="200"/>
      <c r="AE259" s="200"/>
      <c r="AF259" s="574"/>
    </row>
    <row r="260" spans="1:74" ht="13.5" hidden="1" customHeight="1">
      <c r="A260" s="206"/>
      <c r="B260" s="200"/>
      <c r="C260" s="200"/>
      <c r="D260" s="200"/>
      <c r="E260" s="200"/>
      <c r="F260" s="200"/>
      <c r="G260" s="200"/>
      <c r="H260" s="200"/>
      <c r="I260" s="200"/>
      <c r="J260" s="200"/>
      <c r="K260" s="200"/>
      <c r="L260" s="200"/>
      <c r="M260" s="200"/>
      <c r="N260" s="200"/>
      <c r="O260" s="200"/>
      <c r="P260" s="200"/>
      <c r="Q260" s="200"/>
      <c r="R260" s="200"/>
      <c r="S260" s="200"/>
      <c r="T260" s="200"/>
      <c r="U260" s="200"/>
      <c r="V260" s="200"/>
      <c r="W260" s="200"/>
      <c r="X260" s="200"/>
      <c r="Y260" s="200"/>
      <c r="Z260" s="200"/>
      <c r="AA260" s="200"/>
      <c r="AB260" s="200"/>
      <c r="AC260" s="200"/>
      <c r="AD260" s="200"/>
      <c r="AE260" s="200"/>
      <c r="AF260" s="574"/>
    </row>
    <row r="261" spans="1:74" ht="13.5" hidden="1" customHeight="1">
      <c r="A261" s="206"/>
      <c r="B261" s="254"/>
      <c r="C261" s="200"/>
      <c r="D261" s="254"/>
      <c r="E261" s="254"/>
      <c r="F261" s="254"/>
      <c r="G261" s="254"/>
      <c r="H261" s="254"/>
      <c r="I261" s="254"/>
      <c r="J261" s="254"/>
      <c r="K261" s="254"/>
      <c r="L261" s="254"/>
      <c r="M261" s="254"/>
      <c r="N261" s="254"/>
      <c r="O261" s="254"/>
      <c r="P261" s="254"/>
      <c r="Q261" s="254"/>
      <c r="R261" s="254"/>
      <c r="S261" s="254"/>
      <c r="T261" s="254"/>
      <c r="U261" s="254"/>
      <c r="V261" s="254"/>
      <c r="W261" s="254"/>
      <c r="X261" s="254"/>
      <c r="Y261" s="254"/>
      <c r="Z261" s="254"/>
      <c r="AA261" s="254"/>
      <c r="AB261" s="254"/>
      <c r="AC261" s="254"/>
      <c r="AD261" s="254"/>
      <c r="AE261" s="254"/>
      <c r="AF261" s="574"/>
    </row>
    <row r="262" spans="1:74" ht="13.5" hidden="1" customHeight="1">
      <c r="A262" s="206"/>
      <c r="B262" s="200"/>
      <c r="C262" s="200"/>
      <c r="D262" s="200"/>
      <c r="E262" s="200"/>
      <c r="F262" s="200"/>
      <c r="G262" s="200"/>
      <c r="H262" s="200"/>
      <c r="I262" s="200"/>
      <c r="J262" s="200"/>
      <c r="K262" s="200"/>
      <c r="L262" s="200"/>
      <c r="M262" s="200"/>
      <c r="N262" s="200"/>
      <c r="O262" s="200"/>
      <c r="P262" s="200"/>
      <c r="Q262" s="200"/>
      <c r="R262" s="200"/>
      <c r="S262" s="200"/>
      <c r="T262" s="200"/>
      <c r="U262" s="200"/>
      <c r="V262" s="200"/>
      <c r="W262" s="200"/>
      <c r="X262" s="200"/>
      <c r="Y262" s="200"/>
      <c r="Z262" s="200"/>
      <c r="AA262" s="200"/>
      <c r="AB262" s="200"/>
      <c r="AC262" s="200"/>
      <c r="AD262" s="200"/>
      <c r="AE262" s="200"/>
      <c r="AF262" s="574"/>
    </row>
    <row r="263" spans="1:74" ht="13.5" hidden="1" customHeight="1">
      <c r="A263" s="206"/>
      <c r="B263" s="254"/>
      <c r="C263" s="254"/>
      <c r="D263" s="254"/>
      <c r="E263" s="254"/>
      <c r="F263" s="254"/>
      <c r="G263" s="254"/>
      <c r="H263" s="254"/>
      <c r="I263" s="254"/>
      <c r="J263" s="254"/>
      <c r="K263" s="254"/>
      <c r="L263" s="254"/>
      <c r="M263" s="200"/>
      <c r="N263" s="254"/>
      <c r="O263" s="254"/>
      <c r="P263" s="254"/>
      <c r="Q263" s="200"/>
      <c r="R263" s="254"/>
      <c r="S263" s="254"/>
      <c r="T263" s="254"/>
      <c r="U263" s="254"/>
      <c r="V263" s="254"/>
      <c r="W263" s="254"/>
      <c r="X263" s="254"/>
      <c r="Y263" s="254"/>
      <c r="Z263" s="254"/>
      <c r="AA263" s="254"/>
      <c r="AB263" s="254"/>
      <c r="AC263" s="254"/>
      <c r="AD263" s="254"/>
      <c r="AE263" s="254"/>
      <c r="AF263" s="574"/>
    </row>
    <row r="264" spans="1:74" ht="13.5" hidden="1" customHeight="1" thickBot="1">
      <c r="A264" s="206"/>
      <c r="B264" s="254"/>
      <c r="C264" s="254"/>
      <c r="D264" s="254"/>
      <c r="E264" s="254"/>
      <c r="F264" s="254"/>
      <c r="G264" s="254"/>
      <c r="H264" s="254"/>
      <c r="I264" s="254"/>
      <c r="J264" s="254"/>
      <c r="K264" s="254"/>
      <c r="L264" s="254"/>
      <c r="M264" s="200"/>
      <c r="N264" s="254"/>
      <c r="O264" s="254"/>
      <c r="P264" s="254"/>
      <c r="Q264" s="200"/>
      <c r="R264" s="254"/>
      <c r="S264" s="254"/>
      <c r="T264" s="254"/>
      <c r="U264" s="254"/>
      <c r="V264" s="254"/>
      <c r="W264" s="254"/>
      <c r="X264" s="254"/>
      <c r="Y264" s="254"/>
      <c r="Z264" s="254"/>
      <c r="AA264" s="254"/>
      <c r="AB264" s="254"/>
      <c r="AC264" s="254"/>
      <c r="AD264" s="254"/>
      <c r="AE264" s="254"/>
      <c r="AF264" s="574"/>
    </row>
    <row r="265" spans="1:74" ht="13.5" hidden="1" customHeight="1">
      <c r="A265" s="206"/>
      <c r="B265" s="261"/>
      <c r="C265" s="579"/>
      <c r="D265" s="261"/>
      <c r="E265" s="579"/>
      <c r="F265" s="261"/>
      <c r="G265" s="579"/>
      <c r="H265" s="261"/>
      <c r="I265" s="579"/>
      <c r="J265" s="261"/>
      <c r="K265" s="579"/>
      <c r="L265" s="261"/>
      <c r="M265" s="579"/>
      <c r="N265" s="261"/>
      <c r="O265" s="579"/>
      <c r="P265" s="261"/>
      <c r="Q265" s="579"/>
      <c r="R265" s="261"/>
      <c r="S265" s="579"/>
      <c r="T265" s="261"/>
      <c r="U265" s="579"/>
      <c r="V265" s="261"/>
      <c r="W265" s="579"/>
      <c r="X265" s="261"/>
      <c r="Y265" s="579"/>
      <c r="Z265" s="261"/>
      <c r="AA265" s="579"/>
      <c r="AB265" s="261"/>
      <c r="AC265" s="579"/>
      <c r="AD265" s="261"/>
      <c r="AE265" s="579"/>
      <c r="AF265" s="574"/>
    </row>
    <row r="266" spans="1:74" ht="13.5" hidden="1" customHeight="1">
      <c r="A266" s="206"/>
      <c r="B266" s="262"/>
      <c r="C266" s="581"/>
      <c r="D266" s="263"/>
      <c r="E266" s="581"/>
      <c r="F266" s="263"/>
      <c r="G266" s="581"/>
      <c r="H266" s="263"/>
      <c r="I266" s="581"/>
      <c r="J266" s="263"/>
      <c r="K266" s="581"/>
      <c r="L266" s="263"/>
      <c r="M266" s="581"/>
      <c r="N266" s="263"/>
      <c r="O266" s="581"/>
      <c r="P266" s="263"/>
      <c r="Q266" s="581"/>
      <c r="R266" s="263"/>
      <c r="S266" s="581"/>
      <c r="T266" s="263"/>
      <c r="U266" s="581"/>
      <c r="V266" s="263"/>
      <c r="W266" s="581"/>
      <c r="X266" s="263"/>
      <c r="Y266" s="581"/>
      <c r="Z266" s="263"/>
      <c r="AA266" s="581"/>
      <c r="AB266" s="263"/>
      <c r="AC266" s="581"/>
      <c r="AD266" s="263"/>
      <c r="AE266" s="581"/>
      <c r="AF266" s="574"/>
    </row>
    <row r="267" spans="1:74" ht="13.5" hidden="1" customHeight="1" thickBot="1">
      <c r="A267" s="206"/>
      <c r="B267" s="264"/>
      <c r="C267" s="200"/>
      <c r="D267" s="264"/>
      <c r="E267" s="200"/>
      <c r="F267" s="264"/>
      <c r="G267" s="200"/>
      <c r="H267" s="264"/>
      <c r="I267" s="200"/>
      <c r="J267" s="264"/>
      <c r="K267" s="200"/>
      <c r="L267" s="264"/>
      <c r="M267" s="200"/>
      <c r="N267" s="264"/>
      <c r="O267" s="200"/>
      <c r="P267" s="264"/>
      <c r="Q267" s="200"/>
      <c r="R267" s="264"/>
      <c r="S267" s="200"/>
      <c r="T267" s="264"/>
      <c r="U267" s="200"/>
      <c r="V267" s="264"/>
      <c r="W267" s="200"/>
      <c r="X267" s="264"/>
      <c r="Y267" s="200"/>
      <c r="Z267" s="264"/>
      <c r="AA267" s="200"/>
      <c r="AB267" s="264"/>
      <c r="AC267" s="200"/>
      <c r="AD267" s="264"/>
      <c r="AE267" s="200"/>
      <c r="AF267" s="574"/>
    </row>
    <row r="268" spans="1:74" ht="13.5" hidden="1" customHeight="1">
      <c r="A268" s="206"/>
      <c r="B268" s="254"/>
      <c r="C268" s="254"/>
      <c r="D268" s="254"/>
      <c r="E268" s="254"/>
      <c r="F268" s="254"/>
      <c r="G268" s="254"/>
      <c r="H268" s="254"/>
      <c r="I268" s="254"/>
      <c r="J268" s="254"/>
      <c r="K268" s="254"/>
      <c r="L268" s="254"/>
      <c r="M268" s="254"/>
      <c r="N268" s="258"/>
      <c r="O268" s="254"/>
      <c r="P268" s="254"/>
      <c r="Q268" s="254"/>
      <c r="R268" s="254"/>
      <c r="S268" s="254"/>
      <c r="T268" s="254"/>
      <c r="U268" s="254"/>
      <c r="V268" s="254"/>
      <c r="W268" s="254"/>
      <c r="X268" s="254"/>
      <c r="Y268" s="254"/>
      <c r="Z268" s="254"/>
      <c r="AA268" s="254"/>
      <c r="AB268" s="258"/>
      <c r="AC268" s="254"/>
      <c r="AD268" s="254"/>
      <c r="AE268" s="254"/>
      <c r="AF268" s="574"/>
    </row>
    <row r="269" spans="1:74" ht="13.5" hidden="1" customHeight="1">
      <c r="A269" s="206"/>
      <c r="B269" s="200"/>
      <c r="C269" s="254"/>
      <c r="D269" s="200"/>
      <c r="E269" s="254"/>
      <c r="F269" s="200"/>
      <c r="G269" s="254"/>
      <c r="H269" s="200"/>
      <c r="I269" s="254"/>
      <c r="J269" s="200"/>
      <c r="K269" s="200"/>
      <c r="L269" s="200"/>
      <c r="M269" s="200"/>
      <c r="N269" s="200"/>
      <c r="O269" s="200"/>
      <c r="P269" s="200"/>
      <c r="Q269" s="200"/>
      <c r="R269" s="200"/>
      <c r="S269" s="200"/>
      <c r="T269" s="200"/>
      <c r="U269" s="254"/>
      <c r="V269" s="200"/>
      <c r="W269" s="254"/>
      <c r="X269" s="200"/>
      <c r="Y269" s="254"/>
      <c r="Z269" s="200"/>
      <c r="AA269" s="200"/>
      <c r="AB269" s="200"/>
      <c r="AC269" s="200"/>
      <c r="AD269" s="200"/>
      <c r="AE269" s="200"/>
      <c r="AF269" s="574"/>
    </row>
    <row r="270" spans="1:74" ht="13.5" hidden="1" customHeight="1" thickBot="1">
      <c r="A270" s="259"/>
      <c r="B270" s="260"/>
      <c r="C270" s="260"/>
      <c r="D270" s="260"/>
      <c r="E270" s="260"/>
      <c r="F270" s="260"/>
      <c r="G270" s="260"/>
      <c r="H270" s="260"/>
      <c r="I270" s="260"/>
      <c r="J270" s="260"/>
      <c r="K270" s="260"/>
      <c r="L270" s="260"/>
      <c r="M270" s="260"/>
      <c r="N270" s="260"/>
      <c r="O270" s="260"/>
      <c r="P270" s="260"/>
      <c r="Q270" s="260"/>
      <c r="R270" s="260"/>
      <c r="S270" s="260"/>
      <c r="T270" s="260"/>
      <c r="U270" s="260"/>
      <c r="V270" s="260"/>
      <c r="W270" s="260"/>
      <c r="X270" s="260"/>
      <c r="Y270" s="260"/>
      <c r="Z270" s="260"/>
      <c r="AA270" s="260"/>
      <c r="AB270" s="260"/>
      <c r="AC270" s="260"/>
      <c r="AD270" s="260"/>
      <c r="AE270" s="260"/>
      <c r="AF270" s="613"/>
    </row>
    <row r="271" spans="1:74" ht="13.5" customHeight="1">
      <c r="A271" s="614"/>
      <c r="E271" s="167"/>
      <c r="G271" s="167"/>
      <c r="I271" s="167"/>
      <c r="M271" s="167"/>
      <c r="AF271" s="610"/>
      <c r="BV271" s="199"/>
    </row>
    <row r="272" spans="1:74" ht="13.5" customHeight="1">
      <c r="A272" s="614"/>
      <c r="E272" s="167"/>
      <c r="G272" s="167"/>
      <c r="I272" s="167"/>
      <c r="M272" s="167"/>
      <c r="AF272" s="610"/>
    </row>
    <row r="273" spans="1:32" ht="13.5" customHeight="1">
      <c r="A273" s="614"/>
      <c r="B273" s="254">
        <v>298</v>
      </c>
      <c r="C273" s="254"/>
      <c r="D273" s="254">
        <v>299</v>
      </c>
      <c r="E273" s="254"/>
      <c r="F273" s="254">
        <v>300</v>
      </c>
      <c r="G273" s="254"/>
      <c r="X273" s="542"/>
      <c r="AF273" s="610"/>
    </row>
    <row r="274" spans="1:32" ht="13.5" customHeight="1">
      <c r="A274" s="614"/>
      <c r="B274" s="304" t="s">
        <v>773</v>
      </c>
      <c r="C274" s="254"/>
      <c r="D274" s="304" t="s">
        <v>1179</v>
      </c>
      <c r="E274" s="254"/>
      <c r="F274" s="543" t="s">
        <v>1172</v>
      </c>
      <c r="G274" s="254"/>
      <c r="X274" s="542"/>
      <c r="AF274" s="610"/>
    </row>
    <row r="275" spans="1:32" ht="13.5" customHeight="1">
      <c r="A275" s="614"/>
      <c r="B275" s="200"/>
      <c r="C275" s="200"/>
      <c r="D275" s="200"/>
      <c r="E275" s="200"/>
      <c r="F275" s="200"/>
      <c r="G275" s="200"/>
      <c r="AF275" s="610"/>
    </row>
    <row r="276" spans="1:32" ht="13.5" customHeight="1">
      <c r="A276" s="614"/>
      <c r="B276" s="254"/>
      <c r="C276" s="200"/>
      <c r="D276" s="254"/>
      <c r="E276" s="254"/>
      <c r="F276" s="254"/>
      <c r="G276" s="200"/>
      <c r="AF276" s="610"/>
    </row>
    <row r="277" spans="1:32" ht="13.5" customHeight="1" thickBot="1">
      <c r="A277" s="614"/>
      <c r="B277" s="254"/>
      <c r="C277" s="200"/>
      <c r="D277" s="254"/>
      <c r="E277" s="254"/>
      <c r="F277" s="254"/>
      <c r="G277" s="200"/>
      <c r="AF277" s="610"/>
    </row>
    <row r="278" spans="1:32" ht="13.5" customHeight="1">
      <c r="A278" s="614"/>
      <c r="B278" s="261"/>
      <c r="C278" s="579"/>
      <c r="D278" s="261"/>
      <c r="E278" s="579"/>
      <c r="F278" s="261"/>
      <c r="G278" s="579"/>
      <c r="AF278" s="610"/>
    </row>
    <row r="279" spans="1:32" ht="13.5" customHeight="1">
      <c r="A279" s="614"/>
      <c r="B279" s="262"/>
      <c r="C279" s="581">
        <v>414</v>
      </c>
      <c r="D279" s="263"/>
      <c r="E279" s="581">
        <v>421</v>
      </c>
      <c r="F279" s="263"/>
      <c r="G279" s="581"/>
      <c r="AF279" s="610"/>
    </row>
    <row r="280" spans="1:32" ht="13.5" customHeight="1" thickBot="1">
      <c r="A280" s="614"/>
      <c r="B280" s="264"/>
      <c r="C280" s="200"/>
      <c r="D280" s="264"/>
      <c r="E280" s="200"/>
      <c r="F280" s="264"/>
      <c r="G280" s="200"/>
      <c r="AF280" s="610"/>
    </row>
    <row r="281" spans="1:32" ht="13.5" customHeight="1">
      <c r="A281" s="614"/>
      <c r="B281" s="258" t="s">
        <v>373</v>
      </c>
      <c r="C281" s="254"/>
      <c r="D281" s="254" t="s">
        <v>357</v>
      </c>
      <c r="E281" s="254"/>
      <c r="F281" s="254" t="s">
        <v>1172</v>
      </c>
      <c r="G281" s="254"/>
      <c r="AF281" s="610"/>
    </row>
    <row r="282" spans="1:32" ht="13.5" customHeight="1">
      <c r="A282" s="614"/>
      <c r="B282" s="200"/>
      <c r="C282" s="254"/>
      <c r="D282" s="200"/>
      <c r="E282" s="254"/>
      <c r="F282" s="200"/>
      <c r="G282" s="200"/>
      <c r="H282" s="200"/>
      <c r="I282" s="200"/>
      <c r="J282" s="200"/>
      <c r="K282" s="254"/>
      <c r="AF282" s="610"/>
    </row>
    <row r="283" spans="1:32" ht="13.5" customHeight="1" thickBot="1">
      <c r="A283" s="615"/>
      <c r="B283" s="260"/>
      <c r="C283" s="260"/>
      <c r="D283" s="260"/>
      <c r="E283" s="260"/>
      <c r="F283" s="260"/>
      <c r="G283" s="260"/>
      <c r="H283" s="260"/>
      <c r="I283" s="260"/>
      <c r="J283" s="260"/>
      <c r="K283" s="260"/>
      <c r="L283" s="616"/>
      <c r="M283" s="616"/>
      <c r="N283" s="616"/>
      <c r="O283" s="616"/>
      <c r="P283" s="616"/>
      <c r="Q283" s="616"/>
      <c r="R283" s="616"/>
      <c r="S283" s="616"/>
      <c r="T283" s="616"/>
      <c r="U283" s="616"/>
      <c r="V283" s="616"/>
      <c r="W283" s="616"/>
      <c r="X283" s="616"/>
      <c r="Y283" s="616"/>
      <c r="Z283" s="616"/>
      <c r="AA283" s="616"/>
      <c r="AB283" s="616"/>
      <c r="AC283" s="616"/>
      <c r="AD283" s="616"/>
      <c r="AE283" s="616"/>
      <c r="AF283" s="617"/>
    </row>
    <row r="284" spans="1:32" ht="13.5" customHeight="1"/>
    <row r="285" spans="1:32" ht="13.5" customHeight="1"/>
    <row r="286" spans="1:32" ht="13.5" customHeight="1"/>
    <row r="287" spans="1:32" ht="13.5" customHeight="1"/>
    <row r="288" spans="1:32" ht="12.65" customHeight="1"/>
    <row r="289" spans="5:9" ht="12.65" customHeight="1"/>
    <row r="290" spans="5:9" ht="12.65" customHeight="1"/>
    <row r="291" spans="5:9" ht="12.65" customHeight="1"/>
    <row r="292" spans="5:9" ht="12.65" customHeight="1"/>
    <row r="293" spans="5:9" ht="12.65" customHeight="1"/>
    <row r="294" spans="5:9" ht="12.65" customHeight="1">
      <c r="E294" s="167"/>
      <c r="G294" s="167"/>
      <c r="I294" s="167"/>
    </row>
    <row r="295" spans="5:9" ht="12.65" customHeight="1">
      <c r="G295" s="167"/>
      <c r="I295" s="167"/>
    </row>
    <row r="296" spans="5:9" ht="12.65" customHeight="1">
      <c r="G296" s="167"/>
      <c r="I296" s="167"/>
    </row>
    <row r="297" spans="5:9" ht="12.65" customHeight="1">
      <c r="G297" s="167"/>
      <c r="I297" s="167"/>
    </row>
    <row r="298" spans="5:9" ht="12.65" customHeight="1">
      <c r="G298" s="167"/>
      <c r="I298" s="167"/>
    </row>
    <row r="299" spans="5:9" ht="12.65" customHeight="1">
      <c r="G299" s="167"/>
      <c r="I299" s="167"/>
    </row>
    <row r="300" spans="5:9" ht="12.65" customHeight="1">
      <c r="G300" s="167"/>
      <c r="I300" s="167"/>
    </row>
    <row r="301" spans="5:9" ht="12.65" customHeight="1">
      <c r="G301" s="167"/>
      <c r="I301" s="167"/>
    </row>
    <row r="302" spans="5:9" ht="12.65" customHeight="1">
      <c r="G302" s="167"/>
      <c r="I302" s="167"/>
    </row>
    <row r="303" spans="5:9" ht="12.65" customHeight="1">
      <c r="G303" s="167"/>
      <c r="I303" s="167"/>
    </row>
    <row r="304" spans="5:9" ht="12.65" customHeight="1">
      <c r="G304" s="167"/>
      <c r="I304" s="167"/>
    </row>
    <row r="305" spans="7:9" ht="12.65" customHeight="1">
      <c r="G305" s="167"/>
      <c r="I305" s="167"/>
    </row>
    <row r="306" spans="7:9" ht="12.65" customHeight="1">
      <c r="G306" s="167"/>
      <c r="I306" s="167"/>
    </row>
    <row r="307" spans="7:9" ht="12.65" customHeight="1">
      <c r="G307" s="167"/>
      <c r="I307" s="167"/>
    </row>
    <row r="308" spans="7:9" ht="12.65" customHeight="1">
      <c r="G308" s="167"/>
      <c r="I308" s="167"/>
    </row>
    <row r="309" spans="7:9" ht="12.65" customHeight="1">
      <c r="G309" s="167"/>
      <c r="I309" s="167"/>
    </row>
    <row r="310" spans="7:9" ht="12.65" customHeight="1">
      <c r="G310" s="167"/>
      <c r="I310" s="167"/>
    </row>
    <row r="311" spans="7:9" ht="12.65" customHeight="1">
      <c r="G311" s="167"/>
      <c r="I311" s="167"/>
    </row>
    <row r="312" spans="7:9" ht="12.65" customHeight="1">
      <c r="G312" s="167"/>
      <c r="I312" s="167"/>
    </row>
    <row r="313" spans="7:9" ht="12.65" customHeight="1">
      <c r="G313" s="167"/>
      <c r="I313" s="167"/>
    </row>
    <row r="314" spans="7:9" ht="12.65" customHeight="1">
      <c r="G314" s="167"/>
      <c r="I314" s="167"/>
    </row>
    <row r="315" spans="7:9" ht="12.65" customHeight="1">
      <c r="G315" s="167"/>
      <c r="I315" s="167"/>
    </row>
    <row r="316" spans="7:9" ht="12.65" customHeight="1">
      <c r="G316" s="167"/>
    </row>
    <row r="317" spans="7:9" ht="12.65" customHeight="1">
      <c r="G317" s="167"/>
    </row>
    <row r="318" spans="7:9" ht="12.65" customHeight="1"/>
    <row r="319" spans="7:9" ht="12.65" customHeight="1"/>
    <row r="320" spans="7:9" ht="12.65" customHeight="1"/>
    <row r="321" ht="12.65" customHeight="1"/>
    <row r="322" ht="12.65" customHeight="1"/>
    <row r="323" ht="12.65" customHeight="1"/>
    <row r="324" ht="12.65" customHeight="1"/>
    <row r="325" ht="12.65" customHeight="1"/>
    <row r="326" ht="12.65" customHeight="1"/>
    <row r="327" ht="12.65" customHeight="1"/>
    <row r="328" ht="12.65" customHeight="1"/>
    <row r="329" ht="12.65" customHeight="1"/>
    <row r="330" ht="12.65" customHeight="1"/>
    <row r="331" ht="12.65" customHeight="1"/>
    <row r="332" ht="12.65" customHeight="1"/>
    <row r="333" ht="12.65" customHeight="1"/>
    <row r="334" ht="12.65" customHeight="1"/>
    <row r="335" ht="12.65" customHeight="1"/>
    <row r="336" ht="12.65" customHeight="1"/>
    <row r="337" ht="12.65" customHeight="1"/>
    <row r="338" ht="12.65" customHeight="1"/>
    <row r="339" ht="12.65" customHeight="1"/>
    <row r="340" ht="12.65" customHeight="1"/>
    <row r="341" ht="12.65" customHeight="1"/>
    <row r="342" ht="12.65" customHeight="1"/>
    <row r="343" ht="12.65" customHeight="1"/>
    <row r="344" ht="12.65" customHeight="1"/>
    <row r="345" ht="12.65" customHeight="1"/>
    <row r="346" ht="12.65" customHeight="1"/>
    <row r="347" ht="12.65" customHeight="1"/>
    <row r="348" ht="12.65" customHeight="1"/>
    <row r="349" ht="12.65" customHeight="1"/>
    <row r="350" ht="12.65" customHeight="1"/>
    <row r="351" ht="12.65" customHeight="1"/>
    <row r="352" ht="12.65" customHeight="1"/>
    <row r="353" ht="12.65" customHeight="1"/>
    <row r="354" ht="12.65" customHeight="1"/>
    <row r="355" ht="12.65" customHeight="1"/>
    <row r="356" ht="12.65" customHeight="1"/>
    <row r="357" ht="12.65" customHeight="1"/>
    <row r="358" ht="12.65" customHeight="1"/>
    <row r="359" ht="12.65" customHeight="1"/>
    <row r="360" ht="12.65" customHeight="1"/>
    <row r="361" ht="12.65" customHeight="1"/>
    <row r="362" ht="12.65" customHeight="1"/>
    <row r="363" ht="12.65" customHeight="1"/>
    <row r="364" ht="12.65" customHeight="1"/>
    <row r="365" ht="12.65" customHeight="1"/>
    <row r="366" ht="12.65" customHeight="1"/>
    <row r="367" ht="12.65" customHeight="1"/>
    <row r="368" ht="12.65" customHeight="1"/>
    <row r="369" ht="12.65" customHeight="1"/>
    <row r="370" ht="12.65" customHeight="1"/>
    <row r="371" ht="12.65" customHeight="1"/>
    <row r="372" ht="12.65" customHeight="1"/>
    <row r="373" ht="12.65" customHeight="1"/>
    <row r="374" ht="12.65" customHeight="1"/>
    <row r="375" ht="12.65" customHeight="1"/>
    <row r="376" ht="12.65" customHeight="1"/>
    <row r="377" ht="12.65" customHeight="1"/>
    <row r="378" ht="12.65" customHeight="1"/>
    <row r="379" ht="12.65" customHeight="1"/>
    <row r="380" ht="12.65" customHeight="1"/>
    <row r="381" ht="12.65" customHeight="1"/>
    <row r="382" ht="12.65" customHeight="1"/>
    <row r="383" ht="12.65" customHeight="1"/>
    <row r="384" ht="12.65" customHeight="1"/>
    <row r="385" ht="12.65" customHeight="1"/>
    <row r="386" ht="12.65" customHeight="1"/>
    <row r="387" ht="12.65" customHeight="1"/>
    <row r="388" ht="12.65" customHeight="1"/>
    <row r="389" ht="12.65" customHeight="1"/>
    <row r="390" ht="12.65" customHeight="1"/>
    <row r="391" ht="12.65" customHeight="1"/>
    <row r="392" ht="12.65" customHeight="1"/>
    <row r="393" ht="12.65" customHeight="1"/>
    <row r="394" ht="12.65" customHeight="1"/>
    <row r="395" ht="12.65" customHeight="1"/>
    <row r="396" ht="12.65" customHeight="1"/>
    <row r="397" ht="12.65" customHeight="1"/>
    <row r="398" ht="12.65" customHeight="1"/>
    <row r="399" ht="12.65" customHeight="1"/>
    <row r="400" ht="12.65" customHeight="1"/>
    <row r="401" ht="12.65" customHeight="1"/>
    <row r="402" ht="12.65" customHeight="1"/>
    <row r="403" ht="12.65" customHeight="1"/>
    <row r="404" ht="12.65" customHeight="1"/>
    <row r="405" ht="12.65" customHeight="1"/>
    <row r="406" ht="12.65" customHeight="1"/>
    <row r="407" ht="12.65" customHeight="1"/>
    <row r="408" ht="12.65" customHeight="1"/>
    <row r="409" ht="12.65" customHeight="1"/>
    <row r="410" ht="12.65" customHeight="1"/>
    <row r="411" ht="12.65" customHeight="1"/>
    <row r="412" ht="12.65" customHeight="1"/>
    <row r="413" ht="12.65" customHeight="1"/>
    <row r="414" ht="12.65" customHeight="1"/>
    <row r="415" ht="12.65" customHeight="1"/>
    <row r="416" ht="12.65" customHeight="1"/>
    <row r="417" ht="12.65" customHeight="1"/>
    <row r="418" ht="12.65" customHeight="1"/>
    <row r="419" ht="12.65" customHeight="1"/>
    <row r="420" ht="12.65" customHeight="1"/>
    <row r="421" ht="12.65" customHeight="1"/>
    <row r="422" ht="12.65" customHeight="1"/>
    <row r="423" ht="12.65" customHeight="1"/>
    <row r="424" ht="12.65" customHeight="1"/>
    <row r="425" ht="12.65" customHeight="1"/>
    <row r="426" ht="12.65" customHeight="1"/>
    <row r="427" ht="12.65" customHeight="1"/>
    <row r="428" ht="12.65" customHeight="1"/>
    <row r="429" ht="12.65" customHeight="1"/>
    <row r="430" ht="12.65" customHeight="1"/>
    <row r="431" ht="12.65" customHeight="1"/>
    <row r="432" ht="12.65" customHeight="1"/>
    <row r="433" ht="12.65" customHeight="1"/>
    <row r="434" ht="12.65" customHeight="1"/>
    <row r="435" ht="12.65" customHeight="1"/>
    <row r="436" ht="12.65" customHeight="1"/>
    <row r="437" ht="12.65" customHeight="1"/>
    <row r="438" ht="12.65" customHeight="1"/>
    <row r="439" ht="12.65" customHeight="1"/>
    <row r="440" ht="12.65" customHeight="1"/>
    <row r="441" ht="12.65" customHeight="1"/>
    <row r="442" ht="12.65" customHeight="1"/>
    <row r="443" ht="12.65" customHeight="1"/>
    <row r="444" ht="12.65" customHeight="1"/>
    <row r="445" ht="12.65" customHeight="1"/>
    <row r="446" ht="12.65" customHeight="1"/>
    <row r="447" ht="12.65" customHeight="1"/>
    <row r="448" ht="12.65" customHeight="1"/>
    <row r="449" ht="12.65" customHeight="1"/>
    <row r="450" ht="12.65" customHeight="1"/>
    <row r="451" ht="12.65" customHeight="1"/>
    <row r="452" ht="12.65" customHeight="1"/>
    <row r="453" ht="12.65" customHeight="1"/>
    <row r="454" ht="12.65" customHeight="1"/>
    <row r="455" ht="12.65" customHeight="1"/>
    <row r="456" ht="12.65" customHeight="1"/>
    <row r="457" ht="12.65" customHeight="1"/>
    <row r="458" ht="12.65" customHeight="1"/>
    <row r="459" ht="12.65" customHeight="1"/>
    <row r="460" ht="12.65" customHeight="1"/>
    <row r="461" ht="12.65" customHeight="1"/>
    <row r="462" ht="12.65" customHeight="1"/>
    <row r="463" ht="12.65" customHeight="1"/>
    <row r="464" ht="12.65" customHeight="1"/>
    <row r="465" ht="12.65" customHeight="1"/>
    <row r="466" ht="12.65" customHeight="1"/>
    <row r="467" ht="12.65" customHeight="1"/>
    <row r="468" ht="12.65" customHeight="1"/>
    <row r="469" ht="12.65" customHeight="1"/>
    <row r="470" ht="12.65" customHeight="1"/>
    <row r="471" ht="12.65" customHeight="1"/>
    <row r="472" ht="12.65" customHeight="1"/>
    <row r="473" ht="12.65" customHeight="1"/>
    <row r="474" ht="12.65" customHeight="1"/>
    <row r="475" ht="12.65" customHeight="1"/>
    <row r="476" ht="12.65" customHeight="1"/>
    <row r="477" ht="12.65" customHeight="1"/>
    <row r="478" ht="12.65" customHeight="1"/>
    <row r="479" ht="12.65" customHeight="1"/>
    <row r="480" ht="12.65" customHeight="1"/>
    <row r="481" ht="12.65" customHeight="1"/>
    <row r="482" ht="12.65" customHeight="1"/>
    <row r="483" ht="12.65" customHeight="1"/>
    <row r="484" ht="12.65" customHeight="1"/>
    <row r="485" ht="12.65" customHeight="1"/>
    <row r="486" ht="12.65" customHeight="1"/>
    <row r="487" ht="12.65" customHeight="1"/>
    <row r="488" ht="12.65" customHeight="1"/>
    <row r="489" ht="12.65" customHeight="1"/>
    <row r="490" ht="12.65" customHeight="1"/>
    <row r="491" ht="12.65" customHeight="1"/>
    <row r="492" ht="12.65" customHeight="1"/>
    <row r="493" ht="12.65" customHeight="1"/>
    <row r="494" ht="12.65" customHeight="1"/>
    <row r="495" ht="12.65" customHeight="1"/>
    <row r="496" ht="12.65" customHeight="1"/>
    <row r="497" ht="12.65" customHeight="1"/>
    <row r="498" ht="12.65" customHeight="1"/>
    <row r="499" ht="12.65" customHeight="1"/>
    <row r="500" ht="12.65" customHeight="1"/>
    <row r="501" ht="12.65" customHeight="1"/>
    <row r="502" ht="12.65" customHeight="1"/>
    <row r="503" ht="12.65" customHeight="1"/>
    <row r="504" ht="12.65" customHeight="1"/>
    <row r="505" ht="12.65" customHeight="1"/>
    <row r="506" ht="12.65" customHeight="1"/>
    <row r="507" ht="12.65" customHeight="1"/>
    <row r="508" ht="12.65" customHeight="1"/>
    <row r="509" ht="12.65" customHeight="1"/>
    <row r="510" ht="12.65" customHeight="1"/>
    <row r="511" ht="12.65" customHeight="1"/>
    <row r="512" ht="12.65" customHeight="1"/>
    <row r="513" ht="12.65" customHeight="1"/>
    <row r="514" ht="12.65" customHeight="1"/>
    <row r="515" ht="12.65" customHeight="1"/>
    <row r="516" ht="12.65" customHeight="1"/>
    <row r="517" ht="12.65" customHeight="1"/>
    <row r="518" ht="12.65" customHeight="1"/>
    <row r="519" ht="12.65" customHeight="1"/>
    <row r="520" ht="12.65" customHeight="1"/>
    <row r="521" ht="12.65" customHeight="1"/>
    <row r="522" ht="12.65" customHeight="1"/>
    <row r="523" ht="12.65" customHeight="1"/>
    <row r="524" ht="12.65" customHeight="1"/>
    <row r="525" ht="12.65" customHeight="1"/>
    <row r="526" ht="12.65" customHeight="1"/>
    <row r="527" ht="12.65" customHeight="1"/>
    <row r="528" ht="12.65" customHeight="1"/>
    <row r="529" ht="12.65" customHeight="1"/>
    <row r="530" ht="12.65" customHeight="1"/>
    <row r="531" ht="12.65" customHeight="1"/>
    <row r="532" ht="12.65" customHeight="1"/>
    <row r="533" ht="12.65" customHeight="1"/>
    <row r="534" ht="12.65" customHeight="1"/>
    <row r="535" ht="12.65" customHeight="1"/>
    <row r="536" ht="12.65" customHeight="1"/>
    <row r="537" ht="12.65" customHeight="1"/>
    <row r="538" ht="12.65" customHeight="1"/>
    <row r="539" ht="12.65" customHeight="1"/>
    <row r="540" ht="12.65" customHeight="1"/>
    <row r="541" ht="12.65" customHeight="1"/>
    <row r="542" ht="12.65" customHeight="1"/>
    <row r="543" ht="12.65" customHeight="1"/>
    <row r="544" ht="12.65" customHeight="1"/>
    <row r="545" ht="12.65" customHeight="1"/>
    <row r="546" ht="12.65" customHeight="1"/>
    <row r="547" ht="12.65" customHeight="1"/>
    <row r="548" ht="12.65" customHeight="1"/>
    <row r="549" ht="12.65" customHeight="1"/>
    <row r="550" ht="12.65" customHeight="1"/>
    <row r="551" ht="12.65" customHeight="1"/>
    <row r="552" ht="12.65" customHeight="1"/>
    <row r="553" ht="12.65" customHeight="1"/>
    <row r="554" ht="12.65" customHeight="1"/>
    <row r="555" ht="12.65" customHeight="1"/>
    <row r="556" ht="12.65" customHeight="1"/>
    <row r="557" ht="12.65" customHeight="1"/>
    <row r="558" ht="12.65" customHeight="1"/>
    <row r="559" ht="12.65" customHeight="1"/>
    <row r="560" ht="12.65" customHeight="1"/>
    <row r="561" ht="12.65" customHeight="1"/>
    <row r="562" ht="12.65" customHeight="1"/>
    <row r="563" ht="12.65" customHeight="1"/>
    <row r="564" ht="12.65" customHeight="1"/>
    <row r="565" ht="12.65" customHeight="1"/>
    <row r="566" ht="12.65" customHeight="1"/>
    <row r="567" ht="12.65" customHeight="1"/>
    <row r="568" ht="12.65" customHeight="1"/>
    <row r="569" ht="12.65" customHeight="1"/>
    <row r="570" ht="12.65" customHeight="1"/>
    <row r="571" ht="12.65" customHeight="1"/>
    <row r="572" ht="12.65" customHeight="1"/>
    <row r="573" ht="12.65" customHeight="1"/>
    <row r="574" ht="12.65" customHeight="1"/>
    <row r="575" ht="12.65" customHeight="1"/>
    <row r="576" ht="12.65" customHeight="1"/>
    <row r="577" ht="12.65" customHeight="1"/>
    <row r="578" ht="12.65" customHeight="1"/>
    <row r="579" ht="12.65" customHeight="1"/>
    <row r="580" ht="12.65" customHeight="1"/>
    <row r="581" ht="12.65" customHeight="1"/>
    <row r="582" ht="12.65" customHeight="1"/>
    <row r="583" ht="12.65" customHeight="1"/>
    <row r="584" ht="12.65" customHeight="1"/>
    <row r="585" ht="12.65" customHeight="1"/>
    <row r="586" ht="12.65" customHeight="1"/>
    <row r="587" ht="12.65" customHeight="1"/>
    <row r="588" ht="12.65" customHeight="1"/>
    <row r="589" ht="12.65" customHeight="1"/>
    <row r="590" ht="12.65" customHeight="1"/>
    <row r="591" ht="12.65" customHeight="1"/>
    <row r="592" ht="12.65" customHeight="1"/>
    <row r="593" ht="12.65" customHeight="1"/>
    <row r="594" ht="12.65" customHeight="1"/>
    <row r="595" ht="12.65" customHeight="1"/>
    <row r="596" ht="12.65" customHeight="1"/>
    <row r="597" ht="12.65" customHeight="1"/>
    <row r="598" ht="12.65" customHeight="1"/>
    <row r="599" ht="12.65" customHeight="1"/>
    <row r="600" ht="12.65" customHeight="1"/>
    <row r="601" ht="12.65" customHeight="1"/>
    <row r="602" ht="12.65" customHeight="1"/>
    <row r="603" ht="12.65" customHeight="1"/>
    <row r="604" ht="12.65" customHeight="1"/>
    <row r="605" ht="12.65" customHeight="1"/>
    <row r="606" ht="12.65" customHeight="1"/>
    <row r="607" ht="12.65" customHeight="1"/>
    <row r="608" ht="12.65" customHeight="1"/>
    <row r="609" ht="12.65" customHeight="1"/>
    <row r="610" ht="12.65" customHeight="1"/>
    <row r="611" ht="12.65" customHeight="1"/>
    <row r="612" ht="12.65" customHeight="1"/>
    <row r="613" ht="12.65" customHeight="1"/>
    <row r="614" ht="12.65" customHeight="1"/>
    <row r="615" ht="12.65" customHeight="1"/>
    <row r="616" ht="12.65" customHeight="1"/>
    <row r="617" ht="12.65" customHeight="1"/>
    <row r="618" ht="12.65" customHeight="1"/>
    <row r="619" ht="12.65" customHeight="1"/>
    <row r="620" ht="12.65" customHeight="1"/>
    <row r="621" ht="12.65" customHeight="1"/>
    <row r="622" ht="12.65" customHeight="1"/>
    <row r="623" ht="12.65" customHeight="1"/>
    <row r="624" ht="12.65" customHeight="1"/>
    <row r="625" ht="12.65" customHeight="1"/>
    <row r="626" ht="12.65" customHeight="1"/>
    <row r="627" ht="12.65" customHeight="1"/>
    <row r="628" ht="12.65" customHeight="1"/>
    <row r="629" ht="12.65" customHeight="1"/>
    <row r="630" ht="12.65" customHeight="1"/>
    <row r="631" ht="12.65" customHeight="1"/>
    <row r="632" ht="12.65" customHeight="1"/>
    <row r="633" ht="12.65" customHeight="1"/>
    <row r="634" ht="12.65" customHeight="1"/>
    <row r="635" ht="12.65" customHeight="1"/>
    <row r="636" ht="12.65" customHeight="1"/>
    <row r="637" ht="12.65" customHeight="1"/>
    <row r="638" ht="12.65" customHeight="1"/>
    <row r="639" ht="12.65" customHeight="1"/>
    <row r="640" ht="12.65" customHeight="1"/>
    <row r="641" ht="12.65" customHeight="1"/>
    <row r="642" ht="12.65" customHeight="1"/>
    <row r="643" ht="12.65" customHeight="1"/>
    <row r="644" ht="12.65" customHeight="1"/>
    <row r="645" ht="12.65" customHeight="1"/>
    <row r="646" ht="12.65" customHeight="1"/>
    <row r="647" ht="12.65" customHeight="1"/>
    <row r="648" ht="12.65" customHeight="1"/>
    <row r="649" ht="12.65" customHeight="1"/>
    <row r="650" ht="12.65" customHeight="1"/>
    <row r="651" ht="12.65" customHeight="1"/>
    <row r="652" ht="12.65" customHeight="1"/>
    <row r="653" ht="12.65" customHeight="1"/>
    <row r="654" ht="12.65" customHeight="1"/>
    <row r="655" ht="12.65" customHeight="1"/>
    <row r="656" ht="12.65" customHeight="1"/>
    <row r="657" ht="12.65" customHeight="1"/>
    <row r="658" ht="12.65" customHeight="1"/>
    <row r="659" ht="12.65" customHeight="1"/>
    <row r="660" ht="12.65" customHeight="1"/>
    <row r="661" ht="12.65" customHeight="1"/>
    <row r="662" ht="12.65" customHeight="1"/>
    <row r="663" ht="12.65" customHeight="1"/>
    <row r="664" ht="12.65" customHeight="1"/>
    <row r="665" ht="12.65" customHeight="1"/>
    <row r="666" ht="12.65" customHeight="1"/>
    <row r="667" ht="12.65" customHeight="1"/>
    <row r="668" ht="12.65" customHeight="1"/>
    <row r="669" ht="12.65" customHeight="1"/>
    <row r="670" ht="12.65" customHeight="1"/>
    <row r="671" ht="12.65" customHeight="1"/>
    <row r="672" ht="12.65" customHeight="1"/>
    <row r="673" ht="12.65" customHeight="1"/>
    <row r="674" ht="12.65" customHeight="1"/>
    <row r="675" ht="12.65" customHeight="1"/>
    <row r="676" ht="12.65" customHeight="1"/>
    <row r="677" ht="12.65" customHeight="1"/>
    <row r="678" ht="12.65" customHeight="1"/>
    <row r="679" ht="12.65" customHeight="1"/>
    <row r="680" ht="12.65" customHeight="1"/>
    <row r="681" ht="12.65" customHeight="1"/>
    <row r="682" ht="12.65" customHeight="1"/>
    <row r="683" ht="12.65" customHeight="1"/>
    <row r="684" ht="12.65" customHeight="1"/>
    <row r="685" ht="12.65" customHeight="1"/>
    <row r="686" ht="12.65" customHeight="1"/>
    <row r="687" ht="12.65" customHeight="1"/>
    <row r="688" ht="12.65" customHeight="1"/>
    <row r="689" ht="12.65" customHeight="1"/>
    <row r="690" ht="12.65" customHeight="1"/>
    <row r="691" ht="12.65" customHeight="1"/>
    <row r="692" ht="12.65" customHeight="1"/>
    <row r="693" ht="12.65" customHeight="1"/>
    <row r="694" ht="12.65" customHeight="1"/>
    <row r="695" ht="12.65" customHeight="1"/>
    <row r="696" ht="12.65" customHeight="1"/>
    <row r="697" ht="12.65" customHeight="1"/>
    <row r="698" ht="12.65" customHeight="1"/>
    <row r="699" ht="12.65" customHeight="1"/>
    <row r="700" ht="12.65" customHeight="1"/>
    <row r="701" ht="12.65" customHeight="1"/>
    <row r="702" ht="12.65" customHeight="1"/>
    <row r="703" ht="12.65" customHeight="1"/>
    <row r="704" ht="12.65" customHeight="1"/>
    <row r="705" ht="12.65" customHeight="1"/>
    <row r="706" ht="12.65" customHeight="1"/>
    <row r="707" ht="12.65" customHeight="1"/>
    <row r="708" ht="12.65" customHeight="1"/>
    <row r="709" ht="12.65" customHeight="1"/>
    <row r="710" ht="12.65" customHeight="1"/>
    <row r="711" ht="12.65" customHeight="1"/>
    <row r="712" ht="12.65" customHeight="1"/>
    <row r="713" ht="12.65" customHeight="1"/>
    <row r="714" ht="12.65" customHeight="1"/>
    <row r="715" ht="12.65" customHeight="1"/>
    <row r="716" ht="12.65" customHeight="1"/>
    <row r="717" ht="12.65" customHeight="1"/>
    <row r="718" ht="12.65" customHeight="1"/>
    <row r="719" ht="12.65" customHeight="1"/>
    <row r="720" ht="12.65" customHeight="1"/>
    <row r="721" ht="12.65" customHeight="1"/>
    <row r="722" ht="12.65" customHeight="1"/>
    <row r="723" ht="12.65" customHeight="1"/>
    <row r="724" ht="12.65" customHeight="1"/>
    <row r="725" ht="12.65" customHeight="1"/>
    <row r="726" ht="12.65" customHeight="1"/>
    <row r="727" ht="12.65" customHeight="1"/>
    <row r="728" ht="12.65" customHeight="1"/>
    <row r="729" ht="12.65" customHeight="1"/>
    <row r="730" ht="12.65" customHeight="1"/>
    <row r="731" ht="12.65" customHeight="1"/>
    <row r="732" ht="12.65" customHeight="1"/>
    <row r="733" ht="12.65" customHeight="1"/>
    <row r="734" ht="12.65" customHeight="1"/>
    <row r="735" ht="12.65" customHeight="1"/>
    <row r="736" ht="12.65" customHeight="1"/>
    <row r="737" ht="12.65" customHeight="1"/>
    <row r="738" ht="12.65" customHeight="1"/>
    <row r="739" ht="12.65" customHeight="1"/>
    <row r="740" ht="12.65" customHeight="1"/>
    <row r="741" ht="12.65" customHeight="1"/>
    <row r="742" ht="12.65" customHeight="1"/>
    <row r="743" ht="12.65" customHeight="1"/>
    <row r="744" ht="12.65" customHeight="1"/>
    <row r="745" ht="12.65" customHeight="1"/>
    <row r="746" ht="12.65" customHeight="1"/>
    <row r="747" ht="12.65" customHeight="1"/>
    <row r="748" ht="12.65" customHeight="1"/>
    <row r="749" ht="12.65" customHeight="1"/>
    <row r="750" ht="12.65" customHeight="1"/>
    <row r="751" ht="12.65" customHeight="1"/>
    <row r="752" ht="12.65" customHeight="1"/>
    <row r="753" ht="12.65" customHeight="1"/>
    <row r="754" ht="12.65" customHeight="1"/>
    <row r="755" ht="12.65" customHeight="1"/>
    <row r="756" ht="12.65" customHeight="1"/>
    <row r="757" ht="12.65" customHeight="1"/>
    <row r="758" ht="12.65" customHeight="1"/>
    <row r="759" ht="12.65" customHeight="1"/>
    <row r="760" ht="12.65" customHeight="1"/>
    <row r="761" ht="12.65" customHeight="1"/>
    <row r="762" ht="12.65" customHeight="1"/>
    <row r="763" ht="12.65" customHeight="1"/>
    <row r="764" ht="12.65" customHeight="1"/>
    <row r="765" ht="12.65" customHeight="1"/>
    <row r="766" ht="12.65" customHeight="1"/>
    <row r="767" ht="12.65" customHeight="1"/>
    <row r="768" ht="12.65" customHeight="1"/>
    <row r="769" ht="12.65" customHeight="1"/>
    <row r="770" ht="12.65" customHeight="1"/>
    <row r="771" ht="12.65" customHeight="1"/>
    <row r="772" ht="12.65" customHeight="1"/>
    <row r="773" ht="12.65" customHeight="1"/>
    <row r="774" ht="12.65" customHeight="1"/>
    <row r="775" ht="12.65" customHeight="1"/>
    <row r="776" ht="12.65" customHeight="1"/>
    <row r="777" ht="12.65" customHeight="1"/>
    <row r="778" ht="12.65" customHeight="1"/>
    <row r="779" ht="12.65" customHeight="1"/>
    <row r="780" ht="12.65" customHeight="1"/>
    <row r="781" ht="12.65" customHeight="1"/>
    <row r="782" ht="12.65" customHeight="1"/>
    <row r="783" ht="12.65" customHeight="1"/>
    <row r="784" ht="12.65" customHeight="1"/>
    <row r="785" ht="12.65" customHeight="1"/>
    <row r="786" ht="12.65" customHeight="1"/>
    <row r="787" ht="12.65" customHeight="1"/>
    <row r="788" ht="12.65" customHeight="1"/>
    <row r="789" ht="12.65" customHeight="1"/>
    <row r="790" ht="12.65" customHeight="1"/>
    <row r="791" ht="12.65" customHeight="1"/>
    <row r="792" ht="12.65" customHeight="1"/>
    <row r="793" ht="12.65" customHeight="1"/>
    <row r="794" ht="12.65" customHeight="1"/>
    <row r="795" ht="12.65" customHeight="1"/>
    <row r="796" ht="12.65" customHeight="1"/>
    <row r="797" ht="12.65" customHeight="1"/>
    <row r="798" ht="12.65" customHeight="1"/>
    <row r="799" ht="12.65" customHeight="1"/>
    <row r="800" ht="12.65" customHeight="1"/>
    <row r="801" ht="12.65" customHeight="1"/>
    <row r="802" ht="12.65" customHeight="1"/>
    <row r="803" ht="12.65" customHeight="1"/>
    <row r="804" ht="12.65" customHeight="1"/>
    <row r="805" ht="12.65" customHeight="1"/>
    <row r="806" ht="12.65" customHeight="1"/>
    <row r="807" ht="12.65" customHeight="1"/>
    <row r="808" ht="12.65" customHeight="1"/>
    <row r="809" ht="12.65" customHeight="1"/>
    <row r="810" ht="12.65" customHeight="1"/>
    <row r="811" ht="12.65" customHeight="1"/>
    <row r="812" ht="12.65" customHeight="1"/>
    <row r="813" ht="12.65" customHeight="1"/>
    <row r="814" ht="12.65" customHeight="1"/>
    <row r="815" ht="12.65" customHeight="1"/>
    <row r="816" ht="12.65" customHeight="1"/>
    <row r="817" ht="12.65" customHeight="1"/>
    <row r="818" ht="12.65" customHeight="1"/>
    <row r="819" ht="12.65" customHeight="1"/>
    <row r="820" ht="12.65" customHeight="1"/>
    <row r="821" ht="12.65" customHeight="1"/>
    <row r="822" ht="12.65" customHeight="1"/>
    <row r="823" ht="12.65" customHeight="1"/>
    <row r="824" ht="12.65" customHeight="1"/>
    <row r="825" ht="12.65" customHeight="1"/>
    <row r="826" ht="12.65" customHeight="1"/>
    <row r="827" ht="12.65" customHeight="1"/>
    <row r="828" ht="12.65" customHeight="1"/>
    <row r="829" ht="12.65" customHeight="1"/>
    <row r="830" ht="12.65" customHeight="1"/>
    <row r="831" ht="12.65" customHeight="1"/>
    <row r="832" ht="12.65" customHeight="1"/>
    <row r="833" ht="12.65" customHeight="1"/>
    <row r="834" ht="12.65" customHeight="1"/>
    <row r="835" ht="12.65" customHeight="1"/>
    <row r="836" ht="12.65" customHeight="1"/>
    <row r="837" ht="12.65" customHeight="1"/>
    <row r="838" ht="12.65" customHeight="1"/>
    <row r="839" ht="12.65" customHeight="1"/>
    <row r="840" ht="12.65" customHeight="1"/>
    <row r="841" ht="12.65" customHeight="1"/>
    <row r="842" ht="12.65" customHeight="1"/>
    <row r="843" ht="12.65" customHeight="1"/>
    <row r="844" ht="12.65" customHeight="1"/>
    <row r="845" ht="12.65" customHeight="1"/>
    <row r="846" ht="12.65" customHeight="1"/>
    <row r="847" ht="12.65" customHeight="1"/>
    <row r="848" ht="12.65" customHeight="1"/>
    <row r="849" ht="12.65" customHeight="1"/>
    <row r="850" ht="12.65" customHeight="1"/>
    <row r="851" ht="12.65" customHeight="1"/>
    <row r="852" ht="12.65" customHeight="1"/>
    <row r="853" ht="12.65" customHeight="1"/>
    <row r="854" ht="12.65" customHeight="1"/>
    <row r="855" ht="12.65" customHeight="1"/>
    <row r="856" ht="12.65" customHeight="1"/>
    <row r="857" ht="12.65" customHeight="1"/>
    <row r="858" ht="12.65" customHeight="1"/>
    <row r="859" ht="12.65" customHeight="1"/>
    <row r="860" ht="12.65" customHeight="1"/>
    <row r="861" ht="12.65" customHeight="1"/>
    <row r="862" ht="12.65" customHeight="1"/>
    <row r="863" ht="12.65" customHeight="1"/>
    <row r="864" ht="12.65" customHeight="1"/>
    <row r="865" ht="12.65" customHeight="1"/>
    <row r="866" ht="12.65" customHeight="1"/>
    <row r="867" ht="12.65" customHeight="1"/>
    <row r="868" ht="12.65" customHeight="1"/>
    <row r="869" ht="12.65" customHeight="1"/>
    <row r="870" ht="12.65" customHeight="1"/>
    <row r="871" ht="12.65" customHeight="1"/>
    <row r="872" ht="12.65" customHeight="1"/>
    <row r="873" ht="12.65" customHeight="1"/>
    <row r="874" ht="12.65" customHeight="1"/>
    <row r="875" ht="12.65" customHeight="1"/>
  </sheetData>
  <mergeCells count="186">
    <mergeCell ref="A1:AF1"/>
    <mergeCell ref="Q8:Q9"/>
    <mergeCell ref="M10:N10"/>
    <mergeCell ref="A6:K7"/>
    <mergeCell ref="A8:A9"/>
    <mergeCell ref="B8:D9"/>
    <mergeCell ref="E8:E9"/>
    <mergeCell ref="F8:G9"/>
    <mergeCell ref="H8:I9"/>
    <mergeCell ref="AE5:AF5"/>
    <mergeCell ref="L6:Q7"/>
    <mergeCell ref="B10:D10"/>
    <mergeCell ref="F10:G10"/>
    <mergeCell ref="H10:I10"/>
    <mergeCell ref="J10:K10"/>
    <mergeCell ref="J8:K9"/>
    <mergeCell ref="L8:L9"/>
    <mergeCell ref="M8:N9"/>
    <mergeCell ref="O8:O9"/>
    <mergeCell ref="P8:P9"/>
    <mergeCell ref="B13:D13"/>
    <mergeCell ref="F13:G13"/>
    <mergeCell ref="H13:I13"/>
    <mergeCell ref="J13:K13"/>
    <mergeCell ref="F12:G12"/>
    <mergeCell ref="H12:I12"/>
    <mergeCell ref="J12:K12"/>
    <mergeCell ref="B11:D11"/>
    <mergeCell ref="F11:G11"/>
    <mergeCell ref="H11:I11"/>
    <mergeCell ref="J11:K11"/>
    <mergeCell ref="B12:D12"/>
    <mergeCell ref="B16:D16"/>
    <mergeCell ref="F16:G16"/>
    <mergeCell ref="H16:I16"/>
    <mergeCell ref="J16:K16"/>
    <mergeCell ref="B15:D15"/>
    <mergeCell ref="F15:G15"/>
    <mergeCell ref="H15:I15"/>
    <mergeCell ref="J15:K15"/>
    <mergeCell ref="B14:D14"/>
    <mergeCell ref="F14:G14"/>
    <mergeCell ref="H14:I14"/>
    <mergeCell ref="J14:K14"/>
    <mergeCell ref="B19:D19"/>
    <mergeCell ref="F19:G19"/>
    <mergeCell ref="H19:I19"/>
    <mergeCell ref="J19:K19"/>
    <mergeCell ref="B18:D18"/>
    <mergeCell ref="F18:G18"/>
    <mergeCell ref="H18:I18"/>
    <mergeCell ref="J18:K18"/>
    <mergeCell ref="B17:D17"/>
    <mergeCell ref="F17:G17"/>
    <mergeCell ref="H17:I17"/>
    <mergeCell ref="J17:K17"/>
    <mergeCell ref="AG79:AG86"/>
    <mergeCell ref="AG44:AG53"/>
    <mergeCell ref="AH44:AH53"/>
    <mergeCell ref="AI44:AI53"/>
    <mergeCell ref="AJ44:AJ53"/>
    <mergeCell ref="AK44:AK53"/>
    <mergeCell ref="AL44:AL53"/>
    <mergeCell ref="AJ66:AJ67"/>
    <mergeCell ref="AK66:AK67"/>
    <mergeCell ref="AL66:AL67"/>
    <mergeCell ref="AH79:AH86"/>
    <mergeCell ref="AI79:AI86"/>
    <mergeCell ref="AJ79:AJ86"/>
    <mergeCell ref="AK79:AK86"/>
    <mergeCell ref="AL79:AL86"/>
    <mergeCell ref="AG66:AG67"/>
    <mergeCell ref="AH66:AH67"/>
    <mergeCell ref="AI66:AI67"/>
    <mergeCell ref="AM1:AO1"/>
    <mergeCell ref="AG2:AO2"/>
    <mergeCell ref="AG3:AI3"/>
    <mergeCell ref="AM3:AM5"/>
    <mergeCell ref="AN3:AN5"/>
    <mergeCell ref="AO3:AO5"/>
    <mergeCell ref="AG4:AG5"/>
    <mergeCell ref="AH4:AH5"/>
    <mergeCell ref="AI4:AI5"/>
    <mergeCell ref="AJ4:AJ5"/>
    <mergeCell ref="AK4:AK5"/>
    <mergeCell ref="AL4:AL5"/>
    <mergeCell ref="AG10:AI11"/>
    <mergeCell ref="AJ10:AL11"/>
    <mergeCell ref="AM10:AM19"/>
    <mergeCell ref="AN10:AN19"/>
    <mergeCell ref="AO10:AO19"/>
    <mergeCell ref="M11:N11"/>
    <mergeCell ref="M12:N12"/>
    <mergeCell ref="AH12:AH19"/>
    <mergeCell ref="AI12:AI19"/>
    <mergeCell ref="AJ12:AJ19"/>
    <mergeCell ref="AK12:AK19"/>
    <mergeCell ref="AL12:AL19"/>
    <mergeCell ref="M13:N13"/>
    <mergeCell ref="M14:N14"/>
    <mergeCell ref="M15:N15"/>
    <mergeCell ref="M16:N16"/>
    <mergeCell ref="M17:N17"/>
    <mergeCell ref="M18:N18"/>
    <mergeCell ref="M19:N19"/>
    <mergeCell ref="AG12:AG19"/>
    <mergeCell ref="AN68:AN78"/>
    <mergeCell ref="AO68:AO78"/>
    <mergeCell ref="AM44:AM53"/>
    <mergeCell ref="AN44:AN53"/>
    <mergeCell ref="AO44:AO53"/>
    <mergeCell ref="AG54:AG65"/>
    <mergeCell ref="AH54:AH65"/>
    <mergeCell ref="AI54:AI65"/>
    <mergeCell ref="AJ54:AJ65"/>
    <mergeCell ref="AK54:AK65"/>
    <mergeCell ref="AL54:AL65"/>
    <mergeCell ref="AM54:AM65"/>
    <mergeCell ref="AN54:AN65"/>
    <mergeCell ref="AO54:AO65"/>
    <mergeCell ref="AD61:AD63"/>
    <mergeCell ref="R74:R76"/>
    <mergeCell ref="AM79:AM86"/>
    <mergeCell ref="AN79:AN86"/>
    <mergeCell ref="AO79:AO86"/>
    <mergeCell ref="AG87:AG100"/>
    <mergeCell ref="AH87:AH100"/>
    <mergeCell ref="AI87:AI100"/>
    <mergeCell ref="AJ87:AJ100"/>
    <mergeCell ref="AK87:AK100"/>
    <mergeCell ref="AL87:AL100"/>
    <mergeCell ref="AM87:AM100"/>
    <mergeCell ref="AN87:AN100"/>
    <mergeCell ref="AO87:AO100"/>
    <mergeCell ref="AM66:AM67"/>
    <mergeCell ref="AN66:AN67"/>
    <mergeCell ref="AO66:AO67"/>
    <mergeCell ref="AG68:AG78"/>
    <mergeCell ref="AH68:AH78"/>
    <mergeCell ref="AI68:AI78"/>
    <mergeCell ref="AJ68:AJ78"/>
    <mergeCell ref="AK68:AK78"/>
    <mergeCell ref="AL68:AL78"/>
    <mergeCell ref="AM68:AM78"/>
    <mergeCell ref="AO101:AO111"/>
    <mergeCell ref="AG112:AG122"/>
    <mergeCell ref="AH112:AH122"/>
    <mergeCell ref="AI112:AI122"/>
    <mergeCell ref="AJ112:AJ122"/>
    <mergeCell ref="AK112:AK122"/>
    <mergeCell ref="AL112:AL122"/>
    <mergeCell ref="AM112:AM122"/>
    <mergeCell ref="AN112:AN122"/>
    <mergeCell ref="AO112:AO122"/>
    <mergeCell ref="AG101:AG111"/>
    <mergeCell ref="AH101:AH111"/>
    <mergeCell ref="AI101:AI111"/>
    <mergeCell ref="AJ101:AJ111"/>
    <mergeCell ref="AK101:AK111"/>
    <mergeCell ref="AL101:AL111"/>
    <mergeCell ref="AM101:AM111"/>
    <mergeCell ref="AN101:AN111"/>
    <mergeCell ref="AN123:AN133"/>
    <mergeCell ref="AO123:AO133"/>
    <mergeCell ref="AG123:AG133"/>
    <mergeCell ref="AH123:AH133"/>
    <mergeCell ref="AI123:AI133"/>
    <mergeCell ref="AJ123:AJ133"/>
    <mergeCell ref="AK123:AK133"/>
    <mergeCell ref="AL123:AL133"/>
    <mergeCell ref="AM123:AM133"/>
    <mergeCell ref="H42:L42"/>
    <mergeCell ref="N85:N87"/>
    <mergeCell ref="N27:N29"/>
    <mergeCell ref="P27:P29"/>
    <mergeCell ref="R229:R231"/>
    <mergeCell ref="X229:X231"/>
    <mergeCell ref="Z229:Z231"/>
    <mergeCell ref="AB229:AB231"/>
    <mergeCell ref="T74:T76"/>
    <mergeCell ref="V74:V76"/>
    <mergeCell ref="AB49:AB51"/>
    <mergeCell ref="V61:V63"/>
    <mergeCell ref="X61:X63"/>
    <mergeCell ref="Z61:Z63"/>
    <mergeCell ref="AB61:AB63"/>
  </mergeCells>
  <printOptions horizontalCentered="1"/>
  <pageMargins left="0.25" right="0.25" top="0.75" bottom="0.75" header="0.3" footer="0.3"/>
  <pageSetup paperSize="9" scale="58" fitToHeight="0" orientation="landscape" r:id="rId1"/>
  <headerFooter>
    <oddFooter>&amp;F&amp;RPage &amp;P</oddFooter>
  </headerFooter>
  <rowBreaks count="4" manualBreakCount="4">
    <brk id="54" max="31" man="1"/>
    <brk id="111" max="31" man="1"/>
    <brk id="173" max="31" man="1"/>
    <brk id="297" max="16383" man="1"/>
  </rowBreaks>
  <colBreaks count="1" manualBreakCount="1">
    <brk id="12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62CE-37CB-4211-B299-24E23AAFD336}">
  <sheetPr codeName="Sheet15"/>
  <dimension ref="A1:N3"/>
  <sheetViews>
    <sheetView workbookViewId="0">
      <selection activeCell="D6" sqref="D6"/>
    </sheetView>
  </sheetViews>
  <sheetFormatPr defaultRowHeight="14.5"/>
  <cols>
    <col min="6" max="6" width="10.1796875" bestFit="1" customWidth="1"/>
    <col min="7" max="7" width="15.1796875" customWidth="1"/>
    <col min="8" max="8" width="12.453125" customWidth="1"/>
    <col min="11" max="11" width="16.1796875" bestFit="1" customWidth="1"/>
    <col min="13" max="13" width="15.26953125" customWidth="1"/>
  </cols>
  <sheetData>
    <row r="1" spans="1:14" ht="15.5">
      <c r="A1" s="800" t="s">
        <v>667</v>
      </c>
      <c r="B1" s="801"/>
      <c r="C1" s="801"/>
      <c r="D1" s="801"/>
      <c r="E1" s="801"/>
      <c r="F1" s="801"/>
      <c r="G1" s="801"/>
      <c r="H1" s="801"/>
      <c r="I1" s="801"/>
      <c r="J1" s="801"/>
      <c r="K1" s="801"/>
      <c r="L1" s="802"/>
      <c r="M1" s="253"/>
      <c r="N1" s="249"/>
    </row>
    <row r="2" spans="1:14" ht="60">
      <c r="A2" s="299" t="s">
        <v>244</v>
      </c>
      <c r="B2" s="299" t="s">
        <v>338</v>
      </c>
      <c r="C2" s="299" t="s">
        <v>339</v>
      </c>
      <c r="D2" s="299" t="s">
        <v>263</v>
      </c>
      <c r="E2" s="300" t="s">
        <v>668</v>
      </c>
      <c r="F2" s="299" t="s">
        <v>341</v>
      </c>
      <c r="G2" s="299" t="s">
        <v>342</v>
      </c>
      <c r="H2" s="301" t="s">
        <v>343</v>
      </c>
      <c r="I2" s="299" t="s">
        <v>344</v>
      </c>
      <c r="J2" s="299" t="s">
        <v>33</v>
      </c>
      <c r="K2" s="299" t="s">
        <v>345</v>
      </c>
      <c r="L2" s="299" t="s">
        <v>346</v>
      </c>
      <c r="M2" s="299" t="s">
        <v>347</v>
      </c>
      <c r="N2" s="299" t="s">
        <v>470</v>
      </c>
    </row>
    <row r="3" spans="1:14" ht="58">
      <c r="A3" s="11">
        <v>1</v>
      </c>
      <c r="B3" s="11" t="s">
        <v>542</v>
      </c>
      <c r="C3" s="11" t="s">
        <v>292</v>
      </c>
      <c r="D3" s="11" t="s">
        <v>669</v>
      </c>
      <c r="E3" s="11"/>
      <c r="F3" s="298">
        <v>46125</v>
      </c>
      <c r="G3" s="10" t="s">
        <v>670</v>
      </c>
      <c r="H3" s="11"/>
      <c r="I3" s="11"/>
      <c r="J3" s="11"/>
      <c r="K3" s="11" t="s">
        <v>671</v>
      </c>
      <c r="L3" s="11"/>
      <c r="M3" s="11"/>
      <c r="N3" s="11">
        <v>25</v>
      </c>
    </row>
  </sheetData>
  <mergeCells count="1">
    <mergeCell ref="A1:L1"/>
  </mergeCells>
  <conditionalFormatting sqref="B2">
    <cfRule type="duplicateValues" dxfId="119" priority="1"/>
    <cfRule type="duplicateValues" dxfId="118" priority="2"/>
    <cfRule type="duplicateValues" dxfId="117" priority="3"/>
    <cfRule type="duplicateValues" dxfId="116" priority="4"/>
    <cfRule type="duplicateValues" dxfId="115" priority="5"/>
    <cfRule type="duplicateValues" dxfId="114" priority="6"/>
    <cfRule type="duplicateValues" dxfId="113" priority="7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1955-840D-4648-8F27-B479FCD9715C}">
  <sheetPr codeName="Sheet16"/>
  <dimension ref="A2:E47"/>
  <sheetViews>
    <sheetView workbookViewId="0">
      <selection activeCell="K21" sqref="K21"/>
    </sheetView>
  </sheetViews>
  <sheetFormatPr defaultRowHeight="14.5"/>
  <cols>
    <col min="4" max="5" width="10.1796875" bestFit="1" customWidth="1"/>
  </cols>
  <sheetData>
    <row r="2" spans="1:5">
      <c r="A2" s="144" t="s">
        <v>92</v>
      </c>
      <c r="B2" s="144" t="s">
        <v>672</v>
      </c>
      <c r="C2" s="144" t="s">
        <v>259</v>
      </c>
      <c r="D2" s="144" t="s">
        <v>673</v>
      </c>
      <c r="E2" s="144" t="s">
        <v>674</v>
      </c>
    </row>
    <row r="3" spans="1:5">
      <c r="A3" s="30">
        <v>1</v>
      </c>
      <c r="B3" s="25" t="s">
        <v>675</v>
      </c>
      <c r="C3" s="10" t="str">
        <f>VLOOKUP(B3,Sheet4!$A:$B,2,FALSE)</f>
        <v>DA-3</v>
      </c>
      <c r="D3" s="142">
        <v>46037</v>
      </c>
      <c r="E3" s="142">
        <v>46043</v>
      </c>
    </row>
    <row r="4" spans="1:5">
      <c r="A4" s="30">
        <f>A3+1</f>
        <v>2</v>
      </c>
      <c r="B4" s="25" t="s">
        <v>521</v>
      </c>
      <c r="C4" s="10" t="str">
        <f>VLOOKUP(B4,Sheet4!$A:$B,2,FALSE)</f>
        <v>DA-3</v>
      </c>
      <c r="D4" s="142">
        <v>46031</v>
      </c>
      <c r="E4" s="142">
        <v>46037</v>
      </c>
    </row>
    <row r="5" spans="1:5">
      <c r="A5" s="30">
        <f t="shared" ref="A5:A47" si="0">A4+1</f>
        <v>3</v>
      </c>
      <c r="B5" s="25" t="s">
        <v>522</v>
      </c>
      <c r="C5" s="10" t="str">
        <f>VLOOKUP(B5,Sheet4!$A:$B,2,FALSE)</f>
        <v>DD60+3</v>
      </c>
      <c r="D5" s="142">
        <v>46043</v>
      </c>
      <c r="E5" s="142">
        <v>46053</v>
      </c>
    </row>
    <row r="6" spans="1:5">
      <c r="A6" s="30">
        <f t="shared" si="0"/>
        <v>4</v>
      </c>
      <c r="B6" s="25" t="s">
        <v>676</v>
      </c>
      <c r="C6" s="10" t="str">
        <f>VLOOKUP(B6,Sheet4!$A:$B,2,FALSE)</f>
        <v>DA+0</v>
      </c>
      <c r="D6" s="142">
        <v>46019</v>
      </c>
      <c r="E6" s="142">
        <v>46024</v>
      </c>
    </row>
    <row r="7" spans="1:5">
      <c r="A7" s="30">
        <f t="shared" si="0"/>
        <v>5</v>
      </c>
      <c r="B7" s="25" t="s">
        <v>677</v>
      </c>
      <c r="C7" s="10" t="str">
        <f>VLOOKUP(B7,Sheet4!$A:$B,2,FALSE)</f>
        <v>DA+3</v>
      </c>
      <c r="D7" s="142">
        <v>46019</v>
      </c>
      <c r="E7" s="142">
        <v>46031</v>
      </c>
    </row>
    <row r="8" spans="1:5">
      <c r="A8" s="30">
        <f t="shared" si="0"/>
        <v>6</v>
      </c>
      <c r="B8" s="25" t="s">
        <v>678</v>
      </c>
      <c r="C8" s="10" t="str">
        <f>VLOOKUP(B8,Sheet4!$A:$B,2,FALSE)</f>
        <v>DA+9</v>
      </c>
      <c r="D8" s="142">
        <v>46021</v>
      </c>
      <c r="E8" s="142">
        <v>46041</v>
      </c>
    </row>
    <row r="9" spans="1:5">
      <c r="A9" s="30">
        <f t="shared" si="0"/>
        <v>7</v>
      </c>
      <c r="B9" s="25" t="s">
        <v>679</v>
      </c>
      <c r="C9" s="10" t="str">
        <f>VLOOKUP(B9,Sheet4!$A:$B,2,FALSE)</f>
        <v>DA+0</v>
      </c>
      <c r="D9" s="142">
        <v>46041</v>
      </c>
      <c r="E9" s="142">
        <v>46052</v>
      </c>
    </row>
    <row r="10" spans="1:5">
      <c r="A10" s="30">
        <f t="shared" si="0"/>
        <v>8</v>
      </c>
      <c r="B10" s="25" t="s">
        <v>680</v>
      </c>
      <c r="C10" s="10" t="str">
        <f>VLOOKUP(B10,Sheet4!$A:$B,2,FALSE)</f>
        <v>DA+3</v>
      </c>
      <c r="D10" s="142">
        <v>46021</v>
      </c>
      <c r="E10" s="142">
        <v>46040</v>
      </c>
    </row>
    <row r="11" spans="1:5">
      <c r="A11" s="30">
        <f t="shared" si="0"/>
        <v>9</v>
      </c>
      <c r="B11" s="25" t="s">
        <v>368</v>
      </c>
      <c r="C11" s="10" t="str">
        <f>VLOOKUP(B11,Sheet4!$A:$B,2,FALSE)</f>
        <v>DB2+3</v>
      </c>
      <c r="D11" s="142">
        <v>46026</v>
      </c>
      <c r="E11" s="142">
        <v>46034</v>
      </c>
    </row>
    <row r="12" spans="1:5">
      <c r="A12" s="30">
        <f t="shared" si="0"/>
        <v>10</v>
      </c>
      <c r="B12" s="25" t="s">
        <v>681</v>
      </c>
      <c r="C12" s="10" t="str">
        <f>VLOOKUP(B12,Sheet4!$A:$B,2,FALSE)</f>
        <v>DA+6</v>
      </c>
      <c r="D12" s="142">
        <v>46044</v>
      </c>
      <c r="E12" s="142">
        <v>46053</v>
      </c>
    </row>
    <row r="13" spans="1:5">
      <c r="A13" s="30">
        <f t="shared" si="0"/>
        <v>11</v>
      </c>
      <c r="B13" s="25" t="s">
        <v>682</v>
      </c>
      <c r="C13" s="10" t="str">
        <f>VLOOKUP(B13,Sheet4!$A:$B,2,FALSE)</f>
        <v>DA-3</v>
      </c>
      <c r="D13" s="142">
        <v>46019</v>
      </c>
      <c r="E13" s="142">
        <v>46026</v>
      </c>
    </row>
    <row r="14" spans="1:5">
      <c r="A14" s="30">
        <f t="shared" si="0"/>
        <v>12</v>
      </c>
      <c r="B14" s="25" t="s">
        <v>369</v>
      </c>
      <c r="C14" s="10" t="str">
        <f>VLOOKUP(B14,Sheet4!$A:$B,2,FALSE)</f>
        <v>DC2+6</v>
      </c>
      <c r="D14" s="142">
        <v>46034</v>
      </c>
      <c r="E14" s="142">
        <v>46044</v>
      </c>
    </row>
    <row r="15" spans="1:5">
      <c r="A15" s="30">
        <f t="shared" si="0"/>
        <v>13</v>
      </c>
      <c r="B15" s="25" t="s">
        <v>177</v>
      </c>
      <c r="C15" s="10" t="str">
        <f>VLOOKUP(B15,Sheet4!$A:$B,2,FALSE)</f>
        <v>DA+0</v>
      </c>
      <c r="D15" s="142">
        <v>46024</v>
      </c>
      <c r="E15" s="142">
        <v>46026</v>
      </c>
    </row>
    <row r="16" spans="1:5">
      <c r="A16" s="30">
        <f t="shared" si="0"/>
        <v>14</v>
      </c>
      <c r="B16" s="25" t="s">
        <v>683</v>
      </c>
      <c r="C16" s="10" t="str">
        <f>VLOOKUP(B16,Sheet4!$A:$B,2,FALSE)</f>
        <v>DA+0</v>
      </c>
      <c r="D16" s="142">
        <v>46026</v>
      </c>
      <c r="E16" s="142">
        <v>46031</v>
      </c>
    </row>
    <row r="17" spans="1:5">
      <c r="A17" s="30">
        <f t="shared" si="0"/>
        <v>15</v>
      </c>
      <c r="B17" s="25" t="s">
        <v>684</v>
      </c>
      <c r="C17" s="10" t="str">
        <f>VLOOKUP(B17,Sheet4!$A:$B,2,FALSE)</f>
        <v>DA-3</v>
      </c>
      <c r="D17" s="142">
        <v>46031</v>
      </c>
      <c r="E17" s="142">
        <v>46035</v>
      </c>
    </row>
    <row r="18" spans="1:5">
      <c r="A18" s="30">
        <f t="shared" si="0"/>
        <v>16</v>
      </c>
      <c r="B18" s="25" t="s">
        <v>418</v>
      </c>
      <c r="C18" s="10" t="str">
        <f>VLOOKUP(B18,Sheet4!$A:$B,2,FALSE)</f>
        <v>DC1+9</v>
      </c>
      <c r="D18" s="142">
        <v>46010</v>
      </c>
      <c r="E18" s="142">
        <v>46051</v>
      </c>
    </row>
    <row r="19" spans="1:5">
      <c r="A19" s="30">
        <f t="shared" si="0"/>
        <v>17</v>
      </c>
      <c r="B19" s="25" t="s">
        <v>400</v>
      </c>
      <c r="C19" s="10" t="str">
        <f>VLOOKUP(B19,Sheet4!$A:$B,2,FALSE)</f>
        <v>DD60+18</v>
      </c>
      <c r="D19" s="142">
        <v>46035</v>
      </c>
      <c r="E19" s="142">
        <v>46050</v>
      </c>
    </row>
    <row r="20" spans="1:5">
      <c r="A20" s="30">
        <f t="shared" si="0"/>
        <v>18</v>
      </c>
      <c r="B20" s="25" t="s">
        <v>404</v>
      </c>
      <c r="C20" s="10" t="str">
        <f>VLOOKUP(B20,Sheet4!$A:$B,2,FALSE)</f>
        <v>DA-3</v>
      </c>
      <c r="D20" s="142">
        <v>46037</v>
      </c>
      <c r="E20" s="142">
        <v>46041</v>
      </c>
    </row>
    <row r="21" spans="1:5">
      <c r="A21" s="30">
        <f t="shared" si="0"/>
        <v>19</v>
      </c>
      <c r="B21" s="25" t="s">
        <v>407</v>
      </c>
      <c r="C21" s="10" t="str">
        <f>VLOOKUP(B21,Sheet4!$A:$B,2,FALSE)</f>
        <v>DA+0</v>
      </c>
      <c r="D21" s="142">
        <v>46031</v>
      </c>
      <c r="E21" s="142">
        <v>46037</v>
      </c>
    </row>
    <row r="22" spans="1:5">
      <c r="A22" s="30">
        <f t="shared" si="0"/>
        <v>20</v>
      </c>
      <c r="B22" s="25" t="s">
        <v>178</v>
      </c>
      <c r="C22" s="10" t="str">
        <f>VLOOKUP(B22,Sheet4!$A:$B,2,FALSE)</f>
        <v>DA+3</v>
      </c>
      <c r="D22" s="142">
        <v>46019</v>
      </c>
      <c r="E22" s="142">
        <v>46026</v>
      </c>
    </row>
    <row r="23" spans="1:5">
      <c r="A23" s="30">
        <f t="shared" si="0"/>
        <v>21</v>
      </c>
      <c r="B23" s="25" t="s">
        <v>179</v>
      </c>
      <c r="C23" s="10" t="str">
        <f>VLOOKUP(B23,Sheet4!$A:$B,2,FALSE)</f>
        <v>DA+3</v>
      </c>
      <c r="D23" s="142">
        <v>46026</v>
      </c>
      <c r="E23" s="142">
        <v>46031</v>
      </c>
    </row>
    <row r="24" spans="1:5">
      <c r="A24" s="30">
        <f t="shared" si="0"/>
        <v>22</v>
      </c>
      <c r="B24" s="25" t="s">
        <v>685</v>
      </c>
      <c r="C24" s="10" t="str">
        <f>VLOOKUP(B24,Sheet4!$A:$B,2,FALSE)</f>
        <v>DB1+0</v>
      </c>
      <c r="D24" s="142">
        <v>46041</v>
      </c>
      <c r="E24" s="142">
        <v>46047</v>
      </c>
    </row>
    <row r="25" spans="1:5">
      <c r="A25" s="30">
        <f t="shared" si="0"/>
        <v>23</v>
      </c>
      <c r="B25" s="25" t="s">
        <v>423</v>
      </c>
      <c r="C25" s="10" t="str">
        <f>VLOOKUP(B25,Sheet4!$A:$B,2,FALSE)</f>
        <v>DA+3</v>
      </c>
      <c r="D25" s="142">
        <v>46047</v>
      </c>
      <c r="E25" s="142">
        <v>46053</v>
      </c>
    </row>
    <row r="26" spans="1:5">
      <c r="A26" s="30">
        <f t="shared" si="0"/>
        <v>24</v>
      </c>
      <c r="B26" s="25" t="s">
        <v>180</v>
      </c>
      <c r="C26" s="10" t="str">
        <f>VLOOKUP(B26,Sheet4!$A:$B,2,FALSE)</f>
        <v>DA+6</v>
      </c>
      <c r="D26" s="142">
        <v>46028</v>
      </c>
      <c r="E26" s="142">
        <v>46043</v>
      </c>
    </row>
    <row r="27" spans="1:5">
      <c r="A27" s="30">
        <f t="shared" si="0"/>
        <v>25</v>
      </c>
      <c r="B27" s="25" t="s">
        <v>371</v>
      </c>
      <c r="C27" s="10" t="str">
        <f>VLOOKUP(B27,Sheet4!$A:$B,2,FALSE)</f>
        <v>DA+3</v>
      </c>
      <c r="D27" s="142">
        <v>46011</v>
      </c>
      <c r="E27" s="142">
        <v>46028</v>
      </c>
    </row>
    <row r="28" spans="1:5">
      <c r="A28" s="30">
        <f t="shared" si="0"/>
        <v>26</v>
      </c>
      <c r="B28" s="25" t="s">
        <v>383</v>
      </c>
      <c r="C28" s="10" t="str">
        <f>VLOOKUP(B28,Sheet4!$A:$B,2,FALSE)</f>
        <v>DB1+3</v>
      </c>
      <c r="D28" s="142">
        <v>46043</v>
      </c>
      <c r="E28" s="142">
        <v>46053</v>
      </c>
    </row>
    <row r="29" spans="1:5">
      <c r="A29" s="30">
        <f t="shared" si="0"/>
        <v>27</v>
      </c>
      <c r="B29" s="25" t="s">
        <v>686</v>
      </c>
      <c r="C29" s="10" t="str">
        <f>VLOOKUP(B29,Sheet4!$A:$B,2,FALSE)</f>
        <v>DC2+6</v>
      </c>
      <c r="D29" s="142">
        <v>46028</v>
      </c>
      <c r="E29" s="142">
        <v>46037</v>
      </c>
    </row>
    <row r="30" spans="1:5">
      <c r="A30" s="30">
        <f t="shared" si="0"/>
        <v>28</v>
      </c>
      <c r="B30" s="25" t="s">
        <v>183</v>
      </c>
      <c r="C30" s="10" t="str">
        <f>VLOOKUP(B30,Sheet4!$A:$B,2,FALSE)</f>
        <v>DB1+9</v>
      </c>
      <c r="D30" s="142">
        <v>46019</v>
      </c>
      <c r="E30" s="142">
        <v>46028</v>
      </c>
    </row>
    <row r="31" spans="1:5">
      <c r="A31" s="30">
        <f t="shared" si="0"/>
        <v>29</v>
      </c>
      <c r="B31" s="25" t="s">
        <v>687</v>
      </c>
      <c r="C31" s="10" t="str">
        <f>VLOOKUP(B31,Sheet4!$A:$B,2,FALSE)</f>
        <v>DA+9</v>
      </c>
      <c r="D31" s="142">
        <v>46020</v>
      </c>
      <c r="E31" s="142">
        <v>46045</v>
      </c>
    </row>
    <row r="32" spans="1:5">
      <c r="A32" s="30">
        <f t="shared" si="0"/>
        <v>30</v>
      </c>
      <c r="B32" s="25" t="s">
        <v>688</v>
      </c>
      <c r="C32" s="10" t="str">
        <f>VLOOKUP(B32,Sheet4!$A:$B,2,FALSE)</f>
        <v>DA-3</v>
      </c>
      <c r="D32" s="142">
        <v>46021</v>
      </c>
      <c r="E32" s="142">
        <v>46037</v>
      </c>
    </row>
    <row r="33" spans="1:5">
      <c r="A33" s="30">
        <f t="shared" si="0"/>
        <v>31</v>
      </c>
      <c r="B33" s="25" t="s">
        <v>689</v>
      </c>
      <c r="C33" s="10" t="str">
        <f>VLOOKUP(B33,Sheet4!$A:$B,2,FALSE)</f>
        <v>DA+0</v>
      </c>
      <c r="D33" s="142">
        <v>46028</v>
      </c>
      <c r="E33" s="142">
        <v>46041</v>
      </c>
    </row>
    <row r="34" spans="1:5">
      <c r="A34" s="30">
        <f t="shared" si="0"/>
        <v>32</v>
      </c>
      <c r="B34" s="25" t="s">
        <v>184</v>
      </c>
      <c r="C34" s="10" t="str">
        <f>VLOOKUP(B34,Sheet4!$A:$B,2,FALSE)</f>
        <v>DD45+0</v>
      </c>
      <c r="D34" s="142">
        <v>46025</v>
      </c>
      <c r="E34" s="142">
        <v>46051</v>
      </c>
    </row>
    <row r="35" spans="1:5">
      <c r="A35" s="30">
        <f t="shared" si="0"/>
        <v>33</v>
      </c>
      <c r="B35" s="25" t="s">
        <v>185</v>
      </c>
      <c r="C35" s="10" t="str">
        <f>VLOOKUP(B35,Sheet4!$A:$B,2,FALSE)</f>
        <v>DD60+0</v>
      </c>
      <c r="D35" s="142">
        <v>46033</v>
      </c>
      <c r="E35" s="142">
        <v>46047</v>
      </c>
    </row>
    <row r="36" spans="1:5">
      <c r="A36" s="30">
        <f t="shared" si="0"/>
        <v>34</v>
      </c>
      <c r="B36" s="25" t="s">
        <v>642</v>
      </c>
      <c r="C36" s="10" t="str">
        <f>VLOOKUP(B36,Sheet4!$A:$B,2,FALSE)</f>
        <v>DD60+9</v>
      </c>
      <c r="D36" s="142">
        <v>46039</v>
      </c>
      <c r="E36" s="142">
        <v>46052</v>
      </c>
    </row>
    <row r="37" spans="1:5">
      <c r="A37" s="30">
        <f t="shared" si="0"/>
        <v>35</v>
      </c>
      <c r="B37" s="25" t="s">
        <v>690</v>
      </c>
      <c r="C37" s="10" t="str">
        <f>VLOOKUP(B37,Sheet4!$A:$B,2,FALSE)</f>
        <v>DA-3</v>
      </c>
      <c r="D37" s="142">
        <v>46037</v>
      </c>
      <c r="E37" s="142">
        <v>46043</v>
      </c>
    </row>
    <row r="38" spans="1:5">
      <c r="A38" s="30">
        <f t="shared" si="0"/>
        <v>36</v>
      </c>
      <c r="B38" s="25" t="s">
        <v>166</v>
      </c>
      <c r="C38" s="10" t="str">
        <f>VLOOKUP(B38,Sheet4!$A:$B,2,FALSE)</f>
        <v>DD60+6</v>
      </c>
      <c r="D38" s="142">
        <v>46043</v>
      </c>
      <c r="E38" s="142">
        <v>46052</v>
      </c>
    </row>
    <row r="39" spans="1:5">
      <c r="A39" s="30">
        <f t="shared" si="0"/>
        <v>37</v>
      </c>
      <c r="B39" s="25" t="s">
        <v>691</v>
      </c>
      <c r="C39" s="10" t="str">
        <f>VLOOKUP(B39,Sheet4!$A:$B,2,FALSE)</f>
        <v>DA+0</v>
      </c>
      <c r="D39" s="142">
        <v>46036</v>
      </c>
      <c r="E39" s="142">
        <v>46050</v>
      </c>
    </row>
    <row r="40" spans="1:5">
      <c r="A40" s="30">
        <f t="shared" si="0"/>
        <v>38</v>
      </c>
      <c r="B40" s="25" t="s">
        <v>692</v>
      </c>
      <c r="C40" s="10" t="str">
        <f>VLOOKUP(B40,Sheet4!$A:$B,2,FALSE)</f>
        <v>DA+0</v>
      </c>
      <c r="D40" s="142">
        <v>46020</v>
      </c>
      <c r="E40" s="142">
        <v>46043</v>
      </c>
    </row>
    <row r="41" spans="1:5">
      <c r="A41" s="30">
        <f t="shared" si="0"/>
        <v>39</v>
      </c>
      <c r="B41" s="25" t="s">
        <v>693</v>
      </c>
      <c r="C41" s="10" t="str">
        <f>VLOOKUP(B41,Sheet4!$A:$B,2,FALSE)</f>
        <v>DD45+9</v>
      </c>
      <c r="D41" s="142">
        <v>46025</v>
      </c>
      <c r="E41" s="142">
        <v>46053</v>
      </c>
    </row>
    <row r="42" spans="1:5">
      <c r="A42" s="30">
        <f t="shared" si="0"/>
        <v>40</v>
      </c>
      <c r="B42" s="25" t="s">
        <v>694</v>
      </c>
      <c r="C42" s="10" t="str">
        <f>VLOOKUP(B42,Sheet4!$A:$B,2,FALSE)</f>
        <v>DB1+9</v>
      </c>
      <c r="D42" s="142">
        <v>46017</v>
      </c>
      <c r="E42" s="142">
        <v>46036</v>
      </c>
    </row>
    <row r="43" spans="1:5">
      <c r="A43" s="30">
        <f t="shared" si="0"/>
        <v>41</v>
      </c>
      <c r="B43" s="25" t="s">
        <v>695</v>
      </c>
      <c r="C43" s="10" t="str">
        <f>VLOOKUP(B43,Sheet4!$A:$B,2,FALSE)</f>
        <v>DA+3</v>
      </c>
      <c r="D43" s="142">
        <v>46015</v>
      </c>
      <c r="E43" s="142">
        <v>46026</v>
      </c>
    </row>
    <row r="44" spans="1:5">
      <c r="A44" s="30">
        <f t="shared" si="0"/>
        <v>42</v>
      </c>
      <c r="B44" s="25" t="s">
        <v>696</v>
      </c>
      <c r="C44" s="10" t="str">
        <f>VLOOKUP(B44,Sheet4!$A:$B,2,FALSE)</f>
        <v>DA+9</v>
      </c>
      <c r="D44" s="142">
        <v>46014</v>
      </c>
      <c r="E44" s="142">
        <v>46025</v>
      </c>
    </row>
    <row r="45" spans="1:5">
      <c r="A45" s="30">
        <f t="shared" si="0"/>
        <v>43</v>
      </c>
      <c r="B45" s="25" t="s">
        <v>697</v>
      </c>
      <c r="C45" s="10" t="str">
        <f>VLOOKUP(B45,Sheet4!$A:$B,2,FALSE)</f>
        <v>DA+6</v>
      </c>
      <c r="D45" s="142">
        <v>46035</v>
      </c>
      <c r="E45" s="142">
        <v>46045</v>
      </c>
    </row>
    <row r="46" spans="1:5">
      <c r="A46" s="30">
        <f t="shared" si="0"/>
        <v>44</v>
      </c>
      <c r="B46" s="25" t="s">
        <v>698</v>
      </c>
      <c r="C46" s="10" t="str">
        <f>VLOOKUP(B46,Sheet4!$A:$B,2,FALSE)</f>
        <v>DA+0</v>
      </c>
      <c r="D46" s="142">
        <v>46026</v>
      </c>
      <c r="E46" s="142">
        <v>46035</v>
      </c>
    </row>
    <row r="47" spans="1:5">
      <c r="A47" s="30">
        <f t="shared" si="0"/>
        <v>45</v>
      </c>
      <c r="B47" s="25" t="s">
        <v>699</v>
      </c>
      <c r="C47" s="10" t="str">
        <f>VLOOKUP(B47,Sheet4!$A:$B,2,FALSE)</f>
        <v>DB1+9</v>
      </c>
      <c r="D47" s="142">
        <v>46024</v>
      </c>
      <c r="E47" s="142">
        <v>46041</v>
      </c>
    </row>
  </sheetData>
  <autoFilter ref="B2:E47" xr:uid="{DF611955-840D-4648-8F27-B479FCD9715C}">
    <sortState xmlns:xlrd2="http://schemas.microsoft.com/office/spreadsheetml/2017/richdata2" ref="B3:E47">
      <sortCondition ref="B2:B47"/>
    </sortState>
  </autoFilter>
  <conditionalFormatting sqref="B3:B47">
    <cfRule type="duplicateValues" dxfId="112" priority="2"/>
  </conditionalFormatting>
  <conditionalFormatting sqref="B6:B47">
    <cfRule type="duplicateValues" dxfId="111" priority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54E6-8756-4245-8C9F-8ACF68D28324}">
  <sheetPr codeName="Sheet17" filterMode="1"/>
  <dimension ref="A3:MO940"/>
  <sheetViews>
    <sheetView topLeftCell="A357" workbookViewId="0">
      <selection activeCell="D375" sqref="D375"/>
    </sheetView>
  </sheetViews>
  <sheetFormatPr defaultRowHeight="14.5"/>
  <sheetData>
    <row r="3" spans="1:353">
      <c r="C3" t="s">
        <v>675</v>
      </c>
      <c r="D3" t="s">
        <v>700</v>
      </c>
      <c r="E3" t="s">
        <v>519</v>
      </c>
      <c r="F3" t="s">
        <v>520</v>
      </c>
      <c r="G3" t="s">
        <v>521</v>
      </c>
      <c r="H3" t="s">
        <v>701</v>
      </c>
      <c r="I3" t="s">
        <v>702</v>
      </c>
      <c r="J3" t="s">
        <v>522</v>
      </c>
      <c r="K3" t="s">
        <v>703</v>
      </c>
      <c r="L3" t="s">
        <v>704</v>
      </c>
      <c r="M3" t="s">
        <v>705</v>
      </c>
      <c r="N3" t="s">
        <v>676</v>
      </c>
      <c r="O3" t="s">
        <v>706</v>
      </c>
      <c r="P3" t="s">
        <v>707</v>
      </c>
      <c r="Q3" t="s">
        <v>677</v>
      </c>
      <c r="R3" t="s">
        <v>523</v>
      </c>
      <c r="S3" t="s">
        <v>708</v>
      </c>
      <c r="T3" t="s">
        <v>678</v>
      </c>
      <c r="U3" t="s">
        <v>679</v>
      </c>
      <c r="V3" t="s">
        <v>709</v>
      </c>
      <c r="W3" t="s">
        <v>710</v>
      </c>
      <c r="X3" t="s">
        <v>711</v>
      </c>
      <c r="Y3" t="s">
        <v>712</v>
      </c>
      <c r="Z3" t="s">
        <v>713</v>
      </c>
      <c r="AA3" t="s">
        <v>714</v>
      </c>
      <c r="AB3" t="s">
        <v>715</v>
      </c>
      <c r="AC3" t="s">
        <v>716</v>
      </c>
      <c r="AD3" t="s">
        <v>272</v>
      </c>
      <c r="AE3" t="s">
        <v>526</v>
      </c>
      <c r="AF3" t="s">
        <v>527</v>
      </c>
      <c r="AG3" t="s">
        <v>277</v>
      </c>
      <c r="AH3" t="s">
        <v>717</v>
      </c>
      <c r="AI3" t="s">
        <v>718</v>
      </c>
      <c r="AJ3" t="s">
        <v>719</v>
      </c>
      <c r="AK3" t="s">
        <v>720</v>
      </c>
      <c r="AL3" t="s">
        <v>680</v>
      </c>
      <c r="AM3" t="s">
        <v>721</v>
      </c>
      <c r="AN3" t="s">
        <v>722</v>
      </c>
      <c r="AO3" t="s">
        <v>723</v>
      </c>
      <c r="AP3" t="s">
        <v>135</v>
      </c>
      <c r="AQ3" t="s">
        <v>173</v>
      </c>
      <c r="AR3" t="s">
        <v>167</v>
      </c>
      <c r="AS3" t="s">
        <v>563</v>
      </c>
      <c r="AT3" t="s">
        <v>564</v>
      </c>
      <c r="AU3" t="s">
        <v>541</v>
      </c>
      <c r="AV3" t="s">
        <v>542</v>
      </c>
      <c r="AW3" t="s">
        <v>543</v>
      </c>
      <c r="AX3" t="s">
        <v>724</v>
      </c>
      <c r="AY3" t="s">
        <v>725</v>
      </c>
      <c r="AZ3" t="s">
        <v>726</v>
      </c>
      <c r="BA3" t="s">
        <v>727</v>
      </c>
      <c r="BB3" t="s">
        <v>545</v>
      </c>
      <c r="BC3" t="s">
        <v>728</v>
      </c>
      <c r="BD3" t="s">
        <v>729</v>
      </c>
      <c r="BE3" t="s">
        <v>442</v>
      </c>
      <c r="BF3" t="s">
        <v>448</v>
      </c>
      <c r="BG3" t="s">
        <v>378</v>
      </c>
      <c r="BH3" t="s">
        <v>730</v>
      </c>
      <c r="BI3" t="s">
        <v>731</v>
      </c>
      <c r="BJ3" t="s">
        <v>372</v>
      </c>
      <c r="BK3" t="s">
        <v>136</v>
      </c>
      <c r="BL3" t="s">
        <v>370</v>
      </c>
      <c r="BM3" t="s">
        <v>732</v>
      </c>
      <c r="BN3" t="s">
        <v>368</v>
      </c>
      <c r="BO3" t="s">
        <v>681</v>
      </c>
      <c r="BP3" t="s">
        <v>682</v>
      </c>
      <c r="BQ3" t="s">
        <v>369</v>
      </c>
      <c r="BR3" t="s">
        <v>174</v>
      </c>
      <c r="BS3" t="s">
        <v>137</v>
      </c>
      <c r="BT3" t="s">
        <v>138</v>
      </c>
      <c r="BU3" t="s">
        <v>139</v>
      </c>
      <c r="BV3" t="s">
        <v>140</v>
      </c>
      <c r="BW3" t="s">
        <v>168</v>
      </c>
      <c r="BX3" t="s">
        <v>176</v>
      </c>
      <c r="BY3" t="s">
        <v>177</v>
      </c>
      <c r="BZ3" t="s">
        <v>683</v>
      </c>
      <c r="CA3" t="s">
        <v>733</v>
      </c>
      <c r="CB3" t="s">
        <v>684</v>
      </c>
      <c r="CC3" t="s">
        <v>462</v>
      </c>
      <c r="CD3" t="s">
        <v>418</v>
      </c>
      <c r="CE3" t="s">
        <v>400</v>
      </c>
      <c r="CF3" t="s">
        <v>374</v>
      </c>
      <c r="CG3" t="s">
        <v>388</v>
      </c>
      <c r="CH3" t="s">
        <v>392</v>
      </c>
      <c r="CI3" t="s">
        <v>549</v>
      </c>
      <c r="CJ3" t="s">
        <v>404</v>
      </c>
      <c r="CK3" t="s">
        <v>407</v>
      </c>
      <c r="CL3" t="s">
        <v>178</v>
      </c>
      <c r="CM3" t="s">
        <v>179</v>
      </c>
      <c r="CN3" t="s">
        <v>685</v>
      </c>
      <c r="CO3" t="s">
        <v>551</v>
      </c>
      <c r="CP3" t="s">
        <v>425</v>
      </c>
      <c r="CQ3" t="s">
        <v>423</v>
      </c>
      <c r="CR3" t="s">
        <v>385</v>
      </c>
      <c r="CS3" t="s">
        <v>180</v>
      </c>
      <c r="CT3" t="s">
        <v>371</v>
      </c>
      <c r="CU3" t="s">
        <v>383</v>
      </c>
      <c r="CV3" t="s">
        <v>169</v>
      </c>
      <c r="CW3" t="s">
        <v>554</v>
      </c>
      <c r="CX3" t="s">
        <v>555</v>
      </c>
      <c r="CY3" t="s">
        <v>557</v>
      </c>
      <c r="CZ3" t="s">
        <v>734</v>
      </c>
      <c r="DA3" t="s">
        <v>558</v>
      </c>
      <c r="DB3" t="s">
        <v>445</v>
      </c>
      <c r="DC3" t="s">
        <v>453</v>
      </c>
      <c r="DD3" t="s">
        <v>735</v>
      </c>
      <c r="DE3" t="s">
        <v>736</v>
      </c>
      <c r="DF3" t="s">
        <v>455</v>
      </c>
      <c r="DG3" t="s">
        <v>450</v>
      </c>
      <c r="DH3" t="s">
        <v>361</v>
      </c>
      <c r="DI3" t="s">
        <v>360</v>
      </c>
      <c r="DJ3" t="s">
        <v>737</v>
      </c>
      <c r="DK3" t="s">
        <v>738</v>
      </c>
      <c r="DL3" t="s">
        <v>739</v>
      </c>
      <c r="DM3" t="s">
        <v>577</v>
      </c>
      <c r="DN3" t="s">
        <v>181</v>
      </c>
      <c r="DO3" t="s">
        <v>165</v>
      </c>
      <c r="DP3" t="s">
        <v>593</v>
      </c>
      <c r="DQ3" t="s">
        <v>594</v>
      </c>
      <c r="DR3" t="s">
        <v>598</v>
      </c>
      <c r="DS3" t="s">
        <v>600</v>
      </c>
      <c r="DT3" t="s">
        <v>601</v>
      </c>
      <c r="DU3" t="s">
        <v>602</v>
      </c>
      <c r="DV3" t="s">
        <v>740</v>
      </c>
      <c r="DW3" t="s">
        <v>741</v>
      </c>
      <c r="DX3" t="s">
        <v>742</v>
      </c>
      <c r="DY3" t="s">
        <v>743</v>
      </c>
      <c r="DZ3" t="s">
        <v>744</v>
      </c>
      <c r="EA3" t="s">
        <v>182</v>
      </c>
      <c r="EB3" t="s">
        <v>141</v>
      </c>
      <c r="EC3" t="s">
        <v>605</v>
      </c>
      <c r="ED3" t="s">
        <v>606</v>
      </c>
      <c r="EE3" t="s">
        <v>607</v>
      </c>
      <c r="EF3" t="s">
        <v>612</v>
      </c>
      <c r="EG3" t="s">
        <v>745</v>
      </c>
      <c r="EH3" t="s">
        <v>746</v>
      </c>
      <c r="EI3" t="s">
        <v>142</v>
      </c>
      <c r="EJ3" t="s">
        <v>747</v>
      </c>
      <c r="EK3" t="s">
        <v>748</v>
      </c>
      <c r="EL3" t="s">
        <v>144</v>
      </c>
      <c r="EM3" t="s">
        <v>749</v>
      </c>
      <c r="EN3" t="s">
        <v>750</v>
      </c>
      <c r="EO3" t="s">
        <v>751</v>
      </c>
      <c r="EP3" t="s">
        <v>752</v>
      </c>
      <c r="EQ3" t="s">
        <v>686</v>
      </c>
      <c r="ER3" t="s">
        <v>183</v>
      </c>
      <c r="ES3" t="s">
        <v>753</v>
      </c>
      <c r="ET3" t="s">
        <v>754</v>
      </c>
      <c r="EU3" t="s">
        <v>755</v>
      </c>
      <c r="EV3" t="s">
        <v>613</v>
      </c>
      <c r="EW3" t="s">
        <v>614</v>
      </c>
      <c r="EX3" t="s">
        <v>615</v>
      </c>
      <c r="EY3" t="s">
        <v>145</v>
      </c>
      <c r="EZ3" t="s">
        <v>616</v>
      </c>
      <c r="FA3" t="s">
        <v>146</v>
      </c>
      <c r="FB3" t="s">
        <v>756</v>
      </c>
      <c r="FC3" t="s">
        <v>757</v>
      </c>
      <c r="FD3" t="s">
        <v>758</v>
      </c>
      <c r="FE3" t="s">
        <v>620</v>
      </c>
      <c r="FF3" t="s">
        <v>621</v>
      </c>
      <c r="FG3" t="s">
        <v>759</v>
      </c>
      <c r="FH3" t="s">
        <v>687</v>
      </c>
      <c r="FI3" t="s">
        <v>688</v>
      </c>
      <c r="FJ3" t="s">
        <v>760</v>
      </c>
      <c r="FK3" t="s">
        <v>689</v>
      </c>
      <c r="FL3" t="s">
        <v>761</v>
      </c>
      <c r="FM3" t="s">
        <v>184</v>
      </c>
      <c r="FN3" t="s">
        <v>185</v>
      </c>
      <c r="FO3" t="s">
        <v>186</v>
      </c>
      <c r="FP3" t="s">
        <v>623</v>
      </c>
      <c r="FQ3" t="s">
        <v>147</v>
      </c>
      <c r="FR3" t="s">
        <v>624</v>
      </c>
      <c r="FS3" t="s">
        <v>625</v>
      </c>
      <c r="FT3" t="s">
        <v>464</v>
      </c>
      <c r="FU3" t="s">
        <v>631</v>
      </c>
      <c r="FV3" t="s">
        <v>762</v>
      </c>
      <c r="FW3" t="s">
        <v>763</v>
      </c>
      <c r="FX3" t="s">
        <v>764</v>
      </c>
      <c r="FY3" t="s">
        <v>642</v>
      </c>
      <c r="FZ3" t="s">
        <v>148</v>
      </c>
      <c r="GA3" t="s">
        <v>647</v>
      </c>
      <c r="GB3" t="s">
        <v>149</v>
      </c>
      <c r="GC3" t="s">
        <v>150</v>
      </c>
      <c r="GD3" t="s">
        <v>151</v>
      </c>
      <c r="GE3" t="s">
        <v>421</v>
      </c>
      <c r="GF3" t="s">
        <v>665</v>
      </c>
      <c r="GG3" t="s">
        <v>463</v>
      </c>
      <c r="GH3" t="s">
        <v>765</v>
      </c>
      <c r="GI3" t="s">
        <v>766</v>
      </c>
      <c r="GJ3" t="s">
        <v>767</v>
      </c>
      <c r="GK3" t="s">
        <v>768</v>
      </c>
      <c r="GL3" t="s">
        <v>690</v>
      </c>
      <c r="GM3" t="s">
        <v>152</v>
      </c>
      <c r="GN3" t="s">
        <v>166</v>
      </c>
      <c r="GO3" t="s">
        <v>769</v>
      </c>
      <c r="GP3" t="s">
        <v>153</v>
      </c>
      <c r="GQ3" t="s">
        <v>770</v>
      </c>
      <c r="GR3" t="s">
        <v>771</v>
      </c>
      <c r="GS3" t="s">
        <v>772</v>
      </c>
      <c r="GT3" t="s">
        <v>773</v>
      </c>
      <c r="GU3" t="s">
        <v>774</v>
      </c>
      <c r="GV3" t="s">
        <v>775</v>
      </c>
      <c r="GW3" t="s">
        <v>776</v>
      </c>
      <c r="GX3" t="s">
        <v>777</v>
      </c>
      <c r="GY3" t="s">
        <v>778</v>
      </c>
      <c r="GZ3" t="s">
        <v>779</v>
      </c>
      <c r="HA3" t="s">
        <v>780</v>
      </c>
      <c r="HB3" t="s">
        <v>781</v>
      </c>
      <c r="HC3" t="s">
        <v>782</v>
      </c>
      <c r="HD3" t="s">
        <v>783</v>
      </c>
      <c r="HE3" t="s">
        <v>784</v>
      </c>
      <c r="HF3" t="s">
        <v>785</v>
      </c>
      <c r="HG3" t="s">
        <v>786</v>
      </c>
      <c r="HH3" t="s">
        <v>154</v>
      </c>
      <c r="HI3" t="s">
        <v>164</v>
      </c>
      <c r="HJ3" t="s">
        <v>787</v>
      </c>
      <c r="HK3" t="s">
        <v>788</v>
      </c>
      <c r="HL3" t="s">
        <v>789</v>
      </c>
      <c r="HM3" t="s">
        <v>790</v>
      </c>
      <c r="HN3" t="s">
        <v>791</v>
      </c>
      <c r="HO3" t="s">
        <v>792</v>
      </c>
      <c r="HP3" t="s">
        <v>793</v>
      </c>
      <c r="HQ3" t="s">
        <v>794</v>
      </c>
      <c r="HR3" t="s">
        <v>795</v>
      </c>
      <c r="HS3" t="s">
        <v>796</v>
      </c>
      <c r="HT3" t="s">
        <v>187</v>
      </c>
      <c r="HU3" t="s">
        <v>797</v>
      </c>
      <c r="HV3" t="s">
        <v>798</v>
      </c>
      <c r="HW3" t="s">
        <v>188</v>
      </c>
      <c r="HX3" t="s">
        <v>799</v>
      </c>
      <c r="HY3" t="s">
        <v>800</v>
      </c>
      <c r="HZ3" t="s">
        <v>155</v>
      </c>
      <c r="IA3" t="s">
        <v>801</v>
      </c>
      <c r="IB3" t="s">
        <v>156</v>
      </c>
      <c r="IC3" t="s">
        <v>157</v>
      </c>
      <c r="ID3" t="s">
        <v>802</v>
      </c>
      <c r="IE3" t="s">
        <v>803</v>
      </c>
      <c r="IF3" t="s">
        <v>804</v>
      </c>
      <c r="IG3" t="s">
        <v>805</v>
      </c>
      <c r="IH3" t="s">
        <v>189</v>
      </c>
      <c r="II3" t="s">
        <v>806</v>
      </c>
      <c r="IJ3" t="s">
        <v>807</v>
      </c>
      <c r="IK3" t="s">
        <v>808</v>
      </c>
      <c r="IL3" t="s">
        <v>809</v>
      </c>
      <c r="IM3" t="s">
        <v>810</v>
      </c>
      <c r="IN3" t="s">
        <v>811</v>
      </c>
      <c r="IO3" t="s">
        <v>812</v>
      </c>
      <c r="IP3" t="s">
        <v>813</v>
      </c>
      <c r="IQ3" t="s">
        <v>814</v>
      </c>
      <c r="IR3" t="s">
        <v>815</v>
      </c>
      <c r="IS3" t="s">
        <v>816</v>
      </c>
      <c r="IT3" t="s">
        <v>817</v>
      </c>
      <c r="IU3" t="s">
        <v>818</v>
      </c>
      <c r="IV3" t="s">
        <v>819</v>
      </c>
      <c r="IW3" t="s">
        <v>820</v>
      </c>
      <c r="IX3" t="s">
        <v>821</v>
      </c>
      <c r="IY3" t="s">
        <v>822</v>
      </c>
      <c r="IZ3" t="s">
        <v>823</v>
      </c>
      <c r="JA3" t="s">
        <v>190</v>
      </c>
      <c r="JB3" t="s">
        <v>824</v>
      </c>
      <c r="JC3" t="s">
        <v>825</v>
      </c>
      <c r="JD3" t="s">
        <v>826</v>
      </c>
      <c r="JE3" t="s">
        <v>827</v>
      </c>
      <c r="JF3" t="s">
        <v>828</v>
      </c>
      <c r="JG3" t="s">
        <v>829</v>
      </c>
      <c r="JH3" t="s">
        <v>830</v>
      </c>
      <c r="JI3" t="s">
        <v>831</v>
      </c>
      <c r="JJ3" t="s">
        <v>832</v>
      </c>
      <c r="JK3" t="s">
        <v>833</v>
      </c>
      <c r="JL3" t="s">
        <v>834</v>
      </c>
      <c r="JM3" t="s">
        <v>835</v>
      </c>
      <c r="JN3" t="s">
        <v>836</v>
      </c>
      <c r="JO3" t="s">
        <v>837</v>
      </c>
      <c r="JP3" t="s">
        <v>838</v>
      </c>
      <c r="JQ3" t="s">
        <v>839</v>
      </c>
      <c r="JR3" t="s">
        <v>840</v>
      </c>
      <c r="JS3" t="s">
        <v>841</v>
      </c>
      <c r="JT3" t="s">
        <v>842</v>
      </c>
      <c r="JU3" t="s">
        <v>843</v>
      </c>
      <c r="JV3" t="s">
        <v>844</v>
      </c>
      <c r="JW3" t="s">
        <v>845</v>
      </c>
      <c r="JX3" t="s">
        <v>846</v>
      </c>
      <c r="JY3" t="s">
        <v>847</v>
      </c>
      <c r="JZ3" t="s">
        <v>848</v>
      </c>
      <c r="KA3" t="s">
        <v>849</v>
      </c>
      <c r="KB3" t="s">
        <v>850</v>
      </c>
      <c r="KC3" t="s">
        <v>851</v>
      </c>
      <c r="KD3" t="s">
        <v>852</v>
      </c>
      <c r="KE3" t="s">
        <v>853</v>
      </c>
      <c r="KF3" t="s">
        <v>854</v>
      </c>
      <c r="KG3" t="s">
        <v>855</v>
      </c>
      <c r="KH3" t="s">
        <v>856</v>
      </c>
      <c r="KI3" t="s">
        <v>857</v>
      </c>
      <c r="KJ3" t="s">
        <v>858</v>
      </c>
      <c r="KK3" t="s">
        <v>859</v>
      </c>
      <c r="KL3" t="s">
        <v>860</v>
      </c>
      <c r="KM3" t="s">
        <v>861</v>
      </c>
      <c r="KN3" t="s">
        <v>862</v>
      </c>
      <c r="KO3" t="s">
        <v>863</v>
      </c>
      <c r="KP3" t="s">
        <v>864</v>
      </c>
      <c r="KQ3" t="s">
        <v>170</v>
      </c>
      <c r="KR3" t="s">
        <v>691</v>
      </c>
      <c r="KS3" t="s">
        <v>865</v>
      </c>
      <c r="KT3" t="s">
        <v>866</v>
      </c>
      <c r="KU3" t="s">
        <v>867</v>
      </c>
      <c r="KV3" t="s">
        <v>868</v>
      </c>
      <c r="KW3" t="s">
        <v>692</v>
      </c>
      <c r="KX3" t="s">
        <v>869</v>
      </c>
      <c r="KY3" t="s">
        <v>870</v>
      </c>
      <c r="KZ3" t="s">
        <v>171</v>
      </c>
      <c r="LA3" t="s">
        <v>871</v>
      </c>
      <c r="LB3" t="s">
        <v>191</v>
      </c>
      <c r="LC3" t="s">
        <v>158</v>
      </c>
      <c r="LD3" t="s">
        <v>159</v>
      </c>
      <c r="LE3" t="s">
        <v>872</v>
      </c>
      <c r="LF3" t="s">
        <v>873</v>
      </c>
      <c r="LG3" t="s">
        <v>874</v>
      </c>
      <c r="LH3" t="s">
        <v>875</v>
      </c>
      <c r="LI3" t="s">
        <v>693</v>
      </c>
      <c r="LJ3" t="s">
        <v>876</v>
      </c>
      <c r="LK3" t="s">
        <v>877</v>
      </c>
      <c r="LL3" t="s">
        <v>694</v>
      </c>
      <c r="LM3" t="s">
        <v>878</v>
      </c>
      <c r="LN3" t="s">
        <v>879</v>
      </c>
      <c r="LO3" t="s">
        <v>880</v>
      </c>
      <c r="LP3" t="s">
        <v>881</v>
      </c>
      <c r="LQ3" t="s">
        <v>695</v>
      </c>
      <c r="LR3" t="s">
        <v>882</v>
      </c>
      <c r="LS3" t="s">
        <v>160</v>
      </c>
      <c r="LT3" t="s">
        <v>192</v>
      </c>
      <c r="LU3" t="s">
        <v>696</v>
      </c>
      <c r="LV3" t="s">
        <v>161</v>
      </c>
      <c r="LW3" t="s">
        <v>697</v>
      </c>
      <c r="LX3" t="s">
        <v>698</v>
      </c>
      <c r="LY3" t="s">
        <v>883</v>
      </c>
      <c r="LZ3" t="s">
        <v>884</v>
      </c>
      <c r="MA3" t="s">
        <v>885</v>
      </c>
      <c r="MB3" t="s">
        <v>886</v>
      </c>
      <c r="MC3" t="s">
        <v>887</v>
      </c>
      <c r="MD3" t="s">
        <v>888</v>
      </c>
      <c r="ME3" t="s">
        <v>889</v>
      </c>
      <c r="MF3" t="s">
        <v>699</v>
      </c>
      <c r="MG3" t="s">
        <v>890</v>
      </c>
      <c r="MH3" t="s">
        <v>891</v>
      </c>
      <c r="MI3" t="s">
        <v>892</v>
      </c>
      <c r="MJ3" t="s">
        <v>162</v>
      </c>
      <c r="MK3" t="s">
        <v>893</v>
      </c>
      <c r="ML3" t="s">
        <v>894</v>
      </c>
      <c r="MM3" t="s">
        <v>163</v>
      </c>
      <c r="MN3" t="s">
        <v>895</v>
      </c>
      <c r="MO3" t="s">
        <v>896</v>
      </c>
    </row>
    <row r="4" spans="1:353">
      <c r="C4" t="s">
        <v>396</v>
      </c>
      <c r="D4" t="s">
        <v>399</v>
      </c>
      <c r="E4" t="s">
        <v>300</v>
      </c>
      <c r="F4" t="s">
        <v>298</v>
      </c>
      <c r="G4" t="s">
        <v>396</v>
      </c>
      <c r="H4" t="s">
        <v>396</v>
      </c>
      <c r="I4" t="s">
        <v>561</v>
      </c>
      <c r="J4" t="s">
        <v>560</v>
      </c>
      <c r="K4" t="s">
        <v>396</v>
      </c>
      <c r="L4" t="s">
        <v>350</v>
      </c>
      <c r="M4" t="s">
        <v>399</v>
      </c>
      <c r="N4" t="s">
        <v>350</v>
      </c>
      <c r="O4" t="s">
        <v>396</v>
      </c>
      <c r="P4" t="s">
        <v>350</v>
      </c>
      <c r="Q4" t="s">
        <v>357</v>
      </c>
      <c r="R4" t="s">
        <v>389</v>
      </c>
      <c r="S4" t="s">
        <v>897</v>
      </c>
      <c r="T4" t="s">
        <v>561</v>
      </c>
      <c r="U4" t="s">
        <v>350</v>
      </c>
      <c r="V4" t="s">
        <v>350</v>
      </c>
      <c r="W4" t="s">
        <v>396</v>
      </c>
      <c r="X4" t="s">
        <v>350</v>
      </c>
      <c r="Y4" t="s">
        <v>335</v>
      </c>
      <c r="Z4" t="s">
        <v>350</v>
      </c>
      <c r="AA4" t="s">
        <v>350</v>
      </c>
      <c r="AB4" t="s">
        <v>350</v>
      </c>
      <c r="AC4" t="s">
        <v>561</v>
      </c>
      <c r="AD4" t="s">
        <v>576</v>
      </c>
      <c r="AE4" t="s">
        <v>396</v>
      </c>
      <c r="AF4" t="s">
        <v>350</v>
      </c>
      <c r="AG4" t="s">
        <v>350</v>
      </c>
      <c r="AH4" t="s">
        <v>591</v>
      </c>
      <c r="AI4" t="s">
        <v>561</v>
      </c>
      <c r="AJ4" t="s">
        <v>561</v>
      </c>
      <c r="AK4" t="s">
        <v>576</v>
      </c>
      <c r="AL4" t="s">
        <v>357</v>
      </c>
      <c r="AM4" t="s">
        <v>350</v>
      </c>
      <c r="AN4" t="s">
        <v>350</v>
      </c>
      <c r="AO4" t="s">
        <v>300</v>
      </c>
      <c r="AP4" t="s">
        <v>396</v>
      </c>
      <c r="AQ4" t="s">
        <v>393</v>
      </c>
      <c r="AR4" t="s">
        <v>898</v>
      </c>
      <c r="AS4" t="s">
        <v>899</v>
      </c>
      <c r="AT4" t="s">
        <v>900</v>
      </c>
      <c r="AU4" t="s">
        <v>901</v>
      </c>
      <c r="AV4" t="s">
        <v>357</v>
      </c>
      <c r="AW4" t="s">
        <v>350</v>
      </c>
      <c r="AX4" t="s">
        <v>357</v>
      </c>
      <c r="AY4" t="s">
        <v>396</v>
      </c>
      <c r="AZ4" t="s">
        <v>396</v>
      </c>
      <c r="BA4" t="s">
        <v>300</v>
      </c>
      <c r="BB4" t="s">
        <v>396</v>
      </c>
      <c r="BC4" t="s">
        <v>396</v>
      </c>
      <c r="BD4" t="s">
        <v>396</v>
      </c>
      <c r="BE4" t="s">
        <v>330</v>
      </c>
      <c r="BF4" t="s">
        <v>350</v>
      </c>
      <c r="BG4" t="s">
        <v>335</v>
      </c>
      <c r="BH4" t="s">
        <v>335</v>
      </c>
      <c r="BI4" t="s">
        <v>357</v>
      </c>
      <c r="BJ4" t="s">
        <v>302</v>
      </c>
      <c r="BK4" t="s">
        <v>560</v>
      </c>
      <c r="BL4" t="s">
        <v>305</v>
      </c>
      <c r="BM4" t="s">
        <v>393</v>
      </c>
      <c r="BN4" t="s">
        <v>902</v>
      </c>
      <c r="BO4" t="s">
        <v>399</v>
      </c>
      <c r="BP4" t="s">
        <v>396</v>
      </c>
      <c r="BQ4" t="s">
        <v>903</v>
      </c>
      <c r="BR4" t="s">
        <v>326</v>
      </c>
      <c r="BS4" t="s">
        <v>399</v>
      </c>
      <c r="BT4" t="s">
        <v>300</v>
      </c>
      <c r="BU4" t="s">
        <v>335</v>
      </c>
      <c r="BV4" t="s">
        <v>904</v>
      </c>
      <c r="BW4" t="s">
        <v>904</v>
      </c>
      <c r="BX4" t="s">
        <v>350</v>
      </c>
      <c r="BY4" t="s">
        <v>350</v>
      </c>
      <c r="BZ4" t="s">
        <v>350</v>
      </c>
      <c r="CA4" t="s">
        <v>396</v>
      </c>
      <c r="CB4" t="s">
        <v>396</v>
      </c>
      <c r="CC4" t="s">
        <v>357</v>
      </c>
      <c r="CD4" t="s">
        <v>324</v>
      </c>
      <c r="CE4" t="s">
        <v>905</v>
      </c>
      <c r="CF4" t="s">
        <v>905</v>
      </c>
      <c r="CG4" t="s">
        <v>292</v>
      </c>
      <c r="CH4" t="s">
        <v>350</v>
      </c>
      <c r="CI4" t="s">
        <v>350</v>
      </c>
      <c r="CJ4" t="s">
        <v>396</v>
      </c>
      <c r="CK4" t="s">
        <v>350</v>
      </c>
      <c r="CL4" t="s">
        <v>357</v>
      </c>
      <c r="CM4" t="s">
        <v>357</v>
      </c>
      <c r="CN4" t="s">
        <v>335</v>
      </c>
      <c r="CO4" t="s">
        <v>904</v>
      </c>
      <c r="CP4" t="s">
        <v>904</v>
      </c>
      <c r="CQ4" t="s">
        <v>357</v>
      </c>
      <c r="CR4" t="s">
        <v>350</v>
      </c>
      <c r="CS4" t="s">
        <v>399</v>
      </c>
      <c r="CT4" t="s">
        <v>357</v>
      </c>
      <c r="CU4" t="s">
        <v>666</v>
      </c>
      <c r="CV4" t="s">
        <v>904</v>
      </c>
      <c r="CW4" t="s">
        <v>904</v>
      </c>
      <c r="CX4" t="s">
        <v>335</v>
      </c>
      <c r="CY4" t="s">
        <v>305</v>
      </c>
      <c r="CZ4" t="s">
        <v>905</v>
      </c>
      <c r="DA4" t="s">
        <v>560</v>
      </c>
      <c r="DB4" t="s">
        <v>560</v>
      </c>
      <c r="DC4" t="s">
        <v>357</v>
      </c>
      <c r="DD4" t="s">
        <v>350</v>
      </c>
      <c r="DE4" t="s">
        <v>292</v>
      </c>
      <c r="DF4" t="s">
        <v>906</v>
      </c>
      <c r="DG4" t="s">
        <v>905</v>
      </c>
      <c r="DH4" t="s">
        <v>907</v>
      </c>
      <c r="DI4" t="s">
        <v>389</v>
      </c>
      <c r="DJ4" t="s">
        <v>908</v>
      </c>
      <c r="DK4" t="s">
        <v>908</v>
      </c>
      <c r="DL4" t="s">
        <v>909</v>
      </c>
      <c r="DM4" t="s">
        <v>373</v>
      </c>
      <c r="DN4" t="s">
        <v>666</v>
      </c>
      <c r="DO4" t="s">
        <v>904</v>
      </c>
      <c r="DP4" t="s">
        <v>910</v>
      </c>
      <c r="DQ4" t="s">
        <v>391</v>
      </c>
      <c r="DR4" t="s">
        <v>903</v>
      </c>
      <c r="DS4" t="s">
        <v>897</v>
      </c>
      <c r="DT4" t="s">
        <v>561</v>
      </c>
      <c r="DU4" t="s">
        <v>399</v>
      </c>
      <c r="DV4" t="s">
        <v>399</v>
      </c>
      <c r="DW4" t="s">
        <v>396</v>
      </c>
      <c r="DX4" t="s">
        <v>396</v>
      </c>
      <c r="DY4" t="s">
        <v>911</v>
      </c>
      <c r="DZ4" t="s">
        <v>350</v>
      </c>
      <c r="EA4" t="s">
        <v>298</v>
      </c>
      <c r="EB4" t="s">
        <v>906</v>
      </c>
      <c r="EC4" t="s">
        <v>910</v>
      </c>
      <c r="ED4" t="s">
        <v>904</v>
      </c>
      <c r="EE4" t="s">
        <v>305</v>
      </c>
      <c r="EF4" t="s">
        <v>547</v>
      </c>
      <c r="EG4" t="s">
        <v>292</v>
      </c>
      <c r="EH4" t="s">
        <v>561</v>
      </c>
      <c r="EI4" t="s">
        <v>912</v>
      </c>
      <c r="EJ4" t="s">
        <v>909</v>
      </c>
      <c r="EK4" t="s">
        <v>357</v>
      </c>
      <c r="EL4" t="s">
        <v>350</v>
      </c>
      <c r="EM4" t="s">
        <v>350</v>
      </c>
      <c r="EN4" t="s">
        <v>350</v>
      </c>
      <c r="EO4" t="s">
        <v>350</v>
      </c>
      <c r="EP4" t="s">
        <v>357</v>
      </c>
      <c r="EQ4" t="s">
        <v>903</v>
      </c>
      <c r="ER4" t="s">
        <v>393</v>
      </c>
      <c r="ES4" t="s">
        <v>302</v>
      </c>
      <c r="ET4" t="s">
        <v>350</v>
      </c>
      <c r="EU4" t="s">
        <v>396</v>
      </c>
      <c r="EV4" t="s">
        <v>305</v>
      </c>
      <c r="EW4" t="s">
        <v>305</v>
      </c>
      <c r="EX4" t="s">
        <v>350</v>
      </c>
      <c r="EY4" t="s">
        <v>350</v>
      </c>
      <c r="EZ4" t="s">
        <v>396</v>
      </c>
      <c r="FA4" t="s">
        <v>335</v>
      </c>
      <c r="FB4" t="s">
        <v>357</v>
      </c>
      <c r="FC4" t="s">
        <v>913</v>
      </c>
      <c r="FD4" t="s">
        <v>350</v>
      </c>
      <c r="FE4" t="s">
        <v>914</v>
      </c>
      <c r="FF4" t="s">
        <v>357</v>
      </c>
      <c r="FG4" t="s">
        <v>666</v>
      </c>
      <c r="FH4" t="s">
        <v>561</v>
      </c>
      <c r="FI4" t="s">
        <v>396</v>
      </c>
      <c r="FJ4" t="s">
        <v>357</v>
      </c>
      <c r="FK4" t="s">
        <v>350</v>
      </c>
      <c r="FL4" t="s">
        <v>350</v>
      </c>
      <c r="FM4" t="s">
        <v>302</v>
      </c>
      <c r="FN4" t="s">
        <v>298</v>
      </c>
      <c r="FO4" t="s">
        <v>350</v>
      </c>
      <c r="FP4" t="s">
        <v>350</v>
      </c>
      <c r="FQ4" t="s">
        <v>357</v>
      </c>
      <c r="FR4" t="s">
        <v>547</v>
      </c>
      <c r="FS4" t="s">
        <v>915</v>
      </c>
      <c r="FT4" t="s">
        <v>916</v>
      </c>
      <c r="FU4" t="s">
        <v>330</v>
      </c>
      <c r="FV4" t="s">
        <v>917</v>
      </c>
      <c r="FW4" t="s">
        <v>917</v>
      </c>
      <c r="FX4" t="s">
        <v>561</v>
      </c>
      <c r="FY4" t="s">
        <v>906</v>
      </c>
      <c r="FZ4" t="s">
        <v>906</v>
      </c>
      <c r="GA4" t="s">
        <v>666</v>
      </c>
      <c r="GB4" t="s">
        <v>918</v>
      </c>
      <c r="GC4" t="s">
        <v>910</v>
      </c>
      <c r="GD4" t="s">
        <v>910</v>
      </c>
      <c r="GE4" t="s">
        <v>393</v>
      </c>
      <c r="GF4" t="s">
        <v>916</v>
      </c>
      <c r="GG4" t="s">
        <v>919</v>
      </c>
      <c r="GH4" t="s">
        <v>561</v>
      </c>
      <c r="GI4" t="s">
        <v>357</v>
      </c>
      <c r="GJ4" t="s">
        <v>335</v>
      </c>
      <c r="GK4" t="s">
        <v>396</v>
      </c>
      <c r="GL4" t="s">
        <v>396</v>
      </c>
      <c r="GM4" t="s">
        <v>305</v>
      </c>
      <c r="GN4" t="s">
        <v>305</v>
      </c>
      <c r="GO4" t="s">
        <v>357</v>
      </c>
      <c r="GP4" t="s">
        <v>399</v>
      </c>
      <c r="GQ4" t="s">
        <v>373</v>
      </c>
      <c r="GR4" t="s">
        <v>399</v>
      </c>
      <c r="GS4" t="s">
        <v>324</v>
      </c>
      <c r="GT4" t="s">
        <v>916</v>
      </c>
      <c r="GU4" t="s">
        <v>916</v>
      </c>
      <c r="GV4" t="s">
        <v>335</v>
      </c>
      <c r="GW4" t="s">
        <v>898</v>
      </c>
      <c r="GX4" t="s">
        <v>920</v>
      </c>
      <c r="GY4" t="s">
        <v>389</v>
      </c>
      <c r="GZ4" t="s">
        <v>561</v>
      </c>
      <c r="HA4" t="s">
        <v>373</v>
      </c>
      <c r="HB4" t="s">
        <v>391</v>
      </c>
      <c r="HC4" t="s">
        <v>904</v>
      </c>
      <c r="HD4" t="s">
        <v>921</v>
      </c>
      <c r="HE4" t="s">
        <v>906</v>
      </c>
      <c r="HF4" t="s">
        <v>350</v>
      </c>
      <c r="HG4" t="s">
        <v>396</v>
      </c>
      <c r="HH4" t="s">
        <v>922</v>
      </c>
      <c r="HI4" t="s">
        <v>389</v>
      </c>
      <c r="HJ4" t="s">
        <v>396</v>
      </c>
      <c r="HK4" t="s">
        <v>350</v>
      </c>
      <c r="HL4" t="s">
        <v>561</v>
      </c>
      <c r="HM4" t="s">
        <v>396</v>
      </c>
      <c r="HN4" t="s">
        <v>393</v>
      </c>
      <c r="HO4" t="s">
        <v>923</v>
      </c>
      <c r="HP4" t="s">
        <v>917</v>
      </c>
      <c r="HQ4" t="s">
        <v>904</v>
      </c>
      <c r="HR4" t="s">
        <v>399</v>
      </c>
      <c r="HS4" t="s">
        <v>396</v>
      </c>
      <c r="HT4" t="s">
        <v>396</v>
      </c>
      <c r="HU4" t="s">
        <v>396</v>
      </c>
      <c r="HV4" t="s">
        <v>350</v>
      </c>
      <c r="HW4" t="s">
        <v>357</v>
      </c>
      <c r="HX4" t="s">
        <v>357</v>
      </c>
      <c r="HY4" t="s">
        <v>560</v>
      </c>
      <c r="HZ4" t="s">
        <v>560</v>
      </c>
      <c r="IA4" t="s">
        <v>924</v>
      </c>
      <c r="IB4" t="s">
        <v>925</v>
      </c>
      <c r="IC4" t="s">
        <v>561</v>
      </c>
      <c r="ID4" t="s">
        <v>918</v>
      </c>
      <c r="IE4" t="s">
        <v>357</v>
      </c>
      <c r="IF4" t="s">
        <v>350</v>
      </c>
      <c r="IG4" t="s">
        <v>561</v>
      </c>
      <c r="IH4" t="s">
        <v>561</v>
      </c>
      <c r="II4" t="s">
        <v>350</v>
      </c>
      <c r="IJ4" t="s">
        <v>560</v>
      </c>
      <c r="IK4" t="s">
        <v>576</v>
      </c>
      <c r="IL4" t="s">
        <v>561</v>
      </c>
      <c r="IM4" t="s">
        <v>302</v>
      </c>
      <c r="IN4" t="s">
        <v>399</v>
      </c>
      <c r="IO4" t="s">
        <v>905</v>
      </c>
      <c r="IP4" t="s">
        <v>904</v>
      </c>
      <c r="IQ4" t="s">
        <v>926</v>
      </c>
      <c r="IR4" t="s">
        <v>350</v>
      </c>
      <c r="IS4" t="s">
        <v>350</v>
      </c>
      <c r="IT4" t="s">
        <v>396</v>
      </c>
      <c r="IU4" t="s">
        <v>330</v>
      </c>
      <c r="IV4" t="s">
        <v>357</v>
      </c>
      <c r="IW4" t="s">
        <v>391</v>
      </c>
      <c r="IX4" t="s">
        <v>300</v>
      </c>
      <c r="IY4" t="s">
        <v>561</v>
      </c>
      <c r="IZ4" t="s">
        <v>396</v>
      </c>
      <c r="JA4" t="s">
        <v>396</v>
      </c>
      <c r="JB4" t="s">
        <v>357</v>
      </c>
      <c r="JC4" t="s">
        <v>350</v>
      </c>
      <c r="JD4" t="s">
        <v>350</v>
      </c>
      <c r="JE4" t="s">
        <v>399</v>
      </c>
      <c r="JF4" t="s">
        <v>902</v>
      </c>
      <c r="JG4" t="s">
        <v>399</v>
      </c>
      <c r="JH4" t="s">
        <v>350</v>
      </c>
      <c r="JI4" t="s">
        <v>350</v>
      </c>
      <c r="JJ4" t="s">
        <v>302</v>
      </c>
      <c r="JK4" t="s">
        <v>399</v>
      </c>
      <c r="JL4" t="s">
        <v>357</v>
      </c>
      <c r="JM4" t="s">
        <v>302</v>
      </c>
      <c r="JN4" t="s">
        <v>350</v>
      </c>
      <c r="JO4" t="s">
        <v>302</v>
      </c>
      <c r="JP4" t="s">
        <v>561</v>
      </c>
      <c r="JQ4" t="s">
        <v>897</v>
      </c>
      <c r="JR4" t="s">
        <v>927</v>
      </c>
      <c r="JS4" t="s">
        <v>926</v>
      </c>
      <c r="JT4" t="s">
        <v>561</v>
      </c>
      <c r="JU4" t="s">
        <v>302</v>
      </c>
      <c r="JV4" t="s">
        <v>335</v>
      </c>
      <c r="JW4" t="s">
        <v>335</v>
      </c>
      <c r="JX4" t="s">
        <v>350</v>
      </c>
      <c r="JY4" t="s">
        <v>350</v>
      </c>
      <c r="JZ4" t="s">
        <v>350</v>
      </c>
      <c r="KA4" t="s">
        <v>357</v>
      </c>
      <c r="KB4" t="s">
        <v>330</v>
      </c>
      <c r="KC4" t="s">
        <v>905</v>
      </c>
      <c r="KD4" t="s">
        <v>909</v>
      </c>
      <c r="KE4" t="s">
        <v>561</v>
      </c>
      <c r="KF4" t="s">
        <v>350</v>
      </c>
      <c r="KG4" t="s">
        <v>350</v>
      </c>
      <c r="KH4" t="s">
        <v>357</v>
      </c>
      <c r="KI4" t="s">
        <v>919</v>
      </c>
      <c r="KJ4" t="s">
        <v>928</v>
      </c>
      <c r="KK4" t="s">
        <v>929</v>
      </c>
      <c r="KL4" t="s">
        <v>302</v>
      </c>
      <c r="KM4" t="s">
        <v>350</v>
      </c>
      <c r="KN4" t="s">
        <v>300</v>
      </c>
      <c r="KO4" t="s">
        <v>357</v>
      </c>
      <c r="KP4" t="s">
        <v>298</v>
      </c>
      <c r="KQ4" t="s">
        <v>350</v>
      </c>
      <c r="KR4" t="s">
        <v>350</v>
      </c>
      <c r="KS4" t="s">
        <v>350</v>
      </c>
      <c r="KT4" t="s">
        <v>357</v>
      </c>
      <c r="KU4" t="s">
        <v>560</v>
      </c>
      <c r="KV4" t="s">
        <v>560</v>
      </c>
      <c r="KW4" t="s">
        <v>350</v>
      </c>
      <c r="KX4" t="s">
        <v>350</v>
      </c>
      <c r="KY4" t="s">
        <v>350</v>
      </c>
      <c r="KZ4" t="s">
        <v>302</v>
      </c>
      <c r="LA4" t="s">
        <v>350</v>
      </c>
      <c r="LB4" t="s">
        <v>350</v>
      </c>
      <c r="LC4" t="s">
        <v>357</v>
      </c>
      <c r="LD4" t="s">
        <v>357</v>
      </c>
      <c r="LE4" t="s">
        <v>350</v>
      </c>
      <c r="LF4" t="s">
        <v>357</v>
      </c>
      <c r="LG4" t="s">
        <v>302</v>
      </c>
      <c r="LH4" t="s">
        <v>350</v>
      </c>
      <c r="LI4" t="s">
        <v>292</v>
      </c>
      <c r="LJ4" t="s">
        <v>930</v>
      </c>
      <c r="LK4" t="s">
        <v>930</v>
      </c>
      <c r="LL4" t="s">
        <v>393</v>
      </c>
      <c r="LM4" t="s">
        <v>399</v>
      </c>
      <c r="LN4" t="s">
        <v>560</v>
      </c>
      <c r="LO4" t="s">
        <v>561</v>
      </c>
      <c r="LP4" t="s">
        <v>357</v>
      </c>
      <c r="LQ4" t="s">
        <v>357</v>
      </c>
      <c r="LR4" t="s">
        <v>576</v>
      </c>
      <c r="LS4" t="s">
        <v>931</v>
      </c>
      <c r="LT4" t="s">
        <v>350</v>
      </c>
      <c r="LU4" t="s">
        <v>561</v>
      </c>
      <c r="LV4" t="s">
        <v>932</v>
      </c>
      <c r="LW4" t="s">
        <v>399</v>
      </c>
      <c r="LX4" t="s">
        <v>350</v>
      </c>
      <c r="LY4" t="s">
        <v>302</v>
      </c>
      <c r="LZ4" t="s">
        <v>933</v>
      </c>
      <c r="MA4" t="s">
        <v>300</v>
      </c>
      <c r="MB4" t="s">
        <v>350</v>
      </c>
      <c r="MC4" t="s">
        <v>357</v>
      </c>
      <c r="MD4" t="s">
        <v>399</v>
      </c>
      <c r="ME4" t="s">
        <v>350</v>
      </c>
      <c r="MF4" t="s">
        <v>393</v>
      </c>
      <c r="MG4" t="s">
        <v>934</v>
      </c>
      <c r="MH4" t="s">
        <v>934</v>
      </c>
      <c r="MI4" t="s">
        <v>393</v>
      </c>
      <c r="MJ4" t="s">
        <v>298</v>
      </c>
      <c r="MK4" t="s">
        <v>350</v>
      </c>
      <c r="ML4" t="s">
        <v>298</v>
      </c>
      <c r="MM4" t="s">
        <v>561</v>
      </c>
      <c r="MN4" t="s">
        <v>324</v>
      </c>
      <c r="MO4" t="s">
        <v>935</v>
      </c>
    </row>
    <row r="8" spans="1:353">
      <c r="I8" s="29"/>
    </row>
    <row r="9" spans="1:353">
      <c r="A9" s="803" t="s">
        <v>936</v>
      </c>
      <c r="B9" s="803" t="s">
        <v>339</v>
      </c>
      <c r="I9" s="29"/>
    </row>
    <row r="10" spans="1:353">
      <c r="A10" s="803"/>
      <c r="B10" s="803"/>
      <c r="I10" s="59" t="s">
        <v>519</v>
      </c>
    </row>
    <row r="11" spans="1:353" hidden="1">
      <c r="A11" s="29" t="s">
        <v>675</v>
      </c>
      <c r="B11" s="145" t="s">
        <v>396</v>
      </c>
      <c r="H11" t="str">
        <f t="shared" ref="H11:H21" si="0">A11</f>
        <v>117/1</v>
      </c>
      <c r="I11" s="29"/>
    </row>
    <row r="12" spans="1:353" hidden="1">
      <c r="A12" s="29" t="s">
        <v>700</v>
      </c>
      <c r="B12" s="145" t="s">
        <v>399</v>
      </c>
      <c r="H12" t="str">
        <f t="shared" si="0"/>
        <v>117/2</v>
      </c>
      <c r="I12" s="29"/>
    </row>
    <row r="13" spans="1:353" hidden="1">
      <c r="A13" s="29" t="s">
        <v>519</v>
      </c>
      <c r="B13" s="145" t="s">
        <v>300</v>
      </c>
      <c r="H13" t="str">
        <f t="shared" si="0"/>
        <v>118/0</v>
      </c>
      <c r="I13" s="29"/>
    </row>
    <row r="14" spans="1:353" hidden="1">
      <c r="A14" s="29" t="s">
        <v>520</v>
      </c>
      <c r="B14" s="145" t="s">
        <v>298</v>
      </c>
      <c r="H14" t="str">
        <f t="shared" si="0"/>
        <v>119/0</v>
      </c>
      <c r="I14" s="29"/>
    </row>
    <row r="15" spans="1:353" hidden="1">
      <c r="A15" s="29" t="s">
        <v>521</v>
      </c>
      <c r="B15" s="145" t="s">
        <v>396</v>
      </c>
      <c r="H15" t="str">
        <f t="shared" si="0"/>
        <v>119/1</v>
      </c>
      <c r="I15" s="29"/>
    </row>
    <row r="16" spans="1:353" hidden="1">
      <c r="A16" s="29" t="s">
        <v>701</v>
      </c>
      <c r="B16" s="145" t="s">
        <v>396</v>
      </c>
      <c r="H16" t="str">
        <f t="shared" si="0"/>
        <v>119/2</v>
      </c>
      <c r="I16" s="29"/>
    </row>
    <row r="17" spans="1:9" hidden="1">
      <c r="A17" s="29" t="s">
        <v>702</v>
      </c>
      <c r="B17" s="145" t="s">
        <v>561</v>
      </c>
      <c r="H17" t="str">
        <f t="shared" si="0"/>
        <v>119/3</v>
      </c>
      <c r="I17" s="29"/>
    </row>
    <row r="18" spans="1:9" hidden="1">
      <c r="A18" s="29" t="s">
        <v>522</v>
      </c>
      <c r="B18" s="145" t="s">
        <v>560</v>
      </c>
      <c r="H18" t="str">
        <f t="shared" si="0"/>
        <v>120/0</v>
      </c>
      <c r="I18" s="29"/>
    </row>
    <row r="19" spans="1:9" hidden="1">
      <c r="A19" s="29" t="s">
        <v>703</v>
      </c>
      <c r="B19" s="145" t="s">
        <v>396</v>
      </c>
      <c r="H19" t="str">
        <f t="shared" si="0"/>
        <v>120/1</v>
      </c>
      <c r="I19" s="29"/>
    </row>
    <row r="20" spans="1:9" hidden="1">
      <c r="A20" s="29" t="s">
        <v>704</v>
      </c>
      <c r="B20" s="145" t="s">
        <v>350</v>
      </c>
      <c r="H20" t="str">
        <f t="shared" si="0"/>
        <v>120/2</v>
      </c>
      <c r="I20" s="29"/>
    </row>
    <row r="21" spans="1:9" hidden="1">
      <c r="A21" s="29" t="s">
        <v>705</v>
      </c>
      <c r="B21" s="145" t="s">
        <v>399</v>
      </c>
      <c r="H21" t="str">
        <f t="shared" si="0"/>
        <v>120/3</v>
      </c>
      <c r="I21" s="29"/>
    </row>
    <row r="22" spans="1:9" hidden="1">
      <c r="A22" s="29" t="s">
        <v>676</v>
      </c>
      <c r="B22" s="145" t="s">
        <v>350</v>
      </c>
      <c r="I22" s="59" t="s">
        <v>748</v>
      </c>
    </row>
    <row r="23" spans="1:9" hidden="1">
      <c r="A23" s="29" t="s">
        <v>706</v>
      </c>
      <c r="B23" s="145" t="s">
        <v>396</v>
      </c>
      <c r="I23" s="29" t="s">
        <v>144</v>
      </c>
    </row>
    <row r="24" spans="1:9" hidden="1">
      <c r="A24" s="29" t="s">
        <v>707</v>
      </c>
      <c r="B24" s="145" t="s">
        <v>350</v>
      </c>
      <c r="I24" s="59" t="s">
        <v>749</v>
      </c>
    </row>
    <row r="25" spans="1:9" hidden="1">
      <c r="A25" s="29" t="s">
        <v>677</v>
      </c>
      <c r="B25" s="145" t="s">
        <v>357</v>
      </c>
      <c r="I25" s="59" t="s">
        <v>750</v>
      </c>
    </row>
    <row r="26" spans="1:9" hidden="1">
      <c r="A26" s="29" t="s">
        <v>523</v>
      </c>
      <c r="B26" s="145" t="s">
        <v>389</v>
      </c>
      <c r="I26" s="59" t="s">
        <v>751</v>
      </c>
    </row>
    <row r="27" spans="1:9" hidden="1">
      <c r="A27" s="29" t="s">
        <v>708</v>
      </c>
      <c r="B27" s="145" t="s">
        <v>897</v>
      </c>
      <c r="I27" s="59" t="s">
        <v>752</v>
      </c>
    </row>
    <row r="28" spans="1:9" hidden="1">
      <c r="A28" s="29" t="s">
        <v>715</v>
      </c>
      <c r="B28" s="145" t="s">
        <v>350</v>
      </c>
      <c r="I28" s="59" t="s">
        <v>145</v>
      </c>
    </row>
    <row r="29" spans="1:9">
      <c r="A29" s="29" t="s">
        <v>716</v>
      </c>
      <c r="B29" s="143" t="s">
        <v>561</v>
      </c>
      <c r="H29" t="str">
        <f>A29</f>
        <v>121/11</v>
      </c>
      <c r="I29" s="29"/>
    </row>
    <row r="30" spans="1:9" hidden="1">
      <c r="A30" s="29" t="s">
        <v>678</v>
      </c>
      <c r="B30" s="145" t="s">
        <v>561</v>
      </c>
      <c r="I30" s="59" t="s">
        <v>686</v>
      </c>
    </row>
    <row r="31" spans="1:9" hidden="1">
      <c r="A31" s="29" t="s">
        <v>679</v>
      </c>
      <c r="B31" s="145" t="s">
        <v>350</v>
      </c>
      <c r="I31" s="59" t="s">
        <v>183</v>
      </c>
    </row>
    <row r="32" spans="1:9" hidden="1">
      <c r="A32" s="29" t="s">
        <v>709</v>
      </c>
      <c r="B32" s="145" t="s">
        <v>350</v>
      </c>
      <c r="I32" s="59" t="s">
        <v>753</v>
      </c>
    </row>
    <row r="33" spans="1:9" hidden="1">
      <c r="A33" s="29" t="s">
        <v>710</v>
      </c>
      <c r="B33" s="145" t="s">
        <v>396</v>
      </c>
      <c r="I33" s="59" t="s">
        <v>754</v>
      </c>
    </row>
    <row r="34" spans="1:9" hidden="1">
      <c r="A34" s="29" t="s">
        <v>711</v>
      </c>
      <c r="B34" s="145" t="s">
        <v>350</v>
      </c>
      <c r="I34" s="59" t="s">
        <v>755</v>
      </c>
    </row>
    <row r="35" spans="1:9" hidden="1">
      <c r="A35" s="29" t="s">
        <v>712</v>
      </c>
      <c r="B35" s="145" t="s">
        <v>335</v>
      </c>
      <c r="I35" s="59" t="s">
        <v>613</v>
      </c>
    </row>
    <row r="36" spans="1:9" hidden="1">
      <c r="A36" s="29" t="s">
        <v>713</v>
      </c>
      <c r="B36" s="145" t="s">
        <v>350</v>
      </c>
      <c r="I36" s="59" t="s">
        <v>614</v>
      </c>
    </row>
    <row r="37" spans="1:9" hidden="1">
      <c r="A37" s="29" t="s">
        <v>714</v>
      </c>
      <c r="B37" s="145" t="s">
        <v>350</v>
      </c>
      <c r="I37" s="59" t="s">
        <v>615</v>
      </c>
    </row>
    <row r="38" spans="1:9" hidden="1">
      <c r="A38" s="29" t="s">
        <v>272</v>
      </c>
      <c r="B38" s="145" t="s">
        <v>576</v>
      </c>
      <c r="I38" s="59" t="s">
        <v>616</v>
      </c>
    </row>
    <row r="39" spans="1:9" hidden="1">
      <c r="A39" s="29" t="s">
        <v>526</v>
      </c>
      <c r="B39" s="145" t="s">
        <v>396</v>
      </c>
      <c r="H39" t="str">
        <f>A39</f>
        <v>124/1</v>
      </c>
      <c r="I39" s="29"/>
    </row>
    <row r="40" spans="1:9" hidden="1">
      <c r="A40" s="29" t="s">
        <v>527</v>
      </c>
      <c r="B40" s="145" t="s">
        <v>350</v>
      </c>
      <c r="H40" t="str">
        <f>A40</f>
        <v>124/2</v>
      </c>
      <c r="I40" s="29"/>
    </row>
    <row r="41" spans="1:9" hidden="1">
      <c r="A41" s="29" t="s">
        <v>277</v>
      </c>
      <c r="B41" s="145" t="s">
        <v>350</v>
      </c>
      <c r="H41" t="str">
        <f>A41</f>
        <v>124/3</v>
      </c>
      <c r="I41" s="29"/>
    </row>
    <row r="42" spans="1:9" hidden="1">
      <c r="A42" s="29" t="s">
        <v>717</v>
      </c>
      <c r="B42" s="145" t="s">
        <v>591</v>
      </c>
      <c r="I42" s="59" t="s">
        <v>621</v>
      </c>
    </row>
    <row r="43" spans="1:9" hidden="1">
      <c r="A43" s="29" t="s">
        <v>718</v>
      </c>
      <c r="B43" s="145" t="s">
        <v>561</v>
      </c>
      <c r="I43" s="59" t="s">
        <v>759</v>
      </c>
    </row>
    <row r="44" spans="1:9" hidden="1">
      <c r="A44" s="29" t="s">
        <v>719</v>
      </c>
      <c r="B44" s="145" t="s">
        <v>561</v>
      </c>
      <c r="I44" s="59" t="s">
        <v>687</v>
      </c>
    </row>
    <row r="45" spans="1:9" hidden="1">
      <c r="A45" s="29" t="s">
        <v>720</v>
      </c>
      <c r="B45" s="145" t="s">
        <v>576</v>
      </c>
      <c r="I45" s="59" t="s">
        <v>688</v>
      </c>
    </row>
    <row r="46" spans="1:9" hidden="1">
      <c r="A46" s="29" t="s">
        <v>680</v>
      </c>
      <c r="B46" s="145" t="s">
        <v>357</v>
      </c>
      <c r="I46" s="59" t="s">
        <v>760</v>
      </c>
    </row>
    <row r="47" spans="1:9" hidden="1">
      <c r="A47" s="29" t="s">
        <v>721</v>
      </c>
      <c r="B47" s="145" t="s">
        <v>350</v>
      </c>
      <c r="H47" t="str">
        <f>A47</f>
        <v>126/2</v>
      </c>
      <c r="I47" s="29"/>
    </row>
    <row r="48" spans="1:9" hidden="1">
      <c r="A48" s="29" t="s">
        <v>722</v>
      </c>
      <c r="B48" s="145" t="s">
        <v>350</v>
      </c>
      <c r="I48" s="59" t="s">
        <v>761</v>
      </c>
    </row>
    <row r="49" spans="1:9" hidden="1">
      <c r="A49" s="29" t="s">
        <v>723</v>
      </c>
      <c r="B49" s="145" t="s">
        <v>300</v>
      </c>
      <c r="H49" t="str">
        <f t="shared" ref="H49:H63" si="1">A49</f>
        <v>127/0</v>
      </c>
      <c r="I49" s="29"/>
    </row>
    <row r="50" spans="1:9" hidden="1">
      <c r="A50" s="29" t="s">
        <v>135</v>
      </c>
      <c r="B50" s="145" t="s">
        <v>396</v>
      </c>
      <c r="H50" t="str">
        <f t="shared" si="1"/>
        <v>127/1</v>
      </c>
      <c r="I50" s="29"/>
    </row>
    <row r="51" spans="1:9" hidden="1">
      <c r="A51" s="29" t="s">
        <v>173</v>
      </c>
      <c r="B51" s="145" t="s">
        <v>393</v>
      </c>
      <c r="H51" t="str">
        <f t="shared" si="1"/>
        <v>127/2</v>
      </c>
      <c r="I51" s="29"/>
    </row>
    <row r="52" spans="1:9" hidden="1">
      <c r="A52" s="29" t="s">
        <v>167</v>
      </c>
      <c r="B52" s="145" t="s">
        <v>898</v>
      </c>
      <c r="H52" t="str">
        <f t="shared" si="1"/>
        <v>128/0</v>
      </c>
      <c r="I52" s="29"/>
    </row>
    <row r="53" spans="1:9">
      <c r="A53" s="29" t="s">
        <v>563</v>
      </c>
      <c r="B53" s="143" t="s">
        <v>899</v>
      </c>
      <c r="H53" t="str">
        <f t="shared" si="1"/>
        <v>129/0</v>
      </c>
      <c r="I53" s="29"/>
    </row>
    <row r="54" spans="1:9">
      <c r="A54" s="29" t="s">
        <v>564</v>
      </c>
      <c r="B54" s="143" t="s">
        <v>900</v>
      </c>
      <c r="H54" t="str">
        <f t="shared" si="1"/>
        <v>130/0</v>
      </c>
      <c r="I54" s="29"/>
    </row>
    <row r="55" spans="1:9">
      <c r="A55" s="29" t="s">
        <v>541</v>
      </c>
      <c r="B55" s="143" t="s">
        <v>901</v>
      </c>
      <c r="H55" t="str">
        <f t="shared" si="1"/>
        <v>131/0</v>
      </c>
      <c r="I55" s="29"/>
    </row>
    <row r="56" spans="1:9">
      <c r="A56" s="29" t="s">
        <v>542</v>
      </c>
      <c r="B56" s="143" t="s">
        <v>357</v>
      </c>
      <c r="H56" t="str">
        <f t="shared" si="1"/>
        <v>131/1</v>
      </c>
      <c r="I56" s="29"/>
    </row>
    <row r="57" spans="1:9" hidden="1">
      <c r="A57" s="29" t="s">
        <v>543</v>
      </c>
      <c r="B57" s="145" t="s">
        <v>350</v>
      </c>
      <c r="H57" t="str">
        <f t="shared" si="1"/>
        <v>131/2</v>
      </c>
      <c r="I57" s="29"/>
    </row>
    <row r="58" spans="1:9">
      <c r="A58" s="29" t="s">
        <v>724</v>
      </c>
      <c r="B58" s="143" t="s">
        <v>357</v>
      </c>
      <c r="H58" t="str">
        <f t="shared" si="1"/>
        <v>131/3</v>
      </c>
      <c r="I58" s="29"/>
    </row>
    <row r="59" spans="1:9">
      <c r="A59" s="29" t="s">
        <v>725</v>
      </c>
      <c r="B59" s="143" t="s">
        <v>396</v>
      </c>
      <c r="H59" t="str">
        <f t="shared" si="1"/>
        <v>131/4</v>
      </c>
      <c r="I59" s="29"/>
    </row>
    <row r="60" spans="1:9">
      <c r="A60" s="29" t="s">
        <v>726</v>
      </c>
      <c r="B60" s="143" t="s">
        <v>396</v>
      </c>
      <c r="H60" t="str">
        <f t="shared" si="1"/>
        <v>131/5</v>
      </c>
      <c r="I60" s="29"/>
    </row>
    <row r="61" spans="1:9" hidden="1">
      <c r="A61" s="29" t="s">
        <v>727</v>
      </c>
      <c r="B61" s="145" t="s">
        <v>300</v>
      </c>
      <c r="H61" t="str">
        <f t="shared" si="1"/>
        <v>132/0</v>
      </c>
      <c r="I61" s="29"/>
    </row>
    <row r="62" spans="1:9" hidden="1">
      <c r="A62" s="29" t="s">
        <v>545</v>
      </c>
      <c r="B62" s="145" t="s">
        <v>396</v>
      </c>
      <c r="H62" t="str">
        <f t="shared" si="1"/>
        <v>132/1</v>
      </c>
      <c r="I62" s="29"/>
    </row>
    <row r="63" spans="1:9">
      <c r="A63" s="29" t="s">
        <v>728</v>
      </c>
      <c r="B63" s="143" t="s">
        <v>396</v>
      </c>
      <c r="H63" t="str">
        <f t="shared" si="1"/>
        <v>132/2</v>
      </c>
      <c r="I63" s="29"/>
    </row>
    <row r="64" spans="1:9" hidden="1">
      <c r="A64" s="29" t="s">
        <v>729</v>
      </c>
      <c r="B64" s="145" t="s">
        <v>396</v>
      </c>
      <c r="I64" s="59" t="s">
        <v>464</v>
      </c>
    </row>
    <row r="65" spans="1:9" hidden="1">
      <c r="A65" s="29" t="s">
        <v>442</v>
      </c>
      <c r="B65" s="145" t="s">
        <v>330</v>
      </c>
      <c r="H65" t="str">
        <f>A65</f>
        <v>133/0</v>
      </c>
      <c r="I65" s="29"/>
    </row>
    <row r="66" spans="1:9" hidden="1">
      <c r="A66" s="29" t="s">
        <v>448</v>
      </c>
      <c r="B66" s="145" t="s">
        <v>350</v>
      </c>
      <c r="H66" t="str">
        <f>A66</f>
        <v>133/1</v>
      </c>
      <c r="I66" s="29"/>
    </row>
    <row r="67" spans="1:9" hidden="1">
      <c r="A67" s="29" t="s">
        <v>378</v>
      </c>
      <c r="B67" s="145" t="s">
        <v>335</v>
      </c>
      <c r="H67" t="str">
        <f>A67</f>
        <v>133/2</v>
      </c>
      <c r="I67" s="29"/>
    </row>
    <row r="68" spans="1:9" hidden="1">
      <c r="A68" s="29" t="s">
        <v>730</v>
      </c>
      <c r="B68" s="143" t="s">
        <v>335</v>
      </c>
      <c r="H68" t="str">
        <f>A68</f>
        <v>133/3</v>
      </c>
      <c r="I68" s="29"/>
    </row>
    <row r="69" spans="1:9" hidden="1">
      <c r="A69" s="29" t="s">
        <v>731</v>
      </c>
      <c r="B69" s="145" t="s">
        <v>357</v>
      </c>
      <c r="H69" t="str">
        <f>A69</f>
        <v>133/4</v>
      </c>
      <c r="I69" s="29"/>
    </row>
    <row r="70" spans="1:9" hidden="1">
      <c r="A70" s="29" t="s">
        <v>372</v>
      </c>
      <c r="B70" s="145" t="s">
        <v>302</v>
      </c>
      <c r="I70" s="59" t="s">
        <v>148</v>
      </c>
    </row>
    <row r="71" spans="1:9">
      <c r="A71" s="29" t="s">
        <v>136</v>
      </c>
      <c r="B71" s="143" t="s">
        <v>560</v>
      </c>
      <c r="H71" t="str">
        <f t="shared" ref="H71:H90" si="2">A71</f>
        <v>135/0</v>
      </c>
      <c r="I71" s="29"/>
    </row>
    <row r="72" spans="1:9" hidden="1">
      <c r="A72" s="29" t="s">
        <v>370</v>
      </c>
      <c r="B72" s="145" t="s">
        <v>305</v>
      </c>
      <c r="H72" t="str">
        <f t="shared" si="2"/>
        <v>136/0</v>
      </c>
      <c r="I72" s="29"/>
    </row>
    <row r="73" spans="1:9" hidden="1">
      <c r="A73" s="29" t="s">
        <v>732</v>
      </c>
      <c r="B73" s="145" t="s">
        <v>393</v>
      </c>
      <c r="H73" t="str">
        <f t="shared" si="2"/>
        <v>136/1</v>
      </c>
      <c r="I73" s="29"/>
    </row>
    <row r="74" spans="1:9" hidden="1">
      <c r="A74" s="29" t="s">
        <v>368</v>
      </c>
      <c r="B74" s="145" t="s">
        <v>902</v>
      </c>
      <c r="H74" t="str">
        <f t="shared" si="2"/>
        <v>137/0</v>
      </c>
      <c r="I74" s="29"/>
    </row>
    <row r="75" spans="1:9" hidden="1">
      <c r="A75" s="29" t="s">
        <v>681</v>
      </c>
      <c r="B75" s="145" t="s">
        <v>399</v>
      </c>
      <c r="H75" t="str">
        <f t="shared" si="2"/>
        <v>137/1</v>
      </c>
      <c r="I75" s="29"/>
    </row>
    <row r="76" spans="1:9" hidden="1">
      <c r="A76" s="29" t="s">
        <v>682</v>
      </c>
      <c r="B76" s="145" t="s">
        <v>396</v>
      </c>
      <c r="H76" t="str">
        <f t="shared" si="2"/>
        <v>137/2</v>
      </c>
      <c r="I76" s="29"/>
    </row>
    <row r="77" spans="1:9" hidden="1">
      <c r="A77" s="29" t="s">
        <v>369</v>
      </c>
      <c r="B77" s="145" t="s">
        <v>903</v>
      </c>
      <c r="H77" t="str">
        <f t="shared" si="2"/>
        <v>138/0</v>
      </c>
      <c r="I77" s="29"/>
    </row>
    <row r="78" spans="1:9" hidden="1">
      <c r="A78" s="29" t="s">
        <v>174</v>
      </c>
      <c r="B78" s="145" t="s">
        <v>326</v>
      </c>
      <c r="H78" t="str">
        <f t="shared" si="2"/>
        <v>139/0</v>
      </c>
      <c r="I78" s="29"/>
    </row>
    <row r="79" spans="1:9" hidden="1">
      <c r="A79" s="29" t="s">
        <v>137</v>
      </c>
      <c r="B79" s="145" t="s">
        <v>399</v>
      </c>
      <c r="H79" t="str">
        <f t="shared" si="2"/>
        <v>139/1</v>
      </c>
      <c r="I79" s="29"/>
    </row>
    <row r="80" spans="1:9" hidden="1">
      <c r="A80" s="29" t="s">
        <v>138</v>
      </c>
      <c r="B80" s="145" t="s">
        <v>300</v>
      </c>
      <c r="H80" t="str">
        <f t="shared" si="2"/>
        <v>139/2</v>
      </c>
      <c r="I80" s="29"/>
    </row>
    <row r="81" spans="1:9" hidden="1">
      <c r="A81" s="29" t="s">
        <v>139</v>
      </c>
      <c r="B81" s="145" t="s">
        <v>335</v>
      </c>
      <c r="H81" t="str">
        <f t="shared" si="2"/>
        <v>139/3</v>
      </c>
      <c r="I81" s="29"/>
    </row>
    <row r="82" spans="1:9" hidden="1">
      <c r="A82" s="29" t="s">
        <v>140</v>
      </c>
      <c r="B82" s="145" t="s">
        <v>904</v>
      </c>
      <c r="H82" t="str">
        <f t="shared" si="2"/>
        <v>140/0</v>
      </c>
      <c r="I82" s="29"/>
    </row>
    <row r="83" spans="1:9" hidden="1">
      <c r="A83" s="29" t="s">
        <v>168</v>
      </c>
      <c r="B83" s="145" t="s">
        <v>904</v>
      </c>
      <c r="H83" t="str">
        <f t="shared" si="2"/>
        <v>141/0</v>
      </c>
      <c r="I83" s="29"/>
    </row>
    <row r="84" spans="1:9" hidden="1">
      <c r="A84" s="29" t="s">
        <v>176</v>
      </c>
      <c r="B84" s="145" t="s">
        <v>350</v>
      </c>
      <c r="H84" t="str">
        <f t="shared" si="2"/>
        <v>141/1</v>
      </c>
      <c r="I84" s="29"/>
    </row>
    <row r="85" spans="1:9" hidden="1">
      <c r="A85" s="29" t="s">
        <v>177</v>
      </c>
      <c r="B85" s="145" t="s">
        <v>350</v>
      </c>
      <c r="H85" t="str">
        <f t="shared" si="2"/>
        <v>141/2</v>
      </c>
      <c r="I85" s="29"/>
    </row>
    <row r="86" spans="1:9" hidden="1">
      <c r="A86" s="29" t="s">
        <v>683</v>
      </c>
      <c r="B86" s="145" t="s">
        <v>350</v>
      </c>
      <c r="H86" t="str">
        <f t="shared" si="2"/>
        <v>141/3</v>
      </c>
      <c r="I86" s="29"/>
    </row>
    <row r="87" spans="1:9" hidden="1">
      <c r="A87" s="29" t="s">
        <v>733</v>
      </c>
      <c r="B87" s="145" t="s">
        <v>396</v>
      </c>
      <c r="H87" t="str">
        <f t="shared" si="2"/>
        <v>141/4</v>
      </c>
      <c r="I87" s="29"/>
    </row>
    <row r="88" spans="1:9" hidden="1">
      <c r="A88" s="29" t="s">
        <v>684</v>
      </c>
      <c r="B88" s="145" t="s">
        <v>396</v>
      </c>
      <c r="H88" t="str">
        <f t="shared" si="2"/>
        <v>141/5</v>
      </c>
      <c r="I88" s="29"/>
    </row>
    <row r="89" spans="1:9" hidden="1">
      <c r="A89" s="29" t="s">
        <v>462</v>
      </c>
      <c r="B89" s="145" t="s">
        <v>357</v>
      </c>
      <c r="H89" t="str">
        <f t="shared" si="2"/>
        <v>141/6</v>
      </c>
      <c r="I89" s="29"/>
    </row>
    <row r="90" spans="1:9" hidden="1">
      <c r="A90" s="29" t="s">
        <v>418</v>
      </c>
      <c r="B90" s="145" t="s">
        <v>324</v>
      </c>
      <c r="H90" t="str">
        <f t="shared" si="2"/>
        <v>142/0</v>
      </c>
      <c r="I90" s="29"/>
    </row>
    <row r="91" spans="1:9" hidden="1">
      <c r="A91" s="29" t="s">
        <v>400</v>
      </c>
      <c r="B91" s="145" t="s">
        <v>905</v>
      </c>
      <c r="I91" s="59" t="s">
        <v>788</v>
      </c>
    </row>
    <row r="92" spans="1:9" hidden="1">
      <c r="A92" s="29" t="s">
        <v>374</v>
      </c>
      <c r="B92" s="145" t="s">
        <v>905</v>
      </c>
      <c r="H92" t="str">
        <f>A92</f>
        <v>144/0</v>
      </c>
      <c r="I92" s="29"/>
    </row>
    <row r="93" spans="1:9">
      <c r="A93" s="29" t="s">
        <v>388</v>
      </c>
      <c r="B93" s="143" t="s">
        <v>292</v>
      </c>
      <c r="H93" t="str">
        <f>A93</f>
        <v>145/0</v>
      </c>
      <c r="I93" s="29"/>
    </row>
    <row r="94" spans="1:9">
      <c r="A94" s="29" t="s">
        <v>392</v>
      </c>
      <c r="B94" s="143" t="s">
        <v>350</v>
      </c>
      <c r="H94" t="str">
        <f>A94</f>
        <v>145/1</v>
      </c>
      <c r="I94" s="29"/>
    </row>
    <row r="95" spans="1:9" hidden="1">
      <c r="A95" s="29" t="s">
        <v>549</v>
      </c>
      <c r="B95" s="145" t="s">
        <v>350</v>
      </c>
      <c r="I95" s="59" t="s">
        <v>790</v>
      </c>
    </row>
    <row r="96" spans="1:9" hidden="1">
      <c r="A96" s="29" t="s">
        <v>404</v>
      </c>
      <c r="B96" s="145" t="s">
        <v>396</v>
      </c>
      <c r="H96" t="str">
        <f t="shared" ref="H96:H121" si="3">A96</f>
        <v>145/3</v>
      </c>
      <c r="I96" s="29"/>
    </row>
    <row r="97" spans="1:9" hidden="1">
      <c r="A97" s="29" t="s">
        <v>407</v>
      </c>
      <c r="B97" s="145" t="s">
        <v>350</v>
      </c>
      <c r="H97" t="str">
        <f t="shared" si="3"/>
        <v>145/4</v>
      </c>
      <c r="I97" s="29"/>
    </row>
    <row r="98" spans="1:9" hidden="1">
      <c r="A98" s="29" t="s">
        <v>178</v>
      </c>
      <c r="B98" s="145" t="s">
        <v>357</v>
      </c>
      <c r="H98" t="str">
        <f t="shared" si="3"/>
        <v>145/5</v>
      </c>
      <c r="I98" s="29"/>
    </row>
    <row r="99" spans="1:9" hidden="1">
      <c r="A99" s="29" t="s">
        <v>179</v>
      </c>
      <c r="B99" s="145" t="s">
        <v>357</v>
      </c>
      <c r="H99" t="str">
        <f t="shared" si="3"/>
        <v>145/6</v>
      </c>
      <c r="I99" s="29"/>
    </row>
    <row r="100" spans="1:9" hidden="1">
      <c r="A100" s="29" t="s">
        <v>685</v>
      </c>
      <c r="B100" s="145" t="s">
        <v>335</v>
      </c>
      <c r="H100" t="str">
        <f t="shared" si="3"/>
        <v>145/7</v>
      </c>
      <c r="I100" s="29"/>
    </row>
    <row r="101" spans="1:9" hidden="1">
      <c r="A101" s="29" t="s">
        <v>551</v>
      </c>
      <c r="B101" s="145" t="s">
        <v>904</v>
      </c>
      <c r="H101" t="str">
        <f t="shared" si="3"/>
        <v>147/0</v>
      </c>
      <c r="I101" s="29"/>
    </row>
    <row r="102" spans="1:9" hidden="1">
      <c r="A102" s="29" t="s">
        <v>425</v>
      </c>
      <c r="B102" s="145" t="s">
        <v>904</v>
      </c>
      <c r="H102" t="str">
        <f t="shared" si="3"/>
        <v>148/0</v>
      </c>
      <c r="I102" s="29"/>
    </row>
    <row r="103" spans="1:9" hidden="1">
      <c r="A103" s="29" t="s">
        <v>423</v>
      </c>
      <c r="B103" s="145" t="s">
        <v>357</v>
      </c>
      <c r="H103" t="str">
        <f t="shared" si="3"/>
        <v>148/1</v>
      </c>
      <c r="I103" s="29"/>
    </row>
    <row r="104" spans="1:9" hidden="1">
      <c r="A104" s="29" t="s">
        <v>385</v>
      </c>
      <c r="B104" s="145" t="s">
        <v>350</v>
      </c>
      <c r="H104" t="str">
        <f t="shared" si="3"/>
        <v>148/2</v>
      </c>
      <c r="I104" s="29"/>
    </row>
    <row r="105" spans="1:9" hidden="1">
      <c r="A105" s="29" t="s">
        <v>180</v>
      </c>
      <c r="B105" s="145" t="s">
        <v>399</v>
      </c>
      <c r="H105" t="str">
        <f t="shared" si="3"/>
        <v>148/3</v>
      </c>
      <c r="I105" s="29"/>
    </row>
    <row r="106" spans="1:9" hidden="1">
      <c r="A106" s="29" t="s">
        <v>371</v>
      </c>
      <c r="B106" s="145" t="s">
        <v>357</v>
      </c>
      <c r="H106" t="str">
        <f t="shared" si="3"/>
        <v>148/4</v>
      </c>
      <c r="I106" s="29"/>
    </row>
    <row r="107" spans="1:9" hidden="1">
      <c r="A107" s="29" t="s">
        <v>383</v>
      </c>
      <c r="B107" s="145" t="s">
        <v>666</v>
      </c>
      <c r="H107" t="str">
        <f t="shared" si="3"/>
        <v>148/5</v>
      </c>
      <c r="I107" s="29"/>
    </row>
    <row r="108" spans="1:9" hidden="1">
      <c r="A108" s="29" t="s">
        <v>169</v>
      </c>
      <c r="B108" s="145" t="s">
        <v>904</v>
      </c>
      <c r="H108" t="str">
        <f t="shared" si="3"/>
        <v>149/0</v>
      </c>
      <c r="I108" s="29"/>
    </row>
    <row r="109" spans="1:9">
      <c r="A109" s="29" t="s">
        <v>554</v>
      </c>
      <c r="B109" s="143" t="s">
        <v>904</v>
      </c>
      <c r="H109" t="str">
        <f t="shared" si="3"/>
        <v>150/0</v>
      </c>
      <c r="I109" s="29"/>
    </row>
    <row r="110" spans="1:9">
      <c r="A110" s="29" t="s">
        <v>555</v>
      </c>
      <c r="B110" s="143" t="s">
        <v>335</v>
      </c>
      <c r="H110" t="str">
        <f t="shared" si="3"/>
        <v>150/1</v>
      </c>
      <c r="I110" s="29"/>
    </row>
    <row r="111" spans="1:9">
      <c r="A111" s="29" t="s">
        <v>557</v>
      </c>
      <c r="B111" s="143" t="s">
        <v>305</v>
      </c>
      <c r="H111" t="str">
        <f t="shared" si="3"/>
        <v>151/0</v>
      </c>
      <c r="I111" s="29"/>
    </row>
    <row r="112" spans="1:9">
      <c r="A112" s="29" t="s">
        <v>734</v>
      </c>
      <c r="B112" s="143" t="s">
        <v>905</v>
      </c>
      <c r="H112" t="str">
        <f t="shared" si="3"/>
        <v>151A/0</v>
      </c>
      <c r="I112" s="29"/>
    </row>
    <row r="113" spans="1:9">
      <c r="A113" s="29" t="s">
        <v>558</v>
      </c>
      <c r="B113" s="143" t="s">
        <v>560</v>
      </c>
      <c r="H113" t="str">
        <f t="shared" si="3"/>
        <v>152/0</v>
      </c>
      <c r="I113" s="29"/>
    </row>
    <row r="114" spans="1:9">
      <c r="A114" s="29" t="s">
        <v>445</v>
      </c>
      <c r="B114" s="143" t="s">
        <v>560</v>
      </c>
      <c r="H114" t="str">
        <f t="shared" si="3"/>
        <v>153/0</v>
      </c>
      <c r="I114" s="29"/>
    </row>
    <row r="115" spans="1:9">
      <c r="A115" s="29" t="s">
        <v>453</v>
      </c>
      <c r="B115" s="143" t="s">
        <v>357</v>
      </c>
      <c r="H115" t="str">
        <f t="shared" si="3"/>
        <v>153/1</v>
      </c>
      <c r="I115" s="29"/>
    </row>
    <row r="116" spans="1:9">
      <c r="A116" s="29" t="s">
        <v>735</v>
      </c>
      <c r="B116" s="143" t="s">
        <v>350</v>
      </c>
      <c r="H116" t="str">
        <f t="shared" si="3"/>
        <v>153/2</v>
      </c>
      <c r="I116" s="29"/>
    </row>
    <row r="117" spans="1:9">
      <c r="A117" s="29" t="s">
        <v>736</v>
      </c>
      <c r="B117" s="143" t="s">
        <v>292</v>
      </c>
      <c r="H117" t="str">
        <f t="shared" si="3"/>
        <v>153A/0</v>
      </c>
      <c r="I117" s="29"/>
    </row>
    <row r="118" spans="1:9">
      <c r="A118" s="29" t="s">
        <v>455</v>
      </c>
      <c r="B118" s="143" t="s">
        <v>906</v>
      </c>
      <c r="H118" t="str">
        <f t="shared" si="3"/>
        <v>154/0</v>
      </c>
      <c r="I118" s="29"/>
    </row>
    <row r="119" spans="1:9">
      <c r="A119" s="29" t="s">
        <v>450</v>
      </c>
      <c r="B119" s="143" t="s">
        <v>905</v>
      </c>
      <c r="H119" t="str">
        <f t="shared" si="3"/>
        <v>155/0</v>
      </c>
      <c r="I119" s="29"/>
    </row>
    <row r="120" spans="1:9">
      <c r="A120" s="29" t="s">
        <v>361</v>
      </c>
      <c r="B120" s="143" t="s">
        <v>907</v>
      </c>
      <c r="H120" t="str">
        <f t="shared" si="3"/>
        <v>156/0</v>
      </c>
      <c r="I120" s="29"/>
    </row>
    <row r="121" spans="1:9">
      <c r="A121" s="29" t="s">
        <v>360</v>
      </c>
      <c r="B121" s="143" t="s">
        <v>389</v>
      </c>
      <c r="H121" t="str">
        <f t="shared" si="3"/>
        <v>156/1</v>
      </c>
      <c r="I121" s="29"/>
    </row>
    <row r="122" spans="1:9">
      <c r="A122" s="29" t="s">
        <v>737</v>
      </c>
      <c r="B122" s="143" t="s">
        <v>908</v>
      </c>
      <c r="I122" s="29" t="s">
        <v>277</v>
      </c>
    </row>
    <row r="123" spans="1:9">
      <c r="A123" s="29" t="s">
        <v>738</v>
      </c>
      <c r="B123" s="143" t="s">
        <v>908</v>
      </c>
      <c r="H123" t="str">
        <f t="shared" ref="H123:H134" si="4">A123</f>
        <v xml:space="preserve">158/0 </v>
      </c>
      <c r="I123" s="29"/>
    </row>
    <row r="124" spans="1:9">
      <c r="A124" s="29" t="s">
        <v>739</v>
      </c>
      <c r="B124" s="143" t="s">
        <v>909</v>
      </c>
      <c r="H124" t="str">
        <f t="shared" si="4"/>
        <v xml:space="preserve">159/0 </v>
      </c>
      <c r="I124" s="29"/>
    </row>
    <row r="125" spans="1:9" hidden="1">
      <c r="A125" s="29" t="s">
        <v>577</v>
      </c>
      <c r="B125" s="145" t="s">
        <v>373</v>
      </c>
      <c r="H125" t="str">
        <f t="shared" si="4"/>
        <v>160/0</v>
      </c>
      <c r="I125" s="29"/>
    </row>
    <row r="126" spans="1:9" hidden="1">
      <c r="A126" s="29" t="s">
        <v>181</v>
      </c>
      <c r="B126" s="145" t="s">
        <v>666</v>
      </c>
      <c r="H126" t="str">
        <f t="shared" si="4"/>
        <v>161/0</v>
      </c>
      <c r="I126" s="29"/>
    </row>
    <row r="127" spans="1:9" hidden="1">
      <c r="A127" s="29" t="s">
        <v>165</v>
      </c>
      <c r="B127" s="145" t="s">
        <v>904</v>
      </c>
      <c r="H127" t="str">
        <f t="shared" si="4"/>
        <v>162/0</v>
      </c>
      <c r="I127" s="29"/>
    </row>
    <row r="128" spans="1:9" hidden="1">
      <c r="A128" s="29" t="s">
        <v>593</v>
      </c>
      <c r="B128" s="143" t="s">
        <v>910</v>
      </c>
      <c r="H128" t="str">
        <f t="shared" si="4"/>
        <v>163/0</v>
      </c>
      <c r="I128" s="29"/>
    </row>
    <row r="129" spans="1:9">
      <c r="A129" s="29" t="s">
        <v>594</v>
      </c>
      <c r="B129" s="143" t="s">
        <v>391</v>
      </c>
      <c r="H129" t="str">
        <f t="shared" si="4"/>
        <v>163/1</v>
      </c>
      <c r="I129" s="29"/>
    </row>
    <row r="130" spans="1:9">
      <c r="A130" s="29" t="s">
        <v>598</v>
      </c>
      <c r="B130" s="143" t="s">
        <v>903</v>
      </c>
      <c r="H130" t="str">
        <f t="shared" si="4"/>
        <v>164/0</v>
      </c>
      <c r="I130" s="29"/>
    </row>
    <row r="131" spans="1:9">
      <c r="A131" s="29" t="s">
        <v>600</v>
      </c>
      <c r="B131" s="143" t="s">
        <v>897</v>
      </c>
      <c r="H131" t="str">
        <f t="shared" si="4"/>
        <v>165/0</v>
      </c>
      <c r="I131" s="29"/>
    </row>
    <row r="132" spans="1:9">
      <c r="A132" s="29" t="s">
        <v>601</v>
      </c>
      <c r="B132" s="143" t="s">
        <v>561</v>
      </c>
      <c r="H132" t="str">
        <f t="shared" si="4"/>
        <v>165/1</v>
      </c>
      <c r="I132" s="29"/>
    </row>
    <row r="133" spans="1:9" hidden="1">
      <c r="A133" s="29" t="s">
        <v>602</v>
      </c>
      <c r="B133" s="145" t="s">
        <v>399</v>
      </c>
      <c r="H133" t="str">
        <f t="shared" si="4"/>
        <v>165/2</v>
      </c>
      <c r="I133" s="29"/>
    </row>
    <row r="134" spans="1:9">
      <c r="A134" s="29" t="s">
        <v>740</v>
      </c>
      <c r="B134" s="143" t="s">
        <v>399</v>
      </c>
      <c r="H134" t="str">
        <f t="shared" si="4"/>
        <v>165/3</v>
      </c>
      <c r="I134" s="29"/>
    </row>
    <row r="135" spans="1:9" hidden="1">
      <c r="A135" s="29" t="s">
        <v>741</v>
      </c>
      <c r="B135" s="145" t="s">
        <v>396</v>
      </c>
      <c r="I135" s="59" t="s">
        <v>804</v>
      </c>
    </row>
    <row r="136" spans="1:9" hidden="1">
      <c r="A136" s="29" t="s">
        <v>742</v>
      </c>
      <c r="B136" s="145" t="s">
        <v>396</v>
      </c>
      <c r="H136" t="str">
        <f t="shared" ref="H136:H144" si="5">A136</f>
        <v>165/5</v>
      </c>
      <c r="I136" s="29"/>
    </row>
    <row r="137" spans="1:9" hidden="1">
      <c r="A137" s="29" t="s">
        <v>743</v>
      </c>
      <c r="B137" s="145" t="s">
        <v>911</v>
      </c>
      <c r="H137" t="str">
        <f t="shared" si="5"/>
        <v>165/6</v>
      </c>
      <c r="I137" s="29"/>
    </row>
    <row r="138" spans="1:9" hidden="1">
      <c r="A138" s="29" t="s">
        <v>744</v>
      </c>
      <c r="B138" s="145" t="s">
        <v>350</v>
      </c>
      <c r="H138" t="str">
        <f t="shared" si="5"/>
        <v>165/7</v>
      </c>
      <c r="I138" s="29"/>
    </row>
    <row r="139" spans="1:9" hidden="1">
      <c r="A139" s="29" t="s">
        <v>182</v>
      </c>
      <c r="B139" s="145" t="s">
        <v>298</v>
      </c>
      <c r="H139" t="str">
        <f t="shared" si="5"/>
        <v>166/0</v>
      </c>
      <c r="I139" s="29"/>
    </row>
    <row r="140" spans="1:9" hidden="1">
      <c r="A140" s="29" t="s">
        <v>141</v>
      </c>
      <c r="B140" s="145" t="s">
        <v>906</v>
      </c>
      <c r="H140" t="str">
        <f t="shared" si="5"/>
        <v>167/0</v>
      </c>
      <c r="I140" s="29"/>
    </row>
    <row r="141" spans="1:9" hidden="1">
      <c r="A141" s="29" t="s">
        <v>605</v>
      </c>
      <c r="B141" s="145" t="s">
        <v>910</v>
      </c>
      <c r="H141" t="str">
        <f t="shared" si="5"/>
        <v>168/0</v>
      </c>
      <c r="I141" s="29"/>
    </row>
    <row r="142" spans="1:9">
      <c r="A142" s="29" t="s">
        <v>606</v>
      </c>
      <c r="B142" s="143" t="s">
        <v>904</v>
      </c>
      <c r="H142" t="str">
        <f t="shared" si="5"/>
        <v>169/0</v>
      </c>
      <c r="I142" s="29"/>
    </row>
    <row r="143" spans="1:9" hidden="1">
      <c r="A143" s="29" t="s">
        <v>607</v>
      </c>
      <c r="B143" s="145" t="s">
        <v>305</v>
      </c>
      <c r="H143" t="str">
        <f t="shared" si="5"/>
        <v>170/0</v>
      </c>
      <c r="I143" s="29"/>
    </row>
    <row r="144" spans="1:9" hidden="1">
      <c r="A144" s="29" t="s">
        <v>612</v>
      </c>
      <c r="B144" s="145" t="s">
        <v>547</v>
      </c>
      <c r="H144" t="str">
        <f t="shared" si="5"/>
        <v>171/0</v>
      </c>
      <c r="I144" s="29"/>
    </row>
    <row r="145" spans="1:9" hidden="1">
      <c r="A145" s="29" t="s">
        <v>745</v>
      </c>
      <c r="B145" s="145" t="s">
        <v>292</v>
      </c>
      <c r="I145" s="59" t="s">
        <v>813</v>
      </c>
    </row>
    <row r="146" spans="1:9" hidden="1">
      <c r="A146" s="29" t="s">
        <v>746</v>
      </c>
      <c r="B146" s="145" t="s">
        <v>561</v>
      </c>
      <c r="H146" t="str">
        <f t="shared" ref="H146:H156" si="6">A146</f>
        <v>172/1</v>
      </c>
      <c r="I146" s="29"/>
    </row>
    <row r="147" spans="1:9" hidden="1">
      <c r="A147" s="29" t="s">
        <v>142</v>
      </c>
      <c r="B147" s="143" t="s">
        <v>912</v>
      </c>
      <c r="H147" t="str">
        <f t="shared" si="6"/>
        <v>173/0</v>
      </c>
      <c r="I147" s="29"/>
    </row>
    <row r="148" spans="1:9">
      <c r="A148" s="29" t="s">
        <v>747</v>
      </c>
      <c r="B148" s="145" t="s">
        <v>909</v>
      </c>
      <c r="H148" t="str">
        <f t="shared" si="6"/>
        <v xml:space="preserve">174/0 </v>
      </c>
      <c r="I148" s="29"/>
    </row>
    <row r="149" spans="1:9" hidden="1">
      <c r="A149" s="29" t="s">
        <v>748</v>
      </c>
      <c r="B149" s="145" t="s">
        <v>357</v>
      </c>
      <c r="H149" t="str">
        <f t="shared" si="6"/>
        <v>174/1</v>
      </c>
      <c r="I149" s="29"/>
    </row>
    <row r="150" spans="1:9" hidden="1">
      <c r="A150" s="29" t="s">
        <v>144</v>
      </c>
      <c r="B150" s="145" t="s">
        <v>350</v>
      </c>
      <c r="H150" t="str">
        <f t="shared" si="6"/>
        <v>174/2</v>
      </c>
      <c r="I150" s="29"/>
    </row>
    <row r="151" spans="1:9" hidden="1">
      <c r="A151" s="29" t="s">
        <v>749</v>
      </c>
      <c r="B151" s="145" t="s">
        <v>350</v>
      </c>
      <c r="H151" t="str">
        <f t="shared" si="6"/>
        <v>174/3</v>
      </c>
      <c r="I151" s="29"/>
    </row>
    <row r="152" spans="1:9" hidden="1">
      <c r="A152" s="29" t="s">
        <v>750</v>
      </c>
      <c r="B152" s="145" t="s">
        <v>350</v>
      </c>
      <c r="H152" t="str">
        <f t="shared" si="6"/>
        <v>174/4</v>
      </c>
      <c r="I152" s="29"/>
    </row>
    <row r="153" spans="1:9" hidden="1">
      <c r="A153" s="29" t="s">
        <v>751</v>
      </c>
      <c r="B153" s="145" t="s">
        <v>350</v>
      </c>
      <c r="H153" t="str">
        <f t="shared" si="6"/>
        <v>174/5</v>
      </c>
      <c r="I153" s="29"/>
    </row>
    <row r="154" spans="1:9" hidden="1">
      <c r="A154" s="29" t="s">
        <v>752</v>
      </c>
      <c r="B154" s="145" t="s">
        <v>357</v>
      </c>
      <c r="H154" t="str">
        <f t="shared" si="6"/>
        <v>174/6</v>
      </c>
      <c r="I154" s="29"/>
    </row>
    <row r="155" spans="1:9" hidden="1">
      <c r="A155" s="29" t="s">
        <v>686</v>
      </c>
      <c r="B155" s="145" t="s">
        <v>903</v>
      </c>
      <c r="H155" t="str">
        <f t="shared" si="6"/>
        <v>175/0</v>
      </c>
      <c r="I155" s="29"/>
    </row>
    <row r="156" spans="1:9" hidden="1">
      <c r="A156" s="29" t="s">
        <v>183</v>
      </c>
      <c r="B156" s="145" t="s">
        <v>393</v>
      </c>
      <c r="H156" t="str">
        <f t="shared" si="6"/>
        <v>175/1</v>
      </c>
      <c r="I156" s="29"/>
    </row>
    <row r="157" spans="1:9" hidden="1">
      <c r="A157" s="29" t="s">
        <v>753</v>
      </c>
      <c r="B157" s="145" t="s">
        <v>302</v>
      </c>
      <c r="I157" s="59" t="s">
        <v>190</v>
      </c>
    </row>
    <row r="158" spans="1:9" hidden="1">
      <c r="A158" s="29" t="s">
        <v>754</v>
      </c>
      <c r="B158" s="145" t="s">
        <v>350</v>
      </c>
      <c r="I158" s="59" t="s">
        <v>824</v>
      </c>
    </row>
    <row r="159" spans="1:9" hidden="1">
      <c r="A159" s="29" t="s">
        <v>755</v>
      </c>
      <c r="B159" s="145" t="s">
        <v>396</v>
      </c>
      <c r="I159" s="59" t="s">
        <v>831</v>
      </c>
    </row>
    <row r="160" spans="1:9" hidden="1">
      <c r="A160" s="29" t="s">
        <v>613</v>
      </c>
      <c r="B160" s="145" t="s">
        <v>305</v>
      </c>
      <c r="I160" s="59" t="s">
        <v>832</v>
      </c>
    </row>
    <row r="161" spans="1:9" hidden="1">
      <c r="A161" s="29" t="s">
        <v>614</v>
      </c>
      <c r="B161" s="145" t="s">
        <v>305</v>
      </c>
      <c r="I161" s="59" t="s">
        <v>833</v>
      </c>
    </row>
    <row r="162" spans="1:9" hidden="1">
      <c r="A162" s="29" t="s">
        <v>615</v>
      </c>
      <c r="B162" s="145" t="s">
        <v>350</v>
      </c>
      <c r="I162" s="29" t="s">
        <v>835</v>
      </c>
    </row>
    <row r="163" spans="1:9" hidden="1">
      <c r="A163" s="29" t="s">
        <v>145</v>
      </c>
      <c r="B163" s="145" t="s">
        <v>350</v>
      </c>
      <c r="I163" s="29" t="s">
        <v>836</v>
      </c>
    </row>
    <row r="164" spans="1:9" hidden="1">
      <c r="A164" s="29" t="s">
        <v>616</v>
      </c>
      <c r="B164" s="145" t="s">
        <v>396</v>
      </c>
      <c r="I164" s="59" t="s">
        <v>841</v>
      </c>
    </row>
    <row r="165" spans="1:9" hidden="1">
      <c r="A165" s="29" t="s">
        <v>146</v>
      </c>
      <c r="B165" s="145" t="s">
        <v>335</v>
      </c>
      <c r="I165" s="29" t="s">
        <v>849</v>
      </c>
    </row>
    <row r="166" spans="1:9" hidden="1">
      <c r="A166" s="29" t="s">
        <v>756</v>
      </c>
      <c r="B166" s="145" t="s">
        <v>357</v>
      </c>
      <c r="I166" s="59" t="s">
        <v>850</v>
      </c>
    </row>
    <row r="167" spans="1:9">
      <c r="A167" s="29" t="s">
        <v>757</v>
      </c>
      <c r="B167" s="143" t="s">
        <v>913</v>
      </c>
      <c r="H167" t="str">
        <f>A167</f>
        <v>179/2</v>
      </c>
      <c r="I167" s="29"/>
    </row>
    <row r="168" spans="1:9" hidden="1">
      <c r="A168" s="29" t="s">
        <v>758</v>
      </c>
      <c r="B168" s="145" t="s">
        <v>350</v>
      </c>
      <c r="I168" s="29" t="s">
        <v>852</v>
      </c>
    </row>
    <row r="169" spans="1:9">
      <c r="A169" s="29" t="s">
        <v>620</v>
      </c>
      <c r="B169" s="143" t="s">
        <v>914</v>
      </c>
      <c r="H169" t="str">
        <f>A169</f>
        <v>180/0</v>
      </c>
      <c r="I169" s="29"/>
    </row>
    <row r="170" spans="1:9" hidden="1">
      <c r="A170" s="29" t="s">
        <v>621</v>
      </c>
      <c r="B170" s="145" t="s">
        <v>357</v>
      </c>
      <c r="I170" s="29" t="s">
        <v>853</v>
      </c>
    </row>
    <row r="171" spans="1:9" hidden="1">
      <c r="A171" s="29" t="s">
        <v>759</v>
      </c>
      <c r="B171" s="145" t="s">
        <v>666</v>
      </c>
      <c r="I171" s="59" t="s">
        <v>854</v>
      </c>
    </row>
    <row r="172" spans="1:9" hidden="1">
      <c r="A172" s="29" t="s">
        <v>687</v>
      </c>
      <c r="B172" s="145" t="s">
        <v>561</v>
      </c>
      <c r="I172" s="29" t="s">
        <v>855</v>
      </c>
    </row>
    <row r="173" spans="1:9" hidden="1">
      <c r="A173" s="29" t="s">
        <v>688</v>
      </c>
      <c r="B173" s="145" t="s">
        <v>396</v>
      </c>
      <c r="I173" s="59" t="s">
        <v>857</v>
      </c>
    </row>
    <row r="174" spans="1:9" hidden="1">
      <c r="A174" s="29" t="s">
        <v>760</v>
      </c>
      <c r="B174" s="145" t="s">
        <v>357</v>
      </c>
      <c r="I174" s="29" t="s">
        <v>858</v>
      </c>
    </row>
    <row r="175" spans="1:9" hidden="1">
      <c r="A175" s="29" t="s">
        <v>689</v>
      </c>
      <c r="B175" s="145" t="s">
        <v>350</v>
      </c>
      <c r="H175" t="str">
        <f t="shared" ref="H175:H182" si="7">A175</f>
        <v>180/6</v>
      </c>
      <c r="I175" s="29"/>
    </row>
    <row r="176" spans="1:9" hidden="1">
      <c r="A176" s="29" t="s">
        <v>761</v>
      </c>
      <c r="B176" s="145" t="s">
        <v>350</v>
      </c>
      <c r="H176" t="str">
        <f t="shared" si="7"/>
        <v>180/7</v>
      </c>
      <c r="I176" s="29"/>
    </row>
    <row r="177" spans="1:9" hidden="1">
      <c r="A177" s="29" t="s">
        <v>184</v>
      </c>
      <c r="B177" s="145" t="s">
        <v>302</v>
      </c>
      <c r="H177" t="str">
        <f t="shared" si="7"/>
        <v>182/0</v>
      </c>
      <c r="I177" s="29"/>
    </row>
    <row r="178" spans="1:9" hidden="1">
      <c r="A178" s="29" t="s">
        <v>185</v>
      </c>
      <c r="B178" s="145" t="s">
        <v>298</v>
      </c>
      <c r="H178" t="str">
        <f t="shared" si="7"/>
        <v>183/0</v>
      </c>
      <c r="I178" s="29"/>
    </row>
    <row r="179" spans="1:9" hidden="1">
      <c r="A179" s="29" t="s">
        <v>186</v>
      </c>
      <c r="B179" s="145" t="s">
        <v>350</v>
      </c>
      <c r="H179" t="str">
        <f t="shared" si="7"/>
        <v>183/1</v>
      </c>
      <c r="I179" s="29"/>
    </row>
    <row r="180" spans="1:9" hidden="1">
      <c r="A180" s="29" t="s">
        <v>623</v>
      </c>
      <c r="B180" s="145" t="s">
        <v>350</v>
      </c>
      <c r="H180" t="str">
        <f t="shared" si="7"/>
        <v>183/2</v>
      </c>
      <c r="I180" s="29"/>
    </row>
    <row r="181" spans="1:9" hidden="1">
      <c r="A181" s="29" t="s">
        <v>147</v>
      </c>
      <c r="B181" s="145" t="s">
        <v>357</v>
      </c>
      <c r="H181" t="str">
        <f t="shared" si="7"/>
        <v>183/3</v>
      </c>
      <c r="I181" s="29"/>
    </row>
    <row r="182" spans="1:9" hidden="1">
      <c r="A182" s="29" t="s">
        <v>624</v>
      </c>
      <c r="B182" s="145" t="s">
        <v>547</v>
      </c>
      <c r="H182" t="str">
        <f t="shared" si="7"/>
        <v>184/0</v>
      </c>
      <c r="I182" s="29"/>
    </row>
    <row r="183" spans="1:9" hidden="1">
      <c r="A183" s="29" t="s">
        <v>625</v>
      </c>
      <c r="B183" s="145" t="s">
        <v>915</v>
      </c>
      <c r="I183" s="59" t="s">
        <v>868</v>
      </c>
    </row>
    <row r="184" spans="1:9" hidden="1">
      <c r="A184" s="29" t="s">
        <v>464</v>
      </c>
      <c r="B184" s="145" t="s">
        <v>916</v>
      </c>
      <c r="H184" t="str">
        <f t="shared" ref="H184:H206" si="8">A184</f>
        <v>186/0</v>
      </c>
      <c r="I184" s="29"/>
    </row>
    <row r="185" spans="1:9" hidden="1">
      <c r="A185" s="29" t="s">
        <v>631</v>
      </c>
      <c r="B185" s="145" t="s">
        <v>330</v>
      </c>
      <c r="H185" t="str">
        <f t="shared" si="8"/>
        <v>187/0</v>
      </c>
      <c r="I185" s="29"/>
    </row>
    <row r="186" spans="1:9">
      <c r="A186" s="29" t="s">
        <v>762</v>
      </c>
      <c r="B186" s="145" t="s">
        <v>917</v>
      </c>
      <c r="H186" t="str">
        <f t="shared" si="8"/>
        <v xml:space="preserve">188/0 </v>
      </c>
      <c r="I186" s="29"/>
    </row>
    <row r="187" spans="1:9">
      <c r="A187" s="29" t="s">
        <v>763</v>
      </c>
      <c r="B187" s="143" t="s">
        <v>917</v>
      </c>
      <c r="H187" t="str">
        <f t="shared" si="8"/>
        <v xml:space="preserve">189/0 </v>
      </c>
      <c r="I187" s="29"/>
    </row>
    <row r="188" spans="1:9" hidden="1">
      <c r="A188" s="29" t="s">
        <v>764</v>
      </c>
      <c r="B188" s="145" t="s">
        <v>561</v>
      </c>
      <c r="H188" t="str">
        <f t="shared" si="8"/>
        <v>189/1</v>
      </c>
      <c r="I188" s="29"/>
    </row>
    <row r="189" spans="1:9" hidden="1">
      <c r="A189" s="29" t="s">
        <v>642</v>
      </c>
      <c r="B189" s="145" t="s">
        <v>906</v>
      </c>
      <c r="H189" t="str">
        <f t="shared" si="8"/>
        <v>190/0</v>
      </c>
      <c r="I189" s="29"/>
    </row>
    <row r="190" spans="1:9" hidden="1">
      <c r="A190" s="29" t="s">
        <v>148</v>
      </c>
      <c r="B190" s="145" t="s">
        <v>906</v>
      </c>
      <c r="H190" t="str">
        <f t="shared" si="8"/>
        <v>191/0</v>
      </c>
      <c r="I190" s="29"/>
    </row>
    <row r="191" spans="1:9" hidden="1">
      <c r="A191" s="29" t="s">
        <v>647</v>
      </c>
      <c r="B191" s="145" t="s">
        <v>666</v>
      </c>
      <c r="H191" t="str">
        <f t="shared" si="8"/>
        <v>191/1</v>
      </c>
      <c r="I191" s="29"/>
    </row>
    <row r="192" spans="1:9" hidden="1">
      <c r="A192" s="29" t="s">
        <v>149</v>
      </c>
      <c r="B192" s="145" t="s">
        <v>918</v>
      </c>
      <c r="H192" t="str">
        <f t="shared" si="8"/>
        <v>192/0</v>
      </c>
      <c r="I192" s="29"/>
    </row>
    <row r="193" spans="1:9" hidden="1">
      <c r="A193" s="29" t="s">
        <v>150</v>
      </c>
      <c r="B193" s="145" t="s">
        <v>910</v>
      </c>
      <c r="H193" t="str">
        <f t="shared" si="8"/>
        <v>193/0</v>
      </c>
      <c r="I193" s="29"/>
    </row>
    <row r="194" spans="1:9" hidden="1">
      <c r="A194" s="29" t="s">
        <v>151</v>
      </c>
      <c r="B194" s="145" t="s">
        <v>910</v>
      </c>
      <c r="H194" t="str">
        <f t="shared" si="8"/>
        <v>194/0</v>
      </c>
      <c r="I194" s="29"/>
    </row>
    <row r="195" spans="1:9" hidden="1">
      <c r="A195" s="29" t="s">
        <v>421</v>
      </c>
      <c r="B195" s="145" t="s">
        <v>393</v>
      </c>
      <c r="H195" t="str">
        <f t="shared" si="8"/>
        <v>194/1</v>
      </c>
      <c r="I195" s="29"/>
    </row>
    <row r="196" spans="1:9">
      <c r="A196" s="29" t="s">
        <v>665</v>
      </c>
      <c r="B196" s="143" t="s">
        <v>916</v>
      </c>
      <c r="H196" t="str">
        <f t="shared" si="8"/>
        <v>195/0</v>
      </c>
      <c r="I196" s="29"/>
    </row>
    <row r="197" spans="1:9" hidden="1">
      <c r="A197" s="29" t="s">
        <v>463</v>
      </c>
      <c r="B197" s="145" t="s">
        <v>919</v>
      </c>
      <c r="H197" t="str">
        <f t="shared" si="8"/>
        <v>196/0</v>
      </c>
      <c r="I197" s="29"/>
    </row>
    <row r="198" spans="1:9" hidden="1">
      <c r="A198" s="29" t="s">
        <v>765</v>
      </c>
      <c r="B198" s="145" t="s">
        <v>561</v>
      </c>
      <c r="H198" t="str">
        <f t="shared" si="8"/>
        <v>196/1</v>
      </c>
      <c r="I198" s="29"/>
    </row>
    <row r="199" spans="1:9" hidden="1">
      <c r="A199" s="29" t="s">
        <v>766</v>
      </c>
      <c r="B199" s="145" t="s">
        <v>357</v>
      </c>
      <c r="H199" t="str">
        <f t="shared" si="8"/>
        <v>196/2</v>
      </c>
      <c r="I199" s="29"/>
    </row>
    <row r="200" spans="1:9" hidden="1">
      <c r="A200" s="29" t="s">
        <v>767</v>
      </c>
      <c r="B200" s="145" t="s">
        <v>335</v>
      </c>
      <c r="H200" t="str">
        <f t="shared" si="8"/>
        <v>197/0</v>
      </c>
      <c r="I200" s="29"/>
    </row>
    <row r="201" spans="1:9" hidden="1">
      <c r="A201" s="29" t="s">
        <v>768</v>
      </c>
      <c r="B201" s="145" t="s">
        <v>396</v>
      </c>
      <c r="H201" t="str">
        <f t="shared" si="8"/>
        <v>197/1</v>
      </c>
      <c r="I201" s="29"/>
    </row>
    <row r="202" spans="1:9" hidden="1">
      <c r="A202" s="29" t="s">
        <v>690</v>
      </c>
      <c r="B202" s="145" t="s">
        <v>396</v>
      </c>
      <c r="H202" t="str">
        <f t="shared" si="8"/>
        <v>197/2</v>
      </c>
      <c r="I202" s="29"/>
    </row>
    <row r="203" spans="1:9" hidden="1">
      <c r="A203" s="29" t="s">
        <v>152</v>
      </c>
      <c r="B203" s="145" t="s">
        <v>305</v>
      </c>
      <c r="H203" t="str">
        <f t="shared" si="8"/>
        <v>198/0</v>
      </c>
      <c r="I203" s="29"/>
    </row>
    <row r="204" spans="1:9" hidden="1">
      <c r="A204" s="29" t="s">
        <v>166</v>
      </c>
      <c r="B204" s="145" t="s">
        <v>305</v>
      </c>
      <c r="H204" t="str">
        <f t="shared" si="8"/>
        <v>199/0</v>
      </c>
      <c r="I204" s="29"/>
    </row>
    <row r="205" spans="1:9" hidden="1">
      <c r="A205" s="29" t="s">
        <v>769</v>
      </c>
      <c r="B205" s="145" t="s">
        <v>357</v>
      </c>
      <c r="H205" t="str">
        <f t="shared" si="8"/>
        <v>199/1</v>
      </c>
      <c r="I205" s="29"/>
    </row>
    <row r="206" spans="1:9" hidden="1">
      <c r="A206" s="29" t="s">
        <v>153</v>
      </c>
      <c r="B206" s="145" t="s">
        <v>399</v>
      </c>
      <c r="H206" t="str">
        <f t="shared" si="8"/>
        <v>199/2</v>
      </c>
      <c r="I206" s="29"/>
    </row>
    <row r="207" spans="1:9">
      <c r="A207" s="29" t="s">
        <v>770</v>
      </c>
      <c r="B207" s="143" t="s">
        <v>373</v>
      </c>
      <c r="I207" s="59" t="s">
        <v>442</v>
      </c>
    </row>
    <row r="208" spans="1:9">
      <c r="A208" s="29" t="s">
        <v>771</v>
      </c>
      <c r="B208" s="143" t="s">
        <v>399</v>
      </c>
      <c r="I208" s="59" t="s">
        <v>448</v>
      </c>
    </row>
    <row r="209" spans="1:9">
      <c r="A209" s="29" t="s">
        <v>772</v>
      </c>
      <c r="B209" s="143" t="s">
        <v>324</v>
      </c>
      <c r="I209" s="59" t="s">
        <v>378</v>
      </c>
    </row>
    <row r="210" spans="1:9">
      <c r="A210" s="29" t="s">
        <v>773</v>
      </c>
      <c r="B210" s="143" t="s">
        <v>916</v>
      </c>
      <c r="I210" s="29" t="s">
        <v>731</v>
      </c>
    </row>
    <row r="211" spans="1:9">
      <c r="A211" s="29" t="s">
        <v>774</v>
      </c>
      <c r="B211" s="143" t="s">
        <v>916</v>
      </c>
      <c r="H211" t="str">
        <f>A211</f>
        <v>203/0</v>
      </c>
      <c r="I211" s="29"/>
    </row>
    <row r="212" spans="1:9">
      <c r="A212" s="29" t="s">
        <v>775</v>
      </c>
      <c r="B212" s="143" t="s">
        <v>335</v>
      </c>
      <c r="I212" s="59" t="s">
        <v>370</v>
      </c>
    </row>
    <row r="213" spans="1:9">
      <c r="A213" s="29" t="s">
        <v>776</v>
      </c>
      <c r="B213" s="143" t="s">
        <v>898</v>
      </c>
      <c r="I213" s="59" t="s">
        <v>732</v>
      </c>
    </row>
    <row r="214" spans="1:9">
      <c r="A214" s="29" t="s">
        <v>777</v>
      </c>
      <c r="B214" s="143" t="s">
        <v>920</v>
      </c>
      <c r="I214" s="59" t="s">
        <v>368</v>
      </c>
    </row>
    <row r="215" spans="1:9">
      <c r="A215" s="29" t="s">
        <v>778</v>
      </c>
      <c r="B215" s="143" t="s">
        <v>389</v>
      </c>
      <c r="H215" t="str">
        <f>A215</f>
        <v>205/1</v>
      </c>
      <c r="I215" s="29"/>
    </row>
    <row r="216" spans="1:9">
      <c r="A216" s="29" t="s">
        <v>779</v>
      </c>
      <c r="B216" s="143" t="s">
        <v>561</v>
      </c>
      <c r="H216" t="str">
        <f>A216</f>
        <v>205/2</v>
      </c>
      <c r="I216" s="29"/>
    </row>
    <row r="217" spans="1:9">
      <c r="A217" s="29" t="s">
        <v>780</v>
      </c>
      <c r="B217" s="143" t="s">
        <v>373</v>
      </c>
      <c r="I217" s="59" t="s">
        <v>369</v>
      </c>
    </row>
    <row r="218" spans="1:9">
      <c r="A218" s="29" t="s">
        <v>781</v>
      </c>
      <c r="B218" s="143" t="s">
        <v>391</v>
      </c>
      <c r="H218" t="str">
        <f>A218</f>
        <v>206/1</v>
      </c>
      <c r="I218" s="29"/>
    </row>
    <row r="219" spans="1:9" hidden="1">
      <c r="A219" s="29" t="s">
        <v>782</v>
      </c>
      <c r="B219" s="143" t="s">
        <v>904</v>
      </c>
      <c r="H219" t="str">
        <f>A219</f>
        <v>207/0</v>
      </c>
      <c r="I219" s="29"/>
    </row>
    <row r="220" spans="1:9">
      <c r="A220" s="29" t="s">
        <v>783</v>
      </c>
      <c r="B220" s="143" t="s">
        <v>921</v>
      </c>
      <c r="H220" t="str">
        <f>A220</f>
        <v>208/0</v>
      </c>
      <c r="I220" s="29"/>
    </row>
    <row r="221" spans="1:9" hidden="1">
      <c r="A221" s="29" t="s">
        <v>784</v>
      </c>
      <c r="B221" s="143" t="s">
        <v>906</v>
      </c>
      <c r="H221" t="str">
        <f>A221</f>
        <v>209/0</v>
      </c>
      <c r="I221" s="29"/>
    </row>
    <row r="222" spans="1:9" hidden="1">
      <c r="A222" s="29" t="s">
        <v>785</v>
      </c>
      <c r="B222" s="143" t="s">
        <v>350</v>
      </c>
      <c r="I222" s="59" t="s">
        <v>140</v>
      </c>
    </row>
    <row r="223" spans="1:9" hidden="1">
      <c r="A223" s="29" t="s">
        <v>786</v>
      </c>
      <c r="B223" s="145" t="s">
        <v>396</v>
      </c>
      <c r="H223" t="str">
        <f>A223</f>
        <v>209/2</v>
      </c>
      <c r="I223" s="29"/>
    </row>
    <row r="224" spans="1:9" hidden="1">
      <c r="A224" s="29" t="s">
        <v>154</v>
      </c>
      <c r="B224" s="145" t="s">
        <v>922</v>
      </c>
      <c r="I224" s="59" t="s">
        <v>192</v>
      </c>
    </row>
    <row r="225" spans="1:9" hidden="1">
      <c r="A225" s="29" t="s">
        <v>164</v>
      </c>
      <c r="B225" s="145" t="s">
        <v>389</v>
      </c>
      <c r="H225" t="str">
        <f t="shared" ref="H225:H242" si="9">A225</f>
        <v>211/0</v>
      </c>
      <c r="I225" s="29"/>
    </row>
    <row r="226" spans="1:9" hidden="1">
      <c r="A226" s="29" t="s">
        <v>787</v>
      </c>
      <c r="B226" s="145" t="s">
        <v>396</v>
      </c>
      <c r="H226" t="str">
        <f t="shared" si="9"/>
        <v>211/1</v>
      </c>
      <c r="I226" s="29"/>
    </row>
    <row r="227" spans="1:9" hidden="1">
      <c r="A227" s="29" t="s">
        <v>788</v>
      </c>
      <c r="B227" s="145" t="s">
        <v>350</v>
      </c>
      <c r="H227" t="str">
        <f t="shared" si="9"/>
        <v>211/2</v>
      </c>
      <c r="I227" s="29"/>
    </row>
    <row r="228" spans="1:9" hidden="1">
      <c r="A228" s="29" t="s">
        <v>789</v>
      </c>
      <c r="B228" s="145" t="s">
        <v>561</v>
      </c>
      <c r="H228" t="str">
        <f t="shared" si="9"/>
        <v>211/3</v>
      </c>
      <c r="I228" s="29"/>
    </row>
    <row r="229" spans="1:9" hidden="1">
      <c r="A229" s="29" t="s">
        <v>790</v>
      </c>
      <c r="B229" s="145" t="s">
        <v>396</v>
      </c>
      <c r="H229" t="str">
        <f t="shared" si="9"/>
        <v>211/4</v>
      </c>
      <c r="I229" s="29"/>
    </row>
    <row r="230" spans="1:9" hidden="1">
      <c r="A230" s="29" t="s">
        <v>791</v>
      </c>
      <c r="B230" s="145" t="s">
        <v>393</v>
      </c>
      <c r="H230" t="str">
        <f t="shared" si="9"/>
        <v>211/5</v>
      </c>
      <c r="I230" s="29"/>
    </row>
    <row r="231" spans="1:9">
      <c r="A231" s="29" t="s">
        <v>792</v>
      </c>
      <c r="B231" s="143" t="s">
        <v>923</v>
      </c>
      <c r="H231" t="str">
        <f t="shared" si="9"/>
        <v>212/0</v>
      </c>
      <c r="I231" s="29"/>
    </row>
    <row r="232" spans="1:9" hidden="1">
      <c r="A232" s="29" t="s">
        <v>793</v>
      </c>
      <c r="B232" s="145" t="s">
        <v>917</v>
      </c>
      <c r="H232" t="str">
        <f t="shared" si="9"/>
        <v>213/0</v>
      </c>
      <c r="I232" s="29"/>
    </row>
    <row r="233" spans="1:9" hidden="1">
      <c r="A233" s="29" t="s">
        <v>794</v>
      </c>
      <c r="B233" s="145" t="s">
        <v>904</v>
      </c>
      <c r="H233" t="str">
        <f t="shared" si="9"/>
        <v>214/0</v>
      </c>
      <c r="I233" s="29"/>
    </row>
    <row r="234" spans="1:9" hidden="1">
      <c r="A234" s="29" t="s">
        <v>795</v>
      </c>
      <c r="B234" s="145" t="s">
        <v>399</v>
      </c>
      <c r="H234" t="str">
        <f t="shared" si="9"/>
        <v>214/1</v>
      </c>
      <c r="I234" s="29"/>
    </row>
    <row r="235" spans="1:9" hidden="1">
      <c r="A235" s="29" t="s">
        <v>796</v>
      </c>
      <c r="B235" s="145" t="s">
        <v>396</v>
      </c>
      <c r="H235" t="str">
        <f t="shared" si="9"/>
        <v>214/2</v>
      </c>
      <c r="I235" s="29"/>
    </row>
    <row r="236" spans="1:9" hidden="1">
      <c r="A236" s="29" t="s">
        <v>187</v>
      </c>
      <c r="B236" s="145" t="s">
        <v>396</v>
      </c>
      <c r="H236" t="str">
        <f t="shared" si="9"/>
        <v>214/3</v>
      </c>
      <c r="I236" s="29"/>
    </row>
    <row r="237" spans="1:9" hidden="1">
      <c r="A237" s="29" t="s">
        <v>797</v>
      </c>
      <c r="B237" s="145" t="s">
        <v>396</v>
      </c>
      <c r="H237" t="str">
        <f t="shared" si="9"/>
        <v>214/4</v>
      </c>
      <c r="I237" s="29"/>
    </row>
    <row r="238" spans="1:9" hidden="1">
      <c r="A238" s="29" t="s">
        <v>798</v>
      </c>
      <c r="B238" s="145" t="s">
        <v>350</v>
      </c>
      <c r="H238" t="str">
        <f t="shared" si="9"/>
        <v>214/5</v>
      </c>
      <c r="I238" s="29"/>
    </row>
    <row r="239" spans="1:9" hidden="1">
      <c r="A239" s="29" t="s">
        <v>188</v>
      </c>
      <c r="B239" s="145" t="s">
        <v>357</v>
      </c>
      <c r="H239" t="str">
        <f t="shared" si="9"/>
        <v>214/6</v>
      </c>
      <c r="I239" s="29"/>
    </row>
    <row r="240" spans="1:9" hidden="1">
      <c r="A240" s="29" t="s">
        <v>799</v>
      </c>
      <c r="B240" s="145" t="s">
        <v>357</v>
      </c>
      <c r="H240" t="str">
        <f t="shared" si="9"/>
        <v>214/7</v>
      </c>
      <c r="I240" s="29"/>
    </row>
    <row r="241" spans="1:9" hidden="1">
      <c r="A241" s="29" t="s">
        <v>800</v>
      </c>
      <c r="B241" s="145" t="s">
        <v>560</v>
      </c>
      <c r="H241" t="str">
        <f t="shared" si="9"/>
        <v>215/0</v>
      </c>
      <c r="I241" s="29"/>
    </row>
    <row r="242" spans="1:9" hidden="1">
      <c r="A242" s="29" t="s">
        <v>155</v>
      </c>
      <c r="B242" s="145" t="s">
        <v>560</v>
      </c>
      <c r="H242" t="str">
        <f t="shared" si="9"/>
        <v>216/0</v>
      </c>
      <c r="I242" s="29"/>
    </row>
    <row r="243" spans="1:9" hidden="1">
      <c r="A243" s="29" t="s">
        <v>801</v>
      </c>
      <c r="B243" s="145" t="s">
        <v>924</v>
      </c>
      <c r="I243" s="29"/>
    </row>
    <row r="244" spans="1:9" hidden="1">
      <c r="A244" s="29" t="s">
        <v>156</v>
      </c>
      <c r="B244" s="145" t="s">
        <v>925</v>
      </c>
      <c r="I244" s="29"/>
    </row>
    <row r="245" spans="1:9" hidden="1">
      <c r="A245" s="29" t="s">
        <v>157</v>
      </c>
      <c r="B245" s="145" t="s">
        <v>561</v>
      </c>
      <c r="I245" s="29"/>
    </row>
    <row r="246" spans="1:9" hidden="1">
      <c r="A246" s="29" t="s">
        <v>802</v>
      </c>
      <c r="B246" s="145" t="s">
        <v>918</v>
      </c>
      <c r="I246" s="29"/>
    </row>
    <row r="247" spans="1:9" hidden="1">
      <c r="A247" s="29" t="s">
        <v>803</v>
      </c>
      <c r="B247" s="145" t="s">
        <v>357</v>
      </c>
      <c r="I247" s="29"/>
    </row>
    <row r="248" spans="1:9" hidden="1">
      <c r="A248" s="29" t="s">
        <v>804</v>
      </c>
      <c r="B248" s="145" t="s">
        <v>350</v>
      </c>
      <c r="I248" s="29"/>
    </row>
    <row r="249" spans="1:9" hidden="1">
      <c r="A249" s="29" t="s">
        <v>805</v>
      </c>
      <c r="B249" s="145" t="s">
        <v>561</v>
      </c>
      <c r="H249" t="str">
        <f>A249</f>
        <v>217/3</v>
      </c>
      <c r="I249" s="29"/>
    </row>
    <row r="250" spans="1:9" hidden="1">
      <c r="A250" s="29" t="s">
        <v>189</v>
      </c>
      <c r="B250" s="145" t="s">
        <v>561</v>
      </c>
      <c r="H250" t="str">
        <f>A250</f>
        <v>217/4</v>
      </c>
      <c r="I250" s="131"/>
    </row>
    <row r="251" spans="1:9" hidden="1">
      <c r="A251" s="29" t="s">
        <v>806</v>
      </c>
      <c r="B251" s="145" t="s">
        <v>350</v>
      </c>
      <c r="H251" t="str">
        <f>A251</f>
        <v>217/5</v>
      </c>
      <c r="I251" s="131"/>
    </row>
    <row r="252" spans="1:9" hidden="1">
      <c r="A252" s="29" t="s">
        <v>807</v>
      </c>
      <c r="B252" s="145" t="s">
        <v>560</v>
      </c>
      <c r="I252" s="131" t="s">
        <v>520</v>
      </c>
    </row>
    <row r="253" spans="1:9" hidden="1">
      <c r="A253" s="29" t="s">
        <v>808</v>
      </c>
      <c r="B253" s="143" t="s">
        <v>576</v>
      </c>
      <c r="H253" t="str">
        <f>A253</f>
        <v>219/0</v>
      </c>
      <c r="I253" s="131"/>
    </row>
    <row r="254" spans="1:9" hidden="1">
      <c r="A254" s="29" t="s">
        <v>809</v>
      </c>
      <c r="B254" s="145" t="s">
        <v>561</v>
      </c>
      <c r="H254" t="str">
        <f>A254</f>
        <v>219/1</v>
      </c>
      <c r="I254" s="131"/>
    </row>
    <row r="255" spans="1:9" hidden="1">
      <c r="A255" s="29" t="s">
        <v>810</v>
      </c>
      <c r="B255" s="145" t="s">
        <v>302</v>
      </c>
      <c r="I255" s="131" t="s">
        <v>677</v>
      </c>
    </row>
    <row r="256" spans="1:9" hidden="1">
      <c r="A256" s="29" t="s">
        <v>811</v>
      </c>
      <c r="B256" s="145" t="s">
        <v>399</v>
      </c>
      <c r="I256" s="131" t="s">
        <v>704</v>
      </c>
    </row>
    <row r="257" spans="1:9" hidden="1">
      <c r="A257" s="29" t="s">
        <v>812</v>
      </c>
      <c r="B257" s="145" t="s">
        <v>905</v>
      </c>
      <c r="I257" s="131" t="s">
        <v>705</v>
      </c>
    </row>
    <row r="258" spans="1:9" hidden="1">
      <c r="A258" s="29" t="s">
        <v>813</v>
      </c>
      <c r="B258" s="145" t="s">
        <v>904</v>
      </c>
      <c r="I258" s="131" t="s">
        <v>676</v>
      </c>
    </row>
    <row r="259" spans="1:9" hidden="1">
      <c r="A259" s="29" t="s">
        <v>814</v>
      </c>
      <c r="B259" s="145" t="s">
        <v>926</v>
      </c>
      <c r="H259" t="str">
        <f>A259</f>
        <v>223/0</v>
      </c>
      <c r="I259" s="131"/>
    </row>
    <row r="260" spans="1:9" hidden="1">
      <c r="A260" s="29" t="s">
        <v>815</v>
      </c>
      <c r="B260" s="145" t="s">
        <v>350</v>
      </c>
      <c r="I260" s="131" t="s">
        <v>707</v>
      </c>
    </row>
    <row r="261" spans="1:9" hidden="1">
      <c r="A261" s="29" t="s">
        <v>816</v>
      </c>
      <c r="B261" s="145" t="s">
        <v>350</v>
      </c>
      <c r="I261" s="131" t="s">
        <v>715</v>
      </c>
    </row>
    <row r="262" spans="1:9" hidden="1">
      <c r="A262" s="29" t="s">
        <v>817</v>
      </c>
      <c r="B262" s="145" t="s">
        <v>396</v>
      </c>
      <c r="I262" s="131" t="s">
        <v>521</v>
      </c>
    </row>
    <row r="263" spans="1:9" hidden="1">
      <c r="A263" s="29" t="s">
        <v>818</v>
      </c>
      <c r="B263" s="145" t="s">
        <v>330</v>
      </c>
      <c r="I263" s="131" t="s">
        <v>709</v>
      </c>
    </row>
    <row r="264" spans="1:9" hidden="1">
      <c r="A264" s="29" t="s">
        <v>819</v>
      </c>
      <c r="B264" s="145" t="s">
        <v>357</v>
      </c>
      <c r="I264" s="131" t="s">
        <v>712</v>
      </c>
    </row>
    <row r="265" spans="1:9" hidden="1">
      <c r="A265" s="29" t="s">
        <v>820</v>
      </c>
      <c r="B265" s="145" t="s">
        <v>391</v>
      </c>
      <c r="I265" s="131" t="s">
        <v>543</v>
      </c>
    </row>
    <row r="266" spans="1:9" hidden="1">
      <c r="A266" s="29" t="s">
        <v>821</v>
      </c>
      <c r="B266" s="145" t="s">
        <v>300</v>
      </c>
      <c r="I266" s="131" t="s">
        <v>727</v>
      </c>
    </row>
    <row r="267" spans="1:9" hidden="1">
      <c r="A267" s="29" t="s">
        <v>822</v>
      </c>
      <c r="B267" s="145" t="s">
        <v>561</v>
      </c>
      <c r="H267" t="str">
        <f>A267</f>
        <v>225/1</v>
      </c>
      <c r="I267" s="131"/>
    </row>
    <row r="268" spans="1:9" hidden="1">
      <c r="A268" s="29" t="s">
        <v>823</v>
      </c>
      <c r="B268" s="145" t="s">
        <v>396</v>
      </c>
      <c r="H268" t="str">
        <f>A268</f>
        <v>225/2</v>
      </c>
      <c r="I268" s="131"/>
    </row>
    <row r="269" spans="1:9" hidden="1">
      <c r="A269" s="29" t="s">
        <v>190</v>
      </c>
      <c r="B269" s="145" t="s">
        <v>396</v>
      </c>
      <c r="I269" s="131" t="s">
        <v>176</v>
      </c>
    </row>
    <row r="270" spans="1:9" hidden="1">
      <c r="A270" s="29" t="s">
        <v>824</v>
      </c>
      <c r="B270" s="145" t="s">
        <v>357</v>
      </c>
      <c r="H270" t="str">
        <f>A270</f>
        <v>225/4</v>
      </c>
      <c r="I270" s="154"/>
    </row>
    <row r="271" spans="1:9">
      <c r="A271" s="29" t="s">
        <v>825</v>
      </c>
      <c r="B271" s="143" t="s">
        <v>350</v>
      </c>
      <c r="H271" t="str">
        <f>A271</f>
        <v>225/5</v>
      </c>
    </row>
    <row r="272" spans="1:9">
      <c r="A272" s="29" t="s">
        <v>826</v>
      </c>
      <c r="B272" s="143" t="s">
        <v>350</v>
      </c>
      <c r="I272" s="17" t="s">
        <v>177</v>
      </c>
    </row>
    <row r="273" spans="1:9">
      <c r="A273" s="29" t="s">
        <v>827</v>
      </c>
      <c r="B273" s="143" t="s">
        <v>399</v>
      </c>
      <c r="H273" t="str">
        <f t="shared" ref="H273:H280" si="10">A273</f>
        <v>225/7</v>
      </c>
    </row>
    <row r="274" spans="1:9">
      <c r="A274" s="29" t="s">
        <v>828</v>
      </c>
      <c r="B274" s="143" t="s">
        <v>902</v>
      </c>
      <c r="H274" t="str">
        <f t="shared" si="10"/>
        <v>226/0</v>
      </c>
    </row>
    <row r="275" spans="1:9" hidden="1">
      <c r="A275" s="29" t="s">
        <v>829</v>
      </c>
      <c r="B275" s="143" t="s">
        <v>399</v>
      </c>
      <c r="H275" t="str">
        <f t="shared" si="10"/>
        <v>226/1</v>
      </c>
    </row>
    <row r="276" spans="1:9" hidden="1">
      <c r="A276" s="29" t="s">
        <v>830</v>
      </c>
      <c r="B276" s="143" t="s">
        <v>350</v>
      </c>
      <c r="H276" t="str">
        <f t="shared" si="10"/>
        <v>226/2</v>
      </c>
    </row>
    <row r="277" spans="1:9" hidden="1">
      <c r="A277" s="29" t="s">
        <v>831</v>
      </c>
      <c r="B277" s="145" t="s">
        <v>350</v>
      </c>
      <c r="H277" t="str">
        <f t="shared" si="10"/>
        <v>226/3</v>
      </c>
      <c r="I277" s="154"/>
    </row>
    <row r="278" spans="1:9" hidden="1">
      <c r="A278" s="29" t="s">
        <v>832</v>
      </c>
      <c r="B278" s="145" t="s">
        <v>302</v>
      </c>
      <c r="H278" t="str">
        <f t="shared" si="10"/>
        <v>227/0</v>
      </c>
      <c r="I278" s="131"/>
    </row>
    <row r="279" spans="1:9" hidden="1">
      <c r="A279" s="29" t="s">
        <v>833</v>
      </c>
      <c r="B279" s="145" t="s">
        <v>399</v>
      </c>
      <c r="H279" t="str">
        <f t="shared" si="10"/>
        <v>227/1</v>
      </c>
      <c r="I279" s="131"/>
    </row>
    <row r="280" spans="1:9" hidden="1">
      <c r="A280" s="29" t="s">
        <v>834</v>
      </c>
      <c r="B280" s="143" t="s">
        <v>357</v>
      </c>
      <c r="H280" t="str">
        <f t="shared" si="10"/>
        <v>227/2</v>
      </c>
      <c r="I280" s="29"/>
    </row>
    <row r="281" spans="1:9" hidden="1">
      <c r="A281" s="29" t="s">
        <v>835</v>
      </c>
      <c r="B281" s="145" t="s">
        <v>302</v>
      </c>
      <c r="I281" s="131" t="s">
        <v>371</v>
      </c>
    </row>
    <row r="282" spans="1:9" hidden="1">
      <c r="A282" s="29" t="s">
        <v>836</v>
      </c>
      <c r="B282" s="145" t="s">
        <v>350</v>
      </c>
      <c r="H282" t="str">
        <f t="shared" ref="H282:H295" si="11">A282</f>
        <v>228/1</v>
      </c>
      <c r="I282" s="131"/>
    </row>
    <row r="283" spans="1:9">
      <c r="A283" s="29" t="s">
        <v>837</v>
      </c>
      <c r="B283" s="143" t="s">
        <v>302</v>
      </c>
      <c r="H283" t="str">
        <f t="shared" si="11"/>
        <v>229/0</v>
      </c>
      <c r="I283" s="29"/>
    </row>
    <row r="284" spans="1:9">
      <c r="A284" s="29" t="s">
        <v>838</v>
      </c>
      <c r="B284" s="143" t="s">
        <v>561</v>
      </c>
      <c r="H284" t="str">
        <f t="shared" si="11"/>
        <v>229/1</v>
      </c>
      <c r="I284" s="29"/>
    </row>
    <row r="285" spans="1:9">
      <c r="A285" s="29" t="s">
        <v>839</v>
      </c>
      <c r="B285" s="143" t="s">
        <v>897</v>
      </c>
      <c r="H285" t="str">
        <f t="shared" si="11"/>
        <v>229A/0</v>
      </c>
      <c r="I285" s="29"/>
    </row>
    <row r="286" spans="1:9">
      <c r="A286" s="29" t="s">
        <v>840</v>
      </c>
      <c r="B286" s="143" t="s">
        <v>927</v>
      </c>
      <c r="H286" t="str">
        <f t="shared" si="11"/>
        <v>229B/0</v>
      </c>
      <c r="I286" s="29"/>
    </row>
    <row r="287" spans="1:9" hidden="1">
      <c r="A287" s="29" t="s">
        <v>841</v>
      </c>
      <c r="B287" s="145" t="s">
        <v>926</v>
      </c>
      <c r="H287" t="str">
        <f t="shared" si="11"/>
        <v>230/0</v>
      </c>
      <c r="I287" s="131"/>
    </row>
    <row r="288" spans="1:9">
      <c r="A288" s="29" t="s">
        <v>842</v>
      </c>
      <c r="B288" s="143" t="s">
        <v>561</v>
      </c>
      <c r="H288" t="str">
        <f t="shared" si="11"/>
        <v>230/1</v>
      </c>
      <c r="I288" s="29"/>
    </row>
    <row r="289" spans="1:9">
      <c r="A289" s="29" t="s">
        <v>843</v>
      </c>
      <c r="B289" s="143" t="s">
        <v>302</v>
      </c>
      <c r="H289" t="str">
        <f t="shared" si="11"/>
        <v>230A/0</v>
      </c>
      <c r="I289" s="29"/>
    </row>
    <row r="290" spans="1:9" hidden="1">
      <c r="A290" s="29" t="s">
        <v>844</v>
      </c>
      <c r="B290" s="143" t="s">
        <v>335</v>
      </c>
      <c r="H290" t="str">
        <f t="shared" si="11"/>
        <v>231/0</v>
      </c>
      <c r="I290" s="29"/>
    </row>
    <row r="291" spans="1:9" hidden="1">
      <c r="A291" s="29" t="s">
        <v>845</v>
      </c>
      <c r="B291" s="143" t="s">
        <v>335</v>
      </c>
      <c r="H291" t="str">
        <f t="shared" si="11"/>
        <v>232/0</v>
      </c>
      <c r="I291" s="29"/>
    </row>
    <row r="292" spans="1:9">
      <c r="A292" s="29" t="s">
        <v>846</v>
      </c>
      <c r="B292" s="143" t="s">
        <v>350</v>
      </c>
      <c r="H292" t="str">
        <f t="shared" si="11"/>
        <v>232/1</v>
      </c>
      <c r="I292" s="29"/>
    </row>
    <row r="293" spans="1:9">
      <c r="A293" s="29" t="s">
        <v>847</v>
      </c>
      <c r="B293" s="143" t="s">
        <v>350</v>
      </c>
      <c r="H293" t="str">
        <f t="shared" si="11"/>
        <v>232/2</v>
      </c>
      <c r="I293" s="29"/>
    </row>
    <row r="294" spans="1:9">
      <c r="A294" s="29" t="s">
        <v>848</v>
      </c>
      <c r="B294" s="143" t="s">
        <v>350</v>
      </c>
      <c r="H294" t="str">
        <f t="shared" si="11"/>
        <v>232/3</v>
      </c>
      <c r="I294" s="29"/>
    </row>
    <row r="295" spans="1:9" hidden="1">
      <c r="A295" s="29" t="s">
        <v>849</v>
      </c>
      <c r="B295" s="145" t="s">
        <v>357</v>
      </c>
      <c r="H295" t="str">
        <f t="shared" si="11"/>
        <v>232/4</v>
      </c>
      <c r="I295" s="131"/>
    </row>
    <row r="296" spans="1:9" hidden="1">
      <c r="A296" s="29" t="s">
        <v>850</v>
      </c>
      <c r="B296" s="145" t="s">
        <v>330</v>
      </c>
      <c r="I296" s="131" t="s">
        <v>683</v>
      </c>
    </row>
    <row r="297" spans="1:9">
      <c r="A297" s="29" t="s">
        <v>851</v>
      </c>
      <c r="B297" s="143" t="s">
        <v>905</v>
      </c>
      <c r="H297" t="str">
        <f>A297</f>
        <v>234/0</v>
      </c>
      <c r="I297" s="29"/>
    </row>
    <row r="298" spans="1:9" hidden="1">
      <c r="A298" s="29" t="s">
        <v>852</v>
      </c>
      <c r="B298" s="145" t="s">
        <v>909</v>
      </c>
      <c r="I298" s="131" t="s">
        <v>368</v>
      </c>
    </row>
    <row r="299" spans="1:9" hidden="1">
      <c r="A299" s="29" t="s">
        <v>853</v>
      </c>
      <c r="B299" s="145" t="s">
        <v>561</v>
      </c>
      <c r="H299" t="str">
        <f>A299</f>
        <v>235/1</v>
      </c>
      <c r="I299" s="131"/>
    </row>
    <row r="300" spans="1:9" hidden="1">
      <c r="A300" s="29" t="s">
        <v>854</v>
      </c>
      <c r="B300" s="145" t="s">
        <v>350</v>
      </c>
      <c r="I300" s="131" t="s">
        <v>179</v>
      </c>
    </row>
    <row r="301" spans="1:9" hidden="1">
      <c r="A301" s="29" t="s">
        <v>855</v>
      </c>
      <c r="B301" s="145" t="s">
        <v>350</v>
      </c>
      <c r="H301" t="str">
        <f t="shared" ref="H301:H323" si="12">A301</f>
        <v>235/3</v>
      </c>
      <c r="I301" s="131"/>
    </row>
    <row r="302" spans="1:9">
      <c r="A302" s="29" t="s">
        <v>856</v>
      </c>
      <c r="B302" s="143" t="s">
        <v>357</v>
      </c>
      <c r="H302" t="str">
        <f t="shared" si="12"/>
        <v>235/4</v>
      </c>
      <c r="I302" s="29"/>
    </row>
    <row r="303" spans="1:9" hidden="1">
      <c r="A303" s="29" t="s">
        <v>857</v>
      </c>
      <c r="B303" s="145" t="s">
        <v>919</v>
      </c>
      <c r="H303" t="str">
        <f t="shared" si="12"/>
        <v>236/0</v>
      </c>
      <c r="I303" s="131"/>
    </row>
    <row r="304" spans="1:9" hidden="1">
      <c r="A304" s="29" t="s">
        <v>858</v>
      </c>
      <c r="B304" s="145" t="s">
        <v>928</v>
      </c>
      <c r="H304" t="str">
        <f t="shared" si="12"/>
        <v>237/0</v>
      </c>
      <c r="I304" s="131"/>
    </row>
    <row r="305" spans="1:9" hidden="1">
      <c r="A305" s="29" t="s">
        <v>859</v>
      </c>
      <c r="B305" s="145" t="s">
        <v>929</v>
      </c>
      <c r="H305" t="str">
        <f t="shared" si="12"/>
        <v>238/0</v>
      </c>
      <c r="I305" s="131"/>
    </row>
    <row r="306" spans="1:9" hidden="1">
      <c r="A306" s="29" t="s">
        <v>860</v>
      </c>
      <c r="B306" s="143" t="s">
        <v>302</v>
      </c>
      <c r="H306" t="str">
        <f t="shared" si="12"/>
        <v>239/0</v>
      </c>
      <c r="I306" s="29"/>
    </row>
    <row r="307" spans="1:9" hidden="1">
      <c r="A307" s="29" t="s">
        <v>861</v>
      </c>
      <c r="B307" s="143" t="s">
        <v>350</v>
      </c>
      <c r="H307" t="str">
        <f t="shared" si="12"/>
        <v>239/1</v>
      </c>
      <c r="I307" s="29"/>
    </row>
    <row r="308" spans="1:9" hidden="1">
      <c r="A308" s="29" t="s">
        <v>862</v>
      </c>
      <c r="B308" s="145" t="s">
        <v>300</v>
      </c>
      <c r="H308" t="str">
        <f t="shared" si="12"/>
        <v>240/0</v>
      </c>
      <c r="I308" s="131"/>
    </row>
    <row r="309" spans="1:9" hidden="1">
      <c r="A309" s="29" t="s">
        <v>863</v>
      </c>
      <c r="B309" s="143" t="s">
        <v>357</v>
      </c>
      <c r="H309" t="str">
        <f t="shared" si="12"/>
        <v>240/1</v>
      </c>
      <c r="I309" s="131"/>
    </row>
    <row r="310" spans="1:9" hidden="1">
      <c r="A310" s="29" t="s">
        <v>864</v>
      </c>
      <c r="B310" s="145" t="s">
        <v>298</v>
      </c>
      <c r="H310" t="str">
        <f t="shared" si="12"/>
        <v>241/0</v>
      </c>
      <c r="I310" s="131"/>
    </row>
    <row r="311" spans="1:9" hidden="1">
      <c r="A311" s="29" t="s">
        <v>170</v>
      </c>
      <c r="B311" s="145" t="s">
        <v>350</v>
      </c>
      <c r="H311" t="str">
        <f t="shared" si="12"/>
        <v>241/1</v>
      </c>
      <c r="I311" s="131"/>
    </row>
    <row r="312" spans="1:9" hidden="1">
      <c r="A312" s="29" t="s">
        <v>691</v>
      </c>
      <c r="B312" s="145" t="s">
        <v>350</v>
      </c>
      <c r="H312" t="str">
        <f t="shared" si="12"/>
        <v>241/2</v>
      </c>
      <c r="I312" s="131"/>
    </row>
    <row r="313" spans="1:9" hidden="1">
      <c r="A313" s="29" t="s">
        <v>865</v>
      </c>
      <c r="B313" s="145" t="s">
        <v>350</v>
      </c>
      <c r="H313" t="str">
        <f t="shared" si="12"/>
        <v>241/3</v>
      </c>
      <c r="I313" s="131"/>
    </row>
    <row r="314" spans="1:9" hidden="1">
      <c r="A314" s="29" t="s">
        <v>866</v>
      </c>
      <c r="B314" s="145" t="s">
        <v>357</v>
      </c>
      <c r="H314" t="str">
        <f t="shared" si="12"/>
        <v>241/4</v>
      </c>
      <c r="I314" s="131"/>
    </row>
    <row r="315" spans="1:9" hidden="1">
      <c r="A315" s="29" t="s">
        <v>867</v>
      </c>
      <c r="B315" s="145" t="s">
        <v>560</v>
      </c>
      <c r="H315" t="str">
        <f t="shared" si="12"/>
        <v>242/0</v>
      </c>
      <c r="I315" s="131"/>
    </row>
    <row r="316" spans="1:9" hidden="1">
      <c r="A316" s="29" t="s">
        <v>868</v>
      </c>
      <c r="B316" s="145" t="s">
        <v>560</v>
      </c>
      <c r="H316" t="str">
        <f t="shared" si="12"/>
        <v>243/0</v>
      </c>
      <c r="I316" s="131"/>
    </row>
    <row r="317" spans="1:9" hidden="1">
      <c r="A317" s="29" t="s">
        <v>692</v>
      </c>
      <c r="B317" s="145" t="s">
        <v>350</v>
      </c>
      <c r="H317" t="str">
        <f t="shared" si="12"/>
        <v>243/1</v>
      </c>
      <c r="I317" s="131"/>
    </row>
    <row r="318" spans="1:9" hidden="1">
      <c r="A318" s="29" t="s">
        <v>869</v>
      </c>
      <c r="B318" s="145" t="s">
        <v>350</v>
      </c>
      <c r="H318" t="str">
        <f t="shared" si="12"/>
        <v>243/2</v>
      </c>
      <c r="I318" s="131"/>
    </row>
    <row r="319" spans="1:9" hidden="1">
      <c r="A319" s="29" t="s">
        <v>870</v>
      </c>
      <c r="B319" s="145" t="s">
        <v>350</v>
      </c>
      <c r="H319" t="str">
        <f t="shared" si="12"/>
        <v>243/3</v>
      </c>
      <c r="I319" s="131"/>
    </row>
    <row r="320" spans="1:9" hidden="1">
      <c r="A320" s="29" t="s">
        <v>171</v>
      </c>
      <c r="B320" s="145" t="s">
        <v>302</v>
      </c>
      <c r="H320" t="str">
        <f t="shared" si="12"/>
        <v>244/0</v>
      </c>
      <c r="I320" s="25"/>
    </row>
    <row r="321" spans="1:9" hidden="1">
      <c r="A321" s="29" t="s">
        <v>871</v>
      </c>
      <c r="B321" s="145" t="s">
        <v>350</v>
      </c>
      <c r="H321" t="str">
        <f t="shared" si="12"/>
        <v>244/1</v>
      </c>
      <c r="I321" s="131"/>
    </row>
    <row r="322" spans="1:9" hidden="1">
      <c r="A322" s="29" t="s">
        <v>191</v>
      </c>
      <c r="B322" s="145" t="s">
        <v>350</v>
      </c>
      <c r="H322" t="str">
        <f t="shared" si="12"/>
        <v>244/2</v>
      </c>
      <c r="I322" s="131"/>
    </row>
    <row r="323" spans="1:9" hidden="1">
      <c r="A323" s="29" t="s">
        <v>158</v>
      </c>
      <c r="B323" s="145" t="s">
        <v>357</v>
      </c>
      <c r="H323" t="str">
        <f t="shared" si="12"/>
        <v>244/3</v>
      </c>
      <c r="I323" s="131"/>
    </row>
    <row r="324" spans="1:9" hidden="1">
      <c r="A324" s="29" t="s">
        <v>159</v>
      </c>
      <c r="B324" s="145" t="s">
        <v>357</v>
      </c>
      <c r="I324" s="131" t="s">
        <v>692</v>
      </c>
    </row>
    <row r="325" spans="1:9" hidden="1">
      <c r="A325" s="29" t="s">
        <v>872</v>
      </c>
      <c r="B325" s="145" t="s">
        <v>350</v>
      </c>
      <c r="I325" s="132" t="s">
        <v>690</v>
      </c>
    </row>
    <row r="326" spans="1:9" hidden="1">
      <c r="A326" s="29" t="s">
        <v>873</v>
      </c>
      <c r="B326" s="145" t="s">
        <v>357</v>
      </c>
      <c r="H326" t="str">
        <f t="shared" ref="H326:H340" si="13">A326</f>
        <v>244/6</v>
      </c>
      <c r="I326" s="132"/>
    </row>
    <row r="327" spans="1:9" hidden="1">
      <c r="A327" s="29" t="s">
        <v>874</v>
      </c>
      <c r="B327" s="145" t="s">
        <v>302</v>
      </c>
      <c r="H327" t="str">
        <f t="shared" si="13"/>
        <v>245/0</v>
      </c>
      <c r="I327" s="132"/>
    </row>
    <row r="328" spans="1:9" hidden="1">
      <c r="A328" s="29" t="s">
        <v>875</v>
      </c>
      <c r="B328" s="145" t="s">
        <v>350</v>
      </c>
      <c r="H328" t="str">
        <f t="shared" si="13"/>
        <v>245/1</v>
      </c>
      <c r="I328" s="132"/>
    </row>
    <row r="329" spans="1:9" hidden="1">
      <c r="A329" s="29" t="s">
        <v>693</v>
      </c>
      <c r="B329" s="145" t="s">
        <v>292</v>
      </c>
      <c r="H329" t="str">
        <f t="shared" si="13"/>
        <v>246/0</v>
      </c>
      <c r="I329" s="132"/>
    </row>
    <row r="330" spans="1:9">
      <c r="A330" s="29" t="s">
        <v>876</v>
      </c>
      <c r="B330" s="143" t="s">
        <v>930</v>
      </c>
      <c r="H330" t="str">
        <f t="shared" si="13"/>
        <v>247/0</v>
      </c>
      <c r="I330" s="29"/>
    </row>
    <row r="331" spans="1:9" hidden="1">
      <c r="A331" s="29" t="s">
        <v>877</v>
      </c>
      <c r="B331" s="143" t="s">
        <v>930</v>
      </c>
      <c r="H331" t="str">
        <f t="shared" si="13"/>
        <v>248/0</v>
      </c>
      <c r="I331" s="132"/>
    </row>
    <row r="332" spans="1:9" hidden="1">
      <c r="A332" s="29" t="s">
        <v>694</v>
      </c>
      <c r="B332" s="145" t="s">
        <v>393</v>
      </c>
      <c r="H332" t="str">
        <f t="shared" si="13"/>
        <v>248/1</v>
      </c>
      <c r="I332" s="25"/>
    </row>
    <row r="333" spans="1:9" hidden="1">
      <c r="A333" s="29" t="s">
        <v>878</v>
      </c>
      <c r="B333" s="145" t="s">
        <v>399</v>
      </c>
      <c r="H333" t="str">
        <f t="shared" si="13"/>
        <v>248/2</v>
      </c>
      <c r="I333" s="25"/>
    </row>
    <row r="334" spans="1:9" hidden="1">
      <c r="A334" s="29" t="s">
        <v>879</v>
      </c>
      <c r="B334" s="145" t="s">
        <v>560</v>
      </c>
      <c r="H334" t="str">
        <f t="shared" si="13"/>
        <v>249/0</v>
      </c>
      <c r="I334" s="25"/>
    </row>
    <row r="335" spans="1:9" hidden="1">
      <c r="A335" s="29" t="s">
        <v>880</v>
      </c>
      <c r="B335" s="145" t="s">
        <v>561</v>
      </c>
      <c r="H335" t="str">
        <f t="shared" si="13"/>
        <v>249/1</v>
      </c>
      <c r="I335" s="25"/>
    </row>
    <row r="336" spans="1:9" hidden="1">
      <c r="A336" s="29" t="s">
        <v>881</v>
      </c>
      <c r="B336" s="145" t="s">
        <v>357</v>
      </c>
      <c r="H336" t="str">
        <f t="shared" si="13"/>
        <v>249/2</v>
      </c>
      <c r="I336" s="25"/>
    </row>
    <row r="337" spans="1:9" hidden="1">
      <c r="A337" s="29" t="s">
        <v>695</v>
      </c>
      <c r="B337" s="145" t="s">
        <v>357</v>
      </c>
      <c r="H337" t="str">
        <f t="shared" si="13"/>
        <v>249/3</v>
      </c>
      <c r="I337" s="25"/>
    </row>
    <row r="338" spans="1:9" hidden="1">
      <c r="A338" s="29" t="s">
        <v>882</v>
      </c>
      <c r="B338" s="145" t="s">
        <v>576</v>
      </c>
      <c r="H338" t="str">
        <f t="shared" si="13"/>
        <v>250/0</v>
      </c>
      <c r="I338" s="132"/>
    </row>
    <row r="339" spans="1:9" hidden="1">
      <c r="A339" s="29" t="s">
        <v>160</v>
      </c>
      <c r="B339" s="145" t="s">
        <v>931</v>
      </c>
      <c r="H339" t="str">
        <f t="shared" si="13"/>
        <v>250/1</v>
      </c>
      <c r="I339" s="132"/>
    </row>
    <row r="340" spans="1:9" hidden="1">
      <c r="A340" s="29" t="s">
        <v>192</v>
      </c>
      <c r="B340" s="145" t="s">
        <v>350</v>
      </c>
      <c r="H340" t="str">
        <f t="shared" si="13"/>
        <v>250/2</v>
      </c>
      <c r="I340" s="132"/>
    </row>
    <row r="341" spans="1:9" hidden="1">
      <c r="A341" s="29" t="s">
        <v>696</v>
      </c>
      <c r="B341" s="145" t="s">
        <v>561</v>
      </c>
      <c r="I341" s="132" t="s">
        <v>522</v>
      </c>
    </row>
    <row r="342" spans="1:9" hidden="1">
      <c r="A342" s="29" t="s">
        <v>161</v>
      </c>
      <c r="B342" s="145" t="s">
        <v>932</v>
      </c>
      <c r="H342" t="str">
        <f>A342</f>
        <v>250A/0</v>
      </c>
      <c r="I342" s="132"/>
    </row>
    <row r="343" spans="1:9" hidden="1">
      <c r="A343" s="29" t="s">
        <v>697</v>
      </c>
      <c r="B343" s="145" t="s">
        <v>399</v>
      </c>
      <c r="H343" t="str">
        <f>A343</f>
        <v>250A/1</v>
      </c>
      <c r="I343" s="132"/>
    </row>
    <row r="344" spans="1:9" hidden="1">
      <c r="A344" s="29" t="s">
        <v>698</v>
      </c>
      <c r="B344" s="145" t="s">
        <v>350</v>
      </c>
      <c r="H344" t="str">
        <f>A344</f>
        <v>250A/2</v>
      </c>
      <c r="I344" s="132"/>
    </row>
    <row r="345" spans="1:9" hidden="1">
      <c r="A345" s="29" t="s">
        <v>883</v>
      </c>
      <c r="B345" s="145" t="s">
        <v>302</v>
      </c>
      <c r="H345" t="str">
        <f>A345</f>
        <v>251/0</v>
      </c>
      <c r="I345" s="132"/>
    </row>
    <row r="346" spans="1:9">
      <c r="A346" s="29" t="s">
        <v>884</v>
      </c>
      <c r="B346" s="143" t="s">
        <v>933</v>
      </c>
      <c r="I346" s="59" t="s">
        <v>577</v>
      </c>
    </row>
    <row r="347" spans="1:9" hidden="1">
      <c r="A347" s="29" t="s">
        <v>885</v>
      </c>
      <c r="B347" s="145" t="s">
        <v>300</v>
      </c>
      <c r="H347" t="str">
        <f>A347</f>
        <v>252/0</v>
      </c>
      <c r="I347" s="132"/>
    </row>
    <row r="348" spans="1:9" hidden="1">
      <c r="A348" s="29" t="s">
        <v>886</v>
      </c>
      <c r="B348" s="145" t="s">
        <v>350</v>
      </c>
      <c r="H348" t="str">
        <f>A348</f>
        <v>252/1</v>
      </c>
      <c r="I348" s="132"/>
    </row>
    <row r="349" spans="1:9" hidden="1">
      <c r="A349" s="29" t="s">
        <v>887</v>
      </c>
      <c r="B349" s="145" t="s">
        <v>357</v>
      </c>
      <c r="I349" s="132" t="s">
        <v>191</v>
      </c>
    </row>
    <row r="350" spans="1:9" hidden="1">
      <c r="A350" s="29" t="s">
        <v>888</v>
      </c>
      <c r="B350" s="145" t="s">
        <v>399</v>
      </c>
      <c r="I350" s="132" t="s">
        <v>146</v>
      </c>
    </row>
    <row r="351" spans="1:9" hidden="1">
      <c r="A351" s="29" t="s">
        <v>889</v>
      </c>
      <c r="B351" s="145" t="s">
        <v>350</v>
      </c>
      <c r="H351" t="str">
        <f>A351</f>
        <v>252/4</v>
      </c>
      <c r="I351" s="25"/>
    </row>
    <row r="352" spans="1:9" hidden="1">
      <c r="A352" s="29" t="s">
        <v>699</v>
      </c>
      <c r="B352" s="145" t="s">
        <v>393</v>
      </c>
      <c r="H352" t="str">
        <f>A352</f>
        <v>252/5</v>
      </c>
      <c r="I352" s="25"/>
    </row>
    <row r="353" spans="1:9">
      <c r="A353" s="29" t="s">
        <v>890</v>
      </c>
      <c r="B353" s="143" t="s">
        <v>934</v>
      </c>
      <c r="I353" s="59" t="s">
        <v>181</v>
      </c>
    </row>
    <row r="354" spans="1:9">
      <c r="A354" s="29" t="s">
        <v>891</v>
      </c>
      <c r="B354" s="143" t="s">
        <v>934</v>
      </c>
      <c r="H354" t="str">
        <f>A354</f>
        <v>254/0</v>
      </c>
      <c r="I354" s="29"/>
    </row>
    <row r="355" spans="1:9" hidden="1">
      <c r="A355" s="29" t="s">
        <v>892</v>
      </c>
      <c r="B355" s="145" t="s">
        <v>393</v>
      </c>
      <c r="I355" s="25" t="s">
        <v>759</v>
      </c>
    </row>
    <row r="356" spans="1:9" hidden="1">
      <c r="A356" s="29" t="s">
        <v>162</v>
      </c>
      <c r="B356" s="145" t="s">
        <v>298</v>
      </c>
      <c r="H356" t="str">
        <f>A356</f>
        <v>255/0</v>
      </c>
      <c r="I356" s="25"/>
    </row>
    <row r="357" spans="1:9">
      <c r="A357" s="29" t="s">
        <v>893</v>
      </c>
      <c r="B357" s="143" t="s">
        <v>350</v>
      </c>
      <c r="H357" t="str">
        <f>A357</f>
        <v>255/1</v>
      </c>
      <c r="I357" s="29"/>
    </row>
    <row r="358" spans="1:9" hidden="1">
      <c r="A358" s="29" t="s">
        <v>894</v>
      </c>
      <c r="B358" s="145" t="s">
        <v>298</v>
      </c>
      <c r="H358" t="str">
        <f>A358</f>
        <v>256/0</v>
      </c>
      <c r="I358" s="25"/>
    </row>
    <row r="359" spans="1:9" hidden="1">
      <c r="A359" s="29" t="s">
        <v>163</v>
      </c>
      <c r="B359" s="145" t="s">
        <v>561</v>
      </c>
      <c r="H359" t="str">
        <f>A359</f>
        <v>256/1</v>
      </c>
      <c r="I359" s="25"/>
    </row>
    <row r="360" spans="1:9" hidden="1">
      <c r="A360" s="29" t="s">
        <v>895</v>
      </c>
      <c r="B360" s="145" t="s">
        <v>324</v>
      </c>
      <c r="I360" s="25" t="s">
        <v>796</v>
      </c>
    </row>
    <row r="361" spans="1:9">
      <c r="A361" s="29" t="s">
        <v>896</v>
      </c>
      <c r="B361" s="143" t="s">
        <v>935</v>
      </c>
      <c r="H361" t="str">
        <f>A361</f>
        <v>258/0</v>
      </c>
      <c r="I361" s="29"/>
    </row>
    <row r="362" spans="1:9">
      <c r="I362" s="25"/>
    </row>
    <row r="363" spans="1:9" ht="15" thickBot="1">
      <c r="I363" s="25"/>
    </row>
    <row r="364" spans="1:9">
      <c r="A364" s="46" t="s">
        <v>691</v>
      </c>
      <c r="I364" s="25"/>
    </row>
    <row r="365" spans="1:9">
      <c r="A365" s="11" t="s">
        <v>864</v>
      </c>
      <c r="I365" s="25"/>
    </row>
    <row r="366" spans="1:9">
      <c r="A366" s="11" t="s">
        <v>519</v>
      </c>
      <c r="I366" s="25"/>
    </row>
    <row r="367" spans="1:9">
      <c r="A367" s="11" t="s">
        <v>705</v>
      </c>
      <c r="I367" s="25"/>
    </row>
    <row r="368" spans="1:9">
      <c r="A368" s="11" t="s">
        <v>710</v>
      </c>
      <c r="I368" s="25"/>
    </row>
    <row r="369" spans="1:9">
      <c r="A369" s="11" t="s">
        <v>704</v>
      </c>
      <c r="I369" s="25"/>
    </row>
    <row r="370" spans="1:9">
      <c r="A370" s="11" t="s">
        <v>709</v>
      </c>
      <c r="I370" s="25"/>
    </row>
    <row r="371" spans="1:9">
      <c r="A371" s="11" t="s">
        <v>678</v>
      </c>
      <c r="I371" s="25"/>
    </row>
    <row r="372" spans="1:9">
      <c r="A372" s="35" t="s">
        <v>186</v>
      </c>
      <c r="I372" s="25"/>
    </row>
    <row r="373" spans="1:9">
      <c r="A373" s="11" t="s">
        <v>520</v>
      </c>
      <c r="I373" s="25"/>
    </row>
    <row r="374" spans="1:9">
      <c r="A374" s="11" t="s">
        <v>679</v>
      </c>
      <c r="I374" s="25"/>
    </row>
    <row r="375" spans="1:9">
      <c r="A375" s="11" t="s">
        <v>706</v>
      </c>
      <c r="I375" s="25"/>
    </row>
    <row r="376" spans="1:9">
      <c r="A376" s="11" t="s">
        <v>522</v>
      </c>
      <c r="I376" s="25"/>
    </row>
    <row r="377" spans="1:9">
      <c r="A377" s="11" t="s">
        <v>873</v>
      </c>
      <c r="I377" s="25"/>
    </row>
    <row r="378" spans="1:9">
      <c r="A378" s="11" t="s">
        <v>407</v>
      </c>
      <c r="I378" s="25"/>
    </row>
    <row r="379" spans="1:9">
      <c r="A379" s="11" t="s">
        <v>880</v>
      </c>
      <c r="I379" s="25"/>
    </row>
    <row r="380" spans="1:9">
      <c r="A380" s="11" t="s">
        <v>701</v>
      </c>
      <c r="I380" s="25"/>
    </row>
    <row r="381" spans="1:9">
      <c r="A381" s="11" t="s">
        <v>702</v>
      </c>
      <c r="I381" s="25"/>
    </row>
    <row r="382" spans="1:9">
      <c r="A382" s="11" t="s">
        <v>711</v>
      </c>
      <c r="I382" s="25"/>
    </row>
    <row r="383" spans="1:9">
      <c r="A383" s="11" t="s">
        <v>879</v>
      </c>
      <c r="I383" s="25"/>
    </row>
    <row r="384" spans="1:9">
      <c r="A384" s="11" t="s">
        <v>881</v>
      </c>
      <c r="I384" s="25"/>
    </row>
    <row r="385" spans="1:9">
      <c r="A385" s="11" t="s">
        <v>707</v>
      </c>
      <c r="I385" s="25"/>
    </row>
    <row r="386" spans="1:9">
      <c r="A386" s="35" t="s">
        <v>722</v>
      </c>
      <c r="I386" s="25"/>
    </row>
    <row r="387" spans="1:9">
      <c r="A387" s="11" t="s">
        <v>682</v>
      </c>
      <c r="I387" s="25"/>
    </row>
    <row r="388" spans="1:9">
      <c r="A388" s="11" t="s">
        <v>708</v>
      </c>
      <c r="I388" s="132"/>
    </row>
    <row r="389" spans="1:9">
      <c r="A389" s="11" t="s">
        <v>712</v>
      </c>
      <c r="I389" s="132"/>
    </row>
    <row r="390" spans="1:9">
      <c r="A390" s="11" t="s">
        <v>404</v>
      </c>
      <c r="I390" s="132"/>
    </row>
    <row r="391" spans="1:9">
      <c r="A391" s="15" t="s">
        <v>677</v>
      </c>
    </row>
    <row r="392" spans="1:9">
      <c r="A392" s="15" t="s">
        <v>872</v>
      </c>
    </row>
    <row r="393" spans="1:9">
      <c r="A393" s="11" t="s">
        <v>882</v>
      </c>
    </row>
    <row r="394" spans="1:9">
      <c r="A394" s="15" t="s">
        <v>713</v>
      </c>
    </row>
    <row r="395" spans="1:9">
      <c r="A395" s="15" t="s">
        <v>888</v>
      </c>
    </row>
    <row r="396" spans="1:9">
      <c r="A396" s="15" t="s">
        <v>732</v>
      </c>
    </row>
    <row r="397" spans="1:9">
      <c r="A397" s="15" t="s">
        <v>549</v>
      </c>
    </row>
    <row r="398" spans="1:9">
      <c r="A398" s="15" t="s">
        <v>698</v>
      </c>
    </row>
    <row r="399" spans="1:9">
      <c r="A399" s="15" t="s">
        <v>885</v>
      </c>
    </row>
    <row r="400" spans="1:9">
      <c r="A400" s="15" t="s">
        <v>878</v>
      </c>
    </row>
    <row r="401" spans="1:1">
      <c r="A401" s="15" t="s">
        <v>733</v>
      </c>
    </row>
    <row r="402" spans="1:1">
      <c r="A402" s="15" t="s">
        <v>715</v>
      </c>
    </row>
    <row r="403" spans="1:1">
      <c r="A403" s="15" t="s">
        <v>866</v>
      </c>
    </row>
    <row r="404" spans="1:1">
      <c r="A404" s="15" t="s">
        <v>526</v>
      </c>
    </row>
    <row r="405" spans="1:1">
      <c r="A405" s="15" t="s">
        <v>681</v>
      </c>
    </row>
    <row r="406" spans="1:1">
      <c r="A406" s="15" t="s">
        <v>683</v>
      </c>
    </row>
    <row r="407" spans="1:1">
      <c r="A407" s="15" t="s">
        <v>685</v>
      </c>
    </row>
    <row r="408" spans="1:1">
      <c r="A408" s="15" t="s">
        <v>714</v>
      </c>
    </row>
    <row r="409" spans="1:1">
      <c r="A409" s="15" t="s">
        <v>694</v>
      </c>
    </row>
    <row r="410" spans="1:1">
      <c r="A410" s="15" t="s">
        <v>870</v>
      </c>
    </row>
    <row r="411" spans="1:1">
      <c r="A411" s="15" t="s">
        <v>680</v>
      </c>
    </row>
    <row r="412" spans="1:1">
      <c r="A412" s="15" t="s">
        <v>684</v>
      </c>
    </row>
    <row r="413" spans="1:1">
      <c r="A413" s="15" t="s">
        <v>368</v>
      </c>
    </row>
    <row r="414" spans="1:1">
      <c r="A414" s="15" t="s">
        <v>272</v>
      </c>
    </row>
    <row r="415" spans="1:1">
      <c r="A415" s="15" t="s">
        <v>869</v>
      </c>
    </row>
    <row r="416" spans="1:1">
      <c r="A416" s="15" t="s">
        <v>696</v>
      </c>
    </row>
    <row r="417" spans="1:1">
      <c r="A417" s="35" t="s">
        <v>721</v>
      </c>
    </row>
    <row r="418" spans="1:1">
      <c r="A418" s="15" t="s">
        <v>425</v>
      </c>
    </row>
    <row r="419" spans="1:1">
      <c r="A419" s="15" t="s">
        <v>720</v>
      </c>
    </row>
    <row r="420" spans="1:1">
      <c r="A420" s="15" t="s">
        <v>871</v>
      </c>
    </row>
    <row r="421" spans="1:1">
      <c r="A421" s="15" t="s">
        <v>727</v>
      </c>
    </row>
    <row r="422" spans="1:1">
      <c r="A422" s="35" t="s">
        <v>675</v>
      </c>
    </row>
    <row r="423" spans="1:1">
      <c r="A423" s="35" t="s">
        <v>700</v>
      </c>
    </row>
    <row r="424" spans="1:1">
      <c r="A424" s="35" t="s">
        <v>883</v>
      </c>
    </row>
    <row r="425" spans="1:1">
      <c r="A425" s="35" t="s">
        <v>612</v>
      </c>
    </row>
    <row r="426" spans="1:1">
      <c r="A426" s="35" t="s">
        <v>523</v>
      </c>
    </row>
    <row r="427" spans="1:1">
      <c r="A427" s="35" t="s">
        <v>687</v>
      </c>
    </row>
    <row r="428" spans="1:1">
      <c r="A428" s="35" t="s">
        <v>745</v>
      </c>
    </row>
    <row r="429" spans="1:1">
      <c r="A429" s="35" t="s">
        <v>688</v>
      </c>
    </row>
    <row r="430" spans="1:1">
      <c r="A430" s="35" t="s">
        <v>758</v>
      </c>
    </row>
    <row r="431" spans="1:1">
      <c r="A431" s="35" t="s">
        <v>746</v>
      </c>
    </row>
    <row r="432" spans="1:1">
      <c r="A432" s="35" t="s">
        <v>759</v>
      </c>
    </row>
    <row r="433" spans="1:1">
      <c r="A433" s="35" t="s">
        <v>744</v>
      </c>
    </row>
    <row r="434" spans="1:1">
      <c r="A434" s="35" t="s">
        <v>760</v>
      </c>
    </row>
    <row r="435" spans="1:1">
      <c r="A435" s="35" t="s">
        <v>761</v>
      </c>
    </row>
    <row r="436" spans="1:1">
      <c r="A436" s="35" t="s">
        <v>756</v>
      </c>
    </row>
    <row r="437" spans="1:1">
      <c r="A437" s="35" t="s">
        <v>545</v>
      </c>
    </row>
    <row r="438" spans="1:1">
      <c r="A438" s="35" t="s">
        <v>750</v>
      </c>
    </row>
    <row r="439" spans="1:1">
      <c r="A439" s="35" t="s">
        <v>752</v>
      </c>
    </row>
    <row r="440" spans="1:1">
      <c r="A440" s="35" t="s">
        <v>751</v>
      </c>
    </row>
    <row r="441" spans="1:1">
      <c r="A441" s="35" t="s">
        <v>748</v>
      </c>
    </row>
    <row r="442" spans="1:1">
      <c r="A442" s="35" t="s">
        <v>754</v>
      </c>
    </row>
    <row r="443" spans="1:1">
      <c r="A443" s="35" t="s">
        <v>613</v>
      </c>
    </row>
    <row r="444" spans="1:1">
      <c r="A444" s="35" t="s">
        <v>686</v>
      </c>
    </row>
    <row r="445" spans="1:1">
      <c r="A445" s="35" t="s">
        <v>755</v>
      </c>
    </row>
    <row r="446" spans="1:1">
      <c r="A446" s="35" t="s">
        <v>371</v>
      </c>
    </row>
    <row r="447" spans="1:1">
      <c r="A447" s="35" t="s">
        <v>616</v>
      </c>
    </row>
    <row r="448" spans="1:1">
      <c r="A448" s="35" t="s">
        <v>742</v>
      </c>
    </row>
    <row r="449" spans="1:1">
      <c r="A449" s="35" t="s">
        <v>385</v>
      </c>
    </row>
    <row r="450" spans="1:1">
      <c r="A450" s="35" t="s">
        <v>621</v>
      </c>
    </row>
    <row r="451" spans="1:1">
      <c r="A451" s="35" t="s">
        <v>602</v>
      </c>
    </row>
    <row r="452" spans="1:1">
      <c r="A452" s="35" t="s">
        <v>699</v>
      </c>
    </row>
    <row r="453" spans="1:1">
      <c r="A453" s="35" t="s">
        <v>868</v>
      </c>
    </row>
    <row r="454" spans="1:1">
      <c r="A454" s="35" t="s">
        <v>894</v>
      </c>
    </row>
    <row r="455" spans="1:1">
      <c r="A455" s="35" t="s">
        <v>693</v>
      </c>
    </row>
    <row r="456" spans="1:1">
      <c r="A456" s="35" t="s">
        <v>697</v>
      </c>
    </row>
    <row r="457" spans="1:1">
      <c r="A457" s="35" t="s">
        <v>543</v>
      </c>
    </row>
    <row r="458" spans="1:1">
      <c r="A458" s="35" t="s">
        <v>865</v>
      </c>
    </row>
    <row r="459" spans="1:1">
      <c r="A459" s="35" t="s">
        <v>614</v>
      </c>
    </row>
    <row r="460" spans="1:1">
      <c r="A460" s="35" t="s">
        <v>703</v>
      </c>
    </row>
    <row r="461" spans="1:1">
      <c r="A461" s="35" t="s">
        <v>819</v>
      </c>
    </row>
    <row r="462" spans="1:1">
      <c r="A462" s="35" t="s">
        <v>521</v>
      </c>
    </row>
    <row r="463" spans="1:1">
      <c r="A463" s="35" t="s">
        <v>820</v>
      </c>
    </row>
    <row r="464" spans="1:1">
      <c r="A464" s="35" t="s">
        <v>821</v>
      </c>
    </row>
    <row r="465" spans="1:1">
      <c r="A465" s="35" t="s">
        <v>676</v>
      </c>
    </row>
    <row r="466" spans="1:1">
      <c r="A466" s="35" t="s">
        <v>817</v>
      </c>
    </row>
    <row r="467" spans="1:1">
      <c r="A467" s="35" t="s">
        <v>812</v>
      </c>
    </row>
    <row r="468" spans="1:1">
      <c r="A468" s="35" t="s">
        <v>818</v>
      </c>
    </row>
    <row r="469" spans="1:1">
      <c r="A469" s="35" t="s">
        <v>369</v>
      </c>
    </row>
    <row r="470" spans="1:1">
      <c r="A470" s="35" t="s">
        <v>815</v>
      </c>
    </row>
    <row r="471" spans="1:1">
      <c r="A471" s="35" t="s">
        <v>811</v>
      </c>
    </row>
    <row r="472" spans="1:1">
      <c r="A472" s="35" t="s">
        <v>813</v>
      </c>
    </row>
    <row r="473" spans="1:1">
      <c r="A473" s="35" t="s">
        <v>625</v>
      </c>
    </row>
    <row r="474" spans="1:1">
      <c r="A474" s="35" t="s">
        <v>810</v>
      </c>
    </row>
    <row r="475" spans="1:1">
      <c r="A475" s="35" t="s">
        <v>462</v>
      </c>
    </row>
    <row r="476" spans="1:1">
      <c r="A476" s="35" t="s">
        <v>816</v>
      </c>
    </row>
    <row r="477" spans="1:1">
      <c r="A477" s="35" t="s">
        <v>809</v>
      </c>
    </row>
    <row r="478" spans="1:1">
      <c r="A478" s="35" t="s">
        <v>814</v>
      </c>
    </row>
    <row r="479" spans="1:1">
      <c r="A479" s="35" t="s">
        <v>807</v>
      </c>
    </row>
    <row r="480" spans="1:1">
      <c r="A480" s="35" t="s">
        <v>374</v>
      </c>
    </row>
    <row r="481" spans="1:1">
      <c r="A481" s="35" t="s">
        <v>463</v>
      </c>
    </row>
    <row r="482" spans="1:1">
      <c r="A482" s="35" t="s">
        <v>418</v>
      </c>
    </row>
    <row r="483" spans="1:1">
      <c r="A483" s="35" t="s">
        <v>822</v>
      </c>
    </row>
    <row r="484" spans="1:1">
      <c r="A484" s="35" t="s">
        <v>718</v>
      </c>
    </row>
    <row r="485" spans="1:1">
      <c r="A485" s="35" t="s">
        <v>631</v>
      </c>
    </row>
    <row r="486" spans="1:1">
      <c r="A486" s="35" t="s">
        <v>370</v>
      </c>
    </row>
    <row r="487" spans="1:1">
      <c r="A487" s="35" t="s">
        <v>796</v>
      </c>
    </row>
    <row r="488" spans="1:1">
      <c r="A488" s="35" t="s">
        <v>824</v>
      </c>
    </row>
    <row r="489" spans="1:1">
      <c r="A489" s="35" t="s">
        <v>383</v>
      </c>
    </row>
    <row r="490" spans="1:1">
      <c r="A490" s="35" t="s">
        <v>800</v>
      </c>
    </row>
    <row r="491" spans="1:1">
      <c r="A491" s="35" t="s">
        <v>464</v>
      </c>
    </row>
    <row r="492" spans="1:1">
      <c r="A492" s="35" t="s">
        <v>421</v>
      </c>
    </row>
    <row r="493" spans="1:1">
      <c r="A493" s="35" t="s">
        <v>753</v>
      </c>
    </row>
    <row r="494" spans="1:1">
      <c r="A494" s="35" t="s">
        <v>798</v>
      </c>
    </row>
    <row r="495" spans="1:1">
      <c r="A495" s="35" t="s">
        <v>799</v>
      </c>
    </row>
    <row r="496" spans="1:1">
      <c r="A496" s="35" t="s">
        <v>400</v>
      </c>
    </row>
    <row r="497" spans="1:1">
      <c r="A497" s="35" t="s">
        <v>797</v>
      </c>
    </row>
    <row r="498" spans="1:1">
      <c r="A498" s="35" t="s">
        <v>624</v>
      </c>
    </row>
    <row r="499" spans="1:1">
      <c r="A499" s="35" t="s">
        <v>191</v>
      </c>
    </row>
    <row r="500" spans="1:1">
      <c r="A500" s="35" t="s">
        <v>178</v>
      </c>
    </row>
    <row r="501" spans="1:1">
      <c r="A501" s="35" t="s">
        <v>190</v>
      </c>
    </row>
    <row r="502" spans="1:1">
      <c r="A502" s="35" t="s">
        <v>174</v>
      </c>
    </row>
    <row r="503" spans="1:1">
      <c r="A503" s="35" t="s">
        <v>185</v>
      </c>
    </row>
    <row r="504" spans="1:1">
      <c r="A504" s="35" t="s">
        <v>180</v>
      </c>
    </row>
    <row r="505" spans="1:1">
      <c r="A505" s="35" t="s">
        <v>189</v>
      </c>
    </row>
    <row r="506" spans="1:1">
      <c r="A506" s="35" t="s">
        <v>192</v>
      </c>
    </row>
    <row r="507" spans="1:1">
      <c r="A507" s="35" t="s">
        <v>187</v>
      </c>
    </row>
    <row r="508" spans="1:1">
      <c r="A508" s="35" t="s">
        <v>173</v>
      </c>
    </row>
    <row r="509" spans="1:1">
      <c r="A509" s="35" t="s">
        <v>188</v>
      </c>
    </row>
    <row r="510" spans="1:1">
      <c r="A510" s="35" t="s">
        <v>623</v>
      </c>
    </row>
    <row r="511" spans="1:1">
      <c r="A511" s="35" t="s">
        <v>695</v>
      </c>
    </row>
    <row r="512" spans="1:1">
      <c r="A512" s="35" t="s">
        <v>184</v>
      </c>
    </row>
    <row r="513" spans="1:1">
      <c r="A513" s="35" t="s">
        <v>823</v>
      </c>
    </row>
    <row r="514" spans="1:1">
      <c r="A514" s="35" t="s">
        <v>176</v>
      </c>
    </row>
    <row r="515" spans="1:1">
      <c r="A515" s="35" t="s">
        <v>181</v>
      </c>
    </row>
    <row r="516" spans="1:1">
      <c r="A516" s="35" t="s">
        <v>692</v>
      </c>
    </row>
    <row r="517" spans="1:1">
      <c r="A517" s="35" t="s">
        <v>764</v>
      </c>
    </row>
    <row r="518" spans="1:1">
      <c r="A518" s="35" t="s">
        <v>179</v>
      </c>
    </row>
    <row r="519" spans="1:1">
      <c r="A519" s="35" t="s">
        <v>183</v>
      </c>
    </row>
    <row r="520" spans="1:1">
      <c r="A520" s="35" t="s">
        <v>805</v>
      </c>
    </row>
    <row r="521" spans="1:1">
      <c r="A521" s="35" t="s">
        <v>177</v>
      </c>
    </row>
    <row r="522" spans="1:1">
      <c r="A522" s="35" t="s">
        <v>804</v>
      </c>
    </row>
    <row r="523" spans="1:1">
      <c r="A523" s="35" t="s">
        <v>182</v>
      </c>
    </row>
    <row r="524" spans="1:1">
      <c r="A524" s="35" t="s">
        <v>689</v>
      </c>
    </row>
    <row r="525" spans="1:1">
      <c r="A525" s="35" t="s">
        <v>647</v>
      </c>
    </row>
    <row r="526" spans="1:1">
      <c r="A526" s="35" t="s">
        <v>769</v>
      </c>
    </row>
    <row r="527" spans="1:1">
      <c r="A527" s="35" t="s">
        <v>895</v>
      </c>
    </row>
    <row r="528" spans="1:1">
      <c r="A528" s="35" t="s">
        <v>743</v>
      </c>
    </row>
    <row r="529" spans="1:1">
      <c r="A529" s="35" t="s">
        <v>892</v>
      </c>
    </row>
    <row r="530" spans="1:1">
      <c r="A530" s="35" t="s">
        <v>801</v>
      </c>
    </row>
    <row r="531" spans="1:1">
      <c r="A531" s="35" t="s">
        <v>723</v>
      </c>
    </row>
    <row r="532" spans="1:1">
      <c r="A532" s="35" t="s">
        <v>642</v>
      </c>
    </row>
    <row r="533" spans="1:1">
      <c r="A533" s="35" t="s">
        <v>423</v>
      </c>
    </row>
    <row r="534" spans="1:1">
      <c r="A534" s="35" t="s">
        <v>765</v>
      </c>
    </row>
    <row r="535" spans="1:1">
      <c r="A535" s="35" t="s">
        <v>767</v>
      </c>
    </row>
    <row r="536" spans="1:1">
      <c r="A536" s="35" t="s">
        <v>607</v>
      </c>
    </row>
    <row r="537" spans="1:1">
      <c r="A537" s="35" t="s">
        <v>142</v>
      </c>
    </row>
    <row r="538" spans="1:1">
      <c r="A538" s="35" t="s">
        <v>887</v>
      </c>
    </row>
    <row r="539" spans="1:1">
      <c r="A539" s="35" t="s">
        <v>143</v>
      </c>
    </row>
    <row r="540" spans="1:1">
      <c r="A540" s="35" t="s">
        <v>690</v>
      </c>
    </row>
    <row r="541" spans="1:1">
      <c r="A541" s="35" t="s">
        <v>766</v>
      </c>
    </row>
    <row r="542" spans="1:1">
      <c r="A542" s="35" t="s">
        <v>886</v>
      </c>
    </row>
    <row r="543" spans="1:1">
      <c r="A543" s="35" t="s">
        <v>170</v>
      </c>
    </row>
    <row r="544" spans="1:1">
      <c r="A544" s="35" t="s">
        <v>167</v>
      </c>
    </row>
    <row r="545" spans="1:1">
      <c r="A545" s="35" t="s">
        <v>147</v>
      </c>
    </row>
    <row r="546" spans="1:1">
      <c r="A546" s="35" t="s">
        <v>146</v>
      </c>
    </row>
    <row r="547" spans="1:1">
      <c r="A547" s="35" t="s">
        <v>156</v>
      </c>
    </row>
    <row r="548" spans="1:1">
      <c r="A548" s="35" t="s">
        <v>169</v>
      </c>
    </row>
    <row r="549" spans="1:1">
      <c r="A549" s="35" t="s">
        <v>168</v>
      </c>
    </row>
    <row r="550" spans="1:1">
      <c r="A550" s="35" t="s">
        <v>141</v>
      </c>
    </row>
    <row r="551" spans="1:1">
      <c r="A551" s="35" t="s">
        <v>154</v>
      </c>
    </row>
    <row r="552" spans="1:1">
      <c r="A552" s="35" t="s">
        <v>135</v>
      </c>
    </row>
    <row r="553" spans="1:1">
      <c r="A553" s="35" t="s">
        <v>137</v>
      </c>
    </row>
    <row r="554" spans="1:1">
      <c r="A554" s="35" t="s">
        <v>149</v>
      </c>
    </row>
    <row r="555" spans="1:1">
      <c r="A555" s="35" t="s">
        <v>145</v>
      </c>
    </row>
    <row r="556" spans="1:1">
      <c r="A556" s="35" t="s">
        <v>171</v>
      </c>
    </row>
    <row r="557" spans="1:1">
      <c r="A557" s="35" t="s">
        <v>162</v>
      </c>
    </row>
    <row r="558" spans="1:1">
      <c r="A558" s="35" t="s">
        <v>789</v>
      </c>
    </row>
    <row r="559" spans="1:1">
      <c r="A559" s="35" t="s">
        <v>157</v>
      </c>
    </row>
    <row r="560" spans="1:1">
      <c r="A560" s="35" t="s">
        <v>165</v>
      </c>
    </row>
    <row r="561" spans="1:1">
      <c r="A561" s="35" t="s">
        <v>153</v>
      </c>
    </row>
    <row r="562" spans="1:1">
      <c r="A562" s="35" t="s">
        <v>787</v>
      </c>
    </row>
    <row r="563" spans="1:1">
      <c r="A563" s="35" t="s">
        <v>841</v>
      </c>
    </row>
    <row r="564" spans="1:1">
      <c r="A564" s="35" t="s">
        <v>874</v>
      </c>
    </row>
    <row r="565" spans="1:1">
      <c r="A565" s="35" t="s">
        <v>729</v>
      </c>
    </row>
    <row r="566" spans="1:1">
      <c r="A566" s="35" t="s">
        <v>148</v>
      </c>
    </row>
    <row r="567" spans="1:1">
      <c r="A567" s="35" t="s">
        <v>577</v>
      </c>
    </row>
    <row r="568" spans="1:1">
      <c r="A568" s="35" t="s">
        <v>719</v>
      </c>
    </row>
    <row r="569" spans="1:1">
      <c r="A569" s="35" t="s">
        <v>166</v>
      </c>
    </row>
    <row r="570" spans="1:1">
      <c r="A570" s="35" t="s">
        <v>855</v>
      </c>
    </row>
    <row r="571" spans="1:1">
      <c r="A571" s="35" t="s">
        <v>875</v>
      </c>
    </row>
    <row r="572" spans="1:1">
      <c r="A572" s="35" t="s">
        <v>615</v>
      </c>
    </row>
    <row r="573" spans="1:1">
      <c r="A573" s="35" t="s">
        <v>151</v>
      </c>
    </row>
    <row r="574" spans="1:1">
      <c r="A574" s="35" t="s">
        <v>442</v>
      </c>
    </row>
    <row r="575" spans="1:1">
      <c r="A575" s="35" t="s">
        <v>749</v>
      </c>
    </row>
    <row r="576" spans="1:1">
      <c r="A576" s="35" t="s">
        <v>832</v>
      </c>
    </row>
    <row r="577" spans="1:1">
      <c r="A577" s="35" t="s">
        <v>161</v>
      </c>
    </row>
    <row r="578" spans="1:1">
      <c r="A578" s="35" t="s">
        <v>806</v>
      </c>
    </row>
    <row r="579" spans="1:1">
      <c r="A579" s="35" t="s">
        <v>790</v>
      </c>
    </row>
    <row r="580" spans="1:1">
      <c r="A580" s="35" t="s">
        <v>741</v>
      </c>
    </row>
    <row r="581" spans="1:1">
      <c r="A581" s="35" t="s">
        <v>140</v>
      </c>
    </row>
    <row r="582" spans="1:1">
      <c r="A582" s="35" t="s">
        <v>150</v>
      </c>
    </row>
    <row r="583" spans="1:1">
      <c r="A583" s="35" t="s">
        <v>152</v>
      </c>
    </row>
    <row r="584" spans="1:1">
      <c r="A584" s="35" t="s">
        <v>155</v>
      </c>
    </row>
    <row r="585" spans="1:1">
      <c r="A585" s="35" t="s">
        <v>158</v>
      </c>
    </row>
    <row r="586" spans="1:1">
      <c r="A586" s="35" t="s">
        <v>768</v>
      </c>
    </row>
    <row r="587" spans="1:1">
      <c r="A587" s="35" t="s">
        <v>159</v>
      </c>
    </row>
    <row r="588" spans="1:1">
      <c r="A588" s="35" t="s">
        <v>448</v>
      </c>
    </row>
    <row r="589" spans="1:1">
      <c r="A589" s="35" t="s">
        <v>717</v>
      </c>
    </row>
    <row r="590" spans="1:1">
      <c r="A590" s="35" t="s">
        <v>850</v>
      </c>
    </row>
    <row r="591" spans="1:1">
      <c r="A591" s="35" t="s">
        <v>831</v>
      </c>
    </row>
    <row r="592" spans="1:1">
      <c r="A592" s="35" t="s">
        <v>788</v>
      </c>
    </row>
    <row r="593" spans="1:1">
      <c r="A593" s="35" t="s">
        <v>857</v>
      </c>
    </row>
    <row r="594" spans="1:1">
      <c r="A594" s="35" t="s">
        <v>139</v>
      </c>
    </row>
    <row r="595" spans="1:1">
      <c r="A595" s="35" t="s">
        <v>833</v>
      </c>
    </row>
    <row r="596" spans="1:1">
      <c r="A596" s="35" t="s">
        <v>638</v>
      </c>
    </row>
    <row r="597" spans="1:1">
      <c r="A597" s="35" t="s">
        <v>605</v>
      </c>
    </row>
    <row r="598" spans="1:1">
      <c r="A598" s="35" t="s">
        <v>138</v>
      </c>
    </row>
    <row r="599" spans="1:1">
      <c r="A599" s="35" t="s">
        <v>786</v>
      </c>
    </row>
    <row r="600" spans="1:1">
      <c r="A600" s="35" t="s">
        <v>854</v>
      </c>
    </row>
    <row r="601" spans="1:1">
      <c r="A601" s="35" t="s">
        <v>849</v>
      </c>
    </row>
    <row r="602" spans="1:1">
      <c r="A602" s="35" t="s">
        <v>853</v>
      </c>
    </row>
    <row r="603" spans="1:1">
      <c r="A603" s="141" t="s">
        <v>378</v>
      </c>
    </row>
    <row r="604" spans="1:1">
      <c r="A604" s="141" t="s">
        <v>791</v>
      </c>
    </row>
    <row r="605" spans="1:1">
      <c r="A605" s="141" t="s">
        <v>164</v>
      </c>
    </row>
    <row r="606" spans="1:1">
      <c r="A606" s="141" t="s">
        <v>859</v>
      </c>
    </row>
    <row r="607" spans="1:1">
      <c r="A607" s="141" t="s">
        <v>144</v>
      </c>
    </row>
    <row r="608" spans="1:1">
      <c r="A608" s="141" t="s">
        <v>160</v>
      </c>
    </row>
    <row r="609" spans="1:1">
      <c r="A609" s="141" t="s">
        <v>889</v>
      </c>
    </row>
    <row r="610" spans="1:1">
      <c r="A610" s="141" t="s">
        <v>862</v>
      </c>
    </row>
    <row r="611" spans="1:1">
      <c r="A611" s="141" t="s">
        <v>793</v>
      </c>
    </row>
    <row r="612" spans="1:1">
      <c r="A612" s="141" t="s">
        <v>277</v>
      </c>
    </row>
    <row r="613" spans="1:1">
      <c r="A613" s="141" t="s">
        <v>163</v>
      </c>
    </row>
    <row r="614" spans="1:1">
      <c r="A614" s="141" t="s">
        <v>593</v>
      </c>
    </row>
    <row r="615" spans="1:1">
      <c r="A615" s="141" t="s">
        <v>551</v>
      </c>
    </row>
    <row r="616" spans="1:1">
      <c r="A616" s="141" t="s">
        <v>527</v>
      </c>
    </row>
    <row r="617" spans="1:1">
      <c r="A617" s="141" t="s">
        <v>852</v>
      </c>
    </row>
    <row r="618" spans="1:1">
      <c r="A618" s="141" t="s">
        <v>835</v>
      </c>
    </row>
    <row r="619" spans="1:1">
      <c r="A619" s="10" t="s">
        <v>372</v>
      </c>
    </row>
    <row r="620" spans="1:1">
      <c r="A620" s="141" t="s">
        <v>858</v>
      </c>
    </row>
    <row r="621" spans="1:1">
      <c r="A621" s="141" t="s">
        <v>867</v>
      </c>
    </row>
    <row r="622" spans="1:1">
      <c r="A622" s="141" t="s">
        <v>794</v>
      </c>
    </row>
    <row r="623" spans="1:1">
      <c r="A623" s="141" t="s">
        <v>845</v>
      </c>
    </row>
    <row r="624" spans="1:1">
      <c r="A624" s="141" t="s">
        <v>731</v>
      </c>
    </row>
    <row r="625" spans="1:1">
      <c r="A625" s="141" t="s">
        <v>877</v>
      </c>
    </row>
    <row r="626" spans="1:1">
      <c r="A626" s="141" t="s">
        <v>836</v>
      </c>
    </row>
    <row r="627" spans="1:1">
      <c r="A627" s="141" t="s">
        <v>803</v>
      </c>
    </row>
    <row r="628" spans="1:1">
      <c r="A628" s="141" t="s">
        <v>802</v>
      </c>
    </row>
    <row r="629" spans="1:1">
      <c r="A629" s="141" t="s">
        <v>795</v>
      </c>
    </row>
    <row r="630" spans="1:1">
      <c r="A630" s="141" t="s">
        <v>863</v>
      </c>
    </row>
    <row r="631" spans="1:1">
      <c r="A631" s="141" t="s">
        <v>784</v>
      </c>
    </row>
    <row r="632" spans="1:1">
      <c r="A632" s="141" t="s">
        <v>785</v>
      </c>
    </row>
    <row r="633" spans="1:1">
      <c r="A633" s="141" t="s">
        <v>808</v>
      </c>
    </row>
    <row r="634" spans="1:1">
      <c r="A634" s="141" t="s">
        <v>860</v>
      </c>
    </row>
    <row r="635" spans="1:1">
      <c r="A635" s="141" t="s">
        <v>782</v>
      </c>
    </row>
    <row r="636" spans="1:1">
      <c r="A636" s="141" t="s">
        <v>829</v>
      </c>
    </row>
    <row r="637" spans="1:1">
      <c r="A637" s="141" t="s">
        <v>730</v>
      </c>
    </row>
    <row r="638" spans="1:1">
      <c r="A638" s="141" t="s">
        <v>861</v>
      </c>
    </row>
    <row r="639" spans="1:1" ht="15" thickBot="1">
      <c r="A639" s="153" t="s">
        <v>830</v>
      </c>
    </row>
    <row r="640" spans="1:1" ht="15" thickBot="1">
      <c r="A640" s="153" t="s">
        <v>844</v>
      </c>
    </row>
    <row r="641" spans="1:1" ht="15" thickBot="1">
      <c r="A641" s="153" t="s">
        <v>834</v>
      </c>
    </row>
    <row r="668" spans="9:10">
      <c r="I668" t="s">
        <v>937</v>
      </c>
    </row>
    <row r="669" spans="9:10">
      <c r="J669" t="s">
        <v>938</v>
      </c>
    </row>
    <row r="670" spans="9:10">
      <c r="I670" s="143" t="s">
        <v>716</v>
      </c>
      <c r="J670" s="143" t="s">
        <v>561</v>
      </c>
    </row>
    <row r="671" spans="9:10">
      <c r="I671" s="143" t="s">
        <v>563</v>
      </c>
      <c r="J671" s="143" t="s">
        <v>899</v>
      </c>
    </row>
    <row r="672" spans="9:10">
      <c r="I672" s="143" t="s">
        <v>564</v>
      </c>
      <c r="J672" s="143" t="s">
        <v>900</v>
      </c>
    </row>
    <row r="673" spans="9:10">
      <c r="I673" s="143" t="s">
        <v>541</v>
      </c>
      <c r="J673" s="143" t="s">
        <v>901</v>
      </c>
    </row>
    <row r="674" spans="9:10">
      <c r="I674" s="143" t="s">
        <v>542</v>
      </c>
      <c r="J674" s="143" t="s">
        <v>357</v>
      </c>
    </row>
    <row r="675" spans="9:10">
      <c r="I675" s="143" t="s">
        <v>724</v>
      </c>
      <c r="J675" s="143" t="s">
        <v>357</v>
      </c>
    </row>
    <row r="676" spans="9:10">
      <c r="I676" s="143" t="s">
        <v>725</v>
      </c>
      <c r="J676" s="143" t="s">
        <v>396</v>
      </c>
    </row>
    <row r="677" spans="9:10">
      <c r="I677" s="143" t="s">
        <v>726</v>
      </c>
      <c r="J677" s="143" t="s">
        <v>396</v>
      </c>
    </row>
    <row r="678" spans="9:10">
      <c r="I678" s="143" t="s">
        <v>728</v>
      </c>
      <c r="J678" s="143" t="s">
        <v>396</v>
      </c>
    </row>
    <row r="679" spans="9:10">
      <c r="I679" s="143" t="s">
        <v>730</v>
      </c>
      <c r="J679" s="143" t="s">
        <v>335</v>
      </c>
    </row>
    <row r="680" spans="9:10">
      <c r="I680" s="143" t="s">
        <v>136</v>
      </c>
      <c r="J680" s="143" t="s">
        <v>560</v>
      </c>
    </row>
    <row r="681" spans="9:10">
      <c r="I681" s="143" t="s">
        <v>388</v>
      </c>
      <c r="J681" s="143" t="s">
        <v>292</v>
      </c>
    </row>
    <row r="682" spans="9:10">
      <c r="I682" s="143" t="s">
        <v>392</v>
      </c>
      <c r="J682" s="143" t="s">
        <v>350</v>
      </c>
    </row>
    <row r="683" spans="9:10">
      <c r="I683" s="143" t="s">
        <v>554</v>
      </c>
      <c r="J683" s="143" t="s">
        <v>904</v>
      </c>
    </row>
    <row r="684" spans="9:10">
      <c r="I684" s="143" t="s">
        <v>555</v>
      </c>
      <c r="J684" s="143" t="s">
        <v>335</v>
      </c>
    </row>
    <row r="685" spans="9:10">
      <c r="I685" s="143" t="s">
        <v>557</v>
      </c>
      <c r="J685" s="143" t="s">
        <v>305</v>
      </c>
    </row>
    <row r="686" spans="9:10">
      <c r="I686" s="143" t="s">
        <v>734</v>
      </c>
      <c r="J686" s="143" t="s">
        <v>905</v>
      </c>
    </row>
    <row r="687" spans="9:10">
      <c r="I687" s="143" t="s">
        <v>558</v>
      </c>
      <c r="J687" s="143" t="s">
        <v>560</v>
      </c>
    </row>
    <row r="688" spans="9:10">
      <c r="I688" s="143" t="s">
        <v>445</v>
      </c>
      <c r="J688" s="143" t="s">
        <v>560</v>
      </c>
    </row>
    <row r="689" spans="9:10">
      <c r="I689" s="143" t="s">
        <v>453</v>
      </c>
      <c r="J689" s="143" t="s">
        <v>357</v>
      </c>
    </row>
    <row r="690" spans="9:10">
      <c r="I690" s="143" t="s">
        <v>735</v>
      </c>
      <c r="J690" s="143" t="s">
        <v>350</v>
      </c>
    </row>
    <row r="691" spans="9:10">
      <c r="I691" s="143" t="s">
        <v>736</v>
      </c>
      <c r="J691" s="143" t="s">
        <v>292</v>
      </c>
    </row>
    <row r="692" spans="9:10">
      <c r="I692" s="143" t="s">
        <v>455</v>
      </c>
      <c r="J692" s="143" t="s">
        <v>906</v>
      </c>
    </row>
    <row r="693" spans="9:10">
      <c r="I693" s="143" t="s">
        <v>450</v>
      </c>
      <c r="J693" s="143" t="s">
        <v>905</v>
      </c>
    </row>
    <row r="694" spans="9:10">
      <c r="I694" s="143" t="s">
        <v>361</v>
      </c>
      <c r="J694" s="143" t="s">
        <v>907</v>
      </c>
    </row>
    <row r="695" spans="9:10">
      <c r="I695" s="143" t="s">
        <v>360</v>
      </c>
      <c r="J695" s="143" t="s">
        <v>389</v>
      </c>
    </row>
    <row r="696" spans="9:10">
      <c r="I696" s="143" t="s">
        <v>737</v>
      </c>
      <c r="J696" s="143" t="s">
        <v>908</v>
      </c>
    </row>
    <row r="697" spans="9:10">
      <c r="I697" s="143" t="s">
        <v>738</v>
      </c>
      <c r="J697" s="143" t="s">
        <v>908</v>
      </c>
    </row>
    <row r="698" spans="9:10">
      <c r="I698" s="143" t="s">
        <v>739</v>
      </c>
      <c r="J698" s="143" t="s">
        <v>909</v>
      </c>
    </row>
    <row r="699" spans="9:10">
      <c r="I699" s="143" t="s">
        <v>593</v>
      </c>
      <c r="J699" s="143" t="s">
        <v>910</v>
      </c>
    </row>
    <row r="700" spans="9:10">
      <c r="I700" s="143" t="s">
        <v>594</v>
      </c>
      <c r="J700" s="143" t="s">
        <v>391</v>
      </c>
    </row>
    <row r="701" spans="9:10">
      <c r="I701" s="143" t="s">
        <v>598</v>
      </c>
      <c r="J701" s="143" t="s">
        <v>903</v>
      </c>
    </row>
    <row r="702" spans="9:10">
      <c r="I702" s="143" t="s">
        <v>600</v>
      </c>
      <c r="J702" s="143" t="s">
        <v>897</v>
      </c>
    </row>
    <row r="703" spans="9:10">
      <c r="I703" s="143" t="s">
        <v>601</v>
      </c>
      <c r="J703" s="143" t="s">
        <v>561</v>
      </c>
    </row>
    <row r="704" spans="9:10">
      <c r="I704" s="143" t="s">
        <v>740</v>
      </c>
      <c r="J704" s="143" t="s">
        <v>399</v>
      </c>
    </row>
    <row r="705" spans="9:10">
      <c r="I705" s="143" t="s">
        <v>606</v>
      </c>
      <c r="J705" s="143" t="s">
        <v>904</v>
      </c>
    </row>
    <row r="706" spans="9:10">
      <c r="I706" s="143" t="s">
        <v>757</v>
      </c>
      <c r="J706" s="143" t="s">
        <v>913</v>
      </c>
    </row>
    <row r="707" spans="9:10">
      <c r="I707" s="143" t="s">
        <v>620</v>
      </c>
      <c r="J707" s="143" t="s">
        <v>914</v>
      </c>
    </row>
    <row r="708" spans="9:10">
      <c r="I708" s="143" t="s">
        <v>763</v>
      </c>
      <c r="J708" s="143" t="s">
        <v>917</v>
      </c>
    </row>
    <row r="709" spans="9:10">
      <c r="I709" s="143" t="s">
        <v>665</v>
      </c>
      <c r="J709" s="143" t="s">
        <v>916</v>
      </c>
    </row>
    <row r="710" spans="9:10">
      <c r="I710" s="143" t="s">
        <v>770</v>
      </c>
      <c r="J710" s="143" t="s">
        <v>373</v>
      </c>
    </row>
    <row r="711" spans="9:10">
      <c r="I711" s="143" t="s">
        <v>771</v>
      </c>
      <c r="J711" s="143" t="s">
        <v>399</v>
      </c>
    </row>
    <row r="712" spans="9:10">
      <c r="I712" s="143" t="s">
        <v>772</v>
      </c>
      <c r="J712" s="143" t="s">
        <v>324</v>
      </c>
    </row>
    <row r="713" spans="9:10">
      <c r="I713" s="143" t="s">
        <v>773</v>
      </c>
      <c r="J713" s="143" t="s">
        <v>916</v>
      </c>
    </row>
    <row r="714" spans="9:10">
      <c r="I714" s="143" t="s">
        <v>774</v>
      </c>
      <c r="J714" s="143" t="s">
        <v>916</v>
      </c>
    </row>
    <row r="715" spans="9:10">
      <c r="I715" s="143" t="s">
        <v>775</v>
      </c>
      <c r="J715" s="143" t="s">
        <v>335</v>
      </c>
    </row>
    <row r="716" spans="9:10">
      <c r="I716" s="143" t="s">
        <v>776</v>
      </c>
      <c r="J716" s="143" t="s">
        <v>898</v>
      </c>
    </row>
    <row r="717" spans="9:10">
      <c r="I717" s="143" t="s">
        <v>777</v>
      </c>
      <c r="J717" s="143" t="s">
        <v>920</v>
      </c>
    </row>
    <row r="718" spans="9:10">
      <c r="I718" s="143" t="s">
        <v>778</v>
      </c>
      <c r="J718" s="143" t="s">
        <v>389</v>
      </c>
    </row>
    <row r="719" spans="9:10">
      <c r="I719" s="143" t="s">
        <v>779</v>
      </c>
      <c r="J719" s="143" t="s">
        <v>561</v>
      </c>
    </row>
    <row r="720" spans="9:10">
      <c r="I720" s="143" t="s">
        <v>780</v>
      </c>
      <c r="J720" s="143" t="s">
        <v>373</v>
      </c>
    </row>
    <row r="721" spans="9:10">
      <c r="I721" s="143" t="s">
        <v>781</v>
      </c>
      <c r="J721" s="143" t="s">
        <v>391</v>
      </c>
    </row>
    <row r="722" spans="9:10">
      <c r="I722" s="143" t="s">
        <v>782</v>
      </c>
      <c r="J722" s="143" t="s">
        <v>904</v>
      </c>
    </row>
    <row r="723" spans="9:10">
      <c r="I723" s="143" t="s">
        <v>783</v>
      </c>
      <c r="J723" s="143" t="s">
        <v>921</v>
      </c>
    </row>
    <row r="724" spans="9:10">
      <c r="I724" s="143" t="s">
        <v>784</v>
      </c>
      <c r="J724" s="143" t="s">
        <v>906</v>
      </c>
    </row>
    <row r="725" spans="9:10">
      <c r="I725" s="143" t="s">
        <v>785</v>
      </c>
      <c r="J725" s="143" t="s">
        <v>350</v>
      </c>
    </row>
    <row r="726" spans="9:10">
      <c r="I726" s="143" t="s">
        <v>792</v>
      </c>
      <c r="J726" s="143" t="s">
        <v>923</v>
      </c>
    </row>
    <row r="727" spans="9:10">
      <c r="I727" s="143" t="s">
        <v>825</v>
      </c>
      <c r="J727" s="143" t="s">
        <v>350</v>
      </c>
    </row>
    <row r="728" spans="9:10">
      <c r="I728" s="143" t="s">
        <v>826</v>
      </c>
      <c r="J728" s="143" t="s">
        <v>350</v>
      </c>
    </row>
    <row r="729" spans="9:10">
      <c r="I729" s="143" t="s">
        <v>827</v>
      </c>
      <c r="J729" s="143" t="s">
        <v>399</v>
      </c>
    </row>
    <row r="730" spans="9:10">
      <c r="I730" s="143" t="s">
        <v>828</v>
      </c>
      <c r="J730" s="143" t="s">
        <v>902</v>
      </c>
    </row>
    <row r="731" spans="9:10">
      <c r="I731" s="143" t="s">
        <v>829</v>
      </c>
      <c r="J731" s="143" t="s">
        <v>399</v>
      </c>
    </row>
    <row r="732" spans="9:10">
      <c r="I732" s="143" t="s">
        <v>830</v>
      </c>
      <c r="J732" s="143" t="s">
        <v>350</v>
      </c>
    </row>
    <row r="733" spans="9:10">
      <c r="I733" s="143" t="s">
        <v>834</v>
      </c>
      <c r="J733" s="143" t="s">
        <v>357</v>
      </c>
    </row>
    <row r="734" spans="9:10">
      <c r="I734" s="143" t="s">
        <v>837</v>
      </c>
      <c r="J734" s="143" t="s">
        <v>302</v>
      </c>
    </row>
    <row r="735" spans="9:10">
      <c r="I735" s="143" t="s">
        <v>838</v>
      </c>
      <c r="J735" s="143" t="s">
        <v>561</v>
      </c>
    </row>
    <row r="736" spans="9:10">
      <c r="I736" s="143" t="s">
        <v>839</v>
      </c>
      <c r="J736" s="143" t="s">
        <v>897</v>
      </c>
    </row>
    <row r="737" spans="9:10">
      <c r="I737" s="143" t="s">
        <v>840</v>
      </c>
      <c r="J737" s="143" t="s">
        <v>927</v>
      </c>
    </row>
    <row r="738" spans="9:10">
      <c r="I738" s="143" t="s">
        <v>842</v>
      </c>
      <c r="J738" s="143" t="s">
        <v>561</v>
      </c>
    </row>
    <row r="739" spans="9:10">
      <c r="I739" s="143" t="s">
        <v>843</v>
      </c>
      <c r="J739" s="143" t="s">
        <v>302</v>
      </c>
    </row>
    <row r="740" spans="9:10">
      <c r="I740" s="143" t="s">
        <v>844</v>
      </c>
      <c r="J740" s="143" t="s">
        <v>335</v>
      </c>
    </row>
    <row r="741" spans="9:10">
      <c r="I741" s="143" t="s">
        <v>845</v>
      </c>
      <c r="J741" s="143" t="s">
        <v>335</v>
      </c>
    </row>
    <row r="742" spans="9:10">
      <c r="I742" s="143" t="s">
        <v>846</v>
      </c>
      <c r="J742" s="143" t="s">
        <v>350</v>
      </c>
    </row>
    <row r="743" spans="9:10">
      <c r="I743" s="143" t="s">
        <v>847</v>
      </c>
      <c r="J743" s="143" t="s">
        <v>350</v>
      </c>
    </row>
    <row r="744" spans="9:10">
      <c r="I744" s="143" t="s">
        <v>848</v>
      </c>
      <c r="J744" s="143" t="s">
        <v>350</v>
      </c>
    </row>
    <row r="745" spans="9:10">
      <c r="I745" s="143" t="s">
        <v>851</v>
      </c>
      <c r="J745" s="143" t="s">
        <v>905</v>
      </c>
    </row>
    <row r="746" spans="9:10">
      <c r="I746" s="143" t="s">
        <v>856</v>
      </c>
      <c r="J746" s="143" t="s">
        <v>357</v>
      </c>
    </row>
    <row r="747" spans="9:10">
      <c r="I747" s="143" t="s">
        <v>860</v>
      </c>
      <c r="J747" s="143" t="s">
        <v>302</v>
      </c>
    </row>
    <row r="748" spans="9:10">
      <c r="I748" s="143" t="s">
        <v>861</v>
      </c>
      <c r="J748" s="143" t="s">
        <v>350</v>
      </c>
    </row>
    <row r="749" spans="9:10">
      <c r="I749" s="143" t="s">
        <v>876</v>
      </c>
      <c r="J749" s="143" t="s">
        <v>930</v>
      </c>
    </row>
    <row r="750" spans="9:10">
      <c r="I750" s="143" t="s">
        <v>884</v>
      </c>
      <c r="J750" s="143" t="s">
        <v>933</v>
      </c>
    </row>
    <row r="751" spans="9:10">
      <c r="I751" s="143" t="s">
        <v>890</v>
      </c>
      <c r="J751" s="143" t="s">
        <v>934</v>
      </c>
    </row>
    <row r="752" spans="9:10">
      <c r="I752" s="143" t="s">
        <v>891</v>
      </c>
      <c r="J752" s="143" t="s">
        <v>934</v>
      </c>
    </row>
    <row r="753" spans="9:16">
      <c r="I753" s="143" t="s">
        <v>893</v>
      </c>
      <c r="J753" s="143" t="s">
        <v>350</v>
      </c>
    </row>
    <row r="754" spans="9:16">
      <c r="I754" s="143" t="s">
        <v>896</v>
      </c>
      <c r="J754" s="143" t="s">
        <v>935</v>
      </c>
    </row>
    <row r="755" spans="9:16">
      <c r="P755" s="149" t="s">
        <v>563</v>
      </c>
    </row>
    <row r="756" spans="9:16">
      <c r="I756" s="149" t="s">
        <v>563</v>
      </c>
      <c r="P756" s="150" t="s">
        <v>564</v>
      </c>
    </row>
    <row r="757" spans="9:16">
      <c r="I757" s="150" t="s">
        <v>564</v>
      </c>
      <c r="P757" s="149" t="s">
        <v>730</v>
      </c>
    </row>
    <row r="758" spans="9:16">
      <c r="I758" s="149" t="s">
        <v>730</v>
      </c>
      <c r="P758" s="149" t="s">
        <v>541</v>
      </c>
    </row>
    <row r="759" spans="9:16">
      <c r="I759" s="149" t="s">
        <v>541</v>
      </c>
      <c r="P759" s="149" t="s">
        <v>542</v>
      </c>
    </row>
    <row r="760" spans="9:16">
      <c r="I760" s="149" t="s">
        <v>542</v>
      </c>
      <c r="P760" s="149" t="s">
        <v>724</v>
      </c>
    </row>
    <row r="761" spans="9:16">
      <c r="I761" s="149" t="s">
        <v>724</v>
      </c>
      <c r="P761" s="149" t="s">
        <v>725</v>
      </c>
    </row>
    <row r="762" spans="9:16">
      <c r="I762" s="149" t="s">
        <v>725</v>
      </c>
      <c r="P762" s="149" t="s">
        <v>392</v>
      </c>
    </row>
    <row r="763" spans="9:16">
      <c r="I763" s="149" t="s">
        <v>392</v>
      </c>
      <c r="P763" s="149" t="s">
        <v>388</v>
      </c>
    </row>
    <row r="764" spans="9:16">
      <c r="I764" s="149" t="s">
        <v>388</v>
      </c>
      <c r="P764" s="151" t="s">
        <v>453</v>
      </c>
    </row>
    <row r="765" spans="9:16">
      <c r="I765" s="151" t="s">
        <v>453</v>
      </c>
      <c r="P765" s="149" t="s">
        <v>716</v>
      </c>
    </row>
    <row r="766" spans="9:16">
      <c r="I766" s="149" t="s">
        <v>716</v>
      </c>
      <c r="P766" s="152" t="s">
        <v>554</v>
      </c>
    </row>
    <row r="767" spans="9:16">
      <c r="I767" s="152" t="s">
        <v>554</v>
      </c>
      <c r="P767" s="152" t="s">
        <v>555</v>
      </c>
    </row>
    <row r="768" spans="9:16">
      <c r="I768" s="152" t="s">
        <v>555</v>
      </c>
      <c r="P768" s="149" t="s">
        <v>598</v>
      </c>
    </row>
    <row r="769" spans="9:16">
      <c r="I769" s="149" t="s">
        <v>598</v>
      </c>
      <c r="P769" s="149" t="s">
        <v>594</v>
      </c>
    </row>
    <row r="770" spans="9:16">
      <c r="I770" s="149" t="s">
        <v>594</v>
      </c>
      <c r="P770" s="149" t="s">
        <v>600</v>
      </c>
    </row>
    <row r="771" spans="9:16">
      <c r="I771" s="149" t="s">
        <v>600</v>
      </c>
      <c r="P771" s="149" t="s">
        <v>601</v>
      </c>
    </row>
    <row r="772" spans="9:16">
      <c r="I772" s="149" t="s">
        <v>601</v>
      </c>
      <c r="P772" s="149" t="s">
        <v>593</v>
      </c>
    </row>
    <row r="773" spans="9:16">
      <c r="I773" s="149" t="s">
        <v>593</v>
      </c>
      <c r="P773" s="149" t="s">
        <v>740</v>
      </c>
    </row>
    <row r="774" spans="9:16">
      <c r="I774" s="149" t="s">
        <v>740</v>
      </c>
      <c r="P774" s="149" t="s">
        <v>606</v>
      </c>
    </row>
    <row r="775" spans="9:16">
      <c r="I775" s="149" t="s">
        <v>606</v>
      </c>
      <c r="P775" s="149" t="s">
        <v>555</v>
      </c>
    </row>
    <row r="776" spans="9:16">
      <c r="I776" s="149" t="s">
        <v>555</v>
      </c>
      <c r="P776" s="149" t="s">
        <v>784</v>
      </c>
    </row>
    <row r="777" spans="9:16">
      <c r="I777" s="149" t="s">
        <v>784</v>
      </c>
      <c r="P777" s="149" t="s">
        <v>783</v>
      </c>
    </row>
    <row r="778" spans="9:16">
      <c r="I778" s="149" t="s">
        <v>783</v>
      </c>
      <c r="P778" s="152" t="s">
        <v>773</v>
      </c>
    </row>
    <row r="779" spans="9:16">
      <c r="I779" s="152" t="s">
        <v>773</v>
      </c>
      <c r="P779" s="149" t="s">
        <v>792</v>
      </c>
    </row>
    <row r="780" spans="9:16">
      <c r="I780" s="149" t="s">
        <v>792</v>
      </c>
      <c r="P780" s="149" t="s">
        <v>782</v>
      </c>
    </row>
    <row r="781" spans="9:16">
      <c r="I781" s="149" t="s">
        <v>782</v>
      </c>
      <c r="P781" s="149" t="s">
        <v>785</v>
      </c>
    </row>
    <row r="782" spans="9:16">
      <c r="I782" s="149" t="s">
        <v>785</v>
      </c>
      <c r="P782" s="152" t="s">
        <v>774</v>
      </c>
    </row>
    <row r="783" spans="9:16">
      <c r="I783" s="152" t="s">
        <v>774</v>
      </c>
      <c r="P783" s="152" t="s">
        <v>770</v>
      </c>
    </row>
    <row r="784" spans="9:16">
      <c r="I784" s="152" t="s">
        <v>770</v>
      </c>
      <c r="P784" s="149" t="s">
        <v>829</v>
      </c>
    </row>
    <row r="785" spans="9:16">
      <c r="I785" s="149" t="s">
        <v>829</v>
      </c>
      <c r="P785" s="149" t="s">
        <v>827</v>
      </c>
    </row>
    <row r="786" spans="9:16">
      <c r="I786" s="149" t="s">
        <v>827</v>
      </c>
      <c r="P786" s="149" t="s">
        <v>828</v>
      </c>
    </row>
    <row r="787" spans="9:16">
      <c r="I787" s="149" t="s">
        <v>828</v>
      </c>
      <c r="P787" s="149" t="s">
        <v>830</v>
      </c>
    </row>
    <row r="788" spans="9:16">
      <c r="I788" s="149" t="s">
        <v>830</v>
      </c>
      <c r="P788" s="149" t="s">
        <v>834</v>
      </c>
    </row>
    <row r="789" spans="9:16">
      <c r="I789" s="149" t="s">
        <v>834</v>
      </c>
      <c r="P789" s="149" t="s">
        <v>837</v>
      </c>
    </row>
    <row r="790" spans="9:16">
      <c r="I790" s="149" t="s">
        <v>837</v>
      </c>
      <c r="P790" s="149" t="s">
        <v>839</v>
      </c>
    </row>
    <row r="791" spans="9:16">
      <c r="I791" s="149" t="s">
        <v>839</v>
      </c>
      <c r="P791" s="149" t="s">
        <v>860</v>
      </c>
    </row>
    <row r="792" spans="9:16">
      <c r="I792" s="149" t="s">
        <v>860</v>
      </c>
      <c r="P792" s="149" t="s">
        <v>861</v>
      </c>
    </row>
    <row r="793" spans="9:16">
      <c r="I793" s="149" t="s">
        <v>861</v>
      </c>
      <c r="P793" s="149" t="s">
        <v>851</v>
      </c>
    </row>
    <row r="794" spans="9:16">
      <c r="I794" s="149" t="s">
        <v>851</v>
      </c>
      <c r="P794" s="149" t="s">
        <v>856</v>
      </c>
    </row>
    <row r="795" spans="9:16">
      <c r="I795" s="149" t="s">
        <v>856</v>
      </c>
      <c r="P795" s="149" t="s">
        <v>848</v>
      </c>
    </row>
    <row r="796" spans="9:16">
      <c r="I796" s="149" t="s">
        <v>848</v>
      </c>
      <c r="P796" s="149" t="s">
        <v>845</v>
      </c>
    </row>
    <row r="797" spans="9:16">
      <c r="I797" s="149" t="s">
        <v>845</v>
      </c>
      <c r="P797" s="149" t="s">
        <v>844</v>
      </c>
    </row>
    <row r="798" spans="9:16">
      <c r="I798" s="149" t="s">
        <v>844</v>
      </c>
      <c r="P798" s="149" t="s">
        <v>847</v>
      </c>
    </row>
    <row r="799" spans="9:16">
      <c r="I799" s="149" t="s">
        <v>847</v>
      </c>
      <c r="P799" s="149" t="s">
        <v>846</v>
      </c>
    </row>
    <row r="800" spans="9:16">
      <c r="I800" s="149" t="s">
        <v>846</v>
      </c>
    </row>
    <row r="801" spans="9:17">
      <c r="I801" s="147"/>
    </row>
    <row r="802" spans="9:17">
      <c r="I802" s="147"/>
    </row>
    <row r="803" spans="9:17">
      <c r="I803" s="147"/>
    </row>
    <row r="804" spans="9:17">
      <c r="I804" s="147"/>
    </row>
    <row r="805" spans="9:17">
      <c r="L805" t="s">
        <v>939</v>
      </c>
    </row>
    <row r="806" spans="9:17">
      <c r="L806" s="143" t="s">
        <v>716</v>
      </c>
    </row>
    <row r="807" spans="9:17">
      <c r="L807" s="143" t="s">
        <v>563</v>
      </c>
    </row>
    <row r="808" spans="9:17">
      <c r="L808" s="143" t="s">
        <v>564</v>
      </c>
    </row>
    <row r="809" spans="9:17">
      <c r="L809" s="143" t="s">
        <v>541</v>
      </c>
    </row>
    <row r="810" spans="9:17">
      <c r="L810" s="143" t="s">
        <v>542</v>
      </c>
    </row>
    <row r="811" spans="9:17">
      <c r="L811" s="143" t="s">
        <v>724</v>
      </c>
    </row>
    <row r="812" spans="9:17">
      <c r="L812" s="143" t="s">
        <v>725</v>
      </c>
    </row>
    <row r="813" spans="9:17">
      <c r="L813" s="143" t="s">
        <v>726</v>
      </c>
      <c r="Q813" s="143" t="s">
        <v>726</v>
      </c>
    </row>
    <row r="814" spans="9:17">
      <c r="L814" s="143" t="s">
        <v>728</v>
      </c>
      <c r="Q814" s="143" t="s">
        <v>728</v>
      </c>
    </row>
    <row r="815" spans="9:17">
      <c r="L815" s="143" t="s">
        <v>730</v>
      </c>
      <c r="Q815" s="143" t="s">
        <v>136</v>
      </c>
    </row>
    <row r="816" spans="9:17">
      <c r="L816" s="143" t="s">
        <v>136</v>
      </c>
      <c r="Q816" s="143" t="s">
        <v>554</v>
      </c>
    </row>
    <row r="817" spans="12:17">
      <c r="L817" s="143" t="s">
        <v>388</v>
      </c>
      <c r="Q817" s="143" t="s">
        <v>557</v>
      </c>
    </row>
    <row r="818" spans="12:17">
      <c r="L818" s="143" t="s">
        <v>392</v>
      </c>
      <c r="Q818" s="143" t="s">
        <v>734</v>
      </c>
    </row>
    <row r="819" spans="12:17">
      <c r="L819" s="143" t="s">
        <v>554</v>
      </c>
      <c r="Q819" s="143" t="s">
        <v>558</v>
      </c>
    </row>
    <row r="820" spans="12:17">
      <c r="L820" s="143" t="s">
        <v>555</v>
      </c>
      <c r="Q820" s="143" t="s">
        <v>445</v>
      </c>
    </row>
    <row r="821" spans="12:17">
      <c r="L821" s="143" t="s">
        <v>557</v>
      </c>
      <c r="Q821" s="143" t="s">
        <v>453</v>
      </c>
    </row>
    <row r="822" spans="12:17">
      <c r="L822" s="143" t="s">
        <v>734</v>
      </c>
      <c r="Q822" s="143" t="s">
        <v>735</v>
      </c>
    </row>
    <row r="823" spans="12:17">
      <c r="L823" s="143" t="s">
        <v>558</v>
      </c>
      <c r="Q823" s="143" t="s">
        <v>736</v>
      </c>
    </row>
    <row r="824" spans="12:17">
      <c r="L824" s="143" t="s">
        <v>445</v>
      </c>
      <c r="Q824" s="143" t="s">
        <v>455</v>
      </c>
    </row>
    <row r="825" spans="12:17">
      <c r="L825" s="143" t="s">
        <v>453</v>
      </c>
      <c r="Q825" s="143" t="s">
        <v>450</v>
      </c>
    </row>
    <row r="826" spans="12:17">
      <c r="L826" s="143" t="s">
        <v>735</v>
      </c>
      <c r="Q826" s="143" t="s">
        <v>361</v>
      </c>
    </row>
    <row r="827" spans="12:17">
      <c r="L827" s="143" t="s">
        <v>736</v>
      </c>
      <c r="Q827" s="143" t="s">
        <v>360</v>
      </c>
    </row>
    <row r="828" spans="12:17">
      <c r="L828" s="143" t="s">
        <v>455</v>
      </c>
      <c r="Q828" s="143" t="s">
        <v>737</v>
      </c>
    </row>
    <row r="829" spans="12:17">
      <c r="L829" s="143" t="s">
        <v>450</v>
      </c>
      <c r="Q829" s="143" t="s">
        <v>738</v>
      </c>
    </row>
    <row r="830" spans="12:17">
      <c r="L830" s="143" t="s">
        <v>361</v>
      </c>
      <c r="Q830" s="143" t="s">
        <v>739</v>
      </c>
    </row>
    <row r="831" spans="12:17">
      <c r="L831" s="143" t="s">
        <v>360</v>
      </c>
      <c r="Q831" s="143" t="s">
        <v>757</v>
      </c>
    </row>
    <row r="832" spans="12:17">
      <c r="L832" s="143" t="s">
        <v>737</v>
      </c>
      <c r="Q832" s="143" t="s">
        <v>620</v>
      </c>
    </row>
    <row r="833" spans="12:17">
      <c r="L833" s="143" t="s">
        <v>738</v>
      </c>
      <c r="Q833" s="143" t="s">
        <v>763</v>
      </c>
    </row>
    <row r="834" spans="12:17">
      <c r="L834" s="143" t="s">
        <v>739</v>
      </c>
      <c r="Q834" s="143" t="s">
        <v>665</v>
      </c>
    </row>
    <row r="835" spans="12:17">
      <c r="L835" s="143" t="s">
        <v>593</v>
      </c>
      <c r="Q835" s="143" t="s">
        <v>775</v>
      </c>
    </row>
    <row r="836" spans="12:17">
      <c r="L836" s="143" t="s">
        <v>594</v>
      </c>
      <c r="Q836" s="143" t="s">
        <v>776</v>
      </c>
    </row>
    <row r="837" spans="12:17">
      <c r="L837" s="143" t="s">
        <v>598</v>
      </c>
      <c r="Q837" s="143" t="s">
        <v>777</v>
      </c>
    </row>
    <row r="838" spans="12:17">
      <c r="L838" s="143" t="s">
        <v>600</v>
      </c>
      <c r="Q838" s="143" t="s">
        <v>778</v>
      </c>
    </row>
    <row r="839" spans="12:17">
      <c r="L839" s="143" t="s">
        <v>601</v>
      </c>
      <c r="Q839" s="143" t="s">
        <v>779</v>
      </c>
    </row>
    <row r="840" spans="12:17">
      <c r="L840" s="143" t="s">
        <v>740</v>
      </c>
      <c r="Q840" s="143" t="s">
        <v>825</v>
      </c>
    </row>
    <row r="841" spans="12:17">
      <c r="L841" s="143" t="s">
        <v>606</v>
      </c>
      <c r="Q841" s="143" t="s">
        <v>826</v>
      </c>
    </row>
    <row r="842" spans="12:17">
      <c r="L842" s="143" t="s">
        <v>757</v>
      </c>
      <c r="Q842" s="143" t="s">
        <v>840</v>
      </c>
    </row>
    <row r="843" spans="12:17">
      <c r="L843" s="143" t="s">
        <v>620</v>
      </c>
      <c r="Q843" s="143" t="s">
        <v>842</v>
      </c>
    </row>
    <row r="844" spans="12:17">
      <c r="L844" s="143" t="s">
        <v>763</v>
      </c>
      <c r="Q844" s="143" t="s">
        <v>876</v>
      </c>
    </row>
    <row r="845" spans="12:17">
      <c r="L845" s="143" t="s">
        <v>665</v>
      </c>
      <c r="Q845" s="143" t="s">
        <v>884</v>
      </c>
    </row>
    <row r="846" spans="12:17">
      <c r="L846" s="143" t="s">
        <v>770</v>
      </c>
      <c r="Q846" s="143" t="s">
        <v>890</v>
      </c>
    </row>
    <row r="847" spans="12:17">
      <c r="L847" s="143" t="s">
        <v>771</v>
      </c>
      <c r="Q847" s="143" t="s">
        <v>891</v>
      </c>
    </row>
    <row r="848" spans="12:17">
      <c r="L848" s="143" t="s">
        <v>772</v>
      </c>
      <c r="Q848" s="143" t="s">
        <v>893</v>
      </c>
    </row>
    <row r="849" spans="12:17">
      <c r="L849" s="143" t="s">
        <v>773</v>
      </c>
      <c r="Q849" s="143" t="s">
        <v>896</v>
      </c>
    </row>
    <row r="850" spans="12:17">
      <c r="L850" s="143" t="s">
        <v>774</v>
      </c>
    </row>
    <row r="851" spans="12:17">
      <c r="L851" s="143" t="s">
        <v>775</v>
      </c>
    </row>
    <row r="852" spans="12:17">
      <c r="L852" s="143" t="s">
        <v>776</v>
      </c>
    </row>
    <row r="853" spans="12:17">
      <c r="L853" s="143" t="s">
        <v>777</v>
      </c>
    </row>
    <row r="854" spans="12:17">
      <c r="L854" s="143" t="s">
        <v>778</v>
      </c>
    </row>
    <row r="855" spans="12:17">
      <c r="L855" s="143" t="s">
        <v>779</v>
      </c>
    </row>
    <row r="856" spans="12:17">
      <c r="L856" s="143" t="s">
        <v>780</v>
      </c>
    </row>
    <row r="857" spans="12:17">
      <c r="L857" s="143" t="s">
        <v>781</v>
      </c>
    </row>
    <row r="858" spans="12:17">
      <c r="L858" s="143" t="s">
        <v>782</v>
      </c>
    </row>
    <row r="859" spans="12:17">
      <c r="L859" s="143" t="s">
        <v>783</v>
      </c>
    </row>
    <row r="860" spans="12:17">
      <c r="L860" s="143" t="s">
        <v>784</v>
      </c>
    </row>
    <row r="861" spans="12:17">
      <c r="L861" s="143" t="s">
        <v>785</v>
      </c>
    </row>
    <row r="862" spans="12:17">
      <c r="L862" s="143" t="s">
        <v>792</v>
      </c>
    </row>
    <row r="863" spans="12:17">
      <c r="L863" s="143" t="s">
        <v>825</v>
      </c>
    </row>
    <row r="864" spans="12:17">
      <c r="L864" s="143" t="s">
        <v>826</v>
      </c>
    </row>
    <row r="865" spans="12:12">
      <c r="L865" s="143" t="s">
        <v>827</v>
      </c>
    </row>
    <row r="866" spans="12:12">
      <c r="L866" s="143" t="s">
        <v>828</v>
      </c>
    </row>
    <row r="867" spans="12:12">
      <c r="L867" s="143" t="s">
        <v>829</v>
      </c>
    </row>
    <row r="868" spans="12:12">
      <c r="L868" s="143" t="s">
        <v>830</v>
      </c>
    </row>
    <row r="869" spans="12:12">
      <c r="L869" s="143" t="s">
        <v>834</v>
      </c>
    </row>
    <row r="870" spans="12:12">
      <c r="L870" s="143" t="s">
        <v>837</v>
      </c>
    </row>
    <row r="871" spans="12:12">
      <c r="L871" s="143" t="s">
        <v>838</v>
      </c>
    </row>
    <row r="872" spans="12:12">
      <c r="L872" s="143" t="s">
        <v>839</v>
      </c>
    </row>
    <row r="873" spans="12:12">
      <c r="L873" s="143" t="s">
        <v>840</v>
      </c>
    </row>
    <row r="874" spans="12:12">
      <c r="L874" s="143" t="s">
        <v>842</v>
      </c>
    </row>
    <row r="875" spans="12:12">
      <c r="L875" s="143" t="s">
        <v>843</v>
      </c>
    </row>
    <row r="876" spans="12:12">
      <c r="L876" s="143" t="s">
        <v>844</v>
      </c>
    </row>
    <row r="877" spans="12:12">
      <c r="L877" s="143" t="s">
        <v>845</v>
      </c>
    </row>
    <row r="878" spans="12:12">
      <c r="L878" s="143" t="s">
        <v>846</v>
      </c>
    </row>
    <row r="879" spans="12:12">
      <c r="L879" s="143" t="s">
        <v>847</v>
      </c>
    </row>
    <row r="880" spans="12:12">
      <c r="L880" s="143" t="s">
        <v>848</v>
      </c>
    </row>
    <row r="881" spans="12:12">
      <c r="L881" s="143" t="s">
        <v>851</v>
      </c>
    </row>
    <row r="882" spans="12:12">
      <c r="L882" s="143" t="s">
        <v>856</v>
      </c>
    </row>
    <row r="883" spans="12:12">
      <c r="L883" s="143" t="s">
        <v>860</v>
      </c>
    </row>
    <row r="884" spans="12:12">
      <c r="L884" s="143" t="s">
        <v>861</v>
      </c>
    </row>
    <row r="885" spans="12:12">
      <c r="L885" s="143" t="s">
        <v>876</v>
      </c>
    </row>
    <row r="886" spans="12:12">
      <c r="L886" s="143" t="s">
        <v>884</v>
      </c>
    </row>
    <row r="887" spans="12:12">
      <c r="L887" s="143" t="s">
        <v>890</v>
      </c>
    </row>
    <row r="888" spans="12:12">
      <c r="L888" s="143" t="s">
        <v>891</v>
      </c>
    </row>
    <row r="889" spans="12:12">
      <c r="L889" s="143" t="s">
        <v>893</v>
      </c>
    </row>
    <row r="890" spans="12:12">
      <c r="L890" s="143" t="s">
        <v>896</v>
      </c>
    </row>
    <row r="892" spans="12:12">
      <c r="L892" s="146" t="s">
        <v>563</v>
      </c>
    </row>
    <row r="893" spans="12:12">
      <c r="L893" s="147" t="s">
        <v>564</v>
      </c>
    </row>
    <row r="894" spans="12:12">
      <c r="L894" s="146" t="s">
        <v>730</v>
      </c>
    </row>
    <row r="895" spans="12:12">
      <c r="L895" s="146" t="s">
        <v>541</v>
      </c>
    </row>
    <row r="896" spans="12:12">
      <c r="L896" s="146" t="s">
        <v>542</v>
      </c>
    </row>
    <row r="897" spans="12:12">
      <c r="L897" s="146" t="s">
        <v>724</v>
      </c>
    </row>
    <row r="898" spans="12:12">
      <c r="L898" s="146" t="s">
        <v>725</v>
      </c>
    </row>
    <row r="899" spans="12:12">
      <c r="L899" s="146" t="s">
        <v>388</v>
      </c>
    </row>
    <row r="900" spans="12:12">
      <c r="L900" s="146" t="s">
        <v>392</v>
      </c>
    </row>
    <row r="901" spans="12:12">
      <c r="L901" s="146" t="s">
        <v>716</v>
      </c>
    </row>
    <row r="902" spans="12:12">
      <c r="L902" s="146" t="s">
        <v>598</v>
      </c>
    </row>
    <row r="903" spans="12:12">
      <c r="L903" s="146" t="s">
        <v>594</v>
      </c>
    </row>
    <row r="904" spans="12:12">
      <c r="L904" s="146" t="s">
        <v>600</v>
      </c>
    </row>
    <row r="905" spans="12:12">
      <c r="L905" s="146" t="s">
        <v>601</v>
      </c>
    </row>
    <row r="906" spans="12:12">
      <c r="L906" s="146" t="s">
        <v>593</v>
      </c>
    </row>
    <row r="907" spans="12:12">
      <c r="L907" s="146" t="s">
        <v>740</v>
      </c>
    </row>
    <row r="908" spans="12:12">
      <c r="L908" s="146" t="s">
        <v>606</v>
      </c>
    </row>
    <row r="909" spans="12:12">
      <c r="L909" s="146" t="s">
        <v>555</v>
      </c>
    </row>
    <row r="910" spans="12:12">
      <c r="L910" s="146" t="s">
        <v>792</v>
      </c>
    </row>
    <row r="911" spans="12:12">
      <c r="L911" s="148" t="s">
        <v>781</v>
      </c>
    </row>
    <row r="912" spans="12:12">
      <c r="L912" s="148" t="s">
        <v>780</v>
      </c>
    </row>
    <row r="913" spans="12:12">
      <c r="L913" s="146" t="s">
        <v>784</v>
      </c>
    </row>
    <row r="914" spans="12:12">
      <c r="L914" s="146" t="s">
        <v>783</v>
      </c>
    </row>
    <row r="915" spans="12:12">
      <c r="L915" s="29" t="s">
        <v>773</v>
      </c>
    </row>
    <row r="916" spans="12:12">
      <c r="L916" s="146" t="s">
        <v>782</v>
      </c>
    </row>
    <row r="917" spans="12:12">
      <c r="L917" s="148" t="s">
        <v>770</v>
      </c>
    </row>
    <row r="918" spans="12:12">
      <c r="L918" s="148" t="s">
        <v>771</v>
      </c>
    </row>
    <row r="919" spans="12:12">
      <c r="L919" s="148" t="s">
        <v>772</v>
      </c>
    </row>
    <row r="920" spans="12:12">
      <c r="L920" s="146" t="s">
        <v>785</v>
      </c>
    </row>
    <row r="921" spans="12:12">
      <c r="L921" s="29" t="s">
        <v>774</v>
      </c>
    </row>
    <row r="922" spans="12:12">
      <c r="L922" s="29" t="s">
        <v>770</v>
      </c>
    </row>
    <row r="923" spans="12:12">
      <c r="L923" s="146" t="s">
        <v>829</v>
      </c>
    </row>
    <row r="924" spans="12:12">
      <c r="L924" s="146" t="s">
        <v>827</v>
      </c>
    </row>
    <row r="925" spans="12:12">
      <c r="L925" s="146" t="s">
        <v>828</v>
      </c>
    </row>
    <row r="926" spans="12:12">
      <c r="L926" s="146" t="s">
        <v>830</v>
      </c>
    </row>
    <row r="927" spans="12:12">
      <c r="L927" s="146" t="s">
        <v>834</v>
      </c>
    </row>
    <row r="928" spans="12:12">
      <c r="L928" s="148" t="s">
        <v>837</v>
      </c>
    </row>
    <row r="929" spans="12:12">
      <c r="L929" s="148" t="s">
        <v>838</v>
      </c>
    </row>
    <row r="930" spans="12:12">
      <c r="L930" s="148" t="s">
        <v>839</v>
      </c>
    </row>
    <row r="931" spans="12:12">
      <c r="L931" s="146" t="s">
        <v>860</v>
      </c>
    </row>
    <row r="932" spans="12:12">
      <c r="L932" s="146" t="s">
        <v>848</v>
      </c>
    </row>
    <row r="933" spans="12:12">
      <c r="L933" s="146" t="s">
        <v>851</v>
      </c>
    </row>
    <row r="934" spans="12:12">
      <c r="L934" s="146" t="s">
        <v>856</v>
      </c>
    </row>
    <row r="935" spans="12:12">
      <c r="L935" s="146" t="s">
        <v>861</v>
      </c>
    </row>
    <row r="936" spans="12:12">
      <c r="L936" s="146" t="s">
        <v>845</v>
      </c>
    </row>
    <row r="937" spans="12:12">
      <c r="L937" s="146" t="s">
        <v>844</v>
      </c>
    </row>
    <row r="938" spans="12:12">
      <c r="L938" s="146" t="s">
        <v>846</v>
      </c>
    </row>
    <row r="939" spans="12:12">
      <c r="L939" s="146" t="s">
        <v>847</v>
      </c>
    </row>
    <row r="940" spans="12:12">
      <c r="L940" s="146" t="s">
        <v>843</v>
      </c>
    </row>
  </sheetData>
  <autoFilter ref="A10:MO361" xr:uid="{0F3254E6-8756-4245-8C9F-8ACF68D28324}">
    <filterColumn colId="0">
      <colorFilter dxfId="226"/>
    </filterColumn>
    <sortState xmlns:xlrd2="http://schemas.microsoft.com/office/spreadsheetml/2017/richdata2" ref="A12:MO361">
      <sortCondition ref="A10"/>
    </sortState>
  </autoFilter>
  <mergeCells count="2">
    <mergeCell ref="A9:A10"/>
    <mergeCell ref="B9:B10"/>
  </mergeCells>
  <conditionalFormatting sqref="A11:A361">
    <cfRule type="duplicateValues" dxfId="110" priority="144"/>
    <cfRule type="duplicateValues" dxfId="109" priority="122"/>
    <cfRule type="duplicateValues" dxfId="108" priority="111"/>
  </conditionalFormatting>
  <conditionalFormatting sqref="A11:A363">
    <cfRule type="duplicateValues" dxfId="107" priority="83"/>
    <cfRule type="duplicateValues" dxfId="106" priority="133"/>
  </conditionalFormatting>
  <conditionalFormatting sqref="A11:A641">
    <cfRule type="duplicateValues" dxfId="105" priority="1"/>
  </conditionalFormatting>
  <conditionalFormatting sqref="A364:A613">
    <cfRule type="duplicateValues" dxfId="104" priority="11"/>
  </conditionalFormatting>
  <conditionalFormatting sqref="A508:A641">
    <cfRule type="duplicateValues" dxfId="103" priority="3"/>
  </conditionalFormatting>
  <conditionalFormatting sqref="A614:A618 A620:A641">
    <cfRule type="duplicateValues" dxfId="102" priority="2"/>
  </conditionalFormatting>
  <conditionalFormatting sqref="A620:A641 A364:A618">
    <cfRule type="duplicateValues" dxfId="101" priority="4"/>
    <cfRule type="duplicateValues" dxfId="100" priority="5"/>
    <cfRule type="duplicateValues" dxfId="99" priority="6"/>
    <cfRule type="duplicateValues" dxfId="98" priority="7"/>
    <cfRule type="duplicateValues" dxfId="97" priority="8"/>
    <cfRule type="duplicateValues" dxfId="96" priority="9"/>
    <cfRule type="duplicateValues" dxfId="95" priority="10"/>
    <cfRule type="duplicateValues" dxfId="94" priority="12"/>
  </conditionalFormatting>
  <conditionalFormatting sqref="I8:I269">
    <cfRule type="duplicateValues" dxfId="93" priority="108"/>
    <cfRule type="duplicateValues" dxfId="92" priority="107"/>
    <cfRule type="duplicateValues" dxfId="91" priority="110"/>
    <cfRule type="duplicateValues" dxfId="90" priority="109"/>
  </conditionalFormatting>
  <conditionalFormatting sqref="I278:I387">
    <cfRule type="duplicateValues" dxfId="89" priority="106"/>
  </conditionalFormatting>
  <conditionalFormatting sqref="I278:I390 I8:I269">
    <cfRule type="duplicateValues" dxfId="88" priority="95"/>
  </conditionalFormatting>
  <conditionalFormatting sqref="I326">
    <cfRule type="duplicateValues" dxfId="87" priority="105"/>
    <cfRule type="duplicateValues" dxfId="86" priority="104"/>
  </conditionalFormatting>
  <conditionalFormatting sqref="I337">
    <cfRule type="duplicateValues" dxfId="85" priority="103"/>
    <cfRule type="duplicateValues" dxfId="84" priority="102"/>
  </conditionalFormatting>
  <conditionalFormatting sqref="I338:I342">
    <cfRule type="duplicateValues" dxfId="83" priority="101"/>
    <cfRule type="duplicateValues" dxfId="82" priority="100"/>
  </conditionalFormatting>
  <conditionalFormatting sqref="I355">
    <cfRule type="duplicateValues" dxfId="81" priority="98"/>
    <cfRule type="duplicateValues" dxfId="80" priority="99"/>
  </conditionalFormatting>
  <conditionalFormatting sqref="I356:I387">
    <cfRule type="duplicateValues" dxfId="79" priority="97"/>
    <cfRule type="duplicateValues" dxfId="78" priority="96"/>
  </conditionalFormatting>
  <conditionalFormatting sqref="I670:I754">
    <cfRule type="duplicateValues" dxfId="77" priority="702"/>
    <cfRule type="duplicateValues" dxfId="76" priority="699"/>
    <cfRule type="duplicateValues" dxfId="75" priority="698"/>
  </conditionalFormatting>
  <conditionalFormatting sqref="I756:I800 I670:I754">
    <cfRule type="duplicateValues" dxfId="74" priority="13"/>
  </conditionalFormatting>
  <conditionalFormatting sqref="I765">
    <cfRule type="duplicateValues" dxfId="73" priority="31"/>
  </conditionalFormatting>
  <conditionalFormatting sqref="I767:I768">
    <cfRule type="duplicateValues" dxfId="72" priority="14"/>
    <cfRule type="duplicateValues" dxfId="71" priority="15"/>
    <cfRule type="duplicateValues" dxfId="70" priority="16"/>
  </conditionalFormatting>
  <conditionalFormatting sqref="I779">
    <cfRule type="duplicateValues" dxfId="69" priority="21"/>
    <cfRule type="duplicateValues" dxfId="68" priority="22"/>
    <cfRule type="duplicateValues" dxfId="67" priority="23"/>
  </conditionalFormatting>
  <conditionalFormatting sqref="I783">
    <cfRule type="duplicateValues" dxfId="66" priority="26"/>
    <cfRule type="duplicateValues" dxfId="65" priority="24"/>
    <cfRule type="duplicateValues" dxfId="64" priority="25"/>
  </conditionalFormatting>
  <conditionalFormatting sqref="I784">
    <cfRule type="duplicateValues" dxfId="63" priority="27"/>
    <cfRule type="duplicateValues" dxfId="62" priority="28"/>
    <cfRule type="duplicateValues" dxfId="61" priority="29"/>
  </conditionalFormatting>
  <conditionalFormatting sqref="I793">
    <cfRule type="duplicateValues" dxfId="60" priority="20"/>
  </conditionalFormatting>
  <conditionalFormatting sqref="I794:I795 I785:I792 I797:I798 I769:I778 I766 I756:I764 I780:I782">
    <cfRule type="duplicateValues" dxfId="59" priority="30"/>
  </conditionalFormatting>
  <conditionalFormatting sqref="I796">
    <cfRule type="duplicateValues" dxfId="58" priority="19"/>
  </conditionalFormatting>
  <conditionalFormatting sqref="I799">
    <cfRule type="duplicateValues" dxfId="57" priority="18"/>
  </conditionalFormatting>
  <conditionalFormatting sqref="I800">
    <cfRule type="duplicateValues" dxfId="56" priority="17"/>
  </conditionalFormatting>
  <conditionalFormatting sqref="I801:I804">
    <cfRule type="duplicateValues" dxfId="55" priority="77"/>
  </conditionalFormatting>
  <conditionalFormatting sqref="L806:L890">
    <cfRule type="duplicateValues" dxfId="54" priority="65"/>
    <cfRule type="duplicateValues" dxfId="53" priority="67"/>
    <cfRule type="duplicateValues" dxfId="52" priority="66"/>
  </conditionalFormatting>
  <conditionalFormatting sqref="L892:L914 L923:L940 L916:L920">
    <cfRule type="duplicateValues" dxfId="51" priority="64"/>
  </conditionalFormatting>
  <conditionalFormatting sqref="L892:L940 L806:L890">
    <cfRule type="duplicateValues" dxfId="50" priority="54"/>
  </conditionalFormatting>
  <conditionalFormatting sqref="L915">
    <cfRule type="duplicateValues" dxfId="49" priority="57"/>
    <cfRule type="duplicateValues" dxfId="48" priority="56"/>
    <cfRule type="duplicateValues" dxfId="47" priority="55"/>
  </conditionalFormatting>
  <conditionalFormatting sqref="L921">
    <cfRule type="duplicateValues" dxfId="46" priority="59"/>
    <cfRule type="duplicateValues" dxfId="45" priority="60"/>
    <cfRule type="duplicateValues" dxfId="44" priority="58"/>
  </conditionalFormatting>
  <conditionalFormatting sqref="L922">
    <cfRule type="duplicateValues" dxfId="43" priority="63"/>
    <cfRule type="duplicateValues" dxfId="42" priority="62"/>
    <cfRule type="duplicateValues" dxfId="41" priority="61"/>
  </conditionalFormatting>
  <conditionalFormatting sqref="P764">
    <cfRule type="duplicateValues" dxfId="40" priority="49"/>
  </conditionalFormatting>
  <conditionalFormatting sqref="P766:P767">
    <cfRule type="duplicateValues" dxfId="39" priority="34"/>
    <cfRule type="duplicateValues" dxfId="38" priority="33"/>
    <cfRule type="duplicateValues" dxfId="37" priority="32"/>
  </conditionalFormatting>
  <conditionalFormatting sqref="P778">
    <cfRule type="duplicateValues" dxfId="36" priority="40"/>
    <cfRule type="duplicateValues" dxfId="35" priority="41"/>
    <cfRule type="duplicateValues" dxfId="34" priority="39"/>
  </conditionalFormatting>
  <conditionalFormatting sqref="P782">
    <cfRule type="duplicateValues" dxfId="33" priority="42"/>
    <cfRule type="duplicateValues" dxfId="32" priority="44"/>
    <cfRule type="duplicateValues" dxfId="31" priority="43"/>
  </conditionalFormatting>
  <conditionalFormatting sqref="P783">
    <cfRule type="duplicateValues" dxfId="30" priority="47"/>
    <cfRule type="duplicateValues" dxfId="29" priority="46"/>
    <cfRule type="duplicateValues" dxfId="28" priority="45"/>
  </conditionalFormatting>
  <conditionalFormatting sqref="P792">
    <cfRule type="duplicateValues" dxfId="27" priority="38"/>
  </conditionalFormatting>
  <conditionalFormatting sqref="P793:P794 P784:P791 P796:P797 P768:P777 P765 P755:P763 P779:P781">
    <cfRule type="duplicateValues" dxfId="26" priority="48"/>
  </conditionalFormatting>
  <conditionalFormatting sqref="P795">
    <cfRule type="duplicateValues" dxfId="25" priority="37"/>
  </conditionalFormatting>
  <conditionalFormatting sqref="P798">
    <cfRule type="duplicateValues" dxfId="24" priority="36"/>
  </conditionalFormatting>
  <conditionalFormatting sqref="P799">
    <cfRule type="duplicateValues" dxfId="23" priority="35"/>
  </conditionalFormatting>
  <conditionalFormatting sqref="Q813:Q849">
    <cfRule type="duplicateValues" dxfId="22" priority="52"/>
    <cfRule type="duplicateValues" dxfId="21" priority="51"/>
    <cfRule type="duplicateValues" dxfId="20" priority="50"/>
    <cfRule type="duplicateValues" dxfId="19" priority="5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FC91-84AD-4F82-A84F-B1311429AE39}">
  <sheetPr codeName="Sheet18" filterMode="1"/>
  <dimension ref="B3:B380"/>
  <sheetViews>
    <sheetView workbookViewId="0">
      <selection activeCell="B12" sqref="B12:B265"/>
    </sheetView>
  </sheetViews>
  <sheetFormatPr defaultRowHeight="14.5"/>
  <sheetData>
    <row r="3" spans="2:2">
      <c r="B3" t="s">
        <v>940</v>
      </c>
    </row>
    <row r="4" spans="2:2" hidden="1">
      <c r="B4" t="s">
        <v>675</v>
      </c>
    </row>
    <row r="5" spans="2:2" hidden="1">
      <c r="B5" t="s">
        <v>700</v>
      </c>
    </row>
    <row r="6" spans="2:2" hidden="1">
      <c r="B6" t="s">
        <v>519</v>
      </c>
    </row>
    <row r="7" spans="2:2" hidden="1">
      <c r="B7" t="s">
        <v>520</v>
      </c>
    </row>
    <row r="8" spans="2:2" hidden="1">
      <c r="B8" t="s">
        <v>521</v>
      </c>
    </row>
    <row r="9" spans="2:2" hidden="1">
      <c r="B9" t="s">
        <v>701</v>
      </c>
    </row>
    <row r="10" spans="2:2" hidden="1">
      <c r="B10" t="s">
        <v>702</v>
      </c>
    </row>
    <row r="11" spans="2:2" hidden="1">
      <c r="B11" t="s">
        <v>522</v>
      </c>
    </row>
    <row r="12" spans="2:2">
      <c r="B12" t="s">
        <v>703</v>
      </c>
    </row>
    <row r="13" spans="2:2" hidden="1">
      <c r="B13" t="s">
        <v>704</v>
      </c>
    </row>
    <row r="14" spans="2:2" hidden="1">
      <c r="B14" t="s">
        <v>705</v>
      </c>
    </row>
    <row r="15" spans="2:2" hidden="1">
      <c r="B15" t="s">
        <v>676</v>
      </c>
    </row>
    <row r="16" spans="2:2" hidden="1">
      <c r="B16" t="s">
        <v>706</v>
      </c>
    </row>
    <row r="17" spans="2:2" hidden="1">
      <c r="B17" t="s">
        <v>707</v>
      </c>
    </row>
    <row r="18" spans="2:2" hidden="1">
      <c r="B18" t="s">
        <v>677</v>
      </c>
    </row>
    <row r="19" spans="2:2">
      <c r="B19" t="s">
        <v>523</v>
      </c>
    </row>
    <row r="20" spans="2:2">
      <c r="B20" t="s">
        <v>708</v>
      </c>
    </row>
    <row r="21" spans="2:2" hidden="1">
      <c r="B21" t="s">
        <v>678</v>
      </c>
    </row>
    <row r="22" spans="2:2" hidden="1">
      <c r="B22" t="s">
        <v>679</v>
      </c>
    </row>
    <row r="23" spans="2:2" hidden="1">
      <c r="B23" t="s">
        <v>709</v>
      </c>
    </row>
    <row r="24" spans="2:2" hidden="1">
      <c r="B24" t="s">
        <v>710</v>
      </c>
    </row>
    <row r="25" spans="2:2" hidden="1">
      <c r="B25" t="s">
        <v>711</v>
      </c>
    </row>
    <row r="26" spans="2:2" hidden="1">
      <c r="B26" t="s">
        <v>712</v>
      </c>
    </row>
    <row r="27" spans="2:2">
      <c r="B27" t="s">
        <v>713</v>
      </c>
    </row>
    <row r="28" spans="2:2">
      <c r="B28" t="s">
        <v>714</v>
      </c>
    </row>
    <row r="29" spans="2:2" hidden="1">
      <c r="B29" t="s">
        <v>715</v>
      </c>
    </row>
    <row r="30" spans="2:2">
      <c r="B30" t="s">
        <v>272</v>
      </c>
    </row>
    <row r="31" spans="2:2">
      <c r="B31" t="s">
        <v>526</v>
      </c>
    </row>
    <row r="32" spans="2:2">
      <c r="B32" t="s">
        <v>527</v>
      </c>
    </row>
    <row r="33" spans="2:2">
      <c r="B33" t="s">
        <v>277</v>
      </c>
    </row>
    <row r="34" spans="2:2">
      <c r="B34" t="s">
        <v>717</v>
      </c>
    </row>
    <row r="35" spans="2:2">
      <c r="B35" t="s">
        <v>718</v>
      </c>
    </row>
    <row r="36" spans="2:2">
      <c r="B36" t="s">
        <v>719</v>
      </c>
    </row>
    <row r="37" spans="2:2" hidden="1">
      <c r="B37" t="s">
        <v>720</v>
      </c>
    </row>
    <row r="38" spans="2:2" hidden="1">
      <c r="B38" t="s">
        <v>680</v>
      </c>
    </row>
    <row r="39" spans="2:2">
      <c r="B39" t="s">
        <v>721</v>
      </c>
    </row>
    <row r="40" spans="2:2">
      <c r="B40" t="s">
        <v>722</v>
      </c>
    </row>
    <row r="41" spans="2:2">
      <c r="B41" t="s">
        <v>723</v>
      </c>
    </row>
    <row r="42" spans="2:2">
      <c r="B42" t="s">
        <v>135</v>
      </c>
    </row>
    <row r="43" spans="2:2">
      <c r="B43" t="s">
        <v>173</v>
      </c>
    </row>
    <row r="44" spans="2:2">
      <c r="B44" t="s">
        <v>167</v>
      </c>
    </row>
    <row r="45" spans="2:2" hidden="1">
      <c r="B45" t="s">
        <v>543</v>
      </c>
    </row>
    <row r="46" spans="2:2" hidden="1">
      <c r="B46" t="s">
        <v>727</v>
      </c>
    </row>
    <row r="47" spans="2:2">
      <c r="B47" t="s">
        <v>545</v>
      </c>
    </row>
    <row r="48" spans="2:2">
      <c r="B48" t="s">
        <v>729</v>
      </c>
    </row>
    <row r="49" spans="2:2">
      <c r="B49" t="s">
        <v>442</v>
      </c>
    </row>
    <row r="50" spans="2:2">
      <c r="B50" t="s">
        <v>448</v>
      </c>
    </row>
    <row r="51" spans="2:2">
      <c r="B51" t="s">
        <v>378</v>
      </c>
    </row>
    <row r="52" spans="2:2">
      <c r="B52" t="s">
        <v>731</v>
      </c>
    </row>
    <row r="53" spans="2:2">
      <c r="B53" t="s">
        <v>372</v>
      </c>
    </row>
    <row r="54" spans="2:2" hidden="1">
      <c r="B54" t="s">
        <v>370</v>
      </c>
    </row>
    <row r="55" spans="2:2" hidden="1">
      <c r="B55" t="s">
        <v>732</v>
      </c>
    </row>
    <row r="56" spans="2:2" hidden="1">
      <c r="B56" t="s">
        <v>368</v>
      </c>
    </row>
    <row r="57" spans="2:2" hidden="1">
      <c r="B57" t="s">
        <v>681</v>
      </c>
    </row>
    <row r="58" spans="2:2" hidden="1">
      <c r="B58" t="s">
        <v>682</v>
      </c>
    </row>
    <row r="59" spans="2:2" hidden="1">
      <c r="B59" t="s">
        <v>369</v>
      </c>
    </row>
    <row r="60" spans="2:2" hidden="1">
      <c r="B60" t="s">
        <v>174</v>
      </c>
    </row>
    <row r="61" spans="2:2" hidden="1">
      <c r="B61" t="s">
        <v>137</v>
      </c>
    </row>
    <row r="62" spans="2:2">
      <c r="B62" t="s">
        <v>138</v>
      </c>
    </row>
    <row r="63" spans="2:2">
      <c r="B63" t="s">
        <v>139</v>
      </c>
    </row>
    <row r="64" spans="2:2">
      <c r="B64" t="s">
        <v>140</v>
      </c>
    </row>
    <row r="65" spans="2:2" hidden="1">
      <c r="B65" t="s">
        <v>168</v>
      </c>
    </row>
    <row r="66" spans="2:2" hidden="1">
      <c r="B66" t="s">
        <v>176</v>
      </c>
    </row>
    <row r="67" spans="2:2" hidden="1">
      <c r="B67" t="s">
        <v>177</v>
      </c>
    </row>
    <row r="68" spans="2:2" hidden="1">
      <c r="B68" t="s">
        <v>683</v>
      </c>
    </row>
    <row r="69" spans="2:2" hidden="1">
      <c r="B69" t="s">
        <v>733</v>
      </c>
    </row>
    <row r="70" spans="2:2" hidden="1">
      <c r="B70" t="s">
        <v>684</v>
      </c>
    </row>
    <row r="71" spans="2:2" hidden="1">
      <c r="B71" t="s">
        <v>462</v>
      </c>
    </row>
    <row r="72" spans="2:2" hidden="1">
      <c r="B72" t="s">
        <v>418</v>
      </c>
    </row>
    <row r="73" spans="2:2" hidden="1">
      <c r="B73" t="s">
        <v>400</v>
      </c>
    </row>
    <row r="74" spans="2:2">
      <c r="B74" t="s">
        <v>374</v>
      </c>
    </row>
    <row r="75" spans="2:2">
      <c r="B75" t="s">
        <v>549</v>
      </c>
    </row>
    <row r="76" spans="2:2" hidden="1">
      <c r="B76" t="s">
        <v>404</v>
      </c>
    </row>
    <row r="77" spans="2:2" hidden="1">
      <c r="B77" t="s">
        <v>407</v>
      </c>
    </row>
    <row r="78" spans="2:2" hidden="1">
      <c r="B78" t="s">
        <v>178</v>
      </c>
    </row>
    <row r="79" spans="2:2" hidden="1">
      <c r="B79" t="s">
        <v>179</v>
      </c>
    </row>
    <row r="80" spans="2:2" hidden="1">
      <c r="B80" t="s">
        <v>685</v>
      </c>
    </row>
    <row r="81" spans="2:2">
      <c r="B81" t="s">
        <v>551</v>
      </c>
    </row>
    <row r="82" spans="2:2" hidden="1">
      <c r="B82" t="s">
        <v>425</v>
      </c>
    </row>
    <row r="83" spans="2:2" hidden="1">
      <c r="B83" t="s">
        <v>423</v>
      </c>
    </row>
    <row r="84" spans="2:2" hidden="1">
      <c r="B84" t="s">
        <v>385</v>
      </c>
    </row>
    <row r="85" spans="2:2" hidden="1">
      <c r="B85" t="s">
        <v>180</v>
      </c>
    </row>
    <row r="86" spans="2:2" hidden="1">
      <c r="B86" t="s">
        <v>371</v>
      </c>
    </row>
    <row r="87" spans="2:2" hidden="1">
      <c r="B87" t="s">
        <v>383</v>
      </c>
    </row>
    <row r="88" spans="2:2">
      <c r="B88" t="s">
        <v>169</v>
      </c>
    </row>
    <row r="89" spans="2:2">
      <c r="B89" t="s">
        <v>577</v>
      </c>
    </row>
    <row r="90" spans="2:2">
      <c r="B90" t="s">
        <v>181</v>
      </c>
    </row>
    <row r="91" spans="2:2">
      <c r="B91" t="s">
        <v>165</v>
      </c>
    </row>
    <row r="92" spans="2:2">
      <c r="B92" t="s">
        <v>602</v>
      </c>
    </row>
    <row r="93" spans="2:2">
      <c r="B93" t="s">
        <v>741</v>
      </c>
    </row>
    <row r="94" spans="2:2">
      <c r="B94" t="s">
        <v>742</v>
      </c>
    </row>
    <row r="95" spans="2:2">
      <c r="B95" t="s">
        <v>743</v>
      </c>
    </row>
    <row r="96" spans="2:2">
      <c r="B96" t="s">
        <v>744</v>
      </c>
    </row>
    <row r="97" spans="2:2">
      <c r="B97" t="s">
        <v>182</v>
      </c>
    </row>
    <row r="98" spans="2:2">
      <c r="B98" t="s">
        <v>141</v>
      </c>
    </row>
    <row r="99" spans="2:2">
      <c r="B99" t="s">
        <v>605</v>
      </c>
    </row>
    <row r="100" spans="2:2">
      <c r="B100" t="s">
        <v>607</v>
      </c>
    </row>
    <row r="101" spans="2:2">
      <c r="B101" t="s">
        <v>612</v>
      </c>
    </row>
    <row r="102" spans="2:2">
      <c r="B102" t="s">
        <v>745</v>
      </c>
    </row>
    <row r="103" spans="2:2">
      <c r="B103" t="s">
        <v>746</v>
      </c>
    </row>
    <row r="104" spans="2:2">
      <c r="B104" t="s">
        <v>747</v>
      </c>
    </row>
    <row r="105" spans="2:2">
      <c r="B105" t="s">
        <v>748</v>
      </c>
    </row>
    <row r="106" spans="2:2">
      <c r="B106" t="s">
        <v>144</v>
      </c>
    </row>
    <row r="107" spans="2:2">
      <c r="B107" t="s">
        <v>749</v>
      </c>
    </row>
    <row r="108" spans="2:2">
      <c r="B108" t="s">
        <v>750</v>
      </c>
    </row>
    <row r="109" spans="2:2">
      <c r="B109" t="s">
        <v>751</v>
      </c>
    </row>
    <row r="110" spans="2:2" hidden="1">
      <c r="B110" t="s">
        <v>752</v>
      </c>
    </row>
    <row r="111" spans="2:2" hidden="1">
      <c r="B111" t="s">
        <v>686</v>
      </c>
    </row>
    <row r="112" spans="2:2" hidden="1">
      <c r="B112" t="s">
        <v>183</v>
      </c>
    </row>
    <row r="113" spans="2:2" hidden="1">
      <c r="B113" t="s">
        <v>753</v>
      </c>
    </row>
    <row r="114" spans="2:2" hidden="1">
      <c r="B114" t="s">
        <v>754</v>
      </c>
    </row>
    <row r="115" spans="2:2" hidden="1">
      <c r="B115" t="s">
        <v>755</v>
      </c>
    </row>
    <row r="116" spans="2:2" hidden="1">
      <c r="B116" t="s">
        <v>613</v>
      </c>
    </row>
    <row r="117" spans="2:2">
      <c r="B117" t="s">
        <v>614</v>
      </c>
    </row>
    <row r="118" spans="2:2" hidden="1">
      <c r="B118" t="s">
        <v>615</v>
      </c>
    </row>
    <row r="119" spans="2:2" hidden="1">
      <c r="B119" t="s">
        <v>145</v>
      </c>
    </row>
    <row r="120" spans="2:2">
      <c r="B120" t="s">
        <v>616</v>
      </c>
    </row>
    <row r="121" spans="2:2" hidden="1">
      <c r="B121" t="s">
        <v>146</v>
      </c>
    </row>
    <row r="122" spans="2:2" hidden="1">
      <c r="B122" t="s">
        <v>756</v>
      </c>
    </row>
    <row r="123" spans="2:2">
      <c r="B123" t="s">
        <v>758</v>
      </c>
    </row>
    <row r="124" spans="2:2">
      <c r="B124" t="s">
        <v>621</v>
      </c>
    </row>
    <row r="125" spans="2:2" hidden="1">
      <c r="B125" t="s">
        <v>759</v>
      </c>
    </row>
    <row r="126" spans="2:2" hidden="1">
      <c r="B126" t="s">
        <v>687</v>
      </c>
    </row>
    <row r="127" spans="2:2" hidden="1">
      <c r="B127" t="s">
        <v>688</v>
      </c>
    </row>
    <row r="128" spans="2:2" hidden="1">
      <c r="B128" t="s">
        <v>760</v>
      </c>
    </row>
    <row r="129" spans="2:2" hidden="1">
      <c r="B129" t="s">
        <v>689</v>
      </c>
    </row>
    <row r="130" spans="2:2" hidden="1">
      <c r="B130" t="s">
        <v>761</v>
      </c>
    </row>
    <row r="131" spans="2:2" hidden="1">
      <c r="B131" t="s">
        <v>184</v>
      </c>
    </row>
    <row r="132" spans="2:2" hidden="1">
      <c r="B132" t="s">
        <v>185</v>
      </c>
    </row>
    <row r="133" spans="2:2">
      <c r="B133" t="s">
        <v>186</v>
      </c>
    </row>
    <row r="134" spans="2:2" hidden="1">
      <c r="B134" t="s">
        <v>623</v>
      </c>
    </row>
    <row r="135" spans="2:2">
      <c r="B135" t="s">
        <v>147</v>
      </c>
    </row>
    <row r="136" spans="2:2">
      <c r="B136" t="s">
        <v>624</v>
      </c>
    </row>
    <row r="137" spans="2:2">
      <c r="B137" t="s">
        <v>625</v>
      </c>
    </row>
    <row r="138" spans="2:2">
      <c r="B138" t="s">
        <v>464</v>
      </c>
    </row>
    <row r="139" spans="2:2" hidden="1">
      <c r="B139" t="s">
        <v>631</v>
      </c>
    </row>
    <row r="140" spans="2:2">
      <c r="B140" t="s">
        <v>762</v>
      </c>
    </row>
    <row r="141" spans="2:2" hidden="1">
      <c r="B141" t="s">
        <v>764</v>
      </c>
    </row>
    <row r="142" spans="2:2" hidden="1">
      <c r="B142" t="s">
        <v>642</v>
      </c>
    </row>
    <row r="143" spans="2:2" hidden="1">
      <c r="B143" t="s">
        <v>148</v>
      </c>
    </row>
    <row r="144" spans="2:2">
      <c r="B144" t="s">
        <v>647</v>
      </c>
    </row>
    <row r="145" spans="2:2">
      <c r="B145" t="s">
        <v>149</v>
      </c>
    </row>
    <row r="146" spans="2:2">
      <c r="B146" t="s">
        <v>150</v>
      </c>
    </row>
    <row r="147" spans="2:2">
      <c r="B147" t="s">
        <v>151</v>
      </c>
    </row>
    <row r="148" spans="2:2" hidden="1">
      <c r="B148" t="s">
        <v>421</v>
      </c>
    </row>
    <row r="149" spans="2:2" hidden="1">
      <c r="B149" t="s">
        <v>463</v>
      </c>
    </row>
    <row r="150" spans="2:2">
      <c r="B150" t="s">
        <v>765</v>
      </c>
    </row>
    <row r="151" spans="2:2" hidden="1">
      <c r="B151" t="s">
        <v>766</v>
      </c>
    </row>
    <row r="152" spans="2:2" hidden="1">
      <c r="B152" t="s">
        <v>767</v>
      </c>
    </row>
    <row r="153" spans="2:2" hidden="1">
      <c r="B153" t="s">
        <v>768</v>
      </c>
    </row>
    <row r="154" spans="2:2" hidden="1">
      <c r="B154" t="s">
        <v>690</v>
      </c>
    </row>
    <row r="155" spans="2:2" hidden="1">
      <c r="B155" t="s">
        <v>152</v>
      </c>
    </row>
    <row r="156" spans="2:2" hidden="1">
      <c r="B156" t="s">
        <v>166</v>
      </c>
    </row>
    <row r="157" spans="2:2">
      <c r="B157" t="s">
        <v>769</v>
      </c>
    </row>
    <row r="158" spans="2:2">
      <c r="B158" t="s">
        <v>153</v>
      </c>
    </row>
    <row r="159" spans="2:2">
      <c r="B159" t="s">
        <v>786</v>
      </c>
    </row>
    <row r="160" spans="2:2">
      <c r="B160" t="s">
        <v>154</v>
      </c>
    </row>
    <row r="161" spans="2:2">
      <c r="B161" t="s">
        <v>164</v>
      </c>
    </row>
    <row r="162" spans="2:2">
      <c r="B162" t="s">
        <v>787</v>
      </c>
    </row>
    <row r="163" spans="2:2">
      <c r="B163" t="s">
        <v>788</v>
      </c>
    </row>
    <row r="164" spans="2:2">
      <c r="B164" t="s">
        <v>789</v>
      </c>
    </row>
    <row r="165" spans="2:2">
      <c r="B165" t="s">
        <v>790</v>
      </c>
    </row>
    <row r="166" spans="2:2">
      <c r="B166" t="s">
        <v>791</v>
      </c>
    </row>
    <row r="167" spans="2:2">
      <c r="B167" t="s">
        <v>793</v>
      </c>
    </row>
    <row r="168" spans="2:2">
      <c r="B168" t="s">
        <v>794</v>
      </c>
    </row>
    <row r="169" spans="2:2">
      <c r="B169" t="s">
        <v>795</v>
      </c>
    </row>
    <row r="170" spans="2:2" hidden="1">
      <c r="B170" t="s">
        <v>796</v>
      </c>
    </row>
    <row r="171" spans="2:2">
      <c r="B171" t="s">
        <v>187</v>
      </c>
    </row>
    <row r="172" spans="2:2" hidden="1">
      <c r="B172" t="s">
        <v>797</v>
      </c>
    </row>
    <row r="173" spans="2:2" hidden="1">
      <c r="B173" t="s">
        <v>798</v>
      </c>
    </row>
    <row r="174" spans="2:2">
      <c r="B174" t="s">
        <v>188</v>
      </c>
    </row>
    <row r="175" spans="2:2">
      <c r="B175" t="s">
        <v>799</v>
      </c>
    </row>
    <row r="176" spans="2:2">
      <c r="B176" t="s">
        <v>800</v>
      </c>
    </row>
    <row r="177" spans="2:2">
      <c r="B177" t="s">
        <v>155</v>
      </c>
    </row>
    <row r="178" spans="2:2">
      <c r="B178" t="s">
        <v>801</v>
      </c>
    </row>
    <row r="179" spans="2:2">
      <c r="B179" t="s">
        <v>156</v>
      </c>
    </row>
    <row r="180" spans="2:2">
      <c r="B180" t="s">
        <v>157</v>
      </c>
    </row>
    <row r="181" spans="2:2">
      <c r="B181" t="s">
        <v>802</v>
      </c>
    </row>
    <row r="182" spans="2:2">
      <c r="B182" t="s">
        <v>803</v>
      </c>
    </row>
    <row r="183" spans="2:2">
      <c r="B183" t="s">
        <v>804</v>
      </c>
    </row>
    <row r="184" spans="2:2">
      <c r="B184" t="s">
        <v>805</v>
      </c>
    </row>
    <row r="185" spans="2:2">
      <c r="B185" t="s">
        <v>189</v>
      </c>
    </row>
    <row r="186" spans="2:2">
      <c r="B186" t="s">
        <v>806</v>
      </c>
    </row>
    <row r="187" spans="2:2">
      <c r="B187" t="s">
        <v>807</v>
      </c>
    </row>
    <row r="188" spans="2:2">
      <c r="B188" t="s">
        <v>809</v>
      </c>
    </row>
    <row r="189" spans="2:2">
      <c r="B189" t="s">
        <v>810</v>
      </c>
    </row>
    <row r="190" spans="2:2" hidden="1">
      <c r="B190" t="s">
        <v>811</v>
      </c>
    </row>
    <row r="191" spans="2:2">
      <c r="B191" t="s">
        <v>812</v>
      </c>
    </row>
    <row r="192" spans="2:2">
      <c r="B192" t="s">
        <v>813</v>
      </c>
    </row>
    <row r="193" spans="2:2">
      <c r="B193" t="s">
        <v>814</v>
      </c>
    </row>
    <row r="194" spans="2:2">
      <c r="B194" t="s">
        <v>815</v>
      </c>
    </row>
    <row r="195" spans="2:2">
      <c r="B195" t="s">
        <v>816</v>
      </c>
    </row>
    <row r="196" spans="2:2">
      <c r="B196" t="s">
        <v>817</v>
      </c>
    </row>
    <row r="197" spans="2:2">
      <c r="B197" t="s">
        <v>818</v>
      </c>
    </row>
    <row r="198" spans="2:2">
      <c r="B198" t="s">
        <v>819</v>
      </c>
    </row>
    <row r="199" spans="2:2">
      <c r="B199" t="s">
        <v>820</v>
      </c>
    </row>
    <row r="200" spans="2:2">
      <c r="B200" t="s">
        <v>821</v>
      </c>
    </row>
    <row r="201" spans="2:2">
      <c r="B201" t="s">
        <v>822</v>
      </c>
    </row>
    <row r="202" spans="2:2">
      <c r="B202" t="s">
        <v>823</v>
      </c>
    </row>
    <row r="203" spans="2:2">
      <c r="B203" t="s">
        <v>190</v>
      </c>
    </row>
    <row r="204" spans="2:2">
      <c r="B204" t="s">
        <v>824</v>
      </c>
    </row>
    <row r="205" spans="2:2">
      <c r="B205" t="s">
        <v>831</v>
      </c>
    </row>
    <row r="206" spans="2:2">
      <c r="B206" t="s">
        <v>832</v>
      </c>
    </row>
    <row r="207" spans="2:2">
      <c r="B207" t="s">
        <v>833</v>
      </c>
    </row>
    <row r="208" spans="2:2">
      <c r="B208" t="s">
        <v>835</v>
      </c>
    </row>
    <row r="209" spans="2:2">
      <c r="B209" t="s">
        <v>836</v>
      </c>
    </row>
    <row r="210" spans="2:2">
      <c r="B210" t="s">
        <v>841</v>
      </c>
    </row>
    <row r="211" spans="2:2">
      <c r="B211" t="s">
        <v>849</v>
      </c>
    </row>
    <row r="212" spans="2:2">
      <c r="B212" t="s">
        <v>850</v>
      </c>
    </row>
    <row r="213" spans="2:2">
      <c r="B213" t="s">
        <v>852</v>
      </c>
    </row>
    <row r="214" spans="2:2">
      <c r="B214" t="s">
        <v>853</v>
      </c>
    </row>
    <row r="215" spans="2:2">
      <c r="B215" t="s">
        <v>854</v>
      </c>
    </row>
    <row r="216" spans="2:2">
      <c r="B216" t="s">
        <v>855</v>
      </c>
    </row>
    <row r="217" spans="2:2">
      <c r="B217" t="s">
        <v>857</v>
      </c>
    </row>
    <row r="218" spans="2:2">
      <c r="B218" t="s">
        <v>858</v>
      </c>
    </row>
    <row r="219" spans="2:2">
      <c r="B219" t="s">
        <v>859</v>
      </c>
    </row>
    <row r="220" spans="2:2">
      <c r="B220" t="s">
        <v>862</v>
      </c>
    </row>
    <row r="221" spans="2:2" hidden="1">
      <c r="B221" t="s">
        <v>864</v>
      </c>
    </row>
    <row r="222" spans="2:2">
      <c r="B222" t="s">
        <v>170</v>
      </c>
    </row>
    <row r="223" spans="2:2" hidden="1">
      <c r="B223" t="s">
        <v>691</v>
      </c>
    </row>
    <row r="224" spans="2:2" hidden="1">
      <c r="B224" t="s">
        <v>865</v>
      </c>
    </row>
    <row r="225" spans="2:2" hidden="1">
      <c r="B225" t="s">
        <v>866</v>
      </c>
    </row>
    <row r="226" spans="2:2">
      <c r="B226" t="s">
        <v>867</v>
      </c>
    </row>
    <row r="227" spans="2:2" hidden="1">
      <c r="B227" t="s">
        <v>868</v>
      </c>
    </row>
    <row r="228" spans="2:2" hidden="1">
      <c r="B228" t="s">
        <v>692</v>
      </c>
    </row>
    <row r="229" spans="2:2" hidden="1">
      <c r="B229" t="s">
        <v>869</v>
      </c>
    </row>
    <row r="230" spans="2:2">
      <c r="B230" t="s">
        <v>870</v>
      </c>
    </row>
    <row r="231" spans="2:2">
      <c r="B231" t="s">
        <v>171</v>
      </c>
    </row>
    <row r="232" spans="2:2" hidden="1">
      <c r="B232" t="s">
        <v>871</v>
      </c>
    </row>
    <row r="233" spans="2:2" hidden="1">
      <c r="B233" t="s">
        <v>191</v>
      </c>
    </row>
    <row r="234" spans="2:2">
      <c r="B234" t="s">
        <v>158</v>
      </c>
    </row>
    <row r="235" spans="2:2">
      <c r="B235" t="s">
        <v>159</v>
      </c>
    </row>
    <row r="236" spans="2:2" hidden="1">
      <c r="B236" t="s">
        <v>872</v>
      </c>
    </row>
    <row r="237" spans="2:2">
      <c r="B237" t="s">
        <v>873</v>
      </c>
    </row>
    <row r="238" spans="2:2">
      <c r="B238" t="s">
        <v>874</v>
      </c>
    </row>
    <row r="239" spans="2:2" hidden="1">
      <c r="B239" t="s">
        <v>875</v>
      </c>
    </row>
    <row r="240" spans="2:2" hidden="1">
      <c r="B240" t="s">
        <v>693</v>
      </c>
    </row>
    <row r="241" spans="2:2" hidden="1">
      <c r="B241" t="s">
        <v>694</v>
      </c>
    </row>
    <row r="242" spans="2:2" hidden="1">
      <c r="B242" t="s">
        <v>878</v>
      </c>
    </row>
    <row r="243" spans="2:2">
      <c r="B243" t="s">
        <v>879</v>
      </c>
    </row>
    <row r="244" spans="2:2">
      <c r="B244" t="s">
        <v>880</v>
      </c>
    </row>
    <row r="245" spans="2:2">
      <c r="B245" t="s">
        <v>881</v>
      </c>
    </row>
    <row r="246" spans="2:2" hidden="1">
      <c r="B246" t="s">
        <v>695</v>
      </c>
    </row>
    <row r="247" spans="2:2">
      <c r="B247" t="s">
        <v>882</v>
      </c>
    </row>
    <row r="248" spans="2:2">
      <c r="B248" t="s">
        <v>160</v>
      </c>
    </row>
    <row r="249" spans="2:2" hidden="1">
      <c r="B249" t="s">
        <v>192</v>
      </c>
    </row>
    <row r="250" spans="2:2" hidden="1">
      <c r="B250" t="s">
        <v>696</v>
      </c>
    </row>
    <row r="251" spans="2:2">
      <c r="B251" t="s">
        <v>161</v>
      </c>
    </row>
    <row r="252" spans="2:2" hidden="1">
      <c r="B252" t="s">
        <v>697</v>
      </c>
    </row>
    <row r="253" spans="2:2" hidden="1">
      <c r="B253" t="s">
        <v>698</v>
      </c>
    </row>
    <row r="254" spans="2:2" hidden="1">
      <c r="B254" t="s">
        <v>883</v>
      </c>
    </row>
    <row r="255" spans="2:2" hidden="1">
      <c r="B255" t="s">
        <v>885</v>
      </c>
    </row>
    <row r="256" spans="2:2" hidden="1">
      <c r="B256" t="s">
        <v>886</v>
      </c>
    </row>
    <row r="257" spans="2:2" hidden="1">
      <c r="B257" t="s">
        <v>887</v>
      </c>
    </row>
    <row r="258" spans="2:2">
      <c r="B258" t="s">
        <v>888</v>
      </c>
    </row>
    <row r="259" spans="2:2">
      <c r="B259" t="s">
        <v>889</v>
      </c>
    </row>
    <row r="260" spans="2:2" hidden="1">
      <c r="B260" t="s">
        <v>699</v>
      </c>
    </row>
    <row r="261" spans="2:2">
      <c r="B261" t="s">
        <v>892</v>
      </c>
    </row>
    <row r="262" spans="2:2">
      <c r="B262" t="s">
        <v>162</v>
      </c>
    </row>
    <row r="263" spans="2:2">
      <c r="B263" t="s">
        <v>894</v>
      </c>
    </row>
    <row r="264" spans="2:2">
      <c r="B264" t="s">
        <v>163</v>
      </c>
    </row>
    <row r="265" spans="2:2">
      <c r="B265" t="s">
        <v>895</v>
      </c>
    </row>
    <row r="268" spans="2:2">
      <c r="B268" s="131" t="s">
        <v>700</v>
      </c>
    </row>
    <row r="269" spans="2:2">
      <c r="B269" s="131" t="s">
        <v>519</v>
      </c>
    </row>
    <row r="270" spans="2:2">
      <c r="B270" s="131" t="s">
        <v>520</v>
      </c>
    </row>
    <row r="271" spans="2:2">
      <c r="B271" s="131" t="s">
        <v>701</v>
      </c>
    </row>
    <row r="272" spans="2:2">
      <c r="B272" s="131" t="s">
        <v>702</v>
      </c>
    </row>
    <row r="273" spans="2:2">
      <c r="B273" s="131" t="s">
        <v>677</v>
      </c>
    </row>
    <row r="274" spans="2:2">
      <c r="B274" s="131" t="s">
        <v>704</v>
      </c>
    </row>
    <row r="275" spans="2:2">
      <c r="B275" s="131" t="s">
        <v>705</v>
      </c>
    </row>
    <row r="276" spans="2:2">
      <c r="B276" s="131" t="s">
        <v>676</v>
      </c>
    </row>
    <row r="277" spans="2:2">
      <c r="B277" s="131" t="s">
        <v>706</v>
      </c>
    </row>
    <row r="278" spans="2:2">
      <c r="B278" s="131" t="s">
        <v>707</v>
      </c>
    </row>
    <row r="279" spans="2:2">
      <c r="B279" s="131" t="s">
        <v>715</v>
      </c>
    </row>
    <row r="280" spans="2:2">
      <c r="B280" s="131" t="s">
        <v>521</v>
      </c>
    </row>
    <row r="281" spans="2:2">
      <c r="B281" s="131" t="s">
        <v>709</v>
      </c>
    </row>
    <row r="282" spans="2:2">
      <c r="B282" s="131" t="s">
        <v>712</v>
      </c>
    </row>
    <row r="283" spans="2:2">
      <c r="B283" s="131" t="s">
        <v>543</v>
      </c>
    </row>
    <row r="284" spans="2:2">
      <c r="B284" s="131" t="s">
        <v>727</v>
      </c>
    </row>
    <row r="285" spans="2:2">
      <c r="B285" s="131" t="s">
        <v>732</v>
      </c>
    </row>
    <row r="286" spans="2:2">
      <c r="B286" s="131" t="s">
        <v>682</v>
      </c>
    </row>
    <row r="287" spans="2:2">
      <c r="B287" s="131" t="s">
        <v>176</v>
      </c>
    </row>
    <row r="288" spans="2:2">
      <c r="B288" s="131" t="s">
        <v>177</v>
      </c>
    </row>
    <row r="289" spans="2:2">
      <c r="B289" s="131" t="s">
        <v>462</v>
      </c>
    </row>
    <row r="290" spans="2:2">
      <c r="B290" s="131" t="s">
        <v>178</v>
      </c>
    </row>
    <row r="291" spans="2:2">
      <c r="B291" s="131" t="s">
        <v>385</v>
      </c>
    </row>
    <row r="292" spans="2:2">
      <c r="B292" s="131" t="s">
        <v>371</v>
      </c>
    </row>
    <row r="293" spans="2:2">
      <c r="B293" s="131" t="s">
        <v>183</v>
      </c>
    </row>
    <row r="294" spans="2:2">
      <c r="B294" s="131" t="s">
        <v>753</v>
      </c>
    </row>
    <row r="295" spans="2:2">
      <c r="B295" s="131" t="s">
        <v>756</v>
      </c>
    </row>
    <row r="296" spans="2:2">
      <c r="B296" s="131" t="s">
        <v>683</v>
      </c>
    </row>
    <row r="297" spans="2:2">
      <c r="B297" s="131" t="s">
        <v>368</v>
      </c>
    </row>
    <row r="298" spans="2:2">
      <c r="B298" s="131" t="s">
        <v>760</v>
      </c>
    </row>
    <row r="299" spans="2:2">
      <c r="B299" s="131" t="s">
        <v>179</v>
      </c>
    </row>
    <row r="300" spans="2:2">
      <c r="B300" s="131" t="s">
        <v>631</v>
      </c>
    </row>
    <row r="301" spans="2:2">
      <c r="B301" s="131" t="s">
        <v>864</v>
      </c>
    </row>
    <row r="302" spans="2:2">
      <c r="B302" s="131" t="s">
        <v>866</v>
      </c>
    </row>
    <row r="303" spans="2:2">
      <c r="B303" s="131" t="s">
        <v>868</v>
      </c>
    </row>
    <row r="304" spans="2:2">
      <c r="B304" s="131" t="s">
        <v>869</v>
      </c>
    </row>
    <row r="305" spans="2:2">
      <c r="B305" s="131" t="s">
        <v>871</v>
      </c>
    </row>
    <row r="306" spans="2:2">
      <c r="B306" s="131" t="s">
        <v>872</v>
      </c>
    </row>
    <row r="307" spans="2:2">
      <c r="B307" s="131" t="s">
        <v>684</v>
      </c>
    </row>
    <row r="308" spans="2:2">
      <c r="B308" s="131" t="s">
        <v>695</v>
      </c>
    </row>
    <row r="309" spans="2:2">
      <c r="B309" s="131" t="s">
        <v>696</v>
      </c>
    </row>
    <row r="310" spans="2:2">
      <c r="B310" s="131" t="s">
        <v>407</v>
      </c>
    </row>
    <row r="311" spans="2:2">
      <c r="B311" s="131" t="s">
        <v>686</v>
      </c>
    </row>
    <row r="312" spans="2:2">
      <c r="B312" s="131" t="s">
        <v>688</v>
      </c>
    </row>
    <row r="313" spans="2:2">
      <c r="B313" s="131" t="s">
        <v>698</v>
      </c>
    </row>
    <row r="314" spans="2:2">
      <c r="B314" s="131" t="s">
        <v>694</v>
      </c>
    </row>
    <row r="315" spans="2:2">
      <c r="B315" s="131" t="s">
        <v>680</v>
      </c>
    </row>
    <row r="316" spans="2:2">
      <c r="B316" s="25" t="s">
        <v>689</v>
      </c>
    </row>
    <row r="317" spans="2:2">
      <c r="B317" s="131" t="s">
        <v>699</v>
      </c>
    </row>
    <row r="318" spans="2:2">
      <c r="B318" s="131" t="s">
        <v>678</v>
      </c>
    </row>
    <row r="319" spans="2:2">
      <c r="B319" s="131" t="s">
        <v>404</v>
      </c>
    </row>
    <row r="320" spans="2:2">
      <c r="B320" s="131" t="s">
        <v>692</v>
      </c>
    </row>
    <row r="321" spans="2:2">
      <c r="B321" s="132" t="s">
        <v>690</v>
      </c>
    </row>
    <row r="322" spans="2:2">
      <c r="B322" s="132" t="s">
        <v>675</v>
      </c>
    </row>
    <row r="323" spans="2:2">
      <c r="B323" s="132" t="s">
        <v>180</v>
      </c>
    </row>
    <row r="324" spans="2:2">
      <c r="B324" s="132" t="s">
        <v>369</v>
      </c>
    </row>
    <row r="325" spans="2:2">
      <c r="B325" s="132" t="s">
        <v>687</v>
      </c>
    </row>
    <row r="326" spans="2:2">
      <c r="B326" s="132" t="s">
        <v>697</v>
      </c>
    </row>
    <row r="327" spans="2:2">
      <c r="B327" s="25" t="s">
        <v>185</v>
      </c>
    </row>
    <row r="328" spans="2:2">
      <c r="B328" s="25" t="s">
        <v>685</v>
      </c>
    </row>
    <row r="329" spans="2:2">
      <c r="B329" s="25" t="s">
        <v>400</v>
      </c>
    </row>
    <row r="330" spans="2:2">
      <c r="B330" s="25" t="s">
        <v>691</v>
      </c>
    </row>
    <row r="331" spans="2:2">
      <c r="B331" s="25" t="s">
        <v>418</v>
      </c>
    </row>
    <row r="332" spans="2:2">
      <c r="B332" s="25" t="s">
        <v>184</v>
      </c>
    </row>
    <row r="333" spans="2:2">
      <c r="B333" s="132" t="s">
        <v>642</v>
      </c>
    </row>
    <row r="334" spans="2:2">
      <c r="B334" s="132" t="s">
        <v>166</v>
      </c>
    </row>
    <row r="335" spans="2:2">
      <c r="B335" s="132" t="s">
        <v>679</v>
      </c>
    </row>
    <row r="336" spans="2:2">
      <c r="B336" s="132" t="s">
        <v>522</v>
      </c>
    </row>
    <row r="337" spans="2:2">
      <c r="B337" s="132" t="s">
        <v>383</v>
      </c>
    </row>
    <row r="338" spans="2:2">
      <c r="B338" s="132" t="s">
        <v>423</v>
      </c>
    </row>
    <row r="339" spans="2:2">
      <c r="B339" s="132" t="s">
        <v>681</v>
      </c>
    </row>
    <row r="340" spans="2:2">
      <c r="B340" s="132" t="s">
        <v>693</v>
      </c>
    </row>
    <row r="341" spans="2:2">
      <c r="B341" s="132" t="s">
        <v>887</v>
      </c>
    </row>
    <row r="342" spans="2:2">
      <c r="B342" s="132" t="s">
        <v>878</v>
      </c>
    </row>
    <row r="343" spans="2:2">
      <c r="B343" s="132" t="s">
        <v>191</v>
      </c>
    </row>
    <row r="344" spans="2:2">
      <c r="B344" s="132" t="s">
        <v>146</v>
      </c>
    </row>
    <row r="345" spans="2:2">
      <c r="B345" s="25" t="s">
        <v>768</v>
      </c>
    </row>
    <row r="346" spans="2:2">
      <c r="B346" s="25" t="s">
        <v>886</v>
      </c>
    </row>
    <row r="347" spans="2:2">
      <c r="B347" s="25" t="s">
        <v>759</v>
      </c>
    </row>
    <row r="348" spans="2:2">
      <c r="B348" s="25" t="s">
        <v>752</v>
      </c>
    </row>
    <row r="349" spans="2:2">
      <c r="B349" s="25" t="s">
        <v>137</v>
      </c>
    </row>
    <row r="350" spans="2:2">
      <c r="B350" s="25" t="s">
        <v>192</v>
      </c>
    </row>
    <row r="351" spans="2:2">
      <c r="B351" s="25" t="s">
        <v>796</v>
      </c>
    </row>
    <row r="352" spans="2:2">
      <c r="B352" s="25" t="s">
        <v>733</v>
      </c>
    </row>
    <row r="353" spans="2:2">
      <c r="B353" s="25" t="s">
        <v>764</v>
      </c>
    </row>
    <row r="354" spans="2:2">
      <c r="B354" s="25" t="s">
        <v>613</v>
      </c>
    </row>
    <row r="355" spans="2:2">
      <c r="B355" s="25" t="s">
        <v>865</v>
      </c>
    </row>
    <row r="356" spans="2:2">
      <c r="B356" s="25" t="s">
        <v>710</v>
      </c>
    </row>
    <row r="357" spans="2:2">
      <c r="B357" s="25" t="s">
        <v>152</v>
      </c>
    </row>
    <row r="358" spans="2:2">
      <c r="B358" s="25" t="s">
        <v>875</v>
      </c>
    </row>
    <row r="359" spans="2:2">
      <c r="B359" s="25" t="s">
        <v>797</v>
      </c>
    </row>
    <row r="360" spans="2:2">
      <c r="B360" s="25" t="s">
        <v>761</v>
      </c>
    </row>
    <row r="361" spans="2:2">
      <c r="B361" s="25" t="s">
        <v>615</v>
      </c>
    </row>
    <row r="362" spans="2:2">
      <c r="B362" s="25" t="s">
        <v>168</v>
      </c>
    </row>
    <row r="363" spans="2:2">
      <c r="B363" s="25" t="s">
        <v>623</v>
      </c>
    </row>
    <row r="364" spans="2:2">
      <c r="B364" s="25" t="s">
        <v>885</v>
      </c>
    </row>
    <row r="365" spans="2:2">
      <c r="B365" s="25" t="s">
        <v>174</v>
      </c>
    </row>
    <row r="366" spans="2:2">
      <c r="B366" s="25" t="s">
        <v>755</v>
      </c>
    </row>
    <row r="367" spans="2:2">
      <c r="B367" s="25" t="s">
        <v>463</v>
      </c>
    </row>
    <row r="368" spans="2:2">
      <c r="B368" s="25" t="s">
        <v>883</v>
      </c>
    </row>
    <row r="369" spans="2:2">
      <c r="B369" s="25" t="s">
        <v>767</v>
      </c>
    </row>
    <row r="370" spans="2:2">
      <c r="B370" s="25" t="s">
        <v>798</v>
      </c>
    </row>
    <row r="371" spans="2:2">
      <c r="B371" s="25" t="s">
        <v>720</v>
      </c>
    </row>
    <row r="372" spans="2:2">
      <c r="B372" s="25" t="s">
        <v>811</v>
      </c>
    </row>
    <row r="373" spans="2:2">
      <c r="B373" s="25" t="s">
        <v>754</v>
      </c>
    </row>
    <row r="374" spans="2:2">
      <c r="B374" s="25" t="s">
        <v>148</v>
      </c>
    </row>
    <row r="375" spans="2:2">
      <c r="B375" s="25" t="s">
        <v>425</v>
      </c>
    </row>
    <row r="376" spans="2:2">
      <c r="B376" s="25" t="s">
        <v>766</v>
      </c>
    </row>
    <row r="377" spans="2:2">
      <c r="B377" s="25" t="s">
        <v>711</v>
      </c>
    </row>
    <row r="378" spans="2:2">
      <c r="B378" s="132" t="s">
        <v>370</v>
      </c>
    </row>
    <row r="379" spans="2:2">
      <c r="B379" s="132" t="s">
        <v>421</v>
      </c>
    </row>
    <row r="380" spans="2:2">
      <c r="B380" s="132" t="s">
        <v>145</v>
      </c>
    </row>
  </sheetData>
  <autoFilter ref="B3:B265" xr:uid="{C629FC91-84AD-4F82-A84F-B1311429AE39}">
    <filterColumn colId="0">
      <colorFilter dxfId="225"/>
    </filterColumn>
  </autoFilter>
  <conditionalFormatting sqref="B268:B377">
    <cfRule type="duplicateValues" dxfId="18" priority="12"/>
  </conditionalFormatting>
  <conditionalFormatting sqref="B268:B380 B4:B265">
    <cfRule type="duplicateValues" dxfId="17" priority="1"/>
  </conditionalFormatting>
  <conditionalFormatting sqref="B316">
    <cfRule type="duplicateValues" dxfId="16" priority="10"/>
    <cfRule type="duplicateValues" dxfId="15" priority="11"/>
  </conditionalFormatting>
  <conditionalFormatting sqref="B327">
    <cfRule type="duplicateValues" dxfId="14" priority="8"/>
    <cfRule type="duplicateValues" dxfId="13" priority="9"/>
  </conditionalFormatting>
  <conditionalFormatting sqref="B328:B332">
    <cfRule type="duplicateValues" dxfId="12" priority="6"/>
    <cfRule type="duplicateValues" dxfId="11" priority="7"/>
  </conditionalFormatting>
  <conditionalFormatting sqref="B345">
    <cfRule type="duplicateValues" dxfId="10" priority="4"/>
    <cfRule type="duplicateValues" dxfId="9" priority="5"/>
  </conditionalFormatting>
  <conditionalFormatting sqref="B346:B377">
    <cfRule type="duplicateValues" dxfId="8" priority="2"/>
    <cfRule type="duplicateValues" dxfId="7" priority="3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AF3B-8F0B-4365-AE10-F5840CB55896}">
  <sheetPr codeName="Sheet19"/>
  <dimension ref="A1:W6"/>
  <sheetViews>
    <sheetView zoomScale="70" zoomScaleNormal="70" zoomScaleSheetLayoutView="70" workbookViewId="0">
      <pane xSplit="3" ySplit="4" topLeftCell="D5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RowHeight="14.5"/>
  <cols>
    <col min="1" max="1" width="6.54296875" customWidth="1"/>
    <col min="2" max="2" width="15.1796875" customWidth="1"/>
    <col min="3" max="3" width="11.54296875" bestFit="1" customWidth="1"/>
    <col min="4" max="4" width="14.54296875" bestFit="1" customWidth="1"/>
    <col min="5" max="6" width="13.453125" bestFit="1" customWidth="1"/>
    <col min="7" max="8" width="12.453125" customWidth="1"/>
    <col min="9" max="9" width="14.1796875" style="130" bestFit="1" customWidth="1"/>
    <col min="10" max="10" width="15.1796875" style="130" bestFit="1" customWidth="1"/>
    <col min="11" max="11" width="13.453125" bestFit="1" customWidth="1"/>
    <col min="12" max="12" width="14.1796875" bestFit="1" customWidth="1"/>
    <col min="13" max="13" width="15.1796875" style="130" bestFit="1" customWidth="1"/>
    <col min="14" max="16" width="15.1796875" style="130" customWidth="1"/>
    <col min="17" max="17" width="12.54296875" bestFit="1" customWidth="1"/>
    <col min="18" max="18" width="9.81640625" bestFit="1" customWidth="1"/>
    <col min="19" max="19" width="31.54296875" bestFit="1" customWidth="1"/>
    <col min="20" max="21" width="31.54296875" customWidth="1"/>
    <col min="22" max="22" width="10.453125" bestFit="1" customWidth="1"/>
    <col min="23" max="23" width="8.1796875" bestFit="1" customWidth="1"/>
  </cols>
  <sheetData>
    <row r="1" spans="1:23" ht="16" thickBot="1">
      <c r="A1" s="109"/>
      <c r="B1" s="110"/>
      <c r="C1" s="109"/>
      <c r="D1" s="111" t="s">
        <v>941</v>
      </c>
      <c r="E1" s="112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13"/>
    </row>
    <row r="2" spans="1:23" ht="16" thickBot="1">
      <c r="A2" s="110"/>
      <c r="B2" s="110"/>
      <c r="C2" s="114"/>
      <c r="D2" s="110"/>
      <c r="E2" s="114"/>
      <c r="F2" s="110"/>
      <c r="G2" s="114"/>
      <c r="H2" s="114"/>
      <c r="I2" s="115"/>
      <c r="J2" s="115"/>
      <c r="K2" s="114"/>
      <c r="L2" s="110"/>
      <c r="M2" s="115"/>
      <c r="N2" s="115"/>
      <c r="O2" s="115"/>
      <c r="P2" s="115"/>
      <c r="Q2" s="114"/>
    </row>
    <row r="3" spans="1:23" ht="29.5" thickBot="1">
      <c r="A3" s="116" t="s">
        <v>942</v>
      </c>
      <c r="B3" s="117" t="s">
        <v>943</v>
      </c>
      <c r="C3" s="117" t="s">
        <v>944</v>
      </c>
      <c r="D3" s="117" t="s">
        <v>945</v>
      </c>
      <c r="E3" s="117" t="s">
        <v>946</v>
      </c>
      <c r="F3" s="52" t="s">
        <v>947</v>
      </c>
      <c r="G3" s="118" t="s">
        <v>948</v>
      </c>
      <c r="H3" s="119" t="s">
        <v>949</v>
      </c>
      <c r="I3" s="120" t="s">
        <v>950</v>
      </c>
      <c r="J3" s="52" t="s">
        <v>951</v>
      </c>
      <c r="K3" s="117" t="s">
        <v>952</v>
      </c>
      <c r="L3" s="52" t="s">
        <v>953</v>
      </c>
      <c r="M3" s="53" t="s">
        <v>954</v>
      </c>
      <c r="N3" s="116" t="s">
        <v>955</v>
      </c>
      <c r="O3" s="121" t="s">
        <v>956</v>
      </c>
      <c r="P3" s="54" t="s">
        <v>957</v>
      </c>
      <c r="Q3" s="122" t="s">
        <v>958</v>
      </c>
      <c r="R3" s="117" t="s">
        <v>262</v>
      </c>
      <c r="S3" s="117" t="s">
        <v>469</v>
      </c>
      <c r="T3" s="117" t="s">
        <v>959</v>
      </c>
      <c r="U3" s="117" t="s">
        <v>960</v>
      </c>
      <c r="V3" s="117" t="s">
        <v>961</v>
      </c>
      <c r="W3" s="54" t="s">
        <v>33</v>
      </c>
    </row>
    <row r="4" spans="1:23" s="17" customFormat="1">
      <c r="A4" s="123"/>
      <c r="B4" s="123"/>
      <c r="C4" s="123"/>
      <c r="D4" s="123"/>
      <c r="E4" s="134"/>
      <c r="F4" s="123"/>
      <c r="G4" s="135"/>
      <c r="H4" s="135"/>
      <c r="I4" s="136"/>
      <c r="J4" s="136"/>
      <c r="K4" s="134"/>
      <c r="L4" s="136"/>
      <c r="M4" s="136"/>
      <c r="N4" s="136"/>
      <c r="O4" s="136"/>
      <c r="P4" s="136"/>
      <c r="Q4" s="134"/>
      <c r="R4" s="123"/>
      <c r="S4" s="137"/>
      <c r="T4" s="137"/>
      <c r="U4" s="137"/>
      <c r="V4" s="123"/>
      <c r="W4" s="123"/>
    </row>
    <row r="5" spans="1:23" s="17" customFormat="1">
      <c r="A5" s="60"/>
      <c r="B5" s="60"/>
      <c r="C5" s="60"/>
      <c r="D5" s="60"/>
      <c r="E5" s="138"/>
      <c r="F5" s="60"/>
      <c r="G5" s="139"/>
      <c r="H5" s="139"/>
      <c r="I5" s="133"/>
      <c r="J5" s="133"/>
      <c r="K5" s="138"/>
      <c r="L5" s="133"/>
      <c r="M5" s="133"/>
      <c r="N5" s="133"/>
      <c r="O5" s="133"/>
      <c r="P5" s="133"/>
      <c r="Q5" s="138"/>
      <c r="R5" s="60"/>
      <c r="S5" s="140"/>
      <c r="T5" s="140"/>
      <c r="U5" s="140"/>
      <c r="V5" s="60"/>
      <c r="W5" s="60"/>
    </row>
    <row r="6" spans="1:23">
      <c r="A6" s="124"/>
      <c r="B6" s="124"/>
      <c r="C6" s="124"/>
      <c r="D6" s="124" t="s">
        <v>204</v>
      </c>
      <c r="E6" s="125">
        <f>SUM(E4:E5)/1000</f>
        <v>0</v>
      </c>
      <c r="F6" s="126"/>
      <c r="G6" s="127"/>
      <c r="H6" s="128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9"/>
      <c r="T6" s="129"/>
      <c r="U6" s="129"/>
      <c r="V6" s="126"/>
      <c r="W6" s="126"/>
    </row>
  </sheetData>
  <conditionalFormatting sqref="B7:B1048576 B1:B2">
    <cfRule type="duplicateValues" dxfId="6" priority="26"/>
  </conditionalFormatting>
  <conditionalFormatting sqref="C3">
    <cfRule type="duplicateValues" dxfId="5" priority="30"/>
  </conditionalFormatting>
  <conditionalFormatting sqref="C4:C5">
    <cfRule type="duplicateValues" dxfId="4" priority="392"/>
  </conditionalFormatting>
  <conditionalFormatting sqref="C6">
    <cfRule type="duplicateValues" dxfId="3" priority="393"/>
  </conditionalFormatting>
  <conditionalFormatting sqref="D3:D5">
    <cfRule type="duplicateValues" dxfId="2" priority="394"/>
  </conditionalFormatting>
  <conditionalFormatting sqref="D6">
    <cfRule type="duplicateValues" dxfId="1" priority="395"/>
  </conditionalFormatting>
  <pageMargins left="0.7" right="0.7" top="0.75" bottom="0.75" header="0.3" footer="0.3"/>
  <pageSetup paperSize="9" scale="38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20"/>
  <dimension ref="A1:Q13"/>
  <sheetViews>
    <sheetView view="pageBreakPreview" zoomScale="70" zoomScaleNormal="70" zoomScaleSheetLayoutView="70" workbookViewId="0">
      <selection activeCell="D6" sqref="D6"/>
    </sheetView>
  </sheetViews>
  <sheetFormatPr defaultRowHeight="14.5"/>
  <cols>
    <col min="1" max="1" width="4.54296875" customWidth="1"/>
    <col min="2" max="2" width="17.453125" customWidth="1"/>
    <col min="3" max="3" width="9.453125" bestFit="1" customWidth="1"/>
    <col min="4" max="4" width="8.54296875" customWidth="1"/>
    <col min="5" max="5" width="11.54296875" customWidth="1"/>
    <col min="6" max="6" width="10.54296875" customWidth="1"/>
    <col min="7" max="7" width="10.54296875" bestFit="1" customWidth="1"/>
    <col min="8" max="8" width="15.453125" bestFit="1" customWidth="1"/>
    <col min="9" max="9" width="10.54296875" bestFit="1" customWidth="1"/>
    <col min="10" max="10" width="10.453125" customWidth="1"/>
    <col min="11" max="11" width="10.54296875" customWidth="1"/>
    <col min="12" max="12" width="24.453125" bestFit="1" customWidth="1"/>
    <col min="13" max="13" width="25.54296875" customWidth="1"/>
    <col min="14" max="14" width="13.54296875" customWidth="1"/>
    <col min="15" max="15" width="10.453125" bestFit="1" customWidth="1"/>
    <col min="16" max="16" width="11.54296875" customWidth="1"/>
    <col min="17" max="17" width="21.453125" customWidth="1"/>
  </cols>
  <sheetData>
    <row r="1" spans="1:17" ht="21.65" customHeight="1">
      <c r="A1" s="804" t="s">
        <v>962</v>
      </c>
      <c r="B1" s="805"/>
      <c r="C1" s="805"/>
      <c r="D1" s="805"/>
      <c r="E1" s="805"/>
      <c r="F1" s="805"/>
      <c r="G1" s="805"/>
      <c r="H1" s="805"/>
      <c r="I1" s="805"/>
      <c r="J1" s="805"/>
      <c r="K1" s="805"/>
      <c r="L1" s="805"/>
      <c r="M1" s="805"/>
      <c r="N1" s="805"/>
      <c r="O1" s="805"/>
      <c r="P1" s="805"/>
      <c r="Q1" s="806"/>
    </row>
    <row r="2" spans="1:17" ht="21" customHeight="1">
      <c r="A2" s="807" t="s">
        <v>963</v>
      </c>
      <c r="B2" s="809" t="s">
        <v>203</v>
      </c>
      <c r="C2" s="809" t="s">
        <v>964</v>
      </c>
      <c r="D2" s="809" t="s">
        <v>965</v>
      </c>
      <c r="E2" s="809" t="s">
        <v>966</v>
      </c>
      <c r="F2" s="811" t="s">
        <v>112</v>
      </c>
      <c r="G2" s="811"/>
      <c r="H2" s="811" t="s">
        <v>114</v>
      </c>
      <c r="I2" s="811"/>
      <c r="J2" s="809" t="s">
        <v>967</v>
      </c>
      <c r="K2" s="809" t="s">
        <v>968</v>
      </c>
      <c r="L2" s="809" t="s">
        <v>969</v>
      </c>
      <c r="M2" s="809" t="s">
        <v>343</v>
      </c>
      <c r="N2" s="809" t="s">
        <v>475</v>
      </c>
      <c r="O2" s="809" t="s">
        <v>470</v>
      </c>
      <c r="P2" s="809" t="s">
        <v>471</v>
      </c>
      <c r="Q2" s="812" t="s">
        <v>33</v>
      </c>
    </row>
    <row r="3" spans="1:17" ht="25.4" customHeight="1">
      <c r="A3" s="808"/>
      <c r="B3" s="810"/>
      <c r="C3" s="810"/>
      <c r="D3" s="810"/>
      <c r="E3" s="810"/>
      <c r="F3" s="28" t="s">
        <v>970</v>
      </c>
      <c r="G3" s="28" t="s">
        <v>971</v>
      </c>
      <c r="H3" s="28" t="s">
        <v>970</v>
      </c>
      <c r="I3" s="28" t="s">
        <v>971</v>
      </c>
      <c r="J3" s="810"/>
      <c r="K3" s="810"/>
      <c r="L3" s="810"/>
      <c r="M3" s="810"/>
      <c r="N3" s="810"/>
      <c r="O3" s="810"/>
      <c r="P3" s="810"/>
      <c r="Q3" s="813"/>
    </row>
    <row r="4" spans="1:17" ht="27" customHeight="1">
      <c r="A4" s="41"/>
      <c r="B4" s="25"/>
      <c r="C4" s="108"/>
      <c r="D4" s="10"/>
      <c r="E4" s="24"/>
      <c r="F4" s="24"/>
      <c r="G4" s="24"/>
      <c r="H4" s="24"/>
      <c r="I4" s="24"/>
      <c r="J4" s="10"/>
      <c r="K4" s="10"/>
      <c r="L4" s="10"/>
      <c r="M4" s="10"/>
      <c r="N4" s="25"/>
      <c r="O4" s="10"/>
      <c r="P4" s="10"/>
      <c r="Q4" s="36"/>
    </row>
    <row r="5" spans="1:17" ht="43.5" customHeight="1">
      <c r="A5" s="41"/>
      <c r="B5" s="25"/>
      <c r="C5" s="108"/>
      <c r="D5" s="10"/>
      <c r="E5" s="24"/>
      <c r="F5" s="24"/>
      <c r="G5" s="24"/>
      <c r="H5" s="24"/>
      <c r="I5" s="24"/>
      <c r="J5" s="10"/>
      <c r="K5" s="10"/>
      <c r="L5" s="10"/>
      <c r="M5" s="10"/>
      <c r="N5" s="10"/>
      <c r="O5" s="10"/>
      <c r="P5" s="10"/>
      <c r="Q5" s="36"/>
    </row>
    <row r="6" spans="1:17" ht="43.5" customHeight="1">
      <c r="A6" s="41"/>
      <c r="B6" s="25"/>
      <c r="C6" s="108"/>
      <c r="D6" s="10"/>
      <c r="E6" s="24"/>
      <c r="F6" s="24"/>
      <c r="G6" s="24"/>
      <c r="H6" s="24"/>
      <c r="I6" s="24"/>
      <c r="J6" s="10"/>
      <c r="K6" s="10"/>
      <c r="L6" s="10"/>
      <c r="M6" s="10"/>
      <c r="N6" s="10"/>
      <c r="O6" s="10"/>
      <c r="P6" s="10"/>
      <c r="Q6" s="36"/>
    </row>
    <row r="7" spans="1:17" ht="33.65" customHeight="1">
      <c r="A7" s="42"/>
      <c r="B7" s="25"/>
      <c r="C7" s="25"/>
      <c r="D7" s="10"/>
      <c r="E7" s="26"/>
      <c r="F7" s="26"/>
      <c r="G7" s="26"/>
      <c r="H7" s="26"/>
      <c r="I7" s="26"/>
      <c r="J7" s="25"/>
      <c r="K7" s="25"/>
      <c r="L7" s="25"/>
      <c r="M7" s="25"/>
      <c r="N7" s="25"/>
      <c r="O7" s="25"/>
      <c r="P7" s="25"/>
      <c r="Q7" s="43"/>
    </row>
    <row r="8" spans="1:17" ht="45.65" customHeight="1">
      <c r="A8" s="42"/>
      <c r="B8" s="25"/>
      <c r="C8" s="108"/>
      <c r="D8" s="10"/>
      <c r="E8" s="25"/>
      <c r="F8" s="26"/>
      <c r="G8" s="26"/>
      <c r="H8" s="26"/>
      <c r="I8" s="26"/>
      <c r="J8" s="25"/>
      <c r="K8" s="25"/>
      <c r="L8" s="25"/>
      <c r="M8" s="25"/>
      <c r="N8" s="25"/>
      <c r="O8" s="25"/>
      <c r="P8" s="25"/>
      <c r="Q8" s="43"/>
    </row>
    <row r="9" spans="1:17" ht="41.15" customHeight="1">
      <c r="A9" s="42"/>
      <c r="B9" s="25"/>
      <c r="C9" s="25"/>
      <c r="D9" s="10"/>
      <c r="E9" s="26"/>
      <c r="F9" s="26"/>
      <c r="G9" s="26"/>
      <c r="H9" s="26"/>
      <c r="I9" s="26"/>
      <c r="J9" s="25"/>
      <c r="K9" s="25"/>
      <c r="L9" s="25"/>
      <c r="M9" s="25"/>
      <c r="N9" s="25"/>
      <c r="O9" s="25"/>
      <c r="P9" s="25"/>
      <c r="Q9" s="43"/>
    </row>
    <row r="10" spans="1:17" ht="37.5" customHeight="1" thickBot="1">
      <c r="A10" s="37"/>
      <c r="B10" s="38"/>
      <c r="C10" s="108"/>
      <c r="D10" s="10"/>
      <c r="E10" s="39"/>
      <c r="F10" s="39"/>
      <c r="G10" s="39"/>
      <c r="H10" s="39"/>
      <c r="I10" s="39"/>
      <c r="J10" s="38"/>
      <c r="K10" s="38"/>
      <c r="L10" s="38"/>
      <c r="M10" s="38"/>
      <c r="N10" s="38"/>
      <c r="O10" s="38"/>
      <c r="P10" s="38"/>
      <c r="Q10" s="40"/>
    </row>
    <row r="11" spans="1:17" ht="37.5" customHeight="1" thickBot="1">
      <c r="A11" s="37"/>
      <c r="B11" s="38"/>
      <c r="C11" s="108"/>
      <c r="D11" s="10"/>
      <c r="E11" s="39"/>
      <c r="F11" s="39"/>
      <c r="G11" s="39"/>
      <c r="H11" s="39"/>
      <c r="I11" s="39"/>
      <c r="J11" s="38"/>
      <c r="K11" s="38"/>
      <c r="L11" s="38"/>
      <c r="M11" s="38"/>
      <c r="N11" s="38"/>
      <c r="O11" s="38"/>
      <c r="P11" s="38"/>
      <c r="Q11" s="40"/>
    </row>
    <row r="12" spans="1:17" ht="37.5" customHeight="1" thickBot="1">
      <c r="A12" s="37"/>
      <c r="B12" s="38"/>
      <c r="C12" s="108"/>
      <c r="D12" s="10"/>
      <c r="E12" s="39"/>
      <c r="F12" s="39"/>
      <c r="G12" s="39"/>
      <c r="H12" s="39"/>
      <c r="I12" s="39"/>
      <c r="J12" s="38"/>
      <c r="K12" s="38"/>
      <c r="L12" s="38"/>
      <c r="M12" s="38"/>
      <c r="N12" s="38"/>
      <c r="O12" s="38"/>
      <c r="P12" s="38"/>
      <c r="Q12" s="40"/>
    </row>
    <row r="13" spans="1:17" ht="37.5" customHeight="1" thickBot="1">
      <c r="A13" s="37"/>
      <c r="B13" s="38"/>
      <c r="C13" s="108"/>
      <c r="D13" s="10"/>
      <c r="E13" s="39"/>
      <c r="F13" s="39"/>
      <c r="G13" s="39"/>
      <c r="H13" s="39"/>
      <c r="I13" s="39"/>
      <c r="J13" s="38"/>
      <c r="K13" s="38"/>
      <c r="L13" s="38"/>
      <c r="M13" s="38"/>
      <c r="N13" s="38"/>
      <c r="O13" s="38"/>
      <c r="P13" s="38"/>
      <c r="Q13" s="40"/>
    </row>
  </sheetData>
  <autoFilter ref="A3:Q10" xr:uid="{863001E7-EE4C-450E-BFA1-A707FADF1156}"/>
  <mergeCells count="16">
    <mergeCell ref="A1:Q1"/>
    <mergeCell ref="A2:A3"/>
    <mergeCell ref="B2:B3"/>
    <mergeCell ref="C2:C3"/>
    <mergeCell ref="J2:J3"/>
    <mergeCell ref="E2:E3"/>
    <mergeCell ref="F2:G2"/>
    <mergeCell ref="H2:I2"/>
    <mergeCell ref="K2:K3"/>
    <mergeCell ref="L2:L3"/>
    <mergeCell ref="D2:D3"/>
    <mergeCell ref="M2:M3"/>
    <mergeCell ref="N2:N3"/>
    <mergeCell ref="O2:O3"/>
    <mergeCell ref="Q2:Q3"/>
    <mergeCell ref="P2:P3"/>
  </mergeCells>
  <conditionalFormatting sqref="B1:B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906A-33EE-4458-9635-B3FEEDE72D53}">
  <sheetPr codeName="Sheet21">
    <tabColor rgb="FF00FF00"/>
    <pageSetUpPr fitToPage="1"/>
  </sheetPr>
  <dimension ref="A1:P50"/>
  <sheetViews>
    <sheetView zoomScale="104" zoomScaleNormal="90" workbookViewId="0">
      <pane xSplit="7" ySplit="2" topLeftCell="N33" activePane="bottomRight" state="frozen"/>
      <selection activeCell="G2" sqref="G2:I2"/>
      <selection pane="topRight" activeCell="G2" sqref="G2:I2"/>
      <selection pane="bottomLeft" activeCell="G2" sqref="G2:I2"/>
      <selection pane="bottomRight" activeCell="G2" sqref="G2:I2"/>
    </sheetView>
  </sheetViews>
  <sheetFormatPr defaultColWidth="9.1796875" defaultRowHeight="15.5"/>
  <cols>
    <col min="1" max="2" width="9.1796875" style="265"/>
    <col min="3" max="3" width="10.453125" style="265" customWidth="1"/>
    <col min="4" max="4" width="9.1796875" style="265"/>
    <col min="5" max="5" width="8.453125" style="265" customWidth="1"/>
    <col min="6" max="6" width="21.453125" style="267" customWidth="1"/>
    <col min="7" max="7" width="9.1796875" style="268"/>
    <col min="8" max="8" width="9.1796875" style="265"/>
    <col min="9" max="9" width="39.26953125" style="265" customWidth="1"/>
    <col min="10" max="10" width="9" style="266" bestFit="1" customWidth="1"/>
    <col min="11" max="11" width="9.1796875" style="265"/>
    <col min="12" max="12" width="13.453125" style="265" bestFit="1" customWidth="1"/>
    <col min="13" max="13" width="10.1796875" style="265" bestFit="1" customWidth="1"/>
    <col min="14" max="15" width="9.1796875" style="265"/>
    <col min="16" max="16" width="32.54296875" style="335" customWidth="1"/>
    <col min="17" max="16384" width="9.1796875" style="265"/>
  </cols>
  <sheetData>
    <row r="1" spans="1:16" ht="16" thickBot="1">
      <c r="A1" s="814" t="s">
        <v>89</v>
      </c>
      <c r="B1" s="815"/>
      <c r="C1" s="815"/>
      <c r="D1" s="815"/>
      <c r="E1" s="815"/>
      <c r="F1" s="815"/>
      <c r="G1" s="815"/>
      <c r="H1" s="815"/>
      <c r="I1" s="815"/>
      <c r="J1" s="815"/>
      <c r="K1" s="815"/>
      <c r="L1" s="815"/>
      <c r="M1" s="815"/>
      <c r="N1" s="815"/>
      <c r="O1" s="815"/>
      <c r="P1" s="816"/>
    </row>
    <row r="2" spans="1:16" ht="39.5" thickBot="1">
      <c r="A2" s="279" t="s">
        <v>972</v>
      </c>
      <c r="B2" s="280" t="s">
        <v>973</v>
      </c>
      <c r="C2" s="280" t="s">
        <v>974</v>
      </c>
      <c r="D2" s="280" t="s">
        <v>975</v>
      </c>
      <c r="E2" s="280" t="s">
        <v>339</v>
      </c>
      <c r="F2" s="280" t="s">
        <v>976</v>
      </c>
      <c r="G2" s="280" t="s">
        <v>977</v>
      </c>
      <c r="H2" s="280" t="s">
        <v>978</v>
      </c>
      <c r="I2" s="280" t="s">
        <v>979</v>
      </c>
      <c r="J2" s="280" t="s">
        <v>506</v>
      </c>
      <c r="K2" s="280" t="s">
        <v>980</v>
      </c>
      <c r="L2" s="280" t="s">
        <v>262</v>
      </c>
      <c r="M2" s="280" t="s">
        <v>981</v>
      </c>
      <c r="N2" s="280" t="s">
        <v>982</v>
      </c>
      <c r="O2" s="280" t="s">
        <v>983</v>
      </c>
      <c r="P2" s="281" t="s">
        <v>33</v>
      </c>
    </row>
    <row r="3" spans="1:16" ht="12" customHeight="1">
      <c r="A3" s="282">
        <v>1</v>
      </c>
      <c r="B3" s="283" t="s">
        <v>519</v>
      </c>
      <c r="C3" s="284" t="s">
        <v>268</v>
      </c>
      <c r="D3" s="283" t="s">
        <v>520</v>
      </c>
      <c r="E3" s="284" t="s">
        <v>904</v>
      </c>
      <c r="F3" s="284" t="s">
        <v>984</v>
      </c>
      <c r="G3" s="284">
        <v>225.97</v>
      </c>
      <c r="H3" s="284" t="s">
        <v>985</v>
      </c>
      <c r="I3" s="290" t="s">
        <v>986</v>
      </c>
      <c r="J3" s="283">
        <v>1</v>
      </c>
      <c r="K3" s="283" t="s">
        <v>208</v>
      </c>
      <c r="L3" s="288" t="s">
        <v>206</v>
      </c>
      <c r="M3" s="285">
        <v>46129</v>
      </c>
      <c r="N3" s="288" t="s">
        <v>987</v>
      </c>
      <c r="O3" s="286"/>
      <c r="P3" s="331" t="s">
        <v>988</v>
      </c>
    </row>
    <row r="4" spans="1:16">
      <c r="A4" s="287">
        <v>2</v>
      </c>
      <c r="B4" s="288" t="s">
        <v>522</v>
      </c>
      <c r="C4" s="284" t="s">
        <v>534</v>
      </c>
      <c r="D4" s="288" t="s">
        <v>523</v>
      </c>
      <c r="E4" s="284" t="s">
        <v>989</v>
      </c>
      <c r="F4" s="284" t="s">
        <v>984</v>
      </c>
      <c r="G4" s="284">
        <v>284.73</v>
      </c>
      <c r="H4" s="284" t="s">
        <v>990</v>
      </c>
      <c r="I4" s="291" t="s">
        <v>991</v>
      </c>
      <c r="J4" s="288">
        <v>1</v>
      </c>
      <c r="K4" s="288" t="s">
        <v>208</v>
      </c>
      <c r="L4" s="288" t="s">
        <v>206</v>
      </c>
      <c r="M4" s="285">
        <v>46129</v>
      </c>
      <c r="N4" s="288" t="s">
        <v>987</v>
      </c>
      <c r="O4" s="288"/>
      <c r="P4" s="331" t="s">
        <v>988</v>
      </c>
    </row>
    <row r="5" spans="1:16" ht="16.899999999999999" customHeight="1">
      <c r="A5" s="287">
        <v>3</v>
      </c>
      <c r="B5" s="288" t="s">
        <v>524</v>
      </c>
      <c r="C5" s="284" t="s">
        <v>534</v>
      </c>
      <c r="D5" s="288" t="s">
        <v>525</v>
      </c>
      <c r="E5" s="284" t="s">
        <v>989</v>
      </c>
      <c r="F5" s="284" t="s">
        <v>984</v>
      </c>
      <c r="G5" s="284">
        <v>164.96</v>
      </c>
      <c r="H5" s="284" t="s">
        <v>990</v>
      </c>
      <c r="I5" s="291" t="s">
        <v>992</v>
      </c>
      <c r="J5" s="288">
        <v>1</v>
      </c>
      <c r="K5" s="288" t="s">
        <v>208</v>
      </c>
      <c r="L5" s="288" t="s">
        <v>206</v>
      </c>
      <c r="M5" s="285">
        <v>46129</v>
      </c>
      <c r="N5" s="288" t="s">
        <v>987</v>
      </c>
      <c r="O5" s="288"/>
      <c r="P5" s="331" t="s">
        <v>988</v>
      </c>
    </row>
    <row r="6" spans="1:16">
      <c r="A6" s="287">
        <v>4</v>
      </c>
      <c r="B6" s="288" t="s">
        <v>392</v>
      </c>
      <c r="C6" s="284" t="s">
        <v>393</v>
      </c>
      <c r="D6" s="288" t="s">
        <v>549</v>
      </c>
      <c r="E6" s="284" t="s">
        <v>357</v>
      </c>
      <c r="F6" s="284" t="s">
        <v>984</v>
      </c>
      <c r="G6" s="277">
        <v>448</v>
      </c>
      <c r="H6" s="284" t="s">
        <v>985</v>
      </c>
      <c r="I6" s="291" t="s">
        <v>993</v>
      </c>
      <c r="J6" s="288">
        <v>1</v>
      </c>
      <c r="K6" s="288" t="s">
        <v>200</v>
      </c>
      <c r="L6" s="288" t="s">
        <v>206</v>
      </c>
      <c r="M6" s="285">
        <v>45859</v>
      </c>
      <c r="N6" s="288" t="s">
        <v>987</v>
      </c>
      <c r="O6" s="288" t="s">
        <v>987</v>
      </c>
      <c r="P6" s="331" t="s">
        <v>988</v>
      </c>
    </row>
    <row r="7" spans="1:16">
      <c r="A7" s="287">
        <v>5</v>
      </c>
      <c r="B7" s="288" t="s">
        <v>551</v>
      </c>
      <c r="C7" s="284" t="s">
        <v>298</v>
      </c>
      <c r="D7" s="288" t="s">
        <v>417</v>
      </c>
      <c r="E7" s="284" t="s">
        <v>396</v>
      </c>
      <c r="F7" s="284" t="s">
        <v>994</v>
      </c>
      <c r="G7" s="284">
        <v>323</v>
      </c>
      <c r="H7" s="284" t="s">
        <v>995</v>
      </c>
      <c r="I7" s="291" t="s">
        <v>996</v>
      </c>
      <c r="J7" s="288">
        <v>1</v>
      </c>
      <c r="K7" s="288" t="s">
        <v>200</v>
      </c>
      <c r="L7" s="288" t="s">
        <v>206</v>
      </c>
      <c r="M7" s="285">
        <v>45887</v>
      </c>
      <c r="N7" s="288" t="s">
        <v>987</v>
      </c>
      <c r="O7" s="288" t="s">
        <v>987</v>
      </c>
      <c r="P7" s="331" t="s">
        <v>988</v>
      </c>
    </row>
    <row r="8" spans="1:16">
      <c r="A8" s="287">
        <v>6</v>
      </c>
      <c r="B8" s="288" t="s">
        <v>552</v>
      </c>
      <c r="C8" s="284" t="s">
        <v>373</v>
      </c>
      <c r="D8" s="288" t="s">
        <v>553</v>
      </c>
      <c r="E8" s="284" t="s">
        <v>330</v>
      </c>
      <c r="F8" s="284" t="s">
        <v>994</v>
      </c>
      <c r="G8" s="284">
        <v>259.33999999999997</v>
      </c>
      <c r="H8" s="284" t="s">
        <v>997</v>
      </c>
      <c r="I8" s="291" t="s">
        <v>998</v>
      </c>
      <c r="J8" s="288">
        <v>1</v>
      </c>
      <c r="K8" s="288" t="s">
        <v>200</v>
      </c>
      <c r="L8" s="288" t="s">
        <v>206</v>
      </c>
      <c r="M8" s="285">
        <v>45915</v>
      </c>
      <c r="N8" s="288" t="s">
        <v>987</v>
      </c>
      <c r="O8" s="288" t="s">
        <v>987</v>
      </c>
      <c r="P8" s="331" t="s">
        <v>988</v>
      </c>
    </row>
    <row r="9" spans="1:16">
      <c r="A9" s="287">
        <v>7</v>
      </c>
      <c r="B9" s="288" t="s">
        <v>552</v>
      </c>
      <c r="C9" s="284" t="s">
        <v>373</v>
      </c>
      <c r="D9" s="288" t="s">
        <v>553</v>
      </c>
      <c r="E9" s="284" t="s">
        <v>330</v>
      </c>
      <c r="F9" s="284" t="s">
        <v>994</v>
      </c>
      <c r="G9" s="284">
        <v>259.33999999999997</v>
      </c>
      <c r="H9" s="284" t="s">
        <v>999</v>
      </c>
      <c r="I9" s="291" t="s">
        <v>1000</v>
      </c>
      <c r="J9" s="288">
        <v>1</v>
      </c>
      <c r="K9" s="288" t="s">
        <v>200</v>
      </c>
      <c r="L9" s="288" t="s">
        <v>206</v>
      </c>
      <c r="M9" s="285">
        <v>45915</v>
      </c>
      <c r="N9" s="288" t="s">
        <v>987</v>
      </c>
      <c r="O9" s="288" t="s">
        <v>987</v>
      </c>
      <c r="P9" s="331" t="s">
        <v>988</v>
      </c>
    </row>
    <row r="10" spans="1:16">
      <c r="A10" s="287">
        <v>8</v>
      </c>
      <c r="B10" s="288" t="s">
        <v>169</v>
      </c>
      <c r="C10" s="284" t="s">
        <v>305</v>
      </c>
      <c r="D10" s="288" t="s">
        <v>554</v>
      </c>
      <c r="E10" s="284" t="s">
        <v>305</v>
      </c>
      <c r="F10" s="284" t="s">
        <v>1001</v>
      </c>
      <c r="G10" s="284">
        <v>275.39</v>
      </c>
      <c r="H10" s="284" t="s">
        <v>1002</v>
      </c>
      <c r="I10" s="291" t="s">
        <v>1003</v>
      </c>
      <c r="J10" s="288">
        <v>1</v>
      </c>
      <c r="K10" s="288" t="s">
        <v>200</v>
      </c>
      <c r="L10" s="288" t="s">
        <v>206</v>
      </c>
      <c r="M10" s="285">
        <v>45930</v>
      </c>
      <c r="N10" s="288" t="s">
        <v>987</v>
      </c>
      <c r="O10" s="288" t="s">
        <v>987</v>
      </c>
      <c r="P10" s="331" t="s">
        <v>988</v>
      </c>
    </row>
    <row r="11" spans="1:16">
      <c r="A11" s="305">
        <v>9</v>
      </c>
      <c r="B11" s="306" t="s">
        <v>556</v>
      </c>
      <c r="C11" s="307" t="s">
        <v>357</v>
      </c>
      <c r="D11" s="306" t="s">
        <v>557</v>
      </c>
      <c r="E11" s="307" t="s">
        <v>560</v>
      </c>
      <c r="F11" s="307" t="s">
        <v>984</v>
      </c>
      <c r="G11" s="307">
        <v>375.54</v>
      </c>
      <c r="H11" s="307" t="s">
        <v>985</v>
      </c>
      <c r="I11" s="308" t="s">
        <v>1004</v>
      </c>
      <c r="J11" s="306">
        <v>1</v>
      </c>
      <c r="K11" s="306" t="s">
        <v>200</v>
      </c>
      <c r="L11" s="306" t="s">
        <v>206</v>
      </c>
      <c r="M11" s="309">
        <v>45911</v>
      </c>
      <c r="N11" s="306" t="s">
        <v>987</v>
      </c>
      <c r="O11" s="306" t="s">
        <v>987</v>
      </c>
      <c r="P11" s="510" t="s">
        <v>1005</v>
      </c>
    </row>
    <row r="12" spans="1:16">
      <c r="A12" s="287">
        <v>10</v>
      </c>
      <c r="B12" s="288" t="s">
        <v>557</v>
      </c>
      <c r="C12" s="284" t="s">
        <v>560</v>
      </c>
      <c r="D12" s="288" t="s">
        <v>558</v>
      </c>
      <c r="E12" s="284" t="s">
        <v>305</v>
      </c>
      <c r="F12" s="284" t="s">
        <v>1006</v>
      </c>
      <c r="G12" s="284">
        <v>297.52</v>
      </c>
      <c r="H12" s="284" t="s">
        <v>1007</v>
      </c>
      <c r="I12" s="291" t="s">
        <v>1008</v>
      </c>
      <c r="J12" s="288">
        <v>1</v>
      </c>
      <c r="K12" s="288" t="s">
        <v>200</v>
      </c>
      <c r="L12" s="288" t="s">
        <v>206</v>
      </c>
      <c r="M12" s="285">
        <v>45909</v>
      </c>
      <c r="N12" s="288" t="s">
        <v>987</v>
      </c>
      <c r="O12" s="288" t="s">
        <v>987</v>
      </c>
      <c r="P12" s="331" t="s">
        <v>988</v>
      </c>
    </row>
    <row r="13" spans="1:16">
      <c r="A13" s="287">
        <v>11</v>
      </c>
      <c r="B13" s="288" t="s">
        <v>557</v>
      </c>
      <c r="C13" s="284" t="s">
        <v>560</v>
      </c>
      <c r="D13" s="288" t="s">
        <v>558</v>
      </c>
      <c r="E13" s="284" t="s">
        <v>305</v>
      </c>
      <c r="F13" s="284" t="s">
        <v>1001</v>
      </c>
      <c r="G13" s="284">
        <v>297.52</v>
      </c>
      <c r="H13" s="276" t="s">
        <v>1002</v>
      </c>
      <c r="I13" s="291" t="s">
        <v>1009</v>
      </c>
      <c r="J13" s="288">
        <v>1</v>
      </c>
      <c r="K13" s="288" t="s">
        <v>200</v>
      </c>
      <c r="L13" s="288" t="s">
        <v>206</v>
      </c>
      <c r="M13" s="285">
        <v>45930</v>
      </c>
      <c r="N13" s="285" t="s">
        <v>987</v>
      </c>
      <c r="O13" s="285" t="s">
        <v>987</v>
      </c>
      <c r="P13" s="331" t="s">
        <v>988</v>
      </c>
    </row>
    <row r="14" spans="1:16">
      <c r="A14" s="287">
        <v>12</v>
      </c>
      <c r="B14" s="288" t="s">
        <v>453</v>
      </c>
      <c r="C14" s="284" t="s">
        <v>350</v>
      </c>
      <c r="D14" s="288" t="s">
        <v>455</v>
      </c>
      <c r="E14" s="284" t="s">
        <v>373</v>
      </c>
      <c r="F14" s="284" t="s">
        <v>994</v>
      </c>
      <c r="G14" s="284">
        <v>234.98</v>
      </c>
      <c r="H14" s="284" t="s">
        <v>1010</v>
      </c>
      <c r="I14" s="291" t="s">
        <v>1011</v>
      </c>
      <c r="J14" s="288">
        <v>1</v>
      </c>
      <c r="K14" s="288" t="s">
        <v>200</v>
      </c>
      <c r="L14" s="288" t="s">
        <v>206</v>
      </c>
      <c r="M14" s="285">
        <v>45750</v>
      </c>
      <c r="N14" s="285" t="s">
        <v>987</v>
      </c>
      <c r="O14" s="288" t="s">
        <v>987</v>
      </c>
      <c r="P14" s="331" t="s">
        <v>988</v>
      </c>
    </row>
    <row r="15" spans="1:16">
      <c r="A15" s="287">
        <v>13</v>
      </c>
      <c r="B15" s="288" t="s">
        <v>455</v>
      </c>
      <c r="C15" s="284" t="s">
        <v>373</v>
      </c>
      <c r="D15" s="288" t="s">
        <v>459</v>
      </c>
      <c r="E15" s="284" t="s">
        <v>350</v>
      </c>
      <c r="F15" s="284" t="s">
        <v>994</v>
      </c>
      <c r="G15" s="284">
        <v>375.72</v>
      </c>
      <c r="H15" s="284" t="s">
        <v>995</v>
      </c>
      <c r="I15" s="291" t="s">
        <v>1012</v>
      </c>
      <c r="J15" s="288">
        <v>1</v>
      </c>
      <c r="K15" s="288" t="s">
        <v>200</v>
      </c>
      <c r="L15" s="288" t="s">
        <v>206</v>
      </c>
      <c r="M15" s="285">
        <v>45751</v>
      </c>
      <c r="N15" s="285" t="s">
        <v>987</v>
      </c>
      <c r="O15" s="288" t="s">
        <v>987</v>
      </c>
      <c r="P15" s="331" t="s">
        <v>988</v>
      </c>
    </row>
    <row r="16" spans="1:16">
      <c r="A16" s="287">
        <v>14</v>
      </c>
      <c r="B16" s="288" t="s">
        <v>428</v>
      </c>
      <c r="C16" s="284" t="s">
        <v>373</v>
      </c>
      <c r="D16" s="288" t="s">
        <v>427</v>
      </c>
      <c r="E16" s="284" t="s">
        <v>292</v>
      </c>
      <c r="F16" s="284" t="s">
        <v>994</v>
      </c>
      <c r="G16" s="284">
        <v>378.53</v>
      </c>
      <c r="H16" s="284" t="s">
        <v>995</v>
      </c>
      <c r="I16" s="291" t="s">
        <v>1013</v>
      </c>
      <c r="J16" s="288">
        <v>1</v>
      </c>
      <c r="K16" s="288" t="s">
        <v>200</v>
      </c>
      <c r="L16" s="288" t="s">
        <v>206</v>
      </c>
      <c r="M16" s="285">
        <v>45913</v>
      </c>
      <c r="N16" s="285" t="s">
        <v>987</v>
      </c>
      <c r="O16" s="288" t="s">
        <v>987</v>
      </c>
      <c r="P16" s="331" t="s">
        <v>988</v>
      </c>
    </row>
    <row r="17" spans="1:16">
      <c r="A17" s="287">
        <v>15</v>
      </c>
      <c r="B17" s="288" t="s">
        <v>428</v>
      </c>
      <c r="C17" s="284" t="s">
        <v>373</v>
      </c>
      <c r="D17" s="288" t="s">
        <v>427</v>
      </c>
      <c r="E17" s="284" t="s">
        <v>292</v>
      </c>
      <c r="F17" s="284" t="s">
        <v>984</v>
      </c>
      <c r="G17" s="284">
        <v>378.53</v>
      </c>
      <c r="H17" s="284" t="s">
        <v>985</v>
      </c>
      <c r="I17" s="291" t="s">
        <v>1014</v>
      </c>
      <c r="J17" s="288">
        <v>1</v>
      </c>
      <c r="K17" s="288" t="s">
        <v>200</v>
      </c>
      <c r="L17" s="288" t="s">
        <v>206</v>
      </c>
      <c r="M17" s="285">
        <v>45902</v>
      </c>
      <c r="N17" s="285" t="s">
        <v>987</v>
      </c>
      <c r="O17" s="285" t="s">
        <v>987</v>
      </c>
      <c r="P17" s="333" t="s">
        <v>988</v>
      </c>
    </row>
    <row r="18" spans="1:16">
      <c r="A18" s="287">
        <v>16</v>
      </c>
      <c r="B18" s="288" t="s">
        <v>570</v>
      </c>
      <c r="C18" s="284" t="s">
        <v>309</v>
      </c>
      <c r="D18" s="288" t="s">
        <v>571</v>
      </c>
      <c r="E18" s="284" t="s">
        <v>350</v>
      </c>
      <c r="F18" s="284" t="s">
        <v>994</v>
      </c>
      <c r="G18" s="284">
        <v>406</v>
      </c>
      <c r="H18" s="284" t="s">
        <v>997</v>
      </c>
      <c r="I18" s="291" t="s">
        <v>1015</v>
      </c>
      <c r="J18" s="288">
        <v>1</v>
      </c>
      <c r="K18" s="288" t="s">
        <v>200</v>
      </c>
      <c r="L18" s="288" t="s">
        <v>206</v>
      </c>
      <c r="M18" s="285">
        <v>45905</v>
      </c>
      <c r="N18" s="285" t="s">
        <v>987</v>
      </c>
      <c r="O18" s="285" t="s">
        <v>987</v>
      </c>
      <c r="P18" s="331" t="s">
        <v>988</v>
      </c>
    </row>
    <row r="19" spans="1:16">
      <c r="A19" s="287">
        <v>17</v>
      </c>
      <c r="B19" s="288" t="s">
        <v>574</v>
      </c>
      <c r="C19" s="284" t="s">
        <v>399</v>
      </c>
      <c r="D19" s="288" t="s">
        <v>575</v>
      </c>
      <c r="E19" s="284" t="s">
        <v>350</v>
      </c>
      <c r="F19" s="284" t="s">
        <v>994</v>
      </c>
      <c r="G19" s="284">
        <v>426</v>
      </c>
      <c r="H19" s="284" t="s">
        <v>995</v>
      </c>
      <c r="I19" s="291" t="s">
        <v>1016</v>
      </c>
      <c r="J19" s="288">
        <v>19</v>
      </c>
      <c r="K19" s="288" t="s">
        <v>200</v>
      </c>
      <c r="L19" s="288" t="s">
        <v>206</v>
      </c>
      <c r="M19" s="285">
        <v>45877</v>
      </c>
      <c r="N19" s="285" t="s">
        <v>987</v>
      </c>
      <c r="O19" s="285" t="s">
        <v>987</v>
      </c>
      <c r="P19" s="331" t="s">
        <v>988</v>
      </c>
    </row>
    <row r="20" spans="1:16">
      <c r="A20" s="287">
        <v>18</v>
      </c>
      <c r="B20" s="288" t="s">
        <v>574</v>
      </c>
      <c r="C20" s="284" t="s">
        <v>399</v>
      </c>
      <c r="D20" s="288" t="s">
        <v>575</v>
      </c>
      <c r="E20" s="284" t="s">
        <v>350</v>
      </c>
      <c r="F20" s="284" t="s">
        <v>994</v>
      </c>
      <c r="G20" s="284">
        <v>426</v>
      </c>
      <c r="H20" s="284" t="s">
        <v>1017</v>
      </c>
      <c r="I20" s="291" t="s">
        <v>1018</v>
      </c>
      <c r="J20" s="288">
        <v>1</v>
      </c>
      <c r="K20" s="288" t="s">
        <v>200</v>
      </c>
      <c r="L20" s="288" t="s">
        <v>206</v>
      </c>
      <c r="M20" s="285">
        <v>45877</v>
      </c>
      <c r="N20" s="285" t="s">
        <v>987</v>
      </c>
      <c r="O20" s="285" t="s">
        <v>987</v>
      </c>
      <c r="P20" s="331" t="s">
        <v>988</v>
      </c>
    </row>
    <row r="21" spans="1:16">
      <c r="A21" s="287">
        <v>19</v>
      </c>
      <c r="B21" s="288" t="s">
        <v>181</v>
      </c>
      <c r="C21" s="284" t="s">
        <v>302</v>
      </c>
      <c r="D21" s="288" t="s">
        <v>581</v>
      </c>
      <c r="E21" s="284" t="s">
        <v>357</v>
      </c>
      <c r="F21" s="284" t="s">
        <v>994</v>
      </c>
      <c r="G21" s="284">
        <v>410</v>
      </c>
      <c r="H21" s="284" t="s">
        <v>1017</v>
      </c>
      <c r="I21" s="291" t="s">
        <v>1019</v>
      </c>
      <c r="J21" s="288">
        <v>1</v>
      </c>
      <c r="K21" s="288" t="s">
        <v>200</v>
      </c>
      <c r="L21" s="288" t="s">
        <v>206</v>
      </c>
      <c r="M21" s="285">
        <v>45878</v>
      </c>
      <c r="N21" s="288" t="s">
        <v>987</v>
      </c>
      <c r="O21" s="288" t="s">
        <v>987</v>
      </c>
      <c r="P21" s="331" t="s">
        <v>988</v>
      </c>
    </row>
    <row r="22" spans="1:16">
      <c r="A22" s="287">
        <v>20</v>
      </c>
      <c r="B22" s="288" t="s">
        <v>589</v>
      </c>
      <c r="C22" s="284" t="s">
        <v>330</v>
      </c>
      <c r="D22" s="288" t="s">
        <v>590</v>
      </c>
      <c r="E22" s="284" t="s">
        <v>591</v>
      </c>
      <c r="F22" s="284" t="s">
        <v>994</v>
      </c>
      <c r="G22" s="284">
        <v>404.98</v>
      </c>
      <c r="H22" s="284" t="s">
        <v>1020</v>
      </c>
      <c r="I22" s="291" t="s">
        <v>1021</v>
      </c>
      <c r="J22" s="288">
        <v>1</v>
      </c>
      <c r="K22" s="288" t="s">
        <v>200</v>
      </c>
      <c r="L22" s="288" t="s">
        <v>206</v>
      </c>
      <c r="M22" s="285">
        <v>45877</v>
      </c>
      <c r="N22" s="285" t="s">
        <v>987</v>
      </c>
      <c r="O22" s="288" t="s">
        <v>987</v>
      </c>
      <c r="P22" s="331" t="s">
        <v>988</v>
      </c>
    </row>
    <row r="23" spans="1:16">
      <c r="A23" s="305">
        <v>21</v>
      </c>
      <c r="B23" s="306" t="s">
        <v>590</v>
      </c>
      <c r="C23" s="307" t="s">
        <v>591</v>
      </c>
      <c r="D23" s="306" t="s">
        <v>592</v>
      </c>
      <c r="E23" s="307" t="s">
        <v>350</v>
      </c>
      <c r="F23" s="307" t="s">
        <v>994</v>
      </c>
      <c r="G23" s="307">
        <v>382.01</v>
      </c>
      <c r="H23" s="307" t="s">
        <v>997</v>
      </c>
      <c r="I23" s="308" t="s">
        <v>1022</v>
      </c>
      <c r="J23" s="306">
        <v>1</v>
      </c>
      <c r="K23" s="306" t="s">
        <v>200</v>
      </c>
      <c r="L23" s="306" t="s">
        <v>206</v>
      </c>
      <c r="M23" s="309">
        <v>45882</v>
      </c>
      <c r="N23" s="309" t="s">
        <v>987</v>
      </c>
      <c r="O23" s="306" t="s">
        <v>987</v>
      </c>
      <c r="P23" s="332" t="s">
        <v>1023</v>
      </c>
    </row>
    <row r="24" spans="1:16">
      <c r="A24" s="305">
        <v>22</v>
      </c>
      <c r="B24" s="306" t="s">
        <v>165</v>
      </c>
      <c r="C24" s="307" t="s">
        <v>305</v>
      </c>
      <c r="D24" s="306" t="s">
        <v>593</v>
      </c>
      <c r="E24" s="307" t="s">
        <v>305</v>
      </c>
      <c r="F24" s="307" t="s">
        <v>984</v>
      </c>
      <c r="G24" s="307">
        <v>155.72999999999999</v>
      </c>
      <c r="H24" s="307" t="s">
        <v>985</v>
      </c>
      <c r="I24" s="308" t="s">
        <v>1024</v>
      </c>
      <c r="J24" s="306">
        <v>1</v>
      </c>
      <c r="K24" s="306" t="s">
        <v>200</v>
      </c>
      <c r="L24" s="306" t="s">
        <v>206</v>
      </c>
      <c r="M24" s="309">
        <v>45880</v>
      </c>
      <c r="N24" s="309" t="s">
        <v>987</v>
      </c>
      <c r="O24" s="306" t="s">
        <v>987</v>
      </c>
      <c r="P24" s="510" t="s">
        <v>1005</v>
      </c>
    </row>
    <row r="25" spans="1:16">
      <c r="A25" s="305">
        <v>23</v>
      </c>
      <c r="B25" s="306" t="s">
        <v>598</v>
      </c>
      <c r="C25" s="307" t="s">
        <v>322</v>
      </c>
      <c r="D25" s="306" t="s">
        <v>599</v>
      </c>
      <c r="E25" s="307" t="s">
        <v>561</v>
      </c>
      <c r="F25" s="307" t="s">
        <v>994</v>
      </c>
      <c r="G25" s="307">
        <v>329</v>
      </c>
      <c r="H25" s="307" t="s">
        <v>997</v>
      </c>
      <c r="I25" s="308" t="s">
        <v>1025</v>
      </c>
      <c r="J25" s="306">
        <v>1</v>
      </c>
      <c r="K25" s="306" t="s">
        <v>200</v>
      </c>
      <c r="L25" s="306" t="s">
        <v>206</v>
      </c>
      <c r="M25" s="309">
        <v>45888</v>
      </c>
      <c r="N25" s="309" t="s">
        <v>987</v>
      </c>
      <c r="O25" s="306" t="s">
        <v>987</v>
      </c>
      <c r="P25" s="332" t="s">
        <v>1023</v>
      </c>
    </row>
    <row r="26" spans="1:16">
      <c r="A26" s="305">
        <v>24</v>
      </c>
      <c r="B26" s="306" t="s">
        <v>598</v>
      </c>
      <c r="C26" s="307" t="s">
        <v>322</v>
      </c>
      <c r="D26" s="306" t="s">
        <v>599</v>
      </c>
      <c r="E26" s="307" t="s">
        <v>561</v>
      </c>
      <c r="F26" s="307" t="s">
        <v>984</v>
      </c>
      <c r="G26" s="307">
        <v>329</v>
      </c>
      <c r="H26" s="307" t="s">
        <v>985</v>
      </c>
      <c r="I26" s="308" t="s">
        <v>1026</v>
      </c>
      <c r="J26" s="306">
        <v>1</v>
      </c>
      <c r="K26" s="306" t="s">
        <v>200</v>
      </c>
      <c r="L26" s="306" t="s">
        <v>206</v>
      </c>
      <c r="M26" s="309">
        <v>45889</v>
      </c>
      <c r="N26" s="309" t="s">
        <v>987</v>
      </c>
      <c r="O26" s="306" t="s">
        <v>987</v>
      </c>
      <c r="P26" s="510" t="s">
        <v>1005</v>
      </c>
    </row>
    <row r="27" spans="1:16">
      <c r="A27" s="305">
        <v>25</v>
      </c>
      <c r="B27" s="306" t="s">
        <v>599</v>
      </c>
      <c r="C27" s="307" t="s">
        <v>561</v>
      </c>
      <c r="D27" s="306" t="s">
        <v>600</v>
      </c>
      <c r="E27" s="307" t="s">
        <v>302</v>
      </c>
      <c r="F27" s="307" t="s">
        <v>984</v>
      </c>
      <c r="G27" s="307">
        <v>428.04</v>
      </c>
      <c r="H27" s="307" t="s">
        <v>985</v>
      </c>
      <c r="I27" s="308" t="s">
        <v>1027</v>
      </c>
      <c r="J27" s="306">
        <v>1</v>
      </c>
      <c r="K27" s="306" t="s">
        <v>200</v>
      </c>
      <c r="L27" s="306" t="s">
        <v>206</v>
      </c>
      <c r="M27" s="309">
        <v>45891</v>
      </c>
      <c r="N27" s="309" t="s">
        <v>987</v>
      </c>
      <c r="O27" s="306" t="s">
        <v>987</v>
      </c>
      <c r="P27" s="510" t="s">
        <v>1005</v>
      </c>
    </row>
    <row r="28" spans="1:16">
      <c r="A28" s="305">
        <v>26</v>
      </c>
      <c r="B28" s="306" t="s">
        <v>601</v>
      </c>
      <c r="C28" s="307" t="s">
        <v>350</v>
      </c>
      <c r="D28" s="306" t="s">
        <v>602</v>
      </c>
      <c r="E28" s="307" t="s">
        <v>396</v>
      </c>
      <c r="F28" s="307" t="s">
        <v>984</v>
      </c>
      <c r="G28" s="307">
        <v>365.78</v>
      </c>
      <c r="H28" s="307" t="s">
        <v>985</v>
      </c>
      <c r="I28" s="308" t="s">
        <v>1028</v>
      </c>
      <c r="J28" s="306">
        <v>1</v>
      </c>
      <c r="K28" s="306" t="s">
        <v>200</v>
      </c>
      <c r="L28" s="306" t="s">
        <v>206</v>
      </c>
      <c r="M28" s="309">
        <v>45894</v>
      </c>
      <c r="N28" s="309" t="s">
        <v>987</v>
      </c>
      <c r="O28" s="306" t="s">
        <v>987</v>
      </c>
      <c r="P28" s="510" t="s">
        <v>1005</v>
      </c>
    </row>
    <row r="29" spans="1:16">
      <c r="A29" s="287">
        <v>27</v>
      </c>
      <c r="B29" s="288" t="s">
        <v>182</v>
      </c>
      <c r="C29" s="284" t="s">
        <v>305</v>
      </c>
      <c r="D29" s="288" t="s">
        <v>141</v>
      </c>
      <c r="E29" s="284" t="s">
        <v>560</v>
      </c>
      <c r="F29" s="284" t="s">
        <v>1001</v>
      </c>
      <c r="G29" s="284">
        <v>276.3</v>
      </c>
      <c r="H29" s="284" t="s">
        <v>1002</v>
      </c>
      <c r="I29" s="291" t="s">
        <v>1029</v>
      </c>
      <c r="J29" s="288">
        <v>1</v>
      </c>
      <c r="K29" s="288" t="s">
        <v>200</v>
      </c>
      <c r="L29" s="288" t="s">
        <v>206</v>
      </c>
      <c r="M29" s="285">
        <v>45930</v>
      </c>
      <c r="N29" s="285" t="s">
        <v>987</v>
      </c>
      <c r="O29" s="288" t="s">
        <v>987</v>
      </c>
      <c r="P29" s="331" t="s">
        <v>988</v>
      </c>
    </row>
    <row r="30" spans="1:16">
      <c r="A30" s="305">
        <v>28</v>
      </c>
      <c r="B30" s="306" t="s">
        <v>182</v>
      </c>
      <c r="C30" s="307" t="s">
        <v>305</v>
      </c>
      <c r="D30" s="306" t="s">
        <v>141</v>
      </c>
      <c r="E30" s="307" t="s">
        <v>560</v>
      </c>
      <c r="F30" s="307" t="s">
        <v>1030</v>
      </c>
      <c r="G30" s="307">
        <v>276.3</v>
      </c>
      <c r="H30" s="307" t="s">
        <v>985</v>
      </c>
      <c r="I30" s="308" t="s">
        <v>1031</v>
      </c>
      <c r="J30" s="306">
        <v>1</v>
      </c>
      <c r="K30" s="306" t="s">
        <v>200</v>
      </c>
      <c r="L30" s="306" t="s">
        <v>206</v>
      </c>
      <c r="M30" s="309">
        <v>45895</v>
      </c>
      <c r="N30" s="309" t="s">
        <v>987</v>
      </c>
      <c r="O30" s="306" t="s">
        <v>987</v>
      </c>
      <c r="P30" s="510" t="s">
        <v>1005</v>
      </c>
    </row>
    <row r="31" spans="1:16">
      <c r="A31" s="287">
        <v>29</v>
      </c>
      <c r="B31" s="288" t="s">
        <v>606</v>
      </c>
      <c r="C31" s="284" t="s">
        <v>591</v>
      </c>
      <c r="D31" s="288" t="s">
        <v>607</v>
      </c>
      <c r="E31" s="284" t="s">
        <v>298</v>
      </c>
      <c r="F31" s="284" t="s">
        <v>994</v>
      </c>
      <c r="G31" s="284">
        <v>381.59</v>
      </c>
      <c r="H31" s="284" t="s">
        <v>1017</v>
      </c>
      <c r="I31" s="291" t="s">
        <v>1019</v>
      </c>
      <c r="J31" s="288">
        <v>1</v>
      </c>
      <c r="K31" s="288" t="s">
        <v>200</v>
      </c>
      <c r="L31" s="288" t="s">
        <v>206</v>
      </c>
      <c r="M31" s="285">
        <v>45756</v>
      </c>
      <c r="N31" s="285" t="s">
        <v>987</v>
      </c>
      <c r="O31" s="288" t="s">
        <v>987</v>
      </c>
      <c r="P31" s="331" t="s">
        <v>988</v>
      </c>
    </row>
    <row r="32" spans="1:16">
      <c r="A32" s="305">
        <v>30</v>
      </c>
      <c r="B32" s="306" t="s">
        <v>609</v>
      </c>
      <c r="C32" s="307" t="s">
        <v>350</v>
      </c>
      <c r="D32" s="306" t="s">
        <v>610</v>
      </c>
      <c r="E32" s="307" t="s">
        <v>350</v>
      </c>
      <c r="F32" s="307" t="s">
        <v>994</v>
      </c>
      <c r="G32" s="307">
        <v>378</v>
      </c>
      <c r="H32" s="307" t="s">
        <v>997</v>
      </c>
      <c r="I32" s="308" t="s">
        <v>1032</v>
      </c>
      <c r="J32" s="306">
        <v>2</v>
      </c>
      <c r="K32" s="306" t="s">
        <v>200</v>
      </c>
      <c r="L32" s="306" t="s">
        <v>206</v>
      </c>
      <c r="M32" s="309">
        <v>45756</v>
      </c>
      <c r="N32" s="309" t="s">
        <v>987</v>
      </c>
      <c r="O32" s="306" t="s">
        <v>987</v>
      </c>
      <c r="P32" s="332" t="s">
        <v>1023</v>
      </c>
    </row>
    <row r="33" spans="1:16" ht="38.5">
      <c r="A33" s="292">
        <v>31</v>
      </c>
      <c r="B33" s="293" t="s">
        <v>612</v>
      </c>
      <c r="C33" s="294" t="s">
        <v>389</v>
      </c>
      <c r="D33" s="293" t="s">
        <v>745</v>
      </c>
      <c r="E33" s="294" t="s">
        <v>324</v>
      </c>
      <c r="F33" s="294" t="s">
        <v>984</v>
      </c>
      <c r="G33" s="294">
        <v>240.05</v>
      </c>
      <c r="H33" s="295" t="s">
        <v>985</v>
      </c>
      <c r="I33" s="296" t="s">
        <v>1033</v>
      </c>
      <c r="J33" s="293">
        <v>1</v>
      </c>
      <c r="K33" s="293" t="s">
        <v>200</v>
      </c>
      <c r="L33" s="293" t="s">
        <v>1034</v>
      </c>
      <c r="M33" s="297"/>
      <c r="N33" s="297"/>
      <c r="O33" s="293"/>
      <c r="P33" s="334" t="s">
        <v>1035</v>
      </c>
    </row>
    <row r="34" spans="1:16" ht="38.5">
      <c r="A34" s="292">
        <v>32</v>
      </c>
      <c r="B34" s="293" t="s">
        <v>142</v>
      </c>
      <c r="C34" s="294" t="s">
        <v>918</v>
      </c>
      <c r="D34" s="293" t="s">
        <v>143</v>
      </c>
      <c r="E34" s="294" t="s">
        <v>393</v>
      </c>
      <c r="F34" s="294" t="s">
        <v>984</v>
      </c>
      <c r="G34" s="294">
        <v>249</v>
      </c>
      <c r="H34" s="295" t="s">
        <v>985</v>
      </c>
      <c r="I34" s="296" t="s">
        <v>1036</v>
      </c>
      <c r="J34" s="293">
        <v>1</v>
      </c>
      <c r="K34" s="293" t="s">
        <v>200</v>
      </c>
      <c r="L34" s="293" t="s">
        <v>1034</v>
      </c>
      <c r="M34" s="297"/>
      <c r="N34" s="297"/>
      <c r="O34" s="293"/>
      <c r="P34" s="334" t="s">
        <v>1035</v>
      </c>
    </row>
    <row r="35" spans="1:16" s="619" customFormat="1">
      <c r="A35" s="620">
        <v>33</v>
      </c>
      <c r="B35" s="621" t="s">
        <v>753</v>
      </c>
      <c r="C35" s="330" t="s">
        <v>298</v>
      </c>
      <c r="D35" s="621" t="s">
        <v>1037</v>
      </c>
      <c r="E35" s="330" t="s">
        <v>298</v>
      </c>
      <c r="F35" s="330" t="s">
        <v>994</v>
      </c>
      <c r="G35" s="330">
        <v>172.61</v>
      </c>
      <c r="H35" s="330" t="s">
        <v>995</v>
      </c>
      <c r="I35" s="622" t="s">
        <v>1038</v>
      </c>
      <c r="J35" s="621">
        <v>1</v>
      </c>
      <c r="K35" s="621" t="s">
        <v>200</v>
      </c>
      <c r="L35" s="621" t="s">
        <v>206</v>
      </c>
      <c r="M35" s="623">
        <v>46195</v>
      </c>
      <c r="N35" s="623" t="s">
        <v>987</v>
      </c>
      <c r="O35" s="621"/>
      <c r="P35" s="624" t="s">
        <v>1104</v>
      </c>
    </row>
    <row r="36" spans="1:16" ht="26">
      <c r="A36" s="325">
        <v>34</v>
      </c>
      <c r="B36" s="326" t="s">
        <v>613</v>
      </c>
      <c r="C36" s="327" t="s">
        <v>1039</v>
      </c>
      <c r="D36" s="326" t="s">
        <v>614</v>
      </c>
      <c r="E36" s="327" t="s">
        <v>1040</v>
      </c>
      <c r="F36" s="327" t="s">
        <v>984</v>
      </c>
      <c r="G36" s="327">
        <v>225.81</v>
      </c>
      <c r="H36" s="330" t="s">
        <v>1041</v>
      </c>
      <c r="I36" s="328" t="s">
        <v>1042</v>
      </c>
      <c r="J36" s="326">
        <v>1</v>
      </c>
      <c r="K36" s="326" t="s">
        <v>200</v>
      </c>
      <c r="L36" s="326" t="s">
        <v>206</v>
      </c>
      <c r="M36" s="329">
        <v>46150</v>
      </c>
      <c r="N36" s="329" t="s">
        <v>987</v>
      </c>
      <c r="O36" s="326"/>
      <c r="P36" s="333" t="s">
        <v>988</v>
      </c>
    </row>
    <row r="37" spans="1:16" ht="26">
      <c r="A37" s="325">
        <v>35</v>
      </c>
      <c r="B37" s="326" t="s">
        <v>613</v>
      </c>
      <c r="C37" s="327" t="s">
        <v>1039</v>
      </c>
      <c r="D37" s="326" t="s">
        <v>614</v>
      </c>
      <c r="E37" s="327" t="s">
        <v>1040</v>
      </c>
      <c r="F37" s="327" t="s">
        <v>994</v>
      </c>
      <c r="G37" s="327">
        <v>225.81</v>
      </c>
      <c r="H37" s="330" t="s">
        <v>1017</v>
      </c>
      <c r="I37" s="328" t="s">
        <v>1019</v>
      </c>
      <c r="J37" s="326">
        <v>1</v>
      </c>
      <c r="K37" s="326" t="s">
        <v>200</v>
      </c>
      <c r="L37" s="326" t="s">
        <v>206</v>
      </c>
      <c r="M37" s="329">
        <v>46150</v>
      </c>
      <c r="N37" s="285" t="s">
        <v>987</v>
      </c>
      <c r="O37" s="326"/>
      <c r="P37" s="333" t="s">
        <v>988</v>
      </c>
    </row>
    <row r="38" spans="1:16">
      <c r="A38" s="287">
        <v>36</v>
      </c>
      <c r="B38" s="288" t="s">
        <v>615</v>
      </c>
      <c r="C38" s="284" t="s">
        <v>350</v>
      </c>
      <c r="D38" s="288" t="s">
        <v>145</v>
      </c>
      <c r="E38" s="284" t="s">
        <v>357</v>
      </c>
      <c r="F38" s="284" t="s">
        <v>994</v>
      </c>
      <c r="G38" s="284">
        <v>385</v>
      </c>
      <c r="H38" s="276" t="s">
        <v>999</v>
      </c>
      <c r="I38" s="291" t="s">
        <v>1043</v>
      </c>
      <c r="J38" s="288">
        <v>1</v>
      </c>
      <c r="K38" s="288" t="s">
        <v>200</v>
      </c>
      <c r="L38" s="326" t="s">
        <v>206</v>
      </c>
      <c r="M38" s="285">
        <v>46153</v>
      </c>
      <c r="N38" s="285" t="s">
        <v>987</v>
      </c>
      <c r="O38" s="288"/>
      <c r="P38" s="333" t="s">
        <v>988</v>
      </c>
    </row>
    <row r="39" spans="1:16" s="511" customFormat="1">
      <c r="A39" s="325">
        <v>37</v>
      </c>
      <c r="B39" s="326" t="s">
        <v>145</v>
      </c>
      <c r="C39" s="327" t="s">
        <v>357</v>
      </c>
      <c r="D39" s="326" t="s">
        <v>616</v>
      </c>
      <c r="E39" s="327" t="s">
        <v>357</v>
      </c>
      <c r="F39" s="327" t="s">
        <v>994</v>
      </c>
      <c r="G39" s="327">
        <v>429</v>
      </c>
      <c r="H39" s="330" t="s">
        <v>1010</v>
      </c>
      <c r="I39" s="328" t="s">
        <v>1044</v>
      </c>
      <c r="J39" s="326">
        <v>1</v>
      </c>
      <c r="K39" s="326" t="s">
        <v>200</v>
      </c>
      <c r="L39" s="326" t="s">
        <v>206</v>
      </c>
      <c r="M39" s="329">
        <v>46167</v>
      </c>
      <c r="N39" s="285" t="s">
        <v>987</v>
      </c>
      <c r="O39" s="293"/>
      <c r="P39" s="333" t="s">
        <v>988</v>
      </c>
    </row>
    <row r="40" spans="1:16" s="511" customFormat="1">
      <c r="A40" s="325">
        <v>38</v>
      </c>
      <c r="B40" s="326" t="s">
        <v>145</v>
      </c>
      <c r="C40" s="327" t="s">
        <v>357</v>
      </c>
      <c r="D40" s="326" t="s">
        <v>616</v>
      </c>
      <c r="E40" s="327" t="s">
        <v>357</v>
      </c>
      <c r="F40" s="327" t="s">
        <v>994</v>
      </c>
      <c r="G40" s="327">
        <v>429</v>
      </c>
      <c r="H40" s="330" t="s">
        <v>995</v>
      </c>
      <c r="I40" s="328" t="s">
        <v>1045</v>
      </c>
      <c r="J40" s="326">
        <v>1</v>
      </c>
      <c r="K40" s="326" t="s">
        <v>200</v>
      </c>
      <c r="L40" s="326" t="s">
        <v>206</v>
      </c>
      <c r="M40" s="329">
        <v>46167</v>
      </c>
      <c r="N40" s="285" t="s">
        <v>987</v>
      </c>
      <c r="O40" s="293"/>
      <c r="P40" s="333" t="s">
        <v>988</v>
      </c>
    </row>
    <row r="41" spans="1:16" s="511" customFormat="1">
      <c r="A41" s="325">
        <v>39</v>
      </c>
      <c r="B41" s="326" t="s">
        <v>145</v>
      </c>
      <c r="C41" s="327" t="s">
        <v>357</v>
      </c>
      <c r="D41" s="326" t="s">
        <v>616</v>
      </c>
      <c r="E41" s="327" t="s">
        <v>357</v>
      </c>
      <c r="F41" s="327" t="s">
        <v>994</v>
      </c>
      <c r="G41" s="327">
        <v>429</v>
      </c>
      <c r="H41" s="330" t="s">
        <v>997</v>
      </c>
      <c r="I41" s="328" t="s">
        <v>1046</v>
      </c>
      <c r="J41" s="326">
        <v>1</v>
      </c>
      <c r="K41" s="326" t="s">
        <v>200</v>
      </c>
      <c r="L41" s="326" t="s">
        <v>206</v>
      </c>
      <c r="M41" s="329">
        <v>46167</v>
      </c>
      <c r="N41" s="285" t="s">
        <v>987</v>
      </c>
      <c r="O41" s="293"/>
      <c r="P41" s="333" t="s">
        <v>988</v>
      </c>
    </row>
    <row r="42" spans="1:16" s="619" customFormat="1">
      <c r="A42" s="620">
        <v>40</v>
      </c>
      <c r="B42" s="621" t="s">
        <v>1047</v>
      </c>
      <c r="C42" s="330" t="s">
        <v>396</v>
      </c>
      <c r="D42" s="621" t="s">
        <v>1048</v>
      </c>
      <c r="E42" s="330" t="s">
        <v>396</v>
      </c>
      <c r="F42" s="330" t="s">
        <v>994</v>
      </c>
      <c r="G42" s="330">
        <v>360</v>
      </c>
      <c r="H42" s="330" t="s">
        <v>995</v>
      </c>
      <c r="I42" s="622" t="s">
        <v>1049</v>
      </c>
      <c r="J42" s="621">
        <v>1</v>
      </c>
      <c r="K42" s="621" t="s">
        <v>200</v>
      </c>
      <c r="L42" s="326" t="s">
        <v>206</v>
      </c>
      <c r="M42" s="623">
        <v>46195</v>
      </c>
      <c r="N42" s="623" t="s">
        <v>987</v>
      </c>
      <c r="O42" s="621"/>
      <c r="P42" s="624" t="s">
        <v>1104</v>
      </c>
    </row>
    <row r="43" spans="1:16">
      <c r="A43" s="287">
        <v>41</v>
      </c>
      <c r="B43" s="288" t="s">
        <v>625</v>
      </c>
      <c r="C43" s="284" t="s">
        <v>300</v>
      </c>
      <c r="D43" s="288" t="s">
        <v>464</v>
      </c>
      <c r="E43" s="284" t="s">
        <v>330</v>
      </c>
      <c r="F43" s="284" t="s">
        <v>1006</v>
      </c>
      <c r="G43" s="284">
        <v>244.02</v>
      </c>
      <c r="H43" s="284" t="s">
        <v>1007</v>
      </c>
      <c r="I43" s="291" t="s">
        <v>1050</v>
      </c>
      <c r="J43" s="288">
        <v>1</v>
      </c>
      <c r="K43" s="288" t="s">
        <v>200</v>
      </c>
      <c r="L43" s="288" t="s">
        <v>206</v>
      </c>
      <c r="M43" s="285">
        <v>45859</v>
      </c>
      <c r="N43" s="285" t="s">
        <v>987</v>
      </c>
      <c r="O43" s="288" t="s">
        <v>987</v>
      </c>
      <c r="P43" s="331" t="s">
        <v>988</v>
      </c>
    </row>
    <row r="44" spans="1:16">
      <c r="A44" s="305">
        <v>42</v>
      </c>
      <c r="B44" s="306" t="s">
        <v>628</v>
      </c>
      <c r="C44" s="307" t="s">
        <v>350</v>
      </c>
      <c r="D44" s="306" t="s">
        <v>629</v>
      </c>
      <c r="E44" s="307" t="s">
        <v>335</v>
      </c>
      <c r="F44" s="307" t="s">
        <v>984</v>
      </c>
      <c r="G44" s="307">
        <v>364</v>
      </c>
      <c r="H44" s="307" t="s">
        <v>985</v>
      </c>
      <c r="I44" s="308" t="s">
        <v>1051</v>
      </c>
      <c r="J44" s="306">
        <v>1</v>
      </c>
      <c r="K44" s="306" t="s">
        <v>200</v>
      </c>
      <c r="L44" s="306" t="s">
        <v>206</v>
      </c>
      <c r="M44" s="309">
        <v>45854</v>
      </c>
      <c r="N44" s="309" t="s">
        <v>987</v>
      </c>
      <c r="O44" s="306" t="s">
        <v>987</v>
      </c>
      <c r="P44" s="332" t="s">
        <v>1005</v>
      </c>
    </row>
    <row r="45" spans="1:16">
      <c r="A45" s="305">
        <v>43</v>
      </c>
      <c r="B45" s="306" t="s">
        <v>629</v>
      </c>
      <c r="C45" s="307" t="s">
        <v>335</v>
      </c>
      <c r="D45" s="306" t="s">
        <v>630</v>
      </c>
      <c r="E45" s="307" t="s">
        <v>350</v>
      </c>
      <c r="F45" s="307" t="s">
        <v>984</v>
      </c>
      <c r="G45" s="307">
        <v>390</v>
      </c>
      <c r="H45" s="307" t="s">
        <v>985</v>
      </c>
      <c r="I45" s="308" t="s">
        <v>1052</v>
      </c>
      <c r="J45" s="306">
        <v>1</v>
      </c>
      <c r="K45" s="306" t="s">
        <v>200</v>
      </c>
      <c r="L45" s="306" t="s">
        <v>206</v>
      </c>
      <c r="M45" s="309">
        <v>45854</v>
      </c>
      <c r="N45" s="309" t="s">
        <v>987</v>
      </c>
      <c r="O45" s="306" t="s">
        <v>987</v>
      </c>
      <c r="P45" s="332" t="s">
        <v>1005</v>
      </c>
    </row>
    <row r="46" spans="1:16">
      <c r="A46" s="287">
        <v>44</v>
      </c>
      <c r="B46" s="288" t="s">
        <v>641</v>
      </c>
      <c r="C46" s="284" t="s">
        <v>330</v>
      </c>
      <c r="D46" s="288" t="s">
        <v>642</v>
      </c>
      <c r="E46" s="284" t="s">
        <v>302</v>
      </c>
      <c r="F46" s="284" t="s">
        <v>1006</v>
      </c>
      <c r="G46" s="284">
        <v>242.91</v>
      </c>
      <c r="H46" s="284" t="s">
        <v>1007</v>
      </c>
      <c r="I46" s="291" t="s">
        <v>1053</v>
      </c>
      <c r="J46" s="288">
        <v>1</v>
      </c>
      <c r="K46" s="288" t="s">
        <v>200</v>
      </c>
      <c r="L46" s="288" t="s">
        <v>206</v>
      </c>
      <c r="M46" s="285">
        <v>45859</v>
      </c>
      <c r="N46" s="285" t="s">
        <v>987</v>
      </c>
      <c r="O46" s="285" t="s">
        <v>987</v>
      </c>
      <c r="P46" s="331" t="s">
        <v>988</v>
      </c>
    </row>
    <row r="47" spans="1:16">
      <c r="A47" s="305">
        <v>45</v>
      </c>
      <c r="B47" s="306" t="s">
        <v>659</v>
      </c>
      <c r="C47" s="307" t="s">
        <v>666</v>
      </c>
      <c r="D47" s="306" t="s">
        <v>437</v>
      </c>
      <c r="E47" s="307" t="s">
        <v>357</v>
      </c>
      <c r="F47" s="307" t="s">
        <v>984</v>
      </c>
      <c r="G47" s="307">
        <v>437</v>
      </c>
      <c r="H47" s="307" t="s">
        <v>985</v>
      </c>
      <c r="I47" s="308" t="s">
        <v>1054</v>
      </c>
      <c r="J47" s="306">
        <v>1</v>
      </c>
      <c r="K47" s="306" t="s">
        <v>200</v>
      </c>
      <c r="L47" s="306" t="s">
        <v>206</v>
      </c>
      <c r="M47" s="309">
        <v>45897</v>
      </c>
      <c r="N47" s="309" t="s">
        <v>987</v>
      </c>
      <c r="O47" s="306" t="s">
        <v>987</v>
      </c>
      <c r="P47" s="332" t="s">
        <v>1005</v>
      </c>
    </row>
    <row r="48" spans="1:16">
      <c r="A48" s="325">
        <v>46</v>
      </c>
      <c r="B48" s="326" t="s">
        <v>665</v>
      </c>
      <c r="C48" s="327" t="s">
        <v>300</v>
      </c>
      <c r="D48" s="326" t="s">
        <v>463</v>
      </c>
      <c r="E48" s="327" t="s">
        <v>335</v>
      </c>
      <c r="F48" s="327" t="s">
        <v>1006</v>
      </c>
      <c r="G48" s="327">
        <v>210.48</v>
      </c>
      <c r="H48" s="327" t="s">
        <v>1007</v>
      </c>
      <c r="I48" s="328" t="s">
        <v>1055</v>
      </c>
      <c r="J48" s="326">
        <v>1</v>
      </c>
      <c r="K48" s="326" t="s">
        <v>201</v>
      </c>
      <c r="L48" s="326" t="s">
        <v>206</v>
      </c>
      <c r="M48" s="329">
        <v>46182</v>
      </c>
      <c r="N48" s="329" t="s">
        <v>987</v>
      </c>
      <c r="O48" s="326"/>
      <c r="P48" s="331" t="s">
        <v>988</v>
      </c>
    </row>
    <row r="49" spans="1:16" ht="26">
      <c r="A49" s="325">
        <v>47</v>
      </c>
      <c r="B49" s="326" t="s">
        <v>767</v>
      </c>
      <c r="C49" s="327" t="s">
        <v>1056</v>
      </c>
      <c r="D49" s="326" t="s">
        <v>152</v>
      </c>
      <c r="E49" s="327" t="s">
        <v>1057</v>
      </c>
      <c r="F49" s="327" t="s">
        <v>984</v>
      </c>
      <c r="G49" s="327">
        <v>233.53</v>
      </c>
      <c r="H49" s="327" t="s">
        <v>1058</v>
      </c>
      <c r="I49" s="328" t="s">
        <v>1059</v>
      </c>
      <c r="J49" s="326">
        <v>1</v>
      </c>
      <c r="K49" s="326" t="s">
        <v>201</v>
      </c>
      <c r="L49" s="326" t="s">
        <v>206</v>
      </c>
      <c r="M49" s="329">
        <v>46161</v>
      </c>
      <c r="N49" s="329" t="s">
        <v>987</v>
      </c>
      <c r="O49" s="326"/>
      <c r="P49" s="333" t="s">
        <v>988</v>
      </c>
    </row>
    <row r="50" spans="1:16">
      <c r="A50"/>
      <c r="B50"/>
      <c r="C50"/>
      <c r="D50"/>
      <c r="E50"/>
      <c r="F50"/>
      <c r="G50"/>
      <c r="H50"/>
      <c r="I50"/>
      <c r="J50" s="278"/>
      <c r="K50"/>
      <c r="L50"/>
      <c r="M50" s="289"/>
      <c r="N50" s="289"/>
      <c r="O50" s="289"/>
      <c r="P50" s="18"/>
    </row>
  </sheetData>
  <autoFilter ref="A2:P49" xr:uid="{5DD9906A-33EE-4458-9635-B3FEEDE72D53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3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407-3E6D-4D26-8BFC-39A9F361D343}">
  <sheetPr codeName="Sheet22"/>
  <dimension ref="A1:L21"/>
  <sheetViews>
    <sheetView topLeftCell="B1" workbookViewId="0">
      <selection activeCell="F2" sqref="F2:L13"/>
    </sheetView>
  </sheetViews>
  <sheetFormatPr defaultRowHeight="14.5"/>
  <cols>
    <col min="2" max="3" width="35.54296875" customWidth="1"/>
    <col min="4" max="4" width="12.1796875" customWidth="1"/>
    <col min="8" max="8" width="15.7265625" customWidth="1"/>
    <col min="9" max="9" width="16.7265625" customWidth="1"/>
    <col min="10" max="10" width="14" customWidth="1"/>
    <col min="11" max="11" width="15" customWidth="1"/>
    <col min="12" max="12" width="20.54296875" customWidth="1"/>
  </cols>
  <sheetData>
    <row r="1" spans="1:12" ht="21.5" thickBot="1">
      <c r="A1" s="319" t="s">
        <v>1060</v>
      </c>
      <c r="B1" s="318" t="s">
        <v>1061</v>
      </c>
      <c r="C1" s="318" t="s">
        <v>1069</v>
      </c>
      <c r="D1" s="318" t="s">
        <v>262</v>
      </c>
    </row>
    <row r="2" spans="1:12" ht="16.5" thickBot="1">
      <c r="A2" s="316">
        <v>1</v>
      </c>
      <c r="B2" s="317" t="s">
        <v>1073</v>
      </c>
      <c r="C2" s="317" t="s">
        <v>1070</v>
      </c>
      <c r="D2" s="323" t="s">
        <v>1062</v>
      </c>
      <c r="F2" s="498" t="s">
        <v>67</v>
      </c>
    </row>
    <row r="3" spans="1:12" ht="32.15" customHeight="1">
      <c r="A3" s="316">
        <v>2</v>
      </c>
      <c r="B3" s="317" t="s">
        <v>1074</v>
      </c>
      <c r="C3" s="317" t="s">
        <v>1071</v>
      </c>
      <c r="D3" s="323" t="s">
        <v>1062</v>
      </c>
      <c r="G3" s="518" t="s">
        <v>92</v>
      </c>
      <c r="H3" s="519" t="s">
        <v>1080</v>
      </c>
      <c r="I3" s="519" t="s">
        <v>1081</v>
      </c>
      <c r="J3" s="519" t="s">
        <v>470</v>
      </c>
      <c r="K3" s="519" t="s">
        <v>1082</v>
      </c>
      <c r="L3" s="520" t="s">
        <v>33</v>
      </c>
    </row>
    <row r="4" spans="1:12">
      <c r="A4" s="310">
        <v>3</v>
      </c>
      <c r="B4" s="311" t="s">
        <v>1074</v>
      </c>
      <c r="C4" s="317" t="s">
        <v>1072</v>
      </c>
      <c r="D4" s="323" t="s">
        <v>1062</v>
      </c>
      <c r="G4" s="512">
        <v>1</v>
      </c>
      <c r="H4" s="11" t="s">
        <v>1087</v>
      </c>
      <c r="I4" s="11" t="s">
        <v>1083</v>
      </c>
      <c r="J4" s="11">
        <v>12</v>
      </c>
      <c r="K4" s="11">
        <v>9923426296</v>
      </c>
      <c r="L4" s="513"/>
    </row>
    <row r="5" spans="1:12" ht="43.5">
      <c r="A5" s="312">
        <v>4</v>
      </c>
      <c r="B5" s="313" t="s">
        <v>67</v>
      </c>
      <c r="C5" s="313"/>
      <c r="D5" s="313"/>
      <c r="G5" s="512">
        <v>2</v>
      </c>
      <c r="H5" s="11" t="s">
        <v>1086</v>
      </c>
      <c r="I5" s="10" t="s">
        <v>1084</v>
      </c>
      <c r="J5" s="11">
        <v>10</v>
      </c>
      <c r="K5" s="11">
        <v>9923426296</v>
      </c>
      <c r="L5" s="513"/>
    </row>
    <row r="6" spans="1:12">
      <c r="A6" s="312">
        <v>5</v>
      </c>
      <c r="B6" s="313"/>
      <c r="C6" s="313"/>
      <c r="D6" s="313"/>
      <c r="G6" s="512">
        <v>3</v>
      </c>
      <c r="H6" s="11" t="s">
        <v>1085</v>
      </c>
      <c r="I6" s="11" t="s">
        <v>1088</v>
      </c>
      <c r="J6" s="11">
        <v>11</v>
      </c>
      <c r="K6" s="11">
        <v>7066720891</v>
      </c>
      <c r="L6" s="513"/>
    </row>
    <row r="7" spans="1:12" ht="43.5">
      <c r="A7" s="312">
        <v>6</v>
      </c>
      <c r="B7" s="313"/>
      <c r="C7" s="313"/>
      <c r="D7" s="313"/>
      <c r="G7" s="512">
        <v>4</v>
      </c>
      <c r="H7" s="11" t="s">
        <v>1089</v>
      </c>
      <c r="I7" s="10" t="s">
        <v>1084</v>
      </c>
      <c r="J7" s="11">
        <v>10</v>
      </c>
      <c r="K7" s="11">
        <v>7066720891</v>
      </c>
      <c r="L7" s="513"/>
    </row>
    <row r="8" spans="1:12">
      <c r="A8" s="312">
        <v>7</v>
      </c>
      <c r="B8" s="313"/>
      <c r="C8" s="313"/>
      <c r="D8" s="313"/>
      <c r="G8" s="512">
        <v>5</v>
      </c>
      <c r="H8" s="11" t="s">
        <v>402</v>
      </c>
      <c r="I8" s="11" t="s">
        <v>1090</v>
      </c>
      <c r="J8" s="11">
        <v>14</v>
      </c>
      <c r="K8" s="11">
        <v>7047832193</v>
      </c>
      <c r="L8" s="513"/>
    </row>
    <row r="9" spans="1:12">
      <c r="A9" s="312">
        <v>8</v>
      </c>
      <c r="B9" s="313"/>
      <c r="C9" s="313"/>
      <c r="D9" s="313"/>
      <c r="G9" s="512">
        <v>6</v>
      </c>
      <c r="H9" s="11" t="s">
        <v>1091</v>
      </c>
      <c r="I9" s="11" t="s">
        <v>1092</v>
      </c>
      <c r="J9" s="11">
        <v>12</v>
      </c>
      <c r="K9" s="11">
        <v>9512377438</v>
      </c>
      <c r="L9" s="513"/>
    </row>
    <row r="10" spans="1:12">
      <c r="A10" s="312">
        <v>9</v>
      </c>
      <c r="B10" s="313"/>
      <c r="C10" s="313"/>
      <c r="D10" s="313"/>
      <c r="G10" s="512">
        <v>7</v>
      </c>
      <c r="H10" s="11" t="s">
        <v>1093</v>
      </c>
      <c r="I10" s="298">
        <v>46193</v>
      </c>
      <c r="J10" s="11">
        <v>12</v>
      </c>
      <c r="K10" s="11">
        <v>9904772920</v>
      </c>
      <c r="L10" s="513"/>
    </row>
    <row r="11" spans="1:12">
      <c r="A11" s="312">
        <v>10</v>
      </c>
      <c r="B11" s="313"/>
      <c r="C11" s="313"/>
      <c r="D11" s="313"/>
      <c r="G11" s="512">
        <v>8</v>
      </c>
      <c r="H11" s="11" t="s">
        <v>1094</v>
      </c>
      <c r="I11" s="298">
        <v>46195</v>
      </c>
      <c r="J11" s="11">
        <v>15</v>
      </c>
      <c r="K11" s="11">
        <v>6299211179</v>
      </c>
      <c r="L11" s="513"/>
    </row>
    <row r="12" spans="1:12">
      <c r="A12" s="312">
        <v>11</v>
      </c>
      <c r="B12" s="313"/>
      <c r="C12" s="313"/>
      <c r="D12" s="313"/>
      <c r="G12" s="512">
        <v>9</v>
      </c>
      <c r="H12" s="11" t="s">
        <v>409</v>
      </c>
      <c r="I12" s="298">
        <v>46194</v>
      </c>
      <c r="J12" s="11">
        <v>15</v>
      </c>
      <c r="K12" s="11">
        <v>9822945752</v>
      </c>
      <c r="L12" s="513"/>
    </row>
    <row r="13" spans="1:12" ht="15" thickBot="1">
      <c r="A13" s="312">
        <v>12</v>
      </c>
      <c r="B13" s="313"/>
      <c r="C13" s="313"/>
      <c r="D13" s="313"/>
      <c r="G13" s="514">
        <v>10</v>
      </c>
      <c r="H13" s="515" t="s">
        <v>1095</v>
      </c>
      <c r="I13" s="516">
        <v>46194</v>
      </c>
      <c r="J13" s="515">
        <v>12</v>
      </c>
      <c r="K13" s="515">
        <v>8799693511</v>
      </c>
      <c r="L13" s="517"/>
    </row>
    <row r="14" spans="1:12">
      <c r="A14" s="312">
        <v>13</v>
      </c>
      <c r="B14" s="313"/>
      <c r="C14" s="313"/>
      <c r="D14" s="313"/>
    </row>
    <row r="15" spans="1:12">
      <c r="A15" s="312">
        <v>14</v>
      </c>
      <c r="B15" s="313"/>
      <c r="C15" s="313"/>
      <c r="D15" s="313"/>
    </row>
    <row r="16" spans="1:12">
      <c r="A16" s="312">
        <v>15</v>
      </c>
      <c r="B16" s="313"/>
      <c r="C16" s="313"/>
      <c r="D16" s="313"/>
    </row>
    <row r="17" spans="1:4">
      <c r="A17" s="312">
        <v>16</v>
      </c>
      <c r="B17" s="313"/>
      <c r="C17" s="313"/>
      <c r="D17" s="313"/>
    </row>
    <row r="18" spans="1:4">
      <c r="A18" s="312">
        <v>17</v>
      </c>
      <c r="B18" s="313"/>
      <c r="C18" s="313"/>
      <c r="D18" s="313"/>
    </row>
    <row r="19" spans="1:4">
      <c r="A19" s="312">
        <v>18</v>
      </c>
      <c r="B19" s="313"/>
      <c r="C19" s="313"/>
      <c r="D19" s="313"/>
    </row>
    <row r="20" spans="1:4">
      <c r="A20" s="312">
        <v>19</v>
      </c>
      <c r="B20" s="313"/>
      <c r="C20" s="313"/>
      <c r="D20" s="313"/>
    </row>
    <row r="21" spans="1:4" ht="15" thickBot="1">
      <c r="A21" s="314">
        <v>20</v>
      </c>
      <c r="B21" s="315"/>
      <c r="C21" s="315"/>
      <c r="D21" s="315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7347-2AF1-4696-925A-94B9856C85EE}">
  <sheetPr codeName="Sheet23"/>
  <dimension ref="A3:I6"/>
  <sheetViews>
    <sheetView workbookViewId="0">
      <selection activeCell="A3" sqref="A3:I6"/>
    </sheetView>
  </sheetViews>
  <sheetFormatPr defaultRowHeight="14.5"/>
  <cols>
    <col min="2" max="2" width="16.453125" customWidth="1"/>
  </cols>
  <sheetData>
    <row r="3" spans="1:9">
      <c r="A3" t="s">
        <v>1063</v>
      </c>
    </row>
    <row r="5" spans="1:9">
      <c r="A5" s="29" t="s">
        <v>1064</v>
      </c>
      <c r="B5" s="29" t="s">
        <v>1065</v>
      </c>
      <c r="C5" s="29" t="s">
        <v>1066</v>
      </c>
      <c r="D5" s="29" t="s">
        <v>195</v>
      </c>
      <c r="E5" s="29" t="s">
        <v>196</v>
      </c>
      <c r="F5" s="29" t="s">
        <v>197</v>
      </c>
      <c r="G5" s="29" t="s">
        <v>198</v>
      </c>
      <c r="H5" s="29" t="s">
        <v>199</v>
      </c>
      <c r="I5" s="29" t="s">
        <v>1067</v>
      </c>
    </row>
    <row r="6" spans="1:9">
      <c r="A6" s="29">
        <v>1</v>
      </c>
      <c r="B6" s="29" t="s">
        <v>1068</v>
      </c>
      <c r="C6" s="45">
        <f t="shared" ref="C6:I6" si="0">17.112/7</f>
        <v>2.4445714285714284</v>
      </c>
      <c r="D6" s="45">
        <f t="shared" si="0"/>
        <v>2.4445714285714284</v>
      </c>
      <c r="E6" s="45">
        <f t="shared" si="0"/>
        <v>2.4445714285714284</v>
      </c>
      <c r="F6" s="45">
        <f t="shared" si="0"/>
        <v>2.4445714285714284</v>
      </c>
      <c r="G6" s="45">
        <f t="shared" si="0"/>
        <v>2.4445714285714284</v>
      </c>
      <c r="H6" s="45">
        <f t="shared" si="0"/>
        <v>2.4445714285714284</v>
      </c>
      <c r="I6" s="45">
        <f t="shared" si="0"/>
        <v>2.4445714285714284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8</vt:i4>
      </vt:variant>
    </vt:vector>
  </HeadingPairs>
  <TitlesOfParts>
    <vt:vector size="31" baseType="lpstr">
      <vt:lpstr>765KV TA 414 VNTL</vt:lpstr>
      <vt:lpstr>765KV ASOTL</vt:lpstr>
      <vt:lpstr>Project Details</vt:lpstr>
      <vt:lpstr>Sheet5</vt:lpstr>
      <vt:lpstr>Sheet3</vt:lpstr>
      <vt:lpstr>Sheet1</vt:lpstr>
      <vt:lpstr>AOTL - KEC</vt:lpstr>
      <vt:lpstr>DPR Sheet</vt:lpstr>
      <vt:lpstr>Survey Anx</vt:lpstr>
      <vt:lpstr>Survey</vt:lpstr>
      <vt:lpstr>Soil Inv.</vt:lpstr>
      <vt:lpstr>FDN</vt:lpstr>
      <vt:lpstr>Erection </vt:lpstr>
      <vt:lpstr>Visual chart 1 </vt:lpstr>
      <vt:lpstr>Pile Foundation</vt:lpstr>
      <vt:lpstr>Sheet6</vt:lpstr>
      <vt:lpstr>Sheet4</vt:lpstr>
      <vt:lpstr>Sheet7</vt:lpstr>
      <vt:lpstr>Stringing Compiled</vt:lpstr>
      <vt:lpstr>String</vt:lpstr>
      <vt:lpstr>Crossing</vt:lpstr>
      <vt:lpstr>Tree Enumeration</vt:lpstr>
      <vt:lpstr>Sheet2</vt:lpstr>
      <vt:lpstr>'765KV TA 414 VNTL'!Print_Area</vt:lpstr>
      <vt:lpstr>'AOTL - KEC'!Print_Area</vt:lpstr>
      <vt:lpstr>'DPR Sheet'!Print_Area</vt:lpstr>
      <vt:lpstr>'Erection '!Print_Area</vt:lpstr>
      <vt:lpstr>FDN!Print_Area</vt:lpstr>
      <vt:lpstr>'Stringing Compiled'!Print_Area</vt:lpstr>
      <vt:lpstr>'Visual chart 1 '!Print_Area</vt:lpstr>
      <vt:lpstr>FDN!Print_Titles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 Shridhar K</dc:creator>
  <cp:keywords/>
  <dc:description/>
  <cp:lastModifiedBy>Jayant Vaishnav</cp:lastModifiedBy>
  <cp:revision/>
  <cp:lastPrinted>2026-07-22T06:21:06Z</cp:lastPrinted>
  <dcterms:created xsi:type="dcterms:W3CDTF">2023-12-20T18:09:34Z</dcterms:created>
  <dcterms:modified xsi:type="dcterms:W3CDTF">2026-08-12T15:54:43Z</dcterms:modified>
  <cp:category/>
  <cp:contentStatus/>
</cp:coreProperties>
</file>