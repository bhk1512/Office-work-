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November 2025\"/>
    </mc:Choice>
  </mc:AlternateContent>
  <xr:revisionPtr revIDLastSave="0" documentId="13_ncr:1_{871F000F-1187-4E03-9805-B0A53919F955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Visual Chart" sheetId="94" r:id="rId3"/>
    <sheet name="Project Details" sheetId="93" r:id="rId4"/>
    <sheet name="Location Summary" sheetId="8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</externalReferences>
  <definedNames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4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4">#REF!</definedName>
    <definedName name="\2">#REF!</definedName>
    <definedName name="\3">#REF!</definedName>
    <definedName name="\4">#REF!</definedName>
    <definedName name="\A" localSheetId="4">#REF!</definedName>
    <definedName name="\A">#REF!</definedName>
    <definedName name="\A_1">"#REF!"</definedName>
    <definedName name="\a1">#REF!</definedName>
    <definedName name="\B" localSheetId="4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4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4">#REF!</definedName>
    <definedName name="\R">#REF!</definedName>
    <definedName name="\S">#REF!</definedName>
    <definedName name="\t">#N/A</definedName>
    <definedName name="\U" localSheetId="4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4">#REF!</definedName>
    <definedName name="_____________________________________________dol12">#REF!</definedName>
    <definedName name="_____________________________________________dol6" localSheetId="4">#REF!</definedName>
    <definedName name="_____________________________________________dol6">#REF!</definedName>
    <definedName name="_____________________________________________IDA1" localSheetId="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4">(#REF!,#REF!)</definedName>
    <definedName name="____________________________________________xlnm.Print_Titles_2">(#REF!,#REF!)</definedName>
    <definedName name="___________________________________________dol12" localSheetId="4">#REF!</definedName>
    <definedName name="___________________________________________dol12">#REF!</definedName>
    <definedName name="___________________________________________dol6" localSheetId="4">#REF!</definedName>
    <definedName name="___________________________________________dol6">#REF!</definedName>
    <definedName name="___________________________________________IDA1" localSheetId="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4">(#REF!,#REF!)</definedName>
    <definedName name="___________________________________________xlnm.Print_Titles_2">(#REF!,#REF!)</definedName>
    <definedName name="___________________________________________xlnm.Print_Titles_3" localSheetId="4">(#REF!,#REF!)</definedName>
    <definedName name="___________________________________________xlnm.Print_Titles_3">(#REF!,#REF!)</definedName>
    <definedName name="__________________________________________dol12" localSheetId="4">#REF!</definedName>
    <definedName name="__________________________________________dol12">#REF!</definedName>
    <definedName name="__________________________________________dol6" localSheetId="4">#REF!</definedName>
    <definedName name="__________________________________________dol6">#REF!</definedName>
    <definedName name="__________________________________________IDA1" localSheetId="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4">(#REF!,#REF!)</definedName>
    <definedName name="__________________________________________xlnm.Print_Titles_2">(#REF!,#REF!)</definedName>
    <definedName name="_________________________________________dol12" localSheetId="4">#REF!</definedName>
    <definedName name="_________________________________________dol12">#REF!</definedName>
    <definedName name="_________________________________________dol6" localSheetId="4">#REF!</definedName>
    <definedName name="_________________________________________dol6">#REF!</definedName>
    <definedName name="_________________________________________IDA1" localSheetId="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4">(#REF!,#REF!)</definedName>
    <definedName name="_________________________________________xlnm.Print_Titles_2">(#REF!,#REF!)</definedName>
    <definedName name="_________________________________________xlnm.Print_Titles_3" localSheetId="4">(#REF!,#REF!)</definedName>
    <definedName name="_________________________________________xlnm.Print_Titles_3">(#REF!,#REF!)</definedName>
    <definedName name="________________________________________dol12" localSheetId="4">#REF!</definedName>
    <definedName name="________________________________________dol12">#REF!</definedName>
    <definedName name="________________________________________dol6" localSheetId="4">#REF!</definedName>
    <definedName name="________________________________________dol6">#REF!</definedName>
    <definedName name="________________________________________IDA1" localSheetId="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4">(#REF!,#REF!)</definedName>
    <definedName name="________________________________________xlnm.Print_Titles_2">(#REF!,#REF!)</definedName>
    <definedName name="________________________________________xlnm.Print_Titles_3" localSheetId="4">(#REF!,#REF!)</definedName>
    <definedName name="________________________________________xlnm.Print_Titles_3">(#REF!,#REF!)</definedName>
    <definedName name="_______________________________________dol12" localSheetId="4">#REF!</definedName>
    <definedName name="_______________________________________dol12">#REF!</definedName>
    <definedName name="_______________________________________dol6" localSheetId="4">#REF!</definedName>
    <definedName name="_______________________________________dol6">#REF!</definedName>
    <definedName name="_______________________________________IDA1" localSheetId="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4">(#REF!,#REF!)</definedName>
    <definedName name="_______________________________________xlnm.Print_Titles_2">(#REF!,#REF!)</definedName>
    <definedName name="_______________________________________xlnm.Print_Titles_3" localSheetId="4">(#REF!,#REF!)</definedName>
    <definedName name="_______________________________________xlnm.Print_Titles_3">(#REF!,#REF!)</definedName>
    <definedName name="______________________________________dol12" localSheetId="4">#REF!</definedName>
    <definedName name="______________________________________dol12">#REF!</definedName>
    <definedName name="______________________________________dol6" localSheetId="4">#REF!</definedName>
    <definedName name="______________________________________dol6">#REF!</definedName>
    <definedName name="______________________________________IDA1" localSheetId="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4">(#REF!,#REF!)</definedName>
    <definedName name="______________________________________xlnm.Print_Titles_2">(#REF!,#REF!)</definedName>
    <definedName name="______________________________________xlnm.Print_Titles_3" localSheetId="4">(#REF!,#REF!)</definedName>
    <definedName name="______________________________________xlnm.Print_Titles_3">(#REF!,#REF!)</definedName>
    <definedName name="_____________________________________dol12" localSheetId="4">#REF!</definedName>
    <definedName name="_____________________________________dol12">#REF!</definedName>
    <definedName name="_____________________________________dol6" localSheetId="4">#REF!</definedName>
    <definedName name="_____________________________________dol6">#REF!</definedName>
    <definedName name="_____________________________________IDA1" localSheetId="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4">(#REF!,#REF!)</definedName>
    <definedName name="_____________________________________xlnm.Print_Titles_2">(#REF!,#REF!)</definedName>
    <definedName name="_____________________________________xlnm.Print_Titles_3" localSheetId="4">(#REF!,#REF!)</definedName>
    <definedName name="_____________________________________xlnm.Print_Titles_3">(#REF!,#REF!)</definedName>
    <definedName name="____________________________________dol12" localSheetId="4">#REF!</definedName>
    <definedName name="____________________________________dol12">#REF!</definedName>
    <definedName name="____________________________________dol6" localSheetId="4">#REF!</definedName>
    <definedName name="____________________________________dol6">#REF!</definedName>
    <definedName name="____________________________________IDA1" localSheetId="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4">(#REF!,#REF!)</definedName>
    <definedName name="____________________________________xlnm.Print_Titles_2">(#REF!,#REF!)</definedName>
    <definedName name="____________________________________xlnm.Print_Titles_3" localSheetId="4">(#REF!,#REF!)</definedName>
    <definedName name="____________________________________xlnm.Print_Titles_3">(#REF!,#REF!)</definedName>
    <definedName name="___________________________________dol12" localSheetId="4">#REF!</definedName>
    <definedName name="___________________________________dol12">#REF!</definedName>
    <definedName name="___________________________________dol6" localSheetId="4">#REF!</definedName>
    <definedName name="___________________________________dol6">#REF!</definedName>
    <definedName name="___________________________________IDA1" localSheetId="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4">(#REF!,#REF!)</definedName>
    <definedName name="___________________________________xlnm.Print_Titles_2">(#REF!,#REF!)</definedName>
    <definedName name="___________________________________xlnm.Print_Titles_3" localSheetId="4">(#REF!,#REF!)</definedName>
    <definedName name="___________________________________xlnm.Print_Titles_3">(#REF!,#REF!)</definedName>
    <definedName name="__________________________________dol12" localSheetId="4">#REF!</definedName>
    <definedName name="__________________________________dol12">#REF!</definedName>
    <definedName name="__________________________________dol6" localSheetId="4">#REF!</definedName>
    <definedName name="__________________________________dol6">#REF!</definedName>
    <definedName name="__________________________________IDA1" localSheetId="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4">(#REF!,#REF!)</definedName>
    <definedName name="__________________________________xlnm.Print_Titles_2">(#REF!,#REF!)</definedName>
    <definedName name="__________________________________xlnm.Print_Titles_3" localSheetId="4">(#REF!,#REF!)</definedName>
    <definedName name="__________________________________xlnm.Print_Titles_3">(#REF!,#REF!)</definedName>
    <definedName name="_________________________________dol12" localSheetId="4">#REF!</definedName>
    <definedName name="_________________________________dol12">#REF!</definedName>
    <definedName name="_________________________________dol6" localSheetId="4">#REF!</definedName>
    <definedName name="_________________________________dol6">#REF!</definedName>
    <definedName name="_________________________________IDA1" localSheetId="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4">(#REF!,#REF!)</definedName>
    <definedName name="_________________________________xlnm.Print_Titles_2">(#REF!,#REF!)</definedName>
    <definedName name="_________________________________xlnm.Print_Titles_3" localSheetId="4">(#REF!,#REF!)</definedName>
    <definedName name="_________________________________xlnm.Print_Titles_3">(#REF!,#REF!)</definedName>
    <definedName name="________________________________dol12" localSheetId="4">#REF!</definedName>
    <definedName name="________________________________dol12">#REF!</definedName>
    <definedName name="________________________________dol6" localSheetId="4">#REF!</definedName>
    <definedName name="________________________________dol6">#REF!</definedName>
    <definedName name="________________________________IDA1" localSheetId="4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4">(#REF!,#REF!)</definedName>
    <definedName name="________________________________xlnm.Print_Titles_2">(#REF!,#REF!)</definedName>
    <definedName name="________________________________xlnm.Print_Titles_3" localSheetId="4">(#REF!,#REF!)</definedName>
    <definedName name="________________________________xlnm.Print_Titles_3">(#REF!,#REF!)</definedName>
    <definedName name="_______________________________dol12" localSheetId="4">#REF!</definedName>
    <definedName name="_______________________________dol12">#REF!</definedName>
    <definedName name="_______________________________dol6" localSheetId="4">#REF!</definedName>
    <definedName name="_______________________________dol6">#REF!</definedName>
    <definedName name="_______________________________IDA1" localSheetId="4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4">(#REF!,#REF!)</definedName>
    <definedName name="_______________________________xlnm.Print_Titles_2">(#REF!,#REF!)</definedName>
    <definedName name="_______________________________xlnm.Print_Titles_3" localSheetId="4">(#REF!,#REF!)</definedName>
    <definedName name="_______________________________xlnm.Print_Titles_3">(#REF!,#REF!)</definedName>
    <definedName name="______________________________dol12" localSheetId="4">#REF!</definedName>
    <definedName name="______________________________dol12">#REF!</definedName>
    <definedName name="______________________________dol6" localSheetId="4">#REF!</definedName>
    <definedName name="______________________________dol6">#REF!</definedName>
    <definedName name="______________________________IDA1" localSheetId="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4">(#REF!,#REF!)</definedName>
    <definedName name="______________________________xlnm.Print_Titles_2">(#REF!,#REF!)</definedName>
    <definedName name="______________________________xlnm.Print_Titles_3" localSheetId="4">(#REF!,#REF!)</definedName>
    <definedName name="______________________________xlnm.Print_Titles_3">(#REF!,#REF!)</definedName>
    <definedName name="_____________________________dol12" localSheetId="4">#REF!</definedName>
    <definedName name="_____________________________dol12">#REF!</definedName>
    <definedName name="_____________________________dol6" localSheetId="4">#REF!</definedName>
    <definedName name="_____________________________dol6">#REF!</definedName>
    <definedName name="_____________________________IDA1" localSheetId="4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4">(#REF!,#REF!)</definedName>
    <definedName name="_____________________________xlnm.Print_Titles_2">(#REF!,#REF!)</definedName>
    <definedName name="_____________________________xlnm.Print_Titles_3" localSheetId="4">(#REF!,#REF!)</definedName>
    <definedName name="_____________________________xlnm.Print_Titles_3">(#REF!,#REF!)</definedName>
    <definedName name="____________________________dol12" localSheetId="4">#REF!</definedName>
    <definedName name="____________________________dol12">#REF!</definedName>
    <definedName name="____________________________dol6" localSheetId="4">#REF!</definedName>
    <definedName name="____________________________dol6">#REF!</definedName>
    <definedName name="____________________________IDA1" localSheetId="4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4">(#REF!,#REF!)</definedName>
    <definedName name="____________________________xlnm.Print_Titles_2">(#REF!,#REF!)</definedName>
    <definedName name="____________________________xlnm.Print_Titles_3" localSheetId="4">(#REF!,#REF!)</definedName>
    <definedName name="____________________________xlnm.Print_Titles_3">(#REF!,#REF!)</definedName>
    <definedName name="___________________________dol12" localSheetId="4">#REF!</definedName>
    <definedName name="___________________________dol12">#REF!</definedName>
    <definedName name="___________________________dol6" localSheetId="4">#REF!</definedName>
    <definedName name="___________________________dol6">#REF!</definedName>
    <definedName name="___________________________IDA1" localSheetId="4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4">(#REF!,#REF!)</definedName>
    <definedName name="___________________________xlnm.Print_Titles_2">(#REF!,#REF!)</definedName>
    <definedName name="___________________________xlnm.Print_Titles_3" localSheetId="4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4">#REF!</definedName>
    <definedName name="__________________________dol12">#REF!</definedName>
    <definedName name="__________________________dol6" localSheetId="4">#REF!</definedName>
    <definedName name="__________________________dol6">#REF!</definedName>
    <definedName name="__________________________dol7" localSheetId="4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4">(#REF!,#REF!)</definedName>
    <definedName name="__________________________xlnm.Print_Titles_2">(#REF!,#REF!)</definedName>
    <definedName name="__________________________xlnm.Print_Titles_3" localSheetId="4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4">#REF!</definedName>
    <definedName name="_________________________dol12">#REF!</definedName>
    <definedName name="_________________________dol6" localSheetId="4">#REF!</definedName>
    <definedName name="_________________________dol6">#REF!</definedName>
    <definedName name="_________________________IDA1" localSheetId="4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4">(#REF!,#REF!)</definedName>
    <definedName name="_________________________xlnm.Print_Titles_2">(#REF!,#REF!)</definedName>
    <definedName name="_________________________xlnm.Print_Titles_3" localSheetId="4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4">#REF!</definedName>
    <definedName name="________________________dol12">#REF!</definedName>
    <definedName name="________________________dol6" localSheetId="4">#REF!</definedName>
    <definedName name="________________________dol6">#REF!</definedName>
    <definedName name="________________________IDA1" localSheetId="4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4">(#REF!,#REF!)</definedName>
    <definedName name="________________________xlnm.Print_Titles_2">(#REF!,#REF!)</definedName>
    <definedName name="________________________xlnm.Print_Titles_3" localSheetId="4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4">#REF!</definedName>
    <definedName name="_______________________dol12">#REF!</definedName>
    <definedName name="_______________________dol6" localSheetId="4">#REF!</definedName>
    <definedName name="_______________________dol6">#REF!</definedName>
    <definedName name="_______________________IDA1" localSheetId="4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4">(#REF!,#REF!)</definedName>
    <definedName name="_______________________xlnm.Print_Titles_2">(#REF!,#REF!)</definedName>
    <definedName name="_______________________xlnm.Print_Titles_3" localSheetId="4">(#REF!,#REF!)</definedName>
    <definedName name="_______________________xlnm.Print_Titles_3">(#REF!,#REF!)</definedName>
    <definedName name="______________________b111121">'[1]PACK (B)'!#REF!</definedName>
    <definedName name="______________________dol12" localSheetId="4">#REF!</definedName>
    <definedName name="______________________dol12">#REF!</definedName>
    <definedName name="______________________dol6" localSheetId="4">#REF!</definedName>
    <definedName name="______________________dol6">#REF!</definedName>
    <definedName name="______________________IDA1" localSheetId="4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4">(#REF!,#REF!)</definedName>
    <definedName name="______________________xlnm.Print_Titles_2">(#REF!,#REF!)</definedName>
    <definedName name="______________________xlnm.Print_Titles_3" localSheetId="4">(#REF!,#REF!)</definedName>
    <definedName name="______________________xlnm.Print_Titles_3">(#REF!,#REF!)</definedName>
    <definedName name="_____________________b111121">'[1]PACK (B)'!#REF!</definedName>
    <definedName name="_____________________dol12" localSheetId="4">#REF!</definedName>
    <definedName name="_____________________dol12">#REF!</definedName>
    <definedName name="_____________________dol6" localSheetId="4">#REF!</definedName>
    <definedName name="_____________________dol6">#REF!</definedName>
    <definedName name="_____________________IDA1" localSheetId="4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4">(#REF!,#REF!)</definedName>
    <definedName name="_____________________xlnm.Print_Titles_2">(#REF!,#REF!)</definedName>
    <definedName name="_____________________xlnm.Print_Titles_3" localSheetId="4">(#REF!,#REF!)</definedName>
    <definedName name="_____________________xlnm.Print_Titles_3">(#REF!,#REF!)</definedName>
    <definedName name="____________________b111121">'[1]PACK (B)'!#REF!</definedName>
    <definedName name="____________________dol12" localSheetId="4">#REF!</definedName>
    <definedName name="____________________dol12">#REF!</definedName>
    <definedName name="____________________dol6" localSheetId="4">#REF!</definedName>
    <definedName name="____________________dol6">#REF!</definedName>
    <definedName name="____________________IDA1" localSheetId="4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4">(#REF!,#REF!)</definedName>
    <definedName name="____________________xlnm.Print_Titles_2">(#REF!,#REF!)</definedName>
    <definedName name="____________________xlnm.Print_Titles_3" localSheetId="4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4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4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4">(#REF!,#REF!)</definedName>
    <definedName name="___________________xlnm.Print_Titles_3">(#REF!,#REF!)</definedName>
    <definedName name="__________________aa1" localSheetId="4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4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4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4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4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4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4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4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4">#REF!</definedName>
    <definedName name="________________dol12">#REF!</definedName>
    <definedName name="________________dol6" localSheetId="4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4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4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4">#REF!</definedName>
    <definedName name="_______________dol12">#REF!</definedName>
    <definedName name="_______________dol6" localSheetId="4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4">(#REF!,#REF!)</definedName>
    <definedName name="_______________xlnm.Print_Titles_2">(#REF!,#REF!)</definedName>
    <definedName name="_______________xlnm.Print_Titles_3" localSheetId="4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4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4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4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4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4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4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4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4" hidden="1">#REF!</definedName>
    <definedName name="_____________VS2004" hidden="1">#REF!</definedName>
    <definedName name="_____________xlnm._FilterDatabase_2">#REF!</definedName>
    <definedName name="_____________xlnm.Print_Area_1" localSheetId="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4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4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4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4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4" hidden="1">#REF!</definedName>
    <definedName name="____________VS2004" hidden="1">#REF!</definedName>
    <definedName name="____________xlnm._FilterDatabase_1">"#REF!"</definedName>
    <definedName name="____________xlnm.Print_Area_1" localSheetId="4">#REF!</definedName>
    <definedName name="____________xlnm.Print_Area_1">#REF!</definedName>
    <definedName name="____________xlnm.Print_Area_13" localSheetId="4">#REF!</definedName>
    <definedName name="____________xlnm.Print_Area_13">#REF!</definedName>
    <definedName name="____________xlnm.Print_Area_2" localSheetId="4">#REF!</definedName>
    <definedName name="____________xlnm.Print_Area_2">#REF!</definedName>
    <definedName name="____________xlnm.Print_Area_3" localSheetId="4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4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4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4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4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4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4">#REF!</definedName>
    <definedName name="___________xlnm.Print_Area_2">#REF!</definedName>
    <definedName name="___________xlnm.Print_Area_3" localSheetId="4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4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4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4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4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4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4">#REF!</definedName>
    <definedName name="__________xlnm._FilterDatabase_1">#REF!</definedName>
    <definedName name="__________xlnm._FilterDatabase_2" localSheetId="4">#REF!</definedName>
    <definedName name="__________xlnm._FilterDatabase_2">#REF!</definedName>
    <definedName name="__________xlnm._FilterDatabase_5">#N/A</definedName>
    <definedName name="__________xlnm.Print_Area_1" localSheetId="4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4">#REF!</definedName>
    <definedName name="__________xlnm.Print_Area_2">#REF!</definedName>
    <definedName name="__________xlnm.Print_Area_3" localSheetId="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4">(#REF!,#REF!)</definedName>
    <definedName name="__________xlnm.Print_Titles_2">(#REF!,#REF!)</definedName>
    <definedName name="__________xlnm.Print_Titles_3" localSheetId="4">(#REF!,#REF!)</definedName>
    <definedName name="__________xlnm.Print_Titles_3">(#REF!,#REF!)</definedName>
    <definedName name="_________1____123Graph_ACHART_1" localSheetId="4" hidden="1">#REF!</definedName>
    <definedName name="_________1____123Graph_ACHART_1" hidden="1">#REF!</definedName>
    <definedName name="_________2____123Graph_BCHART_1" localSheetId="4" hidden="1">#REF!</definedName>
    <definedName name="_________2____123Graph_BCHART_1" hidden="1">#REF!</definedName>
    <definedName name="_________3____123Graph_CCHART_1" localSheetId="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4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4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4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4" hidden="1">#REF!</definedName>
    <definedName name="_________VS2004" hidden="1">#REF!</definedName>
    <definedName name="_________xlcn.WorksheetConnection_InfoEntryA2D32" hidden="1">#REF!</definedName>
    <definedName name="_________xlnm._FilterDatabase_1" localSheetId="4">#REF!</definedName>
    <definedName name="_________xlnm._FilterDatabase_1">#REF!</definedName>
    <definedName name="_________xlnm._FilterDatabase_2" localSheetId="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4">#REF!</definedName>
    <definedName name="_________xlnm.Print_Area_1">#REF!</definedName>
    <definedName name="_________xlnm.Print_Area_1_1">"#REF!"</definedName>
    <definedName name="_________xlnm.Print_Area_10" localSheetId="4">#REF!</definedName>
    <definedName name="_________xlnm.Print_Area_10">#REF!</definedName>
    <definedName name="_________xlnm.Print_Area_10_1">"#REF!"</definedName>
    <definedName name="_________xlnm.Print_Area_11" localSheetId="4">#REF!</definedName>
    <definedName name="_________xlnm.Print_Area_11">#REF!</definedName>
    <definedName name="_________xlnm.Print_Area_13" localSheetId="4">#REF!</definedName>
    <definedName name="_________xlnm.Print_Area_13">#REF!</definedName>
    <definedName name="_________xlnm.Print_Area_2" localSheetId="4">#REF!</definedName>
    <definedName name="_________xlnm.Print_Area_2">#REF!</definedName>
    <definedName name="_________xlnm.Print_Area_2_1">"#REF!"</definedName>
    <definedName name="_________xlnm.Print_Area_3" localSheetId="4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4">(#REF!,#REF!)</definedName>
    <definedName name="_________xlnm.Print_Titles_3">(#REF!,#REF!)</definedName>
    <definedName name="_________xlnm.Print_Titles_4" localSheetId="4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4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4" hidden="1">{"'Sheet1'!$A$4386:$N$4591"}</definedName>
    <definedName name="________dec05" hidden="1">{"'Sheet1'!$A$4386:$N$4591"}</definedName>
    <definedName name="________DET1">#REF!</definedName>
    <definedName name="________dol12" localSheetId="4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4">#REF!</definedName>
    <definedName name="________IDA1">#REF!</definedName>
    <definedName name="________in18900" localSheetId="4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4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4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4">#REF!</definedName>
    <definedName name="________xlnm._FilterDatabase_1">#REF!</definedName>
    <definedName name="________xlnm._FilterDatabase_2" localSheetId="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4">#REF!</definedName>
    <definedName name="________xlnm.Print_Area_1">#REF!</definedName>
    <definedName name="________xlnm.Print_Area_1_1">"#REF!"</definedName>
    <definedName name="________xlnm.Print_Area_10" localSheetId="4">#REF!</definedName>
    <definedName name="________xlnm.Print_Area_10">#REF!</definedName>
    <definedName name="________xlnm.Print_Area_10_1">"#REF!"</definedName>
    <definedName name="________xlnm.Print_Area_11" localSheetId="4">#REF!</definedName>
    <definedName name="________xlnm.Print_Area_11">#REF!</definedName>
    <definedName name="________xlnm.Print_Area_11_1">"#REF!"</definedName>
    <definedName name="________xlnm.Print_Area_13" localSheetId="4">#REF!</definedName>
    <definedName name="________xlnm.Print_Area_13">#REF!</definedName>
    <definedName name="________xlnm.Print_Area_2" localSheetId="4">#REF!</definedName>
    <definedName name="________xlnm.Print_Area_2">#REF!</definedName>
    <definedName name="________xlnm.Print_Area_3" localSheetId="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4">(#REF!,#REF!)</definedName>
    <definedName name="________xlnm.Print_Titles_3">(#REF!,#REF!)</definedName>
    <definedName name="________xlnm.Print_Titles_4" localSheetId="4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4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4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4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4">#REF!</definedName>
    <definedName name="_______IDA1">#REF!</definedName>
    <definedName name="_______in18900" localSheetId="4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4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4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4">#REF!</definedName>
    <definedName name="_______xlnm._FilterDatabase_1">#REF!</definedName>
    <definedName name="_______xlnm._FilterDatabase_2" localSheetId="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4">#REF!</definedName>
    <definedName name="_______xlnm.Print_Area_1">#REF!</definedName>
    <definedName name="_______xlnm.Print_Area_1_1">"#REF!"</definedName>
    <definedName name="_______xlnm.Print_Area_10" localSheetId="4">#REF!</definedName>
    <definedName name="_______xlnm.Print_Area_10">#REF!</definedName>
    <definedName name="_______xlnm.Print_Area_10_1">"#REF!"</definedName>
    <definedName name="_______xlnm.Print_Area_11" localSheetId="4">#REF!</definedName>
    <definedName name="_______xlnm.Print_Area_11">#REF!</definedName>
    <definedName name="_______xlnm.Print_Area_11_1">"#REF!"</definedName>
    <definedName name="_______xlnm.Print_Area_13" localSheetId="4">#REF!</definedName>
    <definedName name="_______xlnm.Print_Area_13">#REF!</definedName>
    <definedName name="_______xlnm.Print_Area_2" localSheetId="4">#REF!</definedName>
    <definedName name="_______xlnm.Print_Area_2">#REF!</definedName>
    <definedName name="_______xlnm.Print_Area_3" localSheetId="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4">(#REF!,#REF!)</definedName>
    <definedName name="_______xlnm.Print_Titles_3">(#REF!,#REF!)</definedName>
    <definedName name="_______xlnm.Print_Titles_4" localSheetId="4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4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4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4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4">#REF!</definedName>
    <definedName name="______IDA1">#REF!</definedName>
    <definedName name="______in18900" localSheetId="4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4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4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4">#REF!</definedName>
    <definedName name="______xlnm._FilterDatabase_1">#REF!</definedName>
    <definedName name="______xlnm._FilterDatabase_2" localSheetId="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4">#REF!</definedName>
    <definedName name="______xlnm.Print_Area_1">#REF!</definedName>
    <definedName name="______xlnm.Print_Area_1_1">"#REF!"</definedName>
    <definedName name="______xlnm.Print_Area_10" localSheetId="4">#REF!</definedName>
    <definedName name="______xlnm.Print_Area_10">#REF!</definedName>
    <definedName name="______xlnm.Print_Area_10_1">"#REF!"</definedName>
    <definedName name="______xlnm.Print_Area_11" localSheetId="4">#REF!</definedName>
    <definedName name="______xlnm.Print_Area_11">#REF!</definedName>
    <definedName name="______xlnm.Print_Area_11_1">"#REF!"</definedName>
    <definedName name="______xlnm.Print_Area_13" localSheetId="4">#REF!</definedName>
    <definedName name="______xlnm.Print_Area_13">#REF!</definedName>
    <definedName name="______xlnm.Print_Area_2" localSheetId="4">#REF!</definedName>
    <definedName name="______xlnm.Print_Area_2">#REF!</definedName>
    <definedName name="______xlnm.Print_Area_3" localSheetId="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4">(#REF!,#REF!)</definedName>
    <definedName name="______xlnm.Print_Titles_2">(#REF!,#REF!)</definedName>
    <definedName name="______xlnm.Print_Titles_3" localSheetId="4">(#REF!,#REF!)</definedName>
    <definedName name="______xlnm.Print_Titles_3">(#REF!,#REF!)</definedName>
    <definedName name="______xlnm.Print_Titles_4" localSheetId="4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4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4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4">#REF!</definedName>
    <definedName name="_____IDA1">#REF!</definedName>
    <definedName name="_____ifa1">#REF!</definedName>
    <definedName name="_____ifa2">#REF!</definedName>
    <definedName name="_____in18900" localSheetId="4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4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4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4">#REF!</definedName>
    <definedName name="_____xlnm._FilterDatabase">#REF!</definedName>
    <definedName name="_____xlnm._FilterDatabase_1" localSheetId="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4">#REF!</definedName>
    <definedName name="_____xlnm.Print_Area_1">#REF!</definedName>
    <definedName name="_____xlnm.Print_Area_1_1">"#REF!"</definedName>
    <definedName name="_____xlnm.Print_Area_10" localSheetId="4">#REF!</definedName>
    <definedName name="_____xlnm.Print_Area_10">#REF!</definedName>
    <definedName name="_____xlnm.Print_Area_10_1">"#REF!"</definedName>
    <definedName name="_____xlnm.Print_Area_11" localSheetId="4">#REF!</definedName>
    <definedName name="_____xlnm.Print_Area_11">#REF!</definedName>
    <definedName name="_____xlnm.Print_Area_11_1">"#REF!"</definedName>
    <definedName name="_____xlnm.Print_Area_13" localSheetId="4">#REF!</definedName>
    <definedName name="_____xlnm.Print_Area_13">#REF!</definedName>
    <definedName name="_____xlnm.Print_Area_2" localSheetId="4">#REF!</definedName>
    <definedName name="_____xlnm.Print_Area_2">#REF!</definedName>
    <definedName name="_____xlnm.Print_Area_3" localSheetId="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4">"#NAME?"</definedName>
    <definedName name="_____xlnm.Print_Titles_1">#REF!</definedName>
    <definedName name="_____xlnm.Print_Titles_2" localSheetId="4">(#REF!,#REF!)</definedName>
    <definedName name="_____xlnm.Print_Titles_2">(#REF!,#REF!)</definedName>
    <definedName name="_____xlnm.Print_Titles_3" localSheetId="4">(#REF!,#REF!)</definedName>
    <definedName name="_____xlnm.Print_Titles_3">(#REF!,#REF!)</definedName>
    <definedName name="_____xlnm.Print_Titles_4" localSheetId="4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4">#REF!</definedName>
    <definedName name="____CBR220">#REF!</definedName>
    <definedName name="____CBR500" localSheetId="4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4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4">#REF!</definedName>
    <definedName name="____dol12">#REF!</definedName>
    <definedName name="____dol6" localSheetId="4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4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4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4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4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4">#REF!</definedName>
    <definedName name="____TR220">#REF!</definedName>
    <definedName name="____tr3">#REF!</definedName>
    <definedName name="____TR500" localSheetId="4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4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4">#REF!</definedName>
    <definedName name="____xlnm._FilterDatabase">#REF!</definedName>
    <definedName name="____xlnm._FilterDatabase_1" localSheetId="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4">#REF!</definedName>
    <definedName name="____xlnm.Print_Area">#REF!</definedName>
    <definedName name="____xlnm.Print_Area_1" localSheetId="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4">#REF!</definedName>
    <definedName name="____xlnm.Print_Area_10">#REF!</definedName>
    <definedName name="____xlnm.Print_Area_10_1">"#REF!"</definedName>
    <definedName name="____xlnm.Print_Area_11" localSheetId="4">#REF!</definedName>
    <definedName name="____xlnm.Print_Area_11">#REF!</definedName>
    <definedName name="____xlnm.Print_Area_13">#REF!</definedName>
    <definedName name="____xlnm.Print_Area_2" localSheetId="4">#REF!</definedName>
    <definedName name="____xlnm.Print_Area_2">#REF!</definedName>
    <definedName name="____xlnm.Print_Area_3" localSheetId="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4">#REF!</definedName>
    <definedName name="____xlnm.Print_Titles_1">#REF!</definedName>
    <definedName name="____xlnm.Print_Titles_2">(#REF!,#REF!)</definedName>
    <definedName name="____xlnm.Print_Titles_3" localSheetId="4">(#REF!,#REF!)</definedName>
    <definedName name="____xlnm.Print_Titles_3">(#REF!,#REF!)</definedName>
    <definedName name="____xlnm.Print_Titles_4" localSheetId="4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4">#REF!</definedName>
    <definedName name="___CBR220">#REF!</definedName>
    <definedName name="___CBR500" localSheetId="4">#REF!</definedName>
    <definedName name="___CBR500">#REF!</definedName>
    <definedName name="___cdd2">#REF!</definedName>
    <definedName name="___cem124" localSheetId="4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4">#REF!</definedName>
    <definedName name="___CTR220">#REF!</definedName>
    <definedName name="___CTR500" localSheetId="4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4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4">#REF!</definedName>
    <definedName name="___dol12">#REF!</definedName>
    <definedName name="___dol6" localSheetId="4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4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4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4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4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4">#REF!</definedName>
    <definedName name="___TR220">#REF!</definedName>
    <definedName name="___tr3">#REF!</definedName>
    <definedName name="___TR500" localSheetId="4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4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4">#REF!</definedName>
    <definedName name="___xlnm._FilterDatabase">#REF!</definedName>
    <definedName name="___xlnm._FilterDatabase_1" localSheetId="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4">#REF!</definedName>
    <definedName name="___xlnm.Print_Area">#REF!</definedName>
    <definedName name="___xlnm.Print_Area_1" localSheetId="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4">#REF!</definedName>
    <definedName name="___xlnm.Print_Area_10">#REF!</definedName>
    <definedName name="___xlnm.Print_Area_10_1">"#REF!"</definedName>
    <definedName name="___xlnm.Print_Area_11" localSheetId="4">#REF!</definedName>
    <definedName name="___xlnm.Print_Area_11">#REF!</definedName>
    <definedName name="___xlnm.Print_Area_13">#REF!</definedName>
    <definedName name="___xlnm.Print_Area_2" localSheetId="4">#REF!</definedName>
    <definedName name="___xlnm.Print_Area_2">#REF!</definedName>
    <definedName name="___xlnm.Print_Area_3" localSheetId="4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4">#REF!</definedName>
    <definedName name="___xlnm.Print_Titles_1">#REF!</definedName>
    <definedName name="___xlnm.Print_Titles_2">(#REF!,#REF!)</definedName>
    <definedName name="___xlnm.Print_Titles_3" localSheetId="4">(#REF!,#REF!)</definedName>
    <definedName name="___xlnm.Print_Titles_3">(#REF!,#REF!)</definedName>
    <definedName name="___xlnm.Print_Titles_4" localSheetId="4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4" hidden="1">#REF!</definedName>
    <definedName name="__123Graph_B" localSheetId="3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4" hidden="1">#REF!</definedName>
    <definedName name="__13___123Graph_ACHART_1" hidden="1">#REF!</definedName>
    <definedName name="__13Excel_BuiltIn_Print_Area_1_2">#REF!</definedName>
    <definedName name="__14___123Graph_BCHART_1" localSheetId="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4">#REF!</definedName>
    <definedName name="__CBR220">#REF!</definedName>
    <definedName name="__CBR500" localSheetId="4">#REF!</definedName>
    <definedName name="__CBR500">#REF!</definedName>
    <definedName name="__CCT220">#REF!</definedName>
    <definedName name="__cdd2">#REF!</definedName>
    <definedName name="__cem124" localSheetId="4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4">#REF!</definedName>
    <definedName name="__CTR220">#REF!</definedName>
    <definedName name="__CTR500" localSheetId="4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4">#REF!</definedName>
    <definedName name="__dol12">#REF!</definedName>
    <definedName name="__dol6" localSheetId="4">#REF!</definedName>
    <definedName name="__dol6">#REF!</definedName>
    <definedName name="__drg1">#REF!</definedName>
    <definedName name="__drg2">#REF!</definedName>
    <definedName name="__EdFJsKAA" localSheetId="4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4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4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4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4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4">#REF!</definedName>
    <definedName name="__TR220">#REF!</definedName>
    <definedName name="__tr3">#REF!</definedName>
    <definedName name="__TR500" localSheetId="4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4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4">#REF!</definedName>
    <definedName name="__xlnm._FilterDatabase_1">#REF!</definedName>
    <definedName name="__xlnm._FilterDatabase_1_1">"#REF!"</definedName>
    <definedName name="__xlnm._FilterDatabase_2" localSheetId="4">#REF!</definedName>
    <definedName name="__xlnm._FilterDatabase_2">#REF!</definedName>
    <definedName name="__xlnm._FilterDatabase_2_1">"#REF!"</definedName>
    <definedName name="__xlnm._FilterDatabase_3" localSheetId="4">#REF!</definedName>
    <definedName name="__xlnm._FilterDatabase_3">#REF!</definedName>
    <definedName name="__xlnm._FilterDatabase_3_1">"#REF!"</definedName>
    <definedName name="__xlnm._FilterDatabase_4" localSheetId="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4">#REF!</definedName>
    <definedName name="__xlnm.Print_Area">"$#REF!.$A$1:$D$37"</definedName>
    <definedName name="__xlnm.Print_Area_1" localSheetId="4">#REF!</definedName>
    <definedName name="__xlnm.Print_Area_1">"$#REF!.$A$1:$D$37"</definedName>
    <definedName name="__xlnm.Print_Area_1_1" localSheetId="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4">#REF!</definedName>
    <definedName name="__xlnm.Print_Area_10">#REF!</definedName>
    <definedName name="__xlnm.Print_Area_10_1">"#REF!"</definedName>
    <definedName name="__xlnm.Print_Area_11" localSheetId="4">#REF!</definedName>
    <definedName name="__xlnm.Print_Area_11">#REF!</definedName>
    <definedName name="__xlnm.Print_Area_13">#REF!</definedName>
    <definedName name="__xlnm.Print_Area_2" localSheetId="4">#REF!</definedName>
    <definedName name="__xlnm.Print_Area_2">"$#REF!.$A$1:$Z$38"</definedName>
    <definedName name="__xlnm.Print_Area_3" localSheetId="4">#REF!</definedName>
    <definedName name="__xlnm.Print_Area_3">"$#REF!.$A$1:$E$42"</definedName>
    <definedName name="__xlnm.Print_Area_3_1" localSheetId="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4">#REF!</definedName>
    <definedName name="__xlnm.Print_Area_4">"$#REF!.$A$1:$D$37"</definedName>
    <definedName name="__xlnm.Print_Area_5" localSheetId="4">#REF!</definedName>
    <definedName name="__xlnm.Print_Area_5">"$#REF!.$A$1:$D$37"</definedName>
    <definedName name="__xlnm.Print_Area_6" localSheetId="4">#REF!</definedName>
    <definedName name="__xlnm.Print_Area_6">"$#REF!.$A$1:$O$46"</definedName>
    <definedName name="__xlnm.Print_Area_7" localSheetId="4">#REF!</definedName>
    <definedName name="__xlnm.Print_Area_7">"$#REF!.$A$1:$O$42"</definedName>
    <definedName name="__xlnm.Print_Area_8" localSheetId="4">#REF!</definedName>
    <definedName name="__xlnm.Print_Area_8">#REF!</definedName>
    <definedName name="__xlnm.Print_Area_9">#REF!</definedName>
    <definedName name="__xlnm.Print_Titles">#REF!</definedName>
    <definedName name="__xlnm.Print_Titles_1" localSheetId="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4">#REF!</definedName>
    <definedName name="__xlnm.Print_Titles_2">#REF!</definedName>
    <definedName name="__xlnm.Print_Titles_3" localSheetId="4">#REF!</definedName>
    <definedName name="__xlnm.Print_Titles_3">#REF!</definedName>
    <definedName name="__xlnm.Print_Titles_3_1" localSheetId="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4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4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4" hidden="1">#REF!</definedName>
    <definedName name="_10________123Graph_ACHART_1" hidden="1">#REF!</definedName>
    <definedName name="_10____123Graph_ACHART_1" localSheetId="4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4" hidden="1">#REF!</definedName>
    <definedName name="_11________123Graph_BCHART_1" hidden="1">#REF!</definedName>
    <definedName name="_11____123Graph_BCHART_1" localSheetId="4" hidden="1">#REF!</definedName>
    <definedName name="_11____123Graph_BCHART_1" hidden="1">#REF!</definedName>
    <definedName name="_11_3_0Crite" localSheetId="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4" hidden="1">#REF!</definedName>
    <definedName name="_12________123Graph_CCHART_1" hidden="1">#REF!</definedName>
    <definedName name="_12____123Graph_CCHART_1" localSheetId="4" hidden="1">#REF!</definedName>
    <definedName name="_12____123Graph_CCHART_1" hidden="1">#REF!</definedName>
    <definedName name="_12__123Graph_BCHART_1" localSheetId="4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4" hidden="1">#REF!</definedName>
    <definedName name="_13____123Graph_ACHART_1" hidden="1">#REF!</definedName>
    <definedName name="_13___123Graph_ACHART_1" localSheetId="4" hidden="1">#REF!</definedName>
    <definedName name="_13___123Graph_ACHART_1" hidden="1">#REF!</definedName>
    <definedName name="_13_3_0Criteria" localSheetId="4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4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4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4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4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4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4">#REF!</definedName>
    <definedName name="_21G_0Extract">#REF!</definedName>
    <definedName name="_22" localSheetId="4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4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4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4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4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4" hidden="1">{#N/A,#N/A,FALSE,"CCTV"}</definedName>
    <definedName name="_41aa1_" hidden="1">{#N/A,#N/A,FALSE,"CCTV"}</definedName>
    <definedName name="_4321">#REF!</definedName>
    <definedName name="_4aa1_" localSheetId="4" hidden="1">{#N/A,#N/A,FALSE,"CCTV"}</definedName>
    <definedName name="_4aa1_" hidden="1">{#N/A,#N/A,FALSE,"CCTV"}</definedName>
    <definedName name="_4C_x" localSheetId="4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4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4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4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4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4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4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4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4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4" hidden="1">{"'PROFITABILITY'!$A$1:$F$45"}</definedName>
    <definedName name="_aa1" hidden="1">{"'PROFITABILITY'!$A$1:$F$45"}</definedName>
    <definedName name="_aba2" localSheetId="4">#REF!</definedName>
    <definedName name="_aba2">#REF!</definedName>
    <definedName name="_acs1">#REF!</definedName>
    <definedName name="_acs2">#REF!</definedName>
    <definedName name="_adj1" localSheetId="4">#REF!</definedName>
    <definedName name="_adj1">#REF!</definedName>
    <definedName name="_ahu1" localSheetId="4">#REF!</definedName>
    <definedName name="_ahu1">#REF!</definedName>
    <definedName name="_ahu2" localSheetId="4">#REF!</definedName>
    <definedName name="_ahu2">#REF!</definedName>
    <definedName name="_am1">#N/A</definedName>
    <definedName name="_am2">#N/A</definedName>
    <definedName name="_Ann1">#REF!</definedName>
    <definedName name="_aoc1" localSheetId="4">#REF!</definedName>
    <definedName name="_aoc1">#REF!</definedName>
    <definedName name="_AOC2" localSheetId="4">#REF!</definedName>
    <definedName name="_AOC2">#REF!</definedName>
    <definedName name="_aoc3" localSheetId="4">#REF!</definedName>
    <definedName name="_aoc3">#REF!</definedName>
    <definedName name="_aoc4" localSheetId="4">#REF!</definedName>
    <definedName name="_aoc4">#REF!</definedName>
    <definedName name="_AtRisk_SimSetting_AutomaticallyGenerateReports" hidden="1">FALSE</definedName>
    <definedName name="_AtRisk_SimSetting_AutomaticResultsDisplayMode" localSheetId="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4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4">#REF!</definedName>
    <definedName name="_CBR220">#REF!</definedName>
    <definedName name="_CBR500" localSheetId="4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4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4">#REF!</definedName>
    <definedName name="_CTR220">#REF!</definedName>
    <definedName name="_CTR500" localSheetId="4">#REF!</definedName>
    <definedName name="_CTR500">#REF!</definedName>
    <definedName name="_CVT220">#REF!</definedName>
    <definedName name="_CVT500">#REF!</definedName>
    <definedName name="_d">"#REF!"</definedName>
    <definedName name="_DAT1" localSheetId="4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4">#REF!</definedName>
    <definedName name="_DAT17">#REF!</definedName>
    <definedName name="_DAT18" localSheetId="4">#REF!</definedName>
    <definedName name="_DAT18">#REF!</definedName>
    <definedName name="_DAT2" localSheetId="4">#REF!</definedName>
    <definedName name="_DAT2">#REF!</definedName>
    <definedName name="_DAT3" localSheetId="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4">#REF!</definedName>
    <definedName name="_dol11">#REF!</definedName>
    <definedName name="_dol12">#REF!</definedName>
    <definedName name="_dol13">#REF!</definedName>
    <definedName name="_dol6">#REF!</definedName>
    <definedName name="_drg1" localSheetId="4">#REF!</definedName>
    <definedName name="_drg1">#REF!</definedName>
    <definedName name="_drg2" localSheetId="4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4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4">#REF!</definedName>
    <definedName name="_FF3">#REF!</definedName>
    <definedName name="_Fill" localSheetId="4" hidden="1">#REF!</definedName>
    <definedName name="_Fill" hidden="1">#REF!</definedName>
    <definedName name="_Fill_1" localSheetId="4">"#REF!"</definedName>
    <definedName name="_Fill_1">#REF!</definedName>
    <definedName name="_Fill1" hidden="1">#REF!</definedName>
    <definedName name="_xlnm._FilterDatabase" localSheetId="1" hidden="1">'Erection compiled'!$E$4:$F$87</definedName>
    <definedName name="_xlnm._FilterDatabase" localSheetId="4" hidden="1">'Location Summary'!$A$3:$P$615</definedName>
    <definedName name="_xlnm._FilterDatabase" localSheetId="3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4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4">#REF!</definedName>
    <definedName name="_HE02">#REF!</definedName>
    <definedName name="_HE06" localSheetId="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4">#REF!</definedName>
    <definedName name="_in18900">#REF!</definedName>
    <definedName name="_INT1">#REF!</definedName>
    <definedName name="_IPB1" localSheetId="4">#REF!</definedName>
    <definedName name="_IPB1">#REF!</definedName>
    <definedName name="_Ism3">#REF!</definedName>
    <definedName name="_ISO220">#REF!</definedName>
    <definedName name="_iv19000" localSheetId="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4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4">#REF!</definedName>
    <definedName name="_LAR220">#REF!</definedName>
    <definedName name="_LAR500" localSheetId="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4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4">#REF!</definedName>
    <definedName name="_mcc1">#REF!</definedName>
    <definedName name="_mcc2" localSheetId="4">#REF!</definedName>
    <definedName name="_mcc2">#REF!</definedName>
    <definedName name="_mcl132">'[8]A1-Continuous'!#REF!</definedName>
    <definedName name="_MG1">#REF!</definedName>
    <definedName name="_mhr1" localSheetId="4">#REF!</definedName>
    <definedName name="_mhr1">#REF!</definedName>
    <definedName name="_mhr2" localSheetId="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4">#REF!</definedName>
    <definedName name="_mp1">#REF!</definedName>
    <definedName name="_Mzd1">#REF!</definedName>
    <definedName name="_N">#REF!</definedName>
    <definedName name="_new1">#REF!</definedName>
    <definedName name="_ngl3" localSheetId="4">#REF!</definedName>
    <definedName name="_ngl3">#REF!</definedName>
    <definedName name="_ngl4" localSheetId="4">#REF!</definedName>
    <definedName name="_ngl4">#REF!</definedName>
    <definedName name="_Nov2007" localSheetId="4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4" hidden="1">255</definedName>
    <definedName name="_Order2" hidden="1">255</definedName>
    <definedName name="_out2" localSheetId="4">#REF!</definedName>
    <definedName name="_out2">#REF!</definedName>
    <definedName name="_p" localSheetId="4">"#REF!"</definedName>
    <definedName name="_p">"#REF!"</definedName>
    <definedName name="_P1" localSheetId="4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4">#REF!</definedName>
    <definedName name="_pdp1">#REF!</definedName>
    <definedName name="_pdp2" localSheetId="4">#REF!</definedName>
    <definedName name="_pdp2">#REF!</definedName>
    <definedName name="_pdp3" localSheetId="4">#REF!</definedName>
    <definedName name="_pdp3">#REF!</definedName>
    <definedName name="_pep99" localSheetId="4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4" hidden="1">{"'Sheet1'!$A$4386:$N$4591"}</definedName>
    <definedName name="_PM123" hidden="1">{"'Sheet1'!$A$4386:$N$4591"}</definedName>
    <definedName name="_PO2">#REF!</definedName>
    <definedName name="_pp" localSheetId="4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4">#REF!</definedName>
    <definedName name="_QTY1">#REF!</definedName>
    <definedName name="_qty2" localSheetId="4">#REF!</definedName>
    <definedName name="_qty2">#REF!</definedName>
    <definedName name="_qty3" localSheetId="4">#REF!</definedName>
    <definedName name="_qty3">#REF!</definedName>
    <definedName name="_qty4">#REF!</definedName>
    <definedName name="_r" localSheetId="4">"#REF!"</definedName>
    <definedName name="_r">"#REF!"</definedName>
    <definedName name="_R1">#REF!</definedName>
    <definedName name="_RAC1">#REF!</definedName>
    <definedName name="_RBS1" localSheetId="4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Rl1">#REF!</definedName>
    <definedName name="_ROD6">#REF!</definedName>
    <definedName name="_row1" localSheetId="4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4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4">#REF!</definedName>
    <definedName name="_sch2">#REF!</definedName>
    <definedName name="_sch9" localSheetId="4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4">#REF!</definedName>
    <definedName name="_SS402">#REF!</definedName>
    <definedName name="_SS403" localSheetId="4">#REF!</definedName>
    <definedName name="_SS403">#REF!</definedName>
    <definedName name="_SS404" localSheetId="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4">#REF!</definedName>
    <definedName name="_SV7025">#REF!</definedName>
    <definedName name="_SV7042" localSheetId="4">#REF!</definedName>
    <definedName name="_SV7042">#REF!</definedName>
    <definedName name="_SV7043" localSheetId="4">#REF!</definedName>
    <definedName name="_SV7043">#REF!</definedName>
    <definedName name="_SV7045">#REF!</definedName>
    <definedName name="_SV7048">#REF!</definedName>
    <definedName name="_t">"#REF!"</definedName>
    <definedName name="_T141000" localSheetId="4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4">#REF!</definedName>
    <definedName name="_TR220">#REF!</definedName>
    <definedName name="_tr3">#REF!</definedName>
    <definedName name="_TR315">#REF!</definedName>
    <definedName name="_TR33">#REF!</definedName>
    <definedName name="_TR500" localSheetId="4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4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4">#REF!</definedName>
    <definedName name="¿uº°¿μ¾÷">#REF!</definedName>
    <definedName name="√">"SQRT"</definedName>
    <definedName name="a" localSheetId="4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4">#REF!</definedName>
    <definedName name="a_dash">#REF!</definedName>
    <definedName name="A_sp">#REF!</definedName>
    <definedName name="a0" localSheetId="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4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4">#REF!</definedName>
    <definedName name="aa">#REF!</definedName>
    <definedName name="aa_1">#REF!</definedName>
    <definedName name="AAA" localSheetId="4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>#REF!</definedName>
    <definedName name="AAAA_1">NA()</definedName>
    <definedName name="aaaaa">#REF!</definedName>
    <definedName name="AAAAAA" localSheetId="4" hidden="1">#REF!</definedName>
    <definedName name="AAAAAA" hidden="1">#REF!</definedName>
    <definedName name="AAAAAAA">#REF!</definedName>
    <definedName name="AAAAAAAAA" localSheetId="4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4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4" hidden="1">{"'PROFITABILITY'!$A$1:$F$45"}</definedName>
    <definedName name="aav" hidden="1">{"'PROFITABILITY'!$A$1:$F$45"}</definedName>
    <definedName name="aAXX1">#REF!</definedName>
    <definedName name="ab" localSheetId="4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4">#REF!</definedName>
    <definedName name="ABACUS">#REF!</definedName>
    <definedName name="abb">#REF!</definedName>
    <definedName name="abc" localSheetId="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4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4">#REF!</definedName>
    <definedName name="ABTemplateOD">#REF!</definedName>
    <definedName name="AC" localSheetId="4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4">#REF!</definedName>
    <definedName name="ACCESS">#REF!</definedName>
    <definedName name="ACCESS220" localSheetId="4">#REF!</definedName>
    <definedName name="ACCESS220">#REF!</definedName>
    <definedName name="AccessDatabase" hidden="1">"C:\WIN95\Desktop\Ramesh\AIC\Aic.mdb"</definedName>
    <definedName name="Accessories">#REF!</definedName>
    <definedName name="accp" localSheetId="4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4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4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4" hidden="1">{"'장비'!$A$3:$M$12"}</definedName>
    <definedName name="ADITION" hidden="1">{"'장비'!$A$3:$M$12"}</definedName>
    <definedName name="adj" localSheetId="4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4">#REF!</definedName>
    <definedName name="ADVIK">#REF!</definedName>
    <definedName name="adwea">#REF!</definedName>
    <definedName name="ae" localSheetId="4">#REF!</definedName>
    <definedName name="ae">#REF!</definedName>
    <definedName name="AEA">#REF!</definedName>
    <definedName name="AED" localSheetId="4">#REF!</definedName>
    <definedName name="AED">#REF!</definedName>
    <definedName name="AEDproEUR" localSheetId="4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4">#REF!</definedName>
    <definedName name="af">#REF!</definedName>
    <definedName name="AF_00" localSheetId="4">#REF!</definedName>
    <definedName name="AF_00">#REF!</definedName>
    <definedName name="AF_01" localSheetId="4">#REF!</definedName>
    <definedName name="AF_01">#REF!</definedName>
    <definedName name="AF_02">#REF!</definedName>
    <definedName name="AF_98">#REF!</definedName>
    <definedName name="AF_99">#REF!</definedName>
    <definedName name="AF_M_98" localSheetId="4">#REF!</definedName>
    <definedName name="AF_M_98">#REF!</definedName>
    <definedName name="AF_M_99" localSheetId="4">#REF!</definedName>
    <definedName name="AF_M_99">#REF!</definedName>
    <definedName name="afafa" hidden="1">[30]MAINBS1!#REF!</definedName>
    <definedName name="afdad" localSheetId="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4">#REF!</definedName>
    <definedName name="afit">#REF!</definedName>
    <definedName name="afsgs">[29]CLAY!#REF!</definedName>
    <definedName name="Ag" localSheetId="4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4" hidden="1">{#N/A,#N/A,FALSE,"CCTV"}</definedName>
    <definedName name="AH" hidden="1">{#N/A,#N/A,FALSE,"CCTV"}</definedName>
    <definedName name="AHAHAHAHAH" localSheetId="4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4">#REF!</definedName>
    <definedName name="all">#REF!</definedName>
    <definedName name="All_Item" localSheetId="4">#REF!</definedName>
    <definedName name="All_Item">#REF!</definedName>
    <definedName name="alpha" localSheetId="4">#REF!</definedName>
    <definedName name="alpha">#REF!</definedName>
    <definedName name="alpha_disc" localSheetId="4">#REF!</definedName>
    <definedName name="alpha_disc">#REF!</definedName>
    <definedName name="alpha_ed" localSheetId="4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4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4">#REF!</definedName>
    <definedName name="Analysis">#REF!</definedName>
    <definedName name="Analysis_1">"#REF!"</definedName>
    <definedName name="anb">#REF!</definedName>
    <definedName name="anchor" localSheetId="4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4">#REF!</definedName>
    <definedName name="app">#REF!</definedName>
    <definedName name="APPR">#REF!</definedName>
    <definedName name="Approach">#REF!</definedName>
    <definedName name="APR" localSheetId="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4">#REF!</definedName>
    <definedName name="april_qty">#REF!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4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4">#REF!</definedName>
    <definedName name="arrotonda">#REF!</definedName>
    <definedName name="arwrw">#REF!</definedName>
    <definedName name="as" localSheetId="4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4">#REF!</definedName>
    <definedName name="asd">#REF!</definedName>
    <definedName name="asda">#REF!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4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4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4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4">#REF!</definedName>
    <definedName name="aw">#REF!</definedName>
    <definedName name="awsegfSAeFG">#REF!</definedName>
    <definedName name="AWW">#REF!</definedName>
    <definedName name="ax" localSheetId="3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3">[33]CLAY!#REF!</definedName>
    <definedName name="ay">#REF!</definedName>
    <definedName name="azdfrgg">#REF!</definedName>
    <definedName name="aziz">#REF!</definedName>
    <definedName name="azsa" localSheetId="4" hidden="1">{"'PROFITABILITY'!$A$1:$F$45"}</definedName>
    <definedName name="azsa" hidden="1">{"'PROFITABILITY'!$A$1:$F$45"}</definedName>
    <definedName name="B" localSheetId="3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4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4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4">#REF!</definedName>
    <definedName name="BAUfaktor">#REF!</definedName>
    <definedName name="bawerffg">#REF!</definedName>
    <definedName name="bb" localSheetId="4" hidden="1">{"'PROFITABILITY'!$A$1:$F$45"}</definedName>
    <definedName name="bb" hidden="1">{"'PROFITABILITY'!$A$1:$F$45"}</definedName>
    <definedName name="bbb" localSheetId="4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4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4">#REF!</definedName>
    <definedName name="BEN">#REF!</definedName>
    <definedName name="BEND">#REF!</definedName>
    <definedName name="Benefits" localSheetId="4">#REF!</definedName>
    <definedName name="Benefits">#REF!</definedName>
    <definedName name="BENJ">#REF!</definedName>
    <definedName name="Bentonite">#REF!</definedName>
    <definedName name="beta" localSheetId="4">#REF!</definedName>
    <definedName name="beta">#REF!</definedName>
    <definedName name="BF" localSheetId="4">INDEX(#REF!,MATCH(#REF!,#REF!,0))</definedName>
    <definedName name="BF">INDEX(#REF!,MATCH(#REF!,#REF!,0))</definedName>
    <definedName name="BG" localSheetId="4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4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4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4">#REF!</definedName>
    <definedName name="BM">#REF!</definedName>
    <definedName name="Bn" localSheetId="4">#REF!</definedName>
    <definedName name="Bn">#REF!</definedName>
    <definedName name="BODY1">#REF!</definedName>
    <definedName name="BODY2">#REF!</definedName>
    <definedName name="boisar" localSheetId="4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4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4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4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4">#REF!</definedName>
    <definedName name="bps">#REF!</definedName>
    <definedName name="BQ">#REF!</definedName>
    <definedName name="BR_Resou" localSheetId="4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4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4">#REF!</definedName>
    <definedName name="bs">#REF!</definedName>
    <definedName name="BS_9A" localSheetId="4">#REF!</definedName>
    <definedName name="BS_9A">#REF!</definedName>
    <definedName name="BS_9B" localSheetId="4">#REF!</definedName>
    <definedName name="BS_9B">#REF!</definedName>
    <definedName name="bt80.100">#REF!</definedName>
    <definedName name="btb_musd" localSheetId="4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4">#REF!</definedName>
    <definedName name="building" localSheetId="3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4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4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4">#REF!</definedName>
    <definedName name="c_margin">#REF!</definedName>
    <definedName name="C_VALUE" localSheetId="4">#REF!</definedName>
    <definedName name="C_VALUE">#REF!</definedName>
    <definedName name="C0">#REF!</definedName>
    <definedName name="Ca" localSheetId="4">#REF!</definedName>
    <definedName name="Ca">#REF!</definedName>
    <definedName name="caa" localSheetId="4" hidden="1">{"'PROFITABILITY'!$A$1:$F$45"}</definedName>
    <definedName name="caa" hidden="1">{"'PROFITABILITY'!$A$1:$F$45"}</definedName>
    <definedName name="CABLE" localSheetId="4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3">'[39]Staff Acco.'!#REF!</definedName>
    <definedName name="cant">#REF!</definedName>
    <definedName name="cap" localSheetId="4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4">#REF!</definedName>
    <definedName name="CAUSE">#REF!</definedName>
    <definedName name="CB">INDEX(#REF!,MATCH(#REF!,#REF!,0))</definedName>
    <definedName name="CBISO" localSheetId="4">#REF!</definedName>
    <definedName name="CBISO">#REF!</definedName>
    <definedName name="CBISO145" localSheetId="4">#REF!</definedName>
    <definedName name="CBISO145">#REF!</definedName>
    <definedName name="CBISO245">#REF!</definedName>
    <definedName name="CBR220CTL">#REF!</definedName>
    <definedName name="CBR500CTL">#REF!</definedName>
    <definedName name="cc" localSheetId="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4">#REF!</definedName>
    <definedName name="cccc">#REF!</definedName>
    <definedName name="cd" localSheetId="4">#REF!</definedName>
    <definedName name="cd">#REF!</definedName>
    <definedName name="CD_HW" localSheetId="4">#REF!</definedName>
    <definedName name="CD_HW">#REF!</definedName>
    <definedName name="CD_SPLADL" localSheetId="4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4">#REF!</definedName>
    <definedName name="ced">#REF!</definedName>
    <definedName name="CED_BOHW" localSheetId="4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4">#REF!</definedName>
    <definedName name="Cement_124">#REF!</definedName>
    <definedName name="cent">#REF!</definedName>
    <definedName name="CeramicFloorTiles">#REF!</definedName>
    <definedName name="CF" localSheetId="4">#REF!</definedName>
    <definedName name="CF">#REF!</definedName>
    <definedName name="cf_musd" localSheetId="4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4">#REF!</definedName>
    <definedName name="ch_area1">#REF!</definedName>
    <definedName name="ch_area2" localSheetId="4">#REF!</definedName>
    <definedName name="ch_area2">#REF!</definedName>
    <definedName name="ch_area3" localSheetId="4">#REF!</definedName>
    <definedName name="ch_area3">#REF!</definedName>
    <definedName name="ch_area4" localSheetId="4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4">#REF!</definedName>
    <definedName name="check">#REF!</definedName>
    <definedName name="checked">#REF!</definedName>
    <definedName name="CHF" localSheetId="4">#REF!</definedName>
    <definedName name="CHF">#REF!</definedName>
    <definedName name="chk" localSheetId="4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4">#REF!</definedName>
    <definedName name="civil">#REF!</definedName>
    <definedName name="CJ">INDEX(#REF!,MATCH(#REF!,#REF!,0))</definedName>
    <definedName name="CK">INDEX(#REF!,MATCH(#REF!,#REF!,0))</definedName>
    <definedName name="Cl" localSheetId="4">#REF!</definedName>
    <definedName name="Cl">#REF!</definedName>
    <definedName name="Cl.Preforma" localSheetId="4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4" hidden="1">{"Execavation",#N/A,FALSE,"furniture (employer)"}</definedName>
    <definedName name="CLAIMB" hidden="1">{"Execavation",#N/A,FALSE,"furniture (employer)"}</definedName>
    <definedName name="CLAIMSB" localSheetId="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4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4">#REF!</definedName>
    <definedName name="CM_14">#REF!</definedName>
    <definedName name="cM_143">#REF!</definedName>
    <definedName name="cmort3">#REF!</definedName>
    <definedName name="co" localSheetId="4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4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4">#REF!</definedName>
    <definedName name="commn">#REF!</definedName>
    <definedName name="Common">#REF!</definedName>
    <definedName name="COMP" localSheetId="4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4">#REF!</definedName>
    <definedName name="CONCABLES">#REF!</definedName>
    <definedName name="CONCABLES220" localSheetId="4">#REF!</definedName>
    <definedName name="CONCABLES220">#REF!</definedName>
    <definedName name="Concpaver">#REF!</definedName>
    <definedName name="cONCRETE" localSheetId="4" hidden="1">{"form-D1",#N/A,FALSE,"FORM-D1";"form-D1_amt",#N/A,FALSE,"FORM-D1"}</definedName>
    <definedName name="cONCRETE" hidden="1">{"form-D1",#N/A,FALSE,"FORM-D1";"form-D1_amt",#N/A,FALSE,"FORM-D1"}</definedName>
    <definedName name="COND" localSheetId="4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4">#REF!</definedName>
    <definedName name="CONDUIT">#REF!</definedName>
    <definedName name="config">#REF!</definedName>
    <definedName name="CONS">#REF!</definedName>
    <definedName name="cons.smm">#REF!</definedName>
    <definedName name="const" localSheetId="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4">#REF!</definedName>
    <definedName name="COS">#REF!</definedName>
    <definedName name="cosq">#REF!</definedName>
    <definedName name="cost">#REF!</definedName>
    <definedName name="Cost__Ex_Works" localSheetId="4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4">#REF!</definedName>
    <definedName name="cp">#REF!</definedName>
    <definedName name="CPLG">#REF!</definedName>
    <definedName name="CPM">#REF!</definedName>
    <definedName name="CPRP" localSheetId="4">#REF!</definedName>
    <definedName name="CPRP">#REF!</definedName>
    <definedName name="cprp_lucknow" localSheetId="4">#REF!</definedName>
    <definedName name="cprp_lucknow">#REF!</definedName>
    <definedName name="cprp_mandola">#REF!</definedName>
    <definedName name="CP새단가">#REF!</definedName>
    <definedName name="cr" localSheetId="3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4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4">#REF!</definedName>
    <definedName name="current1">#REF!</definedName>
    <definedName name="current2" localSheetId="4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4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4" hidden="1">{"'PROFITABILITY'!$A$1:$F$45"}</definedName>
    <definedName name="Dampers" hidden="1">{"'PROFITABILITY'!$A$1:$F$45"}</definedName>
    <definedName name="DANGA">#REF!,#REF!</definedName>
    <definedName name="DaRWk1" localSheetId="4">#REF!</definedName>
    <definedName name="DaRWk1">#REF!</definedName>
    <definedName name="DaRWk10" localSheetId="4">#REF!</definedName>
    <definedName name="DaRWk10">#REF!</definedName>
    <definedName name="DaRWk11" localSheetId="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4">#REF!</definedName>
    <definedName name="DATA15">#REF!</definedName>
    <definedName name="DATA16" localSheetId="4">#REF!</definedName>
    <definedName name="DATA16">#REF!</definedName>
    <definedName name="DATA17" localSheetId="4">#REF!</definedName>
    <definedName name="DATA17">#REF!</definedName>
    <definedName name="DATA18" localSheetId="4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3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4">#REF!</definedName>
    <definedName name="dcrwk1">#REF!</definedName>
    <definedName name="dcrwk10" localSheetId="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4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4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4">#REF!</definedName>
    <definedName name="DDK">#REF!</definedName>
    <definedName name="dds">#REF!</definedName>
    <definedName name="DE" localSheetId="4">INDEX(#REF!,MATCH(#REF!,#REF!,0))</definedName>
    <definedName name="DE">INDEX(#REF!,MATCH(#REF!,#REF!,0))</definedName>
    <definedName name="de_cost" localSheetId="4">#REF!</definedName>
    <definedName name="de_cost">#REF!</definedName>
    <definedName name="DEBTORS" localSheetId="4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4">#REF!</definedName>
    <definedName name="DEHRI">#REF!</definedName>
    <definedName name="DelDC" localSheetId="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4" hidden="1">{"'PROFITABILITY'!$A$1:$F$45"}</definedName>
    <definedName name="DELTA" hidden="1">{"'PROFITABILITY'!$A$1:$F$45"}</definedName>
    <definedName name="DELTA1" localSheetId="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4">#REF!</definedName>
    <definedName name="det_act_plan">#REF!</definedName>
    <definedName name="Detailed">#REF!</definedName>
    <definedName name="Details">#REF!</definedName>
    <definedName name="dev" localSheetId="3">'[43]july-I'!$H$126:$H$140</definedName>
    <definedName name="dev">#REF!</definedName>
    <definedName name="df" localSheetId="4" hidden="1">#REF!</definedName>
    <definedName name="df" hidden="1">#REF!</definedName>
    <definedName name="dfadf" localSheetId="4">(#REF!,#REF!)</definedName>
    <definedName name="dfadf">(#REF!,#REF!)</definedName>
    <definedName name="dfadvdsv">#REF!</definedName>
    <definedName name="dfaf" localSheetId="4" hidden="1">{"'장비'!$A$3:$M$12"}</definedName>
    <definedName name="dfaf" hidden="1">{"'장비'!$A$3:$M$12"}</definedName>
    <definedName name="DFD" localSheetId="4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4" hidden="1">{"'PROFITABILITY'!$A$1:$F$45"}</definedName>
    <definedName name="dfdfdfd" hidden="1">{"'PROFITABILITY'!$A$1:$F$45"}</definedName>
    <definedName name="dfdfs" localSheetId="4" hidden="1">{"'Sheet1'!$A$4386:$N$4591"}</definedName>
    <definedName name="dfdfs" hidden="1">{"'Sheet1'!$A$4386:$N$4591"}</definedName>
    <definedName name="DFDSF" hidden="1">#REF!</definedName>
    <definedName name="DFF" localSheetId="4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4">#REF!</definedName>
    <definedName name="dgn">#REF!</definedName>
    <definedName name="dgp" localSheetId="4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4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4">#REF!</definedName>
    <definedName name="diff">#REF!</definedName>
    <definedName name="diff1" localSheetId="4">#REF!</definedName>
    <definedName name="diff1">#REF!</definedName>
    <definedName name="DIns" localSheetId="4">#REF!</definedName>
    <definedName name="DIns">#REF!</definedName>
    <definedName name="Dis" localSheetId="4" hidden="1">{"'PROFITABILITY'!$A$1:$F$45"}</definedName>
    <definedName name="Dis" hidden="1">{"'PROFITABILITY'!$A$1:$F$45"}</definedName>
    <definedName name="DIS_UNIT">#REF!</definedName>
    <definedName name="disc" localSheetId="4">#REF!</definedName>
    <definedName name="disc">#REF!</definedName>
    <definedName name="Discount" hidden="1">#REF!</definedName>
    <definedName name="Discount1" localSheetId="4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4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4">INDEX(#REF!,MATCH(#REF!,#REF!,0))</definedName>
    <definedName name="DK">INDEX(#REF!,MATCH(#REF!,#REF!,0))</definedName>
    <definedName name="dkd" localSheetId="4">#REF!</definedName>
    <definedName name="dkd">#REF!</definedName>
    <definedName name="DKG" localSheetId="4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4">#REF!</definedName>
    <definedName name="DM">#REF!</definedName>
    <definedName name="dms">#REF!</definedName>
    <definedName name="dmt">#REF!</definedName>
    <definedName name="DMUCK">#REF!</definedName>
    <definedName name="DMUSD" localSheetId="4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4">#REF!</definedName>
    <definedName name="dol7.5">#REF!</definedName>
    <definedName name="DOLLARS1">#REF!</definedName>
    <definedName name="DOLLARS2">#REF!</definedName>
    <definedName name="Dome1" localSheetId="3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4">#REF!</definedName>
    <definedName name="drain_trap">#REF!</definedName>
    <definedName name="DRAWING">#REF!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4">#REF!</definedName>
    <definedName name="DS">#REF!</definedName>
    <definedName name="Ds___0">#REF!</definedName>
    <definedName name="Ds___13">#REF!</definedName>
    <definedName name="dsad" localSheetId="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4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4">#REF!</definedName>
    <definedName name="dsdsdls">#REF!</definedName>
    <definedName name="DSF">#REF!</definedName>
    <definedName name="dsfadsf">#REF!</definedName>
    <definedName name="dsgtgx">#REF!</definedName>
    <definedName name="DSSWEE" localSheetId="4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4">#REF!</definedName>
    <definedName name="dtnps">#REF!</definedName>
    <definedName name="dtyr">#REF!</definedName>
    <definedName name="dual_plate_check" localSheetId="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4">#REF!</definedName>
    <definedName name="E" localSheetId="3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4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4" hidden="1">{"'PROFITABILITY'!$A$1:$F$45"}</definedName>
    <definedName name="eee" hidden="1">{"'PROFITABILITY'!$A$1:$F$45"}</definedName>
    <definedName name="EEEE" localSheetId="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4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4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4">#REF!</definedName>
    <definedName name="eq_index">#REF!</definedName>
    <definedName name="EQMOB" localSheetId="4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4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4">#REF!</definedName>
    <definedName name="erec">#REF!</definedName>
    <definedName name="erecps" localSheetId="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4" hidden="1">{"form-D1",#N/A,FALSE,"FORM-D1";"form-D1_amt",#N/A,FALSE,"FORM-D1"}</definedName>
    <definedName name="ERTYYWWS" hidden="1">{"form-D1",#N/A,FALSE,"FORM-D1";"form-D1_amt",#N/A,FALSE,"FORM-D1"}</definedName>
    <definedName name="ERV" localSheetId="4">#REF!</definedName>
    <definedName name="ERV">#REF!</definedName>
    <definedName name="eryq43y7">#REF!</definedName>
    <definedName name="Es" localSheetId="4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4">#REF!</definedName>
    <definedName name="ESCPRD_BOHW">#REF!</definedName>
    <definedName name="ESCPRD_BOSW" localSheetId="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4">#REF!</definedName>
    <definedName name="etwet">#REF!</definedName>
    <definedName name="eun" localSheetId="4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4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4" hidden="1">{"'PROFITABILITY'!$A$1:$F$45"}</definedName>
    <definedName name="ewer" hidden="1">{"'PROFITABILITY'!$A$1:$F$45"}</definedName>
    <definedName name="ewre" hidden="1">#REF!</definedName>
    <definedName name="EWWW" localSheetId="4" hidden="1">{"form-D1",#N/A,FALSE,"FORM-D1";"form-D1_amt",#N/A,FALSE,"FORM-D1"}</definedName>
    <definedName name="EWWW" hidden="1">{"form-D1",#N/A,FALSE,"FORM-D1";"form-D1_amt",#N/A,FALSE,"FORM-D1"}</definedName>
    <definedName name="ex" localSheetId="4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4">"$#REF!.$A$1:$O$42"</definedName>
    <definedName name="Excel_BuiltIn_Print_Area_2">"$#REF!.$A$1:$O$42"</definedName>
    <definedName name="Excel_BuiltIn_Print_Area_2_1" localSheetId="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4">#REF!</definedName>
    <definedName name="Excel_BuiltIn_Print_Area_4_1">#REF!</definedName>
    <definedName name="Excel_BuiltIn_Print_Area_4_1_1" localSheetId="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4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4">#REF!</definedName>
    <definedName name="Excel_BuiltIn_Print_Titles_3_1_1">#REF!</definedName>
    <definedName name="Excel_BuiltIn_Print_Titles_4_1" localSheetId="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4">#REF!</definedName>
    <definedName name="exp_ch">#REF!</definedName>
    <definedName name="expense">#REF!</definedName>
    <definedName name="EXPHEADS" localSheetId="4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4" hidden="1">{"'PROFITABILITY'!$A$1:$F$45"}</definedName>
    <definedName name="f_1" hidden="1">{"'PROFITABILITY'!$A$1:$F$45"}</definedName>
    <definedName name="f_shape">#REF!</definedName>
    <definedName name="FA" localSheetId="4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4">#REF!</definedName>
    <definedName name="facplc">#REF!</definedName>
    <definedName name="Factor" localSheetId="4">#REF!</definedName>
    <definedName name="Factor">#REF!</definedName>
    <definedName name="Factora" localSheetId="4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4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4">#REF!</definedName>
    <definedName name="Fb">#REF!</definedName>
    <definedName name="FC" localSheetId="4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4">#REF!</definedName>
    <definedName name="fdfds">#REF!</definedName>
    <definedName name="FDGSDFG" localSheetId="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4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4">#REF!</definedName>
    <definedName name="FFR">#REF!</definedName>
    <definedName name="ffvvv">[27]GWC!#REF!</definedName>
    <definedName name="fg" localSheetId="4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4">#REF!</definedName>
    <definedName name="FIrate">#REF!</definedName>
    <definedName name="FIratye" localSheetId="4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4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4">#REF!</definedName>
    <definedName name="Floor" localSheetId="3">'[37]DETAILED  BOQ'!$C$4</definedName>
    <definedName name="Floor">#REF!</definedName>
    <definedName name="flow" localSheetId="4">#REF!</definedName>
    <definedName name="flow">#REF!</definedName>
    <definedName name="FM" localSheetId="4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4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4">#REF!</definedName>
    <definedName name="Forecast_Receivables">#REF!</definedName>
    <definedName name="foren" localSheetId="4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4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4">#REF!</definedName>
    <definedName name="Fp">#REF!</definedName>
    <definedName name="Fpi">#REF!</definedName>
    <definedName name="Fpi0">#REF!</definedName>
    <definedName name="Fr" localSheetId="4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4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4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4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4">#REF!</definedName>
    <definedName name="FUND_M8_A_B">#REF!</definedName>
    <definedName name="FUNDFLOW_B8A">#REF!</definedName>
    <definedName name="FUNDFLOW_B8B">#REF!</definedName>
    <definedName name="funds" localSheetId="4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4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4">#REF!</definedName>
    <definedName name="gama">#REF!</definedName>
    <definedName name="gamah" localSheetId="4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4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4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4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4">INDEX(#REF!,MATCH(#REF!,#REF!,0))</definedName>
    <definedName name="GI">INDEX(#REF!,MATCH(#REF!,#REF!,0))</definedName>
    <definedName name="girder.span">#REF!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4">#REF!</definedName>
    <definedName name="gk">#REF!</definedName>
    <definedName name="GL">INDEX(#REF!,MATCH(#REF!,#REF!,0))</definedName>
    <definedName name="GlazedCeramicTiles">#REF!</definedName>
    <definedName name="globe" localSheetId="4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4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4">#REF!</definedName>
    <definedName name="GrdLineMr">#REF!</definedName>
    <definedName name="GrdLineShear" localSheetId="4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4">#REF!</definedName>
    <definedName name="grout_type">#REF!</definedName>
    <definedName name="GrphActSales" localSheetId="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4" hidden="1">{#N/A,#N/A,FALSE,"CCTV"}</definedName>
    <definedName name="GV" hidden="1">{#N/A,#N/A,FALSE,"CCTV"}</definedName>
    <definedName name="gvgv">#REF!</definedName>
    <definedName name="gvhgvkj">#REF!</definedName>
    <definedName name="GW" localSheetId="4">#REF!</definedName>
    <definedName name="GW">#REF!</definedName>
    <definedName name="h" localSheetId="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4">#REF!</definedName>
    <definedName name="Hcbdw">#REF!</definedName>
    <definedName name="Hcw" localSheetId="4">#REF!</definedName>
    <definedName name="Hcw">#REF!</definedName>
    <definedName name="HD">INDEX(#REF!,MATCH(#REF!,#REF!,0))</definedName>
    <definedName name="hdffghh">#REF!</definedName>
    <definedName name="HE" localSheetId="4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4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4">#REF!</definedName>
    <definedName name="Hhpc">#REF!</definedName>
    <definedName name="hhs" localSheetId="4">#REF!</definedName>
    <definedName name="hhs">#REF!</definedName>
    <definedName name="hhss">#REF!</definedName>
    <definedName name="hi" localSheetId="4">#REF!</definedName>
    <definedName name="hi">#REF!</definedName>
    <definedName name="HiddenRows" hidden="1">#REF!</definedName>
    <definedName name="hijkl" localSheetId="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4">#REF!</definedName>
    <definedName name="HIns">#REF!</definedName>
    <definedName name="Hipc" localSheetId="4">#REF!</definedName>
    <definedName name="Hipc">#REF!</definedName>
    <definedName name="Hire_Amortize">#REF!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4">INDEX(#REF!,MATCH(#REF!,#REF!,0))</definedName>
    <definedName name="HL">INDEX(#REF!,MATCH(#REF!,#REF!,0))</definedName>
    <definedName name="hleft">#REF!</definedName>
    <definedName name="Hlp" localSheetId="4">#REF!</definedName>
    <definedName name="Hlp">#REF!</definedName>
    <definedName name="HM" localSheetId="4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4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4">#REF!</definedName>
    <definedName name="hS">#REF!</definedName>
    <definedName name="hS___0">#REF!</definedName>
    <definedName name="hS___13">#REF!</definedName>
    <definedName name="Hs_atm" localSheetId="4">#REF!</definedName>
    <definedName name="Hs_atm">#REF!</definedName>
    <definedName name="HSn" localSheetId="4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4" hidden="1">{"'PROFITABILITY'!$A$1:$F$45"}</definedName>
    <definedName name="html" hidden="1">{"'PROFITABILITY'!$A$1:$F$45"}</definedName>
    <definedName name="HTML_CodePage" hidden="1">1252</definedName>
    <definedName name="HTML_Control" localSheetId="4" hidden="1">{"'PROFITABILITY'!$A$1:$F$45"}</definedName>
    <definedName name="HTML_Control" hidden="1">{"'PROFITABILITY'!$A$1:$F$45"}</definedName>
    <definedName name="HTML_Control_1" localSheetId="4" hidden="1">{"'PROFITABILITY'!$A$1:$F$45"}</definedName>
    <definedName name="HTML_Control_1" hidden="1">{"'PROFITABILITY'!$A$1:$F$45"}</definedName>
    <definedName name="HTML_control2" localSheetId="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"TP-SUMMARY"</definedName>
    <definedName name="HTML_Header" hidden="1">"PRICE AND PROFOTABILITY"</definedName>
    <definedName name="HTML_LastUpdate" localSheetId="3" hidden="1">"12/10/04"</definedName>
    <definedName name="HTML_LastUpdate" hidden="1">"2/9/99"</definedName>
    <definedName name="HTML_LineAfter" localSheetId="3" hidden="1">FALSE</definedName>
    <definedName name="HTML_LineAfter" hidden="1">TRUE</definedName>
    <definedName name="HTML_LineBefore" localSheetId="3" hidden="1">FALSE</definedName>
    <definedName name="HTML_LineBefore" hidden="1">TRUE</definedName>
    <definedName name="HTML_Name" localSheetId="3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Documents\TATA RECORD\TLTS 2385 TATA  POWER\NEW TATA\tata\MyHTML.htm"</definedName>
    <definedName name="HTML_PathFile" hidden="1">"C:\My Documents\XLS.htm"</definedName>
    <definedName name="HTML_Title" localSheetId="3" hidden="1">"JEERAT - SG INSP"</definedName>
    <definedName name="HTML_Title" hidden="1">"MANANTALI PROJECT"</definedName>
    <definedName name="html2" localSheetId="4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4">#REF!</definedName>
    <definedName name="HV">#REF!</definedName>
    <definedName name="Hw">#REF!</definedName>
    <definedName name="Hw_atm" localSheetId="4">#REF!</definedName>
    <definedName name="Hw_atm">#REF!</definedName>
    <definedName name="HX" localSheetId="4">#REF!</definedName>
    <definedName name="HX">#REF!</definedName>
    <definedName name="hxa">#REF!</definedName>
    <definedName name="hxb" localSheetId="4">#REF!</definedName>
    <definedName name="hxb">#REF!</definedName>
    <definedName name="hxc">#REF!</definedName>
    <definedName name="hxd" localSheetId="4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4">#REF!</definedName>
    <definedName name="hxi">#REF!</definedName>
    <definedName name="hy">#REF!</definedName>
    <definedName name="hyio">#REF!</definedName>
    <definedName name="HYSD" localSheetId="4">#REF!</definedName>
    <definedName name="HYSD">#REF!</definedName>
    <definedName name="HYSD_Steel">#REF!</definedName>
    <definedName name="hysdqrate">#REF!</definedName>
    <definedName name="Hz">#REF!</definedName>
    <definedName name="I" localSheetId="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4" hidden="1">{"'Sheet1'!$A$4386:$N$4591"}</definedName>
    <definedName name="IAM" hidden="1">{"'Sheet1'!$A$4386:$N$4591"}</definedName>
    <definedName name="IB">INDEX(#REF!,MATCH(#REF!,#REF!,0))</definedName>
    <definedName name="IC" localSheetId="4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4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4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4">#REF!</definedName>
    <definedName name="INFRP">#REF!</definedName>
    <definedName name="INFRP1" localSheetId="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4">#REF!</definedName>
    <definedName name="internaluse">#REF!</definedName>
    <definedName name="IntFreeCred" localSheetId="4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4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4">#REF!</definedName>
    <definedName name="ISO1E220">#REF!</definedName>
    <definedName name="ISO1E500" localSheetId="4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4">#REF!</definedName>
    <definedName name="ITRY">#REF!</definedName>
    <definedName name="ITRY1">#REF!</definedName>
    <definedName name="j" localSheetId="4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4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4" hidden="1">#REF!</definedName>
    <definedName name="JDKSK" hidden="1">#REF!</definedName>
    <definedName name="JE">INDEX(#REF!,MATCH(#REF!,#REF!,0))</definedName>
    <definedName name="JEERATE" localSheetId="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4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4">#REF!</definedName>
    <definedName name="job" localSheetId="3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4">#REF!</definedName>
    <definedName name="JOINT">#REF!</definedName>
    <definedName name="Jointcutting">#REF!</definedName>
    <definedName name="JR_Line">#REF!</definedName>
    <definedName name="ju" localSheetId="4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4">#REF!</definedName>
    <definedName name="jv">#REF!</definedName>
    <definedName name="k" localSheetId="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4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4">#REF!</definedName>
    <definedName name="k1s">#REF!</definedName>
    <definedName name="K1V">#REF!</definedName>
    <definedName name="k1x">#REF!</definedName>
    <definedName name="k1y">#REF!</definedName>
    <definedName name="k2s" localSheetId="4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4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4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4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4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4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4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4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4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4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4">#REF!</definedName>
    <definedName name="l1x">#REF!</definedName>
    <definedName name="l1xx">#REF!</definedName>
    <definedName name="l2x" localSheetId="4">#REF!</definedName>
    <definedName name="l2x">#REF!</definedName>
    <definedName name="l2xx">#REF!</definedName>
    <definedName name="LA" localSheetId="4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4">#REF!</definedName>
    <definedName name="LACS">#REF!</definedName>
    <definedName name="LAK">'[63]Seoni to Lakhnadon Line'!$C$1:$C$65536</definedName>
    <definedName name="lakh" localSheetId="3">[41]dBase!$J$12</definedName>
    <definedName name="lakh">#REF!</definedName>
    <definedName name="lamda">#REF!</definedName>
    <definedName name="LAMP" localSheetId="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4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4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4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4">#REF!</definedName>
    <definedName name="LIRA">#REF!</definedName>
    <definedName name="LJ">INDEX(#REF!,MATCH(#REF!,#REF!,0))</definedName>
    <definedName name="lk" localSheetId="4" hidden="1">{#N/A,#N/A,FALSE,"CCTV"}</definedName>
    <definedName name="lk" hidden="1">{#N/A,#N/A,FALSE,"CCTV"}</definedName>
    <definedName name="lkalgk" localSheetId="4">#REF!</definedName>
    <definedName name="lkalgk">#REF!</definedName>
    <definedName name="lkdsndsfddf">#REF!</definedName>
    <definedName name="LKJ" localSheetId="4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4" hidden="1">{"form-D1",#N/A,FALSE,"FORM-D1";"form-D1_amt",#N/A,FALSE,"FORM-D1"}</definedName>
    <definedName name="LLLL" hidden="1">{"form-D1",#N/A,FALSE,"FORM-D1";"form-D1_amt",#N/A,FALSE,"FORM-D1"}</definedName>
    <definedName name="LM" localSheetId="4">INDEX(#REF!,MATCH(#REF!,#REF!,0))</definedName>
    <definedName name="LM">INDEX(#REF!,MATCH(#REF!,#REF!,0))</definedName>
    <definedName name="lmcaccp" localSheetId="4">#REF!</definedName>
    <definedName name="lmcaccp">#REF!</definedName>
    <definedName name="lmcecp" localSheetId="4">#REF!</definedName>
    <definedName name="lmcecp">#REF!</definedName>
    <definedName name="lmcmcc.1" localSheetId="4">#REF!</definedName>
    <definedName name="lmcmcc.1">#REF!</definedName>
    <definedName name="lmcmcc.2" localSheetId="4">#REF!</definedName>
    <definedName name="lmcmcc.2">#REF!</definedName>
    <definedName name="lmcmcc.3" localSheetId="4">#REF!</definedName>
    <definedName name="lmcmcc.3">#REF!</definedName>
    <definedName name="lmcmltsb" localSheetId="4">#REF!</definedName>
    <definedName name="lmcmltsb">#REF!</definedName>
    <definedName name="lmcmsb.ups" localSheetId="4">#REF!</definedName>
    <definedName name="lmcmsb.ups">#REF!</definedName>
    <definedName name="lmcsmsb.1" localSheetId="4">#REF!</definedName>
    <definedName name="lmcsmsb.1">#REF!</definedName>
    <definedName name="lmcsmsb.2" localSheetId="4">#REF!</definedName>
    <definedName name="lmcsmsb.2">#REF!</definedName>
    <definedName name="lmcsmsb.3" localSheetId="4">#REF!</definedName>
    <definedName name="lmcsmsb.3">#REF!</definedName>
    <definedName name="lmcsmsb.b" localSheetId="4">#REF!</definedName>
    <definedName name="lmcsmsb.b">#REF!</definedName>
    <definedName name="lmcsmsb.g" localSheetId="4">#REF!</definedName>
    <definedName name="lmcsmsb.g">#REF!</definedName>
    <definedName name="lmcsmsb.lab" localSheetId="4">#REF!</definedName>
    <definedName name="lmcsmsb.lab">#REF!</definedName>
    <definedName name="lmcsmsb.main" localSheetId="4">#REF!</definedName>
    <definedName name="lmcsmsb.main">#REF!</definedName>
    <definedName name="lmcsmsb.t" localSheetId="4">#REF!</definedName>
    <definedName name="lmcsmsb.t">#REF!</definedName>
    <definedName name="lmcsmsb.ups" localSheetId="4">#REF!</definedName>
    <definedName name="lmcsmsb.ups">#REF!</definedName>
    <definedName name="lmcup.1" localSheetId="4">#REF!</definedName>
    <definedName name="lmcup.1">#REF!</definedName>
    <definedName name="lmcup.2" localSheetId="4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4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4">#REF!</definedName>
    <definedName name="logoa">#REF!</definedName>
    <definedName name="lohari" localSheetId="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4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4">#REF!</definedName>
    <definedName name="LTswitchgear">#REF!</definedName>
    <definedName name="LTTrafo" localSheetId="4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4">#REF!</definedName>
    <definedName name="luckt">#REF!</definedName>
    <definedName name="LUMEN" localSheetId="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4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4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4">#REF!</definedName>
    <definedName name="M15_Cement">#REF!</definedName>
    <definedName name="M15_Metal20mm" localSheetId="4">#REF!</definedName>
    <definedName name="M15_Metal20mm">#REF!</definedName>
    <definedName name="M15_Sand" localSheetId="4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4">#REF!</definedName>
    <definedName name="m2_bop_f">#REF!</definedName>
    <definedName name="m2_bop_v" localSheetId="4">#REF!</definedName>
    <definedName name="m2_bop_v">#REF!</definedName>
    <definedName name="m2_bop_w" localSheetId="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4">#REF!</definedName>
    <definedName name="M20_cement">#REF!</definedName>
    <definedName name="M20_Metal20mm" localSheetId="4">#REF!</definedName>
    <definedName name="M20_Metal20mm">#REF!</definedName>
    <definedName name="M20_sand" localSheetId="4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4">#REF!</definedName>
    <definedName name="M25_cement">#REF!</definedName>
    <definedName name="M25_Metal20mm" localSheetId="4">#REF!</definedName>
    <definedName name="M25_Metal20mm">#REF!</definedName>
    <definedName name="M25_sand" localSheetId="4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4">#REF!</definedName>
    <definedName name="M2A_KPI">#REF!</definedName>
    <definedName name="M2A_KPI2" localSheetId="4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4">#REF!</definedName>
    <definedName name="m8_bop_f">#REF!</definedName>
    <definedName name="m8_bop_v" localSheetId="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4">#REF!</definedName>
    <definedName name="Ma_v">#REF!</definedName>
    <definedName name="MAACONSTN" localSheetId="4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4">#REF!</definedName>
    <definedName name="machinery">#REF!</definedName>
    <definedName name="MADHU" localSheetId="4">#REF!</definedName>
    <definedName name="MADHU">#REF!</definedName>
    <definedName name="madhu218" localSheetId="4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4">#REF!</definedName>
    <definedName name="MARGIN_MAN">#REF!</definedName>
    <definedName name="MARGIN_MAT" localSheetId="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4">#REF!</definedName>
    <definedName name="mason1">#REF!</definedName>
    <definedName name="mason2">#REF!</definedName>
    <definedName name="MASTER" localSheetId="4">#REF!</definedName>
    <definedName name="MASTER">#REF!</definedName>
    <definedName name="Mat_Percentage" localSheetId="4">#REF!</definedName>
    <definedName name="Mat_Percentage">#REF!</definedName>
    <definedName name="MAT_RATE_ENTRY">#REF!</definedName>
    <definedName name="MAT_SALE" localSheetId="4">#REF!</definedName>
    <definedName name="MAT_SALE">#REF!</definedName>
    <definedName name="MAT_SALE_FAC" localSheetId="4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4">#REF!</definedName>
    <definedName name="Material">#REF!</definedName>
    <definedName name="MatGSB">#REF!</definedName>
    <definedName name="MATHS" localSheetId="4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4">#REF!</definedName>
    <definedName name="MaxLegDownWard">#REF!</definedName>
    <definedName name="MaxLegShear" localSheetId="4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4">#REF!</definedName>
    <definedName name="Mb">#REF!</definedName>
    <definedName name="Mb_v" localSheetId="4">#REF!</definedName>
    <definedName name="Mb_v">#REF!</definedName>
    <definedName name="mbn">'[53]UNP-NCW '!$F$17</definedName>
    <definedName name="Mc" localSheetId="4">#REF!</definedName>
    <definedName name="Mc">#REF!</definedName>
    <definedName name="MC_ABB_Imp" localSheetId="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4">#REF!</definedName>
    <definedName name="Mc_v">#REF!</definedName>
    <definedName name="MC_YENHW" localSheetId="4">#REF!</definedName>
    <definedName name="MC_YENHW">#REF!</definedName>
    <definedName name="MC_YENSW" localSheetId="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4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4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4">#REF!</definedName>
    <definedName name="mdp">#REF!</definedName>
    <definedName name="MDVT_ABSP" localSheetId="4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4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4">#REF!</definedName>
    <definedName name="METTL">#REF!</definedName>
    <definedName name="mf" localSheetId="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4">INDEX(#REF!,MATCH(#REF!,#REF!,0))</definedName>
    <definedName name="MG">INDEX(#REF!,MATCH(#REF!,#REF!,0))</definedName>
    <definedName name="Mg_v">#REF!</definedName>
    <definedName name="MH" localSheetId="4">INDEX(#REF!,MATCH(#REF!,#REF!,0))</definedName>
    <definedName name="MH">INDEX(#REF!,MATCH(#REF!,#REF!,0))</definedName>
    <definedName name="Mh_v">#REF!</definedName>
    <definedName name="Mhpc" localSheetId="4">#REF!:#REF!</definedName>
    <definedName name="Mhpc">#REF!:#REF!</definedName>
    <definedName name="Mhpipd" localSheetId="4">#REF!</definedName>
    <definedName name="Mhpipd">#REF!</definedName>
    <definedName name="Mhps" localSheetId="4">#REF!</definedName>
    <definedName name="Mhps">#REF!</definedName>
    <definedName name="MHR" localSheetId="4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4">#REF!</definedName>
    <definedName name="MinSM">#REF!</definedName>
    <definedName name="MinSNo">#REF!</definedName>
    <definedName name="Mipc" localSheetId="4">#REF!:#REF!</definedName>
    <definedName name="Mipc">#REF!:#REF!</definedName>
    <definedName name="Mips" localSheetId="4">#REF!</definedName>
    <definedName name="Mips">#REF!</definedName>
    <definedName name="misc" localSheetId="4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4">#REF!</definedName>
    <definedName name="MKP">#REF!</definedName>
    <definedName name="ML" localSheetId="4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4">#REF!</definedName>
    <definedName name="Mlpc">#REF!</definedName>
    <definedName name="Mlpd" localSheetId="4">#REF!</definedName>
    <definedName name="Mlpd">#REF!</definedName>
    <definedName name="Mlps" localSheetId="4">#REF!</definedName>
    <definedName name="Mlps">#REF!</definedName>
    <definedName name="mlt">#REF!</definedName>
    <definedName name="mltf">#REF!</definedName>
    <definedName name="MM" localSheetId="4">#REF!</definedName>
    <definedName name="MM">#REF!</definedName>
    <definedName name="MM3_to_M3">0.000001</definedName>
    <definedName name="mmm" localSheetId="4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4">#REF!</definedName>
    <definedName name="modvat">#REF!</definedName>
    <definedName name="Mone">#REF!</definedName>
    <definedName name="MONEY" localSheetId="4">#REF!,#REF!</definedName>
    <definedName name="MONEY">#REF!,#REF!</definedName>
    <definedName name="monomode" localSheetId="4">#REF!</definedName>
    <definedName name="monomode">#REF!</definedName>
    <definedName name="Montagesatz">#REF!</definedName>
    <definedName name="Month" localSheetId="4">#REF!</definedName>
    <definedName name="Month">#REF!</definedName>
    <definedName name="Monthly" localSheetId="4">#REF!</definedName>
    <definedName name="Monthly">#REF!</definedName>
    <definedName name="monthprogress">'[65]Progress Graphs'!$A$4:$K$23</definedName>
    <definedName name="months">#REF!</definedName>
    <definedName name="MonthYear" localSheetId="3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4" hidden="1">{#N/A,#N/A,FALSE,"CCTV"}</definedName>
    <definedName name="MP" hidden="1">{#N/A,#N/A,FALSE,"CCTV"}</definedName>
    <definedName name="MPbackup">#REF!</definedName>
    <definedName name="MPMOB" localSheetId="4">#REF!</definedName>
    <definedName name="MPMOB">#REF!</definedName>
    <definedName name="MPwr_Percent" localSheetId="4">#REF!</definedName>
    <definedName name="MPwr_Percent">#REF!</definedName>
    <definedName name="Mpwr_Sales" localSheetId="4">#REF!</definedName>
    <definedName name="Mpwr_Sales">#REF!</definedName>
    <definedName name="ms">125</definedName>
    <definedName name="MS.NO" localSheetId="4">#REF!</definedName>
    <definedName name="MS.NO">#REF!</definedName>
    <definedName name="MS_Royalty" localSheetId="4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4">#REF!</definedName>
    <definedName name="mu">#REF!</definedName>
    <definedName name="mue" localSheetId="4">#REF!</definedName>
    <definedName name="mue">#REF!</definedName>
    <definedName name="mugab" localSheetId="4">#REF!</definedName>
    <definedName name="mugab">#REF!</definedName>
    <definedName name="mullootubnomtau" localSheetId="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4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4">#REF!</definedName>
    <definedName name="ngl4tank">#REF!</definedName>
    <definedName name="NH">INDEX(#REF!,MATCH(#REF!,#REF!,0))</definedName>
    <definedName name="NHGG" localSheetId="4">#REF!</definedName>
    <definedName name="NHGG">#REF!</definedName>
    <definedName name="NHJK">#REF!</definedName>
    <definedName name="NHP">#REF!</definedName>
    <definedName name="NI" localSheetId="4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4">#REF!</definedName>
    <definedName name="NJPE">#REF!</definedName>
    <definedName name="njspsche" localSheetId="4">#REF!</definedName>
    <definedName name="njspsche">#REF!</definedName>
    <definedName name="NK">INDEX(#REF!,MATCH(#REF!,#REF!,0))</definedName>
    <definedName name="NL">INDEX(#REF!,MATCH(#REF!,#REF!,0))</definedName>
    <definedName name="nlg_cd" localSheetId="4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4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4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4">#REF!</definedName>
    <definedName name="nuclisopgw">#REF!</definedName>
    <definedName name="num" localSheetId="4">#REF!</definedName>
    <definedName name="num">#REF!</definedName>
    <definedName name="Num_Pmt_Per_Year">#REF!</definedName>
    <definedName name="num2text" localSheetId="3">[41]dBase!$A$3:$I$1005</definedName>
    <definedName name="num2text">#REF!</definedName>
    <definedName name="Number" localSheetId="4">#REF!</definedName>
    <definedName name="Number">#REF!</definedName>
    <definedName name="Number_of_Payments">#N/A</definedName>
    <definedName name="numfib" localSheetId="4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4">#REF!</definedName>
    <definedName name="OFFICE_LIGHTING">#REF!</definedName>
    <definedName name="OG">INDEX(#REF!,MATCH(#REF!,#REF!,0))</definedName>
    <definedName name="OGPTL">#REF!</definedName>
    <definedName name="oh" localSheetId="4">#REF!</definedName>
    <definedName name="oh">#REF!</definedName>
    <definedName name="OH_Markup">#REF!</definedName>
    <definedName name="oh_work_sept" localSheetId="4">#REF!</definedName>
    <definedName name="oh_work_sept">#REF!</definedName>
    <definedName name="OH_workings_sept" localSheetId="4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4">#REF!</definedName>
    <definedName name="OO">#REF!</definedName>
    <definedName name="oper">#REF!</definedName>
    <definedName name="oper.">#REF!</definedName>
    <definedName name="operator">#REF!</definedName>
    <definedName name="OPEX_BGT7" localSheetId="4">#REF!</definedName>
    <definedName name="OPEX_BGT7">#REF!</definedName>
    <definedName name="OPEX_M7" localSheetId="4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4">#REF!</definedName>
    <definedName name="ord_musd">#REF!</definedName>
    <definedName name="order">#REF!</definedName>
    <definedName name="orderbacklog" localSheetId="4">#REF!</definedName>
    <definedName name="orderbacklog">#REF!</definedName>
    <definedName name="orderbooked98" localSheetId="4">#REF!</definedName>
    <definedName name="orderbooked98">#REF!</definedName>
    <definedName name="ORDERSTATUS" localSheetId="4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4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4">#REF!</definedName>
    <definedName name="Overall_Mobi_Mth">#REF!</definedName>
    <definedName name="Overall_Mth" localSheetId="4">#REF!</definedName>
    <definedName name="Overall_Mth">#REF!</definedName>
    <definedName name="OVERHEADS">#REF!</definedName>
    <definedName name="p" localSheetId="4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4">#REF!</definedName>
    <definedName name="P_1">#REF!</definedName>
    <definedName name="P_3" localSheetId="4">#REF!</definedName>
    <definedName name="P_3">#REF!</definedName>
    <definedName name="P_4" localSheetId="4">#REF!</definedName>
    <definedName name="P_4">#REF!</definedName>
    <definedName name="P_5" localSheetId="4">#REF!</definedName>
    <definedName name="P_5">#REF!</definedName>
    <definedName name="P_6DSO" localSheetId="4">#REF!</definedName>
    <definedName name="P_6DSO">#REF!</definedName>
    <definedName name="P_7DPO" localSheetId="4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4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4">#REF!</definedName>
    <definedName name="p1amf">#REF!</definedName>
    <definedName name="p1apcc1" localSheetId="4">#REF!</definedName>
    <definedName name="p1apcc1">#REF!</definedName>
    <definedName name="p1apcc2">#REF!</definedName>
    <definedName name="p1apcc3">#REF!</definedName>
    <definedName name="p1clp">#REF!</definedName>
    <definedName name="p1csp" localSheetId="4">#REF!</definedName>
    <definedName name="p1csp">#REF!</definedName>
    <definedName name="p1db" localSheetId="4">#REF!</definedName>
    <definedName name="p1db">#REF!</definedName>
    <definedName name="p1ht" localSheetId="4">#REF!</definedName>
    <definedName name="p1ht">#REF!</definedName>
    <definedName name="p1ksk" localSheetId="4">#REF!</definedName>
    <definedName name="p1ksk">#REF!</definedName>
    <definedName name="p1ldb" localSheetId="4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4">#REF!</definedName>
    <definedName name="p1mltp">#REF!</definedName>
    <definedName name="p1mpcc" localSheetId="4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4">#REF!</definedName>
    <definedName name="p1ssb1">#REF!</definedName>
    <definedName name="p1ssb2" localSheetId="4">#REF!</definedName>
    <definedName name="p1ssb2">#REF!</definedName>
    <definedName name="p1upsdb" localSheetId="4">#REF!</definedName>
    <definedName name="p1upsdb">#REF!</definedName>
    <definedName name="p1upsip" localSheetId="4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4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4">#REF!</definedName>
    <definedName name="Pancham">#REF!</definedName>
    <definedName name="PANDU">#REF!</definedName>
    <definedName name="pandu123">#REF!</definedName>
    <definedName name="Pane2" localSheetId="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4" hidden="1">{"form-D1",#N/A,FALSE,"FORM-D1";"form-D1_amt",#N/A,FALSE,"FORM-D1"}</definedName>
    <definedName name="pare" hidden="1">{"form-D1",#N/A,FALSE,"FORM-D1";"form-D1_amt",#N/A,FALSE,"FORM-D1"}</definedName>
    <definedName name="part" localSheetId="4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4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4">#REF!</definedName>
    <definedName name="pc">#REF!</definedName>
    <definedName name="PC_ED" localSheetId="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4">#REF!</definedName>
    <definedName name="Personal">#REF!</definedName>
    <definedName name="PERSONAL_TRANSPORT">#REF!</definedName>
    <definedName name="PERSONNEL">#REF!</definedName>
    <definedName name="PF" localSheetId="4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4">#REF!</definedName>
    <definedName name="pIaccp">#REF!</definedName>
    <definedName name="picture_1">"Picture 1"</definedName>
    <definedName name="pIecp" localSheetId="4">#REF!</definedName>
    <definedName name="pIecp">#REF!</definedName>
    <definedName name="Pilduration">#REF!</definedName>
    <definedName name="Pile">#REF!</definedName>
    <definedName name="pile_no" localSheetId="4">#REF!</definedName>
    <definedName name="pile_no">#REF!</definedName>
    <definedName name="Piling">#REF!</definedName>
    <definedName name="pImcc.1" localSheetId="4">#REF!</definedName>
    <definedName name="pImcc.1">#REF!</definedName>
    <definedName name="pImcc.2" localSheetId="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4">#REF!</definedName>
    <definedName name="PIPELENGTH">#REF!</definedName>
    <definedName name="pIsmsb.1" localSheetId="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4">#REF!</definedName>
    <definedName name="PLC">#REF!</definedName>
    <definedName name="PLCC">#REF!</definedName>
    <definedName name="PLCUM" localSheetId="4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4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4">#REF!</definedName>
    <definedName name="POLU">#REF!</definedName>
    <definedName name="PONDA" localSheetId="4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4">#REF!</definedName>
    <definedName name="POST">#REF!</definedName>
    <definedName name="pound" localSheetId="4">#REF!</definedName>
    <definedName name="pound">#REF!</definedName>
    <definedName name="POUNDS" localSheetId="4">#REF!</definedName>
    <definedName name="POUNDS">#REF!</definedName>
    <definedName name="pp" localSheetId="4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4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4">#REF!</definedName>
    <definedName name="PR_BO">#REF!</definedName>
    <definedName name="PR_IDTO" localSheetId="4">#REF!</definedName>
    <definedName name="PR_IDTO">#REF!</definedName>
    <definedName name="PR_IMP" localSheetId="4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4">#REF!</definedName>
    <definedName name="PRADETAILS">#REF!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4">#REF!</definedName>
    <definedName name="prashant">#REF!</definedName>
    <definedName name="pratap" localSheetId="4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4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4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4">#REF!</definedName>
    <definedName name="Print_Area_1">#REF!</definedName>
    <definedName name="Print_Area_2" localSheetId="4">#REF!</definedName>
    <definedName name="Print_Area_2">#REF!</definedName>
    <definedName name="Print_Area_3" localSheetId="4">#REF!</definedName>
    <definedName name="Print_Area_3">#REF!</definedName>
    <definedName name="Print_Area_MI" localSheetId="4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4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4">'Location Summary'!$2:$3</definedName>
    <definedName name="_xlnm.Print_Titles" localSheetId="3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4">#REF!,#REF!</definedName>
    <definedName name="Print_Titles_1">#REF!,#REF!</definedName>
    <definedName name="Print_Titles_2" localSheetId="4">#REF!</definedName>
    <definedName name="Print_Titles_2">#REF!</definedName>
    <definedName name="PRINT_TITLES_MI" localSheetId="4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4">#REF!</definedName>
    <definedName name="ProjectLocation">#REF!</definedName>
    <definedName name="ProjectNumber" localSheetId="4">#REF!</definedName>
    <definedName name="ProjectNumber">#REF!</definedName>
    <definedName name="Projects">#REF!</definedName>
    <definedName name="ProjectSubtitle" localSheetId="4">#REF!</definedName>
    <definedName name="ProjectSubtitle">#REF!</definedName>
    <definedName name="ProjectTitle" localSheetId="4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4">#REF!</definedName>
    <definedName name="PROVISIONS">#REF!</definedName>
    <definedName name="ps" localSheetId="4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4">#REF!</definedName>
    <definedName name="PublicDocuments">#REF!</definedName>
    <definedName name="PUMP">#REF!</definedName>
    <definedName name="PUMPS_DATA" localSheetId="4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4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4" hidden="1">{"'PROFITABILITY'!$A$1:$F$45"}</definedName>
    <definedName name="qw" hidden="1">{"'PROFITABILITY'!$A$1:$F$45"}</definedName>
    <definedName name="qwer" localSheetId="4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4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4">#REF!</definedName>
    <definedName name="raghu">#REF!</definedName>
    <definedName name="rahee" localSheetId="4" hidden="1">{#N/A,#N/A,FALSE,"CCTV"}</definedName>
    <definedName name="rahee" hidden="1">{#N/A,#N/A,FALSE,"CCTV"}</definedName>
    <definedName name="rahee2" localSheetId="4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4">#REF!</definedName>
    <definedName name="RawAgencyPrice">#REF!</definedName>
    <definedName name="RawData">#REF!</definedName>
    <definedName name="RAWRAR">#REF!</definedName>
    <definedName name="RB" localSheetId="4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4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4">#REF!</definedName>
    <definedName name="_xlnm.Recorder">#REF!</definedName>
    <definedName name="RECOUT">#N/A</definedName>
    <definedName name="rect_4_415">#REF!</definedName>
    <definedName name="RED" localSheetId="4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4">#REF!</definedName>
    <definedName name="REN">#REF!</definedName>
    <definedName name="RENT" localSheetId="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4" hidden="1">{#N/A,#N/A,FALSE,"CCTV"}</definedName>
    <definedName name="RF" hidden="1">{#N/A,#N/A,FALSE,"CCTV"}</definedName>
    <definedName name="RFGF">#REF!</definedName>
    <definedName name="RFP003A" localSheetId="4">#REF!</definedName>
    <definedName name="RFP003A">#REF!</definedName>
    <definedName name="RFP003B" localSheetId="4">#REF!</definedName>
    <definedName name="RFP003B">#REF!</definedName>
    <definedName name="RFP003C" localSheetId="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4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4">#REF!</definedName>
    <definedName name="risk">#REF!</definedName>
    <definedName name="risk1" localSheetId="4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4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4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4">#REF!</definedName>
    <definedName name="rmcaccp">#REF!</definedName>
    <definedName name="rmcecp" localSheetId="4">#REF!</definedName>
    <definedName name="rmcecp">#REF!</definedName>
    <definedName name="rmcmcc.1" localSheetId="4">#REF!</definedName>
    <definedName name="rmcmcc.1">#REF!</definedName>
    <definedName name="rmcmcc.2" localSheetId="4">#REF!</definedName>
    <definedName name="rmcmcc.2">#REF!</definedName>
    <definedName name="rmcmcc.3" localSheetId="4">#REF!</definedName>
    <definedName name="rmcmcc.3">#REF!</definedName>
    <definedName name="rmcmltsb" localSheetId="4">#REF!</definedName>
    <definedName name="rmcmltsb">#REF!</definedName>
    <definedName name="rmcmsb.ups" localSheetId="4">#REF!</definedName>
    <definedName name="rmcmsb.ups">#REF!</definedName>
    <definedName name="rmcsmsb.1" localSheetId="4">#REF!</definedName>
    <definedName name="rmcsmsb.1">#REF!</definedName>
    <definedName name="rmcsmsb.2" localSheetId="4">#REF!</definedName>
    <definedName name="rmcsmsb.2">#REF!</definedName>
    <definedName name="rmcsmsb.3" localSheetId="4">#REF!</definedName>
    <definedName name="rmcsmsb.3">#REF!</definedName>
    <definedName name="rmcsmsb.b" localSheetId="4">#REF!</definedName>
    <definedName name="rmcsmsb.b">#REF!</definedName>
    <definedName name="rmcsmsb.g" localSheetId="4">#REF!</definedName>
    <definedName name="rmcsmsb.g">#REF!</definedName>
    <definedName name="rmcsmsb.lab" localSheetId="4">#REF!</definedName>
    <definedName name="rmcsmsb.lab">#REF!</definedName>
    <definedName name="rmcsmsb.main" localSheetId="4">#REF!</definedName>
    <definedName name="rmcsmsb.main">#REF!</definedName>
    <definedName name="rmcsmsb.t" localSheetId="4">#REF!</definedName>
    <definedName name="rmcsmsb.t">#REF!</definedName>
    <definedName name="rmcsmsb.ups" localSheetId="4">#REF!</definedName>
    <definedName name="rmcsmsb.ups">#REF!</definedName>
    <definedName name="rmcup.1" localSheetId="4">#REF!</definedName>
    <definedName name="rmcup.1">#REF!</definedName>
    <definedName name="rmcup.2" localSheetId="4">#REF!</definedName>
    <definedName name="rmcup.2">#REF!</definedName>
    <definedName name="robot">#REF!</definedName>
    <definedName name="ROCE.R">#REF!</definedName>
    <definedName name="rockexcavation">#REF!</definedName>
    <definedName name="RODS" localSheetId="4">#REF!</definedName>
    <definedName name="RODS">#REF!</definedName>
    <definedName name="roller8MT">#REF!</definedName>
    <definedName name="ROLLFCCASHFLOW" localSheetId="4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4">#REF!</definedName>
    <definedName name="rousd">#REF!</definedName>
    <definedName name="rout_t" localSheetId="4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4">#REF!</definedName>
    <definedName name="s">#REF!</definedName>
    <definedName name="s.f">#REF!</definedName>
    <definedName name="s_1" localSheetId="4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4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4">#REF!</definedName>
    <definedName name="Sand_124">#REF!</definedName>
    <definedName name="sand124">#REF!</definedName>
    <definedName name="Sandeep">#REF!</definedName>
    <definedName name="SandI_Mobi_Mth" localSheetId="4">#REF!</definedName>
    <definedName name="SandI_Mobi_Mth">#REF!</definedName>
    <definedName name="SandI_Mth" localSheetId="4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4">INDEX(#REF!,MATCH(#REF!,#REF!,0))</definedName>
    <definedName name="SB">INDEX(#REF!,MATCH(#REF!,#REF!,0))</definedName>
    <definedName name="SC" localSheetId="4">INDEX(#REF!,MATCH(#REF!,#REF!,0))</definedName>
    <definedName name="SC">INDEX(#REF!,MATCH(#REF!,#REF!,0))</definedName>
    <definedName name="SC_Ave" localSheetId="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4" hidden="1">{"form-D1",#N/A,FALSE,"FORM-D1";"form-D1_amt",#N/A,FALSE,"FORM-D1"}</definedName>
    <definedName name="schedule" hidden="1">{"form-D1",#N/A,FALSE,"FORM-D1";"form-D1_amt",#N/A,FALSE,"FORM-D1"}</definedName>
    <definedName name="SCHEDULE_NO._1" localSheetId="4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4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4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4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4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4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4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4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4">#REF!</definedName>
    <definedName name="SIZE">#REF!</definedName>
    <definedName name="SIZEC" localSheetId="4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4">#REF!</definedName>
    <definedName name="slope">#REF!</definedName>
    <definedName name="SlopeAreaQ">#REF!</definedName>
    <definedName name="SlopeAreaQ___0">#REF!</definedName>
    <definedName name="SM" localSheetId="4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4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4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4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4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4">#REF!</definedName>
    <definedName name="SPAR">#REF!</definedName>
    <definedName name="Spare" localSheetId="4" hidden="1">{"'PROFITABILITY'!$A$1:$F$45"}</definedName>
    <definedName name="Spare" hidden="1">{"'PROFITABILITY'!$A$1:$F$45"}</definedName>
    <definedName name="SPAVER">#REF!</definedName>
    <definedName name="SPEC_13" localSheetId="4">#REF!</definedName>
    <definedName name="SPEC_13">#REF!</definedName>
    <definedName name="SPEC_14" localSheetId="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4">#REF!</definedName>
    <definedName name="spfactor">#REF!</definedName>
    <definedName name="Spl">#REF!</definedName>
    <definedName name="spp">#REF!</definedName>
    <definedName name="SPRINK">#REF!</definedName>
    <definedName name="SPTNP" localSheetId="4">#REF!</definedName>
    <definedName name="SPTNP" localSheetId="3">[2]TABLES!$E$4:$F$57</definedName>
    <definedName name="SPTNP">#REF!</definedName>
    <definedName name="SQRT__1___0.6___1.0" localSheetId="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4">#REF!</definedName>
    <definedName name="SS400_401">#REF!</definedName>
    <definedName name="ss401_404" localSheetId="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4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4">#REF!</definedName>
    <definedName name="sssssssss">#REF!</definedName>
    <definedName name="SSSSSSSSSSSS" localSheetId="4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4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4">#REF!</definedName>
    <definedName name="STAFF">#REF!</definedName>
    <definedName name="Staff_and_IDL_Ave" localSheetId="4">#REF!</definedName>
    <definedName name="Staff_and_IDL_Ave">#REF!</definedName>
    <definedName name="StaffGrades">#REF!</definedName>
    <definedName name="Stage" localSheetId="4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4">#REF!</definedName>
    <definedName name="STATEMENT_1">#REF!</definedName>
    <definedName name="STATEMENT_2" localSheetId="4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4">IFERROR(LEFT(INDEX(#REF!,MATCH(#REF!,#REF!,0)),3),"")</definedName>
    <definedName name="STR">IFERROR(LEFT(INDEX(#REF!,MATCH(#REF!,#REF!,0)),3),"")</definedName>
    <definedName name="Str.1" localSheetId="4" hidden="1">{"form-D1",#N/A,FALSE,"FORM-D1";"form-D1_amt",#N/A,FALSE,"FORM-D1"}</definedName>
    <definedName name="Str.1" hidden="1">{"form-D1",#N/A,FALSE,"FORM-D1";"form-D1_amt",#N/A,FALSE,"FORM-D1"}</definedName>
    <definedName name="Stretch" localSheetId="4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4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4">#REF!</definedName>
    <definedName name="Supplies">#REF!</definedName>
    <definedName name="supply" localSheetId="4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4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4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4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4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4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4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4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4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4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4">#REF!</definedName>
    <definedName name="total">#REF!</definedName>
    <definedName name="TOTAL_1">"#REF!"</definedName>
    <definedName name="Total_EB" localSheetId="4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4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4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4">#REF!</definedName>
    <definedName name="TRAV">#REF!</definedName>
    <definedName name="TRAY_DATA" localSheetId="4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4">#REF!</definedName>
    <definedName name="try">#REF!</definedName>
    <definedName name="ts" localSheetId="4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4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4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4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4">#REF!</definedName>
    <definedName name="UKP">#REF!</definedName>
    <definedName name="UMD">'[54]except wiring'!#REF!</definedName>
    <definedName name="un">#REF!</definedName>
    <definedName name="UNION">#REF!</definedName>
    <definedName name="Unit" localSheetId="4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4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3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4">#REF!</definedName>
    <definedName name="Vend">#REF!</definedName>
    <definedName name="venu">150</definedName>
    <definedName name="vertical_col_and_corner_walls" localSheetId="4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4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4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4">#REF!</definedName>
    <definedName name="water">#REF!</definedName>
    <definedName name="water_funds" localSheetId="4" hidden="1">{"'Sheet1'!$A$4386:$N$4591"}</definedName>
    <definedName name="water_funds" hidden="1">{"'Sheet1'!$A$4386:$N$4591"}</definedName>
    <definedName name="Wc">#REF!</definedName>
    <definedName name="wcl" localSheetId="4">#REF!</definedName>
    <definedName name="wcl">#REF!</definedName>
    <definedName name="WCT" localSheetId="4">#REF!</definedName>
    <definedName name="WCT">#REF!</definedName>
    <definedName name="wds" localSheetId="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4" hidden="1">{#N/A,#N/A,FALSE,"CCTV"}</definedName>
    <definedName name="WE" hidden="1">{#N/A,#N/A,FALSE,"CCTV"}</definedName>
    <definedName name="WEIGHT_FACTORS_drums" localSheetId="4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4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4">#REF!</definedName>
    <definedName name="werw">#REF!</definedName>
    <definedName name="werwer" localSheetId="4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4">#REF!</definedName>
    <definedName name="Winform">#REF!</definedName>
    <definedName name="wkarea">#REF!</definedName>
    <definedName name="WKS">#REF!</definedName>
    <definedName name="wktable">#REF!</definedName>
    <definedName name="WLP" localSheetId="4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4">#REF!</definedName>
    <definedName name="WOL">#REF!</definedName>
    <definedName name="women">#REF!</definedName>
    <definedName name="word">#REF!</definedName>
    <definedName name="wordings" localSheetId="4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4">#REF!</definedName>
    <definedName name="WORKING_BGT2">#REF!</definedName>
    <definedName name="WorkingDays">#REF!</definedName>
    <definedName name="WP" localSheetId="4">#REF!</definedName>
    <definedName name="WP">#REF!</definedName>
    <definedName name="WPR">#REF!</definedName>
    <definedName name="WQEW">#REF!</definedName>
    <definedName name="wqewe">[27]GWC!#REF!</definedName>
    <definedName name="wqwqe" localSheetId="4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4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4" hidden="1">{"Execavation",#N/A,FALSE,"furniture (employer)"}</definedName>
    <definedName name="wrn.abc." hidden="1">{"Execavation",#N/A,FALSE,"furniture (employer)"}</definedName>
    <definedName name="wrn.BM." localSheetId="4" hidden="1">{#N/A,#N/A,FALSE,"CCTV"}</definedName>
    <definedName name="wrn.BM." hidden="1">{#N/A,#N/A,FALSE,"CCTV"}</definedName>
    <definedName name="wrn.budget." localSheetId="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4" hidden="1">{#N/A,#N/A,TRUE,"GW-Cond";#N/A,#N/A,TRUE,"HW"}</definedName>
    <definedName name="wrn.Co." hidden="1">{#N/A,#N/A,TRUE,"GW-Cond";#N/A,#N/A,TRUE,"HW"}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4" hidden="1">{"PLANNING",#N/A,FALSE,"A"}</definedName>
    <definedName name="wrn.PLANNING." hidden="1">{"PLANNING",#N/A,FALSE,"A"}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4" hidden="1">{#N/A,#N/A,FALSE,"DATA D.I.";#N/A,#N/A,FALSE,"DATA C.I."}</definedName>
    <definedName name="wrn.Test._.Report." hidden="1">{#N/A,#N/A,FALSE,"DATA D.I.";#N/A,#N/A,FALSE,"DATA C.I."}</definedName>
    <definedName name="wrn.WEEKLY." localSheetId="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4">#REF!</definedName>
    <definedName name="WT">#REF!</definedName>
    <definedName name="wt.m">#REF!</definedName>
    <definedName name="Wtan1">#REF!</definedName>
    <definedName name="wu">#REF!</definedName>
    <definedName name="ww" localSheetId="4">#REF!</definedName>
    <definedName name="ww">#REF!</definedName>
    <definedName name="www" localSheetId="4">#REF!</definedName>
    <definedName name="www">#REF!</definedName>
    <definedName name="wwww" hidden="1">#REF!</definedName>
    <definedName name="x" localSheetId="4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4" hidden="1">#REF!</definedName>
    <definedName name="XRefCopy1" hidden="1">#REF!</definedName>
    <definedName name="XRefCopy10" localSheetId="4" hidden="1">#REF!</definedName>
    <definedName name="XRefCopy10" hidden="1">#REF!</definedName>
    <definedName name="XRefCopy10Row" localSheetId="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4" hidden="1">#REF!</definedName>
    <definedName name="XRefPaste10" hidden="1">#REF!</definedName>
    <definedName name="XRefPaste10Row" localSheetId="4" hidden="1">#REF!</definedName>
    <definedName name="XRefPaste10Row" hidden="1">#REF!</definedName>
    <definedName name="XRefPaste11" localSheetId="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4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4">#REF!</definedName>
    <definedName name="Yen">#REF!</definedName>
    <definedName name="yes">#REF!</definedName>
    <definedName name="YG">#REF!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4">#REF!</definedName>
    <definedName name="yy">#REF!</definedName>
    <definedName name="yyy" localSheetId="4" hidden="1">{"'PROFITABILITY'!$A$1:$F$45"}</definedName>
    <definedName name="yyy" hidden="1">{"'PROFITABILITY'!$A$1:$F$45"}</definedName>
    <definedName name="yyy1" localSheetId="4" hidden="1">{"'PROFITABILITY'!$A$1:$F$45"}</definedName>
    <definedName name="yyy1" hidden="1">{"'PROFITABILITY'!$A$1:$F$45"}</definedName>
    <definedName name="yyyyyyyyyyy">#REF!</definedName>
    <definedName name="z" localSheetId="4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4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4">#REF!</definedName>
    <definedName name="간경1">#REF!</definedName>
    <definedName name="간경2" localSheetId="4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4">#REF!,#REF!,#REF!</definedName>
    <definedName name="관급">#REF!,#REF!,#REF!</definedName>
    <definedName name="구분" localSheetId="4">#REF!</definedName>
    <definedName name="구분">#REF!</definedName>
    <definedName name="기계" localSheetId="4">#REF!</definedName>
    <definedName name="기계">#REF!</definedName>
    <definedName name="기타" localSheetId="4">#REF!</definedName>
    <definedName name="기타">#REF!</definedName>
    <definedName name="ㄷ1">#REF!</definedName>
    <definedName name="단가비교">#N/A</definedName>
    <definedName name="단가비교표" localSheetId="4">#REF!,#REF!</definedName>
    <definedName name="단가비교표">#REF!,#REF!</definedName>
    <definedName name="도면외주" localSheetId="4" hidden="1">#REF!</definedName>
    <definedName name="도면외주" hidden="1">#REF!</definedName>
    <definedName name="도면용역비" localSheetId="4" hidden="1">#REF!</definedName>
    <definedName name="도면용역비" hidden="1">#REF!</definedName>
    <definedName name="리리리" localSheetId="4">#REF!,#REF!,#REF!</definedName>
    <definedName name="리리리">#REF!,#REF!,#REF!</definedName>
    <definedName name="ㅁ1" localSheetId="4">#REF!</definedName>
    <definedName name="ㅁ1">#REF!</definedName>
    <definedName name="버티">#N/A</definedName>
    <definedName name="부대공사" localSheetId="4" hidden="1">#REF!</definedName>
    <definedName name="부대공사" hidden="1">#REF!</definedName>
    <definedName name="사외" localSheetId="4">#REF!</definedName>
    <definedName name="사외">#REF!</definedName>
    <definedName name="사진" localSheetId="4">#REF!</definedName>
    <definedName name="사진">#REF!</definedName>
    <definedName name="소모비">#REF!</definedName>
    <definedName name="ㅇ191">#REF!</definedName>
    <definedName name="약수">#N/A</definedName>
    <definedName name="원가" localSheetId="4">#REF!</definedName>
    <definedName name="원가">#REF!</definedName>
    <definedName name="월별영업" localSheetId="4">#REF!</definedName>
    <definedName name="월별영업">#REF!</definedName>
    <definedName name="인원" localSheetId="4">#REF!</definedName>
    <definedName name="인원">#REF!</definedName>
    <definedName name="일위" localSheetId="4">#REF!,#REF!</definedName>
    <definedName name="일위">#REF!,#REF!</definedName>
    <definedName name="임용태">#N/A</definedName>
    <definedName name="작업계획" localSheetId="4">#REF!</definedName>
    <definedName name="작업계획">#REF!</definedName>
    <definedName name="전" localSheetId="4">#REF!</definedName>
    <definedName name="전">#REF!</definedName>
    <definedName name="전계장금액" localSheetId="4" hidden="1">#REF!</definedName>
    <definedName name="전계장금액" hidden="1">#REF!</definedName>
    <definedName name="전기계장">#REF!</definedName>
    <definedName name="전체" localSheetId="4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4" hidden="1">{"'장비'!$A$3:$M$12"}</definedName>
    <definedName name="토목변경" hidden="1">{"'장비'!$A$3:$M$12"}</definedName>
    <definedName name="토목실행예산" localSheetId="4" hidden="1">{"'장비'!$A$3:$M$12"}</definedName>
    <definedName name="토목실행예산" hidden="1">{"'장비'!$A$3:$M$12"}</definedName>
    <definedName name="토목조정분" localSheetId="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4">#REF!</definedName>
    <definedName name="후_담당간사에게_제출한다.">#REF!</definedName>
    <definedName name="ㅣ814" localSheetId="4">#REF!</definedName>
    <definedName name="ㅣ814">#REF!</definedName>
    <definedName name="ㅣ833" localSheetId="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05" i="94" l="1"/>
  <c r="AB205" i="94"/>
  <c r="Y205" i="94"/>
  <c r="M205" i="94"/>
  <c r="J205" i="94"/>
  <c r="G205" i="94"/>
  <c r="AE204" i="94"/>
  <c r="AB204" i="94"/>
  <c r="Y204" i="94"/>
  <c r="M204" i="94"/>
  <c r="J204" i="94"/>
  <c r="G204" i="94"/>
  <c r="AE203" i="94"/>
  <c r="AB203" i="94"/>
  <c r="Y203" i="94"/>
  <c r="M203" i="94"/>
  <c r="J203" i="94"/>
  <c r="G203" i="94"/>
  <c r="AE202" i="94"/>
  <c r="AB202" i="94"/>
  <c r="Y202" i="94"/>
  <c r="M202" i="94"/>
  <c r="J202" i="94"/>
  <c r="G202" i="94"/>
  <c r="AE201" i="94"/>
  <c r="AB201" i="94"/>
  <c r="Y201" i="94"/>
  <c r="M201" i="94"/>
  <c r="J201" i="94"/>
  <c r="G201" i="94"/>
  <c r="AE200" i="94"/>
  <c r="AB200" i="94"/>
  <c r="Y200" i="94"/>
  <c r="M200" i="94"/>
  <c r="J200" i="94"/>
  <c r="G200" i="94"/>
  <c r="AE199" i="94"/>
  <c r="AB199" i="94"/>
  <c r="Y199" i="94"/>
  <c r="M199" i="94"/>
  <c r="J199" i="94"/>
  <c r="G199" i="94"/>
  <c r="AE198" i="94"/>
  <c r="AB198" i="94"/>
  <c r="Y198" i="94"/>
  <c r="M198" i="94"/>
  <c r="J198" i="94"/>
  <c r="G198" i="94"/>
  <c r="AE197" i="94"/>
  <c r="AB197" i="94"/>
  <c r="Y197" i="94"/>
  <c r="M197" i="94"/>
  <c r="J197" i="94"/>
  <c r="G197" i="94"/>
  <c r="AE196" i="94"/>
  <c r="AB196" i="94"/>
  <c r="Y196" i="94"/>
  <c r="M196" i="94"/>
  <c r="J196" i="94"/>
  <c r="G196" i="94"/>
  <c r="AE195" i="94"/>
  <c r="AB195" i="94"/>
  <c r="Y195" i="94"/>
  <c r="M195" i="94"/>
  <c r="J195" i="94"/>
  <c r="G195" i="94"/>
  <c r="AE194" i="94"/>
  <c r="AB194" i="94"/>
  <c r="Y194" i="94"/>
  <c r="M194" i="94"/>
  <c r="J194" i="94"/>
  <c r="G194" i="94"/>
  <c r="AE193" i="94"/>
  <c r="AB193" i="94"/>
  <c r="Y193" i="94"/>
  <c r="M193" i="94"/>
  <c r="J193" i="94"/>
  <c r="G193" i="94"/>
  <c r="AE192" i="94"/>
  <c r="AB192" i="94"/>
  <c r="Y192" i="94"/>
  <c r="M192" i="94"/>
  <c r="J192" i="94"/>
  <c r="G192" i="94"/>
  <c r="AE191" i="94"/>
  <c r="AB191" i="94"/>
  <c r="Y191" i="94"/>
  <c r="M191" i="94"/>
  <c r="J191" i="94"/>
  <c r="G191" i="94"/>
  <c r="AE190" i="94"/>
  <c r="AB190" i="94"/>
  <c r="Y190" i="94"/>
  <c r="M190" i="94"/>
  <c r="J190" i="94"/>
  <c r="G190" i="94"/>
  <c r="AE189" i="94"/>
  <c r="AB189" i="94"/>
  <c r="Y189" i="94"/>
  <c r="M189" i="94"/>
  <c r="J189" i="94"/>
  <c r="G189" i="94"/>
  <c r="AE188" i="94"/>
  <c r="AB188" i="94"/>
  <c r="Y188" i="94"/>
  <c r="M188" i="94"/>
  <c r="J188" i="94"/>
  <c r="G188" i="94"/>
  <c r="AE187" i="94"/>
  <c r="AB187" i="94"/>
  <c r="Y187" i="94"/>
  <c r="M187" i="94"/>
  <c r="J187" i="94"/>
  <c r="G187" i="94"/>
  <c r="AE186" i="94"/>
  <c r="AB186" i="94"/>
  <c r="Y186" i="94"/>
  <c r="M186" i="94"/>
  <c r="J186" i="94"/>
  <c r="G186" i="94"/>
  <c r="AE185" i="94"/>
  <c r="AB185" i="94"/>
  <c r="Y185" i="94"/>
  <c r="M185" i="94"/>
  <c r="J185" i="94"/>
  <c r="G185" i="94"/>
  <c r="AE184" i="94"/>
  <c r="AB184" i="94"/>
  <c r="Y184" i="94"/>
  <c r="M184" i="94"/>
  <c r="J184" i="94"/>
  <c r="G184" i="94"/>
  <c r="AE183" i="94"/>
  <c r="AB183" i="94"/>
  <c r="Y183" i="94"/>
  <c r="M183" i="94"/>
  <c r="J183" i="94"/>
  <c r="G183" i="94"/>
  <c r="AE182" i="94"/>
  <c r="AB182" i="94"/>
  <c r="Y182" i="94"/>
  <c r="M182" i="94"/>
  <c r="J182" i="94"/>
  <c r="G182" i="94"/>
  <c r="AE181" i="94"/>
  <c r="AB181" i="94"/>
  <c r="Y181" i="94"/>
  <c r="M181" i="94"/>
  <c r="J181" i="94"/>
  <c r="G181" i="94"/>
  <c r="AE180" i="94"/>
  <c r="AB180" i="94"/>
  <c r="Y180" i="94"/>
  <c r="M180" i="94"/>
  <c r="J180" i="94"/>
  <c r="G180" i="94"/>
  <c r="AE179" i="94"/>
  <c r="AB179" i="94"/>
  <c r="Y179" i="94"/>
  <c r="M179" i="94"/>
  <c r="J179" i="94"/>
  <c r="G179" i="94"/>
  <c r="AE178" i="94"/>
  <c r="AB178" i="94"/>
  <c r="Y178" i="94"/>
  <c r="M178" i="94"/>
  <c r="J178" i="94"/>
  <c r="G178" i="94"/>
  <c r="AE177" i="94"/>
  <c r="AB177" i="94"/>
  <c r="Y177" i="94"/>
  <c r="M177" i="94"/>
  <c r="J177" i="94"/>
  <c r="G177" i="94"/>
  <c r="AE176" i="94"/>
  <c r="AB176" i="94"/>
  <c r="Y176" i="94"/>
  <c r="M176" i="94"/>
  <c r="J176" i="94"/>
  <c r="G176" i="94"/>
  <c r="AE175" i="94"/>
  <c r="AB175" i="94"/>
  <c r="Y175" i="94"/>
  <c r="M175" i="94"/>
  <c r="J175" i="94"/>
  <c r="G175" i="94"/>
  <c r="A175" i="94"/>
  <c r="A176" i="94" s="1"/>
  <c r="A177" i="94" s="1"/>
  <c r="A178" i="94" s="1"/>
  <c r="A179" i="94" s="1"/>
  <c r="AE174" i="94"/>
  <c r="AB174" i="94"/>
  <c r="Y174" i="94"/>
  <c r="M174" i="94"/>
  <c r="J174" i="94"/>
  <c r="G174" i="94"/>
  <c r="AE173" i="94"/>
  <c r="AB173" i="94"/>
  <c r="Y173" i="94"/>
  <c r="M173" i="94"/>
  <c r="J173" i="94"/>
  <c r="G173" i="94"/>
  <c r="AE172" i="94"/>
  <c r="AB172" i="94"/>
  <c r="Y172" i="94"/>
  <c r="M172" i="94"/>
  <c r="J172" i="94"/>
  <c r="G172" i="94"/>
  <c r="A172" i="94"/>
  <c r="A173" i="94" s="1"/>
  <c r="A174" i="94" s="1"/>
  <c r="N32" i="94"/>
  <c r="X29" i="94"/>
  <c r="P29" i="94"/>
  <c r="V28" i="94"/>
  <c r="V32" i="94" s="1"/>
  <c r="R28" i="94"/>
  <c r="T29" i="94" s="1"/>
  <c r="V26" i="94"/>
  <c r="R26" i="94"/>
  <c r="N26" i="94"/>
  <c r="AY25" i="94"/>
  <c r="AG15" i="94"/>
  <c r="AP15" i="94" s="1"/>
  <c r="AP14" i="94"/>
  <c r="AG14" i="94"/>
  <c r="AG13" i="94"/>
  <c r="AP13" i="94" s="1"/>
  <c r="AM12" i="94"/>
  <c r="AJ12" i="94"/>
  <c r="AG12" i="94"/>
  <c r="AP12" i="94" s="1"/>
  <c r="AJ11" i="94"/>
  <c r="AM10" i="94"/>
  <c r="AJ10" i="94"/>
  <c r="AG10" i="94"/>
  <c r="AG11" i="94" s="1"/>
  <c r="AP11" i="94" s="1"/>
  <c r="AO3" i="94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180" i="94" l="1"/>
  <c r="A181" i="94"/>
  <c r="A182" i="94" s="1"/>
  <c r="A183" i="94" s="1"/>
  <c r="A184" i="94" s="1"/>
  <c r="A185" i="94" s="1"/>
  <c r="Z28" i="94"/>
  <c r="AP10" i="94"/>
  <c r="R32" i="94"/>
  <c r="K3" i="92"/>
  <c r="Z32" i="94" l="1"/>
  <c r="Z26" i="94"/>
  <c r="AD28" i="94"/>
  <c r="AB29" i="94"/>
  <c r="A188" i="94"/>
  <c r="A187" i="94" s="1"/>
  <c r="A189" i="94" s="1"/>
  <c r="A190" i="94" s="1"/>
  <c r="A191" i="94" s="1"/>
  <c r="A192" i="94" s="1"/>
  <c r="A193" i="94" s="1"/>
  <c r="A194" i="94" s="1"/>
  <c r="A195" i="94" s="1"/>
  <c r="A196" i="94" s="1"/>
  <c r="A197" i="94" s="1"/>
  <c r="A198" i="94" s="1"/>
  <c r="A199" i="94" s="1"/>
  <c r="A200" i="94" s="1"/>
  <c r="A201" i="94" s="1"/>
  <c r="A202" i="94" s="1"/>
  <c r="A203" i="94" s="1"/>
  <c r="A204" i="94" s="1"/>
  <c r="A186" i="94"/>
  <c r="J24" i="91"/>
  <c r="I3" i="92"/>
  <c r="H3" i="92"/>
  <c r="J11" i="91"/>
  <c r="J12" i="91"/>
  <c r="J13" i="91"/>
  <c r="J14" i="91"/>
  <c r="J15" i="91"/>
  <c r="J16" i="91"/>
  <c r="J17" i="91"/>
  <c r="J18" i="91"/>
  <c r="J19" i="91"/>
  <c r="J20" i="91"/>
  <c r="J21" i="91"/>
  <c r="J22" i="91"/>
  <c r="J23" i="91"/>
  <c r="J26" i="91"/>
  <c r="J10" i="91"/>
  <c r="L7" i="91"/>
  <c r="AD26" i="94" l="1"/>
  <c r="AH28" i="94"/>
  <c r="AF29" i="94"/>
  <c r="AD32" i="94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1" i="92"/>
  <c r="AH32" i="94" l="1"/>
  <c r="AL28" i="94"/>
  <c r="AJ29" i="94"/>
  <c r="AH26" i="94"/>
  <c r="F26" i="91"/>
  <c r="F24" i="91"/>
  <c r="F23" i="91"/>
  <c r="F22" i="91"/>
  <c r="F21" i="91"/>
  <c r="F20" i="91"/>
  <c r="F19" i="91"/>
  <c r="F18" i="91"/>
  <c r="AN29" i="94" l="1"/>
  <c r="AL26" i="94"/>
  <c r="AL32" i="94"/>
  <c r="AP28" i="94"/>
  <c r="F16" i="91"/>
  <c r="F15" i="91"/>
  <c r="F13" i="91"/>
  <c r="F12" i="91"/>
  <c r="F11" i="91"/>
  <c r="F10" i="91"/>
  <c r="B38" i="94" l="1"/>
  <c r="AR29" i="94"/>
  <c r="AV29" i="94" s="1"/>
  <c r="AP26" i="94"/>
  <c r="AP32" i="94"/>
  <c r="M2" i="80"/>
  <c r="D39" i="94" l="1"/>
  <c r="B42" i="94"/>
  <c r="F38" i="94"/>
  <c r="B36" i="94"/>
  <c r="L2" i="80"/>
  <c r="H39" i="94" l="1"/>
  <c r="F42" i="94"/>
  <c r="J38" i="94"/>
  <c r="F36" i="94"/>
  <c r="N2" i="80"/>
  <c r="J42" i="94" l="1"/>
  <c r="L39" i="94"/>
  <c r="J36" i="94"/>
  <c r="N38" i="94"/>
  <c r="P39" i="94" l="1"/>
  <c r="N42" i="94"/>
  <c r="N36" i="94"/>
  <c r="R38" i="94"/>
  <c r="U43" i="80"/>
  <c r="U28" i="80"/>
  <c r="T39" i="94" l="1"/>
  <c r="R42" i="94"/>
  <c r="R36" i="94"/>
  <c r="V38" i="94"/>
  <c r="K2" i="80"/>
  <c r="V36" i="94" l="1"/>
  <c r="V42" i="94"/>
  <c r="Z38" i="94"/>
  <c r="X39" i="94"/>
  <c r="AD38" i="94" l="1"/>
  <c r="Z42" i="94"/>
  <c r="Z36" i="94"/>
  <c r="AB39" i="94"/>
  <c r="AH38" i="94" l="1"/>
  <c r="AD36" i="94"/>
  <c r="AD42" i="94"/>
  <c r="AF39" i="94"/>
  <c r="AH36" i="94" l="1"/>
  <c r="AL38" i="94"/>
  <c r="AH42" i="94"/>
  <c r="AJ39" i="94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L42" i="94" l="1"/>
  <c r="AN39" i="94"/>
  <c r="AL36" i="94"/>
  <c r="AP38" i="94"/>
  <c r="G607" i="80"/>
  <c r="G609" i="80"/>
  <c r="G611" i="80"/>
  <c r="G613" i="80"/>
  <c r="G615" i="80"/>
  <c r="G605" i="80"/>
  <c r="AP36" i="94" l="1"/>
  <c r="AR39" i="94"/>
  <c r="AV39" i="94" s="1"/>
  <c r="B47" i="94"/>
  <c r="AP42" i="94"/>
  <c r="A6" i="80"/>
  <c r="B51" i="94" l="1"/>
  <c r="D48" i="94"/>
  <c r="B45" i="94"/>
  <c r="F47" i="94"/>
  <c r="J47" i="94" l="1"/>
  <c r="H48" i="94"/>
  <c r="F45" i="94"/>
  <c r="F51" i="94"/>
  <c r="L48" i="94" l="1"/>
  <c r="J51" i="94"/>
  <c r="N47" i="94"/>
  <c r="J45" i="94"/>
  <c r="P48" i="94" l="1"/>
  <c r="N51" i="94"/>
  <c r="R47" i="94"/>
  <c r="N45" i="94"/>
  <c r="R45" i="94" l="1"/>
  <c r="T48" i="94"/>
  <c r="R51" i="94"/>
  <c r="V47" i="94"/>
  <c r="Z47" i="94" l="1"/>
  <c r="V51" i="94"/>
  <c r="X48" i="94"/>
  <c r="V45" i="94"/>
  <c r="AB48" i="94" l="1"/>
  <c r="Z51" i="94"/>
  <c r="Z45" i="94"/>
  <c r="AD47" i="94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D51" i="94" l="1"/>
  <c r="AD45" i="94"/>
  <c r="AH47" i="94"/>
  <c r="AF48" i="94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J48" i="94" l="1"/>
  <c r="AH51" i="94"/>
  <c r="AH45" i="94"/>
  <c r="AL47" i="94"/>
  <c r="AL51" i="94" l="1"/>
  <c r="AL45" i="94"/>
  <c r="AP47" i="94"/>
  <c r="AN48" i="94"/>
  <c r="AP45" i="94" l="1"/>
  <c r="B56" i="94"/>
  <c r="AP51" i="94"/>
  <c r="AR48" i="94"/>
  <c r="AV48" i="94" s="1"/>
  <c r="B60" i="94" l="1"/>
  <c r="B54" i="94"/>
  <c r="F56" i="94"/>
  <c r="D57" i="94"/>
  <c r="J56" i="94" l="1"/>
  <c r="F54" i="94"/>
  <c r="H57" i="94"/>
  <c r="F60" i="94"/>
  <c r="L57" i="94" l="1"/>
  <c r="J60" i="94"/>
  <c r="N56" i="94"/>
  <c r="J54" i="94"/>
  <c r="N60" i="94" l="1"/>
  <c r="P57" i="94"/>
  <c r="R56" i="94"/>
  <c r="N54" i="94"/>
  <c r="R60" i="94" l="1"/>
  <c r="V56" i="94"/>
  <c r="R54" i="94"/>
  <c r="T57" i="94"/>
  <c r="Z56" i="94" l="1"/>
  <c r="X57" i="94"/>
  <c r="V54" i="94"/>
  <c r="V60" i="94"/>
  <c r="AB57" i="94" l="1"/>
  <c r="Z54" i="94"/>
  <c r="AD56" i="94"/>
  <c r="Z60" i="94"/>
  <c r="AD54" i="94" l="1"/>
  <c r="AF57" i="94"/>
  <c r="AH56" i="94"/>
  <c r="AD60" i="94"/>
  <c r="AL56" i="94" l="1"/>
  <c r="AJ57" i="94"/>
  <c r="AH54" i="94"/>
  <c r="AH60" i="94"/>
  <c r="AN57" i="94" l="1"/>
  <c r="AL54" i="94"/>
  <c r="AL60" i="94"/>
  <c r="AP56" i="94"/>
  <c r="AP54" i="94" l="1"/>
  <c r="AR57" i="94"/>
  <c r="AV57" i="94" s="1"/>
  <c r="AP60" i="94"/>
  <c r="B65" i="94"/>
  <c r="D66" i="94" l="1"/>
  <c r="B63" i="94"/>
  <c r="B69" i="94"/>
  <c r="F65" i="94"/>
  <c r="F63" i="94" l="1"/>
  <c r="H66" i="94"/>
  <c r="F69" i="94"/>
  <c r="J65" i="94"/>
  <c r="N65" i="94" l="1"/>
  <c r="L66" i="94"/>
  <c r="J63" i="94"/>
  <c r="J69" i="94"/>
  <c r="N63" i="94" l="1"/>
  <c r="N69" i="94"/>
  <c r="R65" i="94"/>
  <c r="P66" i="94"/>
  <c r="V65" i="94" l="1"/>
  <c r="R63" i="94"/>
  <c r="R69" i="94"/>
  <c r="T66" i="94"/>
  <c r="V63" i="94" l="1"/>
  <c r="X66" i="94"/>
  <c r="V69" i="94"/>
  <c r="Z65" i="94"/>
  <c r="Z69" i="94" l="1"/>
  <c r="AB66" i="94"/>
  <c r="Z63" i="94"/>
  <c r="AD65" i="94"/>
  <c r="AH65" i="94" l="1"/>
  <c r="AD69" i="94"/>
  <c r="AD63" i="94"/>
  <c r="AF66" i="94"/>
  <c r="AH69" i="94" l="1"/>
  <c r="AH63" i="94"/>
  <c r="AL65" i="94"/>
  <c r="AJ66" i="94"/>
  <c r="AN66" i="94" l="1"/>
  <c r="AP65" i="94"/>
  <c r="AL63" i="94"/>
  <c r="AL69" i="94"/>
  <c r="AR66" i="94" l="1"/>
  <c r="AV66" i="94" s="1"/>
  <c r="AP69" i="94"/>
  <c r="B75" i="94"/>
  <c r="AP63" i="94"/>
  <c r="B73" i="94" l="1"/>
  <c r="F75" i="94"/>
  <c r="D76" i="94"/>
  <c r="B79" i="94"/>
  <c r="J75" i="94" l="1"/>
  <c r="F79" i="94"/>
  <c r="H76" i="94"/>
  <c r="F73" i="94"/>
  <c r="N75" i="94" l="1"/>
  <c r="L76" i="94"/>
  <c r="J79" i="94"/>
  <c r="J73" i="94"/>
  <c r="P76" i="94" l="1"/>
  <c r="R75" i="94"/>
  <c r="N73" i="94"/>
  <c r="N79" i="94"/>
  <c r="T76" i="94" l="1"/>
  <c r="R79" i="94"/>
  <c r="R73" i="94"/>
  <c r="V75" i="94"/>
  <c r="V79" i="94" l="1"/>
  <c r="X76" i="94"/>
  <c r="V73" i="94"/>
  <c r="Z75" i="94"/>
  <c r="AB76" i="94" l="1"/>
  <c r="Z73" i="94"/>
  <c r="Z79" i="94"/>
  <c r="AD75" i="94"/>
  <c r="AH75" i="94" l="1"/>
  <c r="AD73" i="94"/>
  <c r="AF76" i="94"/>
  <c r="AD79" i="94"/>
  <c r="AJ76" i="94" l="1"/>
  <c r="AH73" i="94"/>
  <c r="AH79" i="94"/>
  <c r="AL75" i="94"/>
  <c r="AL79" i="94" l="1"/>
  <c r="AN76" i="94"/>
  <c r="AL73" i="94"/>
  <c r="AP75" i="94"/>
  <c r="AR76" i="94" l="1"/>
  <c r="AV76" i="94" s="1"/>
  <c r="AP73" i="94"/>
  <c r="AP79" i="94"/>
  <c r="B84" i="94"/>
  <c r="B88" i="94" l="1"/>
  <c r="D85" i="94"/>
  <c r="B82" i="94"/>
  <c r="F84" i="94"/>
  <c r="H85" i="94" l="1"/>
  <c r="F82" i="94"/>
  <c r="F88" i="94"/>
  <c r="J84" i="94"/>
  <c r="J82" i="94" l="1"/>
  <c r="J88" i="94"/>
  <c r="N84" i="94"/>
  <c r="L85" i="94"/>
  <c r="N82" i="94" l="1"/>
  <c r="N88" i="94"/>
  <c r="R84" i="94"/>
  <c r="P85" i="94"/>
  <c r="V84" i="94" l="1"/>
  <c r="R82" i="94"/>
  <c r="R88" i="94"/>
  <c r="T85" i="94"/>
  <c r="V88" i="94" l="1"/>
  <c r="Z84" i="94"/>
  <c r="X85" i="94"/>
  <c r="V82" i="94"/>
  <c r="Z82" i="94" l="1"/>
  <c r="AD84" i="94"/>
  <c r="AB85" i="94"/>
  <c r="Z88" i="94"/>
  <c r="AD82" i="94" l="1"/>
  <c r="AH84" i="94"/>
  <c r="AF85" i="94"/>
  <c r="AD88" i="94"/>
  <c r="AL84" i="94" l="1"/>
  <c r="AH88" i="94"/>
  <c r="AJ85" i="94"/>
  <c r="AH82" i="94"/>
  <c r="AP84" i="94" l="1"/>
  <c r="AN85" i="94"/>
  <c r="AL82" i="94"/>
  <c r="AL88" i="94"/>
  <c r="AV85" i="94" l="1"/>
  <c r="AP82" i="94"/>
  <c r="AR85" i="94"/>
  <c r="B92" i="94"/>
  <c r="AP88" i="94"/>
  <c r="B90" i="94" l="1"/>
  <c r="D93" i="94"/>
  <c r="F92" i="94"/>
  <c r="B96" i="94"/>
  <c r="J92" i="94" l="1"/>
  <c r="F90" i="94"/>
  <c r="H93" i="94"/>
  <c r="F96" i="94"/>
  <c r="J90" i="94" l="1"/>
  <c r="N92" i="94"/>
  <c r="J96" i="94"/>
  <c r="L93" i="94"/>
  <c r="N96" i="94" l="1"/>
  <c r="P93" i="94"/>
  <c r="R92" i="94"/>
  <c r="N90" i="94"/>
  <c r="V92" i="94" l="1"/>
  <c r="R90" i="94"/>
  <c r="T93" i="94"/>
  <c r="R96" i="94"/>
  <c r="X93" i="94" l="1"/>
  <c r="V90" i="94"/>
  <c r="V96" i="94"/>
  <c r="Z92" i="94"/>
  <c r="AB93" i="94" l="1"/>
  <c r="Z96" i="94"/>
  <c r="Z90" i="94"/>
  <c r="AD92" i="94"/>
  <c r="AD96" i="94" l="1"/>
  <c r="AF93" i="94"/>
  <c r="AD90" i="94"/>
  <c r="AH92" i="94"/>
  <c r="AJ93" i="94" l="1"/>
  <c r="AH90" i="94"/>
  <c r="AH96" i="94"/>
  <c r="AL92" i="94"/>
  <c r="AL90" i="94" l="1"/>
  <c r="AN93" i="94"/>
  <c r="AL96" i="94"/>
  <c r="AP92" i="94"/>
  <c r="AP90" i="94" l="1"/>
  <c r="AR93" i="94"/>
  <c r="AV93" i="94" s="1"/>
  <c r="AP96" i="94"/>
  <c r="B100" i="94"/>
  <c r="D101" i="94" l="1"/>
  <c r="B104" i="94"/>
  <c r="B98" i="94"/>
  <c r="F100" i="94"/>
  <c r="F104" i="94" l="1"/>
  <c r="H101" i="94"/>
  <c r="F98" i="94"/>
  <c r="J100" i="94"/>
  <c r="L101" i="94" l="1"/>
  <c r="J98" i="94"/>
  <c r="N100" i="94"/>
  <c r="J104" i="94"/>
  <c r="N98" i="94" l="1"/>
  <c r="P101" i="94"/>
  <c r="N104" i="94"/>
  <c r="R100" i="94"/>
  <c r="V100" i="94" l="1"/>
  <c r="R98" i="94"/>
  <c r="T101" i="94"/>
  <c r="R104" i="94"/>
  <c r="V98" i="94" l="1"/>
  <c r="Z100" i="94"/>
  <c r="X101" i="94"/>
  <c r="V104" i="94"/>
  <c r="Z104" i="94" l="1"/>
  <c r="AB101" i="94"/>
  <c r="AD100" i="94"/>
  <c r="Z98" i="94"/>
  <c r="AD98" i="94" l="1"/>
  <c r="AD104" i="94"/>
  <c r="AH100" i="94"/>
  <c r="AF101" i="94"/>
  <c r="AH98" i="94" l="1"/>
  <c r="AJ101" i="94"/>
  <c r="AH104" i="94"/>
  <c r="AL100" i="94"/>
  <c r="AL98" i="94" l="1"/>
  <c r="AP100" i="94"/>
  <c r="AN101" i="94"/>
  <c r="AL104" i="94"/>
  <c r="AP104" i="94" l="1"/>
  <c r="B108" i="94"/>
  <c r="AP98" i="94"/>
  <c r="AR101" i="94"/>
  <c r="AV101" i="94" s="1"/>
  <c r="F108" i="94" l="1"/>
  <c r="D109" i="94"/>
  <c r="B106" i="94"/>
  <c r="B112" i="94"/>
  <c r="F106" i="94" l="1"/>
  <c r="F112" i="94"/>
  <c r="J108" i="94"/>
  <c r="H109" i="94"/>
  <c r="J106" i="94" l="1"/>
  <c r="L109" i="94"/>
  <c r="J112" i="94"/>
  <c r="N108" i="94"/>
  <c r="N106" i="94" l="1"/>
  <c r="R108" i="94"/>
  <c r="P109" i="94"/>
  <c r="N112" i="94"/>
  <c r="V108" i="94" l="1"/>
  <c r="R112" i="94"/>
  <c r="R106" i="94"/>
  <c r="T109" i="94"/>
  <c r="V112" i="94" l="1"/>
  <c r="Z108" i="94"/>
  <c r="V106" i="94"/>
  <c r="X109" i="94"/>
  <c r="AB109" i="94" l="1"/>
  <c r="Z112" i="94"/>
  <c r="AD108" i="94"/>
  <c r="Z106" i="94"/>
  <c r="AH108" i="94" l="1"/>
  <c r="AD106" i="94"/>
  <c r="AF109" i="94"/>
  <c r="AD112" i="94"/>
  <c r="AH112" i="94" l="1"/>
  <c r="AL108" i="94"/>
  <c r="AH106" i="94"/>
  <c r="AJ109" i="94"/>
  <c r="AL112" i="94" l="1"/>
  <c r="AN109" i="94"/>
  <c r="AP108" i="94"/>
  <c r="AL106" i="94"/>
  <c r="AP112" i="94" l="1"/>
  <c r="AR109" i="94"/>
  <c r="AV109" i="94" s="1"/>
  <c r="B116" i="94"/>
  <c r="AP106" i="94"/>
  <c r="D117" i="94" l="1"/>
  <c r="B120" i="94"/>
  <c r="F116" i="94"/>
  <c r="B114" i="94"/>
  <c r="H117" i="94" l="1"/>
  <c r="F120" i="94"/>
  <c r="J116" i="94"/>
  <c r="F114" i="94"/>
  <c r="J120" i="94" l="1"/>
  <c r="N116" i="94"/>
  <c r="L117" i="94"/>
  <c r="J114" i="94"/>
  <c r="N120" i="94" l="1"/>
  <c r="R116" i="94"/>
  <c r="P117" i="94"/>
  <c r="N114" i="94"/>
  <c r="V115" i="94" l="1"/>
  <c r="R120" i="94"/>
  <c r="T117" i="94"/>
  <c r="R114" i="94"/>
  <c r="V116" i="94"/>
  <c r="Z116" i="94" s="1"/>
  <c r="AD116" i="94" l="1"/>
  <c r="Z114" i="94"/>
  <c r="AB117" i="94"/>
  <c r="Z120" i="94"/>
  <c r="V114" i="94"/>
  <c r="X117" i="94"/>
  <c r="V120" i="94"/>
  <c r="AF117" i="94" l="1"/>
  <c r="AD114" i="94"/>
  <c r="AH116" i="94"/>
  <c r="AD120" i="94"/>
  <c r="AJ117" i="94" l="1"/>
  <c r="AH114" i="94"/>
  <c r="AL116" i="94"/>
  <c r="AH120" i="94"/>
  <c r="AP116" i="94" l="1"/>
  <c r="AL114" i="94"/>
  <c r="AN117" i="94"/>
  <c r="AL120" i="94"/>
  <c r="AP114" i="94" l="1"/>
  <c r="B125" i="94"/>
  <c r="AP120" i="94"/>
  <c r="AR117" i="94"/>
  <c r="AV117" i="94" s="1"/>
  <c r="F125" i="94" l="1"/>
  <c r="B123" i="94"/>
  <c r="B129" i="94"/>
  <c r="D126" i="94"/>
  <c r="F129" i="94" l="1"/>
  <c r="H126" i="94"/>
  <c r="F123" i="94"/>
  <c r="J125" i="94"/>
  <c r="J129" i="94" l="1"/>
  <c r="L126" i="94"/>
  <c r="J123" i="94"/>
  <c r="N125" i="94"/>
  <c r="R125" i="94" l="1"/>
  <c r="N129" i="94"/>
  <c r="P126" i="94"/>
  <c r="N123" i="94"/>
  <c r="V125" i="94" l="1"/>
  <c r="T126" i="94"/>
  <c r="R123" i="94"/>
  <c r="R129" i="94"/>
  <c r="V123" i="94" l="1"/>
  <c r="X126" i="94"/>
  <c r="V129" i="94"/>
  <c r="Z125" i="94"/>
  <c r="Z123" i="94" l="1"/>
  <c r="AB126" i="94"/>
  <c r="Z129" i="94"/>
  <c r="AD125" i="94"/>
  <c r="AH125" i="94" l="1"/>
  <c r="AF126" i="94"/>
  <c r="AD123" i="94"/>
  <c r="AD129" i="94"/>
  <c r="AL125" i="94" l="1"/>
  <c r="AJ126" i="94"/>
  <c r="AH123" i="94"/>
  <c r="AH129" i="94"/>
  <c r="AL129" i="94" l="1"/>
  <c r="AN126" i="94"/>
  <c r="AL123" i="94"/>
  <c r="AP125" i="94"/>
  <c r="AP129" i="94" l="1"/>
  <c r="AR126" i="94"/>
  <c r="AV126" i="94" s="1"/>
  <c r="AP123" i="94"/>
  <c r="B134" i="94"/>
  <c r="F134" i="94" l="1"/>
  <c r="B138" i="94"/>
  <c r="D135" i="94"/>
  <c r="B132" i="94"/>
  <c r="J134" i="94" l="1"/>
  <c r="H135" i="94"/>
  <c r="F132" i="94"/>
  <c r="F138" i="94"/>
  <c r="N134" i="94" l="1"/>
  <c r="J132" i="94"/>
  <c r="L135" i="94"/>
  <c r="J138" i="94"/>
  <c r="R134" i="94" l="1"/>
  <c r="N132" i="94"/>
  <c r="P135" i="94"/>
  <c r="N138" i="94"/>
  <c r="R138" i="94" l="1"/>
  <c r="T135" i="94"/>
  <c r="R132" i="94"/>
  <c r="V134" i="94"/>
  <c r="V138" i="94" l="1"/>
  <c r="X135" i="94"/>
  <c r="V132" i="94"/>
  <c r="Z134" i="94"/>
  <c r="AD134" i="94" l="1"/>
  <c r="AB135" i="94"/>
  <c r="Z132" i="94"/>
  <c r="Z138" i="94"/>
  <c r="AH134" i="94" l="1"/>
  <c r="AF135" i="94"/>
  <c r="AD132" i="94"/>
  <c r="AD138" i="94"/>
  <c r="AH138" i="94" l="1"/>
  <c r="AJ135" i="94"/>
  <c r="AH132" i="94"/>
  <c r="AL134" i="94"/>
  <c r="AL138" i="94" l="1"/>
  <c r="AN135" i="94"/>
  <c r="AL132" i="94"/>
  <c r="AP134" i="94"/>
  <c r="AR135" i="94" l="1"/>
  <c r="AV135" i="94" s="1"/>
  <c r="B143" i="94"/>
  <c r="AP132" i="94"/>
  <c r="AP138" i="94"/>
  <c r="F143" i="94" l="1"/>
  <c r="D144" i="94"/>
  <c r="B141" i="94"/>
  <c r="B147" i="94"/>
  <c r="F141" i="94" l="1"/>
  <c r="H144" i="94"/>
  <c r="J143" i="94"/>
  <c r="F147" i="94"/>
  <c r="J141" i="94" l="1"/>
  <c r="L144" i="94"/>
  <c r="N143" i="94"/>
  <c r="J147" i="94"/>
  <c r="R143" i="94" l="1"/>
  <c r="P144" i="94"/>
  <c r="N141" i="94"/>
  <c r="N147" i="94"/>
  <c r="V143" i="94" l="1"/>
  <c r="T144" i="94"/>
  <c r="R141" i="94"/>
  <c r="R147" i="94"/>
  <c r="Z143" i="94" l="1"/>
  <c r="V141" i="94"/>
  <c r="V147" i="94"/>
  <c r="X144" i="94"/>
  <c r="AD143" i="94" l="1"/>
  <c r="Z141" i="94"/>
  <c r="Z147" i="94"/>
  <c r="AB144" i="94"/>
  <c r="AD147" i="94" l="1"/>
  <c r="AF144" i="94"/>
  <c r="AD141" i="94"/>
  <c r="AH143" i="94"/>
  <c r="AH147" i="94" l="1"/>
  <c r="AJ144" i="94"/>
  <c r="AH141" i="94"/>
  <c r="AL143" i="94"/>
  <c r="AN144" i="94" l="1"/>
  <c r="AL141" i="94"/>
  <c r="AL147" i="94"/>
  <c r="AP143" i="94"/>
  <c r="AR144" i="94" l="1"/>
  <c r="AV144" i="94" s="1"/>
  <c r="B153" i="94"/>
  <c r="AP147" i="94"/>
  <c r="AP141" i="94"/>
  <c r="B151" i="94" l="1"/>
  <c r="D154" i="94"/>
  <c r="B157" i="94"/>
  <c r="F153" i="94"/>
  <c r="F151" i="94" l="1"/>
  <c r="H154" i="94"/>
  <c r="F157" i="94"/>
  <c r="J153" i="94"/>
  <c r="N153" i="94" l="1"/>
  <c r="L154" i="94"/>
  <c r="J151" i="94"/>
  <c r="J157" i="94"/>
  <c r="R153" i="94" l="1"/>
  <c r="P154" i="94"/>
  <c r="N151" i="94"/>
  <c r="N157" i="94"/>
  <c r="R157" i="94" l="1"/>
  <c r="T154" i="94"/>
  <c r="R151" i="94"/>
  <c r="V153" i="94"/>
  <c r="V157" i="94" l="1"/>
  <c r="X154" i="94"/>
  <c r="V151" i="94"/>
  <c r="Z153" i="94"/>
  <c r="AB154" i="94" l="1"/>
  <c r="Z151" i="94"/>
  <c r="Z157" i="94"/>
  <c r="AD153" i="94"/>
  <c r="AF154" i="94" l="1"/>
  <c r="AD157" i="94"/>
  <c r="AH153" i="94"/>
  <c r="AD151" i="94"/>
  <c r="AL153" i="94" l="1"/>
  <c r="AH151" i="94"/>
  <c r="AH157" i="94"/>
  <c r="AJ154" i="94"/>
  <c r="AP153" i="94" l="1"/>
  <c r="AL151" i="94"/>
  <c r="AL157" i="94"/>
  <c r="AN154" i="94"/>
  <c r="AP157" i="94" l="1"/>
  <c r="AR154" i="94"/>
  <c r="AV154" i="94" s="1"/>
  <c r="AP151" i="94"/>
  <c r="B162" i="94"/>
  <c r="B160" i="94" l="1"/>
  <c r="F162" i="94"/>
  <c r="D163" i="94"/>
  <c r="B166" i="94"/>
  <c r="J162" i="94" l="1"/>
  <c r="H163" i="94"/>
  <c r="F160" i="94"/>
  <c r="F166" i="94"/>
  <c r="N162" i="94" l="1"/>
  <c r="L163" i="94"/>
  <c r="J160" i="94"/>
  <c r="J166" i="94"/>
  <c r="P163" i="94" l="1"/>
  <c r="R162" i="94"/>
  <c r="N160" i="94"/>
  <c r="N166" i="94"/>
  <c r="T163" i="94" l="1"/>
  <c r="R160" i="94"/>
  <c r="R166" i="94"/>
  <c r="V162" i="94"/>
  <c r="V166" i="94" l="1"/>
  <c r="V160" i="94"/>
  <c r="X163" i="94"/>
  <c r="Z162" i="94"/>
  <c r="Z166" i="94" l="1"/>
  <c r="AB163" i="94"/>
  <c r="AD162" i="94"/>
  <c r="Z160" i="94"/>
  <c r="AF163" i="94" l="1"/>
  <c r="AD166" i="94"/>
  <c r="AD160" i="94"/>
  <c r="AH162" i="94"/>
  <c r="AJ163" i="94" l="1"/>
  <c r="AV163" i="94" s="1"/>
  <c r="AV25" i="94" s="1"/>
  <c r="AH166" i="94"/>
  <c r="AH160" i="94"/>
  <c r="AL162" i="94"/>
  <c r="AL166" i="94" l="1"/>
  <c r="AL160" i="9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<sst xmlns="http://schemas.openxmlformats.org/spreadsheetml/2006/main" count="3472" uniqueCount="635">
  <si>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</si>
  <si>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</si>
  <si>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</si>
  <si>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</si>
  <si>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</si>
  <si>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</si>
  <si>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</si>
  <si>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</si>
  <si>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</si>
  <si>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</si>
  <si>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</si>
  <si>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</si>
  <si>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</si>
  <si>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</si>
  <si>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</si>
  <si>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</si>
  <si>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</si>
  <si>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</si>
  <si>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</si>
  <si>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</si>
  <si>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</si>
  <si>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</si>
  <si>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</si>
  <si>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</si>
  <si>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</si>
  <si>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</si>
  <si>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</si>
  <si>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</si>
  <si>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</si>
  <si>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</si>
  <si>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</si>
  <si>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</si>
  <si>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</si>
  <si>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</si>
  <si>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</si>
  <si>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</si>
  <si>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</si>
  <si>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</si>
  <si>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</si>
  <si>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</si>
  <si>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</si>
  <si>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</si>
  <si>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</si>
  <si>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</si>
  <si>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</si>
  <si>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</si>
  <si>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</si>
  <si>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</si>
  <si>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</si>
  <si>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</si>
  <si>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</si>
  <si>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</si>
  <si>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</si>
  <si>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</si>
  <si>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</si>
  <si>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</si>
  <si>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</si>
  <si>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</si>
  <si>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</si>
  <si>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</si>
  <si>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</si>
  <si>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</si>
  <si>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</si>
  <si>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</si>
  <si>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</si>
  <si>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</si>
  <si>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</si>
  <si>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</si>
  <si>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</si>
  <si>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</si>
  <si>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</si>
  <si>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</si>
  <si>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</si>
  <si>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</si>
  <si>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</si>
  <si>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</si>
  <si>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</si>
  <si>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</si>
  <si>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</si>
  <si>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</si>
  <si>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</si>
  <si>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</si>
  <si>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</si>
  <si>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</si>
  <si>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</si>
  <si>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</si>
  <si>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</si>
  <si>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</si>
  <si>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</si>
  <si>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</si>
  <si>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</si>
  <si>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</si>
  <si>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</si>
  <si>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</si>
  <si>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</si>
  <si>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</si>
  <si>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</si>
  <si>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</si>
  <si>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</si>
  <si>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</si>
  <si>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</si>
  <si>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</si>
  <si>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</si>
  <si>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</si>
  <si>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</si>
  <si>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</si>
  <si>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</si>
  <si>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</si>
  <si>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</si>
  <si>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</si>
  <si>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</si>
  <si>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</si>
  <si>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</si>
  <si>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</si>
  <si>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</si>
  <si>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</si>
  <si>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</si>
  <si>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</si>
  <si>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</si>
  <si>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</si>
  <si>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</si>
  <si>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</si>
  <si>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</si>
  <si>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</si>
  <si>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</si>
  <si>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</si>
  <si>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</si>
  <si>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</si>
  <si>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</si>
  <si>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</si>
  <si>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</si>
  <si>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</si>
  <si>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</si>
  <si>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</si>
  <si>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</si>
  <si>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</si>
  <si>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</si>
  <si>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</si>
  <si>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</si>
  <si>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</si>
  <si>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</si>
  <si>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</si>
  <si>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</si>
  <si>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</si>
  <si>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</si>
  <si>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</si>
  <si>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</si>
  <si>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</si>
  <si>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</si>
  <si>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</si>
  <si>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</si>
  <si>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</si>
  <si>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</si>
  <si>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</si>
  <si>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</si>
  <si>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</si>
  <si>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</si>
  <si>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</si>
  <si>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</si>
  <si>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</si>
  <si>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</si>
  <si>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</si>
  <si>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</si>
  <si>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</si>
  <si>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</si>
  <si>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</si>
  <si>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</si>
  <si>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</si>
  <si>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</si>
  <si>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</si>
  <si>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</si>
  <si>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</si>
  <si>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</si>
  <si>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</si>
  <si>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</si>
  <si>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</si>
  <si>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</si>
  <si>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</si>
  <si>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</si>
  <si>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</si>
  <si>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</si>
  <si>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</si>
  <si>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</si>
  <si>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</si>
  <si>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</si>
  <si>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</si>
  <si>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</si>
  <si>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</si>
  <si>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</si>
  <si>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</si>
  <si>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</si>
  <si>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</si>
  <si>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</si>
  <si>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</si>
  <si>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</si>
  <si>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</si>
  <si>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</si>
  <si>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</si>
  <si>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</si>
  <si>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</si>
  <si>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</si>
  <si>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</si>
  <si>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</si>
  <si>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</si>
  <si>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</si>
  <si>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</si>
  <si>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</si>
  <si>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</si>
  <si>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</si>
  <si>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</si>
  <si>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</si>
  <si>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</si>
  <si>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</si>
  <si>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</si>
  <si>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</si>
  <si>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</si>
  <si>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</si>
  <si>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</si>
  <si>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</si>
  <si>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</si>
  <si>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</si>
  <si>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</si>
  <si>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</si>
  <si>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</si>
  <si>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</si>
  <si>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</si>
  <si>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</si>
  <si>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</si>
  <si>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</si>
  <si>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</si>
  <si>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</si>
  <si>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</si>
  <si>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</si>
  <si>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</si>
  <si>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</si>
  <si>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</si>
  <si>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</si>
  <si>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</si>
  <si>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</si>
  <si>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</si>
  <si>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</si>
  <si>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</si>
  <si>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</si>
  <si>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</si>
  <si>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</si>
  <si>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</si>
  <si>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</si>
  <si>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</si>
  <si>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</si>
  <si>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</si>
  <si>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</si>
  <si>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</si>
  <si>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</si>
  <si>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</si>
  <si>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</si>
  <si>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</si>
  <si>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</si>
  <si>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</si>
  <si>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</si>
  <si>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</si>
  <si>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</si>
  <si>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</si>
  <si>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</si>
  <si>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</si>
  <si>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</si>
  <si>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</si>
  <si>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</si>
  <si>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</si>
  <si>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</si>
  <si>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</si>
  <si>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</si>
  <si>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</si>
  <si>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</si>
  <si>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</si>
  <si>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</si>
  <si>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</si>
  <si>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</si>
  <si>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</si>
  <si>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</si>
  <si>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</si>
  <si>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</si>
  <si>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</si>
  <si>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</si>
  <si>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</si>
  <si>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</si>
  <si>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</si>
  <si>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</si>
  <si>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</si>
  <si>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</si>
  <si>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</si>
  <si>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</si>
  <si>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</si>
  <si>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</si>
  <si>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</si>
  <si>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</si>
  <si>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</si>
  <si>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</si>
  <si>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</si>
  <si>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</si>
  <si>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</si>
  <si>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</si>
  <si>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</si>
  <si>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</si>
  <si>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</si>
  <si>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</si>
  <si>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</si>
  <si>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</si>
  <si>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</si>
  <si>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</si>
  <si>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</si>
  <si>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</si>
  <si>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</si>
  <si>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</si>
  <si>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</si>
  <si>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</si>
  <si>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</si>
  <si>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</si>
  <si>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</si>
  <si>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</si>
  <si>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</si>
  <si>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</si>
  <si>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</si>
  <si>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</si>
  <si>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</si>
  <si>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</si>
  <si>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</si>
  <si>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</si>
  <si>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</si>
  <si>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</si>
  <si>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</si>
  <si>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</si>
  <si>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</si>
  <si>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</si>
  <si>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</si>
  <si>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</si>
  <si>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</si>
  <si>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</si>
  <si>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</si>
  <si>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</si>
  <si>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</si>
  <si>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</si>
  <si>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</si>
  <si>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</si>
  <si>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</si>
  <si>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</si>
  <si>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</si>
  <si>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</si>
  <si>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</si>
  <si>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</si>
  <si>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</si>
  <si>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</si>
  <si>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</si>
  <si>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</si>
  <si>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</si>
  <si>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</si>
  <si>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</si>
  <si>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</si>
  <si>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</si>
  <si>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</si>
  <si>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</si>
  <si>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</si>
  <si>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</si>
  <si>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</si>
  <si>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</si>
  <si>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</si>
  <si>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</si>
  <si>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</si>
  <si>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</si>
  <si>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</si>
  <si>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</si>
  <si>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</si>
  <si>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</si>
  <si>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</si>
  <si>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</si>
  <si>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</si>
  <si>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</si>
  <si>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</si>
  <si>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</si>
  <si>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</si>
  <si>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</si>
  <si>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</si>
  <si>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</si>
  <si>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</si>
  <si>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</si>
  <si>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</si>
  <si>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</si>
  <si>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</si>
  <si>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</si>
  <si>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</si>
  <si>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</si>
  <si>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</si>
  <si>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</si>
  <si>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</si>
  <si>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</si>
  <si>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</si>
  <si>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</si>
  <si>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</si>
  <si>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</si>
  <si>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</si>
  <si>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</si>
  <si>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</si>
  <si>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</si>
  <si>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</si>
  <si>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</si>
  <si>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</si>
  <si>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</si>
  <si>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</si>
  <si>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</si>
  <si>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</si>
  <si>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</si>
  <si>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</si>
  <si>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</si>
  <si>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</si>
  <si>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</si>
  <si>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</si>
  <si>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</si>
  <si>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</si>
  <si>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</si>
  <si>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</si>
  <si>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</si>
  <si>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</si>
  <si>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</si>
  <si>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</si>
  <si>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</si>
  <si>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</si>
  <si>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</si>
  <si>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</si>
  <si>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</si>
  <si>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</si>
  <si>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</si>
  <si>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</si>
  <si>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</si>
  <si>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</si>
  <si>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</si>
  <si>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</si>
  <si>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</si>
  <si>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</si>
  <si>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</si>
  <si>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</si>
  <si>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</si>
  <si>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</si>
  <si>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</si>
  <si>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</si>
  <si>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</si>
  <si>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</si>
  <si>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</si>
  <si>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</si>
  <si>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</si>
  <si>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</si>
  <si>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</si>
  <si>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</si>
  <si>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</si>
  <si>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</si>
  <si>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</si>
  <si>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</si>
  <si>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</si>
  <si>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</si>
  <si>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</si>
  <si>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</si>
  <si>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</si>
  <si>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</si>
  <si>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</si>
  <si>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</si>
  <si>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</si>
  <si>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</si>
  <si>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</si>
  <si>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</si>
  <si>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</si>
  <si>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</si>
  <si>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</si>
  <si>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</si>
  <si>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</si>
  <si>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</si>
  <si>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</si>
  <si>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</si>
  <si>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</si>
  <si>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</si>
  <si>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</si>
  <si>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</si>
  <si>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</si>
  <si>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</si>
  <si>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</si>
  <si>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</si>
  <si>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</si>
  <si>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</si>
  <si>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</si>
  <si>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</si>
  <si>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</si>
  <si>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</si>
  <si>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</si>
  <si>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1 Nov'25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</si>
  <si>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</si>
  <si>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</si>
  <si>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</si>
  <si>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</si>
  <si>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</si>
  <si>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</si>
  <si>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</si>
  <si>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</si>
  <si>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</si>
  <si>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</si>
  <si>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</si>
  <si>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</si>
  <si>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</si>
  <si>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</si>
  <si>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</si>
  <si>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</si>
  <si>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</si>
  <si>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</si>
  <si>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</si>
  <si>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</si>
  <si>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</si>
  <si>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</si>
  <si>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</si>
  <si>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</si>
  <si>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</si>
  <si>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</si>
  <si>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</si>
  <si>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</si>
  <si>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</si>
  <si>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</si>
  <si>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</si>
  <si>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</si>
  <si>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</si>
  <si>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</si>
  <si>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</si>
  <si>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</si>
  <si>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</si>
  <si>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</si>
  <si>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</si>
  <si>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</si>
  <si>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</si>
  <si>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</si>
  <si>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</si>
  <si>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</si>
  <si>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</si>
  <si>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</si>
  <si>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</si>
  <si>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</si>
  <si>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</si>
  <si>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</si>
  <si>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</si>
  <si>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</si>
  <si>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</si>
  <si>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</si>
  <si>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</si>
  <si>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</si>
  <si>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</si>
  <si>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</si>
  <si>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</si>
  <si>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</si>
  <si>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</si>
  <si>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</si>
  <si>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</si>
  <si>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</si>
  <si>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</si>
  <si>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</si>
  <si>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</si>
  <si>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</si>
  <si>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</si>
  <si>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</si>
  <si>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</si>
  <si>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</si>
  <si>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</si>
  <si>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</si>
  <si>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</si>
  <si>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</si>
  <si>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</si>
  <si>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</si>
  <si>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</si>
  <si>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</si>
  <si>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</si>
  <si>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</si>
  <si>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</si>
  <si>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</si>
  <si>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</si>
  <si>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</si>
  <si>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</si>
  <si>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</si>
  <si>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</si>
  <si>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</si>
  <si>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</si>
  <si>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</si>
  <si>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</si>
  <si>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</si>
  <si>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</si>
  <si>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</si>
  <si>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</si>
  <si>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</si>
  <si>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</si>
  <si>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</si>
  <si>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</si>
  <si>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</si>
  <si>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</si>
  <si>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</si>
  <si>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</si>
  <si>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</si>
  <si>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</si>
  <si>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</si>
  <si>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</si>
  <si>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</si>
  <si>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</si>
  <si>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</si>
  <si>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</si>
  <si>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</si>
  <si>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</si>
  <si>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</si>
  <si>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</si>
  <si>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</si>
  <si>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</si>
  <si>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</si>
  <si>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</si>
  <si>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</si>
  <si>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</si>
  <si>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</si>
  <si>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</si>
  <si>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</si>
  <si>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</si>
  <si>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</si>
  <si>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</si>
  <si>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t>Mr. Arun Felbin</t>
  </si>
  <si>
    <t>Mr. Vijay Kute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</si>
  <si>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</si>
  <si>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</si>
  <si>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</si>
  <si>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</si>
  <si>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</si>
  <si>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</si>
  <si>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</si>
  <si>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</si>
  <si>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</si>
  <si>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</si>
  <si>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</si>
  <si>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>Date :-04 Nov 2025.</t>
  </si>
  <si>
    <t xml:space="preserve">CLIENT-Rajasthan IVE Mewar Transmission Limited (POWER GRID CORPORATION OF INDIA)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</si>
</sst>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8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343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15" fontId="11" fillId="2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168" fontId="8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24" fillId="2" borderId="9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0" xfId="0" applyBorder="1" applyAlignment="1">
      <alignment vertical="center"/>
    </xf>
    <xf numFmtId="0" fontId="38" fillId="0" borderId="9" xfId="0" applyFont="1" applyBorder="1"/>
    <xf numFmtId="0" fontId="38" fillId="0" borderId="0" xfId="0" applyFont="1"/>
    <xf numFmtId="0" fontId="38" fillId="0" borderId="10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10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6" borderId="4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2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0" fillId="28" borderId="40" xfId="0" applyFill="1" applyBorder="1" applyAlignment="1">
      <alignment horizontal="center" vertical="center"/>
    </xf>
    <xf numFmtId="1" fontId="0" fillId="28" borderId="40" xfId="0" applyNumberFormat="1" applyFill="1" applyBorder="1" applyAlignment="1">
      <alignment horizontal="center" vertical="center"/>
    </xf>
    <xf numFmtId="0" fontId="0" fillId="28" borderId="41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6" borderId="40" xfId="0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28" borderId="39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40" xfId="0" applyFill="1" applyBorder="1" applyAlignment="1">
      <alignment horizontal="center" vertical="center" wrapText="1"/>
    </xf>
    <xf numFmtId="0" fontId="0" fillId="6" borderId="41" xfId="0" applyFill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40" fillId="0" borderId="17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 wrapText="1"/>
    </xf>
    <xf numFmtId="0" fontId="39" fillId="25" borderId="1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8" fillId="0" borderId="0" xfId="0" applyFont="1" applyAlignment="1">
      <alignment horizontal="center"/>
    </xf>
    <xf numFmtId="0" fontId="39" fillId="25" borderId="7" xfId="0" applyFont="1" applyFill="1" applyBorder="1" applyAlignment="1">
      <alignment horizontal="center"/>
    </xf>
    <xf numFmtId="0" fontId="39" fillId="25" borderId="12" xfId="0" applyFont="1" applyFill="1" applyBorder="1" applyAlignment="1">
      <alignment horizontal="center"/>
    </xf>
    <xf numFmtId="1" fontId="1" fillId="0" borderId="35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5" xfId="0" applyNumberFormat="1" applyFont="1" applyBorder="1" applyAlignment="1">
      <alignment horizontal="left" vertic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17" fillId="24" borderId="0" xfId="0" applyFont="1" applyFill="1" applyAlignment="1">
      <alignment horizontal="center"/>
    </xf>
    <xf numFmtId="0" fontId="35" fillId="3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166" fontId="0" fillId="0" borderId="32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3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0" fontId="34" fillId="0" borderId="30" xfId="68" applyFont="1" applyBorder="1" applyAlignment="1">
      <alignment horizontal="center" vertical="center" wrapText="1"/>
    </xf>
    <xf numFmtId="166" fontId="0" fillId="0" borderId="31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24" borderId="29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166" fontId="0" fillId="0" borderId="38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6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7" xfId="68" applyFont="1" applyBorder="1" applyAlignment="1">
      <alignment horizontal="center" vertical="center" wrapText="1"/>
    </xf>
    <xf numFmtId="166" fontId="0" fillId="0" borderId="12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34" fillId="0" borderId="32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3" xfId="68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0" fillId="2" borderId="15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7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19" fillId="2" borderId="13" xfId="43" applyFont="1" applyFill="1" applyBorder="1" applyAlignment="1">
      <alignment horizontal="center" vertical="center"/>
    </xf>
    <xf numFmtId="0" fontId="19" fillId="2" borderId="14" xfId="43" applyFont="1" applyFill="1" applyBorder="1" applyAlignment="1">
      <alignment horizontal="center" vertical="center"/>
    </xf>
    <xf numFmtId="0" fontId="19" fillId="2" borderId="14" xfId="43" applyFont="1" applyFill="1" applyBorder="1" applyAlignment="1">
      <alignment horizontal="left" vertical="center"/>
    </xf>
    <xf numFmtId="0" fontId="19" fillId="2" borderId="15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microsoft.com/office/2017/10/relationships/person" Target="persons/person.xml"/><Relationship Id="rId16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77" Type="http://schemas.openxmlformats.org/officeDocument/2006/relationships/externalLink" Target="externalLinks/externalLink7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83" Type="http://schemas.openxmlformats.org/officeDocument/2006/relationships/externalLink" Target="externalLinks/externalLink78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styles" Target="styles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D60ACD7A-33CE-4121-9B24-72FFDCF0B166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D2FBC0FA-54BF-4C2E-B728-0B7F1CB10020}"/>
            </a:ext>
          </a:extLst>
        </xdr:cNvPr>
        <xdr:cNvSpPr>
          <a:spLocks noChangeArrowheads="1"/>
        </xdr:cNvSpPr>
      </xdr:nvSpPr>
      <xdr:spPr bwMode="auto">
        <a:xfrm>
          <a:off x="4102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78051852-9E6F-4B65-92D4-171ABC7B4914}"/>
            </a:ext>
          </a:extLst>
        </xdr:cNvPr>
        <xdr:cNvSpPr>
          <a:spLocks/>
        </xdr:cNvSpPr>
      </xdr:nvSpPr>
      <xdr:spPr bwMode="auto">
        <a:xfrm>
          <a:off x="4343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9964FDF8-20F8-4513-8A8E-E435878D71E5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742E8D8B-E31F-4200-B3AC-0F35ED165F74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C64DE943-1086-44B8-AB8A-3DDE9CDB6402}"/>
            </a:ext>
          </a:extLst>
        </xdr:cNvPr>
        <xdr:cNvSpPr>
          <a:spLocks noChangeArrowheads="1"/>
        </xdr:cNvSpPr>
      </xdr:nvSpPr>
      <xdr:spPr bwMode="auto">
        <a:xfrm>
          <a:off x="60325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A5C9805B-3C66-494E-8034-0D0353EFA496}"/>
            </a:ext>
          </a:extLst>
        </xdr:cNvPr>
        <xdr:cNvSpPr>
          <a:spLocks/>
        </xdr:cNvSpPr>
      </xdr:nvSpPr>
      <xdr:spPr bwMode="auto">
        <a:xfrm>
          <a:off x="62738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BD611270-84D0-4EBB-94B5-F4426D2F3926}"/>
            </a:ext>
          </a:extLst>
        </xdr:cNvPr>
        <xdr:cNvSpPr>
          <a:spLocks noChangeArrowheads="1"/>
        </xdr:cNvSpPr>
      </xdr:nvSpPr>
      <xdr:spPr bwMode="auto">
        <a:xfrm>
          <a:off x="69977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09AB937C-CE65-4170-BB62-A31CC26FE341}"/>
            </a:ext>
          </a:extLst>
        </xdr:cNvPr>
        <xdr:cNvSpPr>
          <a:spLocks/>
        </xdr:cNvSpPr>
      </xdr:nvSpPr>
      <xdr:spPr bwMode="auto">
        <a:xfrm>
          <a:off x="72390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5597F115-390C-4F53-BB85-91973B789C4F}"/>
            </a:ext>
          </a:extLst>
        </xdr:cNvPr>
        <xdr:cNvSpPr>
          <a:spLocks noChangeArrowheads="1"/>
        </xdr:cNvSpPr>
      </xdr:nvSpPr>
      <xdr:spPr bwMode="auto">
        <a:xfrm>
          <a:off x="7962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04A3E99F-6DAE-4F50-8224-157534586912}"/>
            </a:ext>
          </a:extLst>
        </xdr:cNvPr>
        <xdr:cNvSpPr>
          <a:spLocks/>
        </xdr:cNvSpPr>
      </xdr:nvSpPr>
      <xdr:spPr bwMode="auto">
        <a:xfrm>
          <a:off x="8204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73EBEC1E-75C8-4474-95CA-711619919502}"/>
            </a:ext>
          </a:extLst>
        </xdr:cNvPr>
        <xdr:cNvSpPr>
          <a:spLocks noChangeArrowheads="1"/>
        </xdr:cNvSpPr>
      </xdr:nvSpPr>
      <xdr:spPr bwMode="auto">
        <a:xfrm>
          <a:off x="8928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DD409384-FFBD-4082-9F2D-73E5C29FE29F}"/>
            </a:ext>
          </a:extLst>
        </xdr:cNvPr>
        <xdr:cNvSpPr>
          <a:spLocks/>
        </xdr:cNvSpPr>
      </xdr:nvSpPr>
      <xdr:spPr bwMode="auto">
        <a:xfrm>
          <a:off x="9169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129F905-1786-4EE5-A5B9-6E6591E462B4}"/>
            </a:ext>
          </a:extLst>
        </xdr:cNvPr>
        <xdr:cNvSpPr>
          <a:spLocks noChangeArrowheads="1"/>
        </xdr:cNvSpPr>
      </xdr:nvSpPr>
      <xdr:spPr bwMode="auto">
        <a:xfrm>
          <a:off x="9893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AD808051-A34B-45EF-9D19-787B7904F3CC}"/>
            </a:ext>
          </a:extLst>
        </xdr:cNvPr>
        <xdr:cNvSpPr>
          <a:spLocks/>
        </xdr:cNvSpPr>
      </xdr:nvSpPr>
      <xdr:spPr bwMode="auto">
        <a:xfrm>
          <a:off x="10134600" y="45021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744515CA-EEE7-4718-966B-0B9C93FD2C5F}"/>
            </a:ext>
          </a:extLst>
        </xdr:cNvPr>
        <xdr:cNvSpPr>
          <a:spLocks noChangeArrowheads="1"/>
        </xdr:cNvSpPr>
      </xdr:nvSpPr>
      <xdr:spPr bwMode="auto">
        <a:xfrm>
          <a:off x="1206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6D3D369-83AB-4D94-BF42-0D8D78429EBA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DA12A760-5A58-4DE4-A8BD-5ECA82DE1979}"/>
            </a:ext>
          </a:extLst>
        </xdr:cNvPr>
        <xdr:cNvSpPr>
          <a:spLocks noChangeArrowheads="1"/>
        </xdr:cNvSpPr>
      </xdr:nvSpPr>
      <xdr:spPr bwMode="auto">
        <a:xfrm>
          <a:off x="2171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FF4D2668-4810-4AA3-8516-78E6C41D6AF3}"/>
            </a:ext>
          </a:extLst>
        </xdr:cNvPr>
        <xdr:cNvSpPr>
          <a:spLocks/>
        </xdr:cNvSpPr>
      </xdr:nvSpPr>
      <xdr:spPr bwMode="auto">
        <a:xfrm>
          <a:off x="2413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B73A760D-4FF2-446B-8603-A2F0A0D30299}"/>
            </a:ext>
          </a:extLst>
        </xdr:cNvPr>
        <xdr:cNvSpPr>
          <a:spLocks noChangeArrowheads="1"/>
        </xdr:cNvSpPr>
      </xdr:nvSpPr>
      <xdr:spPr bwMode="auto">
        <a:xfrm>
          <a:off x="3136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94D2CDFA-5B0E-439F-8F21-F1C74CD6CB52}"/>
            </a:ext>
          </a:extLst>
        </xdr:cNvPr>
        <xdr:cNvSpPr>
          <a:spLocks/>
        </xdr:cNvSpPr>
      </xdr:nvSpPr>
      <xdr:spPr bwMode="auto">
        <a:xfrm>
          <a:off x="3378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E54319D6-D376-4018-9D95-788B874E8722}"/>
            </a:ext>
          </a:extLst>
        </xdr:cNvPr>
        <xdr:cNvSpPr>
          <a:spLocks noChangeArrowheads="1"/>
        </xdr:cNvSpPr>
      </xdr:nvSpPr>
      <xdr:spPr bwMode="auto">
        <a:xfrm>
          <a:off x="4102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2FD6B620-3EBB-4A86-BB6C-34B921D539E7}"/>
            </a:ext>
          </a:extLst>
        </xdr:cNvPr>
        <xdr:cNvSpPr>
          <a:spLocks/>
        </xdr:cNvSpPr>
      </xdr:nvSpPr>
      <xdr:spPr bwMode="auto">
        <a:xfrm>
          <a:off x="4343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7355EC8D-5BEB-4B7B-BAB6-80D7F58A00EA}"/>
            </a:ext>
          </a:extLst>
        </xdr:cNvPr>
        <xdr:cNvSpPr>
          <a:spLocks noChangeArrowheads="1"/>
        </xdr:cNvSpPr>
      </xdr:nvSpPr>
      <xdr:spPr bwMode="auto">
        <a:xfrm>
          <a:off x="5067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A360613B-ACB4-443A-B577-DA085638C0EE}"/>
            </a:ext>
          </a:extLst>
        </xdr:cNvPr>
        <xdr:cNvSpPr>
          <a:spLocks/>
        </xdr:cNvSpPr>
      </xdr:nvSpPr>
      <xdr:spPr bwMode="auto">
        <a:xfrm>
          <a:off x="53086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22CD1B37-C66C-4A46-9979-83E37F0A2758}"/>
            </a:ext>
          </a:extLst>
        </xdr:cNvPr>
        <xdr:cNvSpPr>
          <a:spLocks noChangeArrowheads="1"/>
        </xdr:cNvSpPr>
      </xdr:nvSpPr>
      <xdr:spPr bwMode="auto">
        <a:xfrm>
          <a:off x="6032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63E3543F-1B25-4278-B641-34502C984541}"/>
            </a:ext>
          </a:extLst>
        </xdr:cNvPr>
        <xdr:cNvSpPr>
          <a:spLocks/>
        </xdr:cNvSpPr>
      </xdr:nvSpPr>
      <xdr:spPr bwMode="auto">
        <a:xfrm>
          <a:off x="62738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BEFC9E0E-E759-422F-A4B7-C827B890A9B1}"/>
            </a:ext>
          </a:extLst>
        </xdr:cNvPr>
        <xdr:cNvSpPr>
          <a:spLocks noChangeArrowheads="1"/>
        </xdr:cNvSpPr>
      </xdr:nvSpPr>
      <xdr:spPr bwMode="auto">
        <a:xfrm>
          <a:off x="6997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8BBD8962-1C9B-43CE-9D4D-622318137D94}"/>
            </a:ext>
          </a:extLst>
        </xdr:cNvPr>
        <xdr:cNvSpPr>
          <a:spLocks/>
        </xdr:cNvSpPr>
      </xdr:nvSpPr>
      <xdr:spPr bwMode="auto">
        <a:xfrm>
          <a:off x="7239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C97E34E3-BCA3-4DAF-AA99-C51B1E3B464C}"/>
            </a:ext>
          </a:extLst>
        </xdr:cNvPr>
        <xdr:cNvSpPr>
          <a:spLocks noChangeArrowheads="1"/>
        </xdr:cNvSpPr>
      </xdr:nvSpPr>
      <xdr:spPr bwMode="auto">
        <a:xfrm>
          <a:off x="7962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4F4B41E8-F351-4E08-AC60-9AE66DFB0F39}"/>
            </a:ext>
          </a:extLst>
        </xdr:cNvPr>
        <xdr:cNvSpPr>
          <a:spLocks/>
        </xdr:cNvSpPr>
      </xdr:nvSpPr>
      <xdr:spPr bwMode="auto">
        <a:xfrm>
          <a:off x="8204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C7D7BCC-D203-4F9A-A798-3828C71F6C69}"/>
            </a:ext>
          </a:extLst>
        </xdr:cNvPr>
        <xdr:cNvSpPr>
          <a:spLocks noChangeArrowheads="1"/>
        </xdr:cNvSpPr>
      </xdr:nvSpPr>
      <xdr:spPr bwMode="auto">
        <a:xfrm>
          <a:off x="241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11502E20-EAEE-46F6-8468-9027713E317B}"/>
            </a:ext>
          </a:extLst>
        </xdr:cNvPr>
        <xdr:cNvSpPr>
          <a:spLocks/>
        </xdr:cNvSpPr>
      </xdr:nvSpPr>
      <xdr:spPr bwMode="auto">
        <a:xfrm>
          <a:off x="4826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840EB911-1291-4016-B350-AC7789AC8C1E}"/>
            </a:ext>
          </a:extLst>
        </xdr:cNvPr>
        <xdr:cNvSpPr>
          <a:spLocks noChangeArrowheads="1"/>
        </xdr:cNvSpPr>
      </xdr:nvSpPr>
      <xdr:spPr bwMode="auto">
        <a:xfrm>
          <a:off x="8928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D0CB0026-6908-4BDE-898E-BF085A32F67E}"/>
            </a:ext>
          </a:extLst>
        </xdr:cNvPr>
        <xdr:cNvSpPr>
          <a:spLocks/>
        </xdr:cNvSpPr>
      </xdr:nvSpPr>
      <xdr:spPr bwMode="auto">
        <a:xfrm>
          <a:off x="9169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FA63367E-AEFC-4CE0-B129-F36AF20CCE6D}"/>
            </a:ext>
          </a:extLst>
        </xdr:cNvPr>
        <xdr:cNvSpPr>
          <a:spLocks noChangeArrowheads="1"/>
        </xdr:cNvSpPr>
      </xdr:nvSpPr>
      <xdr:spPr bwMode="auto">
        <a:xfrm>
          <a:off x="9893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22B3BA13-AFA8-4A53-A6D0-ED59FA2FEEDC}"/>
            </a:ext>
          </a:extLst>
        </xdr:cNvPr>
        <xdr:cNvSpPr>
          <a:spLocks/>
        </xdr:cNvSpPr>
      </xdr:nvSpPr>
      <xdr:spPr bwMode="auto">
        <a:xfrm>
          <a:off x="10134600" y="607695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ED74CF9-6D05-410C-8138-B484DF8422B2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87A0B342-0F03-4F98-A552-68A9BCD7C011}"/>
            </a:ext>
          </a:extLst>
        </xdr:cNvPr>
        <xdr:cNvSpPr>
          <a:spLocks/>
        </xdr:cNvSpPr>
      </xdr:nvSpPr>
      <xdr:spPr bwMode="auto">
        <a:xfrm>
          <a:off x="14478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FCFC879A-B820-4A33-9413-30D76E686ADF}"/>
            </a:ext>
          </a:extLst>
        </xdr:cNvPr>
        <xdr:cNvSpPr>
          <a:spLocks noChangeArrowheads="1"/>
        </xdr:cNvSpPr>
      </xdr:nvSpPr>
      <xdr:spPr bwMode="auto">
        <a:xfrm>
          <a:off x="2171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1901A64B-8F98-4787-BE27-62693BDE4275}"/>
            </a:ext>
          </a:extLst>
        </xdr:cNvPr>
        <xdr:cNvSpPr>
          <a:spLocks/>
        </xdr:cNvSpPr>
      </xdr:nvSpPr>
      <xdr:spPr bwMode="auto">
        <a:xfrm>
          <a:off x="2413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DDACBC8-E407-4ABC-832A-60973277DB5F}"/>
            </a:ext>
          </a:extLst>
        </xdr:cNvPr>
        <xdr:cNvSpPr>
          <a:spLocks noChangeArrowheads="1"/>
        </xdr:cNvSpPr>
      </xdr:nvSpPr>
      <xdr:spPr bwMode="auto">
        <a:xfrm>
          <a:off x="3136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DF144FEB-E7E4-480F-A3B1-8B82FC04DC24}"/>
            </a:ext>
          </a:extLst>
        </xdr:cNvPr>
        <xdr:cNvSpPr>
          <a:spLocks/>
        </xdr:cNvSpPr>
      </xdr:nvSpPr>
      <xdr:spPr bwMode="auto">
        <a:xfrm>
          <a:off x="3378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AEB2D4A1-85F3-428C-BBD0-65E8E4ED1F7C}"/>
            </a:ext>
          </a:extLst>
        </xdr:cNvPr>
        <xdr:cNvSpPr>
          <a:spLocks noChangeArrowheads="1"/>
        </xdr:cNvSpPr>
      </xdr:nvSpPr>
      <xdr:spPr bwMode="auto">
        <a:xfrm>
          <a:off x="4102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0CFC4C1C-13AD-4ADA-817D-C143C9610169}"/>
            </a:ext>
          </a:extLst>
        </xdr:cNvPr>
        <xdr:cNvSpPr>
          <a:spLocks/>
        </xdr:cNvSpPr>
      </xdr:nvSpPr>
      <xdr:spPr bwMode="auto">
        <a:xfrm>
          <a:off x="4343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B6875106-3D35-4075-B206-676043B3320C}"/>
            </a:ext>
          </a:extLst>
        </xdr:cNvPr>
        <xdr:cNvSpPr>
          <a:spLocks noChangeArrowheads="1"/>
        </xdr:cNvSpPr>
      </xdr:nvSpPr>
      <xdr:spPr bwMode="auto">
        <a:xfrm>
          <a:off x="5067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590295E6-98C0-463F-8620-4FA16C2E522C}"/>
            </a:ext>
          </a:extLst>
        </xdr:cNvPr>
        <xdr:cNvSpPr>
          <a:spLocks/>
        </xdr:cNvSpPr>
      </xdr:nvSpPr>
      <xdr:spPr bwMode="auto">
        <a:xfrm>
          <a:off x="53086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68B9DB53-ACE2-4176-A83F-F9BEAE3A7299}"/>
            </a:ext>
          </a:extLst>
        </xdr:cNvPr>
        <xdr:cNvSpPr>
          <a:spLocks noChangeArrowheads="1"/>
        </xdr:cNvSpPr>
      </xdr:nvSpPr>
      <xdr:spPr bwMode="auto">
        <a:xfrm>
          <a:off x="6032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5FB5C741-8ADC-4E48-A2C9-33D3F2BB4086}"/>
            </a:ext>
          </a:extLst>
        </xdr:cNvPr>
        <xdr:cNvSpPr>
          <a:spLocks/>
        </xdr:cNvSpPr>
      </xdr:nvSpPr>
      <xdr:spPr bwMode="auto">
        <a:xfrm>
          <a:off x="62738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6E5CC6D8-22E2-423D-8D0C-930F810D61A6}"/>
            </a:ext>
          </a:extLst>
        </xdr:cNvPr>
        <xdr:cNvSpPr>
          <a:spLocks noChangeArrowheads="1"/>
        </xdr:cNvSpPr>
      </xdr:nvSpPr>
      <xdr:spPr bwMode="auto">
        <a:xfrm>
          <a:off x="6997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248E045-6E17-4560-85B2-63BAE3D32C24}"/>
            </a:ext>
          </a:extLst>
        </xdr:cNvPr>
        <xdr:cNvSpPr>
          <a:spLocks/>
        </xdr:cNvSpPr>
      </xdr:nvSpPr>
      <xdr:spPr bwMode="auto">
        <a:xfrm>
          <a:off x="7239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FE912EE9-EC6F-4173-A096-A105216A7B72}"/>
            </a:ext>
          </a:extLst>
        </xdr:cNvPr>
        <xdr:cNvSpPr>
          <a:spLocks/>
        </xdr:cNvSpPr>
      </xdr:nvSpPr>
      <xdr:spPr bwMode="auto">
        <a:xfrm>
          <a:off x="8204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66F90FB-07E2-4628-9FFE-3E2D48A1D5C7}"/>
            </a:ext>
          </a:extLst>
        </xdr:cNvPr>
        <xdr:cNvSpPr>
          <a:spLocks noChangeArrowheads="1"/>
        </xdr:cNvSpPr>
      </xdr:nvSpPr>
      <xdr:spPr bwMode="auto">
        <a:xfrm>
          <a:off x="241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E483625C-9774-4973-8BC5-5FE7CDBAAB27}"/>
            </a:ext>
          </a:extLst>
        </xdr:cNvPr>
        <xdr:cNvSpPr>
          <a:spLocks/>
        </xdr:cNvSpPr>
      </xdr:nvSpPr>
      <xdr:spPr bwMode="auto">
        <a:xfrm>
          <a:off x="4826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8895F2FD-8B72-4536-A514-E44474647F84}"/>
            </a:ext>
          </a:extLst>
        </xdr:cNvPr>
        <xdr:cNvSpPr>
          <a:spLocks noChangeArrowheads="1"/>
        </xdr:cNvSpPr>
      </xdr:nvSpPr>
      <xdr:spPr bwMode="auto">
        <a:xfrm>
          <a:off x="7962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319587AE-CE86-48F2-BA18-669E1FE1716C}"/>
            </a:ext>
          </a:extLst>
        </xdr:cNvPr>
        <xdr:cNvSpPr>
          <a:spLocks/>
        </xdr:cNvSpPr>
      </xdr:nvSpPr>
      <xdr:spPr bwMode="auto">
        <a:xfrm>
          <a:off x="9169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3BA75CC2-A593-49B4-A54E-6994ACB492A5}"/>
            </a:ext>
          </a:extLst>
        </xdr:cNvPr>
        <xdr:cNvSpPr>
          <a:spLocks noChangeArrowheads="1"/>
        </xdr:cNvSpPr>
      </xdr:nvSpPr>
      <xdr:spPr bwMode="auto">
        <a:xfrm>
          <a:off x="9893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C76859D5-D052-4CAB-BA52-3E507EB29909}"/>
            </a:ext>
          </a:extLst>
        </xdr:cNvPr>
        <xdr:cNvSpPr>
          <a:spLocks/>
        </xdr:cNvSpPr>
      </xdr:nvSpPr>
      <xdr:spPr bwMode="auto">
        <a:xfrm>
          <a:off x="10134600" y="75311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2B244194-7391-440C-96B5-0726324DEC19}"/>
            </a:ext>
          </a:extLst>
        </xdr:cNvPr>
        <xdr:cNvSpPr>
          <a:spLocks noChangeArrowheads="1"/>
        </xdr:cNvSpPr>
      </xdr:nvSpPr>
      <xdr:spPr bwMode="auto">
        <a:xfrm>
          <a:off x="12065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8A47D71-2DEA-4C60-A5DF-D795B6585D2C}"/>
            </a:ext>
          </a:extLst>
        </xdr:cNvPr>
        <xdr:cNvSpPr>
          <a:spLocks/>
        </xdr:cNvSpPr>
      </xdr:nvSpPr>
      <xdr:spPr bwMode="auto">
        <a:xfrm>
          <a:off x="14478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9257771E-64C9-4A7E-ADC0-9CD46E9BC23F}"/>
            </a:ext>
          </a:extLst>
        </xdr:cNvPr>
        <xdr:cNvSpPr>
          <a:spLocks noChangeArrowheads="1"/>
        </xdr:cNvSpPr>
      </xdr:nvSpPr>
      <xdr:spPr bwMode="auto">
        <a:xfrm>
          <a:off x="21717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FFFCCF75-0E56-4351-83E1-84EEAE0052E9}"/>
            </a:ext>
          </a:extLst>
        </xdr:cNvPr>
        <xdr:cNvSpPr>
          <a:spLocks/>
        </xdr:cNvSpPr>
      </xdr:nvSpPr>
      <xdr:spPr bwMode="auto">
        <a:xfrm>
          <a:off x="2413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1A60DF5E-1493-4FB5-95B5-796F7A5EEAD2}"/>
            </a:ext>
          </a:extLst>
        </xdr:cNvPr>
        <xdr:cNvSpPr>
          <a:spLocks noChangeArrowheads="1"/>
        </xdr:cNvSpPr>
      </xdr:nvSpPr>
      <xdr:spPr bwMode="auto">
        <a:xfrm>
          <a:off x="31369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5446B667-B74F-4F1B-B1D9-2028AB94C483}"/>
            </a:ext>
          </a:extLst>
        </xdr:cNvPr>
        <xdr:cNvSpPr>
          <a:spLocks/>
        </xdr:cNvSpPr>
      </xdr:nvSpPr>
      <xdr:spPr bwMode="auto">
        <a:xfrm>
          <a:off x="3378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B6DAD41F-6CCB-4780-9543-5B8AFA426563}"/>
            </a:ext>
          </a:extLst>
        </xdr:cNvPr>
        <xdr:cNvSpPr>
          <a:spLocks noChangeArrowheads="1"/>
        </xdr:cNvSpPr>
      </xdr:nvSpPr>
      <xdr:spPr bwMode="auto">
        <a:xfrm>
          <a:off x="41021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5A425A68-C25D-44DD-BEB1-89391D2AA8F7}"/>
            </a:ext>
          </a:extLst>
        </xdr:cNvPr>
        <xdr:cNvSpPr>
          <a:spLocks/>
        </xdr:cNvSpPr>
      </xdr:nvSpPr>
      <xdr:spPr bwMode="auto">
        <a:xfrm>
          <a:off x="4343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9343A7EF-6089-4136-AA15-513B08D60907}"/>
            </a:ext>
          </a:extLst>
        </xdr:cNvPr>
        <xdr:cNvSpPr>
          <a:spLocks noChangeArrowheads="1"/>
        </xdr:cNvSpPr>
      </xdr:nvSpPr>
      <xdr:spPr bwMode="auto">
        <a:xfrm>
          <a:off x="5067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E4811127-4676-4906-A49E-371701BE49CE}"/>
            </a:ext>
          </a:extLst>
        </xdr:cNvPr>
        <xdr:cNvSpPr>
          <a:spLocks/>
        </xdr:cNvSpPr>
      </xdr:nvSpPr>
      <xdr:spPr bwMode="auto">
        <a:xfrm>
          <a:off x="53086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0A255F4-AE8C-485F-A541-54CFCD146E6D}"/>
            </a:ext>
          </a:extLst>
        </xdr:cNvPr>
        <xdr:cNvSpPr>
          <a:spLocks/>
        </xdr:cNvSpPr>
      </xdr:nvSpPr>
      <xdr:spPr bwMode="auto">
        <a:xfrm>
          <a:off x="62738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DCCFBFF5-DEFC-4D9A-9A7F-171E1AD5BFCB}"/>
            </a:ext>
          </a:extLst>
        </xdr:cNvPr>
        <xdr:cNvSpPr>
          <a:spLocks noChangeArrowheads="1"/>
        </xdr:cNvSpPr>
      </xdr:nvSpPr>
      <xdr:spPr bwMode="auto">
        <a:xfrm>
          <a:off x="69977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20608FE3-ED73-4937-81DC-0C70D92CC935}"/>
            </a:ext>
          </a:extLst>
        </xdr:cNvPr>
        <xdr:cNvSpPr>
          <a:spLocks/>
        </xdr:cNvSpPr>
      </xdr:nvSpPr>
      <xdr:spPr bwMode="auto">
        <a:xfrm>
          <a:off x="7239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CF0BF71E-EFFA-44CC-BA7F-9D6CA2E9B76F}"/>
            </a:ext>
          </a:extLst>
        </xdr:cNvPr>
        <xdr:cNvSpPr>
          <a:spLocks noChangeArrowheads="1"/>
        </xdr:cNvSpPr>
      </xdr:nvSpPr>
      <xdr:spPr bwMode="auto">
        <a:xfrm>
          <a:off x="7962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282C26E0-1CD1-4D56-B79D-99E5DABEF2FA}"/>
            </a:ext>
          </a:extLst>
        </xdr:cNvPr>
        <xdr:cNvSpPr>
          <a:spLocks/>
        </xdr:cNvSpPr>
      </xdr:nvSpPr>
      <xdr:spPr bwMode="auto">
        <a:xfrm>
          <a:off x="8204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D3080018-308D-4F24-B603-CF1FB5D01288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CCAF5A9E-55F2-44C9-A55C-A3E955B52A3A}"/>
            </a:ext>
          </a:extLst>
        </xdr:cNvPr>
        <xdr:cNvSpPr>
          <a:spLocks/>
        </xdr:cNvSpPr>
      </xdr:nvSpPr>
      <xdr:spPr bwMode="auto">
        <a:xfrm>
          <a:off x="4826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8857C46F-CD01-4E36-891D-CF9B1C6A9A83}"/>
            </a:ext>
          </a:extLst>
        </xdr:cNvPr>
        <xdr:cNvSpPr>
          <a:spLocks noChangeArrowheads="1"/>
        </xdr:cNvSpPr>
      </xdr:nvSpPr>
      <xdr:spPr bwMode="auto">
        <a:xfrm>
          <a:off x="89281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5E6986BD-FA94-4C9F-B067-C8FA4F772CF0}"/>
            </a:ext>
          </a:extLst>
        </xdr:cNvPr>
        <xdr:cNvSpPr>
          <a:spLocks/>
        </xdr:cNvSpPr>
      </xdr:nvSpPr>
      <xdr:spPr bwMode="auto">
        <a:xfrm>
          <a:off x="9169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A0FC6718-6A19-468E-90C4-98322AAA926B}"/>
            </a:ext>
          </a:extLst>
        </xdr:cNvPr>
        <xdr:cNvSpPr>
          <a:spLocks noChangeArrowheads="1"/>
        </xdr:cNvSpPr>
      </xdr:nvSpPr>
      <xdr:spPr bwMode="auto">
        <a:xfrm>
          <a:off x="98933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158750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BB85A22B-AF6E-4903-B330-BC3D5506FA62}"/>
            </a:ext>
          </a:extLst>
        </xdr:cNvPr>
        <xdr:cNvSpPr>
          <a:spLocks/>
        </xdr:cNvSpPr>
      </xdr:nvSpPr>
      <xdr:spPr bwMode="auto">
        <a:xfrm>
          <a:off x="10134600" y="10598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4159A40D-AF55-48DF-AFD0-B77158295F99}"/>
            </a:ext>
          </a:extLst>
        </xdr:cNvPr>
        <xdr:cNvSpPr>
          <a:spLocks noChangeArrowheads="1"/>
        </xdr:cNvSpPr>
      </xdr:nvSpPr>
      <xdr:spPr bwMode="auto">
        <a:xfrm>
          <a:off x="12065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106F8076-24F5-47B3-B53F-573F6D96C7C9}"/>
            </a:ext>
          </a:extLst>
        </xdr:cNvPr>
        <xdr:cNvSpPr>
          <a:spLocks/>
        </xdr:cNvSpPr>
      </xdr:nvSpPr>
      <xdr:spPr bwMode="auto">
        <a:xfrm>
          <a:off x="14478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F399E481-4C23-4260-AD71-DF697E152070}"/>
            </a:ext>
          </a:extLst>
        </xdr:cNvPr>
        <xdr:cNvSpPr>
          <a:spLocks noChangeArrowheads="1"/>
        </xdr:cNvSpPr>
      </xdr:nvSpPr>
      <xdr:spPr bwMode="auto">
        <a:xfrm>
          <a:off x="2171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822C0FBB-95CF-4D98-B2AB-58C18D2D6BE9}"/>
            </a:ext>
          </a:extLst>
        </xdr:cNvPr>
        <xdr:cNvSpPr>
          <a:spLocks/>
        </xdr:cNvSpPr>
      </xdr:nvSpPr>
      <xdr:spPr bwMode="auto">
        <a:xfrm>
          <a:off x="2413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99E5932B-D9E1-41E6-A539-461389AC47D1}"/>
            </a:ext>
          </a:extLst>
        </xdr:cNvPr>
        <xdr:cNvSpPr>
          <a:spLocks noChangeArrowheads="1"/>
        </xdr:cNvSpPr>
      </xdr:nvSpPr>
      <xdr:spPr bwMode="auto">
        <a:xfrm>
          <a:off x="3136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2682116C-41E5-4DF4-A646-07FA52AD48B6}"/>
            </a:ext>
          </a:extLst>
        </xdr:cNvPr>
        <xdr:cNvSpPr>
          <a:spLocks/>
        </xdr:cNvSpPr>
      </xdr:nvSpPr>
      <xdr:spPr bwMode="auto">
        <a:xfrm>
          <a:off x="3378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63EC2729-BDA6-4E99-AF54-D2A6F77AD655}"/>
            </a:ext>
          </a:extLst>
        </xdr:cNvPr>
        <xdr:cNvSpPr>
          <a:spLocks noChangeArrowheads="1"/>
        </xdr:cNvSpPr>
      </xdr:nvSpPr>
      <xdr:spPr bwMode="auto">
        <a:xfrm>
          <a:off x="4102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FB3E82BB-CC5A-4618-BB04-382C29F56DA8}"/>
            </a:ext>
          </a:extLst>
        </xdr:cNvPr>
        <xdr:cNvSpPr>
          <a:spLocks/>
        </xdr:cNvSpPr>
      </xdr:nvSpPr>
      <xdr:spPr bwMode="auto">
        <a:xfrm>
          <a:off x="4343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075E8FF-A79D-4C73-A44B-337D92646F39}"/>
            </a:ext>
          </a:extLst>
        </xdr:cNvPr>
        <xdr:cNvSpPr>
          <a:spLocks noChangeArrowheads="1"/>
        </xdr:cNvSpPr>
      </xdr:nvSpPr>
      <xdr:spPr bwMode="auto">
        <a:xfrm>
          <a:off x="50673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EA77AC71-A025-4371-99F4-E5FD9AA2C867}"/>
            </a:ext>
          </a:extLst>
        </xdr:cNvPr>
        <xdr:cNvSpPr>
          <a:spLocks noChangeArrowheads="1"/>
        </xdr:cNvSpPr>
      </xdr:nvSpPr>
      <xdr:spPr bwMode="auto">
        <a:xfrm>
          <a:off x="60325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F9BF20D-AE10-4793-AFD6-AAFBCE0796E4}"/>
            </a:ext>
          </a:extLst>
        </xdr:cNvPr>
        <xdr:cNvSpPr>
          <a:spLocks/>
        </xdr:cNvSpPr>
      </xdr:nvSpPr>
      <xdr:spPr bwMode="auto">
        <a:xfrm>
          <a:off x="62738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78A406E4-7EFF-43C9-B1A2-FE02F851FFC0}"/>
            </a:ext>
          </a:extLst>
        </xdr:cNvPr>
        <xdr:cNvSpPr>
          <a:spLocks noChangeArrowheads="1"/>
        </xdr:cNvSpPr>
      </xdr:nvSpPr>
      <xdr:spPr bwMode="auto">
        <a:xfrm>
          <a:off x="6997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C656606C-766B-4C16-A211-9808BCA9F23D}"/>
            </a:ext>
          </a:extLst>
        </xdr:cNvPr>
        <xdr:cNvSpPr>
          <a:spLocks/>
        </xdr:cNvSpPr>
      </xdr:nvSpPr>
      <xdr:spPr bwMode="auto">
        <a:xfrm>
          <a:off x="7239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FE1EC1B3-277B-4A0E-945A-45062C3555CE}"/>
            </a:ext>
          </a:extLst>
        </xdr:cNvPr>
        <xdr:cNvSpPr>
          <a:spLocks noChangeArrowheads="1"/>
        </xdr:cNvSpPr>
      </xdr:nvSpPr>
      <xdr:spPr bwMode="auto">
        <a:xfrm>
          <a:off x="79629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CEAC6127-79E3-40C8-A01B-36A5C310B506}"/>
            </a:ext>
          </a:extLst>
        </xdr:cNvPr>
        <xdr:cNvSpPr>
          <a:spLocks/>
        </xdr:cNvSpPr>
      </xdr:nvSpPr>
      <xdr:spPr bwMode="auto">
        <a:xfrm>
          <a:off x="8204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8302A653-25F9-4676-8135-D229D133F411}"/>
            </a:ext>
          </a:extLst>
        </xdr:cNvPr>
        <xdr:cNvSpPr>
          <a:spLocks noChangeArrowheads="1"/>
        </xdr:cNvSpPr>
      </xdr:nvSpPr>
      <xdr:spPr bwMode="auto">
        <a:xfrm>
          <a:off x="241300" y="123698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214936D7-33E7-40E8-AC9C-DE8AF477AE7E}"/>
            </a:ext>
          </a:extLst>
        </xdr:cNvPr>
        <xdr:cNvSpPr>
          <a:spLocks/>
        </xdr:cNvSpPr>
      </xdr:nvSpPr>
      <xdr:spPr bwMode="auto">
        <a:xfrm>
          <a:off x="4826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C42CFC09-2BF1-413B-ABB3-AB292FFB6D5E}"/>
            </a:ext>
          </a:extLst>
        </xdr:cNvPr>
        <xdr:cNvSpPr>
          <a:spLocks noChangeArrowheads="1"/>
        </xdr:cNvSpPr>
      </xdr:nvSpPr>
      <xdr:spPr bwMode="auto">
        <a:xfrm>
          <a:off x="8928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3F06C6D-AA74-4A12-99F1-FEA07AFF36A6}"/>
            </a:ext>
          </a:extLst>
        </xdr:cNvPr>
        <xdr:cNvSpPr>
          <a:spLocks/>
        </xdr:cNvSpPr>
      </xdr:nvSpPr>
      <xdr:spPr bwMode="auto">
        <a:xfrm>
          <a:off x="9169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158750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99233EB2-1379-4E3D-8B17-E1FF85CE2834}"/>
            </a:ext>
          </a:extLst>
        </xdr:cNvPr>
        <xdr:cNvSpPr>
          <a:spLocks/>
        </xdr:cNvSpPr>
      </xdr:nvSpPr>
      <xdr:spPr bwMode="auto">
        <a:xfrm>
          <a:off x="10134600" y="12357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81</xdr:row>
      <xdr:rowOff>139700</xdr:rowOff>
    </xdr:from>
    <xdr:to>
      <xdr:col>10</xdr:col>
      <xdr:colOff>12700</xdr:colOff>
      <xdr:row>82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1C1550E7-ECD7-491F-82C2-2459AEEBE00A}"/>
            </a:ext>
          </a:extLst>
        </xdr:cNvPr>
        <xdr:cNvSpPr>
          <a:spLocks/>
        </xdr:cNvSpPr>
      </xdr:nvSpPr>
      <xdr:spPr bwMode="auto">
        <a:xfrm>
          <a:off x="14478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81</xdr:row>
      <xdr:rowOff>171450</xdr:rowOff>
    </xdr:from>
    <xdr:to>
      <xdr:col>11</xdr:col>
      <xdr:colOff>0</xdr:colOff>
      <xdr:row>84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E50A0513-7E4F-4ED2-9C59-DF31221016DA}"/>
            </a:ext>
          </a:extLst>
        </xdr:cNvPr>
        <xdr:cNvSpPr>
          <a:spLocks noChangeArrowheads="1"/>
        </xdr:cNvSpPr>
      </xdr:nvSpPr>
      <xdr:spPr bwMode="auto">
        <a:xfrm>
          <a:off x="2171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81</xdr:row>
      <xdr:rowOff>139700</xdr:rowOff>
    </xdr:from>
    <xdr:to>
      <xdr:col>14</xdr:col>
      <xdr:colOff>0</xdr:colOff>
      <xdr:row>82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67DDC9AB-54A0-420F-9DF6-A94A34457A4D}"/>
            </a:ext>
          </a:extLst>
        </xdr:cNvPr>
        <xdr:cNvSpPr>
          <a:spLocks/>
        </xdr:cNvSpPr>
      </xdr:nvSpPr>
      <xdr:spPr bwMode="auto">
        <a:xfrm>
          <a:off x="2413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81</xdr:row>
      <xdr:rowOff>139700</xdr:rowOff>
    </xdr:from>
    <xdr:to>
      <xdr:col>18</xdr:col>
      <xdr:colOff>0</xdr:colOff>
      <xdr:row>82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8E907EBE-AA28-4B0F-90E1-EA7F660970A8}"/>
            </a:ext>
          </a:extLst>
        </xdr:cNvPr>
        <xdr:cNvSpPr>
          <a:spLocks/>
        </xdr:cNvSpPr>
      </xdr:nvSpPr>
      <xdr:spPr bwMode="auto">
        <a:xfrm>
          <a:off x="3378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81</xdr:row>
      <xdr:rowOff>171450</xdr:rowOff>
    </xdr:from>
    <xdr:to>
      <xdr:col>19</xdr:col>
      <xdr:colOff>0</xdr:colOff>
      <xdr:row>84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6DDE95AB-BBFB-477B-92EB-697DAAB6FB5E}"/>
            </a:ext>
          </a:extLst>
        </xdr:cNvPr>
        <xdr:cNvSpPr>
          <a:spLocks noChangeArrowheads="1"/>
        </xdr:cNvSpPr>
      </xdr:nvSpPr>
      <xdr:spPr bwMode="auto">
        <a:xfrm>
          <a:off x="41021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81</xdr:row>
      <xdr:rowOff>139700</xdr:rowOff>
    </xdr:from>
    <xdr:to>
      <xdr:col>22</xdr:col>
      <xdr:colOff>0</xdr:colOff>
      <xdr:row>82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1060C770-20E9-4912-A383-EFF58E9107BB}"/>
            </a:ext>
          </a:extLst>
        </xdr:cNvPr>
        <xdr:cNvSpPr>
          <a:spLocks/>
        </xdr:cNvSpPr>
      </xdr:nvSpPr>
      <xdr:spPr bwMode="auto">
        <a:xfrm>
          <a:off x="4343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81</xdr:row>
      <xdr:rowOff>139700</xdr:rowOff>
    </xdr:from>
    <xdr:to>
      <xdr:col>26</xdr:col>
      <xdr:colOff>0</xdr:colOff>
      <xdr:row>82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3190320A-F56A-4D31-A6C6-C8173A0A9313}"/>
            </a:ext>
          </a:extLst>
        </xdr:cNvPr>
        <xdr:cNvSpPr>
          <a:spLocks/>
        </xdr:cNvSpPr>
      </xdr:nvSpPr>
      <xdr:spPr bwMode="auto">
        <a:xfrm>
          <a:off x="53086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81</xdr:row>
      <xdr:rowOff>139700</xdr:rowOff>
    </xdr:from>
    <xdr:to>
      <xdr:col>30</xdr:col>
      <xdr:colOff>0</xdr:colOff>
      <xdr:row>82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21080676-5E77-40E2-BE53-CFC1A51F152E}"/>
            </a:ext>
          </a:extLst>
        </xdr:cNvPr>
        <xdr:cNvSpPr>
          <a:spLocks/>
        </xdr:cNvSpPr>
      </xdr:nvSpPr>
      <xdr:spPr bwMode="auto">
        <a:xfrm>
          <a:off x="62738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81</xdr:row>
      <xdr:rowOff>139700</xdr:rowOff>
    </xdr:from>
    <xdr:to>
      <xdr:col>34</xdr:col>
      <xdr:colOff>0</xdr:colOff>
      <xdr:row>82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99F06B12-3B06-4F9E-A464-3D1DCB37255F}"/>
            </a:ext>
          </a:extLst>
        </xdr:cNvPr>
        <xdr:cNvSpPr>
          <a:spLocks/>
        </xdr:cNvSpPr>
      </xdr:nvSpPr>
      <xdr:spPr bwMode="auto">
        <a:xfrm>
          <a:off x="7239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81</xdr:row>
      <xdr:rowOff>171450</xdr:rowOff>
    </xdr:from>
    <xdr:to>
      <xdr:col>35</xdr:col>
      <xdr:colOff>0</xdr:colOff>
      <xdr:row>84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3E468D24-B77E-46C6-A656-9118F5B7E946}"/>
            </a:ext>
          </a:extLst>
        </xdr:cNvPr>
        <xdr:cNvSpPr>
          <a:spLocks noChangeArrowheads="1"/>
        </xdr:cNvSpPr>
      </xdr:nvSpPr>
      <xdr:spPr bwMode="auto">
        <a:xfrm>
          <a:off x="7962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81</xdr:row>
      <xdr:rowOff>139700</xdr:rowOff>
    </xdr:from>
    <xdr:to>
      <xdr:col>38</xdr:col>
      <xdr:colOff>0</xdr:colOff>
      <xdr:row>82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E67925C9-E23E-41CE-9937-DB19AE8637A3}"/>
            </a:ext>
          </a:extLst>
        </xdr:cNvPr>
        <xdr:cNvSpPr>
          <a:spLocks/>
        </xdr:cNvSpPr>
      </xdr:nvSpPr>
      <xdr:spPr bwMode="auto">
        <a:xfrm>
          <a:off x="8204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81</xdr:row>
      <xdr:rowOff>171450</xdr:rowOff>
    </xdr:from>
    <xdr:to>
      <xdr:col>3</xdr:col>
      <xdr:colOff>0</xdr:colOff>
      <xdr:row>84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6A868C87-6FF5-421D-BB9E-699D3517DE5D}"/>
            </a:ext>
          </a:extLst>
        </xdr:cNvPr>
        <xdr:cNvSpPr>
          <a:spLocks noChangeArrowheads="1"/>
        </xdr:cNvSpPr>
      </xdr:nvSpPr>
      <xdr:spPr bwMode="auto">
        <a:xfrm>
          <a:off x="241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81</xdr:row>
      <xdr:rowOff>139700</xdr:rowOff>
    </xdr:from>
    <xdr:to>
      <xdr:col>6</xdr:col>
      <xdr:colOff>12700</xdr:colOff>
      <xdr:row>82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F7973265-CE04-44C1-938D-AA5D73EE8C02}"/>
            </a:ext>
          </a:extLst>
        </xdr:cNvPr>
        <xdr:cNvSpPr>
          <a:spLocks/>
        </xdr:cNvSpPr>
      </xdr:nvSpPr>
      <xdr:spPr bwMode="auto">
        <a:xfrm>
          <a:off x="4826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81</xdr:row>
      <xdr:rowOff>171450</xdr:rowOff>
    </xdr:from>
    <xdr:to>
      <xdr:col>39</xdr:col>
      <xdr:colOff>0</xdr:colOff>
      <xdr:row>84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E4893D9C-3E6A-47A2-BF80-D82BE0F9ED8B}"/>
            </a:ext>
          </a:extLst>
        </xdr:cNvPr>
        <xdr:cNvSpPr>
          <a:spLocks noChangeArrowheads="1"/>
        </xdr:cNvSpPr>
      </xdr:nvSpPr>
      <xdr:spPr bwMode="auto">
        <a:xfrm>
          <a:off x="89281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D89B4C67-E51E-40EF-8F2E-C84AB910944B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81</xdr:row>
      <xdr:rowOff>152400</xdr:rowOff>
    </xdr:from>
    <xdr:to>
      <xdr:col>45</xdr:col>
      <xdr:colOff>254000</xdr:colOff>
      <xdr:row>82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940A22D3-E30A-491D-8C57-F05A9657C064}"/>
            </a:ext>
          </a:extLst>
        </xdr:cNvPr>
        <xdr:cNvSpPr>
          <a:spLocks/>
        </xdr:cNvSpPr>
      </xdr:nvSpPr>
      <xdr:spPr bwMode="auto">
        <a:xfrm>
          <a:off x="10134600" y="139319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89</xdr:row>
      <xdr:rowOff>139700</xdr:rowOff>
    </xdr:from>
    <xdr:to>
      <xdr:col>10</xdr:col>
      <xdr:colOff>12700</xdr:colOff>
      <xdr:row>90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DA314BA9-8C32-4797-84BA-10BF7C044768}"/>
            </a:ext>
          </a:extLst>
        </xdr:cNvPr>
        <xdr:cNvSpPr>
          <a:spLocks/>
        </xdr:cNvSpPr>
      </xdr:nvSpPr>
      <xdr:spPr bwMode="auto">
        <a:xfrm>
          <a:off x="14478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89</xdr:row>
      <xdr:rowOff>139700</xdr:rowOff>
    </xdr:from>
    <xdr:to>
      <xdr:col>14</xdr:col>
      <xdr:colOff>0</xdr:colOff>
      <xdr:row>90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935F0CCC-1253-4C20-807D-15ED4BEF51AE}"/>
            </a:ext>
          </a:extLst>
        </xdr:cNvPr>
        <xdr:cNvSpPr>
          <a:spLocks/>
        </xdr:cNvSpPr>
      </xdr:nvSpPr>
      <xdr:spPr bwMode="auto">
        <a:xfrm>
          <a:off x="2413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89</xdr:row>
      <xdr:rowOff>139700</xdr:rowOff>
    </xdr:from>
    <xdr:to>
      <xdr:col>18</xdr:col>
      <xdr:colOff>0</xdr:colOff>
      <xdr:row>90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83240108-7C13-43C4-8B57-568A97503454}"/>
            </a:ext>
          </a:extLst>
        </xdr:cNvPr>
        <xdr:cNvSpPr>
          <a:spLocks/>
        </xdr:cNvSpPr>
      </xdr:nvSpPr>
      <xdr:spPr bwMode="auto">
        <a:xfrm>
          <a:off x="3378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89</xdr:row>
      <xdr:rowOff>171450</xdr:rowOff>
    </xdr:from>
    <xdr:to>
      <xdr:col>19</xdr:col>
      <xdr:colOff>0</xdr:colOff>
      <xdr:row>92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DFE67FCC-67CC-4ACA-BE36-4B8A8DB5DC2F}"/>
            </a:ext>
          </a:extLst>
        </xdr:cNvPr>
        <xdr:cNvSpPr>
          <a:spLocks noChangeArrowheads="1"/>
        </xdr:cNvSpPr>
      </xdr:nvSpPr>
      <xdr:spPr bwMode="auto">
        <a:xfrm>
          <a:off x="41021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89</xdr:row>
      <xdr:rowOff>139700</xdr:rowOff>
    </xdr:from>
    <xdr:to>
      <xdr:col>22</xdr:col>
      <xdr:colOff>0</xdr:colOff>
      <xdr:row>90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6F58A87E-A470-4C9E-8182-E33BD84B32BB}"/>
            </a:ext>
          </a:extLst>
        </xdr:cNvPr>
        <xdr:cNvSpPr>
          <a:spLocks/>
        </xdr:cNvSpPr>
      </xdr:nvSpPr>
      <xdr:spPr bwMode="auto">
        <a:xfrm>
          <a:off x="4343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89</xdr:row>
      <xdr:rowOff>171450</xdr:rowOff>
    </xdr:from>
    <xdr:to>
      <xdr:col>23</xdr:col>
      <xdr:colOff>0</xdr:colOff>
      <xdr:row>92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5935589B-CF91-4475-8F40-6FFF308B6273}"/>
            </a:ext>
          </a:extLst>
        </xdr:cNvPr>
        <xdr:cNvSpPr>
          <a:spLocks noChangeArrowheads="1"/>
        </xdr:cNvSpPr>
      </xdr:nvSpPr>
      <xdr:spPr bwMode="auto">
        <a:xfrm>
          <a:off x="5067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89</xdr:row>
      <xdr:rowOff>139700</xdr:rowOff>
    </xdr:from>
    <xdr:to>
      <xdr:col>26</xdr:col>
      <xdr:colOff>0</xdr:colOff>
      <xdr:row>90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AF337C97-2065-41FD-9CB3-940E3145D5FD}"/>
            </a:ext>
          </a:extLst>
        </xdr:cNvPr>
        <xdr:cNvSpPr>
          <a:spLocks/>
        </xdr:cNvSpPr>
      </xdr:nvSpPr>
      <xdr:spPr bwMode="auto">
        <a:xfrm>
          <a:off x="53086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89</xdr:row>
      <xdr:rowOff>139700</xdr:rowOff>
    </xdr:from>
    <xdr:to>
      <xdr:col>30</xdr:col>
      <xdr:colOff>0</xdr:colOff>
      <xdr:row>90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240D20A0-A0D6-41A3-B875-DEF0E2138F24}"/>
            </a:ext>
          </a:extLst>
        </xdr:cNvPr>
        <xdr:cNvSpPr>
          <a:spLocks/>
        </xdr:cNvSpPr>
      </xdr:nvSpPr>
      <xdr:spPr bwMode="auto">
        <a:xfrm>
          <a:off x="62738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89</xdr:row>
      <xdr:rowOff>171450</xdr:rowOff>
    </xdr:from>
    <xdr:to>
      <xdr:col>31</xdr:col>
      <xdr:colOff>0</xdr:colOff>
      <xdr:row>92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AB48CD-7C93-4D5D-8EE5-FF9555398001}"/>
            </a:ext>
          </a:extLst>
        </xdr:cNvPr>
        <xdr:cNvSpPr>
          <a:spLocks noChangeArrowheads="1"/>
        </xdr:cNvSpPr>
      </xdr:nvSpPr>
      <xdr:spPr bwMode="auto">
        <a:xfrm>
          <a:off x="69977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89</xdr:row>
      <xdr:rowOff>139700</xdr:rowOff>
    </xdr:from>
    <xdr:to>
      <xdr:col>34</xdr:col>
      <xdr:colOff>0</xdr:colOff>
      <xdr:row>90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2D81723D-18BF-46B5-96EB-CB51C1B51848}"/>
            </a:ext>
          </a:extLst>
        </xdr:cNvPr>
        <xdr:cNvSpPr>
          <a:spLocks/>
        </xdr:cNvSpPr>
      </xdr:nvSpPr>
      <xdr:spPr bwMode="auto">
        <a:xfrm>
          <a:off x="7239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89</xdr:row>
      <xdr:rowOff>171450</xdr:rowOff>
    </xdr:from>
    <xdr:to>
      <xdr:col>35</xdr:col>
      <xdr:colOff>0</xdr:colOff>
      <xdr:row>92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A6818159-FB17-419B-9F9C-5DA307026261}"/>
            </a:ext>
          </a:extLst>
        </xdr:cNvPr>
        <xdr:cNvSpPr>
          <a:spLocks noChangeArrowheads="1"/>
        </xdr:cNvSpPr>
      </xdr:nvSpPr>
      <xdr:spPr bwMode="auto">
        <a:xfrm>
          <a:off x="7962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89</xdr:row>
      <xdr:rowOff>139700</xdr:rowOff>
    </xdr:from>
    <xdr:to>
      <xdr:col>38</xdr:col>
      <xdr:colOff>0</xdr:colOff>
      <xdr:row>90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387044FD-1FE0-4584-8BE4-C5A3248F3D58}"/>
            </a:ext>
          </a:extLst>
        </xdr:cNvPr>
        <xdr:cNvSpPr>
          <a:spLocks/>
        </xdr:cNvSpPr>
      </xdr:nvSpPr>
      <xdr:spPr bwMode="auto">
        <a:xfrm>
          <a:off x="8204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139700</xdr:rowOff>
    </xdr:from>
    <xdr:to>
      <xdr:col>6</xdr:col>
      <xdr:colOff>12700</xdr:colOff>
      <xdr:row>90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242A585-5140-4544-8D57-8EBC612DD1EE}"/>
            </a:ext>
          </a:extLst>
        </xdr:cNvPr>
        <xdr:cNvSpPr>
          <a:spLocks/>
        </xdr:cNvSpPr>
      </xdr:nvSpPr>
      <xdr:spPr bwMode="auto">
        <a:xfrm>
          <a:off x="4826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89</xdr:row>
      <xdr:rowOff>171450</xdr:rowOff>
    </xdr:from>
    <xdr:to>
      <xdr:col>39</xdr:col>
      <xdr:colOff>0</xdr:colOff>
      <xdr:row>92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D39BBC98-8EAF-45D5-BF31-320083413F58}"/>
            </a:ext>
          </a:extLst>
        </xdr:cNvPr>
        <xdr:cNvSpPr>
          <a:spLocks noChangeArrowheads="1"/>
        </xdr:cNvSpPr>
      </xdr:nvSpPr>
      <xdr:spPr bwMode="auto">
        <a:xfrm>
          <a:off x="89281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89</xdr:row>
      <xdr:rowOff>139700</xdr:rowOff>
    </xdr:from>
    <xdr:to>
      <xdr:col>42</xdr:col>
      <xdr:colOff>0</xdr:colOff>
      <xdr:row>90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89EAF16C-0A68-4F4C-A05D-A1017CA13DEF}"/>
            </a:ext>
          </a:extLst>
        </xdr:cNvPr>
        <xdr:cNvSpPr>
          <a:spLocks/>
        </xdr:cNvSpPr>
      </xdr:nvSpPr>
      <xdr:spPr bwMode="auto">
        <a:xfrm>
          <a:off x="9169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89</xdr:row>
      <xdr:rowOff>158750</xdr:rowOff>
    </xdr:from>
    <xdr:to>
      <xdr:col>45</xdr:col>
      <xdr:colOff>254000</xdr:colOff>
      <xdr:row>90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BF73E7D7-26CE-420D-AC79-46C05BDED198}"/>
            </a:ext>
          </a:extLst>
        </xdr:cNvPr>
        <xdr:cNvSpPr>
          <a:spLocks/>
        </xdr:cNvSpPr>
      </xdr:nvSpPr>
      <xdr:spPr bwMode="auto">
        <a:xfrm>
          <a:off x="10134600" y="153416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97</xdr:row>
      <xdr:rowOff>165100</xdr:rowOff>
    </xdr:from>
    <xdr:to>
      <xdr:col>7</xdr:col>
      <xdr:colOff>0</xdr:colOff>
      <xdr:row>100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B1ADA85B-8CE6-4A2B-8CC6-3F411D1DC063}"/>
            </a:ext>
          </a:extLst>
        </xdr:cNvPr>
        <xdr:cNvSpPr>
          <a:spLocks noChangeArrowheads="1"/>
        </xdr:cNvSpPr>
      </xdr:nvSpPr>
      <xdr:spPr bwMode="auto">
        <a:xfrm>
          <a:off x="1206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97</xdr:row>
      <xdr:rowOff>139700</xdr:rowOff>
    </xdr:from>
    <xdr:to>
      <xdr:col>10</xdr:col>
      <xdr:colOff>12700</xdr:colOff>
      <xdr:row>98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C7B2F8B3-085A-4315-9A10-FFB1D0559D4D}"/>
            </a:ext>
          </a:extLst>
        </xdr:cNvPr>
        <xdr:cNvSpPr>
          <a:spLocks/>
        </xdr:cNvSpPr>
      </xdr:nvSpPr>
      <xdr:spPr bwMode="auto">
        <a:xfrm>
          <a:off x="14478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97</xdr:row>
      <xdr:rowOff>139700</xdr:rowOff>
    </xdr:from>
    <xdr:to>
      <xdr:col>14</xdr:col>
      <xdr:colOff>0</xdr:colOff>
      <xdr:row>98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5AC96A32-C0DE-4DCC-ABEB-12DFEB028550}"/>
            </a:ext>
          </a:extLst>
        </xdr:cNvPr>
        <xdr:cNvSpPr>
          <a:spLocks/>
        </xdr:cNvSpPr>
      </xdr:nvSpPr>
      <xdr:spPr bwMode="auto">
        <a:xfrm>
          <a:off x="2413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C11F8A2F-B020-4270-91C0-A233A94B2D81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97</xdr:row>
      <xdr:rowOff>139700</xdr:rowOff>
    </xdr:from>
    <xdr:to>
      <xdr:col>22</xdr:col>
      <xdr:colOff>0</xdr:colOff>
      <xdr:row>98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CFB07C06-0DA8-408D-B26C-94ED6E6AE125}"/>
            </a:ext>
          </a:extLst>
        </xdr:cNvPr>
        <xdr:cNvSpPr>
          <a:spLocks/>
        </xdr:cNvSpPr>
      </xdr:nvSpPr>
      <xdr:spPr bwMode="auto">
        <a:xfrm>
          <a:off x="4343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97</xdr:row>
      <xdr:rowOff>165100</xdr:rowOff>
    </xdr:from>
    <xdr:to>
      <xdr:col>23</xdr:col>
      <xdr:colOff>0</xdr:colOff>
      <xdr:row>100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A59F5435-40B1-4441-80EF-AA57BA31E5B2}"/>
            </a:ext>
          </a:extLst>
        </xdr:cNvPr>
        <xdr:cNvSpPr>
          <a:spLocks noChangeArrowheads="1"/>
        </xdr:cNvSpPr>
      </xdr:nvSpPr>
      <xdr:spPr bwMode="auto">
        <a:xfrm>
          <a:off x="5067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97</xdr:row>
      <xdr:rowOff>139700</xdr:rowOff>
    </xdr:from>
    <xdr:to>
      <xdr:col>26</xdr:col>
      <xdr:colOff>0</xdr:colOff>
      <xdr:row>98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DB453503-C72F-4447-8A0C-14B222D494AE}"/>
            </a:ext>
          </a:extLst>
        </xdr:cNvPr>
        <xdr:cNvSpPr>
          <a:spLocks/>
        </xdr:cNvSpPr>
      </xdr:nvSpPr>
      <xdr:spPr bwMode="auto">
        <a:xfrm>
          <a:off x="53086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700F907F-CF19-4E9C-9A87-EB2177E8C9D3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97</xdr:row>
      <xdr:rowOff>139700</xdr:rowOff>
    </xdr:from>
    <xdr:to>
      <xdr:col>30</xdr:col>
      <xdr:colOff>0</xdr:colOff>
      <xdr:row>98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FD1B7904-9D11-4069-AC3F-91B95CEC14CF}"/>
            </a:ext>
          </a:extLst>
        </xdr:cNvPr>
        <xdr:cNvSpPr>
          <a:spLocks/>
        </xdr:cNvSpPr>
      </xdr:nvSpPr>
      <xdr:spPr bwMode="auto">
        <a:xfrm>
          <a:off x="62738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07460322-4D06-4F61-ADE0-B56032DE0125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97</xdr:row>
      <xdr:rowOff>139700</xdr:rowOff>
    </xdr:from>
    <xdr:to>
      <xdr:col>34</xdr:col>
      <xdr:colOff>0</xdr:colOff>
      <xdr:row>98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13886FC0-5297-45A3-8ABA-80749AED6DCB}"/>
            </a:ext>
          </a:extLst>
        </xdr:cNvPr>
        <xdr:cNvSpPr>
          <a:spLocks/>
        </xdr:cNvSpPr>
      </xdr:nvSpPr>
      <xdr:spPr bwMode="auto">
        <a:xfrm>
          <a:off x="7239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97</xdr:row>
      <xdr:rowOff>139700</xdr:rowOff>
    </xdr:from>
    <xdr:to>
      <xdr:col>38</xdr:col>
      <xdr:colOff>0</xdr:colOff>
      <xdr:row>98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52ED1797-031D-4575-B7D6-A46750FD0D07}"/>
            </a:ext>
          </a:extLst>
        </xdr:cNvPr>
        <xdr:cNvSpPr>
          <a:spLocks/>
        </xdr:cNvSpPr>
      </xdr:nvSpPr>
      <xdr:spPr bwMode="auto">
        <a:xfrm>
          <a:off x="82042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97</xdr:row>
      <xdr:rowOff>139700</xdr:rowOff>
    </xdr:from>
    <xdr:to>
      <xdr:col>6</xdr:col>
      <xdr:colOff>12700</xdr:colOff>
      <xdr:row>98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D68FC4F7-F990-4F40-A38F-F6015FB30F1D}"/>
            </a:ext>
          </a:extLst>
        </xdr:cNvPr>
        <xdr:cNvSpPr>
          <a:spLocks/>
        </xdr:cNvSpPr>
      </xdr:nvSpPr>
      <xdr:spPr bwMode="auto">
        <a:xfrm>
          <a:off x="4826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97</xdr:row>
      <xdr:rowOff>165100</xdr:rowOff>
    </xdr:from>
    <xdr:to>
      <xdr:col>39</xdr:col>
      <xdr:colOff>0</xdr:colOff>
      <xdr:row>100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224E1005-3F50-4D48-87B8-6399C9EA4C48}"/>
            </a:ext>
          </a:extLst>
        </xdr:cNvPr>
        <xdr:cNvSpPr>
          <a:spLocks noChangeArrowheads="1"/>
        </xdr:cNvSpPr>
      </xdr:nvSpPr>
      <xdr:spPr bwMode="auto">
        <a:xfrm>
          <a:off x="8928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97</xdr:row>
      <xdr:rowOff>139700</xdr:rowOff>
    </xdr:from>
    <xdr:to>
      <xdr:col>42</xdr:col>
      <xdr:colOff>0</xdr:colOff>
      <xdr:row>98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3BA56E4A-A47D-4E16-B860-28D0BBED9C0B}"/>
            </a:ext>
          </a:extLst>
        </xdr:cNvPr>
        <xdr:cNvSpPr>
          <a:spLocks/>
        </xdr:cNvSpPr>
      </xdr:nvSpPr>
      <xdr:spPr bwMode="auto">
        <a:xfrm>
          <a:off x="9169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97</xdr:row>
      <xdr:rowOff>152400</xdr:rowOff>
    </xdr:from>
    <xdr:to>
      <xdr:col>46</xdr:col>
      <xdr:colOff>0</xdr:colOff>
      <xdr:row>98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F1587BE5-BA1E-495F-A747-0C7E74FEACAB}"/>
            </a:ext>
          </a:extLst>
        </xdr:cNvPr>
        <xdr:cNvSpPr>
          <a:spLocks/>
        </xdr:cNvSpPr>
      </xdr:nvSpPr>
      <xdr:spPr bwMode="auto">
        <a:xfrm>
          <a:off x="10134600" y="166497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105</xdr:row>
      <xdr:rowOff>171450</xdr:rowOff>
    </xdr:from>
    <xdr:to>
      <xdr:col>7</xdr:col>
      <xdr:colOff>12700</xdr:colOff>
      <xdr:row>108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1E3207A9-3B36-4C87-9D64-47D5CAD1ACC1}"/>
            </a:ext>
          </a:extLst>
        </xdr:cNvPr>
        <xdr:cNvSpPr>
          <a:spLocks noChangeArrowheads="1"/>
        </xdr:cNvSpPr>
      </xdr:nvSpPr>
      <xdr:spPr bwMode="auto">
        <a:xfrm>
          <a:off x="12192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105</xdr:row>
      <xdr:rowOff>139700</xdr:rowOff>
    </xdr:from>
    <xdr:to>
      <xdr:col>10</xdr:col>
      <xdr:colOff>12700</xdr:colOff>
      <xdr:row>106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BBCA3554-6D07-4578-B712-51315AB5A46C}"/>
            </a:ext>
          </a:extLst>
        </xdr:cNvPr>
        <xdr:cNvSpPr>
          <a:spLocks/>
        </xdr:cNvSpPr>
      </xdr:nvSpPr>
      <xdr:spPr bwMode="auto">
        <a:xfrm>
          <a:off x="14478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105</xdr:row>
      <xdr:rowOff>139700</xdr:rowOff>
    </xdr:from>
    <xdr:to>
      <xdr:col>14</xdr:col>
      <xdr:colOff>0</xdr:colOff>
      <xdr:row>106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5DE76BAD-4B91-4F49-BC7F-4A9804560462}"/>
            </a:ext>
          </a:extLst>
        </xdr:cNvPr>
        <xdr:cNvSpPr>
          <a:spLocks/>
        </xdr:cNvSpPr>
      </xdr:nvSpPr>
      <xdr:spPr bwMode="auto">
        <a:xfrm>
          <a:off x="2413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105</xdr:row>
      <xdr:rowOff>139700</xdr:rowOff>
    </xdr:from>
    <xdr:to>
      <xdr:col>18</xdr:col>
      <xdr:colOff>0</xdr:colOff>
      <xdr:row>106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0DE7B37E-7B6C-4A36-A236-F13A375688C8}"/>
            </a:ext>
          </a:extLst>
        </xdr:cNvPr>
        <xdr:cNvSpPr>
          <a:spLocks/>
        </xdr:cNvSpPr>
      </xdr:nvSpPr>
      <xdr:spPr bwMode="auto">
        <a:xfrm>
          <a:off x="3378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105</xdr:row>
      <xdr:rowOff>139700</xdr:rowOff>
    </xdr:from>
    <xdr:to>
      <xdr:col>22</xdr:col>
      <xdr:colOff>0</xdr:colOff>
      <xdr:row>106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FFA551B2-5262-4F09-873F-EF8D867C7909}"/>
            </a:ext>
          </a:extLst>
        </xdr:cNvPr>
        <xdr:cNvSpPr>
          <a:spLocks/>
        </xdr:cNvSpPr>
      </xdr:nvSpPr>
      <xdr:spPr bwMode="auto">
        <a:xfrm>
          <a:off x="4343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105</xdr:row>
      <xdr:rowOff>139700</xdr:rowOff>
    </xdr:from>
    <xdr:to>
      <xdr:col>26</xdr:col>
      <xdr:colOff>0</xdr:colOff>
      <xdr:row>106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61FF9A20-6042-4070-94A6-454CF160524A}"/>
            </a:ext>
          </a:extLst>
        </xdr:cNvPr>
        <xdr:cNvSpPr>
          <a:spLocks/>
        </xdr:cNvSpPr>
      </xdr:nvSpPr>
      <xdr:spPr bwMode="auto">
        <a:xfrm>
          <a:off x="53086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105</xdr:row>
      <xdr:rowOff>139700</xdr:rowOff>
    </xdr:from>
    <xdr:to>
      <xdr:col>30</xdr:col>
      <xdr:colOff>0</xdr:colOff>
      <xdr:row>106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C0E3C0C0-3305-41A8-B99E-261FC966F096}"/>
            </a:ext>
          </a:extLst>
        </xdr:cNvPr>
        <xdr:cNvSpPr>
          <a:spLocks/>
        </xdr:cNvSpPr>
      </xdr:nvSpPr>
      <xdr:spPr bwMode="auto">
        <a:xfrm>
          <a:off x="62738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105</xdr:row>
      <xdr:rowOff>139700</xdr:rowOff>
    </xdr:from>
    <xdr:to>
      <xdr:col>34</xdr:col>
      <xdr:colOff>0</xdr:colOff>
      <xdr:row>106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69F05A38-9E4A-4128-89EF-A6BDFF4E6B3F}"/>
            </a:ext>
          </a:extLst>
        </xdr:cNvPr>
        <xdr:cNvSpPr>
          <a:spLocks/>
        </xdr:cNvSpPr>
      </xdr:nvSpPr>
      <xdr:spPr bwMode="auto">
        <a:xfrm>
          <a:off x="7239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105</xdr:row>
      <xdr:rowOff>139700</xdr:rowOff>
    </xdr:from>
    <xdr:to>
      <xdr:col>38</xdr:col>
      <xdr:colOff>0</xdr:colOff>
      <xdr:row>106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9E6C4284-32DD-46B1-8805-3A8406953BFC}"/>
            </a:ext>
          </a:extLst>
        </xdr:cNvPr>
        <xdr:cNvSpPr>
          <a:spLocks/>
        </xdr:cNvSpPr>
      </xdr:nvSpPr>
      <xdr:spPr bwMode="auto">
        <a:xfrm>
          <a:off x="8204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FE4EDADA-7593-46B8-B6ED-211A7110D1B6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105</xdr:row>
      <xdr:rowOff>139700</xdr:rowOff>
    </xdr:from>
    <xdr:to>
      <xdr:col>6</xdr:col>
      <xdr:colOff>12700</xdr:colOff>
      <xdr:row>106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B37B07AA-D477-4B7F-8E24-62FB923C4A17}"/>
            </a:ext>
          </a:extLst>
        </xdr:cNvPr>
        <xdr:cNvSpPr>
          <a:spLocks/>
        </xdr:cNvSpPr>
      </xdr:nvSpPr>
      <xdr:spPr bwMode="auto">
        <a:xfrm>
          <a:off x="4826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B7EA4BA5-9737-46AB-A505-B73EA8890392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105</xdr:row>
      <xdr:rowOff>139700</xdr:rowOff>
    </xdr:from>
    <xdr:to>
      <xdr:col>42</xdr:col>
      <xdr:colOff>0</xdr:colOff>
      <xdr:row>106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08F2B25E-2E44-4143-8FB1-976587C50DFB}"/>
            </a:ext>
          </a:extLst>
        </xdr:cNvPr>
        <xdr:cNvSpPr>
          <a:spLocks/>
        </xdr:cNvSpPr>
      </xdr:nvSpPr>
      <xdr:spPr bwMode="auto">
        <a:xfrm>
          <a:off x="9169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52953D35-4E98-4622-AA12-A576D825675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45547612-38E3-4319-9AEC-28C2BF92D8A0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113</xdr:row>
      <xdr:rowOff>139700</xdr:rowOff>
    </xdr:from>
    <xdr:to>
      <xdr:col>10</xdr:col>
      <xdr:colOff>12700</xdr:colOff>
      <xdr:row>114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CE2E8B08-2912-4AA3-8A05-168476C441A4}"/>
            </a:ext>
          </a:extLst>
        </xdr:cNvPr>
        <xdr:cNvSpPr>
          <a:spLocks/>
        </xdr:cNvSpPr>
      </xdr:nvSpPr>
      <xdr:spPr bwMode="auto">
        <a:xfrm>
          <a:off x="1447800" y="1926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113</xdr:row>
      <xdr:rowOff>171450</xdr:rowOff>
    </xdr:from>
    <xdr:to>
      <xdr:col>11</xdr:col>
      <xdr:colOff>0</xdr:colOff>
      <xdr:row>116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2C888175-0CF0-4D89-9832-2826F46C44E8}"/>
            </a:ext>
          </a:extLst>
        </xdr:cNvPr>
        <xdr:cNvSpPr>
          <a:spLocks noChangeArrowheads="1"/>
        </xdr:cNvSpPr>
      </xdr:nvSpPr>
      <xdr:spPr bwMode="auto">
        <a:xfrm>
          <a:off x="21717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113</xdr:row>
      <xdr:rowOff>139700</xdr:rowOff>
    </xdr:from>
    <xdr:to>
      <xdr:col>14</xdr:col>
      <xdr:colOff>0</xdr:colOff>
      <xdr:row>114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612228C4-3772-46F4-8FD5-7D30B25D5E7C}"/>
            </a:ext>
          </a:extLst>
        </xdr:cNvPr>
        <xdr:cNvSpPr>
          <a:spLocks/>
        </xdr:cNvSpPr>
      </xdr:nvSpPr>
      <xdr:spPr bwMode="auto">
        <a:xfrm>
          <a:off x="24130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113</xdr:row>
      <xdr:rowOff>171450</xdr:rowOff>
    </xdr:from>
    <xdr:to>
      <xdr:col>15</xdr:col>
      <xdr:colOff>0</xdr:colOff>
      <xdr:row>116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0ED2A291-91F4-48B1-9982-AAFC09EDBE4A}"/>
            </a:ext>
          </a:extLst>
        </xdr:cNvPr>
        <xdr:cNvSpPr>
          <a:spLocks noChangeArrowheads="1"/>
        </xdr:cNvSpPr>
      </xdr:nvSpPr>
      <xdr:spPr bwMode="auto">
        <a:xfrm>
          <a:off x="31369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113</xdr:row>
      <xdr:rowOff>139700</xdr:rowOff>
    </xdr:from>
    <xdr:to>
      <xdr:col>18</xdr:col>
      <xdr:colOff>0</xdr:colOff>
      <xdr:row>114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10D2B0E2-1C33-4160-9FBD-79062F230E55}"/>
            </a:ext>
          </a:extLst>
        </xdr:cNvPr>
        <xdr:cNvSpPr>
          <a:spLocks/>
        </xdr:cNvSpPr>
      </xdr:nvSpPr>
      <xdr:spPr bwMode="auto">
        <a:xfrm>
          <a:off x="33782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113</xdr:row>
      <xdr:rowOff>171450</xdr:rowOff>
    </xdr:from>
    <xdr:to>
      <xdr:col>19</xdr:col>
      <xdr:colOff>0</xdr:colOff>
      <xdr:row>116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0B118A2B-4CEA-498B-9B0E-94F09803A9AE}"/>
            </a:ext>
          </a:extLst>
        </xdr:cNvPr>
        <xdr:cNvSpPr>
          <a:spLocks noChangeArrowheads="1"/>
        </xdr:cNvSpPr>
      </xdr:nvSpPr>
      <xdr:spPr bwMode="auto">
        <a:xfrm>
          <a:off x="41021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113</xdr:row>
      <xdr:rowOff>139700</xdr:rowOff>
    </xdr:from>
    <xdr:to>
      <xdr:col>22</xdr:col>
      <xdr:colOff>0</xdr:colOff>
      <xdr:row>114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18C2D249-CB7A-409E-A75F-9D9894B7507D}"/>
            </a:ext>
          </a:extLst>
        </xdr:cNvPr>
        <xdr:cNvSpPr>
          <a:spLocks/>
        </xdr:cNvSpPr>
      </xdr:nvSpPr>
      <xdr:spPr bwMode="auto">
        <a:xfrm>
          <a:off x="43434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241E19-CD12-46CF-925A-00A6E6187A09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113</xdr:row>
      <xdr:rowOff>139700</xdr:rowOff>
    </xdr:from>
    <xdr:to>
      <xdr:col>26</xdr:col>
      <xdr:colOff>0</xdr:colOff>
      <xdr:row>114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F0CCE7B3-1CA8-4A2C-AFB9-9790C2EA25D5}"/>
            </a:ext>
          </a:extLst>
        </xdr:cNvPr>
        <xdr:cNvSpPr>
          <a:spLocks/>
        </xdr:cNvSpPr>
      </xdr:nvSpPr>
      <xdr:spPr bwMode="auto">
        <a:xfrm>
          <a:off x="53086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113</xdr:row>
      <xdr:rowOff>171450</xdr:rowOff>
    </xdr:from>
    <xdr:to>
      <xdr:col>27</xdr:col>
      <xdr:colOff>0</xdr:colOff>
      <xdr:row>116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0BE23060-5753-4FE4-BA18-1898A7E87033}"/>
            </a:ext>
          </a:extLst>
        </xdr:cNvPr>
        <xdr:cNvSpPr>
          <a:spLocks noChangeArrowheads="1"/>
        </xdr:cNvSpPr>
      </xdr:nvSpPr>
      <xdr:spPr bwMode="auto">
        <a:xfrm>
          <a:off x="6032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113</xdr:row>
      <xdr:rowOff>139700</xdr:rowOff>
    </xdr:from>
    <xdr:to>
      <xdr:col>30</xdr:col>
      <xdr:colOff>0</xdr:colOff>
      <xdr:row>114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02BFDC26-B350-413F-92B8-33CBA46415B1}"/>
            </a:ext>
          </a:extLst>
        </xdr:cNvPr>
        <xdr:cNvSpPr>
          <a:spLocks/>
        </xdr:cNvSpPr>
      </xdr:nvSpPr>
      <xdr:spPr bwMode="auto">
        <a:xfrm>
          <a:off x="62738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113</xdr:row>
      <xdr:rowOff>171450</xdr:rowOff>
    </xdr:from>
    <xdr:to>
      <xdr:col>31</xdr:col>
      <xdr:colOff>0</xdr:colOff>
      <xdr:row>116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273F1EC9-965E-49E4-8D42-B076DEE3BE31}"/>
            </a:ext>
          </a:extLst>
        </xdr:cNvPr>
        <xdr:cNvSpPr>
          <a:spLocks noChangeArrowheads="1"/>
        </xdr:cNvSpPr>
      </xdr:nvSpPr>
      <xdr:spPr bwMode="auto">
        <a:xfrm>
          <a:off x="69977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113</xdr:row>
      <xdr:rowOff>139700</xdr:rowOff>
    </xdr:from>
    <xdr:to>
      <xdr:col>34</xdr:col>
      <xdr:colOff>0</xdr:colOff>
      <xdr:row>114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4A46A8B4-6093-4C80-AC01-6AB5CFB142DA}"/>
            </a:ext>
          </a:extLst>
        </xdr:cNvPr>
        <xdr:cNvSpPr>
          <a:spLocks/>
        </xdr:cNvSpPr>
      </xdr:nvSpPr>
      <xdr:spPr bwMode="auto">
        <a:xfrm>
          <a:off x="72390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571540BF-74E9-43F9-98B7-ABCA4D37FC24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113</xdr:row>
      <xdr:rowOff>139700</xdr:rowOff>
    </xdr:from>
    <xdr:to>
      <xdr:col>38</xdr:col>
      <xdr:colOff>0</xdr:colOff>
      <xdr:row>114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68131B86-7C2D-4D77-BEB5-7CD38A481F84}"/>
            </a:ext>
          </a:extLst>
        </xdr:cNvPr>
        <xdr:cNvSpPr>
          <a:spLocks/>
        </xdr:cNvSpPr>
      </xdr:nvSpPr>
      <xdr:spPr bwMode="auto">
        <a:xfrm>
          <a:off x="82042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113</xdr:row>
      <xdr:rowOff>171450</xdr:rowOff>
    </xdr:from>
    <xdr:to>
      <xdr:col>3</xdr:col>
      <xdr:colOff>0</xdr:colOff>
      <xdr:row>116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511B3E56-A4A7-4322-9A54-F85F889FF958}"/>
            </a:ext>
          </a:extLst>
        </xdr:cNvPr>
        <xdr:cNvSpPr>
          <a:spLocks noChangeArrowheads="1"/>
        </xdr:cNvSpPr>
      </xdr:nvSpPr>
      <xdr:spPr bwMode="auto">
        <a:xfrm>
          <a:off x="241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113</xdr:row>
      <xdr:rowOff>139700</xdr:rowOff>
    </xdr:from>
    <xdr:to>
      <xdr:col>6</xdr:col>
      <xdr:colOff>12700</xdr:colOff>
      <xdr:row>114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1993E31D-620A-46C4-BFBA-934DDB24E03F}"/>
            </a:ext>
          </a:extLst>
        </xdr:cNvPr>
        <xdr:cNvSpPr>
          <a:spLocks/>
        </xdr:cNvSpPr>
      </xdr:nvSpPr>
      <xdr:spPr bwMode="auto">
        <a:xfrm>
          <a:off x="482600" y="1926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113</xdr:row>
      <xdr:rowOff>171450</xdr:rowOff>
    </xdr:from>
    <xdr:to>
      <xdr:col>39</xdr:col>
      <xdr:colOff>0</xdr:colOff>
      <xdr:row>116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8BE6A70A-6164-47CC-9E7D-5129BF6149F9}"/>
            </a:ext>
          </a:extLst>
        </xdr:cNvPr>
        <xdr:cNvSpPr>
          <a:spLocks noChangeArrowheads="1"/>
        </xdr:cNvSpPr>
      </xdr:nvSpPr>
      <xdr:spPr bwMode="auto">
        <a:xfrm>
          <a:off x="89281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113</xdr:row>
      <xdr:rowOff>139700</xdr:rowOff>
    </xdr:from>
    <xdr:to>
      <xdr:col>42</xdr:col>
      <xdr:colOff>0</xdr:colOff>
      <xdr:row>114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F53875F9-7160-4A35-8C61-3F33A7EEA894}"/>
            </a:ext>
          </a:extLst>
        </xdr:cNvPr>
        <xdr:cNvSpPr>
          <a:spLocks/>
        </xdr:cNvSpPr>
      </xdr:nvSpPr>
      <xdr:spPr bwMode="auto">
        <a:xfrm>
          <a:off x="91694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113</xdr:row>
      <xdr:rowOff>171450</xdr:rowOff>
    </xdr:from>
    <xdr:to>
      <xdr:col>43</xdr:col>
      <xdr:colOff>0</xdr:colOff>
      <xdr:row>116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074804D4-90B1-4729-A646-703AA8AF8D0B}"/>
            </a:ext>
          </a:extLst>
        </xdr:cNvPr>
        <xdr:cNvSpPr>
          <a:spLocks noChangeArrowheads="1"/>
        </xdr:cNvSpPr>
      </xdr:nvSpPr>
      <xdr:spPr bwMode="auto">
        <a:xfrm>
          <a:off x="9893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113</xdr:row>
      <xdr:rowOff>158750</xdr:rowOff>
    </xdr:from>
    <xdr:to>
      <xdr:col>45</xdr:col>
      <xdr:colOff>254000</xdr:colOff>
      <xdr:row>114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F317BF31-A700-4730-BB44-028A54EA0173}"/>
            </a:ext>
          </a:extLst>
        </xdr:cNvPr>
        <xdr:cNvSpPr>
          <a:spLocks/>
        </xdr:cNvSpPr>
      </xdr:nvSpPr>
      <xdr:spPr bwMode="auto">
        <a:xfrm>
          <a:off x="10134600" y="19284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122</xdr:row>
      <xdr:rowOff>171450</xdr:rowOff>
    </xdr:from>
    <xdr:to>
      <xdr:col>7</xdr:col>
      <xdr:colOff>0</xdr:colOff>
      <xdr:row>125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3E098979-E632-4E07-95FC-BEE677ACCDBE}"/>
            </a:ext>
          </a:extLst>
        </xdr:cNvPr>
        <xdr:cNvSpPr>
          <a:spLocks noChangeArrowheads="1"/>
        </xdr:cNvSpPr>
      </xdr:nvSpPr>
      <xdr:spPr bwMode="auto">
        <a:xfrm>
          <a:off x="12065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122</xdr:row>
      <xdr:rowOff>139700</xdr:rowOff>
    </xdr:from>
    <xdr:to>
      <xdr:col>10</xdr:col>
      <xdr:colOff>12700</xdr:colOff>
      <xdr:row>123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2A840921-59FF-40EA-977B-88392F36969C}"/>
            </a:ext>
          </a:extLst>
        </xdr:cNvPr>
        <xdr:cNvSpPr>
          <a:spLocks/>
        </xdr:cNvSpPr>
      </xdr:nvSpPr>
      <xdr:spPr bwMode="auto">
        <a:xfrm>
          <a:off x="1447800" y="20758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122</xdr:row>
      <xdr:rowOff>171450</xdr:rowOff>
    </xdr:from>
    <xdr:to>
      <xdr:col>11</xdr:col>
      <xdr:colOff>0</xdr:colOff>
      <xdr:row>125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8DB419A1-DBA7-4E31-A22E-AACEFBDE6184}"/>
            </a:ext>
          </a:extLst>
        </xdr:cNvPr>
        <xdr:cNvSpPr>
          <a:spLocks noChangeArrowheads="1"/>
        </xdr:cNvSpPr>
      </xdr:nvSpPr>
      <xdr:spPr bwMode="auto">
        <a:xfrm>
          <a:off x="21717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122</xdr:row>
      <xdr:rowOff>139700</xdr:rowOff>
    </xdr:from>
    <xdr:to>
      <xdr:col>14</xdr:col>
      <xdr:colOff>0</xdr:colOff>
      <xdr:row>123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500700F1-46D2-4AFD-877D-974BCA8023EB}"/>
            </a:ext>
          </a:extLst>
        </xdr:cNvPr>
        <xdr:cNvSpPr>
          <a:spLocks/>
        </xdr:cNvSpPr>
      </xdr:nvSpPr>
      <xdr:spPr bwMode="auto">
        <a:xfrm>
          <a:off x="24130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8F8F9D94-D9C9-4482-9863-E638D23A02C8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122</xdr:row>
      <xdr:rowOff>139700</xdr:rowOff>
    </xdr:from>
    <xdr:to>
      <xdr:col>18</xdr:col>
      <xdr:colOff>0</xdr:colOff>
      <xdr:row>123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9961157E-0241-4D3E-917D-8C87B8539109}"/>
            </a:ext>
          </a:extLst>
        </xdr:cNvPr>
        <xdr:cNvSpPr>
          <a:spLocks/>
        </xdr:cNvSpPr>
      </xdr:nvSpPr>
      <xdr:spPr bwMode="auto">
        <a:xfrm>
          <a:off x="33782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768E2018-5549-4E3E-AA7D-EBC830CF0B62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122</xdr:row>
      <xdr:rowOff>139700</xdr:rowOff>
    </xdr:from>
    <xdr:to>
      <xdr:col>22</xdr:col>
      <xdr:colOff>0</xdr:colOff>
      <xdr:row>123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416735CC-9B88-45D4-A90D-1FD473EEABC9}"/>
            </a:ext>
          </a:extLst>
        </xdr:cNvPr>
        <xdr:cNvSpPr>
          <a:spLocks/>
        </xdr:cNvSpPr>
      </xdr:nvSpPr>
      <xdr:spPr bwMode="auto">
        <a:xfrm>
          <a:off x="43434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0347E532-E4CB-4DF9-BC40-5971B30BF236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122</xdr:row>
      <xdr:rowOff>139700</xdr:rowOff>
    </xdr:from>
    <xdr:to>
      <xdr:col>26</xdr:col>
      <xdr:colOff>0</xdr:colOff>
      <xdr:row>123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2488852E-008B-4B4B-9934-689361ABFB20}"/>
            </a:ext>
          </a:extLst>
        </xdr:cNvPr>
        <xdr:cNvSpPr>
          <a:spLocks/>
        </xdr:cNvSpPr>
      </xdr:nvSpPr>
      <xdr:spPr bwMode="auto">
        <a:xfrm>
          <a:off x="53086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529E7990-CCBA-4DE5-B8CE-A94143F91DB0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122</xdr:row>
      <xdr:rowOff>139700</xdr:rowOff>
    </xdr:from>
    <xdr:to>
      <xdr:col>30</xdr:col>
      <xdr:colOff>0</xdr:colOff>
      <xdr:row>123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6996CF21-70B9-49BD-B6F2-D6214ECEF43C}"/>
            </a:ext>
          </a:extLst>
        </xdr:cNvPr>
        <xdr:cNvSpPr>
          <a:spLocks/>
        </xdr:cNvSpPr>
      </xdr:nvSpPr>
      <xdr:spPr bwMode="auto">
        <a:xfrm>
          <a:off x="62738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122</xdr:row>
      <xdr:rowOff>171450</xdr:rowOff>
    </xdr:from>
    <xdr:to>
      <xdr:col>31</xdr:col>
      <xdr:colOff>0</xdr:colOff>
      <xdr:row>125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61C1F402-3959-4378-80D9-A1A2EF132FE7}"/>
            </a:ext>
          </a:extLst>
        </xdr:cNvPr>
        <xdr:cNvSpPr>
          <a:spLocks noChangeArrowheads="1"/>
        </xdr:cNvSpPr>
      </xdr:nvSpPr>
      <xdr:spPr bwMode="auto">
        <a:xfrm>
          <a:off x="69977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122</xdr:row>
      <xdr:rowOff>139700</xdr:rowOff>
    </xdr:from>
    <xdr:to>
      <xdr:col>34</xdr:col>
      <xdr:colOff>0</xdr:colOff>
      <xdr:row>123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892DA36F-89EE-4C7C-9714-38F157F3C06A}"/>
            </a:ext>
          </a:extLst>
        </xdr:cNvPr>
        <xdr:cNvSpPr>
          <a:spLocks/>
        </xdr:cNvSpPr>
      </xdr:nvSpPr>
      <xdr:spPr bwMode="auto">
        <a:xfrm>
          <a:off x="72390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E89035D2-AB0C-44EC-8B3B-42D4FAAA9DBA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122</xdr:row>
      <xdr:rowOff>139700</xdr:rowOff>
    </xdr:from>
    <xdr:to>
      <xdr:col>38</xdr:col>
      <xdr:colOff>0</xdr:colOff>
      <xdr:row>123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8FB29CD-1C91-4411-8443-9B50D9024065}"/>
            </a:ext>
          </a:extLst>
        </xdr:cNvPr>
        <xdr:cNvSpPr>
          <a:spLocks/>
        </xdr:cNvSpPr>
      </xdr:nvSpPr>
      <xdr:spPr bwMode="auto">
        <a:xfrm>
          <a:off x="82042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122</xdr:row>
      <xdr:rowOff>171450</xdr:rowOff>
    </xdr:from>
    <xdr:to>
      <xdr:col>3</xdr:col>
      <xdr:colOff>0</xdr:colOff>
      <xdr:row>125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938855A4-9AEB-4034-898F-587D51137EBD}"/>
            </a:ext>
          </a:extLst>
        </xdr:cNvPr>
        <xdr:cNvSpPr>
          <a:spLocks noChangeArrowheads="1"/>
        </xdr:cNvSpPr>
      </xdr:nvSpPr>
      <xdr:spPr bwMode="auto">
        <a:xfrm>
          <a:off x="241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122</xdr:row>
      <xdr:rowOff>139700</xdr:rowOff>
    </xdr:from>
    <xdr:to>
      <xdr:col>6</xdr:col>
      <xdr:colOff>12700</xdr:colOff>
      <xdr:row>123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A68D8A1F-B9B6-419E-AC58-46D6B33D79E5}"/>
            </a:ext>
          </a:extLst>
        </xdr:cNvPr>
        <xdr:cNvSpPr>
          <a:spLocks/>
        </xdr:cNvSpPr>
      </xdr:nvSpPr>
      <xdr:spPr bwMode="auto">
        <a:xfrm>
          <a:off x="482600" y="20758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122</xdr:row>
      <xdr:rowOff>171450</xdr:rowOff>
    </xdr:from>
    <xdr:to>
      <xdr:col>39</xdr:col>
      <xdr:colOff>0</xdr:colOff>
      <xdr:row>125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C2F4BEF-23D3-44BD-AC98-D5E27B73E171}"/>
            </a:ext>
          </a:extLst>
        </xdr:cNvPr>
        <xdr:cNvSpPr>
          <a:spLocks noChangeArrowheads="1"/>
        </xdr:cNvSpPr>
      </xdr:nvSpPr>
      <xdr:spPr bwMode="auto">
        <a:xfrm>
          <a:off x="89281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122</xdr:row>
      <xdr:rowOff>139700</xdr:rowOff>
    </xdr:from>
    <xdr:to>
      <xdr:col>42</xdr:col>
      <xdr:colOff>0</xdr:colOff>
      <xdr:row>123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433E7366-6B18-43AB-AF15-0A77AE5CAFF3}"/>
            </a:ext>
          </a:extLst>
        </xdr:cNvPr>
        <xdr:cNvSpPr>
          <a:spLocks/>
        </xdr:cNvSpPr>
      </xdr:nvSpPr>
      <xdr:spPr bwMode="auto">
        <a:xfrm>
          <a:off x="91694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122</xdr:row>
      <xdr:rowOff>152400</xdr:rowOff>
    </xdr:from>
    <xdr:to>
      <xdr:col>45</xdr:col>
      <xdr:colOff>241300</xdr:colOff>
      <xdr:row>123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3895E2D5-B7D3-49C7-A61D-93637F5630BD}"/>
            </a:ext>
          </a:extLst>
        </xdr:cNvPr>
        <xdr:cNvSpPr>
          <a:spLocks/>
        </xdr:cNvSpPr>
      </xdr:nvSpPr>
      <xdr:spPr bwMode="auto">
        <a:xfrm>
          <a:off x="10134600" y="207708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A9D9F4EB-D2F5-4FA4-9522-913562139273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131</xdr:row>
      <xdr:rowOff>139700</xdr:rowOff>
    </xdr:from>
    <xdr:to>
      <xdr:col>10</xdr:col>
      <xdr:colOff>12700</xdr:colOff>
      <xdr:row>132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9BAA6AA7-E3E0-4D31-A6D5-542A7DBB8F77}"/>
            </a:ext>
          </a:extLst>
        </xdr:cNvPr>
        <xdr:cNvSpPr>
          <a:spLocks/>
        </xdr:cNvSpPr>
      </xdr:nvSpPr>
      <xdr:spPr bwMode="auto">
        <a:xfrm>
          <a:off x="1447800" y="22250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BD94E9B8-5B4D-4BD1-AA90-D98CD987E1F9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131</xdr:row>
      <xdr:rowOff>139700</xdr:rowOff>
    </xdr:from>
    <xdr:to>
      <xdr:col>14</xdr:col>
      <xdr:colOff>0</xdr:colOff>
      <xdr:row>132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1B299694-5110-4678-B424-EC740CDC455B}"/>
            </a:ext>
          </a:extLst>
        </xdr:cNvPr>
        <xdr:cNvSpPr>
          <a:spLocks/>
        </xdr:cNvSpPr>
      </xdr:nvSpPr>
      <xdr:spPr bwMode="auto">
        <a:xfrm>
          <a:off x="24130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0281865C-E7A3-4F97-8BA7-FE4553A302AD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131</xdr:row>
      <xdr:rowOff>139700</xdr:rowOff>
    </xdr:from>
    <xdr:to>
      <xdr:col>18</xdr:col>
      <xdr:colOff>0</xdr:colOff>
      <xdr:row>132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C98744FD-ABEC-478A-9609-85B265D24C61}"/>
            </a:ext>
          </a:extLst>
        </xdr:cNvPr>
        <xdr:cNvSpPr>
          <a:spLocks/>
        </xdr:cNvSpPr>
      </xdr:nvSpPr>
      <xdr:spPr bwMode="auto">
        <a:xfrm>
          <a:off x="33782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131</xdr:row>
      <xdr:rowOff>171450</xdr:rowOff>
    </xdr:from>
    <xdr:to>
      <xdr:col>19</xdr:col>
      <xdr:colOff>0</xdr:colOff>
      <xdr:row>134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584522-9AF0-4217-9D29-B9D7E112B07F}"/>
            </a:ext>
          </a:extLst>
        </xdr:cNvPr>
        <xdr:cNvSpPr>
          <a:spLocks noChangeArrowheads="1"/>
        </xdr:cNvSpPr>
      </xdr:nvSpPr>
      <xdr:spPr bwMode="auto">
        <a:xfrm>
          <a:off x="41021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131</xdr:row>
      <xdr:rowOff>139700</xdr:rowOff>
    </xdr:from>
    <xdr:to>
      <xdr:col>22</xdr:col>
      <xdr:colOff>0</xdr:colOff>
      <xdr:row>132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0913FB46-0BAA-4D52-BFAB-1D39C569AF04}"/>
            </a:ext>
          </a:extLst>
        </xdr:cNvPr>
        <xdr:cNvSpPr>
          <a:spLocks/>
        </xdr:cNvSpPr>
      </xdr:nvSpPr>
      <xdr:spPr bwMode="auto">
        <a:xfrm>
          <a:off x="43434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131</xdr:row>
      <xdr:rowOff>171450</xdr:rowOff>
    </xdr:from>
    <xdr:to>
      <xdr:col>23</xdr:col>
      <xdr:colOff>0</xdr:colOff>
      <xdr:row>134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108A882C-6EBE-41BD-868D-F829B0209D73}"/>
            </a:ext>
          </a:extLst>
        </xdr:cNvPr>
        <xdr:cNvSpPr>
          <a:spLocks noChangeArrowheads="1"/>
        </xdr:cNvSpPr>
      </xdr:nvSpPr>
      <xdr:spPr bwMode="auto">
        <a:xfrm>
          <a:off x="50673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131</xdr:row>
      <xdr:rowOff>139700</xdr:rowOff>
    </xdr:from>
    <xdr:to>
      <xdr:col>26</xdr:col>
      <xdr:colOff>0</xdr:colOff>
      <xdr:row>132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4BCBABC6-AF64-448F-830A-93C32E1641BB}"/>
            </a:ext>
          </a:extLst>
        </xdr:cNvPr>
        <xdr:cNvSpPr>
          <a:spLocks/>
        </xdr:cNvSpPr>
      </xdr:nvSpPr>
      <xdr:spPr bwMode="auto">
        <a:xfrm>
          <a:off x="53086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131</xdr:row>
      <xdr:rowOff>139700</xdr:rowOff>
    </xdr:from>
    <xdr:to>
      <xdr:col>30</xdr:col>
      <xdr:colOff>0</xdr:colOff>
      <xdr:row>132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EA29194-2A27-4470-9705-180256AFA1BA}"/>
            </a:ext>
          </a:extLst>
        </xdr:cNvPr>
        <xdr:cNvSpPr>
          <a:spLocks/>
        </xdr:cNvSpPr>
      </xdr:nvSpPr>
      <xdr:spPr bwMode="auto">
        <a:xfrm>
          <a:off x="62738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131</xdr:row>
      <xdr:rowOff>139700</xdr:rowOff>
    </xdr:from>
    <xdr:to>
      <xdr:col>34</xdr:col>
      <xdr:colOff>0</xdr:colOff>
      <xdr:row>132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C7710BFF-540F-4226-BBD0-076728963C1A}"/>
            </a:ext>
          </a:extLst>
        </xdr:cNvPr>
        <xdr:cNvSpPr>
          <a:spLocks/>
        </xdr:cNvSpPr>
      </xdr:nvSpPr>
      <xdr:spPr bwMode="auto">
        <a:xfrm>
          <a:off x="72390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131</xdr:row>
      <xdr:rowOff>171450</xdr:rowOff>
    </xdr:from>
    <xdr:to>
      <xdr:col>35</xdr:col>
      <xdr:colOff>0</xdr:colOff>
      <xdr:row>134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0425EB84-AC13-4CF1-A230-4E95F0D20748}"/>
            </a:ext>
          </a:extLst>
        </xdr:cNvPr>
        <xdr:cNvSpPr>
          <a:spLocks noChangeArrowheads="1"/>
        </xdr:cNvSpPr>
      </xdr:nvSpPr>
      <xdr:spPr bwMode="auto">
        <a:xfrm>
          <a:off x="7962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131</xdr:row>
      <xdr:rowOff>139700</xdr:rowOff>
    </xdr:from>
    <xdr:to>
      <xdr:col>38</xdr:col>
      <xdr:colOff>0</xdr:colOff>
      <xdr:row>132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E52FE87-3627-4CA7-A7D3-FBD79998E503}"/>
            </a:ext>
          </a:extLst>
        </xdr:cNvPr>
        <xdr:cNvSpPr>
          <a:spLocks/>
        </xdr:cNvSpPr>
      </xdr:nvSpPr>
      <xdr:spPr bwMode="auto">
        <a:xfrm>
          <a:off x="82042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16B74C6F-809B-4E52-9BAC-4EC39814F098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131</xdr:row>
      <xdr:rowOff>139700</xdr:rowOff>
    </xdr:from>
    <xdr:to>
      <xdr:col>6</xdr:col>
      <xdr:colOff>12700</xdr:colOff>
      <xdr:row>132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97ED91F6-CE13-473B-BEB5-4AF01392AA7D}"/>
            </a:ext>
          </a:extLst>
        </xdr:cNvPr>
        <xdr:cNvSpPr>
          <a:spLocks/>
        </xdr:cNvSpPr>
      </xdr:nvSpPr>
      <xdr:spPr bwMode="auto">
        <a:xfrm>
          <a:off x="482600" y="22250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131</xdr:row>
      <xdr:rowOff>171450</xdr:rowOff>
    </xdr:from>
    <xdr:to>
      <xdr:col>39</xdr:col>
      <xdr:colOff>0</xdr:colOff>
      <xdr:row>134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AFD41494-409B-4456-9492-B939A6A7BE16}"/>
            </a:ext>
          </a:extLst>
        </xdr:cNvPr>
        <xdr:cNvSpPr>
          <a:spLocks noChangeArrowheads="1"/>
        </xdr:cNvSpPr>
      </xdr:nvSpPr>
      <xdr:spPr bwMode="auto">
        <a:xfrm>
          <a:off x="89281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131</xdr:row>
      <xdr:rowOff>139700</xdr:rowOff>
    </xdr:from>
    <xdr:to>
      <xdr:col>42</xdr:col>
      <xdr:colOff>0</xdr:colOff>
      <xdr:row>132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AA2D41FF-9E05-4D00-AF4A-9348DDEF9129}"/>
            </a:ext>
          </a:extLst>
        </xdr:cNvPr>
        <xdr:cNvSpPr>
          <a:spLocks/>
        </xdr:cNvSpPr>
      </xdr:nvSpPr>
      <xdr:spPr bwMode="auto">
        <a:xfrm>
          <a:off x="91694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140</xdr:row>
      <xdr:rowOff>171450</xdr:rowOff>
    </xdr:from>
    <xdr:to>
      <xdr:col>7</xdr:col>
      <xdr:colOff>0</xdr:colOff>
      <xdr:row>143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F3F02D7A-8883-4D76-8524-B0E48E764B4E}"/>
            </a:ext>
          </a:extLst>
        </xdr:cNvPr>
        <xdr:cNvSpPr>
          <a:spLocks noChangeArrowheads="1"/>
        </xdr:cNvSpPr>
      </xdr:nvSpPr>
      <xdr:spPr bwMode="auto">
        <a:xfrm>
          <a:off x="1206500" y="23774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140</xdr:row>
      <xdr:rowOff>139700</xdr:rowOff>
    </xdr:from>
    <xdr:to>
      <xdr:col>10</xdr:col>
      <xdr:colOff>12700</xdr:colOff>
      <xdr:row>141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5F1E7B52-5E62-4B9E-80F4-9568BF2D71DF}"/>
            </a:ext>
          </a:extLst>
        </xdr:cNvPr>
        <xdr:cNvSpPr>
          <a:spLocks/>
        </xdr:cNvSpPr>
      </xdr:nvSpPr>
      <xdr:spPr bwMode="auto">
        <a:xfrm>
          <a:off x="1447800" y="23742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FDB77E1-2B56-4CC6-9D8E-D76367F9B027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140</xdr:row>
      <xdr:rowOff>139700</xdr:rowOff>
    </xdr:from>
    <xdr:to>
      <xdr:col>14</xdr:col>
      <xdr:colOff>0</xdr:colOff>
      <xdr:row>141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435302D0-44FC-4031-9407-862E43287156}"/>
            </a:ext>
          </a:extLst>
        </xdr:cNvPr>
        <xdr:cNvSpPr>
          <a:spLocks/>
        </xdr:cNvSpPr>
      </xdr:nvSpPr>
      <xdr:spPr bwMode="auto">
        <a:xfrm>
          <a:off x="24130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140</xdr:row>
      <xdr:rowOff>139700</xdr:rowOff>
    </xdr:from>
    <xdr:to>
      <xdr:col>18</xdr:col>
      <xdr:colOff>0</xdr:colOff>
      <xdr:row>141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7185A68-6BBD-498E-8772-08F5604F757F}"/>
            </a:ext>
          </a:extLst>
        </xdr:cNvPr>
        <xdr:cNvSpPr>
          <a:spLocks/>
        </xdr:cNvSpPr>
      </xdr:nvSpPr>
      <xdr:spPr bwMode="auto">
        <a:xfrm>
          <a:off x="33782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140</xdr:row>
      <xdr:rowOff>139700</xdr:rowOff>
    </xdr:from>
    <xdr:to>
      <xdr:col>22</xdr:col>
      <xdr:colOff>0</xdr:colOff>
      <xdr:row>141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3E935064-1752-465C-AC46-9D43011A1C9E}"/>
            </a:ext>
          </a:extLst>
        </xdr:cNvPr>
        <xdr:cNvSpPr>
          <a:spLocks/>
        </xdr:cNvSpPr>
      </xdr:nvSpPr>
      <xdr:spPr bwMode="auto">
        <a:xfrm>
          <a:off x="43434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140</xdr:row>
      <xdr:rowOff>171450</xdr:rowOff>
    </xdr:from>
    <xdr:to>
      <xdr:col>23</xdr:col>
      <xdr:colOff>0</xdr:colOff>
      <xdr:row>143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91B6E8D3-3D9B-44E8-9E2E-05F9B41404B4}"/>
            </a:ext>
          </a:extLst>
        </xdr:cNvPr>
        <xdr:cNvSpPr>
          <a:spLocks noChangeArrowheads="1"/>
        </xdr:cNvSpPr>
      </xdr:nvSpPr>
      <xdr:spPr bwMode="auto">
        <a:xfrm>
          <a:off x="50673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140</xdr:row>
      <xdr:rowOff>139700</xdr:rowOff>
    </xdr:from>
    <xdr:to>
      <xdr:col>26</xdr:col>
      <xdr:colOff>0</xdr:colOff>
      <xdr:row>141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144B35FA-CC75-4831-AA16-45C7CA592261}"/>
            </a:ext>
          </a:extLst>
        </xdr:cNvPr>
        <xdr:cNvSpPr>
          <a:spLocks/>
        </xdr:cNvSpPr>
      </xdr:nvSpPr>
      <xdr:spPr bwMode="auto">
        <a:xfrm>
          <a:off x="53086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63AA138-907F-48BE-BBC7-425DA4AC0A3F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140</xdr:row>
      <xdr:rowOff>139700</xdr:rowOff>
    </xdr:from>
    <xdr:to>
      <xdr:col>30</xdr:col>
      <xdr:colOff>0</xdr:colOff>
      <xdr:row>141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2E8C4E95-EA82-4BA0-BA58-CC6E9D6C329C}"/>
            </a:ext>
          </a:extLst>
        </xdr:cNvPr>
        <xdr:cNvSpPr>
          <a:spLocks/>
        </xdr:cNvSpPr>
      </xdr:nvSpPr>
      <xdr:spPr bwMode="auto">
        <a:xfrm>
          <a:off x="62738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57B3D80D-A583-4757-866F-2F9061C5958E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140</xdr:row>
      <xdr:rowOff>139700</xdr:rowOff>
    </xdr:from>
    <xdr:to>
      <xdr:col>34</xdr:col>
      <xdr:colOff>0</xdr:colOff>
      <xdr:row>141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162527BF-DBE3-47D6-A7BB-A37EDA8C1262}"/>
            </a:ext>
          </a:extLst>
        </xdr:cNvPr>
        <xdr:cNvSpPr>
          <a:spLocks/>
        </xdr:cNvSpPr>
      </xdr:nvSpPr>
      <xdr:spPr bwMode="auto">
        <a:xfrm>
          <a:off x="72390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140</xdr:row>
      <xdr:rowOff>171450</xdr:rowOff>
    </xdr:from>
    <xdr:to>
      <xdr:col>35</xdr:col>
      <xdr:colOff>0</xdr:colOff>
      <xdr:row>143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E28BA4AE-0C7B-4429-B1D0-322A884342F1}"/>
            </a:ext>
          </a:extLst>
        </xdr:cNvPr>
        <xdr:cNvSpPr>
          <a:spLocks noChangeArrowheads="1"/>
        </xdr:cNvSpPr>
      </xdr:nvSpPr>
      <xdr:spPr bwMode="auto">
        <a:xfrm>
          <a:off x="7962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140</xdr:row>
      <xdr:rowOff>139700</xdr:rowOff>
    </xdr:from>
    <xdr:to>
      <xdr:col>38</xdr:col>
      <xdr:colOff>0</xdr:colOff>
      <xdr:row>141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D3CB489-1861-4998-8850-C4A7C4DD8D41}"/>
            </a:ext>
          </a:extLst>
        </xdr:cNvPr>
        <xdr:cNvSpPr>
          <a:spLocks/>
        </xdr:cNvSpPr>
      </xdr:nvSpPr>
      <xdr:spPr bwMode="auto">
        <a:xfrm>
          <a:off x="82042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140</xdr:row>
      <xdr:rowOff>171450</xdr:rowOff>
    </xdr:from>
    <xdr:to>
      <xdr:col>3</xdr:col>
      <xdr:colOff>0</xdr:colOff>
      <xdr:row>143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6436BB05-5F8F-4FD7-B6E6-A2BE7562C2BE}"/>
            </a:ext>
          </a:extLst>
        </xdr:cNvPr>
        <xdr:cNvSpPr>
          <a:spLocks noChangeArrowheads="1"/>
        </xdr:cNvSpPr>
      </xdr:nvSpPr>
      <xdr:spPr bwMode="auto">
        <a:xfrm>
          <a:off x="2413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140</xdr:row>
      <xdr:rowOff>139700</xdr:rowOff>
    </xdr:from>
    <xdr:to>
      <xdr:col>6</xdr:col>
      <xdr:colOff>12700</xdr:colOff>
      <xdr:row>141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5C4704D8-461D-4A0D-B5C5-5AB1D2696037}"/>
            </a:ext>
          </a:extLst>
        </xdr:cNvPr>
        <xdr:cNvSpPr>
          <a:spLocks/>
        </xdr:cNvSpPr>
      </xdr:nvSpPr>
      <xdr:spPr bwMode="auto">
        <a:xfrm>
          <a:off x="482600" y="23742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140</xdr:row>
      <xdr:rowOff>171450</xdr:rowOff>
    </xdr:from>
    <xdr:to>
      <xdr:col>39</xdr:col>
      <xdr:colOff>0</xdr:colOff>
      <xdr:row>143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DF5877A3-EDEC-4869-B53F-C3468E838DED}"/>
            </a:ext>
          </a:extLst>
        </xdr:cNvPr>
        <xdr:cNvSpPr>
          <a:spLocks noChangeArrowheads="1"/>
        </xdr:cNvSpPr>
      </xdr:nvSpPr>
      <xdr:spPr bwMode="auto">
        <a:xfrm>
          <a:off x="89281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140</xdr:row>
      <xdr:rowOff>152400</xdr:rowOff>
    </xdr:from>
    <xdr:to>
      <xdr:col>42</xdr:col>
      <xdr:colOff>0</xdr:colOff>
      <xdr:row>141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1E7BE606-E813-49B8-BFE1-203360139744}"/>
            </a:ext>
          </a:extLst>
        </xdr:cNvPr>
        <xdr:cNvSpPr>
          <a:spLocks/>
        </xdr:cNvSpPr>
      </xdr:nvSpPr>
      <xdr:spPr bwMode="auto">
        <a:xfrm>
          <a:off x="9169400" y="237553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140</xdr:row>
      <xdr:rowOff>171450</xdr:rowOff>
    </xdr:from>
    <xdr:to>
      <xdr:col>43</xdr:col>
      <xdr:colOff>0</xdr:colOff>
      <xdr:row>143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9F8D60F-35A0-42C6-A4FD-9CA0143A72CA}"/>
            </a:ext>
          </a:extLst>
        </xdr:cNvPr>
        <xdr:cNvSpPr>
          <a:spLocks noChangeArrowheads="1"/>
        </xdr:cNvSpPr>
      </xdr:nvSpPr>
      <xdr:spPr bwMode="auto">
        <a:xfrm>
          <a:off x="9893300" y="23774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140</xdr:row>
      <xdr:rowOff>171450</xdr:rowOff>
    </xdr:from>
    <xdr:to>
      <xdr:col>45</xdr:col>
      <xdr:colOff>254000</xdr:colOff>
      <xdr:row>141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54C20BAE-12A6-4808-A678-A2BD3096F0D2}"/>
            </a:ext>
          </a:extLst>
        </xdr:cNvPr>
        <xdr:cNvSpPr>
          <a:spLocks/>
        </xdr:cNvSpPr>
      </xdr:nvSpPr>
      <xdr:spPr bwMode="auto">
        <a:xfrm>
          <a:off x="10134600" y="237744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150</xdr:row>
      <xdr:rowOff>139700</xdr:rowOff>
    </xdr:from>
    <xdr:to>
      <xdr:col>10</xdr:col>
      <xdr:colOff>12700</xdr:colOff>
      <xdr:row>151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7127F8A7-7816-422C-9468-71540B60EF83}"/>
            </a:ext>
          </a:extLst>
        </xdr:cNvPr>
        <xdr:cNvSpPr>
          <a:spLocks/>
        </xdr:cNvSpPr>
      </xdr:nvSpPr>
      <xdr:spPr bwMode="auto">
        <a:xfrm>
          <a:off x="1447800" y="25393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150</xdr:row>
      <xdr:rowOff>171450</xdr:rowOff>
    </xdr:from>
    <xdr:to>
      <xdr:col>11</xdr:col>
      <xdr:colOff>0</xdr:colOff>
      <xdr:row>153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DBA03C-3642-46C1-8B52-8AEFB4E38B55}"/>
            </a:ext>
          </a:extLst>
        </xdr:cNvPr>
        <xdr:cNvSpPr>
          <a:spLocks noChangeArrowheads="1"/>
        </xdr:cNvSpPr>
      </xdr:nvSpPr>
      <xdr:spPr bwMode="auto">
        <a:xfrm>
          <a:off x="21717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150</xdr:row>
      <xdr:rowOff>139700</xdr:rowOff>
    </xdr:from>
    <xdr:to>
      <xdr:col>14</xdr:col>
      <xdr:colOff>0</xdr:colOff>
      <xdr:row>151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FEE6D97F-462C-4073-BD4E-AD4E3BADCBF0}"/>
            </a:ext>
          </a:extLst>
        </xdr:cNvPr>
        <xdr:cNvSpPr>
          <a:spLocks/>
        </xdr:cNvSpPr>
      </xdr:nvSpPr>
      <xdr:spPr bwMode="auto">
        <a:xfrm>
          <a:off x="24130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150</xdr:row>
      <xdr:rowOff>171450</xdr:rowOff>
    </xdr:from>
    <xdr:to>
      <xdr:col>15</xdr:col>
      <xdr:colOff>0</xdr:colOff>
      <xdr:row>153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A8CBD598-AC1C-4001-A929-4AAEAC20F3C3}"/>
            </a:ext>
          </a:extLst>
        </xdr:cNvPr>
        <xdr:cNvSpPr>
          <a:spLocks noChangeArrowheads="1"/>
        </xdr:cNvSpPr>
      </xdr:nvSpPr>
      <xdr:spPr bwMode="auto">
        <a:xfrm>
          <a:off x="31369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150</xdr:row>
      <xdr:rowOff>139700</xdr:rowOff>
    </xdr:from>
    <xdr:to>
      <xdr:col>18</xdr:col>
      <xdr:colOff>0</xdr:colOff>
      <xdr:row>151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1BF9766B-DE03-4BC3-BC80-322DA4086472}"/>
            </a:ext>
          </a:extLst>
        </xdr:cNvPr>
        <xdr:cNvSpPr>
          <a:spLocks/>
        </xdr:cNvSpPr>
      </xdr:nvSpPr>
      <xdr:spPr bwMode="auto">
        <a:xfrm>
          <a:off x="33782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150</xdr:row>
      <xdr:rowOff>171450</xdr:rowOff>
    </xdr:from>
    <xdr:to>
      <xdr:col>19</xdr:col>
      <xdr:colOff>0</xdr:colOff>
      <xdr:row>153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6C30DEC6-0EE0-4711-B37D-5F8EFFB5C695}"/>
            </a:ext>
          </a:extLst>
        </xdr:cNvPr>
        <xdr:cNvSpPr>
          <a:spLocks noChangeArrowheads="1"/>
        </xdr:cNvSpPr>
      </xdr:nvSpPr>
      <xdr:spPr bwMode="auto">
        <a:xfrm>
          <a:off x="41021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150</xdr:row>
      <xdr:rowOff>139700</xdr:rowOff>
    </xdr:from>
    <xdr:to>
      <xdr:col>22</xdr:col>
      <xdr:colOff>0</xdr:colOff>
      <xdr:row>151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0A48437-3C49-4607-8B05-960A58B30251}"/>
            </a:ext>
          </a:extLst>
        </xdr:cNvPr>
        <xdr:cNvSpPr>
          <a:spLocks/>
        </xdr:cNvSpPr>
      </xdr:nvSpPr>
      <xdr:spPr bwMode="auto">
        <a:xfrm>
          <a:off x="43434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150</xdr:row>
      <xdr:rowOff>171450</xdr:rowOff>
    </xdr:from>
    <xdr:to>
      <xdr:col>23</xdr:col>
      <xdr:colOff>0</xdr:colOff>
      <xdr:row>153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E3246664-B26D-49C1-8967-40C7AC692450}"/>
            </a:ext>
          </a:extLst>
        </xdr:cNvPr>
        <xdr:cNvSpPr>
          <a:spLocks noChangeArrowheads="1"/>
        </xdr:cNvSpPr>
      </xdr:nvSpPr>
      <xdr:spPr bwMode="auto">
        <a:xfrm>
          <a:off x="50673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150</xdr:row>
      <xdr:rowOff>139700</xdr:rowOff>
    </xdr:from>
    <xdr:to>
      <xdr:col>26</xdr:col>
      <xdr:colOff>12700</xdr:colOff>
      <xdr:row>151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46381CDA-58F3-4983-82E7-E8F5392EB58F}"/>
            </a:ext>
          </a:extLst>
        </xdr:cNvPr>
        <xdr:cNvSpPr>
          <a:spLocks/>
        </xdr:cNvSpPr>
      </xdr:nvSpPr>
      <xdr:spPr bwMode="auto">
        <a:xfrm>
          <a:off x="53213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150</xdr:row>
      <xdr:rowOff>171450</xdr:rowOff>
    </xdr:from>
    <xdr:to>
      <xdr:col>27</xdr:col>
      <xdr:colOff>0</xdr:colOff>
      <xdr:row>153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5E337222-D95D-4D20-8AA9-83DB299F81FA}"/>
            </a:ext>
          </a:extLst>
        </xdr:cNvPr>
        <xdr:cNvSpPr>
          <a:spLocks noChangeArrowheads="1"/>
        </xdr:cNvSpPr>
      </xdr:nvSpPr>
      <xdr:spPr bwMode="auto">
        <a:xfrm>
          <a:off x="60325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150</xdr:row>
      <xdr:rowOff>139700</xdr:rowOff>
    </xdr:from>
    <xdr:to>
      <xdr:col>30</xdr:col>
      <xdr:colOff>0</xdr:colOff>
      <xdr:row>151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832DB47A-9410-4D88-A2F0-76D21900FEA5}"/>
            </a:ext>
          </a:extLst>
        </xdr:cNvPr>
        <xdr:cNvSpPr>
          <a:spLocks/>
        </xdr:cNvSpPr>
      </xdr:nvSpPr>
      <xdr:spPr bwMode="auto">
        <a:xfrm>
          <a:off x="62738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150</xdr:row>
      <xdr:rowOff>171450</xdr:rowOff>
    </xdr:from>
    <xdr:to>
      <xdr:col>31</xdr:col>
      <xdr:colOff>0</xdr:colOff>
      <xdr:row>153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29E806F8-AD31-4401-AF50-79FEE1FAAA30}"/>
            </a:ext>
          </a:extLst>
        </xdr:cNvPr>
        <xdr:cNvSpPr>
          <a:spLocks noChangeArrowheads="1"/>
        </xdr:cNvSpPr>
      </xdr:nvSpPr>
      <xdr:spPr bwMode="auto">
        <a:xfrm>
          <a:off x="69977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150</xdr:row>
      <xdr:rowOff>139700</xdr:rowOff>
    </xdr:from>
    <xdr:to>
      <xdr:col>34</xdr:col>
      <xdr:colOff>0</xdr:colOff>
      <xdr:row>151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EE184A7-EB37-4C51-9A44-A5EADC9BE4C9}"/>
            </a:ext>
          </a:extLst>
        </xdr:cNvPr>
        <xdr:cNvSpPr>
          <a:spLocks/>
        </xdr:cNvSpPr>
      </xdr:nvSpPr>
      <xdr:spPr bwMode="auto">
        <a:xfrm>
          <a:off x="72390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150</xdr:row>
      <xdr:rowOff>171450</xdr:rowOff>
    </xdr:from>
    <xdr:to>
      <xdr:col>35</xdr:col>
      <xdr:colOff>0</xdr:colOff>
      <xdr:row>153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F35B952E-82DF-4131-AF6F-DB4BD457CBC6}"/>
            </a:ext>
          </a:extLst>
        </xdr:cNvPr>
        <xdr:cNvSpPr>
          <a:spLocks noChangeArrowheads="1"/>
        </xdr:cNvSpPr>
      </xdr:nvSpPr>
      <xdr:spPr bwMode="auto">
        <a:xfrm>
          <a:off x="79629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150</xdr:row>
      <xdr:rowOff>139700</xdr:rowOff>
    </xdr:from>
    <xdr:to>
      <xdr:col>38</xdr:col>
      <xdr:colOff>0</xdr:colOff>
      <xdr:row>151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DC688974-DEEC-4238-9E7B-708419A66A24}"/>
            </a:ext>
          </a:extLst>
        </xdr:cNvPr>
        <xdr:cNvSpPr>
          <a:spLocks/>
        </xdr:cNvSpPr>
      </xdr:nvSpPr>
      <xdr:spPr bwMode="auto">
        <a:xfrm>
          <a:off x="82042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150</xdr:row>
      <xdr:rowOff>139700</xdr:rowOff>
    </xdr:from>
    <xdr:to>
      <xdr:col>6</xdr:col>
      <xdr:colOff>12700</xdr:colOff>
      <xdr:row>151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BD7527DF-3FB0-4870-B70C-3D781FE0B4AA}"/>
            </a:ext>
          </a:extLst>
        </xdr:cNvPr>
        <xdr:cNvSpPr>
          <a:spLocks/>
        </xdr:cNvSpPr>
      </xdr:nvSpPr>
      <xdr:spPr bwMode="auto">
        <a:xfrm>
          <a:off x="482600" y="25393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150</xdr:row>
      <xdr:rowOff>171450</xdr:rowOff>
    </xdr:from>
    <xdr:to>
      <xdr:col>39</xdr:col>
      <xdr:colOff>0</xdr:colOff>
      <xdr:row>153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9B3BC58D-4788-495E-BAE3-9C265D4746DC}"/>
            </a:ext>
          </a:extLst>
        </xdr:cNvPr>
        <xdr:cNvSpPr>
          <a:spLocks noChangeArrowheads="1"/>
        </xdr:cNvSpPr>
      </xdr:nvSpPr>
      <xdr:spPr bwMode="auto">
        <a:xfrm>
          <a:off x="89281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150</xdr:row>
      <xdr:rowOff>139700</xdr:rowOff>
    </xdr:from>
    <xdr:to>
      <xdr:col>42</xdr:col>
      <xdr:colOff>0</xdr:colOff>
      <xdr:row>151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F24C9138-97E5-434E-8D72-359207B35821}"/>
            </a:ext>
          </a:extLst>
        </xdr:cNvPr>
        <xdr:cNvSpPr>
          <a:spLocks/>
        </xdr:cNvSpPr>
      </xdr:nvSpPr>
      <xdr:spPr bwMode="auto">
        <a:xfrm>
          <a:off x="91694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150</xdr:row>
      <xdr:rowOff>171450</xdr:rowOff>
    </xdr:from>
    <xdr:to>
      <xdr:col>43</xdr:col>
      <xdr:colOff>0</xdr:colOff>
      <xdr:row>153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1155D988-73D9-4B93-8A4E-91010D2AB6DE}"/>
            </a:ext>
          </a:extLst>
        </xdr:cNvPr>
        <xdr:cNvSpPr>
          <a:spLocks noChangeArrowheads="1"/>
        </xdr:cNvSpPr>
      </xdr:nvSpPr>
      <xdr:spPr bwMode="auto">
        <a:xfrm>
          <a:off x="98933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150</xdr:row>
      <xdr:rowOff>139700</xdr:rowOff>
    </xdr:from>
    <xdr:to>
      <xdr:col>45</xdr:col>
      <xdr:colOff>254000</xdr:colOff>
      <xdr:row>151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D29312DE-C1FF-4032-BCD9-DBD9C4DD0841}"/>
            </a:ext>
          </a:extLst>
        </xdr:cNvPr>
        <xdr:cNvSpPr>
          <a:spLocks/>
        </xdr:cNvSpPr>
      </xdr:nvSpPr>
      <xdr:spPr bwMode="auto">
        <a:xfrm>
          <a:off x="10134600" y="253936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159</xdr:row>
      <xdr:rowOff>171450</xdr:rowOff>
    </xdr:from>
    <xdr:to>
      <xdr:col>7</xdr:col>
      <xdr:colOff>0</xdr:colOff>
      <xdr:row>162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90023CF0-1655-48A8-80DA-9C363D538569}"/>
            </a:ext>
          </a:extLst>
        </xdr:cNvPr>
        <xdr:cNvSpPr>
          <a:spLocks noChangeArrowheads="1"/>
        </xdr:cNvSpPr>
      </xdr:nvSpPr>
      <xdr:spPr bwMode="auto">
        <a:xfrm>
          <a:off x="1206500" y="2691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159</xdr:row>
      <xdr:rowOff>139700</xdr:rowOff>
    </xdr:from>
    <xdr:to>
      <xdr:col>10</xdr:col>
      <xdr:colOff>12700</xdr:colOff>
      <xdr:row>160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B4386CC9-4B64-4751-9AF8-2F7860C4F921}"/>
            </a:ext>
          </a:extLst>
        </xdr:cNvPr>
        <xdr:cNvSpPr>
          <a:spLocks/>
        </xdr:cNvSpPr>
      </xdr:nvSpPr>
      <xdr:spPr bwMode="auto">
        <a:xfrm>
          <a:off x="1447800" y="2688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159</xdr:row>
      <xdr:rowOff>171450</xdr:rowOff>
    </xdr:from>
    <xdr:to>
      <xdr:col>11</xdr:col>
      <xdr:colOff>12700</xdr:colOff>
      <xdr:row>162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4922130-57A0-4DFA-B9A0-2CD6AED8392E}"/>
            </a:ext>
          </a:extLst>
        </xdr:cNvPr>
        <xdr:cNvSpPr>
          <a:spLocks noChangeArrowheads="1"/>
        </xdr:cNvSpPr>
      </xdr:nvSpPr>
      <xdr:spPr bwMode="auto">
        <a:xfrm>
          <a:off x="2184400" y="2691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159</xdr:row>
      <xdr:rowOff>139700</xdr:rowOff>
    </xdr:from>
    <xdr:to>
      <xdr:col>14</xdr:col>
      <xdr:colOff>0</xdr:colOff>
      <xdr:row>160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00F77A91-2474-42CD-B5A1-92DA49A50F1D}"/>
            </a:ext>
          </a:extLst>
        </xdr:cNvPr>
        <xdr:cNvSpPr>
          <a:spLocks/>
        </xdr:cNvSpPr>
      </xdr:nvSpPr>
      <xdr:spPr bwMode="auto">
        <a:xfrm>
          <a:off x="24130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159</xdr:row>
      <xdr:rowOff>171450</xdr:rowOff>
    </xdr:from>
    <xdr:to>
      <xdr:col>15</xdr:col>
      <xdr:colOff>0</xdr:colOff>
      <xdr:row>162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A6BE4559-931F-4003-BF4F-49DF834980A6}"/>
            </a:ext>
          </a:extLst>
        </xdr:cNvPr>
        <xdr:cNvSpPr>
          <a:spLocks noChangeArrowheads="1"/>
        </xdr:cNvSpPr>
      </xdr:nvSpPr>
      <xdr:spPr bwMode="auto">
        <a:xfrm>
          <a:off x="31369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159</xdr:row>
      <xdr:rowOff>139700</xdr:rowOff>
    </xdr:from>
    <xdr:to>
      <xdr:col>18</xdr:col>
      <xdr:colOff>0</xdr:colOff>
      <xdr:row>160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56058C45-522D-4395-854F-35EA0BFA1D8C}"/>
            </a:ext>
          </a:extLst>
        </xdr:cNvPr>
        <xdr:cNvSpPr>
          <a:spLocks/>
        </xdr:cNvSpPr>
      </xdr:nvSpPr>
      <xdr:spPr bwMode="auto">
        <a:xfrm>
          <a:off x="33782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159</xdr:row>
      <xdr:rowOff>171450</xdr:rowOff>
    </xdr:from>
    <xdr:to>
      <xdr:col>19</xdr:col>
      <xdr:colOff>0</xdr:colOff>
      <xdr:row>162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7FC2EE78-4ED3-492E-8763-50DE85575262}"/>
            </a:ext>
          </a:extLst>
        </xdr:cNvPr>
        <xdr:cNvSpPr>
          <a:spLocks noChangeArrowheads="1"/>
        </xdr:cNvSpPr>
      </xdr:nvSpPr>
      <xdr:spPr bwMode="auto">
        <a:xfrm>
          <a:off x="41021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159</xdr:row>
      <xdr:rowOff>152400</xdr:rowOff>
    </xdr:from>
    <xdr:to>
      <xdr:col>26</xdr:col>
      <xdr:colOff>12700</xdr:colOff>
      <xdr:row>160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901F4E13-7F72-4A05-ACAE-82C59631F03F}"/>
            </a:ext>
          </a:extLst>
        </xdr:cNvPr>
        <xdr:cNvSpPr>
          <a:spLocks/>
        </xdr:cNvSpPr>
      </xdr:nvSpPr>
      <xdr:spPr bwMode="auto">
        <a:xfrm>
          <a:off x="5321300" y="268986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159</xdr:row>
      <xdr:rowOff>171450</xdr:rowOff>
    </xdr:from>
    <xdr:to>
      <xdr:col>23</xdr:col>
      <xdr:colOff>0</xdr:colOff>
      <xdr:row>162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AFD9C66E-48CC-47C2-BA72-2AE4E85836F8}"/>
            </a:ext>
          </a:extLst>
        </xdr:cNvPr>
        <xdr:cNvSpPr>
          <a:spLocks noChangeArrowheads="1"/>
        </xdr:cNvSpPr>
      </xdr:nvSpPr>
      <xdr:spPr bwMode="auto">
        <a:xfrm>
          <a:off x="50673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159</xdr:row>
      <xdr:rowOff>171450</xdr:rowOff>
    </xdr:from>
    <xdr:to>
      <xdr:col>3</xdr:col>
      <xdr:colOff>0</xdr:colOff>
      <xdr:row>162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4207AE02-FDB4-45BC-937E-F896CA5E1255}"/>
            </a:ext>
          </a:extLst>
        </xdr:cNvPr>
        <xdr:cNvSpPr>
          <a:spLocks noChangeArrowheads="1"/>
        </xdr:cNvSpPr>
      </xdr:nvSpPr>
      <xdr:spPr bwMode="auto">
        <a:xfrm>
          <a:off x="2413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159</xdr:row>
      <xdr:rowOff>139700</xdr:rowOff>
    </xdr:from>
    <xdr:to>
      <xdr:col>6</xdr:col>
      <xdr:colOff>12700</xdr:colOff>
      <xdr:row>160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6517D810-1293-4975-84B0-05E5C9AF336F}"/>
            </a:ext>
          </a:extLst>
        </xdr:cNvPr>
        <xdr:cNvSpPr>
          <a:spLocks/>
        </xdr:cNvSpPr>
      </xdr:nvSpPr>
      <xdr:spPr bwMode="auto">
        <a:xfrm>
          <a:off x="482600" y="2688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2ED8B38C-C98A-4C67-AE31-70DBE7B543D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C5985833-D1E4-4A23-82D2-09C09590567D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E73C1301-9888-487A-9AD8-E271939F7D39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E314EBD3-4207-4262-8C2E-50EB20EF665D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A2D31435-242E-47D4-A218-B4EF788C4249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B760F22-DE6B-4A4D-AB81-0793DFE7B571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EF016AD2-906E-472C-83DA-2277BCD6879B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30C73FC0-F448-423E-A92D-EFADA9D27C73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5B13DC8B-C205-4841-89F8-A03CD8EBB19A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428DDC2B-44F6-4CCE-B80E-EE24F218ED6C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294B6E68-4BAA-4E56-918E-3D9E7DE0BECD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8B1CD106-7960-450F-80F4-7521CBFDE896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F6BC5377-5F99-47A9-B059-51A7936124A8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EAF91791-33D6-441F-8658-8956C1740E19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969C6F69-8AB3-4AEC-B30D-CDFA6043AC4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658F3B5B-015E-42D5-8B3A-E48A5BF7C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DA7EFAA6-E255-4FF7-A852-B9B4E1C5FE13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0891D3BA-D658-42B5-828D-135040D2A05E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9CE701A9-A7AF-4E2F-8970-D93E2A5BCC98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158750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DB7454FD-1B5A-40D8-9794-52159AF712FA}"/>
            </a:ext>
          </a:extLst>
        </xdr:cNvPr>
        <xdr:cNvSpPr>
          <a:spLocks/>
        </xdr:cNvSpPr>
      </xdr:nvSpPr>
      <xdr:spPr bwMode="auto">
        <a:xfrm>
          <a:off x="5308600" y="12357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97</xdr:row>
      <xdr:rowOff>139700</xdr:rowOff>
    </xdr:from>
    <xdr:to>
      <xdr:col>18</xdr:col>
      <xdr:colOff>12700</xdr:colOff>
      <xdr:row>98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107A7FEA-43EC-4D14-99AB-BCBC4020486B}"/>
            </a:ext>
          </a:extLst>
        </xdr:cNvPr>
        <xdr:cNvSpPr>
          <a:spLocks/>
        </xdr:cNvSpPr>
      </xdr:nvSpPr>
      <xdr:spPr bwMode="auto">
        <a:xfrm>
          <a:off x="33782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1FC8045D-FAA9-45FD-9EFD-C7B03CF1914E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B687822B-4C26-416E-B199-FA1C41B427B7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CDDB95A7-1CF5-4B4D-98C4-0A72ACA7235A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3F489867-0950-4879-9E4D-B3D7C2AA1E56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82A25EC7-C390-4093-B91D-C5EB909B04F4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9E17504-A36D-4F66-867E-598541D48B82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7584A1A7-65A5-4A61-866B-50CEDCB486FA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43395A83-727F-4902-BF69-B77E60FDDFDF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72B8150-C4E8-4B46-831D-4FB65E806FE8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140</xdr:row>
      <xdr:rowOff>171450</xdr:rowOff>
    </xdr:from>
    <xdr:to>
      <xdr:col>23</xdr:col>
      <xdr:colOff>0</xdr:colOff>
      <xdr:row>143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C8737D35-3C38-452F-89B2-626B867F2316}"/>
            </a:ext>
          </a:extLst>
        </xdr:cNvPr>
        <xdr:cNvSpPr>
          <a:spLocks noChangeArrowheads="1"/>
        </xdr:cNvSpPr>
      </xdr:nvSpPr>
      <xdr:spPr bwMode="auto">
        <a:xfrm>
          <a:off x="50673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D7D23334-D333-443F-B28D-9AD4C8E4C381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105</xdr:row>
      <xdr:rowOff>152400</xdr:rowOff>
    </xdr:from>
    <xdr:to>
      <xdr:col>45</xdr:col>
      <xdr:colOff>254000</xdr:colOff>
      <xdr:row>106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4414F7EB-D98B-428E-9CF3-8CDDD2851E7B}"/>
            </a:ext>
          </a:extLst>
        </xdr:cNvPr>
        <xdr:cNvSpPr>
          <a:spLocks/>
        </xdr:cNvSpPr>
      </xdr:nvSpPr>
      <xdr:spPr bwMode="auto">
        <a:xfrm>
          <a:off x="10134600" y="179451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131</xdr:row>
      <xdr:rowOff>158750</xdr:rowOff>
    </xdr:from>
    <xdr:to>
      <xdr:col>45</xdr:col>
      <xdr:colOff>254000</xdr:colOff>
      <xdr:row>132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A10B3114-6E41-4749-82A3-D1EC8549D99D}"/>
            </a:ext>
          </a:extLst>
        </xdr:cNvPr>
        <xdr:cNvSpPr>
          <a:spLocks/>
        </xdr:cNvSpPr>
      </xdr:nvSpPr>
      <xdr:spPr bwMode="auto">
        <a:xfrm>
          <a:off x="10134600" y="2226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95250</xdr:rowOff>
    </xdr:from>
    <xdr:to>
      <xdr:col>16</xdr:col>
      <xdr:colOff>144585</xdr:colOff>
      <xdr:row>57</xdr:row>
      <xdr:rowOff>72306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726B5C51-B928-4A5D-9F46-98B5C153AE4A}"/>
            </a:ext>
          </a:extLst>
        </xdr:cNvPr>
        <xdr:cNvSpPr/>
      </xdr:nvSpPr>
      <xdr:spPr>
        <a:xfrm>
          <a:off x="3889375" y="8832850"/>
          <a:ext cx="116010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260350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51D1128D-E4D6-4198-B103-E24B9B9792B4}"/>
            </a:ext>
          </a:extLst>
        </xdr:cNvPr>
        <xdr:cNvSpPr>
          <a:spLocks/>
        </xdr:cNvSpPr>
      </xdr:nvSpPr>
      <xdr:spPr bwMode="auto">
        <a:xfrm>
          <a:off x="14478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D00E28B7-A433-4AB6-9ED5-16A2841205F1}"/>
            </a:ext>
          </a:extLst>
        </xdr:cNvPr>
        <xdr:cNvSpPr>
          <a:spLocks noChangeArrowheads="1"/>
        </xdr:cNvSpPr>
      </xdr:nvSpPr>
      <xdr:spPr bwMode="auto">
        <a:xfrm>
          <a:off x="2171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697B83E4-1DA4-41DC-9D52-CF19DA2361CF}"/>
            </a:ext>
          </a:extLst>
        </xdr:cNvPr>
        <xdr:cNvSpPr>
          <a:spLocks/>
        </xdr:cNvSpPr>
      </xdr:nvSpPr>
      <xdr:spPr bwMode="auto">
        <a:xfrm>
          <a:off x="2413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0A4D8B01-33C4-4CB8-AE52-AF87CDD2C28F}"/>
            </a:ext>
          </a:extLst>
        </xdr:cNvPr>
        <xdr:cNvSpPr>
          <a:spLocks noChangeArrowheads="1"/>
        </xdr:cNvSpPr>
      </xdr:nvSpPr>
      <xdr:spPr bwMode="auto">
        <a:xfrm>
          <a:off x="3136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46175BEB-6085-4D66-855D-9E077AEDC8A6}"/>
            </a:ext>
          </a:extLst>
        </xdr:cNvPr>
        <xdr:cNvSpPr>
          <a:spLocks/>
        </xdr:cNvSpPr>
      </xdr:nvSpPr>
      <xdr:spPr bwMode="auto">
        <a:xfrm>
          <a:off x="3378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39BD297B-0AC0-4A7B-8DEA-1DEC3E81AE07}"/>
            </a:ext>
          </a:extLst>
        </xdr:cNvPr>
        <xdr:cNvSpPr>
          <a:spLocks noChangeArrowheads="1"/>
        </xdr:cNvSpPr>
      </xdr:nvSpPr>
      <xdr:spPr bwMode="auto">
        <a:xfrm>
          <a:off x="4102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3A9ABA9C-46AC-4455-9E16-F8BC9800C462}"/>
            </a:ext>
          </a:extLst>
        </xdr:cNvPr>
        <xdr:cNvSpPr>
          <a:spLocks/>
        </xdr:cNvSpPr>
      </xdr:nvSpPr>
      <xdr:spPr bwMode="auto">
        <a:xfrm>
          <a:off x="4343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A9811E7-626A-4F5B-B55D-8E53C80B437A}"/>
            </a:ext>
          </a:extLst>
        </xdr:cNvPr>
        <xdr:cNvSpPr>
          <a:spLocks/>
        </xdr:cNvSpPr>
      </xdr:nvSpPr>
      <xdr:spPr bwMode="auto">
        <a:xfrm>
          <a:off x="53086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CDB1B003-8810-46B1-961A-3AA5EB1B88A3}"/>
            </a:ext>
          </a:extLst>
        </xdr:cNvPr>
        <xdr:cNvSpPr>
          <a:spLocks noChangeArrowheads="1"/>
        </xdr:cNvSpPr>
      </xdr:nvSpPr>
      <xdr:spPr bwMode="auto">
        <a:xfrm>
          <a:off x="60325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8D1FCEF-7CE3-44E0-8350-DB9F18A8884A}"/>
            </a:ext>
          </a:extLst>
        </xdr:cNvPr>
        <xdr:cNvSpPr>
          <a:spLocks/>
        </xdr:cNvSpPr>
      </xdr:nvSpPr>
      <xdr:spPr bwMode="auto">
        <a:xfrm>
          <a:off x="62738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091F32EE-1C04-44A8-BF31-DB4FDDE7FB87}"/>
            </a:ext>
          </a:extLst>
        </xdr:cNvPr>
        <xdr:cNvSpPr>
          <a:spLocks/>
        </xdr:cNvSpPr>
      </xdr:nvSpPr>
      <xdr:spPr bwMode="auto">
        <a:xfrm>
          <a:off x="7239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A197E82-248C-434B-B408-782304397486}"/>
            </a:ext>
          </a:extLst>
        </xdr:cNvPr>
        <xdr:cNvSpPr>
          <a:spLocks noChangeArrowheads="1"/>
        </xdr:cNvSpPr>
      </xdr:nvSpPr>
      <xdr:spPr bwMode="auto">
        <a:xfrm>
          <a:off x="7962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49D9E8A7-CD88-4861-9E85-FCC9505BE3C2}"/>
            </a:ext>
          </a:extLst>
        </xdr:cNvPr>
        <xdr:cNvSpPr>
          <a:spLocks/>
        </xdr:cNvSpPr>
      </xdr:nvSpPr>
      <xdr:spPr bwMode="auto">
        <a:xfrm>
          <a:off x="8204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4767B619-C219-4379-83BC-2A97DD4A208D}"/>
            </a:ext>
          </a:extLst>
        </xdr:cNvPr>
        <xdr:cNvSpPr>
          <a:spLocks/>
        </xdr:cNvSpPr>
      </xdr:nvSpPr>
      <xdr:spPr bwMode="auto">
        <a:xfrm>
          <a:off x="4826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5E9189EA-8A93-4049-9B3E-AD14DAABEFCE}"/>
            </a:ext>
          </a:extLst>
        </xdr:cNvPr>
        <xdr:cNvSpPr>
          <a:spLocks noChangeArrowheads="1"/>
        </xdr:cNvSpPr>
      </xdr:nvSpPr>
      <xdr:spPr bwMode="auto">
        <a:xfrm>
          <a:off x="8928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5CA5D212-7746-4F65-9AA5-EEF2C6D45952}"/>
            </a:ext>
          </a:extLst>
        </xdr:cNvPr>
        <xdr:cNvSpPr>
          <a:spLocks/>
        </xdr:cNvSpPr>
      </xdr:nvSpPr>
      <xdr:spPr bwMode="auto">
        <a:xfrm>
          <a:off x="9169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38596C2E-9296-442F-88A4-DEE222710B7C}"/>
            </a:ext>
          </a:extLst>
        </xdr:cNvPr>
        <xdr:cNvSpPr>
          <a:spLocks noChangeArrowheads="1"/>
        </xdr:cNvSpPr>
      </xdr:nvSpPr>
      <xdr:spPr bwMode="auto">
        <a:xfrm>
          <a:off x="9893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3FF7BF-72B0-4493-8485-EEDB02AAE726}"/>
            </a:ext>
          </a:extLst>
        </xdr:cNvPr>
        <xdr:cNvSpPr>
          <a:spLocks/>
        </xdr:cNvSpPr>
      </xdr:nvSpPr>
      <xdr:spPr bwMode="auto">
        <a:xfrm>
          <a:off x="10134600" y="90360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72306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AEC939F6-630D-4661-A531-CA56E759E506}"/>
            </a:ext>
          </a:extLst>
        </xdr:cNvPr>
        <xdr:cNvSpPr/>
      </xdr:nvSpPr>
      <xdr:spPr>
        <a:xfrm>
          <a:off x="965200" y="10414000"/>
          <a:ext cx="109186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16960405-E669-43D8-B86A-22CBD14ABA1F}"/>
            </a:ext>
          </a:extLst>
        </xdr:cNvPr>
        <xdr:cNvSpPr>
          <a:spLocks noChangeArrowheads="1"/>
        </xdr:cNvSpPr>
      </xdr:nvSpPr>
      <xdr:spPr bwMode="auto">
        <a:xfrm>
          <a:off x="8928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B84B0A86-A991-440A-BC94-19252359E945}"/>
            </a:ext>
          </a:extLst>
        </xdr:cNvPr>
        <xdr:cNvSpPr>
          <a:spLocks noChangeArrowheads="1"/>
        </xdr:cNvSpPr>
      </xdr:nvSpPr>
      <xdr:spPr bwMode="auto">
        <a:xfrm>
          <a:off x="50546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DCE12634-E392-4583-BE2C-8EC47D16441D}"/>
            </a:ext>
          </a:extLst>
        </xdr:cNvPr>
        <xdr:cNvSpPr>
          <a:spLocks noChangeArrowheads="1"/>
        </xdr:cNvSpPr>
      </xdr:nvSpPr>
      <xdr:spPr bwMode="auto">
        <a:xfrm>
          <a:off x="12192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9AEAEF40-7937-430C-AE29-0D251F6A8842}"/>
            </a:ext>
          </a:extLst>
        </xdr:cNvPr>
        <xdr:cNvSpPr>
          <a:spLocks noChangeArrowheads="1"/>
        </xdr:cNvSpPr>
      </xdr:nvSpPr>
      <xdr:spPr bwMode="auto">
        <a:xfrm>
          <a:off x="241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41F24F8B-82E3-49A9-9166-4DA1994C045E}"/>
            </a:ext>
          </a:extLst>
        </xdr:cNvPr>
        <xdr:cNvSpPr>
          <a:spLocks noChangeArrowheads="1"/>
        </xdr:cNvSpPr>
      </xdr:nvSpPr>
      <xdr:spPr bwMode="auto">
        <a:xfrm>
          <a:off x="6997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28799862-F11B-4402-8E33-F88E6A96C9B0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E52EFEDF-63A2-49B4-8ABA-CF40BD18A8D9}"/>
            </a:ext>
          </a:extLst>
        </xdr:cNvPr>
        <xdr:cNvSpPr>
          <a:spLocks noChangeArrowheads="1"/>
        </xdr:cNvSpPr>
      </xdr:nvSpPr>
      <xdr:spPr bwMode="auto">
        <a:xfrm>
          <a:off x="60325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A1CD7015-CDA6-4B78-A73A-5D579DB5138E}"/>
            </a:ext>
          </a:extLst>
        </xdr:cNvPr>
        <xdr:cNvSpPr>
          <a:spLocks noChangeArrowheads="1"/>
        </xdr:cNvSpPr>
      </xdr:nvSpPr>
      <xdr:spPr bwMode="auto">
        <a:xfrm>
          <a:off x="98933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E17D714F-16F2-44E3-8686-1CC2ADA0986C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58F6C35E-534F-422C-A444-8A8BBFE0E7FA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3FB41110-517C-4B45-9655-3D670D1C019D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81</xdr:row>
      <xdr:rowOff>171450</xdr:rowOff>
    </xdr:from>
    <xdr:to>
      <xdr:col>7</xdr:col>
      <xdr:colOff>0</xdr:colOff>
      <xdr:row>84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DE7181B-A7B5-41B1-85FC-33C390502CC0}"/>
            </a:ext>
          </a:extLst>
        </xdr:cNvPr>
        <xdr:cNvSpPr>
          <a:spLocks noChangeArrowheads="1"/>
        </xdr:cNvSpPr>
      </xdr:nvSpPr>
      <xdr:spPr bwMode="auto">
        <a:xfrm>
          <a:off x="1206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6FCEF995-083B-48B7-9E3E-35CCF5623BF7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F363DA73-C673-4E17-A595-D868215CD46D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C75D6008-FBF2-414A-9518-429D26ED7750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A0E13664-31AB-403E-875E-70EFAA88C52B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5D357F1C-BFE3-41B0-BFE5-395399AB7C9F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6B9D941C-8D8D-44DF-8F29-6EB9B6B9E531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A00E23FA-729D-4EA2-90EB-E65CC709242A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6AF846AC-BE19-4B64-8345-2A0A65029442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81</xdr:row>
      <xdr:rowOff>171450</xdr:rowOff>
    </xdr:from>
    <xdr:to>
      <xdr:col>23</xdr:col>
      <xdr:colOff>0</xdr:colOff>
      <xdr:row>84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11B7DD42-8698-404E-BD22-61BF15D1251D}"/>
            </a:ext>
          </a:extLst>
        </xdr:cNvPr>
        <xdr:cNvSpPr>
          <a:spLocks noChangeArrowheads="1"/>
        </xdr:cNvSpPr>
      </xdr:nvSpPr>
      <xdr:spPr bwMode="auto">
        <a:xfrm>
          <a:off x="5067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9BED661A-E4E2-466B-9749-09E40A5F861C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D7705A2B-84BC-4409-A554-92B1A095D8E0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39A893B0-9271-48C8-8BF9-4366D79F7AF9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61FA4F95-34C6-499D-A2E7-EFABFAFFEE69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F841C09-749A-4900-8E75-F2A2453DC1A0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A820C8DC-2007-4F49-A776-4AC2C1A32FC4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CEEC3250-184F-4CCC-8392-1E2EAFC184A4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FE1540FF-9016-43C5-98AD-154363320992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5FC276C-1E15-424A-A290-56014E06CADB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2E2FEE6E-8FF9-4877-916E-7B9A00E15672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81B093AC-5D5E-4A3C-B8FC-9AD3059E712F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7E34CD34-7107-4ED5-B32B-79423D7E4243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89</xdr:row>
      <xdr:rowOff>171450</xdr:rowOff>
    </xdr:from>
    <xdr:to>
      <xdr:col>7</xdr:col>
      <xdr:colOff>0</xdr:colOff>
      <xdr:row>92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923161A6-77B6-4B60-99C8-5FA74E8FF3E0}"/>
            </a:ext>
          </a:extLst>
        </xdr:cNvPr>
        <xdr:cNvSpPr>
          <a:spLocks noChangeArrowheads="1"/>
        </xdr:cNvSpPr>
      </xdr:nvSpPr>
      <xdr:spPr bwMode="auto">
        <a:xfrm>
          <a:off x="12065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89</xdr:row>
      <xdr:rowOff>171450</xdr:rowOff>
    </xdr:from>
    <xdr:to>
      <xdr:col>11</xdr:col>
      <xdr:colOff>0</xdr:colOff>
      <xdr:row>92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A01D9F37-0A1B-4417-B285-937A1C6DE428}"/>
            </a:ext>
          </a:extLst>
        </xdr:cNvPr>
        <xdr:cNvSpPr>
          <a:spLocks noChangeArrowheads="1"/>
        </xdr:cNvSpPr>
      </xdr:nvSpPr>
      <xdr:spPr bwMode="auto">
        <a:xfrm>
          <a:off x="21717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00C70EE-104B-4E2E-92B9-1BF7427815F2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89</xdr:row>
      <xdr:rowOff>171450</xdr:rowOff>
    </xdr:from>
    <xdr:to>
      <xdr:col>27</xdr:col>
      <xdr:colOff>0</xdr:colOff>
      <xdr:row>92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4CDB55B1-AA19-4739-8047-15507C2153A5}"/>
            </a:ext>
          </a:extLst>
        </xdr:cNvPr>
        <xdr:cNvSpPr>
          <a:spLocks noChangeArrowheads="1"/>
        </xdr:cNvSpPr>
      </xdr:nvSpPr>
      <xdr:spPr bwMode="auto">
        <a:xfrm>
          <a:off x="60325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89</xdr:row>
      <xdr:rowOff>171450</xdr:rowOff>
    </xdr:from>
    <xdr:to>
      <xdr:col>3</xdr:col>
      <xdr:colOff>0</xdr:colOff>
      <xdr:row>92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3649D87A-BADB-4FD5-AC68-57EA4BCBE648}"/>
            </a:ext>
          </a:extLst>
        </xdr:cNvPr>
        <xdr:cNvSpPr>
          <a:spLocks noChangeArrowheads="1"/>
        </xdr:cNvSpPr>
      </xdr:nvSpPr>
      <xdr:spPr bwMode="auto">
        <a:xfrm>
          <a:off x="241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89</xdr:row>
      <xdr:rowOff>171450</xdr:rowOff>
    </xdr:from>
    <xdr:to>
      <xdr:col>43</xdr:col>
      <xdr:colOff>0</xdr:colOff>
      <xdr:row>92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A06F34A-DA13-4724-8FF9-8B27736D4506}"/>
            </a:ext>
          </a:extLst>
        </xdr:cNvPr>
        <xdr:cNvSpPr>
          <a:spLocks noChangeArrowheads="1"/>
        </xdr:cNvSpPr>
      </xdr:nvSpPr>
      <xdr:spPr bwMode="auto">
        <a:xfrm>
          <a:off x="9893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0EC5023C-BA87-4995-BCF9-2FC4A441478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2542E55-F87F-4E06-A4E1-EF09EA9D9BA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7680911A-4E4F-49C8-9C31-2717F8584B4B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7BC09D51-BB6C-4B5C-A060-368E02E1391F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97</xdr:row>
      <xdr:rowOff>165100</xdr:rowOff>
    </xdr:from>
    <xdr:to>
      <xdr:col>11</xdr:col>
      <xdr:colOff>0</xdr:colOff>
      <xdr:row>100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27DFE753-1EF4-451A-B919-F6354F4953EE}"/>
            </a:ext>
          </a:extLst>
        </xdr:cNvPr>
        <xdr:cNvSpPr>
          <a:spLocks noChangeArrowheads="1"/>
        </xdr:cNvSpPr>
      </xdr:nvSpPr>
      <xdr:spPr bwMode="auto">
        <a:xfrm>
          <a:off x="2171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7A2B6908-4715-4069-8C58-55ACA0F2F47A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E1E9754C-F60A-43CD-B199-28D734F79A93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85D9F03D-553E-4B44-AC2F-F51D444EA4D4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23331D35-30C5-43AC-A340-7F6DC2196370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97</xdr:row>
      <xdr:rowOff>165100</xdr:rowOff>
    </xdr:from>
    <xdr:to>
      <xdr:col>3</xdr:col>
      <xdr:colOff>0</xdr:colOff>
      <xdr:row>100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E9DF25AD-488B-499F-9F8C-0151DD264988}"/>
            </a:ext>
          </a:extLst>
        </xdr:cNvPr>
        <xdr:cNvSpPr>
          <a:spLocks noChangeArrowheads="1"/>
        </xdr:cNvSpPr>
      </xdr:nvSpPr>
      <xdr:spPr bwMode="auto">
        <a:xfrm>
          <a:off x="241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98</xdr:row>
      <xdr:rowOff>0</xdr:rowOff>
    </xdr:from>
    <xdr:to>
      <xdr:col>43</xdr:col>
      <xdr:colOff>0</xdr:colOff>
      <xdr:row>100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A0699729-8DF3-4AD4-8738-A5D8BE7EDFBE}"/>
            </a:ext>
          </a:extLst>
        </xdr:cNvPr>
        <xdr:cNvSpPr>
          <a:spLocks noChangeArrowheads="1"/>
        </xdr:cNvSpPr>
      </xdr:nvSpPr>
      <xdr:spPr bwMode="auto">
        <a:xfrm>
          <a:off x="9893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91659BF4-5E4E-4FEC-B9E2-CF1127865FDB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E3D8DF0B-010C-438A-915C-5BBB62028A5E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9F9C34A-A580-4986-9911-039648678EE7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74CC1519-FF52-47B1-B6C2-E47DD6385E14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1599E6D0-6870-4A1D-96BB-257F82C6B2C9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7A984C55-FE75-4324-BCC8-D2A5C1A65898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6B575B36-EE4E-4E76-9E0D-3F5B692EC5A1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6FC2BD4-08DF-4BAE-822C-739495A934AF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44E0A789-75B6-4278-989F-B5B9530B810B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AC3DD4E3-5D2B-4EB6-BE2B-ADCF8578FF19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0CFBAF71-185E-420A-AAE6-6BFDBF841769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989B98AE-B773-4108-9EF4-6D6AAE72D1E8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37CA6429-D6E9-4465-83F7-B13DC2C0776E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BA358463-0569-4B85-A30B-FDE1A6FBAF52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6C7E6451-6622-4E47-B6EF-7FA52D450888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3981DF35-42F0-4907-911E-212DADE2243F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3E7DF212-F567-459C-96AC-9D2B35EF37D2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91F13095-5359-45D8-A337-CF3FF7A7CFF4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98</xdr:row>
      <xdr:rowOff>0</xdr:rowOff>
    </xdr:from>
    <xdr:to>
      <xdr:col>35</xdr:col>
      <xdr:colOff>12700</xdr:colOff>
      <xdr:row>100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0695B5C9-4D65-431C-B401-C3C93C1BBEAB}"/>
            </a:ext>
          </a:extLst>
        </xdr:cNvPr>
        <xdr:cNvSpPr>
          <a:spLocks noChangeArrowheads="1"/>
        </xdr:cNvSpPr>
      </xdr:nvSpPr>
      <xdr:spPr bwMode="auto">
        <a:xfrm>
          <a:off x="79756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105</xdr:row>
      <xdr:rowOff>171450</xdr:rowOff>
    </xdr:from>
    <xdr:to>
      <xdr:col>15</xdr:col>
      <xdr:colOff>0</xdr:colOff>
      <xdr:row>108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8DFBC0B7-AC4F-4FED-9725-4C56FA3DF41E}"/>
            </a:ext>
          </a:extLst>
        </xdr:cNvPr>
        <xdr:cNvSpPr>
          <a:spLocks noChangeArrowheads="1"/>
        </xdr:cNvSpPr>
      </xdr:nvSpPr>
      <xdr:spPr bwMode="auto">
        <a:xfrm>
          <a:off x="3136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105</xdr:row>
      <xdr:rowOff>171450</xdr:rowOff>
    </xdr:from>
    <xdr:to>
      <xdr:col>19</xdr:col>
      <xdr:colOff>0</xdr:colOff>
      <xdr:row>108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E47FAA88-72B1-43D7-B20F-1B1CD995602C}"/>
            </a:ext>
          </a:extLst>
        </xdr:cNvPr>
        <xdr:cNvSpPr>
          <a:spLocks noChangeArrowheads="1"/>
        </xdr:cNvSpPr>
      </xdr:nvSpPr>
      <xdr:spPr bwMode="auto">
        <a:xfrm>
          <a:off x="4102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105</xdr:row>
      <xdr:rowOff>171450</xdr:rowOff>
    </xdr:from>
    <xdr:to>
      <xdr:col>23</xdr:col>
      <xdr:colOff>0</xdr:colOff>
      <xdr:row>108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A37B1E3A-1D05-49B2-ACC8-C1424D1DC2A0}"/>
            </a:ext>
          </a:extLst>
        </xdr:cNvPr>
        <xdr:cNvSpPr>
          <a:spLocks noChangeArrowheads="1"/>
        </xdr:cNvSpPr>
      </xdr:nvSpPr>
      <xdr:spPr bwMode="auto">
        <a:xfrm>
          <a:off x="5067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2281EE84-B3D1-413C-A2A6-F13E46CA02DF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DF8E3843-93A0-4CF2-86E5-ACB399C0EE55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98D673C6-75CE-4D99-9112-51CF24203BD9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D26A733D-1B0A-45A6-A8DA-FF1001356431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4FBFB747-030B-48BE-9A3C-198A638E9E2C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656B8062-87C9-48AE-85F9-047118A97C7D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C0DE4104-9899-4661-9FE8-A2162873DB13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7A83399-350D-4315-9D46-8EEB1109CDF3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C5AB50BD-2D7A-44EC-A9D0-793364CB487D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45F48AC0-3A14-4EAD-9D23-CA24039C5F4E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6520210-AE90-402A-A4C2-1D6A04F74D2A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105</xdr:row>
      <xdr:rowOff>171450</xdr:rowOff>
    </xdr:from>
    <xdr:to>
      <xdr:col>11</xdr:col>
      <xdr:colOff>0</xdr:colOff>
      <xdr:row>108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93311F10-89C4-4881-A336-13A7D962FA72}"/>
            </a:ext>
          </a:extLst>
        </xdr:cNvPr>
        <xdr:cNvSpPr>
          <a:spLocks noChangeArrowheads="1"/>
        </xdr:cNvSpPr>
      </xdr:nvSpPr>
      <xdr:spPr bwMode="auto">
        <a:xfrm>
          <a:off x="2171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0D59F7AA-6B0A-45F8-A26F-4ED4B05348B6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BD89FF6B-581C-4514-B609-E52A0A79450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791A0D84-938F-4A32-82FE-1136FB756E65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7746D50-4F15-4B5A-986F-653AF6086908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34A796C0-48C5-4D5B-BF0A-13101FE95BFB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84A6FFAE-4D58-439C-B298-3976B7380DA8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7082030-6EB9-4FE8-8CAF-39E5ECE3CDDA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821661ED-C185-478E-9F54-173E3342CA50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A6F24F16-CF58-43A2-B9BF-53734898FFA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32698DD9-9FF6-4138-870A-8389C32F184D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830B1DCE-3A32-4C65-A894-78772650C73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DB5EFC21-6876-411C-8888-87E510B85345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21EC9695-AE0F-4CD0-AE13-FE2539FDB056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61DF3A83-A9A4-4CFF-A992-9BC006EBC070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EC9D819B-262F-4EA5-B6BA-01A9EE47FD31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11D7A396-EFD8-47E4-95A4-D8AAB3A01F57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3F3EEEE-C8ED-44B4-B131-651501FA8921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51B4AC37-BE8B-4DF2-9A19-442082B08B9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74C3E427-196B-4CCE-B704-6F03165F7767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071D3E9C-AFC6-4F21-AD86-73842B7E6785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E024800D-0B0A-4232-B970-CDFAB6C0A031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113</xdr:row>
      <xdr:rowOff>171450</xdr:rowOff>
    </xdr:from>
    <xdr:to>
      <xdr:col>11</xdr:col>
      <xdr:colOff>0</xdr:colOff>
      <xdr:row>116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0A54857F-9528-43F7-81CD-DF1BCED3377E}"/>
            </a:ext>
          </a:extLst>
        </xdr:cNvPr>
        <xdr:cNvSpPr>
          <a:spLocks noChangeArrowheads="1"/>
        </xdr:cNvSpPr>
      </xdr:nvSpPr>
      <xdr:spPr bwMode="auto">
        <a:xfrm>
          <a:off x="2171700" y="192976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D5E1C4DF-0973-4895-ACA1-7B5E04AF9A16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8EAF837E-1843-450E-B1B6-DE3C959CD6E6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113</xdr:row>
      <xdr:rowOff>171450</xdr:rowOff>
    </xdr:from>
    <xdr:to>
      <xdr:col>3</xdr:col>
      <xdr:colOff>0</xdr:colOff>
      <xdr:row>116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CE989CFA-5884-496A-A8A2-472FA9CFA3C2}"/>
            </a:ext>
          </a:extLst>
        </xdr:cNvPr>
        <xdr:cNvSpPr>
          <a:spLocks noChangeArrowheads="1"/>
        </xdr:cNvSpPr>
      </xdr:nvSpPr>
      <xdr:spPr bwMode="auto">
        <a:xfrm>
          <a:off x="2413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150</xdr:row>
      <xdr:rowOff>171450</xdr:rowOff>
    </xdr:from>
    <xdr:to>
      <xdr:col>3</xdr:col>
      <xdr:colOff>0</xdr:colOff>
      <xdr:row>153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0F5858A2-FE90-42DE-AEDD-2F8B7274D8EB}"/>
            </a:ext>
          </a:extLst>
        </xdr:cNvPr>
        <xdr:cNvSpPr>
          <a:spLocks noChangeArrowheads="1"/>
        </xdr:cNvSpPr>
      </xdr:nvSpPr>
      <xdr:spPr bwMode="auto">
        <a:xfrm>
          <a:off x="241300" y="25425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072DA18-0B8D-40D0-B0D6-7911864D1833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B8D643E-81A3-48F8-A533-5F65DA97E35D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C7BE307F-0D75-47DE-AD77-68B8F048D189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4854F749-A10B-458E-A9FB-54197A14FF1D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716A3C6B-CB67-4401-900B-24E582DD49B7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6ECD84DC-55C4-4591-9977-D9B186DC8720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291DD187-B329-471B-8E5B-7D1C031A40D1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FDD77D28-0314-47A6-B36F-C286C732FD76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E2DC7821-5490-4F13-BD3D-DD55BF779F3A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32D7F04B-3912-4962-9EAE-CF970ABA3933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EEAC431-BA5A-448E-A644-134ABF37FD48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B0BB116C-1785-4DA3-9CF0-25548EF97CBC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FEE4EB3D-0E72-45E3-9C60-0965CB76F275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C14FF715-65A0-4773-B70A-138E68F1D9AD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DB11A84-E77E-4559-8EEB-FC5B8750A7B8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A6E6AF67-C1B5-49E6-A69A-DE537C64EF58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5B128CCC-9CA9-4CBD-83A9-345DA9290E56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0C51CDC6-D728-47BC-85C4-FB0D844AF40A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17AFA776-1525-4433-A08E-82E6E1D2339E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F356D600-78F1-4AA0-9283-463C37B1449B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DA5799E1-3DEA-4CBE-B83E-8D357C5F7C46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105CB532-7B28-4EAB-93D3-6CD44186496A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EB83E0D9-9800-45E9-A4AC-3A5F4B545B0B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1A98B17D-F2DB-4D81-B468-B380DD17BA98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D298CD76-4CCE-4A59-B27E-E56C88BFA45D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1AE9311F-4D89-4FE7-A89A-ED149D72081B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C4E89999-4045-4474-B6BB-B23F1C11344B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00352112-9A39-494F-B671-D3A30101AB8A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5EA77BC-4CD3-41D2-AF05-4012006FF77D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7DD336E3-55B1-4E49-9E5E-A13FD3F79322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C65C2432-CAD7-4C54-84BF-5BA8DE825A1F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294DD368-9E2A-49BD-B190-6482EDF71318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A0B71D20-FE88-4CCE-B1B9-400A0EF9288D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87D1435D-F72A-41E9-80CF-ED3E4E95E4A0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166BD6BB-8D80-45BF-A60A-2DB9F330F9DC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B17299CC-8435-43EA-9386-5AD808D5D5E1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6C10F07A-C314-47F2-8ABA-BA1E6F31D031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952DCEC3-1666-46B1-BC74-E97379919043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7605A45C-E704-4F35-A3DA-95B3BE94A786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0E20CADD-F918-4837-8547-FDB8A8BB71ED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D5342DF6-617B-49B5-99DF-B81E02A864EC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F418632C-E967-4D0D-A363-C9C9385DE13B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223E0197-9E72-4607-AD06-9118D3F35CC9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5483B5D4-C10F-442B-9A78-53CAC5C27205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2B577184-04F6-43CA-8598-46F649F316C5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17A0158B-5D2B-460D-A22E-80E16BD18E38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3EC138D9-138C-4362-A754-86EC04C26D18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2AFC1C3-6B09-4E55-A714-23C59107A89F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131</xdr:row>
      <xdr:rowOff>171450</xdr:rowOff>
    </xdr:from>
    <xdr:to>
      <xdr:col>27</xdr:col>
      <xdr:colOff>0</xdr:colOff>
      <xdr:row>134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B78B18B3-1CBB-4C57-BAAA-24FAAA6E4B2A}"/>
            </a:ext>
          </a:extLst>
        </xdr:cNvPr>
        <xdr:cNvSpPr>
          <a:spLocks noChangeArrowheads="1"/>
        </xdr:cNvSpPr>
      </xdr:nvSpPr>
      <xdr:spPr bwMode="auto">
        <a:xfrm>
          <a:off x="6032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131</xdr:row>
      <xdr:rowOff>171450</xdr:rowOff>
    </xdr:from>
    <xdr:to>
      <xdr:col>31</xdr:col>
      <xdr:colOff>0</xdr:colOff>
      <xdr:row>134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DB5D5FE8-7002-4F92-8143-F8B0FFC0E056}"/>
            </a:ext>
          </a:extLst>
        </xdr:cNvPr>
        <xdr:cNvSpPr>
          <a:spLocks noChangeArrowheads="1"/>
        </xdr:cNvSpPr>
      </xdr:nvSpPr>
      <xdr:spPr bwMode="auto">
        <a:xfrm>
          <a:off x="6997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AE5F1841-7C8D-46D0-8618-616D8875CE6D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8B323688-EF65-449A-B2A7-D68D4E27CAF9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150F85B-4FA6-4335-865F-50C18CAA0753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2FB3E400-2B02-4670-BC9A-65AB3F3A7E3E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94416A35-DA4E-4AC3-9D7E-3D6B6C243010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D7D79DD2-DD3F-49F4-908C-BDE9BB09C211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4018313D-DCCE-4917-BBB2-5938DB83EA4A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6C82CF45-866D-47E9-BF8A-AA6130DC178F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5872EEF-ACD1-497F-A481-96BCBCA31E48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E4B50BD1-582C-496D-A6C4-627DB69B7BDF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D00A28B5-B02B-46C7-840D-90AF9769A4B7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A5234C25-AF61-4AC6-82C7-C4814B02D722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131</xdr:row>
      <xdr:rowOff>158750</xdr:rowOff>
    </xdr:from>
    <xdr:to>
      <xdr:col>43</xdr:col>
      <xdr:colOff>0</xdr:colOff>
      <xdr:row>133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71B84EE1-8505-449C-B451-5C749119A65A}"/>
            </a:ext>
          </a:extLst>
        </xdr:cNvPr>
        <xdr:cNvSpPr>
          <a:spLocks noChangeArrowheads="1"/>
        </xdr:cNvSpPr>
      </xdr:nvSpPr>
      <xdr:spPr bwMode="auto">
        <a:xfrm>
          <a:off x="9893300" y="2226945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D7389376-2962-4DAE-B31F-8F6E14D4545A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E0BA6F04-860E-48CD-B9C9-E6380B17DC77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613097A9-A6BE-4533-BD32-B7EC0A87DB71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140</xdr:row>
      <xdr:rowOff>171450</xdr:rowOff>
    </xdr:from>
    <xdr:to>
      <xdr:col>35</xdr:col>
      <xdr:colOff>0</xdr:colOff>
      <xdr:row>143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8EB613AB-43FF-41EB-B841-D9668FE0FE30}"/>
            </a:ext>
          </a:extLst>
        </xdr:cNvPr>
        <xdr:cNvSpPr>
          <a:spLocks noChangeArrowheads="1"/>
        </xdr:cNvSpPr>
      </xdr:nvSpPr>
      <xdr:spPr bwMode="auto">
        <a:xfrm>
          <a:off x="7962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C734B020-2647-4118-B39B-EC42DC9FEA73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D4FD1BE2-2C17-4DE2-B04E-B2151886A986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2B0439C8-A651-4ADF-BEF1-9F603CA2F5D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140</xdr:row>
      <xdr:rowOff>171450</xdr:rowOff>
    </xdr:from>
    <xdr:to>
      <xdr:col>15</xdr:col>
      <xdr:colOff>0</xdr:colOff>
      <xdr:row>143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2D7AFE26-2783-445C-9DDB-654768F84919}"/>
            </a:ext>
          </a:extLst>
        </xdr:cNvPr>
        <xdr:cNvSpPr>
          <a:spLocks noChangeArrowheads="1"/>
        </xdr:cNvSpPr>
      </xdr:nvSpPr>
      <xdr:spPr bwMode="auto">
        <a:xfrm>
          <a:off x="3136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4DACC266-BC5C-4382-A3F3-2E5138E23A78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30F9DEB6-5851-49FF-B0F0-200655443EDA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CE73E63A-8D75-4BB2-B2B6-1DEBDC57C1F9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140</xdr:row>
      <xdr:rowOff>171450</xdr:rowOff>
    </xdr:from>
    <xdr:to>
      <xdr:col>19</xdr:col>
      <xdr:colOff>12700</xdr:colOff>
      <xdr:row>143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F4043474-0D04-4129-93B3-6DB81BD6EBCC}"/>
            </a:ext>
          </a:extLst>
        </xdr:cNvPr>
        <xdr:cNvSpPr>
          <a:spLocks noChangeArrowheads="1"/>
        </xdr:cNvSpPr>
      </xdr:nvSpPr>
      <xdr:spPr bwMode="auto">
        <a:xfrm>
          <a:off x="41148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52269759-B23C-407E-A367-447CFC2571D9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E8EC69C8-880F-4258-94DB-7C4ECE47896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8924D4EE-4113-4AD8-9F91-9F21FA9DE256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7DCB5065-63BB-45BE-860B-598FB94E5CCA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C4904AC2-634D-4809-922B-8D571B60E62B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9B626709-4AF5-4F06-A26B-51831E1DDEC4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AE9BC604-762F-4967-B333-5F2E638BA99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9BCD6196-7789-4CC4-8CE3-26D2609E40AE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150</xdr:row>
      <xdr:rowOff>171450</xdr:rowOff>
    </xdr:from>
    <xdr:to>
      <xdr:col>7</xdr:col>
      <xdr:colOff>0</xdr:colOff>
      <xdr:row>153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A4097AB1-2A7C-415F-A65B-48BBB4647EB4}"/>
            </a:ext>
          </a:extLst>
        </xdr:cNvPr>
        <xdr:cNvSpPr>
          <a:spLocks noChangeArrowheads="1"/>
        </xdr:cNvSpPr>
      </xdr:nvSpPr>
      <xdr:spPr bwMode="auto">
        <a:xfrm>
          <a:off x="12065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159</xdr:row>
      <xdr:rowOff>171450</xdr:rowOff>
    </xdr:from>
    <xdr:to>
      <xdr:col>27</xdr:col>
      <xdr:colOff>0</xdr:colOff>
      <xdr:row>162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BADA317A-F610-480B-B139-73E1226F48F9}"/>
            </a:ext>
          </a:extLst>
        </xdr:cNvPr>
        <xdr:cNvSpPr>
          <a:spLocks noChangeArrowheads="1"/>
        </xdr:cNvSpPr>
      </xdr:nvSpPr>
      <xdr:spPr bwMode="auto">
        <a:xfrm>
          <a:off x="60325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159</xdr:row>
      <xdr:rowOff>171450</xdr:rowOff>
    </xdr:from>
    <xdr:to>
      <xdr:col>31</xdr:col>
      <xdr:colOff>0</xdr:colOff>
      <xdr:row>162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23EB5F5-B407-421B-98FD-B8658FE5E991}"/>
            </a:ext>
          </a:extLst>
        </xdr:cNvPr>
        <xdr:cNvSpPr>
          <a:spLocks noChangeArrowheads="1"/>
        </xdr:cNvSpPr>
      </xdr:nvSpPr>
      <xdr:spPr bwMode="auto">
        <a:xfrm>
          <a:off x="69977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159</xdr:row>
      <xdr:rowOff>171450</xdr:rowOff>
    </xdr:from>
    <xdr:to>
      <xdr:col>35</xdr:col>
      <xdr:colOff>0</xdr:colOff>
      <xdr:row>162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224EB0CA-47C4-4629-9C25-D9103E265551}"/>
            </a:ext>
          </a:extLst>
        </xdr:cNvPr>
        <xdr:cNvSpPr>
          <a:spLocks noChangeArrowheads="1"/>
        </xdr:cNvSpPr>
      </xdr:nvSpPr>
      <xdr:spPr bwMode="auto">
        <a:xfrm>
          <a:off x="79629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159</xdr:row>
      <xdr:rowOff>171450</xdr:rowOff>
    </xdr:from>
    <xdr:to>
      <xdr:col>39</xdr:col>
      <xdr:colOff>0</xdr:colOff>
      <xdr:row>162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08702906-7A07-46DB-B8A0-4779869EDE9D}"/>
            </a:ext>
          </a:extLst>
        </xdr:cNvPr>
        <xdr:cNvSpPr>
          <a:spLocks noChangeArrowheads="1"/>
        </xdr:cNvSpPr>
      </xdr:nvSpPr>
      <xdr:spPr bwMode="auto">
        <a:xfrm>
          <a:off x="89281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3B460A4F-2B9F-4E41-8361-753A0EB712B5}"/>
            </a:ext>
          </a:extLst>
        </xdr:cNvPr>
        <xdr:cNvSpPr>
          <a:spLocks noChangeArrowheads="1"/>
        </xdr:cNvSpPr>
      </xdr:nvSpPr>
      <xdr:spPr bwMode="auto">
        <a:xfrm>
          <a:off x="3136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AD8BC55-2F99-44B3-9258-B6B149B42CD1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A5FED8BE-F4DE-4A7A-BC87-3421E239D9B6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993FC0DF-452B-406C-AC1E-CE3956A98D6B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159</xdr:row>
      <xdr:rowOff>139700</xdr:rowOff>
    </xdr:from>
    <xdr:to>
      <xdr:col>22</xdr:col>
      <xdr:colOff>0</xdr:colOff>
      <xdr:row>160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ECCE1B8E-281C-4D93-877E-1DE5B12A6D58}"/>
            </a:ext>
          </a:extLst>
        </xdr:cNvPr>
        <xdr:cNvSpPr>
          <a:spLocks/>
        </xdr:cNvSpPr>
      </xdr:nvSpPr>
      <xdr:spPr bwMode="auto">
        <a:xfrm>
          <a:off x="43434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159</xdr:row>
      <xdr:rowOff>171450</xdr:rowOff>
    </xdr:from>
    <xdr:to>
      <xdr:col>30</xdr:col>
      <xdr:colOff>0</xdr:colOff>
      <xdr:row>160</xdr:row>
      <xdr:rowOff>133350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725A0A31-9822-4435-A37A-9D34690CFF13}"/>
            </a:ext>
          </a:extLst>
        </xdr:cNvPr>
        <xdr:cNvSpPr>
          <a:spLocks/>
        </xdr:cNvSpPr>
      </xdr:nvSpPr>
      <xdr:spPr bwMode="auto">
        <a:xfrm>
          <a:off x="6273800" y="26917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159</xdr:row>
      <xdr:rowOff>158750</xdr:rowOff>
    </xdr:from>
    <xdr:to>
      <xdr:col>34</xdr:col>
      <xdr:colOff>12700</xdr:colOff>
      <xdr:row>160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68013CB7-A8FF-4125-B244-DC13C98473B6}"/>
            </a:ext>
          </a:extLst>
        </xdr:cNvPr>
        <xdr:cNvSpPr>
          <a:spLocks/>
        </xdr:cNvSpPr>
      </xdr:nvSpPr>
      <xdr:spPr bwMode="auto">
        <a:xfrm>
          <a:off x="7251700" y="26904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19050</xdr:colOff>
      <xdr:row>159</xdr:row>
      <xdr:rowOff>158750</xdr:rowOff>
    </xdr:from>
    <xdr:to>
      <xdr:col>38</xdr:col>
      <xdr:colOff>19050</xdr:colOff>
      <xdr:row>160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8F87B961-B790-426C-8A21-2C2E269022C5}"/>
            </a:ext>
          </a:extLst>
        </xdr:cNvPr>
        <xdr:cNvSpPr>
          <a:spLocks/>
        </xdr:cNvSpPr>
      </xdr:nvSpPr>
      <xdr:spPr bwMode="auto">
        <a:xfrm>
          <a:off x="8223250" y="26904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Conductor Parameter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 refreshError="1"/>
      <sheetData sheetId="1">
        <row r="4">
          <cell r="J4">
            <v>171</v>
          </cell>
        </row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  <row r="179">
          <cell r="D179">
            <v>66565.550093309037</v>
          </cell>
        </row>
      </sheetData>
      <sheetData sheetId="2">
        <row r="2">
          <cell r="K2">
            <v>128</v>
          </cell>
          <cell r="L2">
            <v>5</v>
          </cell>
          <cell r="N2">
            <v>82</v>
          </cell>
          <cell r="T2">
            <v>5</v>
          </cell>
          <cell r="U2">
            <v>83</v>
          </cell>
        </row>
        <row r="3">
          <cell r="I3">
            <v>128</v>
          </cell>
        </row>
        <row r="185">
          <cell r="C185">
            <v>10</v>
          </cell>
          <cell r="D185">
            <v>9</v>
          </cell>
          <cell r="E185">
            <v>1</v>
          </cell>
          <cell r="N185">
            <v>7</v>
          </cell>
          <cell r="O185">
            <v>2</v>
          </cell>
          <cell r="Q185">
            <v>3</v>
          </cell>
        </row>
        <row r="186">
          <cell r="C186">
            <v>5</v>
          </cell>
          <cell r="D186">
            <v>5</v>
          </cell>
          <cell r="E186">
            <v>0</v>
          </cell>
          <cell r="N186">
            <v>5</v>
          </cell>
          <cell r="O186">
            <v>0</v>
          </cell>
          <cell r="Q186">
            <v>0</v>
          </cell>
        </row>
        <row r="187">
          <cell r="C187">
            <v>44</v>
          </cell>
          <cell r="D187">
            <v>31</v>
          </cell>
          <cell r="E187">
            <v>13</v>
          </cell>
          <cell r="N187">
            <v>17</v>
          </cell>
          <cell r="O187">
            <v>14</v>
          </cell>
          <cell r="Q187">
            <v>27</v>
          </cell>
        </row>
        <row r="188">
          <cell r="C188">
            <v>0</v>
          </cell>
          <cell r="D188">
            <v>0</v>
          </cell>
          <cell r="E188">
            <v>0</v>
          </cell>
          <cell r="N188">
            <v>0</v>
          </cell>
          <cell r="O188">
            <v>0</v>
          </cell>
          <cell r="Q188">
            <v>0</v>
          </cell>
        </row>
        <row r="189">
          <cell r="C189">
            <v>43</v>
          </cell>
          <cell r="D189">
            <v>32</v>
          </cell>
          <cell r="E189">
            <v>11</v>
          </cell>
          <cell r="N189">
            <v>21</v>
          </cell>
          <cell r="O189">
            <v>11</v>
          </cell>
          <cell r="Q189">
            <v>22</v>
          </cell>
        </row>
        <row r="190">
          <cell r="C190">
            <v>14</v>
          </cell>
          <cell r="D190">
            <v>11</v>
          </cell>
          <cell r="E190">
            <v>3</v>
          </cell>
          <cell r="N190">
            <v>8</v>
          </cell>
          <cell r="O190">
            <v>3</v>
          </cell>
          <cell r="Q190">
            <v>6</v>
          </cell>
        </row>
        <row r="191">
          <cell r="C191">
            <v>8</v>
          </cell>
          <cell r="D191">
            <v>7</v>
          </cell>
          <cell r="E191">
            <v>1</v>
          </cell>
          <cell r="N191">
            <v>3</v>
          </cell>
          <cell r="O191">
            <v>4</v>
          </cell>
          <cell r="Q191">
            <v>5</v>
          </cell>
        </row>
        <row r="192">
          <cell r="C192">
            <v>3</v>
          </cell>
          <cell r="D192">
            <v>1</v>
          </cell>
          <cell r="E192">
            <v>2</v>
          </cell>
          <cell r="O192">
            <v>1</v>
          </cell>
          <cell r="Q192">
            <v>3</v>
          </cell>
        </row>
        <row r="193">
          <cell r="C193">
            <v>0</v>
          </cell>
          <cell r="D193">
            <v>0</v>
          </cell>
          <cell r="E193">
            <v>0</v>
          </cell>
          <cell r="O193">
            <v>0</v>
          </cell>
          <cell r="Q193">
            <v>0</v>
          </cell>
        </row>
        <row r="194">
          <cell r="C194">
            <v>4</v>
          </cell>
          <cell r="D194">
            <v>3</v>
          </cell>
          <cell r="E194">
            <v>1</v>
          </cell>
          <cell r="O194">
            <v>3</v>
          </cell>
          <cell r="Q194">
            <v>4</v>
          </cell>
        </row>
        <row r="195">
          <cell r="C195">
            <v>6</v>
          </cell>
          <cell r="D195">
            <v>6</v>
          </cell>
          <cell r="E195">
            <v>0</v>
          </cell>
          <cell r="O195">
            <v>6</v>
          </cell>
          <cell r="Q195">
            <v>6</v>
          </cell>
        </row>
        <row r="196">
          <cell r="C196">
            <v>8</v>
          </cell>
          <cell r="D196">
            <v>5</v>
          </cell>
          <cell r="E196">
            <v>3</v>
          </cell>
          <cell r="O196">
            <v>5</v>
          </cell>
          <cell r="Q196">
            <v>8</v>
          </cell>
        </row>
        <row r="197">
          <cell r="C197">
            <v>1</v>
          </cell>
          <cell r="D197">
            <v>1</v>
          </cell>
          <cell r="E197">
            <v>0</v>
          </cell>
          <cell r="O197">
            <v>1</v>
          </cell>
          <cell r="Q197">
            <v>1</v>
          </cell>
        </row>
        <row r="198">
          <cell r="C198">
            <v>1</v>
          </cell>
          <cell r="D198">
            <v>1</v>
          </cell>
          <cell r="E198">
            <v>0</v>
          </cell>
          <cell r="O198">
            <v>1</v>
          </cell>
          <cell r="Q198">
            <v>1</v>
          </cell>
        </row>
        <row r="199">
          <cell r="C199">
            <v>0</v>
          </cell>
          <cell r="D199">
            <v>0</v>
          </cell>
          <cell r="E199">
            <v>0</v>
          </cell>
          <cell r="O199">
            <v>0</v>
          </cell>
          <cell r="Q199">
            <v>0</v>
          </cell>
        </row>
        <row r="200">
          <cell r="C200">
            <v>1</v>
          </cell>
          <cell r="D200">
            <v>1</v>
          </cell>
          <cell r="E200">
            <v>0</v>
          </cell>
          <cell r="O200">
            <v>1</v>
          </cell>
          <cell r="Q200">
            <v>1</v>
          </cell>
        </row>
        <row r="201">
          <cell r="C201">
            <v>4</v>
          </cell>
          <cell r="D201">
            <v>3</v>
          </cell>
          <cell r="E201">
            <v>1</v>
          </cell>
          <cell r="O201">
            <v>3</v>
          </cell>
          <cell r="Q201">
            <v>4</v>
          </cell>
        </row>
        <row r="202">
          <cell r="C202">
            <v>0</v>
          </cell>
          <cell r="D202">
            <v>0</v>
          </cell>
          <cell r="E202">
            <v>0</v>
          </cell>
          <cell r="O202">
            <v>0</v>
          </cell>
          <cell r="Q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O203">
            <v>0</v>
          </cell>
          <cell r="Q203">
            <v>0</v>
          </cell>
        </row>
        <row r="204">
          <cell r="C204">
            <v>2</v>
          </cell>
          <cell r="D204">
            <v>1</v>
          </cell>
          <cell r="E204">
            <v>1</v>
          </cell>
          <cell r="O204">
            <v>1</v>
          </cell>
          <cell r="Q204">
            <v>2</v>
          </cell>
        </row>
        <row r="205">
          <cell r="C205">
            <v>3</v>
          </cell>
          <cell r="D205">
            <v>3</v>
          </cell>
          <cell r="E205">
            <v>0</v>
          </cell>
          <cell r="O205">
            <v>3</v>
          </cell>
          <cell r="Q205">
            <v>3</v>
          </cell>
        </row>
        <row r="206">
          <cell r="C206">
            <v>1</v>
          </cell>
          <cell r="D206">
            <v>1</v>
          </cell>
          <cell r="E206">
            <v>0</v>
          </cell>
          <cell r="O206">
            <v>1</v>
          </cell>
          <cell r="Q206">
            <v>1</v>
          </cell>
        </row>
        <row r="207">
          <cell r="C207">
            <v>1</v>
          </cell>
          <cell r="D207">
            <v>0</v>
          </cell>
          <cell r="E207">
            <v>1</v>
          </cell>
          <cell r="O207">
            <v>0</v>
          </cell>
          <cell r="Q207">
            <v>1</v>
          </cell>
        </row>
        <row r="208">
          <cell r="C208">
            <v>0</v>
          </cell>
          <cell r="D208">
            <v>0</v>
          </cell>
          <cell r="E208">
            <v>0</v>
          </cell>
          <cell r="O208">
            <v>0</v>
          </cell>
          <cell r="Q208">
            <v>0</v>
          </cell>
        </row>
        <row r="209">
          <cell r="C209">
            <v>5</v>
          </cell>
          <cell r="D209">
            <v>4</v>
          </cell>
          <cell r="E209">
            <v>1</v>
          </cell>
          <cell r="O209">
            <v>4</v>
          </cell>
          <cell r="Q209">
            <v>5</v>
          </cell>
        </row>
        <row r="210">
          <cell r="C210">
            <v>0</v>
          </cell>
          <cell r="D210">
            <v>0</v>
          </cell>
          <cell r="E210">
            <v>0</v>
          </cell>
          <cell r="O210">
            <v>0</v>
          </cell>
          <cell r="Q210">
            <v>0</v>
          </cell>
        </row>
        <row r="211">
          <cell r="C211">
            <v>2</v>
          </cell>
          <cell r="D211">
            <v>1</v>
          </cell>
          <cell r="E211">
            <v>1</v>
          </cell>
          <cell r="O211">
            <v>1</v>
          </cell>
          <cell r="Q211">
            <v>2</v>
          </cell>
        </row>
        <row r="212">
          <cell r="C212">
            <v>0</v>
          </cell>
          <cell r="D212">
            <v>0</v>
          </cell>
          <cell r="E212">
            <v>0</v>
          </cell>
          <cell r="O212">
            <v>0</v>
          </cell>
          <cell r="Q212">
            <v>0</v>
          </cell>
        </row>
        <row r="213">
          <cell r="C213">
            <v>3</v>
          </cell>
          <cell r="D213">
            <v>0</v>
          </cell>
          <cell r="E213">
            <v>3</v>
          </cell>
          <cell r="O213">
            <v>0</v>
          </cell>
          <cell r="Q213">
            <v>3</v>
          </cell>
        </row>
        <row r="214">
          <cell r="C214">
            <v>0</v>
          </cell>
          <cell r="D214">
            <v>0</v>
          </cell>
          <cell r="E214">
            <v>0</v>
          </cell>
          <cell r="O214">
            <v>0</v>
          </cell>
          <cell r="Q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O215">
            <v>0</v>
          </cell>
          <cell r="Q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O216">
            <v>0</v>
          </cell>
          <cell r="Q216">
            <v>0</v>
          </cell>
        </row>
        <row r="217">
          <cell r="C217">
            <v>2</v>
          </cell>
          <cell r="D217">
            <v>0</v>
          </cell>
          <cell r="E217">
            <v>2</v>
          </cell>
          <cell r="O217">
            <v>0</v>
          </cell>
          <cell r="Q217">
            <v>2</v>
          </cell>
        </row>
        <row r="218">
          <cell r="C218">
            <v>171</v>
          </cell>
          <cell r="D218">
            <v>126</v>
          </cell>
          <cell r="E218">
            <v>45</v>
          </cell>
          <cell r="N218">
            <v>61</v>
          </cell>
          <cell r="O218">
            <v>65</v>
          </cell>
          <cell r="Q218">
            <v>110</v>
          </cell>
        </row>
      </sheetData>
      <sheetData sheetId="3" refreshError="1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3" activePane="bottomRight" state="frozen"/>
      <selection activeCell="B1" sqref="B1"/>
      <selection pane="topRight" activeCell="D1" sqref="D1"/>
      <selection pane="bottomLeft" activeCell="B10" sqref="B10"/>
      <selection pane="bottomRight" activeCell="H13" sqref="H13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9"/>
    </row>
    <row r="2" spans="2:13" x14ac:dyDescent="0.35">
      <c r="B2" s="209" t="s">
        <v>491</v>
      </c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</row>
    <row r="3" spans="2:13" x14ac:dyDescent="0.35">
      <c r="B3" s="209" t="s">
        <v>634</v>
      </c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</row>
    <row r="4" spans="2:13" x14ac:dyDescent="0.35">
      <c r="B4" s="209" t="s">
        <v>492</v>
      </c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</row>
    <row r="5" spans="2:13" x14ac:dyDescent="0.35">
      <c r="B5" s="210" t="s">
        <v>493</v>
      </c>
      <c r="C5" s="210"/>
      <c r="D5" s="210"/>
      <c r="E5" s="210"/>
      <c r="F5" s="209" t="s">
        <v>494</v>
      </c>
      <c r="G5" s="209"/>
      <c r="H5" s="209"/>
      <c r="I5" s="209"/>
      <c r="J5" s="209"/>
      <c r="K5" s="211" t="s">
        <v>633</v>
      </c>
      <c r="L5" s="212"/>
      <c r="M5" s="213"/>
    </row>
    <row r="6" spans="2:13" x14ac:dyDescent="0.35">
      <c r="B6" s="210" t="s">
        <v>495</v>
      </c>
      <c r="C6" s="210"/>
      <c r="D6" s="210"/>
      <c r="E6" s="210"/>
      <c r="F6" s="209" t="s">
        <v>496</v>
      </c>
      <c r="G6" s="209"/>
      <c r="H6" s="209"/>
      <c r="I6" s="209"/>
      <c r="J6" s="209"/>
      <c r="K6" s="214" t="s">
        <v>497</v>
      </c>
      <c r="L6" s="214"/>
      <c r="M6" s="214"/>
    </row>
    <row r="7" spans="2:13" x14ac:dyDescent="0.35">
      <c r="B7" s="215" t="s">
        <v>444</v>
      </c>
      <c r="C7" s="215" t="s">
        <v>122</v>
      </c>
      <c r="D7" s="100" t="s">
        <v>48</v>
      </c>
      <c r="E7" s="100" t="s">
        <v>445</v>
      </c>
      <c r="F7" s="100" t="s">
        <v>0</v>
      </c>
      <c r="G7" s="216">
        <v>45962</v>
      </c>
      <c r="H7" s="215"/>
      <c r="I7" s="215" t="s">
        <v>125</v>
      </c>
      <c r="J7" s="215" t="s">
        <v>446</v>
      </c>
      <c r="K7" s="101">
        <v>45992</v>
      </c>
      <c r="L7" s="101">
        <f>K7+31</f>
        <v>46023</v>
      </c>
      <c r="M7" s="215" t="s">
        <v>1</v>
      </c>
    </row>
    <row r="8" spans="2:13" x14ac:dyDescent="0.35">
      <c r="B8" s="215"/>
      <c r="C8" s="215"/>
      <c r="D8" s="100" t="s">
        <v>124</v>
      </c>
      <c r="E8" s="100" t="s">
        <v>447</v>
      </c>
      <c r="F8" s="100" t="s">
        <v>448</v>
      </c>
      <c r="G8" s="215" t="s">
        <v>443</v>
      </c>
      <c r="H8" s="215" t="s">
        <v>449</v>
      </c>
      <c r="I8" s="215"/>
      <c r="J8" s="215"/>
      <c r="K8" s="215" t="s">
        <v>443</v>
      </c>
      <c r="L8" s="215" t="s">
        <v>443</v>
      </c>
      <c r="M8" s="215"/>
    </row>
    <row r="9" spans="2:13" x14ac:dyDescent="0.35">
      <c r="B9" s="215"/>
      <c r="C9" s="215"/>
      <c r="D9" s="102"/>
      <c r="E9" s="101">
        <v>45931</v>
      </c>
      <c r="F9" s="101" t="s">
        <v>490</v>
      </c>
      <c r="G9" s="215"/>
      <c r="H9" s="215"/>
      <c r="I9" s="215"/>
      <c r="J9" s="215"/>
      <c r="K9" s="215"/>
      <c r="L9" s="215"/>
      <c r="M9" s="215"/>
    </row>
    <row r="10" spans="2:13" x14ac:dyDescent="0.35">
      <c r="B10" s="103" t="s">
        <v>450</v>
      </c>
      <c r="C10" s="104" t="s">
        <v>58</v>
      </c>
      <c r="D10" s="105">
        <v>79</v>
      </c>
      <c r="E10" s="105">
        <v>79</v>
      </c>
      <c r="F10" s="105">
        <f>D10-E10</f>
        <v>0</v>
      </c>
      <c r="G10" s="106"/>
      <c r="H10" s="106"/>
      <c r="I10" s="106"/>
      <c r="J10" s="137">
        <f>E10+H10</f>
        <v>79</v>
      </c>
      <c r="K10" s="106"/>
      <c r="L10" s="106"/>
      <c r="M10" s="104"/>
    </row>
    <row r="11" spans="2:13" x14ac:dyDescent="0.35">
      <c r="B11" s="107" t="s">
        <v>129</v>
      </c>
      <c r="C11" s="108" t="s">
        <v>58</v>
      </c>
      <c r="D11" s="109">
        <v>79</v>
      </c>
      <c r="E11" s="109">
        <v>79</v>
      </c>
      <c r="F11" s="109">
        <f>D11-E11</f>
        <v>0</v>
      </c>
      <c r="G11" s="108"/>
      <c r="H11" s="108"/>
      <c r="I11" s="110"/>
      <c r="J11" s="109">
        <f t="shared" ref="J11:J26" si="0">E11+H11</f>
        <v>79</v>
      </c>
      <c r="K11" s="110"/>
      <c r="L11" s="110"/>
      <c r="M11" s="108"/>
    </row>
    <row r="12" spans="2:13" x14ac:dyDescent="0.35">
      <c r="B12" s="111" t="s">
        <v>451</v>
      </c>
      <c r="C12" s="112" t="s">
        <v>59</v>
      </c>
      <c r="D12" s="113">
        <v>205</v>
      </c>
      <c r="E12" s="113">
        <v>205</v>
      </c>
      <c r="F12" s="112">
        <f>D12-E12</f>
        <v>0</v>
      </c>
      <c r="G12" s="112"/>
      <c r="H12" s="112"/>
      <c r="I12" s="112"/>
      <c r="J12" s="112">
        <f t="shared" si="0"/>
        <v>205</v>
      </c>
      <c r="K12" s="112"/>
      <c r="L12" s="112"/>
      <c r="M12" s="112"/>
    </row>
    <row r="13" spans="2:13" ht="46.5" x14ac:dyDescent="0.35">
      <c r="B13" s="114" t="s">
        <v>452</v>
      </c>
      <c r="C13" s="115" t="s">
        <v>453</v>
      </c>
      <c r="D13" s="116">
        <v>205</v>
      </c>
      <c r="E13" s="116">
        <v>132</v>
      </c>
      <c r="F13" s="112">
        <f>D13-E13</f>
        <v>73</v>
      </c>
      <c r="G13" s="115">
        <v>11</v>
      </c>
      <c r="H13" s="115"/>
      <c r="I13" s="115">
        <v>5</v>
      </c>
      <c r="J13" s="115">
        <f t="shared" si="0"/>
        <v>132</v>
      </c>
      <c r="K13" s="115"/>
      <c r="L13" s="115"/>
      <c r="M13" s="115" t="s">
        <v>498</v>
      </c>
    </row>
    <row r="14" spans="2:13" x14ac:dyDescent="0.35">
      <c r="B14" s="117" t="s">
        <v>14</v>
      </c>
      <c r="C14" s="118"/>
      <c r="D14" s="119"/>
      <c r="E14" s="119"/>
      <c r="F14" s="120"/>
      <c r="G14" s="120">
        <v>3</v>
      </c>
      <c r="H14" s="120"/>
      <c r="I14" s="120">
        <v>2</v>
      </c>
      <c r="J14" s="120">
        <f t="shared" si="0"/>
        <v>0</v>
      </c>
      <c r="K14" s="120"/>
      <c r="L14" s="120"/>
      <c r="M14" s="120"/>
    </row>
    <row r="15" spans="2:13" x14ac:dyDescent="0.35">
      <c r="B15" s="121" t="s">
        <v>454</v>
      </c>
      <c r="C15" s="122" t="s">
        <v>455</v>
      </c>
      <c r="D15" s="122">
        <v>205</v>
      </c>
      <c r="E15" s="122">
        <v>153</v>
      </c>
      <c r="F15" s="122">
        <f>D15-E15</f>
        <v>52</v>
      </c>
      <c r="G15" s="122"/>
      <c r="H15" s="122"/>
      <c r="I15" s="122"/>
      <c r="J15" s="122">
        <f t="shared" si="0"/>
        <v>153</v>
      </c>
      <c r="K15" s="122"/>
      <c r="L15" s="122"/>
      <c r="M15" s="122"/>
    </row>
    <row r="16" spans="2:13" x14ac:dyDescent="0.35">
      <c r="B16" s="123" t="s">
        <v>456</v>
      </c>
      <c r="C16" s="122" t="s">
        <v>453</v>
      </c>
      <c r="D16" s="122">
        <v>205</v>
      </c>
      <c r="E16" s="122">
        <v>81</v>
      </c>
      <c r="F16" s="122">
        <f>D16-E16</f>
        <v>124</v>
      </c>
      <c r="G16" s="122">
        <v>21</v>
      </c>
      <c r="H16" s="122">
        <v>2</v>
      </c>
      <c r="I16" s="122">
        <v>5</v>
      </c>
      <c r="J16" s="122">
        <f t="shared" si="0"/>
        <v>83</v>
      </c>
      <c r="K16" s="122"/>
      <c r="L16" s="124"/>
      <c r="M16" s="125"/>
    </row>
    <row r="17" spans="2:13" x14ac:dyDescent="0.35">
      <c r="B17" s="133" t="s">
        <v>14</v>
      </c>
      <c r="C17" s="134"/>
      <c r="D17" s="135"/>
      <c r="E17" s="135"/>
      <c r="F17" s="135"/>
      <c r="G17" s="135">
        <v>5</v>
      </c>
      <c r="H17" s="135">
        <v>5</v>
      </c>
      <c r="I17" s="135">
        <v>5</v>
      </c>
      <c r="J17" s="135">
        <f t="shared" si="0"/>
        <v>5</v>
      </c>
      <c r="K17" s="135"/>
      <c r="L17" s="135"/>
      <c r="M17" s="135"/>
    </row>
    <row r="18" spans="2:13" ht="17.25" customHeight="1" x14ac:dyDescent="0.35">
      <c r="B18" s="126" t="s">
        <v>459</v>
      </c>
      <c r="C18" s="127" t="s">
        <v>58</v>
      </c>
      <c r="D18" s="128">
        <v>2876</v>
      </c>
      <c r="E18" s="128">
        <v>900</v>
      </c>
      <c r="F18" s="128">
        <f t="shared" ref="F18:F24" si="1">D18-E18</f>
        <v>1976</v>
      </c>
      <c r="G18" s="127"/>
      <c r="H18" s="127"/>
      <c r="I18" s="127"/>
      <c r="J18" s="128">
        <f t="shared" si="0"/>
        <v>900</v>
      </c>
      <c r="K18" s="127"/>
      <c r="L18" s="127"/>
      <c r="M18" s="127"/>
    </row>
    <row r="19" spans="2:13" x14ac:dyDescent="0.35">
      <c r="B19" s="126" t="s">
        <v>52</v>
      </c>
      <c r="C19" s="127" t="s">
        <v>58</v>
      </c>
      <c r="D19" s="128">
        <v>67</v>
      </c>
      <c r="E19" s="128">
        <v>42</v>
      </c>
      <c r="F19" s="129">
        <f t="shared" si="1"/>
        <v>25</v>
      </c>
      <c r="G19" s="127"/>
      <c r="H19" s="127"/>
      <c r="I19" s="127"/>
      <c r="J19" s="128">
        <f t="shared" si="0"/>
        <v>42</v>
      </c>
      <c r="K19" s="127"/>
      <c r="L19" s="127"/>
      <c r="M19" s="127"/>
    </row>
    <row r="20" spans="2:13" x14ac:dyDescent="0.35">
      <c r="B20" s="126" t="s">
        <v>457</v>
      </c>
      <c r="C20" s="127" t="s">
        <v>53</v>
      </c>
      <c r="D20" s="128">
        <v>9417</v>
      </c>
      <c r="E20" s="128">
        <v>5685</v>
      </c>
      <c r="F20" s="127">
        <f t="shared" si="1"/>
        <v>3732</v>
      </c>
      <c r="G20" s="127"/>
      <c r="H20" s="127"/>
      <c r="I20" s="127"/>
      <c r="J20" s="128">
        <f t="shared" si="0"/>
        <v>5685</v>
      </c>
      <c r="K20" s="127"/>
      <c r="L20" s="127"/>
      <c r="M20" s="127"/>
    </row>
    <row r="21" spans="2:13" x14ac:dyDescent="0.35">
      <c r="B21" s="126" t="s">
        <v>458</v>
      </c>
      <c r="C21" s="127" t="s">
        <v>362</v>
      </c>
      <c r="D21" s="130">
        <v>1</v>
      </c>
      <c r="E21" s="130">
        <v>0.55000000000000004</v>
      </c>
      <c r="F21" s="131">
        <f t="shared" si="1"/>
        <v>0.44999999999999996</v>
      </c>
      <c r="G21" s="127"/>
      <c r="H21" s="127"/>
      <c r="I21" s="127"/>
      <c r="J21" s="130">
        <f t="shared" si="0"/>
        <v>0.55000000000000004</v>
      </c>
      <c r="K21" s="127"/>
      <c r="L21" s="127"/>
      <c r="M21" s="127"/>
    </row>
    <row r="22" spans="2:13" x14ac:dyDescent="0.35">
      <c r="B22" s="126" t="s">
        <v>439</v>
      </c>
      <c r="C22" s="127" t="s">
        <v>58</v>
      </c>
      <c r="D22" s="128">
        <v>79</v>
      </c>
      <c r="E22" s="128"/>
      <c r="F22" s="128">
        <f t="shared" si="1"/>
        <v>79</v>
      </c>
      <c r="G22" s="128"/>
      <c r="H22" s="128"/>
      <c r="I22" s="128"/>
      <c r="J22" s="128">
        <f t="shared" si="0"/>
        <v>0</v>
      </c>
      <c r="K22" s="128">
        <v>20</v>
      </c>
      <c r="L22" s="128">
        <v>25</v>
      </c>
      <c r="M22" s="136"/>
    </row>
    <row r="23" spans="2:13" x14ac:dyDescent="0.35">
      <c r="B23" s="126" t="s">
        <v>460</v>
      </c>
      <c r="C23" s="127" t="s">
        <v>462</v>
      </c>
      <c r="D23" s="127">
        <v>34</v>
      </c>
      <c r="E23" s="127"/>
      <c r="F23" s="127">
        <f t="shared" si="1"/>
        <v>34</v>
      </c>
      <c r="G23" s="127"/>
      <c r="H23" s="127"/>
      <c r="I23" s="127"/>
      <c r="J23" s="127">
        <f t="shared" si="0"/>
        <v>0</v>
      </c>
      <c r="K23" s="127">
        <v>6</v>
      </c>
      <c r="L23" s="127">
        <v>5</v>
      </c>
      <c r="M23" s="136"/>
    </row>
    <row r="24" spans="2:13" x14ac:dyDescent="0.35">
      <c r="B24" s="126" t="s">
        <v>461</v>
      </c>
      <c r="C24" s="127" t="s">
        <v>462</v>
      </c>
      <c r="D24" s="127">
        <v>26</v>
      </c>
      <c r="E24" s="127"/>
      <c r="F24" s="127">
        <f t="shared" si="1"/>
        <v>26</v>
      </c>
      <c r="G24" s="127"/>
      <c r="H24" s="127"/>
      <c r="I24" s="127"/>
      <c r="J24" s="127">
        <f t="shared" si="0"/>
        <v>0</v>
      </c>
      <c r="K24" s="127"/>
      <c r="L24" s="127">
        <v>4</v>
      </c>
      <c r="M24" s="132"/>
    </row>
    <row r="25" spans="2:13" x14ac:dyDescent="0.35">
      <c r="B25" s="133" t="s">
        <v>14</v>
      </c>
      <c r="C25" s="134"/>
      <c r="D25" s="135"/>
      <c r="E25" s="135"/>
      <c r="F25" s="135"/>
      <c r="G25" s="135"/>
      <c r="H25" s="135"/>
      <c r="I25" s="135"/>
      <c r="J25" s="135"/>
      <c r="K25" s="135">
        <v>2</v>
      </c>
      <c r="L25" s="135">
        <v>3</v>
      </c>
      <c r="M25" s="135"/>
    </row>
    <row r="26" spans="2:13" x14ac:dyDescent="0.35">
      <c r="B26" s="126" t="s">
        <v>463</v>
      </c>
      <c r="C26" s="127" t="s">
        <v>58</v>
      </c>
      <c r="D26" s="128">
        <v>79</v>
      </c>
      <c r="E26" s="128"/>
      <c r="F26" s="129">
        <f t="shared" ref="F26" si="2">D26-E26</f>
        <v>79</v>
      </c>
      <c r="G26" s="127"/>
      <c r="H26" s="127"/>
      <c r="I26" s="127"/>
      <c r="J26" s="128">
        <f t="shared" si="0"/>
        <v>0</v>
      </c>
      <c r="K26" s="127"/>
      <c r="L26" s="127"/>
      <c r="M26" s="136"/>
    </row>
    <row r="27" spans="2:13" x14ac:dyDescent="0.35">
      <c r="B27" s="133" t="s">
        <v>14</v>
      </c>
      <c r="C27" s="134"/>
      <c r="D27" s="135"/>
      <c r="E27" s="135"/>
      <c r="F27" s="135"/>
      <c r="G27" s="135"/>
      <c r="H27" s="135"/>
      <c r="I27" s="135"/>
      <c r="J27" s="135"/>
      <c r="K27" s="135"/>
      <c r="L27" s="135"/>
      <c r="M27" s="135"/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87"/>
  <sheetViews>
    <sheetView showGridLines="0" topLeftCell="A71" workbookViewId="0">
      <selection activeCell="F87" sqref="F87"/>
    </sheetView>
  </sheetViews>
  <sheetFormatPr defaultColWidth="9.1796875" defaultRowHeight="14.5" x14ac:dyDescent="0.35"/>
  <cols>
    <col min="1" max="1" width="7.7265625" style="68" customWidth="1"/>
    <col min="2" max="2" width="9.1796875" style="68"/>
    <col min="3" max="3" width="11.7265625" style="68" customWidth="1"/>
    <col min="4" max="4" width="14" style="68" customWidth="1"/>
    <col min="5" max="5" width="13.54296875" style="68" customWidth="1"/>
    <col min="6" max="6" width="15.453125" style="95" customWidth="1"/>
    <col min="7" max="7" width="21.453125" style="95" bestFit="1" customWidth="1"/>
    <col min="8" max="8" width="10.453125" style="95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17" t="str">
        <f>[79]Earthing!A1</f>
        <v>KEC International Limited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</row>
    <row r="2" spans="1:12" ht="15.5" x14ac:dyDescent="0.35">
      <c r="A2" s="217" t="s">
        <v>499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69"/>
      <c r="H3" s="138">
        <f>SUBTOTAL(9,H5:H87)</f>
        <v>3384.8591189999984</v>
      </c>
      <c r="I3" s="138">
        <f>SUBTOTAL(9,I5:I87)</f>
        <v>356.76415114259999</v>
      </c>
      <c r="J3" s="69"/>
      <c r="K3" s="70">
        <f ca="1">TODAY()-1</f>
        <v>45967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142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5" customFormat="1" ht="15.5" x14ac:dyDescent="0.35">
      <c r="A5" s="79">
        <v>1</v>
      </c>
      <c r="B5" s="79"/>
      <c r="C5" s="80" t="s">
        <v>118</v>
      </c>
      <c r="D5" s="79" t="s">
        <v>82</v>
      </c>
      <c r="E5" s="81">
        <v>45903</v>
      </c>
      <c r="F5" s="81">
        <v>45922</v>
      </c>
      <c r="G5" s="139" t="s">
        <v>554</v>
      </c>
      <c r="H5" s="143">
        <v>59.500628000000006</v>
      </c>
      <c r="I5" s="82">
        <f>10540*H5/10^5</f>
        <v>6.2713661912000003</v>
      </c>
      <c r="J5" s="79" t="s">
        <v>626</v>
      </c>
      <c r="K5" s="83" t="s">
        <v>108</v>
      </c>
      <c r="L5" s="84"/>
    </row>
    <row r="6" spans="1:12" s="85" customFormat="1" ht="15.5" x14ac:dyDescent="0.35">
      <c r="A6" s="79">
        <f t="shared" ref="A6:A69" si="0">A5+1</f>
        <v>2</v>
      </c>
      <c r="B6" s="79"/>
      <c r="C6" s="86" t="s">
        <v>500</v>
      </c>
      <c r="D6" s="79" t="s">
        <v>3</v>
      </c>
      <c r="E6" s="81">
        <v>45859</v>
      </c>
      <c r="F6" s="81">
        <v>45868</v>
      </c>
      <c r="G6" s="139" t="s">
        <v>554</v>
      </c>
      <c r="H6" s="143">
        <v>36.159756000000009</v>
      </c>
      <c r="I6" s="82">
        <f t="shared" ref="I6:I69" si="1">10540*H6/10^5</f>
        <v>3.8112382824000011</v>
      </c>
      <c r="J6" s="79" t="s">
        <v>626</v>
      </c>
      <c r="K6" s="83" t="s">
        <v>108</v>
      </c>
      <c r="L6" s="84"/>
    </row>
    <row r="7" spans="1:12" s="85" customFormat="1" ht="15.5" x14ac:dyDescent="0.35">
      <c r="A7" s="79">
        <f t="shared" si="0"/>
        <v>3</v>
      </c>
      <c r="B7" s="79"/>
      <c r="C7" s="80" t="s">
        <v>501</v>
      </c>
      <c r="D7" s="79" t="s">
        <v>3</v>
      </c>
      <c r="E7" s="81">
        <v>45870</v>
      </c>
      <c r="F7" s="81">
        <v>45882</v>
      </c>
      <c r="G7" s="139" t="s">
        <v>554</v>
      </c>
      <c r="H7" s="143">
        <v>36.159756000000009</v>
      </c>
      <c r="I7" s="82">
        <f t="shared" si="1"/>
        <v>3.8112382824000011</v>
      </c>
      <c r="J7" s="79" t="s">
        <v>626</v>
      </c>
      <c r="K7" s="83" t="s">
        <v>108</v>
      </c>
      <c r="L7" s="84"/>
    </row>
    <row r="8" spans="1:12" s="85" customFormat="1" ht="15.5" x14ac:dyDescent="0.35">
      <c r="A8" s="79">
        <f t="shared" si="0"/>
        <v>4</v>
      </c>
      <c r="B8" s="79"/>
      <c r="C8" s="86" t="s">
        <v>502</v>
      </c>
      <c r="D8" s="79" t="s">
        <v>2</v>
      </c>
      <c r="E8" s="81">
        <v>45883</v>
      </c>
      <c r="F8" s="81">
        <v>45900</v>
      </c>
      <c r="G8" s="139" t="s">
        <v>554</v>
      </c>
      <c r="H8" s="143">
        <v>37.931088000000003</v>
      </c>
      <c r="I8" s="82">
        <f t="shared" si="1"/>
        <v>3.9979366752000001</v>
      </c>
      <c r="J8" s="79" t="s">
        <v>626</v>
      </c>
      <c r="K8" s="83" t="s">
        <v>108</v>
      </c>
      <c r="L8" s="84"/>
    </row>
    <row r="9" spans="1:12" s="85" customFormat="1" ht="15.5" x14ac:dyDescent="0.35">
      <c r="A9" s="79">
        <f t="shared" si="0"/>
        <v>5</v>
      </c>
      <c r="B9" s="79"/>
      <c r="C9" s="86" t="s">
        <v>503</v>
      </c>
      <c r="D9" s="79" t="s">
        <v>3</v>
      </c>
      <c r="E9" s="81">
        <v>45845</v>
      </c>
      <c r="F9" s="81">
        <v>45859</v>
      </c>
      <c r="G9" s="139" t="s">
        <v>554</v>
      </c>
      <c r="H9" s="143">
        <v>36.159756000000009</v>
      </c>
      <c r="I9" s="82">
        <f t="shared" si="1"/>
        <v>3.8112382824000011</v>
      </c>
      <c r="J9" s="79" t="s">
        <v>626</v>
      </c>
      <c r="K9" s="83" t="s">
        <v>108</v>
      </c>
      <c r="L9" s="84"/>
    </row>
    <row r="10" spans="1:12" s="85" customFormat="1" ht="15.5" x14ac:dyDescent="0.35">
      <c r="A10" s="79">
        <f t="shared" si="0"/>
        <v>6</v>
      </c>
      <c r="B10" s="79"/>
      <c r="C10" s="86" t="s">
        <v>119</v>
      </c>
      <c r="D10" s="79" t="s">
        <v>82</v>
      </c>
      <c r="E10" s="81">
        <v>45922</v>
      </c>
      <c r="F10" s="81">
        <v>45938</v>
      </c>
      <c r="G10" s="139" t="s">
        <v>554</v>
      </c>
      <c r="H10" s="143">
        <v>59.500628000000006</v>
      </c>
      <c r="I10" s="82">
        <f t="shared" si="1"/>
        <v>6.2713661912000003</v>
      </c>
      <c r="J10" s="79" t="s">
        <v>626</v>
      </c>
      <c r="K10" s="83" t="s">
        <v>108</v>
      </c>
      <c r="L10" s="84"/>
    </row>
    <row r="11" spans="1:12" s="85" customFormat="1" ht="15.5" x14ac:dyDescent="0.35">
      <c r="A11" s="79">
        <f t="shared" si="0"/>
        <v>7</v>
      </c>
      <c r="B11" s="79"/>
      <c r="C11" s="86" t="s">
        <v>504</v>
      </c>
      <c r="D11" s="79" t="s">
        <v>4</v>
      </c>
      <c r="E11" s="81">
        <v>45824</v>
      </c>
      <c r="F11" s="81">
        <v>45828</v>
      </c>
      <c r="G11" s="139" t="s">
        <v>555</v>
      </c>
      <c r="H11" s="143">
        <v>34.789810000000003</v>
      </c>
      <c r="I11" s="82">
        <f t="shared" si="1"/>
        <v>3.6668459740000001</v>
      </c>
      <c r="J11" s="79" t="s">
        <v>626</v>
      </c>
      <c r="K11" s="83" t="s">
        <v>108</v>
      </c>
      <c r="L11" s="84"/>
    </row>
    <row r="12" spans="1:12" s="89" customFormat="1" ht="15.5" x14ac:dyDescent="0.35">
      <c r="A12" s="79">
        <f t="shared" si="0"/>
        <v>8</v>
      </c>
      <c r="B12" s="79"/>
      <c r="C12" s="86" t="s">
        <v>505</v>
      </c>
      <c r="D12" s="87" t="s">
        <v>3</v>
      </c>
      <c r="E12" s="81">
        <v>45819</v>
      </c>
      <c r="F12" s="81">
        <v>45823</v>
      </c>
      <c r="G12" s="139" t="s">
        <v>555</v>
      </c>
      <c r="H12" s="143">
        <v>36.159756000000009</v>
      </c>
      <c r="I12" s="82">
        <f t="shared" si="1"/>
        <v>3.8112382824000011</v>
      </c>
      <c r="J12" s="79" t="s">
        <v>626</v>
      </c>
      <c r="K12" s="83" t="s">
        <v>108</v>
      </c>
      <c r="L12" s="88"/>
    </row>
    <row r="13" spans="1:12" s="85" customFormat="1" ht="15.5" x14ac:dyDescent="0.35">
      <c r="A13" s="79">
        <f t="shared" si="0"/>
        <v>9</v>
      </c>
      <c r="B13" s="79"/>
      <c r="C13" s="86" t="s">
        <v>506</v>
      </c>
      <c r="D13" s="87" t="s">
        <v>3</v>
      </c>
      <c r="E13" s="81">
        <v>45804</v>
      </c>
      <c r="F13" s="81">
        <v>45811</v>
      </c>
      <c r="G13" s="139" t="s">
        <v>555</v>
      </c>
      <c r="H13" s="143">
        <v>36.159756000000009</v>
      </c>
      <c r="I13" s="82">
        <f t="shared" si="1"/>
        <v>3.8112382824000011</v>
      </c>
      <c r="J13" s="79" t="s">
        <v>626</v>
      </c>
      <c r="K13" s="83" t="s">
        <v>108</v>
      </c>
      <c r="L13" s="84"/>
    </row>
    <row r="14" spans="1:12" s="85" customFormat="1" ht="15.5" x14ac:dyDescent="0.35">
      <c r="A14" s="79">
        <f t="shared" si="0"/>
        <v>10</v>
      </c>
      <c r="B14" s="79"/>
      <c r="C14" s="86" t="s">
        <v>507</v>
      </c>
      <c r="D14" s="87" t="s">
        <v>47</v>
      </c>
      <c r="E14" s="81">
        <v>45794</v>
      </c>
      <c r="F14" s="81">
        <v>45803</v>
      </c>
      <c r="G14" s="139" t="s">
        <v>555</v>
      </c>
      <c r="H14" s="143">
        <v>43.804424000000004</v>
      </c>
      <c r="I14" s="82">
        <f t="shared" si="1"/>
        <v>4.6169862896000007</v>
      </c>
      <c r="J14" s="79" t="s">
        <v>631</v>
      </c>
      <c r="K14" s="83" t="s">
        <v>108</v>
      </c>
      <c r="L14" s="84"/>
    </row>
    <row r="15" spans="1:12" s="85" customFormat="1" ht="15.5" x14ac:dyDescent="0.35">
      <c r="A15" s="79">
        <f t="shared" si="0"/>
        <v>11</v>
      </c>
      <c r="B15" s="79"/>
      <c r="C15" s="86" t="s">
        <v>508</v>
      </c>
      <c r="D15" s="87" t="s">
        <v>47</v>
      </c>
      <c r="E15" s="81">
        <v>45812</v>
      </c>
      <c r="F15" s="81">
        <v>45818</v>
      </c>
      <c r="G15" s="139" t="s">
        <v>555</v>
      </c>
      <c r="H15" s="143">
        <v>43.804424000000004</v>
      </c>
      <c r="I15" s="82">
        <f t="shared" si="1"/>
        <v>4.6169862896000007</v>
      </c>
      <c r="J15" s="79" t="s">
        <v>626</v>
      </c>
      <c r="K15" s="83" t="s">
        <v>108</v>
      </c>
      <c r="L15" s="84"/>
    </row>
    <row r="16" spans="1:12" s="85" customFormat="1" ht="15.5" x14ac:dyDescent="0.35">
      <c r="A16" s="79">
        <f t="shared" si="0"/>
        <v>12</v>
      </c>
      <c r="B16" s="79"/>
      <c r="C16" s="86" t="s">
        <v>509</v>
      </c>
      <c r="D16" s="87" t="s">
        <v>3</v>
      </c>
      <c r="E16" s="81">
        <v>45897</v>
      </c>
      <c r="F16" s="81">
        <v>45925</v>
      </c>
      <c r="G16" s="140" t="s">
        <v>556</v>
      </c>
      <c r="H16" s="143">
        <v>36.159756000000009</v>
      </c>
      <c r="I16" s="82">
        <f t="shared" si="1"/>
        <v>3.8112382824000011</v>
      </c>
      <c r="J16" s="79" t="s">
        <v>626</v>
      </c>
      <c r="K16" s="83" t="s">
        <v>108</v>
      </c>
      <c r="L16" s="84"/>
    </row>
    <row r="17" spans="1:12" s="85" customFormat="1" ht="15.5" x14ac:dyDescent="0.35">
      <c r="A17" s="79">
        <f t="shared" si="0"/>
        <v>13</v>
      </c>
      <c r="B17" s="79"/>
      <c r="C17" s="86" t="s">
        <v>510</v>
      </c>
      <c r="D17" s="87" t="s">
        <v>2</v>
      </c>
      <c r="E17" s="81">
        <v>45685</v>
      </c>
      <c r="F17" s="81">
        <v>45689</v>
      </c>
      <c r="G17" s="141" t="s">
        <v>557</v>
      </c>
      <c r="H17" s="143">
        <v>37.931088000000003</v>
      </c>
      <c r="I17" s="82">
        <f t="shared" si="1"/>
        <v>3.9979366752000001</v>
      </c>
      <c r="J17" s="79" t="s">
        <v>631</v>
      </c>
      <c r="K17" s="83" t="s">
        <v>108</v>
      </c>
      <c r="L17" s="84"/>
    </row>
    <row r="18" spans="1:12" s="85" customFormat="1" ht="15.5" x14ac:dyDescent="0.35">
      <c r="A18" s="79">
        <f t="shared" si="0"/>
        <v>14</v>
      </c>
      <c r="B18" s="79"/>
      <c r="C18" s="86" t="s">
        <v>511</v>
      </c>
      <c r="D18" s="87" t="s">
        <v>2</v>
      </c>
      <c r="E18" s="81">
        <v>45690</v>
      </c>
      <c r="F18" s="81">
        <v>45693</v>
      </c>
      <c r="G18" s="141" t="s">
        <v>557</v>
      </c>
      <c r="H18" s="143">
        <v>37.931088000000003</v>
      </c>
      <c r="I18" s="82">
        <f t="shared" si="1"/>
        <v>3.9979366752000001</v>
      </c>
      <c r="J18" s="79" t="s">
        <v>631</v>
      </c>
      <c r="K18" s="83" t="s">
        <v>108</v>
      </c>
      <c r="L18" s="84"/>
    </row>
    <row r="19" spans="1:12" s="85" customFormat="1" ht="15.5" x14ac:dyDescent="0.35">
      <c r="A19" s="79">
        <f t="shared" si="0"/>
        <v>15</v>
      </c>
      <c r="B19" s="79"/>
      <c r="C19" s="86" t="s">
        <v>512</v>
      </c>
      <c r="D19" s="87" t="s">
        <v>3</v>
      </c>
      <c r="E19" s="81">
        <v>45676</v>
      </c>
      <c r="F19" s="81">
        <v>45680</v>
      </c>
      <c r="G19" s="141" t="s">
        <v>557</v>
      </c>
      <c r="H19" s="143">
        <v>36.159756000000009</v>
      </c>
      <c r="I19" s="82">
        <f t="shared" si="1"/>
        <v>3.8112382824000011</v>
      </c>
      <c r="J19" s="79" t="s">
        <v>631</v>
      </c>
      <c r="K19" s="83" t="s">
        <v>108</v>
      </c>
      <c r="L19" s="84"/>
    </row>
    <row r="20" spans="1:12" s="85" customFormat="1" ht="15.5" x14ac:dyDescent="0.35">
      <c r="A20" s="79">
        <f t="shared" si="0"/>
        <v>16</v>
      </c>
      <c r="B20" s="79"/>
      <c r="C20" s="86" t="s">
        <v>513</v>
      </c>
      <c r="D20" s="87" t="s">
        <v>3</v>
      </c>
      <c r="E20" s="81">
        <v>45681</v>
      </c>
      <c r="F20" s="81">
        <v>45684</v>
      </c>
      <c r="G20" s="141" t="s">
        <v>557</v>
      </c>
      <c r="H20" s="143">
        <v>36.159756000000009</v>
      </c>
      <c r="I20" s="82">
        <f t="shared" si="1"/>
        <v>3.8112382824000011</v>
      </c>
      <c r="J20" s="79" t="s">
        <v>631</v>
      </c>
      <c r="K20" s="83" t="s">
        <v>108</v>
      </c>
      <c r="L20" s="84"/>
    </row>
    <row r="21" spans="1:12" s="85" customFormat="1" ht="15.5" x14ac:dyDescent="0.35">
      <c r="A21" s="79">
        <f t="shared" si="0"/>
        <v>17</v>
      </c>
      <c r="B21" s="79"/>
      <c r="C21" s="86" t="s">
        <v>514</v>
      </c>
      <c r="D21" s="87" t="s">
        <v>3</v>
      </c>
      <c r="E21" s="81">
        <v>45777</v>
      </c>
      <c r="F21" s="81">
        <v>45784</v>
      </c>
      <c r="G21" s="141" t="s">
        <v>557</v>
      </c>
      <c r="H21" s="143">
        <v>36.159756000000009</v>
      </c>
      <c r="I21" s="82">
        <f t="shared" si="1"/>
        <v>3.8112382824000011</v>
      </c>
      <c r="J21" s="79" t="s">
        <v>631</v>
      </c>
      <c r="K21" s="83" t="s">
        <v>108</v>
      </c>
      <c r="L21" s="84"/>
    </row>
    <row r="22" spans="1:12" s="85" customFormat="1" ht="15.5" x14ac:dyDescent="0.35">
      <c r="A22" s="79">
        <f t="shared" si="0"/>
        <v>18</v>
      </c>
      <c r="B22" s="79"/>
      <c r="C22" s="86" t="s">
        <v>515</v>
      </c>
      <c r="D22" s="87" t="s">
        <v>2</v>
      </c>
      <c r="E22" s="81">
        <v>45785</v>
      </c>
      <c r="F22" s="81">
        <v>45793</v>
      </c>
      <c r="G22" s="141" t="s">
        <v>557</v>
      </c>
      <c r="H22" s="143">
        <v>37.931088000000003</v>
      </c>
      <c r="I22" s="82">
        <f t="shared" si="1"/>
        <v>3.9979366752000001</v>
      </c>
      <c r="J22" s="79" t="s">
        <v>631</v>
      </c>
      <c r="K22" s="83" t="s">
        <v>108</v>
      </c>
      <c r="L22" s="84"/>
    </row>
    <row r="23" spans="1:12" s="85" customFormat="1" ht="15.5" x14ac:dyDescent="0.35">
      <c r="A23" s="79">
        <f t="shared" si="0"/>
        <v>19</v>
      </c>
      <c r="B23" s="79"/>
      <c r="C23" s="86" t="s">
        <v>516</v>
      </c>
      <c r="D23" s="87" t="s">
        <v>3</v>
      </c>
      <c r="E23" s="81">
        <v>45694</v>
      </c>
      <c r="F23" s="81">
        <v>45698</v>
      </c>
      <c r="G23" s="141" t="s">
        <v>557</v>
      </c>
      <c r="H23" s="143">
        <v>36.159756000000009</v>
      </c>
      <c r="I23" s="82">
        <f t="shared" si="1"/>
        <v>3.8112382824000011</v>
      </c>
      <c r="J23" s="79" t="s">
        <v>631</v>
      </c>
      <c r="K23" s="83" t="s">
        <v>108</v>
      </c>
      <c r="L23" s="84"/>
    </row>
    <row r="24" spans="1:12" s="85" customFormat="1" ht="15.5" x14ac:dyDescent="0.35">
      <c r="A24" s="79">
        <f t="shared" si="0"/>
        <v>20</v>
      </c>
      <c r="B24" s="79"/>
      <c r="C24" s="86" t="s">
        <v>517</v>
      </c>
      <c r="D24" s="87" t="s">
        <v>2</v>
      </c>
      <c r="E24" s="81">
        <v>45699</v>
      </c>
      <c r="F24" s="81">
        <v>45703</v>
      </c>
      <c r="G24" s="141" t="s">
        <v>557</v>
      </c>
      <c r="H24" s="143">
        <v>37.931088000000003</v>
      </c>
      <c r="I24" s="82">
        <f t="shared" si="1"/>
        <v>3.9979366752000001</v>
      </c>
      <c r="J24" s="79" t="s">
        <v>631</v>
      </c>
      <c r="K24" s="83" t="s">
        <v>108</v>
      </c>
      <c r="L24" s="84"/>
    </row>
    <row r="25" spans="1:12" s="85" customFormat="1" ht="15.5" x14ac:dyDescent="0.35">
      <c r="A25" s="79">
        <f t="shared" si="0"/>
        <v>21</v>
      </c>
      <c r="B25" s="79"/>
      <c r="C25" s="86" t="s">
        <v>152</v>
      </c>
      <c r="D25" s="87" t="s">
        <v>2</v>
      </c>
      <c r="E25" s="81">
        <v>45704</v>
      </c>
      <c r="F25" s="81">
        <v>45707</v>
      </c>
      <c r="G25" s="141" t="s">
        <v>557</v>
      </c>
      <c r="H25" s="143">
        <v>37.931088000000003</v>
      </c>
      <c r="I25" s="82">
        <f t="shared" si="1"/>
        <v>3.9979366752000001</v>
      </c>
      <c r="J25" s="79" t="s">
        <v>631</v>
      </c>
      <c r="K25" s="83" t="s">
        <v>108</v>
      </c>
      <c r="L25" s="84"/>
    </row>
    <row r="26" spans="1:12" s="85" customFormat="1" ht="15.5" x14ac:dyDescent="0.35">
      <c r="A26" s="79">
        <f t="shared" si="0"/>
        <v>22</v>
      </c>
      <c r="B26" s="79"/>
      <c r="C26" s="86" t="s">
        <v>153</v>
      </c>
      <c r="D26" s="87" t="s">
        <v>3</v>
      </c>
      <c r="E26" s="81">
        <v>45708</v>
      </c>
      <c r="F26" s="81">
        <v>45711</v>
      </c>
      <c r="G26" s="141" t="s">
        <v>557</v>
      </c>
      <c r="H26" s="143">
        <v>36.159756000000009</v>
      </c>
      <c r="I26" s="82">
        <f t="shared" si="1"/>
        <v>3.8112382824000011</v>
      </c>
      <c r="J26" s="79" t="s">
        <v>631</v>
      </c>
      <c r="K26" s="83" t="s">
        <v>108</v>
      </c>
      <c r="L26" s="84"/>
    </row>
    <row r="27" spans="1:12" s="85" customFormat="1" ht="15.5" x14ac:dyDescent="0.35">
      <c r="A27" s="79">
        <f t="shared" si="0"/>
        <v>23</v>
      </c>
      <c r="B27" s="79"/>
      <c r="C27" s="86" t="s">
        <v>154</v>
      </c>
      <c r="D27" s="87" t="s">
        <v>2</v>
      </c>
      <c r="E27" s="81">
        <v>45717</v>
      </c>
      <c r="F27" s="81">
        <v>45720</v>
      </c>
      <c r="G27" s="141" t="s">
        <v>557</v>
      </c>
      <c r="H27" s="143">
        <v>37.931088000000003</v>
      </c>
      <c r="I27" s="82">
        <f t="shared" si="1"/>
        <v>3.9979366752000001</v>
      </c>
      <c r="J27" s="79" t="s">
        <v>631</v>
      </c>
      <c r="K27" s="83" t="s">
        <v>108</v>
      </c>
      <c r="L27" s="84"/>
    </row>
    <row r="28" spans="1:12" s="85" customFormat="1" ht="15.5" x14ac:dyDescent="0.35">
      <c r="A28" s="79">
        <f t="shared" si="0"/>
        <v>24</v>
      </c>
      <c r="B28" s="79"/>
      <c r="C28" s="86" t="s">
        <v>155</v>
      </c>
      <c r="D28" s="87" t="s">
        <v>4</v>
      </c>
      <c r="E28" s="81">
        <v>45721</v>
      </c>
      <c r="F28" s="81">
        <v>45724</v>
      </c>
      <c r="G28" s="141" t="s">
        <v>557</v>
      </c>
      <c r="H28" s="143">
        <v>34.789810000000003</v>
      </c>
      <c r="I28" s="82">
        <f t="shared" si="1"/>
        <v>3.6668459740000001</v>
      </c>
      <c r="J28" s="79" t="s">
        <v>631</v>
      </c>
      <c r="K28" s="83" t="s">
        <v>108</v>
      </c>
      <c r="L28" s="84"/>
    </row>
    <row r="29" spans="1:12" s="85" customFormat="1" x14ac:dyDescent="0.35">
      <c r="A29" s="79">
        <f t="shared" si="0"/>
        <v>25</v>
      </c>
      <c r="B29" s="79"/>
      <c r="C29" s="90" t="s">
        <v>156</v>
      </c>
      <c r="D29" s="87" t="s">
        <v>2</v>
      </c>
      <c r="E29" s="81">
        <v>45712</v>
      </c>
      <c r="F29" s="81">
        <v>45716</v>
      </c>
      <c r="G29" s="141" t="s">
        <v>557</v>
      </c>
      <c r="H29" s="143">
        <v>37.931088000000003</v>
      </c>
      <c r="I29" s="82">
        <f t="shared" si="1"/>
        <v>3.9979366752000001</v>
      </c>
      <c r="J29" s="79" t="s">
        <v>631</v>
      </c>
      <c r="K29" s="83" t="s">
        <v>108</v>
      </c>
      <c r="L29" s="91"/>
    </row>
    <row r="30" spans="1:12" s="85" customFormat="1" ht="15.5" x14ac:dyDescent="0.35">
      <c r="A30" s="79">
        <f t="shared" si="0"/>
        <v>26</v>
      </c>
      <c r="B30" s="79"/>
      <c r="C30" s="86" t="s">
        <v>157</v>
      </c>
      <c r="D30" s="87" t="s">
        <v>47</v>
      </c>
      <c r="E30" s="81">
        <v>45771</v>
      </c>
      <c r="F30" s="81">
        <v>45776</v>
      </c>
      <c r="G30" s="141" t="s">
        <v>557</v>
      </c>
      <c r="H30" s="143">
        <v>43.804424000000004</v>
      </c>
      <c r="I30" s="82">
        <f t="shared" si="1"/>
        <v>4.6169862896000007</v>
      </c>
      <c r="J30" s="79" t="s">
        <v>631</v>
      </c>
      <c r="K30" s="83" t="s">
        <v>108</v>
      </c>
      <c r="L30" s="84"/>
    </row>
    <row r="31" spans="1:12" s="85" customFormat="1" x14ac:dyDescent="0.35">
      <c r="A31" s="79">
        <f t="shared" si="0"/>
        <v>27</v>
      </c>
      <c r="B31" s="79"/>
      <c r="C31" s="90" t="s">
        <v>518</v>
      </c>
      <c r="D31" s="87" t="s">
        <v>47</v>
      </c>
      <c r="E31" s="81">
        <v>45739</v>
      </c>
      <c r="F31" s="81">
        <v>45743</v>
      </c>
      <c r="G31" s="141" t="s">
        <v>557</v>
      </c>
      <c r="H31" s="143">
        <v>43.804424000000004</v>
      </c>
      <c r="I31" s="82">
        <f t="shared" si="1"/>
        <v>4.6169862896000007</v>
      </c>
      <c r="J31" s="79" t="s">
        <v>631</v>
      </c>
      <c r="K31" s="83" t="s">
        <v>108</v>
      </c>
      <c r="L31" s="84"/>
    </row>
    <row r="32" spans="1:12" s="85" customFormat="1" ht="15.5" x14ac:dyDescent="0.35">
      <c r="A32" s="79">
        <f t="shared" si="0"/>
        <v>28</v>
      </c>
      <c r="B32" s="79"/>
      <c r="C32" s="86" t="s">
        <v>519</v>
      </c>
      <c r="D32" s="87" t="s">
        <v>4</v>
      </c>
      <c r="E32" s="81">
        <v>45735</v>
      </c>
      <c r="F32" s="81">
        <v>45738</v>
      </c>
      <c r="G32" s="141" t="s">
        <v>557</v>
      </c>
      <c r="H32" s="143">
        <v>34.789810000000003</v>
      </c>
      <c r="I32" s="82">
        <f t="shared" si="1"/>
        <v>3.6668459740000001</v>
      </c>
      <c r="J32" s="79" t="s">
        <v>631</v>
      </c>
      <c r="K32" s="83" t="s">
        <v>108</v>
      </c>
      <c r="L32" s="84"/>
    </row>
    <row r="33" spans="1:12" s="85" customFormat="1" x14ac:dyDescent="0.35">
      <c r="A33" s="79">
        <f t="shared" si="0"/>
        <v>29</v>
      </c>
      <c r="B33" s="79"/>
      <c r="C33" s="90" t="s">
        <v>520</v>
      </c>
      <c r="D33" s="87" t="s">
        <v>99</v>
      </c>
      <c r="E33" s="81">
        <v>45921</v>
      </c>
      <c r="F33" s="81">
        <v>45929</v>
      </c>
      <c r="G33" s="141" t="s">
        <v>558</v>
      </c>
      <c r="H33" s="143">
        <v>65.022579000000007</v>
      </c>
      <c r="I33" s="82">
        <f t="shared" si="1"/>
        <v>6.8533798266000012</v>
      </c>
      <c r="J33" s="79" t="s">
        <v>631</v>
      </c>
      <c r="K33" s="83" t="s">
        <v>108</v>
      </c>
      <c r="L33" s="84"/>
    </row>
    <row r="34" spans="1:12" s="85" customFormat="1" x14ac:dyDescent="0.35">
      <c r="A34" s="79">
        <f t="shared" si="0"/>
        <v>30</v>
      </c>
      <c r="B34" s="79"/>
      <c r="C34" s="90" t="s">
        <v>521</v>
      </c>
      <c r="D34" s="87" t="s">
        <v>3</v>
      </c>
      <c r="E34" s="81">
        <v>45725</v>
      </c>
      <c r="F34" s="81">
        <v>45729</v>
      </c>
      <c r="G34" s="141" t="s">
        <v>557</v>
      </c>
      <c r="H34" s="143">
        <v>36.159756000000009</v>
      </c>
      <c r="I34" s="82">
        <f t="shared" si="1"/>
        <v>3.8112382824000011</v>
      </c>
      <c r="J34" s="79" t="s">
        <v>631</v>
      </c>
      <c r="K34" s="83" t="s">
        <v>108</v>
      </c>
      <c r="L34" s="84"/>
    </row>
    <row r="35" spans="1:12" s="85" customFormat="1" x14ac:dyDescent="0.35">
      <c r="A35" s="79">
        <f t="shared" si="0"/>
        <v>31</v>
      </c>
      <c r="B35" s="79"/>
      <c r="C35" s="92" t="s">
        <v>522</v>
      </c>
      <c r="D35" s="87" t="s">
        <v>4</v>
      </c>
      <c r="E35" s="81">
        <v>45729</v>
      </c>
      <c r="F35" s="81">
        <v>45734</v>
      </c>
      <c r="G35" s="141" t="s">
        <v>557</v>
      </c>
      <c r="H35" s="143">
        <v>34.789810000000003</v>
      </c>
      <c r="I35" s="82">
        <f t="shared" si="1"/>
        <v>3.6668459740000001</v>
      </c>
      <c r="J35" s="79" t="s">
        <v>631</v>
      </c>
      <c r="K35" s="83" t="s">
        <v>108</v>
      </c>
      <c r="L35" s="91"/>
    </row>
    <row r="36" spans="1:12" s="85" customFormat="1" x14ac:dyDescent="0.35">
      <c r="A36" s="79">
        <f t="shared" si="0"/>
        <v>32</v>
      </c>
      <c r="B36" s="79"/>
      <c r="C36" s="92" t="s">
        <v>13</v>
      </c>
      <c r="D36" s="87" t="s">
        <v>82</v>
      </c>
      <c r="E36" s="81">
        <v>45894</v>
      </c>
      <c r="F36" s="81">
        <v>45908</v>
      </c>
      <c r="G36" s="141" t="s">
        <v>558</v>
      </c>
      <c r="H36" s="143">
        <v>59.500628000000006</v>
      </c>
      <c r="I36" s="82">
        <f t="shared" si="1"/>
        <v>6.2713661912000003</v>
      </c>
      <c r="J36" s="79" t="s">
        <v>631</v>
      </c>
      <c r="K36" s="83" t="s">
        <v>108</v>
      </c>
      <c r="L36" s="84"/>
    </row>
    <row r="37" spans="1:12" s="85" customFormat="1" x14ac:dyDescent="0.35">
      <c r="A37" s="79">
        <f t="shared" si="0"/>
        <v>33</v>
      </c>
      <c r="B37" s="79"/>
      <c r="C37" s="92" t="s">
        <v>523</v>
      </c>
      <c r="D37" s="87" t="s">
        <v>2</v>
      </c>
      <c r="E37" s="81">
        <v>45744</v>
      </c>
      <c r="F37" s="81">
        <v>45747</v>
      </c>
      <c r="G37" s="141" t="s">
        <v>557</v>
      </c>
      <c r="H37" s="143">
        <v>37.931088000000003</v>
      </c>
      <c r="I37" s="82">
        <f t="shared" si="1"/>
        <v>3.9979366752000001</v>
      </c>
      <c r="J37" s="79" t="s">
        <v>631</v>
      </c>
      <c r="K37" s="83" t="s">
        <v>108</v>
      </c>
      <c r="L37" s="84"/>
    </row>
    <row r="38" spans="1:12" s="85" customFormat="1" x14ac:dyDescent="0.35">
      <c r="A38" s="79">
        <f t="shared" si="0"/>
        <v>34</v>
      </c>
      <c r="B38" s="79"/>
      <c r="C38" s="92" t="s">
        <v>524</v>
      </c>
      <c r="D38" s="87" t="s">
        <v>3</v>
      </c>
      <c r="E38" s="81">
        <v>45748</v>
      </c>
      <c r="F38" s="81">
        <v>45752</v>
      </c>
      <c r="G38" s="141" t="s">
        <v>557</v>
      </c>
      <c r="H38" s="143">
        <v>36.159756000000009</v>
      </c>
      <c r="I38" s="82">
        <f t="shared" si="1"/>
        <v>3.8112382824000011</v>
      </c>
      <c r="J38" s="79" t="s">
        <v>631</v>
      </c>
      <c r="K38" s="83" t="s">
        <v>108</v>
      </c>
      <c r="L38" s="84"/>
    </row>
    <row r="39" spans="1:12" s="85" customFormat="1" x14ac:dyDescent="0.35">
      <c r="A39" s="79">
        <f t="shared" si="0"/>
        <v>35</v>
      </c>
      <c r="B39" s="79"/>
      <c r="C39" s="92" t="s">
        <v>525</v>
      </c>
      <c r="D39" s="87" t="s">
        <v>2</v>
      </c>
      <c r="E39" s="81">
        <v>45753</v>
      </c>
      <c r="F39" s="81">
        <v>45759</v>
      </c>
      <c r="G39" s="141" t="s">
        <v>557</v>
      </c>
      <c r="H39" s="143">
        <v>37.931088000000003</v>
      </c>
      <c r="I39" s="82">
        <f t="shared" si="1"/>
        <v>3.9979366752000001</v>
      </c>
      <c r="J39" s="79" t="s">
        <v>631</v>
      </c>
      <c r="K39" s="83" t="s">
        <v>108</v>
      </c>
      <c r="L39" s="84"/>
    </row>
    <row r="40" spans="1:12" s="85" customFormat="1" x14ac:dyDescent="0.35">
      <c r="A40" s="79">
        <f t="shared" si="0"/>
        <v>36</v>
      </c>
      <c r="B40" s="79"/>
      <c r="C40" s="92" t="s">
        <v>526</v>
      </c>
      <c r="D40" s="87" t="s">
        <v>17</v>
      </c>
      <c r="E40" s="81">
        <v>45760</v>
      </c>
      <c r="F40" s="81">
        <v>45765</v>
      </c>
      <c r="G40" s="141" t="s">
        <v>557</v>
      </c>
      <c r="H40" s="143">
        <v>45.697022000000011</v>
      </c>
      <c r="I40" s="82">
        <f t="shared" si="1"/>
        <v>4.8164661188000011</v>
      </c>
      <c r="J40" s="79" t="s">
        <v>631</v>
      </c>
      <c r="K40" s="83" t="s">
        <v>108</v>
      </c>
      <c r="L40" s="84"/>
    </row>
    <row r="41" spans="1:12" s="85" customFormat="1" ht="15.5" x14ac:dyDescent="0.35">
      <c r="A41" s="79">
        <f t="shared" si="0"/>
        <v>37</v>
      </c>
      <c r="B41" s="79"/>
      <c r="C41" s="86" t="s">
        <v>527</v>
      </c>
      <c r="D41" s="87" t="s">
        <v>2</v>
      </c>
      <c r="E41" s="81">
        <v>45766</v>
      </c>
      <c r="F41" s="81">
        <v>45770</v>
      </c>
      <c r="G41" s="141" t="s">
        <v>557</v>
      </c>
      <c r="H41" s="143">
        <v>37.931088000000003</v>
      </c>
      <c r="I41" s="82">
        <f t="shared" si="1"/>
        <v>3.9979366752000001</v>
      </c>
      <c r="J41" s="79" t="s">
        <v>631</v>
      </c>
      <c r="K41" s="83" t="s">
        <v>108</v>
      </c>
      <c r="L41" s="84"/>
    </row>
    <row r="42" spans="1:12" s="85" customFormat="1" x14ac:dyDescent="0.35">
      <c r="A42" s="79">
        <f t="shared" si="0"/>
        <v>38</v>
      </c>
      <c r="B42" s="79"/>
      <c r="C42" s="92" t="s">
        <v>528</v>
      </c>
      <c r="D42" s="87" t="s">
        <v>17</v>
      </c>
      <c r="E42" s="81">
        <v>45768</v>
      </c>
      <c r="F42" s="81">
        <v>45775</v>
      </c>
      <c r="G42" s="141" t="s">
        <v>559</v>
      </c>
      <c r="H42" s="143">
        <v>45.697022000000011</v>
      </c>
      <c r="I42" s="82">
        <f t="shared" si="1"/>
        <v>4.8164661188000011</v>
      </c>
      <c r="J42" s="79" t="s">
        <v>631</v>
      </c>
      <c r="K42" s="83" t="s">
        <v>108</v>
      </c>
      <c r="L42" s="84"/>
    </row>
    <row r="43" spans="1:12" s="85" customFormat="1" x14ac:dyDescent="0.35">
      <c r="A43" s="79">
        <f t="shared" si="0"/>
        <v>39</v>
      </c>
      <c r="B43" s="79"/>
      <c r="C43" s="92" t="s">
        <v>529</v>
      </c>
      <c r="D43" s="87" t="s">
        <v>3</v>
      </c>
      <c r="E43" s="81">
        <v>45756</v>
      </c>
      <c r="F43" s="81">
        <v>45762</v>
      </c>
      <c r="G43" s="141" t="s">
        <v>559</v>
      </c>
      <c r="H43" s="143">
        <v>36.159756000000009</v>
      </c>
      <c r="I43" s="82">
        <f t="shared" si="1"/>
        <v>3.8112382824000011</v>
      </c>
      <c r="J43" s="79" t="s">
        <v>631</v>
      </c>
      <c r="K43" s="83" t="s">
        <v>108</v>
      </c>
      <c r="L43" s="84"/>
    </row>
    <row r="44" spans="1:12" s="89" customFormat="1" x14ac:dyDescent="0.35">
      <c r="A44" s="87">
        <f t="shared" si="0"/>
        <v>40</v>
      </c>
      <c r="B44" s="79"/>
      <c r="C44" s="93" t="s">
        <v>530</v>
      </c>
      <c r="D44" s="87" t="s">
        <v>55</v>
      </c>
      <c r="E44" s="81">
        <v>45763</v>
      </c>
      <c r="F44" s="81">
        <v>45767</v>
      </c>
      <c r="G44" s="141" t="s">
        <v>559</v>
      </c>
      <c r="H44" s="143">
        <v>35.601762000000001</v>
      </c>
      <c r="I44" s="82">
        <f t="shared" si="1"/>
        <v>3.7524257147999998</v>
      </c>
      <c r="J44" s="79" t="s">
        <v>631</v>
      </c>
      <c r="K44" s="83" t="s">
        <v>108</v>
      </c>
      <c r="L44" s="88"/>
    </row>
    <row r="45" spans="1:12" s="89" customFormat="1" x14ac:dyDescent="0.35">
      <c r="A45" s="87">
        <f t="shared" si="0"/>
        <v>41</v>
      </c>
      <c r="B45" s="87"/>
      <c r="C45" s="93" t="s">
        <v>19</v>
      </c>
      <c r="D45" s="87" t="s">
        <v>93</v>
      </c>
      <c r="E45" s="81">
        <v>45909</v>
      </c>
      <c r="F45" s="81">
        <v>45921</v>
      </c>
      <c r="G45" s="141" t="s">
        <v>558</v>
      </c>
      <c r="H45" s="143">
        <v>66.775700999999998</v>
      </c>
      <c r="I45" s="82">
        <f t="shared" si="1"/>
        <v>7.0381588853999997</v>
      </c>
      <c r="J45" s="79" t="s">
        <v>631</v>
      </c>
      <c r="K45" s="83" t="s">
        <v>108</v>
      </c>
      <c r="L45" s="88"/>
    </row>
    <row r="46" spans="1:12" s="85" customFormat="1" ht="15.5" x14ac:dyDescent="0.35">
      <c r="A46" s="79">
        <f t="shared" si="0"/>
        <v>42</v>
      </c>
      <c r="B46" s="79"/>
      <c r="C46" s="86" t="s">
        <v>88</v>
      </c>
      <c r="D46" s="87" t="s">
        <v>3</v>
      </c>
      <c r="E46" s="81">
        <v>45752</v>
      </c>
      <c r="F46" s="81">
        <v>45755</v>
      </c>
      <c r="G46" s="141" t="s">
        <v>559</v>
      </c>
      <c r="H46" s="143">
        <v>36.159756000000009</v>
      </c>
      <c r="I46" s="82">
        <f t="shared" si="1"/>
        <v>3.8112382824000011</v>
      </c>
      <c r="J46" s="79" t="s">
        <v>631</v>
      </c>
      <c r="K46" s="83" t="s">
        <v>108</v>
      </c>
      <c r="L46" s="84"/>
    </row>
    <row r="47" spans="1:12" s="85" customFormat="1" ht="15.5" x14ac:dyDescent="0.35">
      <c r="A47" s="79">
        <f t="shared" si="0"/>
        <v>43</v>
      </c>
      <c r="B47" s="79"/>
      <c r="C47" s="86" t="s">
        <v>107</v>
      </c>
      <c r="D47" s="87" t="s">
        <v>47</v>
      </c>
      <c r="E47" s="81">
        <v>45738</v>
      </c>
      <c r="F47" s="81">
        <v>45742</v>
      </c>
      <c r="G47" s="141" t="s">
        <v>559</v>
      </c>
      <c r="H47" s="143">
        <v>43.804424000000004</v>
      </c>
      <c r="I47" s="82">
        <f t="shared" si="1"/>
        <v>4.6169862896000007</v>
      </c>
      <c r="J47" s="79" t="s">
        <v>631</v>
      </c>
      <c r="K47" s="83" t="s">
        <v>108</v>
      </c>
      <c r="L47" s="84"/>
    </row>
    <row r="48" spans="1:12" s="89" customFormat="1" x14ac:dyDescent="0.35">
      <c r="A48" s="87">
        <f t="shared" si="0"/>
        <v>44</v>
      </c>
      <c r="B48" s="79"/>
      <c r="C48" s="93" t="s">
        <v>106</v>
      </c>
      <c r="D48" s="87" t="s">
        <v>55</v>
      </c>
      <c r="E48" s="81">
        <v>45747</v>
      </c>
      <c r="F48" s="81">
        <v>45751</v>
      </c>
      <c r="G48" s="141" t="s">
        <v>559</v>
      </c>
      <c r="H48" s="143">
        <v>35.601762000000001</v>
      </c>
      <c r="I48" s="82">
        <f t="shared" si="1"/>
        <v>3.7524257147999998</v>
      </c>
      <c r="J48" s="79" t="s">
        <v>631</v>
      </c>
      <c r="K48" s="83" t="s">
        <v>108</v>
      </c>
      <c r="L48" s="88"/>
    </row>
    <row r="49" spans="1:12" s="89" customFormat="1" x14ac:dyDescent="0.35">
      <c r="A49" s="87">
        <f t="shared" si="0"/>
        <v>45</v>
      </c>
      <c r="B49" s="79"/>
      <c r="C49" s="93" t="s">
        <v>105</v>
      </c>
      <c r="D49" s="87" t="s">
        <v>2</v>
      </c>
      <c r="E49" s="81">
        <v>45743</v>
      </c>
      <c r="F49" s="81">
        <v>45746</v>
      </c>
      <c r="G49" s="141" t="s">
        <v>559</v>
      </c>
      <c r="H49" s="143">
        <v>37.931088000000003</v>
      </c>
      <c r="I49" s="82">
        <f t="shared" si="1"/>
        <v>3.9979366752000001</v>
      </c>
      <c r="J49" s="79" t="s">
        <v>631</v>
      </c>
      <c r="K49" s="83" t="s">
        <v>108</v>
      </c>
      <c r="L49" s="88"/>
    </row>
    <row r="50" spans="1:12" s="89" customFormat="1" x14ac:dyDescent="0.35">
      <c r="A50" s="87">
        <f t="shared" si="0"/>
        <v>46</v>
      </c>
      <c r="B50" s="79"/>
      <c r="C50" s="93" t="s">
        <v>104</v>
      </c>
      <c r="D50" s="87" t="s">
        <v>2</v>
      </c>
      <c r="E50" s="81">
        <v>45717</v>
      </c>
      <c r="F50" s="81">
        <v>45720</v>
      </c>
      <c r="G50" s="141" t="s">
        <v>559</v>
      </c>
      <c r="H50" s="143">
        <v>37.931088000000003</v>
      </c>
      <c r="I50" s="82">
        <f t="shared" si="1"/>
        <v>3.9979366752000001</v>
      </c>
      <c r="J50" s="79" t="s">
        <v>631</v>
      </c>
      <c r="K50" s="83" t="s">
        <v>108</v>
      </c>
      <c r="L50" s="88"/>
    </row>
    <row r="51" spans="1:12" s="85" customFormat="1" ht="15.5" x14ac:dyDescent="0.35">
      <c r="A51" s="79">
        <f t="shared" si="0"/>
        <v>47</v>
      </c>
      <c r="B51" s="79"/>
      <c r="C51" s="86" t="s">
        <v>163</v>
      </c>
      <c r="D51" s="87" t="s">
        <v>55</v>
      </c>
      <c r="E51" s="81">
        <v>45734</v>
      </c>
      <c r="F51" s="81">
        <v>45737</v>
      </c>
      <c r="G51" s="141" t="s">
        <v>559</v>
      </c>
      <c r="H51" s="143">
        <v>35.601762000000001</v>
      </c>
      <c r="I51" s="82">
        <f t="shared" si="1"/>
        <v>3.7524257147999998</v>
      </c>
      <c r="J51" s="79" t="s">
        <v>631</v>
      </c>
      <c r="K51" s="83" t="s">
        <v>108</v>
      </c>
      <c r="L51" s="84"/>
    </row>
    <row r="52" spans="1:12" s="89" customFormat="1" x14ac:dyDescent="0.35">
      <c r="A52" s="87">
        <f t="shared" si="0"/>
        <v>48</v>
      </c>
      <c r="B52" s="79"/>
      <c r="C52" s="93" t="s">
        <v>531</v>
      </c>
      <c r="D52" s="87" t="s">
        <v>4</v>
      </c>
      <c r="E52" s="81">
        <v>45721</v>
      </c>
      <c r="F52" s="81">
        <v>45723</v>
      </c>
      <c r="G52" s="141" t="s">
        <v>559</v>
      </c>
      <c r="H52" s="143">
        <v>34.789810000000003</v>
      </c>
      <c r="I52" s="82">
        <f t="shared" si="1"/>
        <v>3.6668459740000001</v>
      </c>
      <c r="J52" s="79" t="s">
        <v>631</v>
      </c>
      <c r="K52" s="94" t="s">
        <v>108</v>
      </c>
      <c r="L52" s="88"/>
    </row>
    <row r="53" spans="1:12" s="85" customFormat="1" ht="15.5" x14ac:dyDescent="0.35">
      <c r="A53" s="79">
        <f t="shared" si="0"/>
        <v>49</v>
      </c>
      <c r="B53" s="79"/>
      <c r="C53" s="86" t="s">
        <v>532</v>
      </c>
      <c r="D53" s="87" t="s">
        <v>2</v>
      </c>
      <c r="E53" s="81">
        <v>45794</v>
      </c>
      <c r="F53" s="81">
        <v>45798</v>
      </c>
      <c r="G53" s="141" t="s">
        <v>559</v>
      </c>
      <c r="H53" s="143">
        <v>37.931088000000003</v>
      </c>
      <c r="I53" s="82">
        <f t="shared" si="1"/>
        <v>3.9979366752000001</v>
      </c>
      <c r="J53" s="79" t="s">
        <v>631</v>
      </c>
      <c r="K53" s="83" t="s">
        <v>108</v>
      </c>
      <c r="L53" s="84"/>
    </row>
    <row r="54" spans="1:12" s="85" customFormat="1" ht="15.5" x14ac:dyDescent="0.35">
      <c r="A54" s="79">
        <f t="shared" si="0"/>
        <v>50</v>
      </c>
      <c r="B54" s="79"/>
      <c r="C54" s="86" t="s">
        <v>533</v>
      </c>
      <c r="D54" s="87" t="s">
        <v>3</v>
      </c>
      <c r="E54" s="81">
        <v>45728</v>
      </c>
      <c r="F54" s="81">
        <v>45733</v>
      </c>
      <c r="G54" s="141" t="s">
        <v>559</v>
      </c>
      <c r="H54" s="143">
        <v>36.159756000000009</v>
      </c>
      <c r="I54" s="82">
        <f t="shared" si="1"/>
        <v>3.8112382824000011</v>
      </c>
      <c r="J54" s="79" t="s">
        <v>631</v>
      </c>
      <c r="K54" s="83" t="s">
        <v>108</v>
      </c>
      <c r="L54" s="84"/>
    </row>
    <row r="55" spans="1:12" s="89" customFormat="1" x14ac:dyDescent="0.35">
      <c r="A55" s="87">
        <f t="shared" si="0"/>
        <v>51</v>
      </c>
      <c r="B55" s="87"/>
      <c r="C55" s="93" t="s">
        <v>22</v>
      </c>
      <c r="D55" s="87" t="s">
        <v>101</v>
      </c>
      <c r="E55" s="81">
        <v>45930</v>
      </c>
      <c r="F55" s="81">
        <v>45939</v>
      </c>
      <c r="G55" s="141" t="s">
        <v>558</v>
      </c>
      <c r="H55" s="143">
        <v>69.37596400000001</v>
      </c>
      <c r="I55" s="82">
        <f t="shared" si="1"/>
        <v>7.3122266056000012</v>
      </c>
      <c r="J55" s="79" t="s">
        <v>626</v>
      </c>
      <c r="K55" s="94" t="s">
        <v>108</v>
      </c>
      <c r="L55" s="88"/>
    </row>
    <row r="56" spans="1:12" s="89" customFormat="1" x14ac:dyDescent="0.35">
      <c r="A56" s="87">
        <f t="shared" si="0"/>
        <v>52</v>
      </c>
      <c r="B56" s="79"/>
      <c r="C56" s="93" t="s">
        <v>77</v>
      </c>
      <c r="D56" s="87" t="s">
        <v>3</v>
      </c>
      <c r="E56" s="81">
        <v>45724</v>
      </c>
      <c r="F56" s="81">
        <v>45727</v>
      </c>
      <c r="G56" s="141" t="s">
        <v>559</v>
      </c>
      <c r="H56" s="143">
        <v>36.159756000000009</v>
      </c>
      <c r="I56" s="82">
        <f t="shared" si="1"/>
        <v>3.8112382824000011</v>
      </c>
      <c r="J56" s="79" t="s">
        <v>631</v>
      </c>
      <c r="K56" s="94" t="s">
        <v>108</v>
      </c>
      <c r="L56" s="88"/>
    </row>
    <row r="57" spans="1:12" s="89" customFormat="1" x14ac:dyDescent="0.35">
      <c r="A57" s="87">
        <f t="shared" si="0"/>
        <v>53</v>
      </c>
      <c r="B57" s="87"/>
      <c r="C57" s="93" t="s">
        <v>78</v>
      </c>
      <c r="D57" s="87" t="s">
        <v>2</v>
      </c>
      <c r="E57" s="81">
        <v>45799</v>
      </c>
      <c r="F57" s="81">
        <v>45803</v>
      </c>
      <c r="G57" s="141" t="s">
        <v>559</v>
      </c>
      <c r="H57" s="143">
        <v>37.931088000000003</v>
      </c>
      <c r="I57" s="82">
        <f t="shared" si="1"/>
        <v>3.9979366752000001</v>
      </c>
      <c r="J57" s="79" t="s">
        <v>631</v>
      </c>
      <c r="K57" s="94" t="s">
        <v>108</v>
      </c>
      <c r="L57" s="88"/>
    </row>
    <row r="58" spans="1:12" s="85" customFormat="1" ht="15.5" x14ac:dyDescent="0.35">
      <c r="A58" s="79">
        <f t="shared" si="0"/>
        <v>54</v>
      </c>
      <c r="B58" s="79"/>
      <c r="C58" s="86" t="s">
        <v>80</v>
      </c>
      <c r="D58" s="87" t="s">
        <v>2</v>
      </c>
      <c r="E58" s="81">
        <v>45785</v>
      </c>
      <c r="F58" s="81">
        <v>45793</v>
      </c>
      <c r="G58" s="141" t="s">
        <v>559</v>
      </c>
      <c r="H58" s="143">
        <v>37.931088000000003</v>
      </c>
      <c r="I58" s="82">
        <f t="shared" si="1"/>
        <v>3.9979366752000001</v>
      </c>
      <c r="J58" s="79" t="s">
        <v>631</v>
      </c>
      <c r="K58" s="83" t="s">
        <v>108</v>
      </c>
      <c r="L58" s="84"/>
    </row>
    <row r="59" spans="1:12" s="89" customFormat="1" x14ac:dyDescent="0.35">
      <c r="A59" s="87">
        <f t="shared" si="0"/>
        <v>55</v>
      </c>
      <c r="B59" s="87"/>
      <c r="C59" s="93" t="s">
        <v>166</v>
      </c>
      <c r="D59" s="87" t="s">
        <v>2</v>
      </c>
      <c r="E59" s="81">
        <v>45776</v>
      </c>
      <c r="F59" s="81">
        <v>45784</v>
      </c>
      <c r="G59" s="141" t="s">
        <v>559</v>
      </c>
      <c r="H59" s="143">
        <v>37.931088000000003</v>
      </c>
      <c r="I59" s="82">
        <f t="shared" si="1"/>
        <v>3.9979366752000001</v>
      </c>
      <c r="J59" s="79" t="s">
        <v>631</v>
      </c>
      <c r="K59" s="94" t="s">
        <v>108</v>
      </c>
      <c r="L59" s="88"/>
    </row>
    <row r="60" spans="1:12" s="85" customFormat="1" ht="15.5" x14ac:dyDescent="0.35">
      <c r="A60" s="79">
        <f t="shared" si="0"/>
        <v>56</v>
      </c>
      <c r="B60" s="79"/>
      <c r="C60" s="86" t="s">
        <v>23</v>
      </c>
      <c r="D60" s="87" t="s">
        <v>76</v>
      </c>
      <c r="E60" s="81">
        <v>45948</v>
      </c>
      <c r="F60" s="81">
        <v>45963</v>
      </c>
      <c r="G60" s="140" t="s">
        <v>560</v>
      </c>
      <c r="H60" s="143">
        <v>73.244547999999995</v>
      </c>
      <c r="I60" s="82">
        <f t="shared" si="1"/>
        <v>7.7199753591999993</v>
      </c>
      <c r="J60" s="79" t="s">
        <v>631</v>
      </c>
      <c r="K60" s="83" t="s">
        <v>108</v>
      </c>
      <c r="L60" s="84"/>
    </row>
    <row r="61" spans="1:12" s="85" customFormat="1" ht="15.5" x14ac:dyDescent="0.35">
      <c r="A61" s="79">
        <f t="shared" si="0"/>
        <v>57</v>
      </c>
      <c r="B61" s="79"/>
      <c r="C61" s="86" t="s">
        <v>534</v>
      </c>
      <c r="D61" s="87" t="s">
        <v>2</v>
      </c>
      <c r="E61" s="81">
        <v>45691</v>
      </c>
      <c r="F61" s="81">
        <v>45694</v>
      </c>
      <c r="G61" s="141" t="s">
        <v>559</v>
      </c>
      <c r="H61" s="143">
        <v>37.931088000000003</v>
      </c>
      <c r="I61" s="82">
        <f t="shared" si="1"/>
        <v>3.9979366752000001</v>
      </c>
      <c r="J61" s="79" t="s">
        <v>631</v>
      </c>
      <c r="K61" s="83" t="s">
        <v>108</v>
      </c>
      <c r="L61" s="84"/>
    </row>
    <row r="62" spans="1:12" s="89" customFormat="1" x14ac:dyDescent="0.35">
      <c r="A62" s="87">
        <f t="shared" si="0"/>
        <v>58</v>
      </c>
      <c r="B62" s="79"/>
      <c r="C62" s="93" t="s">
        <v>535</v>
      </c>
      <c r="D62" s="87" t="s">
        <v>55</v>
      </c>
      <c r="E62" s="81">
        <v>45695</v>
      </c>
      <c r="F62" s="81">
        <v>45698</v>
      </c>
      <c r="G62" s="141" t="s">
        <v>559</v>
      </c>
      <c r="H62" s="143">
        <v>35.601762000000001</v>
      </c>
      <c r="I62" s="82">
        <f t="shared" si="1"/>
        <v>3.7524257147999998</v>
      </c>
      <c r="J62" s="79" t="s">
        <v>631</v>
      </c>
      <c r="K62" s="94" t="s">
        <v>108</v>
      </c>
      <c r="L62" s="88"/>
    </row>
    <row r="63" spans="1:12" s="85" customFormat="1" ht="15.5" x14ac:dyDescent="0.35">
      <c r="A63" s="79">
        <f t="shared" si="0"/>
        <v>59</v>
      </c>
      <c r="B63" s="79"/>
      <c r="C63" s="86" t="s">
        <v>536</v>
      </c>
      <c r="D63" s="87" t="s">
        <v>47</v>
      </c>
      <c r="E63" s="81">
        <v>45687</v>
      </c>
      <c r="F63" s="81">
        <v>45690</v>
      </c>
      <c r="G63" s="141" t="s">
        <v>559</v>
      </c>
      <c r="H63" s="143">
        <v>43.804424000000004</v>
      </c>
      <c r="I63" s="82">
        <f t="shared" si="1"/>
        <v>4.6169862896000007</v>
      </c>
      <c r="J63" s="79" t="s">
        <v>631</v>
      </c>
      <c r="K63" s="83" t="s">
        <v>108</v>
      </c>
      <c r="L63" s="84"/>
    </row>
    <row r="64" spans="1:12" s="89" customFormat="1" x14ac:dyDescent="0.35">
      <c r="A64" s="87">
        <f t="shared" si="0"/>
        <v>60</v>
      </c>
      <c r="B64" s="79"/>
      <c r="C64" s="93" t="s">
        <v>537</v>
      </c>
      <c r="D64" s="87" t="s">
        <v>2</v>
      </c>
      <c r="E64" s="81">
        <v>45679</v>
      </c>
      <c r="F64" s="81">
        <v>45682</v>
      </c>
      <c r="G64" s="141" t="s">
        <v>559</v>
      </c>
      <c r="H64" s="143">
        <v>37.931088000000003</v>
      </c>
      <c r="I64" s="82">
        <f t="shared" si="1"/>
        <v>3.9979366752000001</v>
      </c>
      <c r="J64" s="79" t="s">
        <v>631</v>
      </c>
      <c r="K64" s="94" t="s">
        <v>108</v>
      </c>
      <c r="L64" s="88"/>
    </row>
    <row r="65" spans="1:12" s="89" customFormat="1" x14ac:dyDescent="0.35">
      <c r="A65" s="87">
        <f t="shared" si="0"/>
        <v>61</v>
      </c>
      <c r="B65" s="79"/>
      <c r="C65" s="93" t="s">
        <v>538</v>
      </c>
      <c r="D65" s="87" t="s">
        <v>17</v>
      </c>
      <c r="E65" s="81">
        <v>45683</v>
      </c>
      <c r="F65" s="81">
        <v>45686</v>
      </c>
      <c r="G65" s="141" t="s">
        <v>559</v>
      </c>
      <c r="H65" s="143">
        <v>45.697022000000011</v>
      </c>
      <c r="I65" s="82">
        <f t="shared" si="1"/>
        <v>4.8164661188000011</v>
      </c>
      <c r="J65" s="79" t="s">
        <v>631</v>
      </c>
      <c r="K65" s="94" t="s">
        <v>108</v>
      </c>
      <c r="L65" s="88"/>
    </row>
    <row r="66" spans="1:12" s="85" customFormat="1" ht="15.5" x14ac:dyDescent="0.35">
      <c r="A66" s="79">
        <f t="shared" si="0"/>
        <v>62</v>
      </c>
      <c r="B66" s="79"/>
      <c r="C66" s="86" t="s">
        <v>539</v>
      </c>
      <c r="D66" s="87" t="s">
        <v>3</v>
      </c>
      <c r="E66" s="81">
        <v>45895</v>
      </c>
      <c r="F66" s="81">
        <v>45910</v>
      </c>
      <c r="G66" s="140" t="s">
        <v>560</v>
      </c>
      <c r="H66" s="143">
        <v>36.159756000000009</v>
      </c>
      <c r="I66" s="82">
        <f t="shared" si="1"/>
        <v>3.8112382824000011</v>
      </c>
      <c r="J66" s="79" t="s">
        <v>631</v>
      </c>
      <c r="K66" s="83" t="s">
        <v>108</v>
      </c>
      <c r="L66" s="84"/>
    </row>
    <row r="67" spans="1:12" s="85" customFormat="1" ht="15.5" x14ac:dyDescent="0.35">
      <c r="A67" s="79">
        <f t="shared" si="0"/>
        <v>63</v>
      </c>
      <c r="B67" s="79"/>
      <c r="C67" s="86" t="s">
        <v>540</v>
      </c>
      <c r="D67" s="87" t="s">
        <v>47</v>
      </c>
      <c r="E67" s="81">
        <v>45699</v>
      </c>
      <c r="F67" s="81">
        <v>45702</v>
      </c>
      <c r="G67" s="141" t="s">
        <v>559</v>
      </c>
      <c r="H67" s="143">
        <v>43.804424000000004</v>
      </c>
      <c r="I67" s="82">
        <f t="shared" si="1"/>
        <v>4.6169862896000007</v>
      </c>
      <c r="J67" s="79" t="s">
        <v>631</v>
      </c>
      <c r="K67" s="83" t="s">
        <v>108</v>
      </c>
      <c r="L67" s="84"/>
    </row>
    <row r="68" spans="1:12" s="89" customFormat="1" x14ac:dyDescent="0.35">
      <c r="A68" s="87">
        <f t="shared" si="0"/>
        <v>64</v>
      </c>
      <c r="B68" s="79"/>
      <c r="C68" s="93" t="s">
        <v>541</v>
      </c>
      <c r="D68" s="87" t="s">
        <v>55</v>
      </c>
      <c r="E68" s="81">
        <v>45703</v>
      </c>
      <c r="F68" s="81">
        <v>45706</v>
      </c>
      <c r="G68" s="141" t="s">
        <v>559</v>
      </c>
      <c r="H68" s="143">
        <v>35.601762000000001</v>
      </c>
      <c r="I68" s="82">
        <f t="shared" si="1"/>
        <v>3.7524257147999998</v>
      </c>
      <c r="J68" s="79" t="s">
        <v>631</v>
      </c>
      <c r="K68" s="94" t="s">
        <v>108</v>
      </c>
      <c r="L68" s="88"/>
    </row>
    <row r="69" spans="1:12" s="85" customFormat="1" ht="15.5" x14ac:dyDescent="0.35">
      <c r="A69" s="79">
        <f t="shared" si="0"/>
        <v>65</v>
      </c>
      <c r="B69" s="79"/>
      <c r="C69" s="86" t="s">
        <v>542</v>
      </c>
      <c r="D69" s="87" t="s">
        <v>2</v>
      </c>
      <c r="E69" s="81">
        <v>45707</v>
      </c>
      <c r="F69" s="81">
        <v>45710</v>
      </c>
      <c r="G69" s="141" t="s">
        <v>559</v>
      </c>
      <c r="H69" s="143">
        <v>37.931088000000003</v>
      </c>
      <c r="I69" s="82">
        <f t="shared" si="1"/>
        <v>3.9979366752000001</v>
      </c>
      <c r="J69" s="79" t="s">
        <v>631</v>
      </c>
      <c r="K69" s="83" t="s">
        <v>108</v>
      </c>
      <c r="L69" s="84"/>
    </row>
    <row r="70" spans="1:12" s="89" customFormat="1" ht="16.5" customHeight="1" x14ac:dyDescent="0.35">
      <c r="A70" s="87">
        <f t="shared" ref="A70:A87" si="2">A69+1</f>
        <v>66</v>
      </c>
      <c r="B70" s="79"/>
      <c r="C70" s="93" t="s">
        <v>543</v>
      </c>
      <c r="D70" s="87" t="s">
        <v>4</v>
      </c>
      <c r="E70" s="81">
        <v>45711</v>
      </c>
      <c r="F70" s="81">
        <v>45713</v>
      </c>
      <c r="G70" s="141" t="s">
        <v>559</v>
      </c>
      <c r="H70" s="143">
        <v>34.789810000000003</v>
      </c>
      <c r="I70" s="82">
        <f t="shared" ref="I70:I87" si="3">10540*H70/10^5</f>
        <v>3.6668459740000001</v>
      </c>
      <c r="J70" s="79" t="s">
        <v>631</v>
      </c>
      <c r="K70" s="94" t="s">
        <v>108</v>
      </c>
      <c r="L70" s="88"/>
    </row>
    <row r="71" spans="1:12" s="89" customFormat="1" x14ac:dyDescent="0.35">
      <c r="A71" s="87">
        <f t="shared" si="2"/>
        <v>67</v>
      </c>
      <c r="B71" s="79"/>
      <c r="C71" s="93" t="s">
        <v>544</v>
      </c>
      <c r="D71" s="87" t="s">
        <v>4</v>
      </c>
      <c r="E71" s="81">
        <v>45714</v>
      </c>
      <c r="F71" s="81">
        <v>45716</v>
      </c>
      <c r="G71" s="141" t="s">
        <v>559</v>
      </c>
      <c r="H71" s="143">
        <v>34.789810000000003</v>
      </c>
      <c r="I71" s="82">
        <f t="shared" si="3"/>
        <v>3.6668459740000001</v>
      </c>
      <c r="J71" s="79" t="s">
        <v>631</v>
      </c>
      <c r="K71" s="94" t="s">
        <v>108</v>
      </c>
      <c r="L71" s="88"/>
    </row>
    <row r="72" spans="1:12" s="85" customFormat="1" ht="15.5" x14ac:dyDescent="0.35">
      <c r="A72" s="79">
        <f t="shared" si="2"/>
        <v>68</v>
      </c>
      <c r="B72" s="79"/>
      <c r="C72" s="86" t="s">
        <v>25</v>
      </c>
      <c r="D72" s="87" t="s">
        <v>82</v>
      </c>
      <c r="E72" s="81">
        <v>45927</v>
      </c>
      <c r="F72" s="81">
        <v>45946</v>
      </c>
      <c r="G72" s="140" t="s">
        <v>560</v>
      </c>
      <c r="H72" s="143">
        <v>59.500628000000006</v>
      </c>
      <c r="I72" s="82">
        <f t="shared" si="3"/>
        <v>6.2713661912000003</v>
      </c>
      <c r="J72" s="79" t="s">
        <v>628</v>
      </c>
      <c r="K72" s="83" t="s">
        <v>108</v>
      </c>
      <c r="L72" s="84"/>
    </row>
    <row r="73" spans="1:12" s="89" customFormat="1" x14ac:dyDescent="0.35">
      <c r="A73" s="79">
        <f t="shared" si="2"/>
        <v>69</v>
      </c>
      <c r="B73" s="79"/>
      <c r="C73" s="92" t="s">
        <v>545</v>
      </c>
      <c r="D73" s="79" t="s">
        <v>93</v>
      </c>
      <c r="E73" s="81">
        <v>45910</v>
      </c>
      <c r="F73" s="81">
        <v>45926</v>
      </c>
      <c r="G73" s="140" t="s">
        <v>560</v>
      </c>
      <c r="H73" s="143">
        <v>66.775700999999998</v>
      </c>
      <c r="I73" s="82">
        <f t="shared" si="3"/>
        <v>7.0381588853999997</v>
      </c>
      <c r="J73" s="79" t="s">
        <v>628</v>
      </c>
      <c r="K73" s="83" t="s">
        <v>108</v>
      </c>
      <c r="L73" s="84"/>
    </row>
    <row r="74" spans="1:12" s="89" customFormat="1" x14ac:dyDescent="0.35">
      <c r="A74" s="79">
        <f t="shared" si="2"/>
        <v>70</v>
      </c>
      <c r="B74" s="79"/>
      <c r="C74" s="92" t="s">
        <v>546</v>
      </c>
      <c r="D74" s="79" t="s">
        <v>3</v>
      </c>
      <c r="E74" s="81">
        <v>45649</v>
      </c>
      <c r="F74" s="81">
        <v>45653</v>
      </c>
      <c r="G74" s="141" t="s">
        <v>559</v>
      </c>
      <c r="H74" s="143">
        <v>36.159756000000009</v>
      </c>
      <c r="I74" s="82">
        <f t="shared" si="3"/>
        <v>3.8112382824000011</v>
      </c>
      <c r="J74" s="79" t="s">
        <v>628</v>
      </c>
      <c r="K74" s="83" t="s">
        <v>108</v>
      </c>
      <c r="L74" s="84"/>
    </row>
    <row r="75" spans="1:12" s="85" customFormat="1" ht="15.5" x14ac:dyDescent="0.35">
      <c r="A75" s="79">
        <f t="shared" si="2"/>
        <v>71</v>
      </c>
      <c r="B75" s="79"/>
      <c r="C75" s="86" t="s">
        <v>547</v>
      </c>
      <c r="D75" s="87" t="s">
        <v>3</v>
      </c>
      <c r="E75" s="81">
        <v>45654</v>
      </c>
      <c r="F75" s="81">
        <v>45657</v>
      </c>
      <c r="G75" s="141" t="s">
        <v>559</v>
      </c>
      <c r="H75" s="143">
        <v>36.159756000000009</v>
      </c>
      <c r="I75" s="82">
        <f t="shared" si="3"/>
        <v>3.8112382824000011</v>
      </c>
      <c r="J75" s="79" t="s">
        <v>628</v>
      </c>
      <c r="K75" s="83" t="s">
        <v>108</v>
      </c>
      <c r="L75" s="84"/>
    </row>
    <row r="76" spans="1:12" s="85" customFormat="1" ht="15.5" x14ac:dyDescent="0.35">
      <c r="A76" s="79">
        <f t="shared" si="2"/>
        <v>72</v>
      </c>
      <c r="B76" s="79"/>
      <c r="C76" s="86" t="s">
        <v>548</v>
      </c>
      <c r="D76" s="87" t="s">
        <v>47</v>
      </c>
      <c r="E76" s="81">
        <v>45659</v>
      </c>
      <c r="F76" s="81">
        <v>45663</v>
      </c>
      <c r="G76" s="141" t="s">
        <v>559</v>
      </c>
      <c r="H76" s="143">
        <v>43.804424000000004</v>
      </c>
      <c r="I76" s="82">
        <f t="shared" si="3"/>
        <v>4.6169862896000007</v>
      </c>
      <c r="J76" s="79" t="s">
        <v>628</v>
      </c>
      <c r="K76" s="83" t="s">
        <v>108</v>
      </c>
      <c r="L76" s="84"/>
    </row>
    <row r="77" spans="1:12" s="85" customFormat="1" ht="15.5" x14ac:dyDescent="0.35">
      <c r="A77" s="79">
        <f t="shared" si="2"/>
        <v>73</v>
      </c>
      <c r="B77" s="79"/>
      <c r="C77" s="86" t="s">
        <v>549</v>
      </c>
      <c r="D77" s="87" t="s">
        <v>2</v>
      </c>
      <c r="E77" s="81">
        <v>45671</v>
      </c>
      <c r="F77" s="81">
        <v>45674</v>
      </c>
      <c r="G77" s="141" t="s">
        <v>559</v>
      </c>
      <c r="H77" s="143">
        <v>37.931088000000003</v>
      </c>
      <c r="I77" s="82">
        <f t="shared" si="3"/>
        <v>3.9979366752000001</v>
      </c>
      <c r="J77" s="79" t="s">
        <v>628</v>
      </c>
      <c r="K77" s="83" t="s">
        <v>108</v>
      </c>
      <c r="L77" s="84"/>
    </row>
    <row r="78" spans="1:12" s="89" customFormat="1" x14ac:dyDescent="0.35">
      <c r="A78" s="79">
        <f t="shared" si="2"/>
        <v>74</v>
      </c>
      <c r="B78" s="79"/>
      <c r="C78" s="92" t="s">
        <v>550</v>
      </c>
      <c r="D78" s="79" t="s">
        <v>4</v>
      </c>
      <c r="E78" s="81">
        <v>45947</v>
      </c>
      <c r="F78" s="81">
        <v>45954</v>
      </c>
      <c r="G78" s="141" t="s">
        <v>558</v>
      </c>
      <c r="H78" s="143">
        <v>34.789810000000003</v>
      </c>
      <c r="I78" s="82">
        <f t="shared" si="3"/>
        <v>3.6668459740000001</v>
      </c>
      <c r="J78" s="79" t="s">
        <v>628</v>
      </c>
      <c r="K78" s="83" t="s">
        <v>108</v>
      </c>
      <c r="L78" s="84"/>
    </row>
    <row r="79" spans="1:12" s="85" customFormat="1" ht="15.5" x14ac:dyDescent="0.35">
      <c r="A79" s="79">
        <f t="shared" si="2"/>
        <v>75</v>
      </c>
      <c r="B79" s="79"/>
      <c r="C79" s="86" t="s">
        <v>551</v>
      </c>
      <c r="D79" s="87" t="s">
        <v>3</v>
      </c>
      <c r="E79" s="81">
        <v>45667</v>
      </c>
      <c r="F79" s="81">
        <v>45670</v>
      </c>
      <c r="G79" s="141" t="s">
        <v>559</v>
      </c>
      <c r="H79" s="143">
        <v>36.159756000000009</v>
      </c>
      <c r="I79" s="82">
        <f t="shared" si="3"/>
        <v>3.8112382824000011</v>
      </c>
      <c r="J79" s="79" t="s">
        <v>628</v>
      </c>
      <c r="K79" s="83" t="s">
        <v>108</v>
      </c>
      <c r="L79" s="84"/>
    </row>
    <row r="80" spans="1:12" s="85" customFormat="1" ht="15.5" x14ac:dyDescent="0.35">
      <c r="A80" s="79">
        <f t="shared" si="2"/>
        <v>76</v>
      </c>
      <c r="B80" s="79"/>
      <c r="C80" s="86" t="s">
        <v>552</v>
      </c>
      <c r="D80" s="87" t="s">
        <v>2</v>
      </c>
      <c r="E80" s="81">
        <v>45664</v>
      </c>
      <c r="F80" s="81">
        <v>45666</v>
      </c>
      <c r="G80" s="141" t="s">
        <v>559</v>
      </c>
      <c r="H80" s="143">
        <v>37.931088000000003</v>
      </c>
      <c r="I80" s="82">
        <f t="shared" si="3"/>
        <v>3.9979366752000001</v>
      </c>
      <c r="J80" s="79" t="s">
        <v>628</v>
      </c>
      <c r="K80" s="83" t="s">
        <v>108</v>
      </c>
      <c r="L80" s="84"/>
    </row>
    <row r="81" spans="1:12" s="85" customFormat="1" ht="15.5" x14ac:dyDescent="0.35">
      <c r="A81" s="79">
        <f t="shared" si="2"/>
        <v>77</v>
      </c>
      <c r="B81" s="79"/>
      <c r="C81" s="86" t="s">
        <v>553</v>
      </c>
      <c r="D81" s="87" t="s">
        <v>3</v>
      </c>
      <c r="E81" s="81">
        <v>45675</v>
      </c>
      <c r="F81" s="81">
        <v>45678</v>
      </c>
      <c r="G81" s="141" t="s">
        <v>559</v>
      </c>
      <c r="H81" s="143">
        <v>36.159756000000009</v>
      </c>
      <c r="I81" s="82">
        <f t="shared" si="3"/>
        <v>3.8112382824000011</v>
      </c>
      <c r="J81" s="79" t="s">
        <v>628</v>
      </c>
      <c r="K81" s="83" t="s">
        <v>108</v>
      </c>
      <c r="L81" s="84"/>
    </row>
    <row r="82" spans="1:12" s="89" customFormat="1" x14ac:dyDescent="0.35">
      <c r="A82" s="79">
        <f t="shared" si="2"/>
        <v>78</v>
      </c>
      <c r="B82" s="79"/>
      <c r="C82" s="92" t="s">
        <v>29</v>
      </c>
      <c r="D82" s="79" t="s">
        <v>2</v>
      </c>
      <c r="E82" s="81">
        <v>45940</v>
      </c>
      <c r="F82" s="81">
        <v>45946</v>
      </c>
      <c r="G82" s="141" t="s">
        <v>558</v>
      </c>
      <c r="H82" s="143">
        <v>37.931088000000003</v>
      </c>
      <c r="I82" s="82">
        <f t="shared" si="3"/>
        <v>3.9979366752000001</v>
      </c>
      <c r="J82" s="79" t="s">
        <v>628</v>
      </c>
      <c r="K82" s="83" t="s">
        <v>108</v>
      </c>
      <c r="L82" s="84"/>
    </row>
    <row r="83" spans="1:12" s="89" customFormat="1" x14ac:dyDescent="0.35">
      <c r="A83" s="79">
        <f t="shared" si="2"/>
        <v>79</v>
      </c>
      <c r="B83" s="79"/>
      <c r="C83" s="92" t="s">
        <v>170</v>
      </c>
      <c r="D83" s="79" t="s">
        <v>3</v>
      </c>
      <c r="E83" s="81">
        <v>45918</v>
      </c>
      <c r="F83" s="81">
        <v>45926</v>
      </c>
      <c r="G83" s="141" t="s">
        <v>561</v>
      </c>
      <c r="H83" s="143">
        <v>36.159756000000009</v>
      </c>
      <c r="I83" s="82">
        <f t="shared" si="3"/>
        <v>3.8112382824000011</v>
      </c>
      <c r="J83" s="79" t="s">
        <v>628</v>
      </c>
      <c r="K83" s="83" t="s">
        <v>108</v>
      </c>
      <c r="L83" s="84"/>
    </row>
    <row r="84" spans="1:12" s="85" customFormat="1" ht="15.5" x14ac:dyDescent="0.35">
      <c r="A84" s="79">
        <f t="shared" si="2"/>
        <v>80</v>
      </c>
      <c r="B84" s="79"/>
      <c r="C84" s="86" t="s">
        <v>15</v>
      </c>
      <c r="D84" s="87" t="s">
        <v>17</v>
      </c>
      <c r="E84" s="81">
        <v>45949</v>
      </c>
      <c r="F84" s="81">
        <v>45963</v>
      </c>
      <c r="G84" s="140" t="s">
        <v>556</v>
      </c>
      <c r="H84" s="143">
        <v>45.697022000000011</v>
      </c>
      <c r="I84" s="82">
        <f t="shared" si="3"/>
        <v>4.8164661188000011</v>
      </c>
      <c r="J84" s="79" t="s">
        <v>628</v>
      </c>
      <c r="K84" s="83" t="s">
        <v>108</v>
      </c>
      <c r="L84" s="84"/>
    </row>
    <row r="85" spans="1:12" s="85" customFormat="1" ht="15.5" x14ac:dyDescent="0.35">
      <c r="A85" s="79">
        <f t="shared" si="2"/>
        <v>81</v>
      </c>
      <c r="B85" s="79"/>
      <c r="C85" s="86" t="s">
        <v>174</v>
      </c>
      <c r="D85" s="87" t="s">
        <v>2</v>
      </c>
      <c r="E85" s="81">
        <v>45897</v>
      </c>
      <c r="F85" s="81">
        <v>45917</v>
      </c>
      <c r="G85" s="141" t="s">
        <v>561</v>
      </c>
      <c r="H85" s="143">
        <v>37.931088000000003</v>
      </c>
      <c r="I85" s="82">
        <f t="shared" si="3"/>
        <v>3.9979366752000001</v>
      </c>
      <c r="J85" s="79" t="s">
        <v>628</v>
      </c>
      <c r="K85" s="83" t="s">
        <v>108</v>
      </c>
      <c r="L85" s="84"/>
    </row>
    <row r="86" spans="1:12" s="85" customFormat="1" ht="15.5" x14ac:dyDescent="0.35">
      <c r="A86" s="79">
        <f t="shared" si="2"/>
        <v>82</v>
      </c>
      <c r="B86" s="79"/>
      <c r="C86" s="86" t="s">
        <v>176</v>
      </c>
      <c r="D86" s="87" t="s">
        <v>2</v>
      </c>
      <c r="E86" s="81">
        <v>45926</v>
      </c>
      <c r="F86" s="81">
        <v>45939</v>
      </c>
      <c r="G86" s="140" t="s">
        <v>556</v>
      </c>
      <c r="H86" s="143">
        <v>37.931088000000003</v>
      </c>
      <c r="I86" s="82">
        <f t="shared" si="3"/>
        <v>3.9979366752000001</v>
      </c>
      <c r="J86" s="79" t="s">
        <v>628</v>
      </c>
      <c r="K86" s="83" t="s">
        <v>108</v>
      </c>
      <c r="L86" s="84"/>
    </row>
    <row r="87" spans="1:12" s="85" customFormat="1" ht="15.5" x14ac:dyDescent="0.35">
      <c r="A87" s="79">
        <f t="shared" si="2"/>
        <v>83</v>
      </c>
      <c r="B87" s="79"/>
      <c r="C87" s="86" t="s">
        <v>177</v>
      </c>
      <c r="D87" s="87" t="s">
        <v>3</v>
      </c>
      <c r="E87" s="81">
        <v>45940</v>
      </c>
      <c r="F87" s="81">
        <v>45948</v>
      </c>
      <c r="G87" s="140" t="s">
        <v>556</v>
      </c>
      <c r="H87" s="143">
        <v>36.159756000000009</v>
      </c>
      <c r="I87" s="82">
        <f t="shared" si="3"/>
        <v>3.8112382824000011</v>
      </c>
      <c r="J87" s="79" t="s">
        <v>628</v>
      </c>
      <c r="K87" s="83" t="s">
        <v>108</v>
      </c>
      <c r="L87" s="84"/>
    </row>
  </sheetData>
  <mergeCells count="2">
    <mergeCell ref="A1:L1"/>
    <mergeCell ref="A2:L2"/>
  </mergeCells>
  <conditionalFormatting sqref="C1:C1048576">
    <cfRule type="duplicateValues" dxfId="34" priority="1261"/>
  </conditionalFormatting>
  <conditionalFormatting sqref="G5:G87">
    <cfRule type="containsText" dxfId="33" priority="1" stopIfTrue="1" operator="containsText" text="row">
      <formula>NOT(ISERROR(SEARCH("row",G5)))</formula>
    </cfRule>
    <cfRule type="containsText" dxfId="32" priority="2" stopIfTrue="1" operator="containsText" text="Completed">
      <formula>NOT(ISERROR(SEARCH("Completed",G5)))</formula>
    </cfRule>
    <cfRule type="containsText" dxfId="31" priority="3" stopIfTrue="1" operator="containsText" text="can be done">
      <formula>NOT(ISERROR(SEARCH("can be done",G5)))</formula>
    </cfRule>
    <cfRule type="containsText" dxfId="30" priority="4" stopIfTrue="1" operator="containsText" text="Cannot be done">
      <formula>NOT(ISERROR(SEARCH("Cannot be done",G5)))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A931-072A-4E69-A74B-B087178D6FEB}">
  <dimension ref="A1:BD206"/>
  <sheetViews>
    <sheetView workbookViewId="0">
      <selection activeCell="V52" sqref="V52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304" t="s">
        <v>562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6"/>
    </row>
    <row r="2" spans="1:46" x14ac:dyDescent="0.35">
      <c r="A2" s="144"/>
      <c r="AT2" s="145"/>
    </row>
    <row r="3" spans="1:46" ht="15.5" x14ac:dyDescent="0.35">
      <c r="A3" s="146"/>
      <c r="B3" s="147"/>
      <c r="C3" s="147"/>
      <c r="D3" s="147"/>
      <c r="E3" s="147"/>
      <c r="F3" s="147"/>
      <c r="G3" s="147"/>
      <c r="I3" s="148" t="s">
        <v>563</v>
      </c>
      <c r="J3" s="147"/>
      <c r="K3" s="147"/>
      <c r="L3" s="149"/>
      <c r="AM3" s="307" t="s">
        <v>564</v>
      </c>
      <c r="AN3" s="307"/>
      <c r="AO3" s="308">
        <f ca="1">TODAY()-1</f>
        <v>45967</v>
      </c>
      <c r="AP3" s="308"/>
      <c r="AQ3" s="308"/>
      <c r="AR3" s="308"/>
      <c r="AT3" s="145"/>
    </row>
    <row r="4" spans="1:46" ht="15.5" x14ac:dyDescent="0.35">
      <c r="A4" s="144"/>
      <c r="G4" s="149"/>
      <c r="I4" s="150"/>
      <c r="J4" s="150"/>
      <c r="K4" s="151"/>
      <c r="M4" s="149"/>
      <c r="AT4" s="145"/>
    </row>
    <row r="5" spans="1:46" ht="15.5" x14ac:dyDescent="0.35">
      <c r="A5" s="146"/>
      <c r="B5" s="150"/>
      <c r="C5" s="150"/>
      <c r="D5" s="151"/>
      <c r="E5" s="152"/>
      <c r="F5" s="152"/>
      <c r="G5" s="152"/>
      <c r="H5" s="152"/>
      <c r="I5" s="152"/>
      <c r="J5" s="147"/>
      <c r="K5" s="147"/>
      <c r="L5" s="147"/>
      <c r="AT5" s="145"/>
    </row>
    <row r="6" spans="1:46" ht="16" thickBot="1" x14ac:dyDescent="0.4">
      <c r="A6" s="146"/>
      <c r="B6" s="150"/>
      <c r="C6" s="150"/>
      <c r="D6" s="153"/>
      <c r="E6" s="152"/>
      <c r="F6" s="152"/>
      <c r="G6" s="152"/>
      <c r="H6" s="152"/>
      <c r="I6" s="152"/>
      <c r="AT6" s="145"/>
    </row>
    <row r="7" spans="1:46" ht="15" thickBot="1" x14ac:dyDescent="0.4">
      <c r="A7" s="144"/>
      <c r="L7" s="309" t="s">
        <v>565</v>
      </c>
      <c r="M7" s="310"/>
      <c r="N7" s="310"/>
      <c r="O7" s="311"/>
      <c r="R7" t="s">
        <v>463</v>
      </c>
      <c r="AA7" s="312" t="s">
        <v>566</v>
      </c>
      <c r="AB7" s="313"/>
      <c r="AC7" s="313"/>
      <c r="AD7" s="313"/>
      <c r="AE7" s="313"/>
      <c r="AF7" s="314"/>
      <c r="AG7" s="321" t="s">
        <v>567</v>
      </c>
      <c r="AH7" s="322"/>
      <c r="AI7" s="322"/>
      <c r="AJ7" s="327" t="s">
        <v>568</v>
      </c>
      <c r="AK7" s="327"/>
      <c r="AL7" s="327"/>
      <c r="AM7" s="322" t="s">
        <v>569</v>
      </c>
      <c r="AN7" s="322"/>
      <c r="AO7" s="330"/>
      <c r="AP7" s="333" t="s">
        <v>570</v>
      </c>
      <c r="AQ7" s="322"/>
      <c r="AR7" s="330"/>
      <c r="AT7" s="145"/>
    </row>
    <row r="8" spans="1:46" x14ac:dyDescent="0.35">
      <c r="A8" s="144"/>
      <c r="E8" t="s">
        <v>571</v>
      </c>
      <c r="S8" t="s">
        <v>572</v>
      </c>
      <c r="AA8" s="315"/>
      <c r="AB8" s="316"/>
      <c r="AC8" s="316"/>
      <c r="AD8" s="316"/>
      <c r="AE8" s="316"/>
      <c r="AF8" s="317"/>
      <c r="AG8" s="323"/>
      <c r="AH8" s="324"/>
      <c r="AI8" s="324"/>
      <c r="AJ8" s="328"/>
      <c r="AK8" s="328"/>
      <c r="AL8" s="328"/>
      <c r="AM8" s="324"/>
      <c r="AN8" s="324"/>
      <c r="AO8" s="331"/>
      <c r="AP8" s="334"/>
      <c r="AQ8" s="324"/>
      <c r="AR8" s="331"/>
      <c r="AT8" s="145"/>
    </row>
    <row r="9" spans="1:46" ht="15" thickBot="1" x14ac:dyDescent="0.4">
      <c r="A9" s="144"/>
      <c r="L9" s="154"/>
      <c r="M9" s="155"/>
      <c r="N9" s="155"/>
      <c r="O9" s="336"/>
      <c r="P9" s="337"/>
      <c r="AA9" s="318"/>
      <c r="AB9" s="319"/>
      <c r="AC9" s="319"/>
      <c r="AD9" s="319"/>
      <c r="AE9" s="319"/>
      <c r="AF9" s="320"/>
      <c r="AG9" s="325"/>
      <c r="AH9" s="326"/>
      <c r="AI9" s="326"/>
      <c r="AJ9" s="329"/>
      <c r="AK9" s="329"/>
      <c r="AL9" s="329"/>
      <c r="AM9" s="326"/>
      <c r="AN9" s="326"/>
      <c r="AO9" s="332"/>
      <c r="AP9" s="335"/>
      <c r="AQ9" s="326"/>
      <c r="AR9" s="332"/>
      <c r="AT9" s="145"/>
    </row>
    <row r="10" spans="1:46" x14ac:dyDescent="0.35">
      <c r="A10" s="144"/>
      <c r="C10" t="s">
        <v>573</v>
      </c>
      <c r="U10" t="s">
        <v>574</v>
      </c>
      <c r="AA10" s="297" t="s">
        <v>51</v>
      </c>
      <c r="AB10" s="298"/>
      <c r="AC10" s="298"/>
      <c r="AD10" s="298"/>
      <c r="AE10" s="298"/>
      <c r="AF10" s="299"/>
      <c r="AG10" s="300">
        <f>'[80]Location Status'!J4</f>
        <v>171</v>
      </c>
      <c r="AH10" s="245"/>
      <c r="AI10" s="245"/>
      <c r="AJ10" s="301">
        <f>'[80]updated Progress'!I3</f>
        <v>128</v>
      </c>
      <c r="AK10" s="301"/>
      <c r="AL10" s="301"/>
      <c r="AM10" s="302">
        <f>'[80]updated Progress'!L2+'[80]updated Progress'!K2-'[80]updated Progress'!I3</f>
        <v>5</v>
      </c>
      <c r="AN10" s="302"/>
      <c r="AO10" s="303"/>
      <c r="AP10" s="244">
        <f t="shared" ref="AP10:AP15" si="0">AG10-AJ10</f>
        <v>43</v>
      </c>
      <c r="AQ10" s="245"/>
      <c r="AR10" s="294"/>
      <c r="AT10" s="145"/>
    </row>
    <row r="11" spans="1:46" x14ac:dyDescent="0.35">
      <c r="A11" s="144"/>
      <c r="S11" t="s">
        <v>573</v>
      </c>
      <c r="AA11" s="286" t="s">
        <v>575</v>
      </c>
      <c r="AB11" s="287"/>
      <c r="AC11" s="287"/>
      <c r="AD11" s="287"/>
      <c r="AE11" s="287"/>
      <c r="AF11" s="288"/>
      <c r="AG11" s="253">
        <f>AG10</f>
        <v>171</v>
      </c>
      <c r="AH11" s="238"/>
      <c r="AI11" s="238"/>
      <c r="AJ11" s="291">
        <f>'[80]updated Progress'!N2</f>
        <v>82</v>
      </c>
      <c r="AK11" s="291"/>
      <c r="AL11" s="291"/>
      <c r="AM11" s="292"/>
      <c r="AN11" s="292"/>
      <c r="AO11" s="293"/>
      <c r="AP11" s="244">
        <f t="shared" si="0"/>
        <v>89</v>
      </c>
      <c r="AQ11" s="245"/>
      <c r="AR11" s="294"/>
      <c r="AT11" s="145"/>
    </row>
    <row r="12" spans="1:46" x14ac:dyDescent="0.35">
      <c r="A12" s="144"/>
      <c r="C12" t="s">
        <v>576</v>
      </c>
      <c r="I12" s="246"/>
      <c r="J12" s="295"/>
      <c r="K12" s="159" t="s">
        <v>577</v>
      </c>
      <c r="L12" s="159" t="s">
        <v>578</v>
      </c>
      <c r="M12" s="296" t="s">
        <v>579</v>
      </c>
      <c r="N12" s="295"/>
      <c r="O12" s="157" t="s">
        <v>577</v>
      </c>
      <c r="P12" s="157" t="s">
        <v>578</v>
      </c>
      <c r="Q12" s="296"/>
      <c r="R12" s="246"/>
      <c r="AA12" s="286" t="s">
        <v>580</v>
      </c>
      <c r="AB12" s="287"/>
      <c r="AC12" s="287"/>
      <c r="AD12" s="287"/>
      <c r="AE12" s="287"/>
      <c r="AF12" s="288"/>
      <c r="AG12" s="253">
        <f>AG10</f>
        <v>171</v>
      </c>
      <c r="AH12" s="238"/>
      <c r="AI12" s="238"/>
      <c r="AJ12" s="291">
        <f>'[80]updated Progress'!U2</f>
        <v>83</v>
      </c>
      <c r="AK12" s="291"/>
      <c r="AL12" s="291"/>
      <c r="AM12" s="292">
        <f>'[80]updated Progress'!T2</f>
        <v>5</v>
      </c>
      <c r="AN12" s="292"/>
      <c r="AO12" s="293"/>
      <c r="AP12" s="244">
        <f t="shared" si="0"/>
        <v>88</v>
      </c>
      <c r="AQ12" s="245"/>
      <c r="AR12" s="294"/>
      <c r="AT12" s="145"/>
    </row>
    <row r="13" spans="1:46" x14ac:dyDescent="0.35">
      <c r="A13" s="144"/>
      <c r="K13" s="159" t="s">
        <v>581</v>
      </c>
      <c r="L13" s="159" t="s">
        <v>582</v>
      </c>
      <c r="O13" s="157" t="s">
        <v>581</v>
      </c>
      <c r="P13" s="157" t="s">
        <v>582</v>
      </c>
      <c r="S13" t="s">
        <v>576</v>
      </c>
      <c r="AA13" s="286" t="s">
        <v>583</v>
      </c>
      <c r="AB13" s="287"/>
      <c r="AC13" s="287"/>
      <c r="AD13" s="287"/>
      <c r="AE13" s="287"/>
      <c r="AF13" s="288"/>
      <c r="AG13" s="253">
        <f>AG10</f>
        <v>171</v>
      </c>
      <c r="AH13" s="238"/>
      <c r="AI13" s="238"/>
      <c r="AJ13" s="291"/>
      <c r="AK13" s="291"/>
      <c r="AL13" s="291"/>
      <c r="AM13" s="292"/>
      <c r="AN13" s="292"/>
      <c r="AO13" s="293"/>
      <c r="AP13" s="244">
        <f t="shared" si="0"/>
        <v>171</v>
      </c>
      <c r="AQ13" s="245"/>
      <c r="AR13" s="294"/>
      <c r="AT13" s="145"/>
    </row>
    <row r="14" spans="1:46" x14ac:dyDescent="0.35">
      <c r="A14" s="144"/>
      <c r="C14" t="s">
        <v>584</v>
      </c>
      <c r="K14" s="285"/>
      <c r="L14" s="285"/>
      <c r="O14" s="238"/>
      <c r="P14" s="238"/>
      <c r="R14" s="160"/>
      <c r="S14" s="160"/>
      <c r="T14" s="160"/>
      <c r="U14" s="160"/>
      <c r="W14" t="s">
        <v>585</v>
      </c>
      <c r="AA14" s="286" t="s">
        <v>586</v>
      </c>
      <c r="AB14" s="287"/>
      <c r="AC14" s="287"/>
      <c r="AD14" s="287"/>
      <c r="AE14" s="287"/>
      <c r="AF14" s="288"/>
      <c r="AG14" s="289">
        <f>'[80]Location Status'!D179/1000</f>
        <v>66.565550093309042</v>
      </c>
      <c r="AH14" s="290"/>
      <c r="AI14" s="290"/>
      <c r="AJ14" s="291"/>
      <c r="AK14" s="291"/>
      <c r="AL14" s="291"/>
      <c r="AM14" s="292"/>
      <c r="AN14" s="292"/>
      <c r="AO14" s="293"/>
      <c r="AP14" s="270">
        <f t="shared" si="0"/>
        <v>66.565550093309042</v>
      </c>
      <c r="AQ14" s="271"/>
      <c r="AR14" s="272"/>
      <c r="AT14" s="145"/>
    </row>
    <row r="15" spans="1:46" ht="15" thickBot="1" x14ac:dyDescent="0.4">
      <c r="A15" s="144"/>
      <c r="K15" s="273"/>
      <c r="L15" s="273"/>
      <c r="O15" s="158"/>
      <c r="P15" s="158"/>
      <c r="AA15" s="274" t="s">
        <v>587</v>
      </c>
      <c r="AB15" s="275"/>
      <c r="AC15" s="275"/>
      <c r="AD15" s="275"/>
      <c r="AE15" s="275"/>
      <c r="AF15" s="276"/>
      <c r="AG15" s="277">
        <f>AG14</f>
        <v>66.565550093309042</v>
      </c>
      <c r="AH15" s="278"/>
      <c r="AI15" s="278"/>
      <c r="AJ15" s="279"/>
      <c r="AK15" s="279"/>
      <c r="AL15" s="279"/>
      <c r="AM15" s="280"/>
      <c r="AN15" s="280"/>
      <c r="AO15" s="281"/>
      <c r="AP15" s="282">
        <f t="shared" si="0"/>
        <v>66.565550093309042</v>
      </c>
      <c r="AQ15" s="283"/>
      <c r="AR15" s="284"/>
      <c r="AT15" s="145"/>
    </row>
    <row r="16" spans="1:46" x14ac:dyDescent="0.35">
      <c r="A16" s="144"/>
      <c r="F16" t="s">
        <v>469</v>
      </c>
      <c r="K16" s="267" t="s">
        <v>588</v>
      </c>
      <c r="L16" s="267"/>
      <c r="M16" s="267"/>
      <c r="N16" s="267"/>
      <c r="O16" s="267"/>
      <c r="P16" s="267"/>
      <c r="AT16" s="145"/>
    </row>
    <row r="17" spans="1:52" x14ac:dyDescent="0.35">
      <c r="A17" s="144"/>
      <c r="AT17" s="145"/>
    </row>
    <row r="18" spans="1:52" x14ac:dyDescent="0.35">
      <c r="A18" s="144"/>
      <c r="AT18" s="145"/>
    </row>
    <row r="19" spans="1:52" x14ac:dyDescent="0.35">
      <c r="A19" s="144"/>
      <c r="C19" s="161"/>
      <c r="D19" s="161"/>
      <c r="G19" s="161"/>
      <c r="H19" s="161"/>
      <c r="I19" s="162"/>
      <c r="J19" s="161"/>
      <c r="M19" s="161"/>
      <c r="N19" s="163"/>
      <c r="O19" s="163"/>
      <c r="P19" s="161"/>
      <c r="Q19" s="161"/>
      <c r="R19" s="161"/>
      <c r="S19" s="161"/>
      <c r="T19" s="161"/>
      <c r="AT19" s="145"/>
    </row>
    <row r="20" spans="1:52" x14ac:dyDescent="0.35">
      <c r="A20" s="144"/>
      <c r="C20" s="161"/>
      <c r="D20" s="161"/>
      <c r="G20" s="161"/>
      <c r="H20" s="161"/>
      <c r="I20" s="163"/>
      <c r="J20" s="163"/>
      <c r="M20" s="161"/>
      <c r="N20" s="163"/>
      <c r="O20" s="163"/>
      <c r="P20" s="161"/>
      <c r="Q20" s="161"/>
      <c r="R20" s="161"/>
      <c r="S20" s="161"/>
      <c r="T20" s="161"/>
      <c r="AT20" s="145"/>
    </row>
    <row r="21" spans="1:52" x14ac:dyDescent="0.35">
      <c r="A21" s="144"/>
      <c r="C21" s="161"/>
      <c r="D21" s="161"/>
      <c r="G21" s="161"/>
      <c r="H21" s="161"/>
      <c r="I21" s="163"/>
      <c r="J21" s="163"/>
      <c r="M21" s="161"/>
      <c r="N21" s="161"/>
      <c r="O21" s="161"/>
      <c r="P21" s="161"/>
      <c r="Q21" s="161"/>
      <c r="R21" s="161"/>
      <c r="S21" s="161"/>
      <c r="T21" s="161"/>
      <c r="AT21" s="145"/>
    </row>
    <row r="22" spans="1:52" x14ac:dyDescent="0.35">
      <c r="A22" s="144"/>
      <c r="C22" s="164" t="s">
        <v>589</v>
      </c>
      <c r="D22" s="164"/>
      <c r="H22" s="161"/>
      <c r="I22" s="165"/>
      <c r="J22" s="165"/>
      <c r="M22" s="165"/>
      <c r="N22" s="166" t="s">
        <v>590</v>
      </c>
      <c r="O22" s="167"/>
      <c r="P22" s="167"/>
      <c r="Q22" s="167"/>
      <c r="T22" s="165"/>
      <c r="V22" t="s">
        <v>591</v>
      </c>
      <c r="AT22" s="145"/>
    </row>
    <row r="23" spans="1:52" x14ac:dyDescent="0.35">
      <c r="A23" s="144"/>
      <c r="C23" s="164"/>
      <c r="D23" s="164"/>
      <c r="G23" s="165" t="s">
        <v>592</v>
      </c>
      <c r="H23" s="165"/>
      <c r="I23" s="165"/>
      <c r="J23" s="165"/>
      <c r="K23" s="165"/>
      <c r="L23" s="167"/>
      <c r="M23" s="167"/>
      <c r="N23" s="167"/>
      <c r="O23" s="167"/>
      <c r="P23" s="165"/>
      <c r="Q23" s="165"/>
      <c r="R23" s="165" t="s">
        <v>593</v>
      </c>
      <c r="AT23" s="145"/>
    </row>
    <row r="24" spans="1:52" x14ac:dyDescent="0.35">
      <c r="A24" s="144"/>
      <c r="C24" s="164"/>
      <c r="D24" s="164"/>
      <c r="G24" s="165"/>
      <c r="H24" s="165"/>
      <c r="I24" s="165"/>
      <c r="J24" s="165"/>
      <c r="K24" s="165"/>
      <c r="L24" s="167"/>
      <c r="M24" s="167"/>
      <c r="N24" s="268" t="s">
        <v>594</v>
      </c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  <c r="AA24" s="268"/>
      <c r="AB24" s="268"/>
      <c r="AC24" s="268"/>
      <c r="AD24" s="268"/>
      <c r="AE24" s="268"/>
      <c r="AF24" s="268"/>
      <c r="AG24" s="268"/>
      <c r="AH24" s="268"/>
      <c r="AI24" s="268"/>
      <c r="AJ24" s="268"/>
      <c r="AK24" s="268"/>
      <c r="AL24" s="268"/>
      <c r="AM24" s="268"/>
      <c r="AN24" s="268"/>
      <c r="AO24" s="268"/>
      <c r="AP24" s="268"/>
      <c r="AQ24" s="268"/>
      <c r="AR24" s="268"/>
      <c r="AS24" s="268"/>
      <c r="AT24" s="145"/>
    </row>
    <row r="25" spans="1:52" ht="12" customHeight="1" x14ac:dyDescent="0.35">
      <c r="A25" s="144"/>
      <c r="S25" s="160" t="s">
        <v>595</v>
      </c>
      <c r="V25" s="168"/>
      <c r="AT25" s="145"/>
      <c r="AV25" s="246">
        <f>SUM(AV27:AW167)</f>
        <v>66565.550093309022</v>
      </c>
      <c r="AW25" s="246"/>
      <c r="AX25" s="169"/>
      <c r="AY25" s="269">
        <f>SUM(AY27:AZ167)</f>
        <v>171</v>
      </c>
      <c r="AZ25" s="269"/>
    </row>
    <row r="26" spans="1:52" x14ac:dyDescent="0.35">
      <c r="A26" s="170"/>
      <c r="B26" s="171"/>
      <c r="C26" s="171"/>
      <c r="D26" s="171"/>
      <c r="E26" s="171"/>
      <c r="F26" s="172"/>
      <c r="G26" s="171"/>
      <c r="H26" s="171"/>
      <c r="I26" s="171"/>
      <c r="J26" s="257"/>
      <c r="K26" s="258"/>
      <c r="L26" s="171"/>
      <c r="M26" s="171"/>
      <c r="N26" s="257" t="str">
        <f>VLOOKUP(N28,'[80]Location Status'!$A$7:$D$178,2,0)</f>
        <v>Gantry</v>
      </c>
      <c r="O26" s="258"/>
      <c r="P26" s="171"/>
      <c r="Q26" s="171"/>
      <c r="R26" s="257" t="str">
        <f>VLOOKUP(R28,'[80]Location Status'!$A$7:$D$178,2,0)</f>
        <v>1/0</v>
      </c>
      <c r="S26" s="258"/>
      <c r="T26" s="171"/>
      <c r="U26" s="171"/>
      <c r="V26" s="257" t="str">
        <f>VLOOKUP(V28,'[80]Location Status'!$A$7:$D$178,2,0)</f>
        <v>2/0</v>
      </c>
      <c r="W26" s="258"/>
      <c r="X26" s="171"/>
      <c r="Y26" s="171"/>
      <c r="Z26" s="257" t="str">
        <f>VLOOKUP(Z28,'[80]Location Status'!$A$7:$D$178,2,0)</f>
        <v>3/0</v>
      </c>
      <c r="AA26" s="258"/>
      <c r="AB26" s="171"/>
      <c r="AC26" s="171"/>
      <c r="AD26" s="257" t="str">
        <f>VLOOKUP(AD28,'[80]Location Status'!$A$7:$D$178,2,0)</f>
        <v>4/0</v>
      </c>
      <c r="AE26" s="258"/>
      <c r="AF26" s="171"/>
      <c r="AG26" s="171"/>
      <c r="AH26" s="257" t="str">
        <f>VLOOKUP(AH28,'[80]Location Status'!$A$7:$D$178,2,0)</f>
        <v>4/1</v>
      </c>
      <c r="AI26" s="258"/>
      <c r="AJ26" s="171"/>
      <c r="AK26" s="171"/>
      <c r="AL26" s="257" t="str">
        <f>VLOOKUP(AL28,'[80]Location Status'!$A$7:$D$178,2,0)</f>
        <v>4/2</v>
      </c>
      <c r="AM26" s="258"/>
      <c r="AN26" s="171"/>
      <c r="AO26" s="171"/>
      <c r="AP26" s="257" t="str">
        <f>VLOOKUP(AP28,'[80]Location Status'!$A$7:$D$178,2,0)</f>
        <v>5/0</v>
      </c>
      <c r="AQ26" s="258"/>
      <c r="AR26" s="171"/>
      <c r="AS26" s="171"/>
      <c r="AT26" s="173"/>
      <c r="AU26" s="171"/>
      <c r="AV26" s="171"/>
      <c r="AW26" s="171"/>
      <c r="AX26" s="171"/>
      <c r="AY26" s="171"/>
      <c r="AZ26" s="171"/>
    </row>
    <row r="27" spans="1:52" x14ac:dyDescent="0.35">
      <c r="A27" s="144"/>
      <c r="AT27" s="145"/>
    </row>
    <row r="28" spans="1:52" s="175" customFormat="1" ht="12.5" x14ac:dyDescent="0.25">
      <c r="A28" s="174"/>
      <c r="N28" s="175">
        <v>0</v>
      </c>
      <c r="R28" s="175">
        <f>N28+1</f>
        <v>1</v>
      </c>
      <c r="V28" s="175">
        <f>1+R28</f>
        <v>2</v>
      </c>
      <c r="Z28" s="175">
        <f>1+V28</f>
        <v>3</v>
      </c>
      <c r="AD28" s="175">
        <f>1+Z28</f>
        <v>4</v>
      </c>
      <c r="AH28" s="175">
        <f>1+AD28</f>
        <v>5</v>
      </c>
      <c r="AL28" s="175">
        <f>1+AH28</f>
        <v>6</v>
      </c>
      <c r="AP28" s="175">
        <f>1+AL28</f>
        <v>7</v>
      </c>
      <c r="AT28" s="176"/>
    </row>
    <row r="29" spans="1:52" x14ac:dyDescent="0.35">
      <c r="A29" s="144"/>
      <c r="B29" s="158"/>
      <c r="C29" s="158"/>
      <c r="F29" s="158"/>
      <c r="G29" s="158"/>
      <c r="H29" s="177"/>
      <c r="I29" s="177"/>
      <c r="J29" s="158"/>
      <c r="K29" s="158"/>
      <c r="L29" s="254"/>
      <c r="M29" s="263"/>
      <c r="N29" s="178" t="s">
        <v>577</v>
      </c>
      <c r="O29" s="178" t="s">
        <v>578</v>
      </c>
      <c r="P29" s="262">
        <f>VLOOKUP(N28,'[80]Location Status'!$A$7:$D$178,4,0)</f>
        <v>116.51609330903607</v>
      </c>
      <c r="Q29" s="263"/>
      <c r="R29" s="71" t="s">
        <v>577</v>
      </c>
      <c r="S29" s="71" t="s">
        <v>578</v>
      </c>
      <c r="T29" s="262">
        <f>VLOOKUP(R28,'[80]Location Status'!$A$7:$D$178,4,0)</f>
        <v>181.08699999999999</v>
      </c>
      <c r="U29" s="263"/>
      <c r="V29" s="178" t="s">
        <v>577</v>
      </c>
      <c r="W29" s="178" t="s">
        <v>578</v>
      </c>
      <c r="X29" s="262">
        <f>VLOOKUP(V28,'[80]Location Status'!$A$7:$D$178,4,0)</f>
        <v>235.87100000000001</v>
      </c>
      <c r="Y29" s="263"/>
      <c r="Z29" s="178" t="s">
        <v>577</v>
      </c>
      <c r="AA29" s="178" t="s">
        <v>578</v>
      </c>
      <c r="AB29" s="262">
        <f>VLOOKUP(Z28,'[80]Location Status'!$A$7:$D$178,4,0)</f>
        <v>248.38800000000001</v>
      </c>
      <c r="AC29" s="263"/>
      <c r="AD29" s="178" t="s">
        <v>577</v>
      </c>
      <c r="AE29" s="178" t="s">
        <v>578</v>
      </c>
      <c r="AF29" s="262">
        <f>VLOOKUP(AD28,'[80]Location Status'!$A$7:$D$178,4,0)</f>
        <v>399.70400000000001</v>
      </c>
      <c r="AG29" s="263"/>
      <c r="AH29" s="178" t="s">
        <v>577</v>
      </c>
      <c r="AI29" s="178" t="s">
        <v>578</v>
      </c>
      <c r="AJ29" s="262">
        <f>VLOOKUP(AH28,'[80]Location Status'!$A$7:$D$178,4,0)</f>
        <v>433.65800000000002</v>
      </c>
      <c r="AK29" s="263"/>
      <c r="AL29" s="178" t="s">
        <v>577</v>
      </c>
      <c r="AM29" s="178" t="s">
        <v>578</v>
      </c>
      <c r="AN29" s="262">
        <f>VLOOKUP(AL28,'[80]Location Status'!$A$7:$D$178,4,0)</f>
        <v>405.41</v>
      </c>
      <c r="AO29" s="263"/>
      <c r="AP29" s="178" t="s">
        <v>577</v>
      </c>
      <c r="AQ29" s="178" t="s">
        <v>578</v>
      </c>
      <c r="AR29" s="254">
        <f>VLOOKUP(AP28,'[80]Location Status'!$A$7:$D$178,4,0)</f>
        <v>369.786</v>
      </c>
      <c r="AS29" s="254"/>
      <c r="AT29" s="176"/>
      <c r="AV29" s="246">
        <f>D29+H29+L29+P29+T29+X29+AB29+AF29+AJ29+AN29+AR29</f>
        <v>2390.420093309036</v>
      </c>
      <c r="AW29" s="246"/>
      <c r="AY29">
        <v>7</v>
      </c>
    </row>
    <row r="30" spans="1:52" x14ac:dyDescent="0.35">
      <c r="A30" s="144"/>
      <c r="B30" s="158"/>
      <c r="C30" s="158"/>
      <c r="F30" s="158"/>
      <c r="G30" s="158"/>
      <c r="J30" s="158"/>
      <c r="K30" s="158"/>
      <c r="N30" s="71" t="s">
        <v>581</v>
      </c>
      <c r="O30" s="71" t="s">
        <v>582</v>
      </c>
      <c r="R30" s="71" t="s">
        <v>581</v>
      </c>
      <c r="S30" s="71" t="s">
        <v>582</v>
      </c>
      <c r="V30" s="71" t="s">
        <v>581</v>
      </c>
      <c r="W30" s="71" t="s">
        <v>582</v>
      </c>
      <c r="Z30" s="71" t="s">
        <v>581</v>
      </c>
      <c r="AA30" s="71" t="s">
        <v>582</v>
      </c>
      <c r="AD30" s="71" t="s">
        <v>581</v>
      </c>
      <c r="AE30" s="71" t="s">
        <v>582</v>
      </c>
      <c r="AH30" s="71" t="s">
        <v>581</v>
      </c>
      <c r="AI30" s="71" t="s">
        <v>582</v>
      </c>
      <c r="AL30" s="71" t="s">
        <v>581</v>
      </c>
      <c r="AM30" s="71" t="s">
        <v>582</v>
      </c>
      <c r="AP30" s="71" t="s">
        <v>581</v>
      </c>
      <c r="AQ30" s="71" t="s">
        <v>582</v>
      </c>
      <c r="AT30" s="176"/>
      <c r="AV30" s="246"/>
      <c r="AW30" s="246"/>
    </row>
    <row r="31" spans="1:52" x14ac:dyDescent="0.35">
      <c r="A31" s="144"/>
      <c r="N31" s="238"/>
      <c r="O31" s="238"/>
      <c r="R31" s="238"/>
      <c r="S31" s="238"/>
      <c r="V31" s="238"/>
      <c r="W31" s="238"/>
      <c r="Z31" s="238"/>
      <c r="AA31" s="238"/>
      <c r="AD31" s="238"/>
      <c r="AE31" s="238"/>
      <c r="AH31" s="238"/>
      <c r="AI31" s="238"/>
      <c r="AL31" s="238"/>
      <c r="AM31" s="238"/>
      <c r="AP31" s="238"/>
      <c r="AQ31" s="238"/>
      <c r="AT31" s="176"/>
      <c r="AV31" s="246"/>
      <c r="AW31" s="246"/>
    </row>
    <row r="32" spans="1:52" x14ac:dyDescent="0.35">
      <c r="A32" s="144"/>
      <c r="F32" s="179"/>
      <c r="J32" s="172"/>
      <c r="K32" s="171"/>
      <c r="N32" s="257" t="str">
        <f>VLOOKUP(N28,'[80]Location Status'!$A$7:$D$178,3,0)</f>
        <v>GNT</v>
      </c>
      <c r="O32" s="258"/>
      <c r="R32" s="257" t="str">
        <f>VLOOKUP(R28,'[80]Location Status'!$A$7:$D$178,3,0)</f>
        <v>DD60+0</v>
      </c>
      <c r="S32" s="258"/>
      <c r="V32" s="257" t="str">
        <f>VLOOKUP(V28,'[80]Location Status'!$A$7:$D$178,3,0)</f>
        <v>DD60+0</v>
      </c>
      <c r="W32" s="258"/>
      <c r="Z32" s="257" t="str">
        <f>VLOOKUP(Z28,'[80]Location Status'!$A$7:$D$178,3,0)</f>
        <v>DD45+0</v>
      </c>
      <c r="AA32" s="258"/>
      <c r="AD32" s="180" t="str">
        <f>VLOOKUP(AD28,'[80]Location Status'!$A$7:$D$178,3,0)</f>
        <v>DD60+0</v>
      </c>
      <c r="AE32" s="68"/>
      <c r="AH32" s="257" t="str">
        <f>VLOOKUP(AH28,'[80]Location Status'!$A$7:$D$178,3,0)</f>
        <v>DA+3</v>
      </c>
      <c r="AI32" s="258"/>
      <c r="AL32" s="257" t="str">
        <f>VLOOKUP(AL28,'[80]Location Status'!$A$7:$D$178,3,0)</f>
        <v>DA+3</v>
      </c>
      <c r="AM32" s="258"/>
      <c r="AP32" s="257" t="str">
        <f>VLOOKUP(AP28,'[80]Location Status'!$A$7:$D$178,3,0)</f>
        <v>DB2+0</v>
      </c>
      <c r="AQ32" s="258"/>
      <c r="AT32" s="145"/>
      <c r="AV32" s="246"/>
      <c r="AW32" s="246"/>
    </row>
    <row r="33" spans="1:56" x14ac:dyDescent="0.35">
      <c r="A33" s="144"/>
      <c r="AT33" s="145"/>
      <c r="AV33" s="246"/>
      <c r="AW33" s="246"/>
    </row>
    <row r="34" spans="1:56" x14ac:dyDescent="0.35">
      <c r="A34" s="144"/>
      <c r="B34" s="221" t="s">
        <v>594</v>
      </c>
      <c r="C34" s="221"/>
      <c r="D34" s="221"/>
      <c r="E34" s="221"/>
      <c r="F34" s="221"/>
      <c r="G34" s="221"/>
      <c r="H34" s="221"/>
      <c r="I34" s="221"/>
      <c r="J34" s="221"/>
      <c r="K34" s="221"/>
      <c r="L34" s="221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  <c r="AB34" s="221"/>
      <c r="AC34" s="221"/>
      <c r="AD34" s="221"/>
      <c r="AE34" s="221"/>
      <c r="AF34" s="221"/>
      <c r="AG34" s="221"/>
      <c r="AH34" s="221"/>
      <c r="AI34" s="221"/>
      <c r="AJ34" s="221"/>
      <c r="AK34" s="221"/>
      <c r="AL34" s="221"/>
      <c r="AM34" s="221"/>
      <c r="AN34" s="221"/>
      <c r="AO34" s="221"/>
      <c r="AP34" s="221"/>
      <c r="AQ34" s="221"/>
      <c r="AR34" s="221"/>
      <c r="AS34" s="221"/>
      <c r="AT34" s="145"/>
      <c r="AV34" s="246"/>
      <c r="AW34" s="246"/>
    </row>
    <row r="35" spans="1:56" x14ac:dyDescent="0.35">
      <c r="A35" s="144"/>
      <c r="V35" s="160" t="s">
        <v>595</v>
      </c>
      <c r="AT35" s="145"/>
      <c r="AV35" s="246"/>
      <c r="AW35" s="246"/>
    </row>
    <row r="36" spans="1:56" x14ac:dyDescent="0.35">
      <c r="A36" s="170"/>
      <c r="B36" s="257" t="str">
        <f>VLOOKUP(B38,'[80]Location Status'!$A$7:$D$178,2,0)</f>
        <v>5/1</v>
      </c>
      <c r="C36" s="258"/>
      <c r="D36" s="171"/>
      <c r="E36" s="171"/>
      <c r="F36" s="257" t="str">
        <f>VLOOKUP(F38,'[80]Location Status'!$A$7:$D$178,2,0)</f>
        <v>5/2</v>
      </c>
      <c r="G36" s="258"/>
      <c r="H36" s="171"/>
      <c r="I36" s="171"/>
      <c r="J36" s="257" t="str">
        <f>VLOOKUP(J38,'[80]Location Status'!$A$7:$D$178,2,0)</f>
        <v>5/3</v>
      </c>
      <c r="K36" s="258"/>
      <c r="L36" s="171"/>
      <c r="M36" s="171"/>
      <c r="N36" s="257" t="str">
        <f>VLOOKUP(N38,'[80]Location Status'!$A$7:$D$178,2,0)</f>
        <v>5/4</v>
      </c>
      <c r="O36" s="258"/>
      <c r="P36" s="171"/>
      <c r="Q36" s="171"/>
      <c r="R36" s="257" t="str">
        <f>VLOOKUP(R38,'[80]Location Status'!$A$7:$D$178,2,0)</f>
        <v>5A/0</v>
      </c>
      <c r="S36" s="258"/>
      <c r="T36" s="171"/>
      <c r="U36" s="171"/>
      <c r="V36" s="257" t="str">
        <f>VLOOKUP(V38,'[80]Location Status'!$A$7:$D$178,2,0)</f>
        <v>5A/1</v>
      </c>
      <c r="W36" s="258"/>
      <c r="X36" s="171"/>
      <c r="Y36" s="171"/>
      <c r="Z36" s="257" t="str">
        <f>VLOOKUP(Z38,'[80]Location Status'!$A$7:$D$178,2,0)</f>
        <v>5A/2</v>
      </c>
      <c r="AA36" s="258"/>
      <c r="AB36" s="171"/>
      <c r="AC36" s="171"/>
      <c r="AD36" s="257" t="str">
        <f>VLOOKUP(AD38,'[80]Location Status'!$A$7:$D$178,2,0)</f>
        <v>5A/3</v>
      </c>
      <c r="AE36" s="258"/>
      <c r="AF36" s="171"/>
      <c r="AG36" s="171"/>
      <c r="AH36" s="257" t="str">
        <f>VLOOKUP(AH38,'[80]Location Status'!$A$7:$D$178,2,0)</f>
        <v>5A/4</v>
      </c>
      <c r="AI36" s="258"/>
      <c r="AJ36" s="171"/>
      <c r="AK36" s="171"/>
      <c r="AL36" s="257" t="str">
        <f>VLOOKUP(AL38,'[80]Location Status'!$A$7:$D$178,2,0)</f>
        <v>5B/0</v>
      </c>
      <c r="AM36" s="258"/>
      <c r="AN36" s="171"/>
      <c r="AO36" s="171"/>
      <c r="AP36" s="257" t="str">
        <f>VLOOKUP(AP38,'[80]Location Status'!$A$7:$D$178,2,0)</f>
        <v>5B/1</v>
      </c>
      <c r="AQ36" s="258"/>
      <c r="AR36" s="171"/>
      <c r="AS36" s="171"/>
      <c r="AT36" s="173"/>
      <c r="AU36" s="171"/>
      <c r="AV36" s="246"/>
      <c r="AW36" s="246"/>
      <c r="AX36" s="171"/>
      <c r="AY36" s="171"/>
      <c r="AZ36" s="171"/>
    </row>
    <row r="37" spans="1:56" x14ac:dyDescent="0.35">
      <c r="A37" s="144"/>
      <c r="AT37" s="145"/>
      <c r="AV37" s="246"/>
      <c r="AW37" s="246"/>
    </row>
    <row r="38" spans="1:56" s="175" customFormat="1" ht="12.5" x14ac:dyDescent="0.25">
      <c r="A38" s="174"/>
      <c r="B38" s="175">
        <f>1+AP28</f>
        <v>8</v>
      </c>
      <c r="F38" s="175">
        <f>1+B38</f>
        <v>9</v>
      </c>
      <c r="J38" s="175">
        <f>1+F38</f>
        <v>10</v>
      </c>
      <c r="N38" s="175">
        <f>1+J38</f>
        <v>11</v>
      </c>
      <c r="R38" s="175">
        <f>1+N38</f>
        <v>12</v>
      </c>
      <c r="V38" s="175">
        <f>1+R38</f>
        <v>13</v>
      </c>
      <c r="Z38" s="175">
        <f>1+V38</f>
        <v>14</v>
      </c>
      <c r="AD38" s="175">
        <f>1+Z38</f>
        <v>15</v>
      </c>
      <c r="AH38" s="175">
        <f>1+AD38</f>
        <v>16</v>
      </c>
      <c r="AL38" s="175">
        <f>1+AH38</f>
        <v>17</v>
      </c>
      <c r="AP38" s="175">
        <f>1+AL38</f>
        <v>18</v>
      </c>
      <c r="AT38" s="176"/>
      <c r="AV38" s="259"/>
      <c r="AW38" s="259"/>
    </row>
    <row r="39" spans="1:56" x14ac:dyDescent="0.35">
      <c r="A39" s="144"/>
      <c r="B39" s="71" t="s">
        <v>577</v>
      </c>
      <c r="C39" s="71" t="s">
        <v>578</v>
      </c>
      <c r="D39" s="262">
        <f>VLOOKUP(B38,'[80]Location Status'!$A$7:$D$178,4,0)</f>
        <v>390.072</v>
      </c>
      <c r="E39" s="263"/>
      <c r="F39" s="178" t="s">
        <v>577</v>
      </c>
      <c r="G39" s="178" t="s">
        <v>578</v>
      </c>
      <c r="H39" s="262">
        <f>VLOOKUP(F38,'[80]Location Status'!$A$7:$D$178,4,0)</f>
        <v>388.65199999999999</v>
      </c>
      <c r="I39" s="263"/>
      <c r="J39" s="178" t="s">
        <v>577</v>
      </c>
      <c r="K39" s="178" t="s">
        <v>578</v>
      </c>
      <c r="L39" s="262">
        <f>VLOOKUP(J38,'[80]Location Status'!$A$7:$D$178,4,0)</f>
        <v>404.43799999999999</v>
      </c>
      <c r="M39" s="263"/>
      <c r="N39" s="178" t="s">
        <v>577</v>
      </c>
      <c r="O39" s="178" t="s">
        <v>578</v>
      </c>
      <c r="P39" s="262">
        <f>VLOOKUP(N38,'[80]Location Status'!$A$7:$D$178,4,0)</f>
        <v>409.68200000000002</v>
      </c>
      <c r="Q39" s="263"/>
      <c r="R39" s="178" t="s">
        <v>577</v>
      </c>
      <c r="S39" s="178" t="s">
        <v>578</v>
      </c>
      <c r="T39" s="262">
        <f>VLOOKUP(R38,'[80]Location Status'!$A$7:$D$178,4,0)</f>
        <v>411.935</v>
      </c>
      <c r="U39" s="263"/>
      <c r="V39" s="178" t="s">
        <v>577</v>
      </c>
      <c r="W39" s="178" t="s">
        <v>578</v>
      </c>
      <c r="X39" s="262">
        <f>VLOOKUP(V38,'[80]Location Status'!$A$7:$D$178,4,0)</f>
        <v>405.87900000000002</v>
      </c>
      <c r="Y39" s="263"/>
      <c r="Z39" s="178" t="s">
        <v>577</v>
      </c>
      <c r="AA39" s="178" t="s">
        <v>578</v>
      </c>
      <c r="AB39" s="262">
        <f>VLOOKUP(Z38,'[80]Location Status'!$A$7:$D$178,4,0)</f>
        <v>419.55900000000003</v>
      </c>
      <c r="AC39" s="263"/>
      <c r="AD39" s="178" t="s">
        <v>577</v>
      </c>
      <c r="AE39" s="178" t="s">
        <v>578</v>
      </c>
      <c r="AF39" s="262">
        <f>VLOOKUP(AD38,'[80]Location Status'!$A$7:$D$178,4,0)</f>
        <v>384.86200000000002</v>
      </c>
      <c r="AG39" s="263"/>
      <c r="AH39" s="178" t="s">
        <v>577</v>
      </c>
      <c r="AI39" s="178" t="s">
        <v>578</v>
      </c>
      <c r="AJ39" s="262">
        <f>VLOOKUP(AH38,'[80]Location Status'!$A$7:$D$178,4,0)</f>
        <v>386.18400000000003</v>
      </c>
      <c r="AK39" s="263"/>
      <c r="AL39" s="181" t="s">
        <v>577</v>
      </c>
      <c r="AM39" s="181" t="s">
        <v>578</v>
      </c>
      <c r="AN39" s="262">
        <f>VLOOKUP(AL38,'[80]Location Status'!$A$7:$D$178,4,0)</f>
        <v>411.63900000000001</v>
      </c>
      <c r="AO39" s="263"/>
      <c r="AP39" s="181" t="s">
        <v>577</v>
      </c>
      <c r="AQ39" s="181" t="s">
        <v>578</v>
      </c>
      <c r="AR39" s="264">
        <f>VLOOKUP(AP38,'[80]Location Status'!$A$7:$D$178,4,0)</f>
        <v>411.35899999999998</v>
      </c>
      <c r="AS39" s="266"/>
      <c r="AT39" s="145"/>
      <c r="AV39" s="246">
        <f>D39+H39+L39+P39+T39+X39+AB39+AF39+AJ39+AN39+AR39</f>
        <v>4424.2610000000004</v>
      </c>
      <c r="AW39" s="246"/>
      <c r="AY39">
        <v>11</v>
      </c>
    </row>
    <row r="40" spans="1:56" x14ac:dyDescent="0.35">
      <c r="A40" s="144"/>
      <c r="B40" s="71" t="s">
        <v>581</v>
      </c>
      <c r="C40" s="71" t="s">
        <v>582</v>
      </c>
      <c r="F40" s="71" t="s">
        <v>581</v>
      </c>
      <c r="G40" s="71" t="s">
        <v>582</v>
      </c>
      <c r="J40" s="71" t="s">
        <v>581</v>
      </c>
      <c r="K40" s="71" t="s">
        <v>582</v>
      </c>
      <c r="N40" s="71" t="s">
        <v>581</v>
      </c>
      <c r="O40" s="71" t="s">
        <v>582</v>
      </c>
      <c r="R40" s="71" t="s">
        <v>581</v>
      </c>
      <c r="S40" s="71" t="s">
        <v>582</v>
      </c>
      <c r="V40" s="71" t="s">
        <v>581</v>
      </c>
      <c r="W40" s="71" t="s">
        <v>582</v>
      </c>
      <c r="Z40" s="71" t="s">
        <v>581</v>
      </c>
      <c r="AA40" s="71" t="s">
        <v>582</v>
      </c>
      <c r="AD40" s="71" t="s">
        <v>581</v>
      </c>
      <c r="AE40" s="71" t="s">
        <v>582</v>
      </c>
      <c r="AH40" s="71" t="s">
        <v>581</v>
      </c>
      <c r="AI40" s="71" t="s">
        <v>582</v>
      </c>
      <c r="AL40" s="157" t="s">
        <v>581</v>
      </c>
      <c r="AM40" s="157" t="s">
        <v>582</v>
      </c>
      <c r="AP40" s="157" t="s">
        <v>581</v>
      </c>
      <c r="AQ40" s="157" t="s">
        <v>582</v>
      </c>
      <c r="AT40" s="145"/>
      <c r="AV40" s="246"/>
      <c r="AW40" s="246"/>
    </row>
    <row r="41" spans="1:56" x14ac:dyDescent="0.35">
      <c r="A41" s="144"/>
      <c r="B41" s="238"/>
      <c r="C41" s="238"/>
      <c r="F41" s="238"/>
      <c r="G41" s="238"/>
      <c r="J41" s="238"/>
      <c r="K41" s="238"/>
      <c r="N41" s="238"/>
      <c r="O41" s="238"/>
      <c r="R41" s="238"/>
      <c r="S41" s="238"/>
      <c r="V41" s="238"/>
      <c r="W41" s="238"/>
      <c r="Z41" s="238"/>
      <c r="AA41" s="238"/>
      <c r="AD41" s="238"/>
      <c r="AE41" s="238"/>
      <c r="AH41" s="238"/>
      <c r="AI41" s="238"/>
      <c r="AL41" s="238"/>
      <c r="AM41" s="238"/>
      <c r="AP41" s="238" t="s">
        <v>596</v>
      </c>
      <c r="AQ41" s="238"/>
      <c r="AT41" s="145"/>
      <c r="AV41" s="246"/>
      <c r="AW41" s="246"/>
    </row>
    <row r="42" spans="1:56" x14ac:dyDescent="0.35">
      <c r="A42" s="144"/>
      <c r="B42" s="180" t="str">
        <f>VLOOKUP(B38,'[80]Location Status'!$A$7:$D$178,3,0)</f>
        <v>DA+0</v>
      </c>
      <c r="C42" s="68"/>
      <c r="F42" s="257" t="str">
        <f>VLOOKUP(F38,'[80]Location Status'!$A$7:$D$178,3,0)</f>
        <v>DA+0</v>
      </c>
      <c r="G42" s="258"/>
      <c r="J42" s="257" t="str">
        <f>VLOOKUP(J38,'[80]Location Status'!$A$7:$D$178,3,0)</f>
        <v>DA+0</v>
      </c>
      <c r="K42" s="258"/>
      <c r="N42" s="257" t="str">
        <f>VLOOKUP(N38,'[80]Location Status'!$A$7:$D$178,3,0)</f>
        <v>DA+3</v>
      </c>
      <c r="O42" s="258"/>
      <c r="R42" s="257" t="str">
        <f>VLOOKUP(R38,'[80]Location Status'!$A$7:$D$178,3,0)</f>
        <v>DC1+0</v>
      </c>
      <c r="S42" s="258"/>
      <c r="V42" s="257" t="str">
        <f>VLOOKUP(V38,'[80]Location Status'!$A$7:$D$178,3,0)</f>
        <v>DA+3</v>
      </c>
      <c r="W42" s="258"/>
      <c r="Z42" s="257" t="str">
        <f>VLOOKUP(Z38,'[80]Location Status'!$A$7:$D$178,3,0)</f>
        <v>DA+0</v>
      </c>
      <c r="AA42" s="258"/>
      <c r="AD42" s="257" t="str">
        <f>VLOOKUP(AD38,'[80]Location Status'!$A$7:$D$178,3,0)</f>
        <v>DA+3</v>
      </c>
      <c r="AE42" s="258"/>
      <c r="AH42" s="257" t="str">
        <f>VLOOKUP(AH38,'[80]Location Status'!$A$7:$D$178,3,0)</f>
        <v>DA+0</v>
      </c>
      <c r="AI42" s="258"/>
      <c r="AL42" s="257" t="str">
        <f>VLOOKUP(AL38,'[80]Location Status'!$A$7:$D$178,3,0)</f>
        <v>DB2+0</v>
      </c>
      <c r="AM42" s="258"/>
      <c r="AP42" s="257" t="str">
        <f>VLOOKUP(AP38,'[80]Location Status'!$A$7:$D$178,3,0)</f>
        <v>DA+3</v>
      </c>
      <c r="AQ42" s="258"/>
      <c r="AT42" s="145"/>
      <c r="AV42" s="246"/>
      <c r="AW42" s="246"/>
    </row>
    <row r="43" spans="1:56" x14ac:dyDescent="0.35">
      <c r="A43" s="144"/>
      <c r="Z43" s="168"/>
      <c r="AT43" s="145"/>
      <c r="AV43" s="246"/>
      <c r="AW43" s="246"/>
    </row>
    <row r="44" spans="1:56" x14ac:dyDescent="0.35">
      <c r="B44" s="221" t="s">
        <v>594</v>
      </c>
      <c r="C44" s="221"/>
      <c r="D44" s="221"/>
      <c r="E44" s="221"/>
      <c r="F44" s="221"/>
      <c r="G44" s="221"/>
      <c r="H44" s="221"/>
      <c r="I44" s="221"/>
      <c r="J44" s="221"/>
      <c r="K44" s="221"/>
      <c r="L44" s="221"/>
      <c r="M44" s="221"/>
      <c r="N44" s="221"/>
      <c r="O44" s="221"/>
      <c r="P44" s="221"/>
      <c r="Q44" s="221"/>
      <c r="R44" s="221"/>
      <c r="S44" s="221"/>
      <c r="T44" s="221"/>
      <c r="U44" s="221"/>
      <c r="V44" s="221"/>
      <c r="W44" s="221"/>
      <c r="X44" s="221"/>
      <c r="Y44" s="221"/>
      <c r="Z44" s="221"/>
      <c r="AA44" s="221"/>
      <c r="AB44" s="221"/>
      <c r="AC44" s="221"/>
      <c r="AD44" s="221"/>
      <c r="AE44" s="221"/>
      <c r="AF44" s="221"/>
      <c r="AG44" s="221"/>
      <c r="AH44" s="221"/>
      <c r="AI44" s="221"/>
      <c r="AJ44" s="221"/>
      <c r="AK44" s="221"/>
      <c r="AL44" s="221"/>
      <c r="AM44" s="221"/>
      <c r="AN44" s="221"/>
      <c r="AO44" s="221"/>
      <c r="AP44" s="221"/>
      <c r="AQ44" s="221"/>
      <c r="AR44" s="221"/>
      <c r="AS44" s="221"/>
      <c r="AT44" s="145"/>
      <c r="AV44" s="246"/>
      <c r="AW44" s="246"/>
    </row>
    <row r="45" spans="1:56" x14ac:dyDescent="0.35">
      <c r="A45" s="170"/>
      <c r="B45" s="257" t="str">
        <f>VLOOKUP(B47,'[80]Location Status'!$A$7:$D$178,2,0)</f>
        <v>5B/2</v>
      </c>
      <c r="C45" s="258"/>
      <c r="D45" s="171"/>
      <c r="E45" s="171"/>
      <c r="F45" s="257" t="str">
        <f>VLOOKUP(F47,'[80]Location Status'!$A$7:$D$178,2,0)</f>
        <v>5B/3</v>
      </c>
      <c r="G45" s="258"/>
      <c r="H45" s="171"/>
      <c r="I45" s="171"/>
      <c r="J45" s="257" t="str">
        <f>VLOOKUP(J47,'[80]Location Status'!$A$7:$D$178,2,0)</f>
        <v>5B/4</v>
      </c>
      <c r="K45" s="258"/>
      <c r="L45" s="171"/>
      <c r="M45" s="171"/>
      <c r="N45" s="257" t="str">
        <f>VLOOKUP(N47,'[80]Location Status'!$A$7:$D$178,2,0)</f>
        <v>5B/5</v>
      </c>
      <c r="O45" s="258"/>
      <c r="P45" s="171"/>
      <c r="Q45" s="171"/>
      <c r="R45" s="257" t="str">
        <f>VLOOKUP(R47,'[80]Location Status'!$A$7:$D$178,2,0)</f>
        <v>5B/6</v>
      </c>
      <c r="S45" s="258"/>
      <c r="T45" s="171"/>
      <c r="U45" s="171"/>
      <c r="V45" s="257" t="str">
        <f>VLOOKUP(V47,'[80]Location Status'!$A$7:$D$178,2,0)</f>
        <v>5B/7</v>
      </c>
      <c r="W45" s="258"/>
      <c r="X45" s="171"/>
      <c r="Y45" s="171"/>
      <c r="Z45" s="257" t="str">
        <f>VLOOKUP(Z47,'[80]Location Status'!$A$7:$D$178,2,0)</f>
        <v>5B/8</v>
      </c>
      <c r="AA45" s="258"/>
      <c r="AB45" s="171"/>
      <c r="AC45" s="171"/>
      <c r="AD45" s="257" t="str">
        <f>VLOOKUP(AD47,'[80]Location Status'!$A$7:$D$178,2,0)</f>
        <v>5B/9</v>
      </c>
      <c r="AE45" s="258"/>
      <c r="AF45" s="171"/>
      <c r="AG45" s="171"/>
      <c r="AH45" s="257" t="str">
        <f>VLOOKUP(AH47,'[80]Location Status'!$A$7:$D$178,2,0)</f>
        <v>5B/10</v>
      </c>
      <c r="AI45" s="258"/>
      <c r="AJ45" s="171"/>
      <c r="AK45" s="171"/>
      <c r="AL45" s="257" t="str">
        <f>VLOOKUP(AL47,'[80]Location Status'!$A$7:$D$178,2,0)</f>
        <v>5B/11</v>
      </c>
      <c r="AM45" s="258"/>
      <c r="AN45" s="171"/>
      <c r="AO45" s="171"/>
      <c r="AP45" s="257" t="str">
        <f>VLOOKUP(AP47,'[80]Location Status'!$A$7:$D$178,2,0)</f>
        <v>5C/0</v>
      </c>
      <c r="AQ45" s="258"/>
      <c r="AT45" s="145"/>
      <c r="AU45" s="171"/>
      <c r="AV45" s="246"/>
      <c r="AW45" s="246"/>
      <c r="AX45" s="171"/>
      <c r="AY45" s="171"/>
      <c r="AZ45" s="171"/>
    </row>
    <row r="46" spans="1:56" x14ac:dyDescent="0.35">
      <c r="A46" s="144"/>
      <c r="AT46" s="145"/>
      <c r="AV46" s="246"/>
      <c r="AW46" s="246"/>
    </row>
    <row r="47" spans="1:56" s="175" customFormat="1" ht="12.5" x14ac:dyDescent="0.25">
      <c r="A47" s="174"/>
      <c r="B47" s="175">
        <f>1+AP38</f>
        <v>19</v>
      </c>
      <c r="F47" s="175">
        <f>1+B47</f>
        <v>20</v>
      </c>
      <c r="J47" s="175">
        <f>1+F47</f>
        <v>21</v>
      </c>
      <c r="N47" s="175">
        <f>1+J47</f>
        <v>22</v>
      </c>
      <c r="R47" s="175">
        <f>1+N47</f>
        <v>23</v>
      </c>
      <c r="V47" s="175">
        <f>1+R47</f>
        <v>24</v>
      </c>
      <c r="Z47" s="175">
        <f>1+V47</f>
        <v>25</v>
      </c>
      <c r="AD47" s="175">
        <f>1+Z47</f>
        <v>26</v>
      </c>
      <c r="AH47" s="175">
        <f>1+AD47</f>
        <v>27</v>
      </c>
      <c r="AL47" s="175">
        <f>1+AH47</f>
        <v>28</v>
      </c>
      <c r="AP47" s="175">
        <f>1+AL47</f>
        <v>29</v>
      </c>
      <c r="AT47" s="176"/>
      <c r="AV47" s="259"/>
      <c r="AW47" s="259"/>
    </row>
    <row r="48" spans="1:56" x14ac:dyDescent="0.35">
      <c r="A48" s="144"/>
      <c r="B48" s="157" t="s">
        <v>577</v>
      </c>
      <c r="C48" s="157" t="s">
        <v>578</v>
      </c>
      <c r="D48" s="262">
        <f>VLOOKUP(B47,'[80]Location Status'!$A$7:$D$178,4,0)</f>
        <v>423.904</v>
      </c>
      <c r="E48" s="263"/>
      <c r="F48" s="182" t="s">
        <v>577</v>
      </c>
      <c r="G48" s="182" t="s">
        <v>578</v>
      </c>
      <c r="H48" s="262">
        <f>VLOOKUP(F47,'[80]Location Status'!$A$7:$D$178,4,0)</f>
        <v>412</v>
      </c>
      <c r="I48" s="263"/>
      <c r="J48" s="182" t="s">
        <v>577</v>
      </c>
      <c r="K48" s="182" t="s">
        <v>578</v>
      </c>
      <c r="L48" s="262">
        <f>VLOOKUP(J47,'[80]Location Status'!$A$7:$D$178,4,0)</f>
        <v>428.06099999999998</v>
      </c>
      <c r="M48" s="263"/>
      <c r="N48" s="181" t="s">
        <v>577</v>
      </c>
      <c r="O48" s="181" t="s">
        <v>578</v>
      </c>
      <c r="P48" s="262">
        <f>VLOOKUP(N47,'[80]Location Status'!$A$7:$D$178,4,0)</f>
        <v>407.06799999999998</v>
      </c>
      <c r="Q48" s="263"/>
      <c r="R48" s="178" t="s">
        <v>577</v>
      </c>
      <c r="S48" s="178" t="s">
        <v>578</v>
      </c>
      <c r="T48" s="262">
        <f>VLOOKUP(R47,'[80]Location Status'!$A$7:$D$178,4,0)</f>
        <v>431.339</v>
      </c>
      <c r="U48" s="263"/>
      <c r="V48" s="182" t="s">
        <v>577</v>
      </c>
      <c r="W48" s="182" t="s">
        <v>578</v>
      </c>
      <c r="X48" s="262">
        <f>VLOOKUP(V47,'[80]Location Status'!$A$7:$D$178,4,0)</f>
        <v>397.42700000000002</v>
      </c>
      <c r="Y48" s="263"/>
      <c r="Z48" s="182" t="s">
        <v>577</v>
      </c>
      <c r="AA48" s="182" t="s">
        <v>578</v>
      </c>
      <c r="AB48" s="262">
        <f>VLOOKUP(Z47,'[80]Location Status'!$A$7:$D$178,4,0)</f>
        <v>412.54300000000001</v>
      </c>
      <c r="AC48" s="263"/>
      <c r="AD48" s="182" t="s">
        <v>577</v>
      </c>
      <c r="AE48" s="182" t="s">
        <v>578</v>
      </c>
      <c r="AF48" s="264">
        <f>VLOOKUP(AD47,'[80]Location Status'!$A$7:$D$178,4,0)</f>
        <v>406.31599999999997</v>
      </c>
      <c r="AG48" s="265"/>
      <c r="AH48" s="182" t="s">
        <v>577</v>
      </c>
      <c r="AI48" s="182" t="s">
        <v>578</v>
      </c>
      <c r="AJ48" s="262">
        <f>VLOOKUP(AH47,'[80]Location Status'!$A$7:$D$178,4,0)</f>
        <v>431.584</v>
      </c>
      <c r="AK48" s="263"/>
      <c r="AL48" s="181" t="s">
        <v>577</v>
      </c>
      <c r="AM48" s="181" t="s">
        <v>578</v>
      </c>
      <c r="AN48" s="262">
        <f>VLOOKUP(AL47,'[80]Location Status'!$A$7:$D$178,4,0)</f>
        <v>406.78300000000002</v>
      </c>
      <c r="AO48" s="263"/>
      <c r="AP48" s="181" t="s">
        <v>577</v>
      </c>
      <c r="AQ48" s="181" t="s">
        <v>578</v>
      </c>
      <c r="AR48" s="262">
        <f>VLOOKUP(AP47,'[80]Location Status'!$A$7:$D$178,4,0)</f>
        <v>481.77699999999999</v>
      </c>
      <c r="AS48" s="254"/>
      <c r="AT48" s="145"/>
      <c r="AV48" s="246">
        <f>D48+H48+L48+P48+T48+X48+AB48+AF48+AJ48+AN48+AR48</f>
        <v>4638.8019999999997</v>
      </c>
      <c r="AW48" s="246"/>
      <c r="AY48">
        <v>11</v>
      </c>
      <c r="BB48" s="183"/>
      <c r="BC48" s="184"/>
      <c r="BD48" s="185"/>
    </row>
    <row r="49" spans="1:56" x14ac:dyDescent="0.35">
      <c r="A49" s="144"/>
      <c r="B49" s="157" t="s">
        <v>581</v>
      </c>
      <c r="C49" s="157" t="s">
        <v>582</v>
      </c>
      <c r="F49" s="156" t="s">
        <v>581</v>
      </c>
      <c r="G49" s="156" t="s">
        <v>582</v>
      </c>
      <c r="J49" s="156" t="s">
        <v>581</v>
      </c>
      <c r="K49" s="156" t="s">
        <v>582</v>
      </c>
      <c r="N49" s="157" t="s">
        <v>581</v>
      </c>
      <c r="O49" s="157" t="s">
        <v>582</v>
      </c>
      <c r="R49" s="71" t="s">
        <v>581</v>
      </c>
      <c r="S49" s="71" t="s">
        <v>582</v>
      </c>
      <c r="V49" s="156" t="s">
        <v>581</v>
      </c>
      <c r="W49" s="156" t="s">
        <v>582</v>
      </c>
      <c r="Z49" s="156" t="s">
        <v>581</v>
      </c>
      <c r="AA49" s="156" t="s">
        <v>582</v>
      </c>
      <c r="AD49" s="156" t="s">
        <v>581</v>
      </c>
      <c r="AE49" s="156" t="s">
        <v>582</v>
      </c>
      <c r="AH49" s="156" t="s">
        <v>581</v>
      </c>
      <c r="AI49" s="156" t="s">
        <v>582</v>
      </c>
      <c r="AL49" s="157" t="s">
        <v>581</v>
      </c>
      <c r="AM49" s="157" t="s">
        <v>582</v>
      </c>
      <c r="AP49" s="157" t="s">
        <v>581</v>
      </c>
      <c r="AQ49" s="157" t="s">
        <v>582</v>
      </c>
      <c r="AT49" s="145"/>
      <c r="AV49" s="246"/>
      <c r="AW49" s="246"/>
      <c r="BB49" s="183"/>
      <c r="BC49" s="184"/>
      <c r="BD49" s="185"/>
    </row>
    <row r="50" spans="1:56" x14ac:dyDescent="0.35">
      <c r="A50" s="144"/>
      <c r="B50" s="238" t="s">
        <v>596</v>
      </c>
      <c r="C50" s="238"/>
      <c r="F50" s="238" t="s">
        <v>441</v>
      </c>
      <c r="G50" s="238"/>
      <c r="J50" s="238" t="s">
        <v>441</v>
      </c>
      <c r="K50" s="238"/>
      <c r="N50" s="238" t="s">
        <v>441</v>
      </c>
      <c r="O50" s="238"/>
      <c r="R50" s="238"/>
      <c r="S50" s="238"/>
      <c r="V50" s="238" t="s">
        <v>441</v>
      </c>
      <c r="W50" s="238"/>
      <c r="Z50" s="238" t="s">
        <v>596</v>
      </c>
      <c r="AA50" s="238"/>
      <c r="AD50" s="238" t="s">
        <v>441</v>
      </c>
      <c r="AE50" s="238"/>
      <c r="AH50" s="238" t="s">
        <v>596</v>
      </c>
      <c r="AI50" s="238"/>
      <c r="AL50" s="238" t="s">
        <v>441</v>
      </c>
      <c r="AM50" s="238"/>
      <c r="AP50" s="238"/>
      <c r="AQ50" s="238"/>
      <c r="AT50" s="145"/>
      <c r="AV50" s="246"/>
      <c r="AW50" s="246"/>
      <c r="BB50" s="183"/>
      <c r="BC50" s="184"/>
      <c r="BD50" s="185"/>
    </row>
    <row r="51" spans="1:56" x14ac:dyDescent="0.35">
      <c r="A51" s="144"/>
      <c r="B51" s="180" t="str">
        <f>VLOOKUP(B47,'[80]Location Status'!$A$7:$D$178,3,0)</f>
        <v>DA+0</v>
      </c>
      <c r="C51" s="68"/>
      <c r="F51" s="180" t="str">
        <f>VLOOKUP(F47,'[80]Location Status'!$A$7:$D$178,3,0)</f>
        <v>DA+6</v>
      </c>
      <c r="G51" s="186"/>
      <c r="H51" s="187"/>
      <c r="I51" s="187"/>
      <c r="J51" s="180" t="str">
        <f>VLOOKUP(J47,'[80]Location Status'!$A$7:$D$178,3,0)</f>
        <v>DA+3</v>
      </c>
      <c r="K51" s="186"/>
      <c r="L51" s="187"/>
      <c r="M51" s="187"/>
      <c r="N51" s="180" t="str">
        <f>VLOOKUP(N47,'[80]Location Status'!$A$7:$D$178,3,0)</f>
        <v>DA+3</v>
      </c>
      <c r="O51" s="186"/>
      <c r="P51" s="187"/>
      <c r="Q51" s="187"/>
      <c r="R51" s="180" t="str">
        <f>VLOOKUP(R47,'[80]Location Status'!$A$7:$D$178,3,0)</f>
        <v>DA+3</v>
      </c>
      <c r="S51" s="186"/>
      <c r="T51" s="187"/>
      <c r="U51" s="187"/>
      <c r="V51" s="180" t="str">
        <f>VLOOKUP(V47,'[80]Location Status'!$A$7:$D$178,3,0)</f>
        <v>DA+6</v>
      </c>
      <c r="W51" s="186"/>
      <c r="X51" s="187"/>
      <c r="Y51" s="187"/>
      <c r="Z51" s="180" t="str">
        <f>VLOOKUP(Z47,'[80]Location Status'!$A$7:$D$178,3,0)</f>
        <v>DA+0</v>
      </c>
      <c r="AA51" s="186"/>
      <c r="AB51" s="187"/>
      <c r="AC51" s="187"/>
      <c r="AD51" s="180" t="str">
        <f>VLOOKUP(AD47,'[80]Location Status'!$A$7:$D$178,3,0)</f>
        <v>DA+3</v>
      </c>
      <c r="AE51" s="186"/>
      <c r="AF51" s="187"/>
      <c r="AG51" s="187"/>
      <c r="AH51" s="180" t="str">
        <f>VLOOKUP(AH47,'[80]Location Status'!$A$7:$D$178,3,0)</f>
        <v>DA+3</v>
      </c>
      <c r="AI51" s="186"/>
      <c r="AJ51" s="187"/>
      <c r="AK51" s="187"/>
      <c r="AL51" s="180" t="str">
        <f>VLOOKUP(AL47,'[80]Location Status'!$A$7:$D$178,3,0)</f>
        <v>DA+3</v>
      </c>
      <c r="AM51" s="186"/>
      <c r="AN51" s="187"/>
      <c r="AO51" s="187"/>
      <c r="AP51" s="180" t="str">
        <f>VLOOKUP(AP47,'[80]Location Status'!$A$7:$D$178,3,0)</f>
        <v>DC1+9</v>
      </c>
      <c r="AQ51" s="186"/>
      <c r="AT51" s="145"/>
      <c r="AV51" s="246"/>
      <c r="AW51" s="246"/>
      <c r="BB51" s="183"/>
      <c r="BC51" s="184"/>
      <c r="BD51" s="185"/>
    </row>
    <row r="52" spans="1:56" x14ac:dyDescent="0.35">
      <c r="A52" s="144"/>
      <c r="B52" s="158"/>
      <c r="C52" s="158"/>
      <c r="F52" s="158"/>
      <c r="G52" s="158"/>
      <c r="J52" s="158"/>
      <c r="K52" s="158"/>
      <c r="N52" s="158"/>
      <c r="O52" s="158"/>
      <c r="R52" s="158"/>
      <c r="S52" s="187"/>
      <c r="V52" s="158"/>
      <c r="W52" s="158"/>
      <c r="AA52" s="158"/>
      <c r="AD52" s="158"/>
      <c r="AE52" s="158"/>
      <c r="AH52" s="158"/>
      <c r="AI52" s="158"/>
      <c r="AL52" s="158"/>
      <c r="AM52" s="158"/>
      <c r="AP52" s="158"/>
      <c r="AQ52" s="158"/>
      <c r="AT52" s="145"/>
      <c r="AV52" s="246"/>
      <c r="AW52" s="246"/>
    </row>
    <row r="53" spans="1:56" x14ac:dyDescent="0.35">
      <c r="B53" s="221" t="s">
        <v>594</v>
      </c>
      <c r="C53" s="221"/>
      <c r="D53" s="221"/>
      <c r="E53" s="221"/>
      <c r="F53" s="221"/>
      <c r="G53" s="221"/>
      <c r="H53" s="221"/>
      <c r="I53" s="221"/>
      <c r="J53" s="221"/>
      <c r="K53" s="221"/>
      <c r="L53" s="221"/>
      <c r="M53" s="221"/>
      <c r="N53" s="221"/>
      <c r="AT53" s="145"/>
      <c r="AV53" s="246"/>
      <c r="AW53" s="246"/>
    </row>
    <row r="54" spans="1:56" x14ac:dyDescent="0.35">
      <c r="A54" s="170"/>
      <c r="B54" s="257" t="str">
        <f>VLOOKUP(B56,'[80]Location Status'!$A$7:$D$178,2,0)</f>
        <v>5C/1</v>
      </c>
      <c r="C54" s="258"/>
      <c r="D54" s="171"/>
      <c r="E54" s="171"/>
      <c r="F54" s="257" t="str">
        <f>VLOOKUP(F56,'[80]Location Status'!$A$7:$D$178,2,0)</f>
        <v>5C/2</v>
      </c>
      <c r="G54" s="258"/>
      <c r="H54" s="171"/>
      <c r="I54" s="171"/>
      <c r="J54" s="257" t="str">
        <f>VLOOKUP(J56,'[80]Location Status'!$A$7:$D$178,2,0)</f>
        <v>5C/3</v>
      </c>
      <c r="K54" s="258"/>
      <c r="L54" s="171"/>
      <c r="M54" s="171"/>
      <c r="N54" s="257" t="str">
        <f>VLOOKUP(N56,'[80]Location Status'!$A$7:$D$178,2,0)</f>
        <v>6/0</v>
      </c>
      <c r="O54" s="258"/>
      <c r="P54" s="171"/>
      <c r="Q54" s="171"/>
      <c r="R54" s="257" t="str">
        <f>VLOOKUP(R56,'[80]Location Status'!$A$7:$D$178,2,0)</f>
        <v>7/0</v>
      </c>
      <c r="S54" s="258"/>
      <c r="T54" s="171"/>
      <c r="U54" s="171"/>
      <c r="V54" s="257" t="str">
        <f>VLOOKUP(V56,'[80]Location Status'!$A$7:$D$178,2,0)</f>
        <v>7/1</v>
      </c>
      <c r="W54" s="258"/>
      <c r="X54" s="171"/>
      <c r="Y54" s="171"/>
      <c r="Z54" s="257" t="str">
        <f>VLOOKUP(Z56,'[80]Location Status'!$A$7:$D$178,2,0)</f>
        <v>7/2</v>
      </c>
      <c r="AA54" s="258"/>
      <c r="AB54" s="171"/>
      <c r="AC54" s="171"/>
      <c r="AD54" s="257" t="str">
        <f>VLOOKUP(AD56,'[80]Location Status'!$A$7:$D$178,2,0)</f>
        <v>8/0</v>
      </c>
      <c r="AE54" s="258"/>
      <c r="AF54" s="171"/>
      <c r="AG54" s="171"/>
      <c r="AH54" s="257" t="str">
        <f>VLOOKUP(AH56,'[80]Location Status'!$A$7:$D$178,2,0)</f>
        <v>8/1</v>
      </c>
      <c r="AI54" s="258"/>
      <c r="AJ54" s="171"/>
      <c r="AK54" s="171"/>
      <c r="AL54" s="257" t="str">
        <f>VLOOKUP(AL56,'[80]Location Status'!$A$7:$D$178,2,0)</f>
        <v>8/2</v>
      </c>
      <c r="AM54" s="258"/>
      <c r="AN54" s="171"/>
      <c r="AO54" s="171"/>
      <c r="AP54" s="257" t="str">
        <f>VLOOKUP(AP56,'[80]Location Status'!$A$7:$D$178,2,0)</f>
        <v>8/3</v>
      </c>
      <c r="AQ54" s="258"/>
      <c r="AR54" s="171"/>
      <c r="AS54" s="171"/>
      <c r="AT54" s="173"/>
      <c r="AU54" s="171"/>
      <c r="AV54" s="246"/>
      <c r="AW54" s="246"/>
      <c r="AX54" s="171"/>
      <c r="AY54" s="171"/>
      <c r="AZ54" s="171"/>
    </row>
    <row r="55" spans="1:56" x14ac:dyDescent="0.35">
      <c r="A55" s="144"/>
      <c r="AT55" s="145"/>
      <c r="AV55" s="246"/>
      <c r="AW55" s="246"/>
    </row>
    <row r="56" spans="1:56" s="175" customFormat="1" ht="12.5" x14ac:dyDescent="0.25">
      <c r="A56" s="174"/>
      <c r="B56" s="175">
        <f>1+AP47</f>
        <v>30</v>
      </c>
      <c r="F56" s="175">
        <f>1+B56</f>
        <v>31</v>
      </c>
      <c r="J56" s="175">
        <f>1+F56</f>
        <v>32</v>
      </c>
      <c r="N56" s="175">
        <f>1+J56</f>
        <v>33</v>
      </c>
      <c r="R56" s="175">
        <f>1+N56</f>
        <v>34</v>
      </c>
      <c r="V56" s="175">
        <f>1+R56</f>
        <v>35</v>
      </c>
      <c r="Z56" s="175">
        <f>1+V56</f>
        <v>36</v>
      </c>
      <c r="AD56" s="175">
        <f>1+Z56</f>
        <v>37</v>
      </c>
      <c r="AH56" s="175">
        <f>1+AD56</f>
        <v>38</v>
      </c>
      <c r="AL56" s="175">
        <f>1+AH56</f>
        <v>39</v>
      </c>
      <c r="AP56" s="175">
        <f>1+AL56</f>
        <v>40</v>
      </c>
      <c r="AT56" s="176"/>
      <c r="AV56" s="259"/>
      <c r="AW56" s="259"/>
    </row>
    <row r="57" spans="1:56" x14ac:dyDescent="0.35">
      <c r="A57" s="144"/>
      <c r="B57" s="157" t="s">
        <v>577</v>
      </c>
      <c r="C57" s="157" t="s">
        <v>578</v>
      </c>
      <c r="D57" s="262">
        <f>VLOOKUP(B56,'[80]Location Status'!$A$7:$D$178,4,0)</f>
        <v>357.09899999999999</v>
      </c>
      <c r="E57" s="263"/>
      <c r="F57" s="182" t="s">
        <v>577</v>
      </c>
      <c r="G57" s="182" t="s">
        <v>578</v>
      </c>
      <c r="H57" s="262">
        <f>VLOOKUP(F56,'[80]Location Status'!$A$7:$D$178,4,0)</f>
        <v>479.70499999999998</v>
      </c>
      <c r="I57" s="263"/>
      <c r="J57" s="178" t="s">
        <v>577</v>
      </c>
      <c r="K57" s="178" t="s">
        <v>578</v>
      </c>
      <c r="L57" s="262">
        <f>VLOOKUP(J56,'[80]Location Status'!$A$7:$D$178,4,0)</f>
        <v>343.28800000000001</v>
      </c>
      <c r="M57" s="263"/>
      <c r="N57" s="178" t="s">
        <v>577</v>
      </c>
      <c r="O57" s="178" t="s">
        <v>578</v>
      </c>
      <c r="P57" s="264">
        <f>VLOOKUP(N56,'[80]Location Status'!$A$7:$D$178,4,0)</f>
        <v>233.81</v>
      </c>
      <c r="Q57" s="265"/>
      <c r="R57" s="178" t="s">
        <v>577</v>
      </c>
      <c r="S57" s="178" t="s">
        <v>578</v>
      </c>
      <c r="T57" s="262">
        <f>VLOOKUP(R56,'[80]Location Status'!$A$7:$D$178,4,0)</f>
        <v>370.22199999999998</v>
      </c>
      <c r="U57" s="263"/>
      <c r="V57" s="178" t="s">
        <v>577</v>
      </c>
      <c r="W57" s="178" t="s">
        <v>578</v>
      </c>
      <c r="X57" s="262">
        <f>VLOOKUP(V56,'[80]Location Status'!$A$7:$D$178,4,0)</f>
        <v>361.27300000000002</v>
      </c>
      <c r="Y57" s="263"/>
      <c r="Z57" s="182" t="s">
        <v>577</v>
      </c>
      <c r="AA57" s="182" t="s">
        <v>578</v>
      </c>
      <c r="AB57" s="262">
        <f>VLOOKUP(Z56,'[80]Location Status'!$A$7:$D$178,4,0)</f>
        <v>424.95800000000003</v>
      </c>
      <c r="AC57" s="263"/>
      <c r="AD57" s="182" t="s">
        <v>577</v>
      </c>
      <c r="AE57" s="182" t="s">
        <v>578</v>
      </c>
      <c r="AF57" s="264">
        <f>VLOOKUP(AD56,'[80]Location Status'!$A$7:$D$178,4,0)</f>
        <v>385.685</v>
      </c>
      <c r="AG57" s="265"/>
      <c r="AH57" s="182" t="s">
        <v>577</v>
      </c>
      <c r="AI57" s="182" t="s">
        <v>578</v>
      </c>
      <c r="AJ57" s="262">
        <f>VLOOKUP(AH56,'[80]Location Status'!$A$7:$D$178,4,0)</f>
        <v>365.00299999999999</v>
      </c>
      <c r="AK57" s="263"/>
      <c r="AL57" s="182" t="s">
        <v>577</v>
      </c>
      <c r="AM57" s="182" t="s">
        <v>578</v>
      </c>
      <c r="AN57" s="262">
        <f>VLOOKUP(AL56,'[80]Location Status'!$A$7:$D$178,4,0)</f>
        <v>345.87700000000001</v>
      </c>
      <c r="AO57" s="263"/>
      <c r="AP57" s="182" t="s">
        <v>577</v>
      </c>
      <c r="AQ57" s="182" t="s">
        <v>578</v>
      </c>
      <c r="AR57" s="262">
        <f>VLOOKUP(AP56,'[80]Location Status'!$A$7:$D$178,4,0)</f>
        <v>346.53800000000001</v>
      </c>
      <c r="AS57" s="254"/>
      <c r="AT57" s="145"/>
      <c r="AV57" s="246">
        <f>D57+H57+L57+P57+T57+X57+AB57+AF57+AJ57+AN57+AR57</f>
        <v>4013.4580000000001</v>
      </c>
      <c r="AW57" s="246"/>
      <c r="AY57">
        <v>11</v>
      </c>
      <c r="BB57" s="183"/>
      <c r="BC57" s="184"/>
      <c r="BD57" s="185"/>
    </row>
    <row r="58" spans="1:56" x14ac:dyDescent="0.35">
      <c r="A58" s="144"/>
      <c r="B58" s="157" t="s">
        <v>581</v>
      </c>
      <c r="C58" s="157" t="s">
        <v>582</v>
      </c>
      <c r="F58" s="156" t="s">
        <v>581</v>
      </c>
      <c r="G58" s="156" t="s">
        <v>582</v>
      </c>
      <c r="J58" s="71" t="s">
        <v>581</v>
      </c>
      <c r="K58" s="71" t="s">
        <v>582</v>
      </c>
      <c r="N58" s="71" t="s">
        <v>581</v>
      </c>
      <c r="O58" s="71" t="s">
        <v>582</v>
      </c>
      <c r="R58" s="71" t="s">
        <v>581</v>
      </c>
      <c r="S58" s="71" t="s">
        <v>582</v>
      </c>
      <c r="V58" s="71" t="s">
        <v>581</v>
      </c>
      <c r="W58" s="71" t="s">
        <v>582</v>
      </c>
      <c r="Z58" s="156" t="s">
        <v>581</v>
      </c>
      <c r="AA58" s="156" t="s">
        <v>582</v>
      </c>
      <c r="AD58" s="156" t="s">
        <v>581</v>
      </c>
      <c r="AE58" s="156" t="s">
        <v>582</v>
      </c>
      <c r="AH58" s="156" t="s">
        <v>581</v>
      </c>
      <c r="AI58" s="156" t="s">
        <v>582</v>
      </c>
      <c r="AL58" s="156" t="s">
        <v>581</v>
      </c>
      <c r="AM58" s="156" t="s">
        <v>582</v>
      </c>
      <c r="AP58" s="156" t="s">
        <v>581</v>
      </c>
      <c r="AQ58" s="156" t="s">
        <v>582</v>
      </c>
      <c r="AT58" s="145"/>
      <c r="AV58" s="246"/>
      <c r="AW58" s="246"/>
      <c r="BB58" s="183"/>
      <c r="BC58" s="184"/>
      <c r="BD58" s="185"/>
    </row>
    <row r="59" spans="1:56" x14ac:dyDescent="0.35">
      <c r="A59" s="144"/>
      <c r="B59" s="238" t="s">
        <v>441</v>
      </c>
      <c r="C59" s="238"/>
      <c r="F59" s="238" t="s">
        <v>441</v>
      </c>
      <c r="G59" s="238"/>
      <c r="J59" s="238"/>
      <c r="K59" s="238"/>
      <c r="N59" s="238"/>
      <c r="O59" s="238"/>
      <c r="R59" s="238"/>
      <c r="S59" s="238"/>
      <c r="V59" s="238"/>
      <c r="W59" s="238"/>
      <c r="Z59" s="252" t="s">
        <v>441</v>
      </c>
      <c r="AA59" s="253"/>
      <c r="AD59" s="238" t="s">
        <v>441</v>
      </c>
      <c r="AE59" s="238"/>
      <c r="AH59" s="238" t="s">
        <v>441</v>
      </c>
      <c r="AI59" s="238"/>
      <c r="AL59" s="238" t="s">
        <v>441</v>
      </c>
      <c r="AM59" s="238"/>
      <c r="AP59" s="238" t="s">
        <v>596</v>
      </c>
      <c r="AQ59" s="238"/>
      <c r="AT59" s="145"/>
      <c r="AV59" s="246"/>
      <c r="AW59" s="246"/>
      <c r="BB59" s="183"/>
      <c r="BC59" s="184"/>
      <c r="BD59" s="185"/>
    </row>
    <row r="60" spans="1:56" x14ac:dyDescent="0.35">
      <c r="A60" s="144"/>
      <c r="B60" s="180" t="str">
        <f>VLOOKUP(B56,'[80]Location Status'!$A$7:$D$178,3,0)</f>
        <v>DA+9</v>
      </c>
      <c r="C60" s="68"/>
      <c r="F60" s="180" t="str">
        <f>VLOOKUP(F56,'[80]Location Status'!$A$7:$D$178,3,0)</f>
        <v>DA+6</v>
      </c>
      <c r="G60" s="186"/>
      <c r="H60" s="187"/>
      <c r="I60" s="187"/>
      <c r="J60" s="180" t="str">
        <f>VLOOKUP(J56,'[80]Location Status'!$A$7:$D$178,3,0)</f>
        <v>DA+6</v>
      </c>
      <c r="K60" s="186"/>
      <c r="L60" s="187"/>
      <c r="M60" s="187"/>
      <c r="N60" s="180" t="str">
        <f>VLOOKUP(N56,'[80]Location Status'!$A$7:$D$178,3,0)</f>
        <v>DC2+6</v>
      </c>
      <c r="O60" s="186"/>
      <c r="P60" s="187"/>
      <c r="Q60" s="187"/>
      <c r="R60" s="180" t="str">
        <f>VLOOKUP(R56,'[80]Location Status'!$A$7:$D$178,3,0)</f>
        <v>DD45+6</v>
      </c>
      <c r="S60" s="186"/>
      <c r="T60" s="187"/>
      <c r="U60" s="187"/>
      <c r="V60" s="180" t="str">
        <f>VLOOKUP(V56,'[80]Location Status'!$A$7:$D$178,3,0)</f>
        <v>DA-3</v>
      </c>
      <c r="W60" s="186"/>
      <c r="X60" s="187"/>
      <c r="Y60" s="187"/>
      <c r="Z60" s="180" t="str">
        <f>VLOOKUP(Z56,'[80]Location Status'!$A$7:$D$178,3,0)</f>
        <v>DA+3</v>
      </c>
      <c r="AA60" s="186"/>
      <c r="AB60" s="187"/>
      <c r="AC60" s="187"/>
      <c r="AD60" s="180" t="str">
        <f>VLOOKUP(AD56,'[80]Location Status'!$A$7:$D$178,3,0)</f>
        <v>DC1+0</v>
      </c>
      <c r="AE60" s="186"/>
      <c r="AF60" s="187"/>
      <c r="AG60" s="187"/>
      <c r="AH60" s="180" t="str">
        <f>VLOOKUP(AH56,'[80]Location Status'!$A$7:$D$178,3,0)</f>
        <v>DA+0</v>
      </c>
      <c r="AI60" s="186"/>
      <c r="AJ60" s="187"/>
      <c r="AK60" s="187"/>
      <c r="AL60" s="180" t="str">
        <f>VLOOKUP(AL56,'[80]Location Status'!$A$7:$D$178,3,0)</f>
        <v>DA-3</v>
      </c>
      <c r="AM60" s="186"/>
      <c r="AN60" s="187"/>
      <c r="AO60" s="187"/>
      <c r="AP60" s="180" t="str">
        <f>VLOOKUP(AP56,'[80]Location Status'!$A$7:$D$178,3,0)</f>
        <v>DB1+6</v>
      </c>
      <c r="AQ60" s="186"/>
      <c r="AT60" s="145"/>
      <c r="AV60" s="246"/>
      <c r="AW60" s="246"/>
      <c r="BB60" s="183"/>
      <c r="BC60" s="184"/>
      <c r="BD60" s="185"/>
    </row>
    <row r="61" spans="1:56" x14ac:dyDescent="0.35">
      <c r="A61" s="144"/>
      <c r="AT61" s="145"/>
      <c r="AV61" s="246"/>
      <c r="AW61" s="246"/>
      <c r="BB61" s="183"/>
      <c r="BC61" s="184"/>
      <c r="BD61" s="185"/>
    </row>
    <row r="62" spans="1:56" x14ac:dyDescent="0.35">
      <c r="A62" s="144"/>
      <c r="B62" t="s">
        <v>597</v>
      </c>
      <c r="V62" s="188" t="s">
        <v>464</v>
      </c>
      <c r="W62" s="188"/>
      <c r="AC62" s="179"/>
      <c r="AG62" s="179"/>
      <c r="AH62" s="179"/>
      <c r="AK62" s="179"/>
      <c r="AL62" s="179"/>
      <c r="AT62" s="145"/>
      <c r="AV62" s="246"/>
      <c r="AW62" s="246"/>
      <c r="BB62" s="183"/>
      <c r="BC62" s="184"/>
      <c r="BD62" s="185"/>
    </row>
    <row r="63" spans="1:56" x14ac:dyDescent="0.35">
      <c r="A63" s="144"/>
      <c r="B63" s="257" t="str">
        <f>VLOOKUP(B65,'[80]Location Status'!$A$7:$D$178,2,0)</f>
        <v>9/0</v>
      </c>
      <c r="C63" s="257"/>
      <c r="F63" s="257" t="str">
        <f>VLOOKUP(F65,'[80]Location Status'!$A$7:$D$178,2,0)</f>
        <v>10/0</v>
      </c>
      <c r="G63" s="257"/>
      <c r="J63" s="257" t="str">
        <f>VLOOKUP(J65,'[80]Location Status'!$A$7:$D$178,2,0)</f>
        <v>10/1</v>
      </c>
      <c r="K63" s="257"/>
      <c r="N63" s="257" t="str">
        <f>VLOOKUP(N65,'[80]Location Status'!$A$7:$D$178,2,0)</f>
        <v>10/2</v>
      </c>
      <c r="O63" s="257"/>
      <c r="R63" s="257" t="str">
        <f>VLOOKUP(R65,'[80]Location Status'!$A$7:$D$178,2,0)</f>
        <v>10/3</v>
      </c>
      <c r="S63" s="257"/>
      <c r="V63" s="257" t="str">
        <f>VLOOKUP(V65,'[80]Location Status'!$A$7:$D$178,2,0)</f>
        <v>10/4</v>
      </c>
      <c r="W63" s="257"/>
      <c r="Z63" s="257" t="str">
        <f>VLOOKUP(Z65,'[80]Location Status'!$A$7:$D$178,2,0)</f>
        <v>11/0</v>
      </c>
      <c r="AA63" s="257"/>
      <c r="AD63" s="257" t="str">
        <f>VLOOKUP(AD65,'[80]Location Status'!$A$7:$D$178,2,0)</f>
        <v>11/1</v>
      </c>
      <c r="AE63" s="257"/>
      <c r="AH63" s="257" t="str">
        <f>VLOOKUP(AH65,'[80]Location Status'!$A$7:$D$178,2,0)</f>
        <v>11/2</v>
      </c>
      <c r="AI63" s="257"/>
      <c r="AL63" s="257" t="str">
        <f>VLOOKUP(AL65,'[80]Location Status'!$A$7:$D$178,2,0)</f>
        <v>11/3</v>
      </c>
      <c r="AM63" s="257"/>
      <c r="AP63" s="257" t="str">
        <f>VLOOKUP(AP65,'[80]Location Status'!$A$7:$D$178,2,0)</f>
        <v>11/4</v>
      </c>
      <c r="AQ63" s="257"/>
      <c r="AT63" s="145"/>
      <c r="AV63" s="246"/>
      <c r="AW63" s="246"/>
      <c r="BB63" s="183"/>
      <c r="BC63" s="184"/>
      <c r="BD63" s="185"/>
    </row>
    <row r="64" spans="1:56" x14ac:dyDescent="0.35">
      <c r="A64" s="144"/>
      <c r="AT64" s="145"/>
      <c r="AV64" s="246"/>
      <c r="AW64" s="246"/>
      <c r="BB64" s="183"/>
      <c r="BC64" s="184"/>
      <c r="BD64" s="185"/>
    </row>
    <row r="65" spans="1:56" s="175" customFormat="1" ht="12.5" x14ac:dyDescent="0.25">
      <c r="A65" s="174"/>
      <c r="B65" s="175">
        <f>1+AP56</f>
        <v>41</v>
      </c>
      <c r="F65" s="175">
        <f>1+B65</f>
        <v>42</v>
      </c>
      <c r="J65" s="175">
        <f>1+F65</f>
        <v>43</v>
      </c>
      <c r="N65" s="175">
        <f>1+J65</f>
        <v>44</v>
      </c>
      <c r="R65" s="175">
        <f>1+N65</f>
        <v>45</v>
      </c>
      <c r="V65" s="175">
        <f>1+R65</f>
        <v>46</v>
      </c>
      <c r="Z65" s="175">
        <f>1+V65</f>
        <v>47</v>
      </c>
      <c r="AD65" s="175">
        <f>1+Z65</f>
        <v>48</v>
      </c>
      <c r="AH65" s="175">
        <f>1+AD65</f>
        <v>49</v>
      </c>
      <c r="AL65" s="175">
        <f>1+AH65</f>
        <v>50</v>
      </c>
      <c r="AP65" s="175">
        <f>1+AL65</f>
        <v>51</v>
      </c>
      <c r="AT65" s="176"/>
      <c r="AV65" s="259"/>
      <c r="AW65" s="259"/>
    </row>
    <row r="66" spans="1:56" x14ac:dyDescent="0.35">
      <c r="A66" s="144"/>
      <c r="B66" s="157" t="s">
        <v>577</v>
      </c>
      <c r="C66" s="157" t="s">
        <v>578</v>
      </c>
      <c r="D66" s="264">
        <f>VLOOKUP(B65,'[80]Location Status'!$A$7:$D$178,4,0)</f>
        <v>195.429</v>
      </c>
      <c r="E66" s="265"/>
      <c r="F66" s="181" t="s">
        <v>577</v>
      </c>
      <c r="G66" s="181" t="s">
        <v>578</v>
      </c>
      <c r="H66" s="262">
        <f>VLOOKUP(F65,'[80]Location Status'!$A$7:$D$178,4,0)</f>
        <v>327.43</v>
      </c>
      <c r="I66" s="263"/>
      <c r="J66" s="182" t="s">
        <v>577</v>
      </c>
      <c r="K66" s="182" t="s">
        <v>578</v>
      </c>
      <c r="L66" s="262">
        <f>VLOOKUP(J65,'[80]Location Status'!$A$7:$D$178,4,0)</f>
        <v>437.142</v>
      </c>
      <c r="M66" s="263"/>
      <c r="N66" s="182" t="s">
        <v>577</v>
      </c>
      <c r="O66" s="182" t="s">
        <v>578</v>
      </c>
      <c r="P66" s="262">
        <f>VLOOKUP(N65,'[80]Location Status'!$A$7:$D$178,4,0)</f>
        <v>398.44499999999999</v>
      </c>
      <c r="Q66" s="263"/>
      <c r="R66" s="182" t="s">
        <v>577</v>
      </c>
      <c r="S66" s="182" t="s">
        <v>578</v>
      </c>
      <c r="T66" s="262">
        <f>VLOOKUP(R65,'[80]Location Status'!$A$7:$D$178,4,0)</f>
        <v>385.096</v>
      </c>
      <c r="U66" s="263"/>
      <c r="V66" s="178" t="s">
        <v>577</v>
      </c>
      <c r="W66" s="178" t="s">
        <v>578</v>
      </c>
      <c r="X66" s="262">
        <f>VLOOKUP(V65,'[80]Location Status'!$A$7:$D$178,4,0)</f>
        <v>418.04500000000002</v>
      </c>
      <c r="Y66" s="263"/>
      <c r="Z66" s="182" t="s">
        <v>577</v>
      </c>
      <c r="AA66" s="182" t="s">
        <v>578</v>
      </c>
      <c r="AB66" s="262">
        <f>VLOOKUP(Z65,'[80]Location Status'!$A$7:$D$178,4,0)</f>
        <v>356.43</v>
      </c>
      <c r="AC66" s="263"/>
      <c r="AD66" s="182" t="s">
        <v>577</v>
      </c>
      <c r="AE66" s="182" t="s">
        <v>578</v>
      </c>
      <c r="AF66" s="262">
        <f>VLOOKUP(AD65,'[80]Location Status'!$A$7:$D$178,4,0)</f>
        <v>400.90300000000002</v>
      </c>
      <c r="AG66" s="263"/>
      <c r="AH66" s="182" t="s">
        <v>577</v>
      </c>
      <c r="AI66" s="182" t="s">
        <v>578</v>
      </c>
      <c r="AJ66" s="262">
        <f>VLOOKUP(AH65,'[80]Location Status'!$A$7:$D$178,4,0)</f>
        <v>414.95100000000002</v>
      </c>
      <c r="AK66" s="263"/>
      <c r="AL66" s="182" t="s">
        <v>577</v>
      </c>
      <c r="AM66" s="182" t="s">
        <v>578</v>
      </c>
      <c r="AN66" s="262">
        <f>VLOOKUP(AL65,'[80]Location Status'!$A$7:$D$178,4,0)</f>
        <v>418.08800000000002</v>
      </c>
      <c r="AO66" s="263"/>
      <c r="AP66" s="182" t="s">
        <v>577</v>
      </c>
      <c r="AQ66" s="182" t="s">
        <v>578</v>
      </c>
      <c r="AR66" s="262">
        <f>VLOOKUP(AP65,'[80]Location Status'!$A$7:$D$178,4,0)</f>
        <v>397.64</v>
      </c>
      <c r="AS66" s="254"/>
      <c r="AT66" s="145"/>
      <c r="AV66" s="246">
        <f>D66+H66+L66+P66+T66+X66+AB66+AF66+AJ66+AN66+AR66</f>
        <v>4149.5990000000002</v>
      </c>
      <c r="AW66" s="246"/>
      <c r="AY66">
        <v>11</v>
      </c>
      <c r="BB66" s="184"/>
      <c r="BC66" s="184"/>
      <c r="BD66" s="185"/>
    </row>
    <row r="67" spans="1:56" x14ac:dyDescent="0.35">
      <c r="A67" s="144"/>
      <c r="B67" s="157" t="s">
        <v>581</v>
      </c>
      <c r="C67" s="157" t="s">
        <v>582</v>
      </c>
      <c r="F67" s="157" t="s">
        <v>581</v>
      </c>
      <c r="G67" s="157" t="s">
        <v>582</v>
      </c>
      <c r="J67" s="156" t="s">
        <v>581</v>
      </c>
      <c r="K67" s="156" t="s">
        <v>582</v>
      </c>
      <c r="N67" s="156" t="s">
        <v>581</v>
      </c>
      <c r="O67" s="156" t="s">
        <v>582</v>
      </c>
      <c r="R67" s="156" t="s">
        <v>581</v>
      </c>
      <c r="S67" s="156" t="s">
        <v>582</v>
      </c>
      <c r="V67" s="71" t="s">
        <v>581</v>
      </c>
      <c r="W67" s="71" t="s">
        <v>582</v>
      </c>
      <c r="Z67" s="156" t="s">
        <v>581</v>
      </c>
      <c r="AA67" s="156" t="s">
        <v>582</v>
      </c>
      <c r="AD67" s="156" t="s">
        <v>581</v>
      </c>
      <c r="AE67" s="156" t="s">
        <v>582</v>
      </c>
      <c r="AH67" s="156" t="s">
        <v>581</v>
      </c>
      <c r="AI67" s="156" t="s">
        <v>582</v>
      </c>
      <c r="AL67" s="156" t="s">
        <v>581</v>
      </c>
      <c r="AM67" s="156" t="s">
        <v>582</v>
      </c>
      <c r="AP67" s="156" t="s">
        <v>581</v>
      </c>
      <c r="AQ67" s="156" t="s">
        <v>582</v>
      </c>
      <c r="AT67" s="145"/>
      <c r="AV67" s="246"/>
      <c r="AW67" s="246"/>
      <c r="BB67" s="184"/>
      <c r="BC67" s="184"/>
      <c r="BD67" s="185"/>
    </row>
    <row r="68" spans="1:56" x14ac:dyDescent="0.35">
      <c r="A68" s="144"/>
      <c r="B68" s="238"/>
      <c r="C68" s="238"/>
      <c r="F68" s="238"/>
      <c r="G68" s="238"/>
      <c r="J68" s="252" t="s">
        <v>596</v>
      </c>
      <c r="K68" s="253"/>
      <c r="N68" s="252" t="s">
        <v>441</v>
      </c>
      <c r="O68" s="253"/>
      <c r="R68" s="252" t="s">
        <v>441</v>
      </c>
      <c r="S68" s="253"/>
      <c r="V68" s="238"/>
      <c r="W68" s="238"/>
      <c r="Z68" s="251" t="s">
        <v>441</v>
      </c>
      <c r="AA68" s="251"/>
      <c r="AD68" s="252" t="s">
        <v>596</v>
      </c>
      <c r="AE68" s="253"/>
      <c r="AH68" s="252" t="s">
        <v>596</v>
      </c>
      <c r="AI68" s="253"/>
      <c r="AL68" s="251" t="s">
        <v>441</v>
      </c>
      <c r="AM68" s="251"/>
      <c r="AP68" s="251" t="s">
        <v>441</v>
      </c>
      <c r="AQ68" s="251"/>
      <c r="AT68" s="145"/>
      <c r="AV68" s="246"/>
      <c r="AW68" s="246"/>
      <c r="BB68" s="184"/>
      <c r="BC68" s="184"/>
      <c r="BD68" s="185"/>
    </row>
    <row r="69" spans="1:56" x14ac:dyDescent="0.35">
      <c r="A69" s="144"/>
      <c r="B69" s="180" t="str">
        <f>VLOOKUP(B65,'[80]Location Status'!$A$7:$D$178,3,0)</f>
        <v>DD60+35</v>
      </c>
      <c r="C69" s="180"/>
      <c r="F69" s="180" t="str">
        <f>VLOOKUP(F65,'[80]Location Status'!$A$7:$D$178,3,0)</f>
        <v>DD60+35</v>
      </c>
      <c r="G69" s="180"/>
      <c r="J69" s="180" t="str">
        <f>VLOOKUP(J65,'[80]Location Status'!$A$7:$D$178,3,0)</f>
        <v>DB1+6</v>
      </c>
      <c r="K69" s="180"/>
      <c r="N69" s="180" t="str">
        <f>VLOOKUP(N65,'[80]Location Status'!$A$7:$D$178,3,0)</f>
        <v>DA+0</v>
      </c>
      <c r="O69" s="180"/>
      <c r="R69" s="180" t="str">
        <f>VLOOKUP(R65,'[80]Location Status'!$A$7:$D$178,3,0)</f>
        <v>DA+0</v>
      </c>
      <c r="S69" s="180"/>
      <c r="V69" s="180" t="str">
        <f>VLOOKUP(V65,'[80]Location Status'!$A$7:$D$178,3,0)</f>
        <v>DA+3</v>
      </c>
      <c r="W69" s="180"/>
      <c r="Z69" s="180" t="str">
        <f>VLOOKUP(Z65,'[80]Location Status'!$A$7:$D$178,3,0)</f>
        <v>DB2+0</v>
      </c>
      <c r="AA69" s="180"/>
      <c r="AD69" s="180" t="str">
        <f>VLOOKUP(AD65,'[80]Location Status'!$A$7:$D$178,3,0)</f>
        <v>DA+0</v>
      </c>
      <c r="AE69" s="180"/>
      <c r="AH69" s="180" t="str">
        <f>VLOOKUP(AH65,'[80]Location Status'!$A$7:$D$178,3,0)</f>
        <v>DA+0</v>
      </c>
      <c r="AI69" s="180"/>
      <c r="AL69" s="180" t="str">
        <f>VLOOKUP(AL65,'[80]Location Status'!$A$7:$D$178,3,0)</f>
        <v>DA+3</v>
      </c>
      <c r="AM69" s="180"/>
      <c r="AP69" s="180" t="str">
        <f>VLOOKUP(AP65,'[80]Location Status'!$A$7:$D$178,3,0)</f>
        <v>DA+0</v>
      </c>
      <c r="AQ69" s="180"/>
      <c r="AT69" s="145"/>
      <c r="AV69" s="246"/>
      <c r="AW69" s="246"/>
      <c r="BB69" s="184"/>
      <c r="BC69" s="184"/>
      <c r="BD69" s="185"/>
    </row>
    <row r="70" spans="1:56" x14ac:dyDescent="0.35">
      <c r="A70" s="144"/>
      <c r="D70" s="179" t="s">
        <v>598</v>
      </c>
      <c r="AT70" s="145"/>
      <c r="AV70" s="246"/>
      <c r="AW70" s="246"/>
      <c r="BB70" s="184"/>
      <c r="BC70" s="184"/>
      <c r="BD70" s="185"/>
    </row>
    <row r="71" spans="1:56" x14ac:dyDescent="0.35">
      <c r="A71" s="144"/>
      <c r="AT71" s="145"/>
      <c r="AV71" s="246"/>
      <c r="AW71" s="246"/>
      <c r="BB71" s="184"/>
      <c r="BC71" s="184"/>
      <c r="BD71" s="185"/>
    </row>
    <row r="72" spans="1:56" x14ac:dyDescent="0.35">
      <c r="A72" s="144"/>
      <c r="F72" s="188" t="s">
        <v>464</v>
      </c>
      <c r="G72" s="188"/>
      <c r="R72" s="179"/>
      <c r="Y72" s="179"/>
      <c r="AC72" s="179"/>
      <c r="AD72" s="179"/>
      <c r="AG72" s="179"/>
      <c r="AH72" s="179"/>
      <c r="AP72" s="188" t="s">
        <v>464</v>
      </c>
      <c r="AQ72" s="188"/>
      <c r="AT72" s="145"/>
      <c r="AV72" s="246"/>
      <c r="AW72" s="246"/>
      <c r="BB72" s="184"/>
      <c r="BC72" s="184"/>
      <c r="BD72" s="185"/>
    </row>
    <row r="73" spans="1:56" x14ac:dyDescent="0.35">
      <c r="A73" s="144"/>
      <c r="B73" s="257" t="str">
        <f>VLOOKUP(B75,'[80]Location Status'!$A$7:$D$178,2,0)</f>
        <v>11/5</v>
      </c>
      <c r="C73" s="258"/>
      <c r="F73" s="257" t="str">
        <f>VLOOKUP(F75,'[80]Location Status'!$A$7:$D$178,2,0)</f>
        <v>11/6</v>
      </c>
      <c r="G73" s="258"/>
      <c r="J73" s="257" t="str">
        <f>VLOOKUP(J75,'[80]Location Status'!$A$7:$D$178,2,0)</f>
        <v>12/0</v>
      </c>
      <c r="K73" s="258"/>
      <c r="N73" s="257" t="str">
        <f>VLOOKUP(N75,'[80]Location Status'!$A$7:$D$178,2,0)</f>
        <v>12/1</v>
      </c>
      <c r="O73" s="258"/>
      <c r="R73" s="257" t="str">
        <f>VLOOKUP(R75,'[80]Location Status'!$A$7:$D$178,2,0)</f>
        <v>12/2</v>
      </c>
      <c r="S73" s="258"/>
      <c r="V73" s="257" t="str">
        <f>VLOOKUP(V75,'[80]Location Status'!$A$7:$D$178,2,0)</f>
        <v>12/3</v>
      </c>
      <c r="W73" s="258"/>
      <c r="Z73" s="257" t="str">
        <f>VLOOKUP(Z75,'[80]Location Status'!$A$7:$D$178,2,0)</f>
        <v>12/4</v>
      </c>
      <c r="AA73" s="258"/>
      <c r="AD73" s="257" t="str">
        <f>VLOOKUP(AD75,'[80]Location Status'!$A$7:$D$178,2,0)</f>
        <v>12/5</v>
      </c>
      <c r="AE73" s="258"/>
      <c r="AH73" s="257" t="str">
        <f>VLOOKUP(AH75,'[80]Location Status'!$A$7:$D$178,2,0)</f>
        <v>13/0</v>
      </c>
      <c r="AI73" s="258"/>
      <c r="AL73" s="257" t="str">
        <f>VLOOKUP(AL75,'[80]Location Status'!$A$7:$D$178,2,0)</f>
        <v>13/1</v>
      </c>
      <c r="AM73" s="258"/>
      <c r="AP73" s="257" t="str">
        <f>VLOOKUP(AP75,'[80]Location Status'!$A$7:$D$178,2,0)</f>
        <v>13/2</v>
      </c>
      <c r="AQ73" s="258"/>
      <c r="AT73" s="145"/>
      <c r="AV73" s="246"/>
      <c r="AW73" s="246"/>
      <c r="BB73" s="183"/>
      <c r="BC73" s="184"/>
      <c r="BD73" s="185"/>
    </row>
    <row r="74" spans="1:56" x14ac:dyDescent="0.35">
      <c r="A74" s="144"/>
      <c r="AT74" s="145"/>
      <c r="AV74" s="246"/>
      <c r="AW74" s="246"/>
      <c r="BB74" s="184"/>
      <c r="BC74" s="184"/>
      <c r="BD74" s="185"/>
    </row>
    <row r="75" spans="1:56" s="175" customFormat="1" ht="12.5" x14ac:dyDescent="0.25">
      <c r="A75" s="174"/>
      <c r="B75" s="175">
        <f>1+AP65</f>
        <v>52</v>
      </c>
      <c r="F75" s="175">
        <f>1+B75</f>
        <v>53</v>
      </c>
      <c r="J75" s="175">
        <f>1+F75</f>
        <v>54</v>
      </c>
      <c r="N75" s="175">
        <f>1+J75</f>
        <v>55</v>
      </c>
      <c r="R75" s="175">
        <f>1+N75</f>
        <v>56</v>
      </c>
      <c r="V75" s="175">
        <f>1+R75</f>
        <v>57</v>
      </c>
      <c r="Z75" s="175">
        <f>1+V75</f>
        <v>58</v>
      </c>
      <c r="AD75" s="175">
        <f>1+Z75</f>
        <v>59</v>
      </c>
      <c r="AH75" s="175">
        <f>1+AD75</f>
        <v>60</v>
      </c>
      <c r="AL75" s="175">
        <f>1+AH75</f>
        <v>61</v>
      </c>
      <c r="AP75" s="175">
        <f>1+AL75</f>
        <v>62</v>
      </c>
      <c r="AT75" s="176"/>
      <c r="AV75" s="259"/>
      <c r="AW75" s="259"/>
    </row>
    <row r="76" spans="1:56" x14ac:dyDescent="0.35">
      <c r="A76" s="144"/>
      <c r="B76" s="182" t="s">
        <v>577</v>
      </c>
      <c r="C76" s="182" t="s">
        <v>578</v>
      </c>
      <c r="D76" s="254">
        <f>VLOOKUP(B75,'[80]Location Status'!$A$7:$D$178,4,0)</f>
        <v>416.399</v>
      </c>
      <c r="E76" s="255"/>
      <c r="F76" s="181" t="s">
        <v>577</v>
      </c>
      <c r="G76" s="182" t="s">
        <v>578</v>
      </c>
      <c r="H76" s="254">
        <f>VLOOKUP(F75,'[80]Location Status'!$A$7:$D$178,4,0)</f>
        <v>328.48899999999998</v>
      </c>
      <c r="I76" s="255"/>
      <c r="J76" s="182" t="s">
        <v>577</v>
      </c>
      <c r="K76" s="182" t="s">
        <v>578</v>
      </c>
      <c r="L76" s="254">
        <f>VLOOKUP(J75,'[80]Location Status'!$A$7:$D$178,4,0)</f>
        <v>369</v>
      </c>
      <c r="M76" s="255"/>
      <c r="N76" s="182" t="s">
        <v>577</v>
      </c>
      <c r="O76" s="182" t="s">
        <v>578</v>
      </c>
      <c r="P76" s="254">
        <f>VLOOKUP(N75,'[80]Location Status'!$A$7:$D$178,4,0)</f>
        <v>381</v>
      </c>
      <c r="Q76" s="255"/>
      <c r="R76" s="182" t="s">
        <v>577</v>
      </c>
      <c r="S76" s="182" t="s">
        <v>578</v>
      </c>
      <c r="T76" s="254">
        <f>VLOOKUP(R75,'[80]Location Status'!$A$7:$D$178,4,0)</f>
        <v>385</v>
      </c>
      <c r="U76" s="255"/>
      <c r="V76" s="182" t="s">
        <v>577</v>
      </c>
      <c r="W76" s="182" t="s">
        <v>578</v>
      </c>
      <c r="X76" s="254">
        <f>VLOOKUP(V75,'[80]Location Status'!$A$7:$D$178,4,0)</f>
        <v>403</v>
      </c>
      <c r="Y76" s="255"/>
      <c r="Z76" s="182" t="s">
        <v>577</v>
      </c>
      <c r="AA76" s="182" t="s">
        <v>578</v>
      </c>
      <c r="AB76" s="254">
        <f>VLOOKUP(Z75,'[80]Location Status'!$A$7:$D$178,4,0)</f>
        <v>436</v>
      </c>
      <c r="AC76" s="255"/>
      <c r="AD76" s="182" t="s">
        <v>577</v>
      </c>
      <c r="AE76" s="182" t="s">
        <v>578</v>
      </c>
      <c r="AF76" s="254">
        <f>VLOOKUP(AD75,'[80]Location Status'!$A$7:$D$178,4,0)</f>
        <v>398.42599999999999</v>
      </c>
      <c r="AG76" s="255"/>
      <c r="AH76" s="182" t="s">
        <v>577</v>
      </c>
      <c r="AI76" s="182" t="s">
        <v>578</v>
      </c>
      <c r="AJ76" s="254">
        <f>VLOOKUP(AH75,'[80]Location Status'!$A$7:$D$178,4,0)</f>
        <v>387.00400000000002</v>
      </c>
      <c r="AK76" s="255"/>
      <c r="AL76" s="182" t="s">
        <v>577</v>
      </c>
      <c r="AM76" s="182" t="s">
        <v>578</v>
      </c>
      <c r="AN76" s="254">
        <f>VLOOKUP(AL75,'[80]Location Status'!$A$7:$D$178,4,0)</f>
        <v>361</v>
      </c>
      <c r="AO76" s="255"/>
      <c r="AP76" s="178" t="s">
        <v>577</v>
      </c>
      <c r="AQ76" s="178" t="s">
        <v>578</v>
      </c>
      <c r="AR76" s="254">
        <f>VLOOKUP(AP75,'[80]Location Status'!$A$7:$D$178,4,0)</f>
        <v>371</v>
      </c>
      <c r="AS76" s="255"/>
      <c r="AT76" s="145"/>
      <c r="AV76" s="246">
        <f>D76+H76+L76+P76+T76+X76+AB76+AF76+AJ76+AN76+AR76</f>
        <v>4236.3179999999993</v>
      </c>
      <c r="AW76" s="246"/>
      <c r="AY76">
        <v>11</v>
      </c>
      <c r="BB76" s="184"/>
      <c r="BC76" s="184"/>
      <c r="BD76" s="185"/>
    </row>
    <row r="77" spans="1:56" x14ac:dyDescent="0.35">
      <c r="A77" s="144"/>
      <c r="B77" s="156" t="s">
        <v>581</v>
      </c>
      <c r="C77" s="156" t="s">
        <v>582</v>
      </c>
      <c r="F77" s="157" t="s">
        <v>581</v>
      </c>
      <c r="G77" s="156" t="s">
        <v>582</v>
      </c>
      <c r="J77" s="156" t="s">
        <v>581</v>
      </c>
      <c r="K77" s="156" t="s">
        <v>582</v>
      </c>
      <c r="N77" s="156" t="s">
        <v>581</v>
      </c>
      <c r="O77" s="156" t="s">
        <v>582</v>
      </c>
      <c r="R77" s="156" t="s">
        <v>581</v>
      </c>
      <c r="S77" s="156" t="s">
        <v>582</v>
      </c>
      <c r="V77" s="156" t="s">
        <v>581</v>
      </c>
      <c r="W77" s="156" t="s">
        <v>582</v>
      </c>
      <c r="Z77" s="156" t="s">
        <v>581</v>
      </c>
      <c r="AA77" s="156" t="s">
        <v>582</v>
      </c>
      <c r="AD77" s="156" t="s">
        <v>581</v>
      </c>
      <c r="AE77" s="156" t="s">
        <v>582</v>
      </c>
      <c r="AH77" s="156" t="s">
        <v>581</v>
      </c>
      <c r="AI77" s="156" t="s">
        <v>582</v>
      </c>
      <c r="AL77" s="156" t="s">
        <v>581</v>
      </c>
      <c r="AM77" s="156" t="s">
        <v>582</v>
      </c>
      <c r="AP77" s="71" t="s">
        <v>581</v>
      </c>
      <c r="AQ77" s="71" t="s">
        <v>582</v>
      </c>
      <c r="AT77" s="145"/>
      <c r="AV77" s="246"/>
      <c r="AW77" s="246"/>
      <c r="BB77" s="184"/>
      <c r="BC77" s="184"/>
      <c r="BD77" s="185"/>
    </row>
    <row r="78" spans="1:56" x14ac:dyDescent="0.35">
      <c r="A78" s="144"/>
      <c r="B78" s="251" t="s">
        <v>441</v>
      </c>
      <c r="C78" s="251"/>
      <c r="F78" s="252" t="s">
        <v>441</v>
      </c>
      <c r="G78" s="253"/>
      <c r="J78" s="252" t="s">
        <v>596</v>
      </c>
      <c r="K78" s="253"/>
      <c r="N78" s="251" t="s">
        <v>441</v>
      </c>
      <c r="O78" s="251"/>
      <c r="R78" s="251" t="s">
        <v>441</v>
      </c>
      <c r="S78" s="251"/>
      <c r="V78" s="252" t="s">
        <v>596</v>
      </c>
      <c r="W78" s="253"/>
      <c r="Z78" s="252" t="s">
        <v>596</v>
      </c>
      <c r="AA78" s="253"/>
      <c r="AD78" s="251" t="s">
        <v>441</v>
      </c>
      <c r="AE78" s="251"/>
      <c r="AH78" s="252" t="s">
        <v>441</v>
      </c>
      <c r="AI78" s="253"/>
      <c r="AL78" s="251" t="s">
        <v>441</v>
      </c>
      <c r="AM78" s="251"/>
      <c r="AP78" s="238"/>
      <c r="AQ78" s="238"/>
      <c r="AT78" s="145"/>
      <c r="AV78" s="246"/>
      <c r="AW78" s="246"/>
      <c r="BB78" s="184"/>
      <c r="BC78" s="184"/>
      <c r="BD78" s="185"/>
    </row>
    <row r="79" spans="1:56" x14ac:dyDescent="0.35">
      <c r="A79" s="144"/>
      <c r="B79" s="180" t="str">
        <f>VLOOKUP(B75,'[80]Location Status'!$A$7:$D$178,3,0)</f>
        <v>DA+3</v>
      </c>
      <c r="C79" s="180"/>
      <c r="F79" s="180" t="str">
        <f>VLOOKUP(F75,'[80]Location Status'!$A$7:$D$178,3,0)</f>
        <v>DA+0</v>
      </c>
      <c r="G79" s="180"/>
      <c r="J79" s="180" t="str">
        <f>VLOOKUP(J75,'[80]Location Status'!$A$7:$D$178,3,0)</f>
        <v>DB2+0</v>
      </c>
      <c r="K79" s="180"/>
      <c r="N79" s="180" t="str">
        <f>VLOOKUP(N75,'[80]Location Status'!$A$7:$D$178,3,0)</f>
        <v>DA-3</v>
      </c>
      <c r="O79" s="180"/>
      <c r="R79" s="180" t="str">
        <f>VLOOKUP(R75,'[80]Location Status'!$A$7:$D$178,3,0)</f>
        <v>DA+0</v>
      </c>
      <c r="S79" s="180"/>
      <c r="V79" s="180" t="str">
        <f>VLOOKUP(V75,'[80]Location Status'!$A$7:$D$178,3,0)</f>
        <v>DA+0</v>
      </c>
      <c r="W79" s="180"/>
      <c r="Z79" s="180" t="str">
        <f>VLOOKUP(Z75,'[80]Location Status'!$A$7:$D$178,3,0)</f>
        <v>DA+6</v>
      </c>
      <c r="AA79" s="180"/>
      <c r="AD79" s="180" t="str">
        <f>VLOOKUP(AD75,'[80]Location Status'!$A$7:$D$178,3,0)</f>
        <v>DA+6</v>
      </c>
      <c r="AE79" s="180"/>
      <c r="AH79" s="180" t="str">
        <f>VLOOKUP(AH75,'[80]Location Status'!$A$7:$D$178,3,0)</f>
        <v>DB2+0</v>
      </c>
      <c r="AI79" s="180"/>
      <c r="AL79" s="180" t="str">
        <f>VLOOKUP(AL75,'[80]Location Status'!$A$7:$D$178,3,0)</f>
        <v>DA+0</v>
      </c>
      <c r="AM79" s="180"/>
      <c r="AP79" s="180" t="str">
        <f>VLOOKUP(AP75,'[80]Location Status'!$A$7:$D$178,3,0)</f>
        <v>DA+0</v>
      </c>
      <c r="AQ79" s="180"/>
      <c r="AT79" s="145"/>
      <c r="AV79" s="246"/>
      <c r="AW79" s="246"/>
      <c r="BB79" s="184"/>
      <c r="BC79" s="184"/>
      <c r="BD79" s="185"/>
    </row>
    <row r="80" spans="1:56" x14ac:dyDescent="0.35">
      <c r="A80" s="144"/>
      <c r="AT80" s="145"/>
      <c r="AV80" s="246"/>
      <c r="AW80" s="246"/>
      <c r="BB80" s="184"/>
      <c r="BC80" s="184"/>
      <c r="BD80" s="185"/>
    </row>
    <row r="81" spans="1:56" x14ac:dyDescent="0.35">
      <c r="B81" s="188" t="s">
        <v>464</v>
      </c>
      <c r="C81" s="188"/>
      <c r="V81" s="188" t="s">
        <v>464</v>
      </c>
      <c r="W81" s="188"/>
      <c r="AT81" s="145"/>
      <c r="AV81" s="246"/>
      <c r="AW81" s="246"/>
      <c r="BB81" s="184"/>
      <c r="BC81" s="184"/>
      <c r="BD81" s="185"/>
    </row>
    <row r="82" spans="1:56" x14ac:dyDescent="0.35">
      <c r="A82" s="144"/>
      <c r="B82" s="257" t="str">
        <f>VLOOKUP(B84,'[80]Location Status'!$A$7:$D$178,2,0)</f>
        <v>13/3</v>
      </c>
      <c r="C82" s="258"/>
      <c r="F82" s="257" t="str">
        <f>VLOOKUP(F84,'[80]Location Status'!$A$7:$D$178,2,0)</f>
        <v>13/4</v>
      </c>
      <c r="G82" s="258"/>
      <c r="J82" s="257" t="str">
        <f>VLOOKUP(J84,'[80]Location Status'!$A$7:$D$178,2,0)</f>
        <v>13/5</v>
      </c>
      <c r="K82" s="258"/>
      <c r="N82" s="257" t="str">
        <f>VLOOKUP(N84,'[80]Location Status'!$A$7:$D$178,2,0)</f>
        <v>13/6</v>
      </c>
      <c r="O82" s="258"/>
      <c r="R82" s="257" t="str">
        <f>VLOOKUP(R84,'[80]Location Status'!$A$7:$D$178,2,0)</f>
        <v>14/0</v>
      </c>
      <c r="S82" s="258"/>
      <c r="V82" s="257" t="str">
        <f>VLOOKUP(V84,'[80]Location Status'!$A$7:$D$178,2,0)</f>
        <v>14/1</v>
      </c>
      <c r="W82" s="258"/>
      <c r="Z82" s="257" t="str">
        <f>VLOOKUP(Z84,'[80]Location Status'!$A$7:$D$178,2,0)</f>
        <v>14/2</v>
      </c>
      <c r="AA82" s="258"/>
      <c r="AD82" s="257" t="str">
        <f>VLOOKUP(AD84,'[80]Location Status'!$A$7:$D$178,2,0)</f>
        <v>14/3</v>
      </c>
      <c r="AE82" s="258"/>
      <c r="AH82" s="257" t="str">
        <f>VLOOKUP(AH84,'[80]Location Status'!$A$7:$D$178,2,0)</f>
        <v>14/4</v>
      </c>
      <c r="AI82" s="258"/>
      <c r="AL82" s="257" t="str">
        <f>VLOOKUP(AL84,'[80]Location Status'!$A$7:$D$178,2,0)</f>
        <v>14/5</v>
      </c>
      <c r="AM82" s="258"/>
      <c r="AP82" s="257" t="str">
        <f>VLOOKUP(AP84,'[80]Location Status'!$A$7:$D$178,2,0)</f>
        <v>14/6</v>
      </c>
      <c r="AQ82" s="258"/>
      <c r="AT82" s="145"/>
      <c r="AV82" s="246"/>
      <c r="AW82" s="246"/>
      <c r="BB82" s="183"/>
      <c r="BC82" s="184"/>
      <c r="BD82" s="185"/>
    </row>
    <row r="83" spans="1:56" x14ac:dyDescent="0.35">
      <c r="A83" s="144"/>
      <c r="AT83" s="145"/>
      <c r="AV83" s="246"/>
      <c r="AW83" s="246"/>
      <c r="BB83" s="184"/>
      <c r="BC83" s="184"/>
      <c r="BD83" s="185"/>
    </row>
    <row r="84" spans="1:56" s="175" customFormat="1" ht="12.5" x14ac:dyDescent="0.25">
      <c r="A84" s="174"/>
      <c r="B84" s="175">
        <f>1+AP75</f>
        <v>63</v>
      </c>
      <c r="F84" s="175">
        <f>1+B84</f>
        <v>64</v>
      </c>
      <c r="J84" s="175">
        <f>1+F84</f>
        <v>65</v>
      </c>
      <c r="N84" s="175">
        <f>1+J84</f>
        <v>66</v>
      </c>
      <c r="R84" s="175">
        <f>1+N84</f>
        <v>67</v>
      </c>
      <c r="V84" s="175">
        <f>1+R84</f>
        <v>68</v>
      </c>
      <c r="Z84" s="175">
        <f>1+V84</f>
        <v>69</v>
      </c>
      <c r="AD84" s="175">
        <f>1+Z84</f>
        <v>70</v>
      </c>
      <c r="AH84" s="175">
        <f>1+AD84</f>
        <v>71</v>
      </c>
      <c r="AL84" s="175">
        <f>1+AH84</f>
        <v>72</v>
      </c>
      <c r="AP84" s="175">
        <f>1+AL84</f>
        <v>73</v>
      </c>
      <c r="AT84" s="176"/>
      <c r="AV84" s="259"/>
      <c r="AW84" s="259"/>
    </row>
    <row r="85" spans="1:56" x14ac:dyDescent="0.35">
      <c r="A85" s="144"/>
      <c r="B85" s="181" t="s">
        <v>577</v>
      </c>
      <c r="C85" s="181" t="s">
        <v>578</v>
      </c>
      <c r="D85" s="257">
        <f>VLOOKUP(B84,'[80]Location Status'!$A$7:$D$178,4,0)</f>
        <v>374</v>
      </c>
      <c r="E85" s="258"/>
      <c r="F85" s="182" t="s">
        <v>577</v>
      </c>
      <c r="G85" s="182" t="s">
        <v>578</v>
      </c>
      <c r="H85" s="257">
        <f>VLOOKUP(F84,'[80]Location Status'!$A$7:$D$178,4,0)</f>
        <v>441</v>
      </c>
      <c r="I85" s="258"/>
      <c r="J85" s="182" t="s">
        <v>577</v>
      </c>
      <c r="K85" s="182" t="s">
        <v>578</v>
      </c>
      <c r="L85" s="257">
        <f>VLOOKUP(J84,'[80]Location Status'!$A$7:$D$178,4,0)</f>
        <v>376</v>
      </c>
      <c r="M85" s="258"/>
      <c r="N85" s="182" t="s">
        <v>577</v>
      </c>
      <c r="O85" s="182" t="s">
        <v>578</v>
      </c>
      <c r="P85" s="257">
        <f>VLOOKUP(N84,'[80]Location Status'!$A$7:$D$178,4,0)</f>
        <v>409.10300000000001</v>
      </c>
      <c r="Q85" s="258"/>
      <c r="R85" s="182" t="s">
        <v>577</v>
      </c>
      <c r="S85" s="182" t="s">
        <v>578</v>
      </c>
      <c r="T85" s="257">
        <f>VLOOKUP(R84,'[80]Location Status'!$A$7:$D$178,4,0)</f>
        <v>387.99700000000001</v>
      </c>
      <c r="U85" s="258"/>
      <c r="V85" s="178" t="s">
        <v>577</v>
      </c>
      <c r="W85" s="178" t="s">
        <v>578</v>
      </c>
      <c r="X85" s="257">
        <f>VLOOKUP(V84,'[80]Location Status'!$A$7:$D$178,4,0)</f>
        <v>393</v>
      </c>
      <c r="Y85" s="258"/>
      <c r="Z85" s="182" t="s">
        <v>577</v>
      </c>
      <c r="AA85" s="182" t="s">
        <v>578</v>
      </c>
      <c r="AB85" s="257">
        <f>VLOOKUP(Z84,'[80]Location Status'!$A$7:$D$178,4,0)</f>
        <v>399</v>
      </c>
      <c r="AC85" s="258"/>
      <c r="AD85" s="182" t="s">
        <v>577</v>
      </c>
      <c r="AE85" s="182" t="s">
        <v>578</v>
      </c>
      <c r="AF85" s="254">
        <f>VLOOKUP(AD84,'[80]Location Status'!$A$7:$D$178,4,0)</f>
        <v>395</v>
      </c>
      <c r="AG85" s="255"/>
      <c r="AH85" s="182" t="s">
        <v>577</v>
      </c>
      <c r="AI85" s="182" t="s">
        <v>578</v>
      </c>
      <c r="AJ85" s="257">
        <f>VLOOKUP(AH84,'[80]Location Status'!$A$7:$D$178,4,0)</f>
        <v>395</v>
      </c>
      <c r="AK85" s="258"/>
      <c r="AL85" s="182" t="s">
        <v>577</v>
      </c>
      <c r="AM85" s="182" t="s">
        <v>578</v>
      </c>
      <c r="AN85" s="257">
        <f>VLOOKUP(AL84,'[80]Location Status'!$A$7:$D$178,4,0)</f>
        <v>417</v>
      </c>
      <c r="AO85" s="258"/>
      <c r="AP85" s="182" t="s">
        <v>577</v>
      </c>
      <c r="AQ85" s="182" t="s">
        <v>578</v>
      </c>
      <c r="AR85" s="257">
        <f>VLOOKUP(AP84,'[80]Location Status'!$A$7:$D$178,4,0)</f>
        <v>415</v>
      </c>
      <c r="AS85" s="258"/>
      <c r="AT85" s="145"/>
      <c r="AV85" s="246">
        <f>D85+H85+L85+P85+T85+X85+AB85+AF85+AJ85+AN85+AR85</f>
        <v>4402.1000000000004</v>
      </c>
      <c r="AW85" s="246"/>
      <c r="AY85">
        <v>11</v>
      </c>
      <c r="BB85" s="184"/>
      <c r="BC85" s="184"/>
      <c r="BD85" s="185"/>
    </row>
    <row r="86" spans="1:56" x14ac:dyDescent="0.35">
      <c r="A86" s="144"/>
      <c r="B86" s="157" t="s">
        <v>581</v>
      </c>
      <c r="C86" s="157" t="s">
        <v>582</v>
      </c>
      <c r="F86" s="156" t="s">
        <v>581</v>
      </c>
      <c r="G86" s="156" t="s">
        <v>582</v>
      </c>
      <c r="J86" s="156" t="s">
        <v>581</v>
      </c>
      <c r="K86" s="156" t="s">
        <v>582</v>
      </c>
      <c r="N86" s="156" t="s">
        <v>581</v>
      </c>
      <c r="O86" s="156" t="s">
        <v>582</v>
      </c>
      <c r="R86" s="156" t="s">
        <v>581</v>
      </c>
      <c r="S86" s="156" t="s">
        <v>582</v>
      </c>
      <c r="V86" s="71" t="s">
        <v>581</v>
      </c>
      <c r="W86" s="71" t="s">
        <v>582</v>
      </c>
      <c r="Z86" s="156" t="s">
        <v>581</v>
      </c>
      <c r="AA86" s="156" t="s">
        <v>582</v>
      </c>
      <c r="AD86" s="156" t="s">
        <v>581</v>
      </c>
      <c r="AE86" s="156" t="s">
        <v>582</v>
      </c>
      <c r="AH86" s="156" t="s">
        <v>581</v>
      </c>
      <c r="AI86" s="156" t="s">
        <v>582</v>
      </c>
      <c r="AL86" s="156" t="s">
        <v>581</v>
      </c>
      <c r="AM86" s="156" t="s">
        <v>582</v>
      </c>
      <c r="AP86" s="156" t="s">
        <v>581</v>
      </c>
      <c r="AQ86" s="156" t="s">
        <v>582</v>
      </c>
      <c r="AT86" s="145"/>
      <c r="AV86" s="246"/>
      <c r="AW86" s="246"/>
      <c r="BB86" s="184"/>
      <c r="BC86" s="184"/>
      <c r="BD86" s="185"/>
    </row>
    <row r="87" spans="1:56" x14ac:dyDescent="0.35">
      <c r="A87" s="144"/>
      <c r="B87" s="238"/>
      <c r="C87" s="238"/>
      <c r="F87" s="260" t="s">
        <v>441</v>
      </c>
      <c r="G87" s="261"/>
      <c r="J87" s="251" t="s">
        <v>441</v>
      </c>
      <c r="K87" s="251"/>
      <c r="N87" s="251" t="s">
        <v>441</v>
      </c>
      <c r="O87" s="251"/>
      <c r="R87" s="251" t="s">
        <v>441</v>
      </c>
      <c r="S87" s="251"/>
      <c r="V87" s="238"/>
      <c r="W87" s="238"/>
      <c r="Z87" s="251" t="s">
        <v>441</v>
      </c>
      <c r="AA87" s="251"/>
      <c r="AD87" s="252" t="s">
        <v>596</v>
      </c>
      <c r="AE87" s="253"/>
      <c r="AH87" s="251" t="s">
        <v>441</v>
      </c>
      <c r="AI87" s="251"/>
      <c r="AL87" s="251" t="s">
        <v>441</v>
      </c>
      <c r="AM87" s="251"/>
      <c r="AP87" s="251" t="s">
        <v>441</v>
      </c>
      <c r="AQ87" s="251"/>
      <c r="AT87" s="145"/>
      <c r="AV87" s="246"/>
      <c r="AW87" s="246"/>
      <c r="BB87" s="184"/>
      <c r="BC87" s="184"/>
      <c r="BD87" s="185"/>
    </row>
    <row r="88" spans="1:56" x14ac:dyDescent="0.35">
      <c r="A88" s="144"/>
      <c r="B88" s="180" t="str">
        <f>VLOOKUP(B84,'[80]Location Status'!$A$7:$D$178,3,0)</f>
        <v>DA+0</v>
      </c>
      <c r="C88" s="180"/>
      <c r="F88" s="180" t="str">
        <f>VLOOKUP(F84,'[80]Location Status'!$A$7:$D$178,3,0)</f>
        <v>DA+3</v>
      </c>
      <c r="G88" s="180"/>
      <c r="J88" s="180" t="str">
        <f>VLOOKUP(J84,'[80]Location Status'!$A$7:$D$178,3,0)</f>
        <v>DA+3</v>
      </c>
      <c r="K88" s="180"/>
      <c r="N88" s="180" t="str">
        <f>VLOOKUP(N84,'[80]Location Status'!$A$7:$D$178,3,0)</f>
        <v>DA+3</v>
      </c>
      <c r="O88" s="180"/>
      <c r="R88" s="180" t="str">
        <f>VLOOKUP(R84,'[80]Location Status'!$A$7:$D$178,3,0)</f>
        <v>DD45+0</v>
      </c>
      <c r="S88" s="180"/>
      <c r="V88" s="180" t="str">
        <f>VLOOKUP(V84,'[80]Location Status'!$A$7:$D$178,3,0)</f>
        <v>DA+0</v>
      </c>
      <c r="W88" s="180"/>
      <c r="Z88" s="180" t="str">
        <f>VLOOKUP(Z84,'[80]Location Status'!$A$7:$D$178,3,0)</f>
        <v>DA+0</v>
      </c>
      <c r="AA88" s="180"/>
      <c r="AD88" s="180" t="str">
        <f>VLOOKUP(AD84,'[80]Location Status'!$A$7:$D$178,3,0)</f>
        <v>DA+0</v>
      </c>
      <c r="AE88" s="180"/>
      <c r="AH88" s="180" t="str">
        <f>VLOOKUP(AH84,'[80]Location Status'!$A$7:$D$178,3,0)</f>
        <v>DA+0</v>
      </c>
      <c r="AI88" s="180"/>
      <c r="AL88" s="180" t="str">
        <f>VLOOKUP(AL84,'[80]Location Status'!$A$7:$D$178,3,0)</f>
        <v>DA+3</v>
      </c>
      <c r="AM88" s="180"/>
      <c r="AP88" s="180" t="str">
        <f>VLOOKUP(AP84,'[80]Location Status'!$A$7:$D$178,3,0)</f>
        <v>DA+0</v>
      </c>
      <c r="AQ88" s="180"/>
      <c r="AT88" s="145"/>
      <c r="AV88" s="246"/>
      <c r="AW88" s="246"/>
      <c r="BB88" s="184"/>
      <c r="BC88" s="184"/>
      <c r="BD88" s="185"/>
    </row>
    <row r="89" spans="1:56" x14ac:dyDescent="0.35">
      <c r="A89" s="144"/>
      <c r="AT89" s="145"/>
      <c r="AV89" s="246"/>
      <c r="AW89" s="246"/>
      <c r="BB89" s="184"/>
      <c r="BC89" s="184"/>
      <c r="BD89" s="185"/>
    </row>
    <row r="90" spans="1:56" x14ac:dyDescent="0.35">
      <c r="A90" s="144"/>
      <c r="B90" s="257" t="str">
        <f>VLOOKUP(B92,'[80]Location Status'!$A$7:$D$178,2,0)</f>
        <v>14/7</v>
      </c>
      <c r="C90" s="258"/>
      <c r="F90" s="257" t="str">
        <f>VLOOKUP(F92,'[80]Location Status'!$A$7:$D$178,2,0)</f>
        <v>15/0</v>
      </c>
      <c r="G90" s="258"/>
      <c r="J90" s="257" t="str">
        <f>VLOOKUP(J92,'[80]Location Status'!$A$7:$D$178,2,0)</f>
        <v>15/1</v>
      </c>
      <c r="K90" s="258"/>
      <c r="N90" s="257" t="str">
        <f>VLOOKUP(N92,'[80]Location Status'!$A$7:$D$178,2,0)</f>
        <v>15/2</v>
      </c>
      <c r="O90" s="258"/>
      <c r="R90" s="257" t="str">
        <f>VLOOKUP(R92,'[80]Location Status'!$A$7:$D$178,2,0)</f>
        <v>15/3</v>
      </c>
      <c r="S90" s="258"/>
      <c r="V90" s="257" t="str">
        <f>VLOOKUP(V92,'[80]Location Status'!$A$7:$D$178,2,0)</f>
        <v>15/4</v>
      </c>
      <c r="W90" s="258"/>
      <c r="Z90" s="257" t="str">
        <f>VLOOKUP(Z92,'[80]Location Status'!$A$7:$D$178,2,0)</f>
        <v>15/5</v>
      </c>
      <c r="AA90" s="258"/>
      <c r="AD90" s="257" t="str">
        <f>VLOOKUP(AD92,'[80]Location Status'!$A$7:$D$178,2,0)</f>
        <v>15/6</v>
      </c>
      <c r="AE90" s="258"/>
      <c r="AH90" s="257" t="str">
        <f>VLOOKUP(AH92,'[80]Location Status'!$A$7:$D$178,2,0)</f>
        <v>15/7</v>
      </c>
      <c r="AI90" s="258"/>
      <c r="AL90" s="257" t="str">
        <f>VLOOKUP(AL92,'[80]Location Status'!$A$7:$D$178,2,0)</f>
        <v>16/0</v>
      </c>
      <c r="AM90" s="258"/>
      <c r="AP90" s="257" t="str">
        <f>VLOOKUP(AP92,'[80]Location Status'!$A$7:$D$178,2,0)</f>
        <v>16/1</v>
      </c>
      <c r="AQ90" s="258"/>
      <c r="AT90" s="145"/>
      <c r="AV90" s="246"/>
      <c r="AW90" s="246"/>
      <c r="BB90" s="183"/>
      <c r="BC90" s="184"/>
      <c r="BD90" s="185"/>
    </row>
    <row r="91" spans="1:56" x14ac:dyDescent="0.35">
      <c r="A91" s="144"/>
      <c r="AT91" s="145"/>
      <c r="AV91" s="246"/>
      <c r="AW91" s="246"/>
      <c r="BB91" s="184"/>
      <c r="BC91" s="184"/>
      <c r="BD91" s="185"/>
    </row>
    <row r="92" spans="1:56" s="175" customFormat="1" ht="12.5" x14ac:dyDescent="0.25">
      <c r="A92" s="174"/>
      <c r="B92" s="175">
        <f>1+AP84</f>
        <v>74</v>
      </c>
      <c r="F92" s="175">
        <f>1+B92</f>
        <v>75</v>
      </c>
      <c r="J92" s="175">
        <f>1+F92</f>
        <v>76</v>
      </c>
      <c r="N92" s="175">
        <f>1+J92</f>
        <v>77</v>
      </c>
      <c r="R92" s="175">
        <f>1+N92</f>
        <v>78</v>
      </c>
      <c r="V92" s="175">
        <f>1+R92</f>
        <v>79</v>
      </c>
      <c r="Z92" s="175">
        <f>1+V92</f>
        <v>80</v>
      </c>
      <c r="AD92" s="175">
        <f>1+Z92</f>
        <v>81</v>
      </c>
      <c r="AH92" s="175">
        <f>1+AD92</f>
        <v>82</v>
      </c>
      <c r="AL92" s="175">
        <f>1+AH92</f>
        <v>83</v>
      </c>
      <c r="AP92" s="175">
        <f>1+AL92</f>
        <v>84</v>
      </c>
      <c r="AT92" s="176"/>
      <c r="AV92" s="259"/>
      <c r="AW92" s="259"/>
    </row>
    <row r="93" spans="1:56" x14ac:dyDescent="0.35">
      <c r="A93" s="144"/>
      <c r="B93" s="182" t="s">
        <v>577</v>
      </c>
      <c r="C93" s="182" t="s">
        <v>578</v>
      </c>
      <c r="D93" s="257">
        <f>VLOOKUP(B92,'[80]Location Status'!$A$7:$D$178,4,0)</f>
        <v>417.392</v>
      </c>
      <c r="E93" s="258"/>
      <c r="F93" s="182" t="s">
        <v>577</v>
      </c>
      <c r="G93" s="182" t="s">
        <v>578</v>
      </c>
      <c r="H93" s="257">
        <f>VLOOKUP(F92,'[80]Location Status'!$A$7:$D$178,4,0)</f>
        <v>482</v>
      </c>
      <c r="I93" s="258"/>
      <c r="J93" s="182" t="s">
        <v>577</v>
      </c>
      <c r="K93" s="182" t="s">
        <v>578</v>
      </c>
      <c r="L93" s="257">
        <f>VLOOKUP(J92,'[80]Location Status'!$A$7:$D$178,4,0)</f>
        <v>357</v>
      </c>
      <c r="M93" s="258"/>
      <c r="N93" s="182" t="s">
        <v>577</v>
      </c>
      <c r="O93" s="182" t="s">
        <v>578</v>
      </c>
      <c r="P93" s="257">
        <f>VLOOKUP(N92,'[80]Location Status'!$A$7:$D$178,4,0)</f>
        <v>401</v>
      </c>
      <c r="Q93" s="258"/>
      <c r="R93" s="182" t="s">
        <v>577</v>
      </c>
      <c r="S93" s="182" t="s">
        <v>578</v>
      </c>
      <c r="T93" s="254">
        <f>VLOOKUP(R92,'[80]Location Status'!$A$7:$D$178,4,0)</f>
        <v>413</v>
      </c>
      <c r="U93" s="255"/>
      <c r="V93" s="182" t="s">
        <v>577</v>
      </c>
      <c r="W93" s="182" t="s">
        <v>578</v>
      </c>
      <c r="X93" s="257">
        <f>VLOOKUP(V92,'[80]Location Status'!$A$7:$D$178,4,0)</f>
        <v>380</v>
      </c>
      <c r="Y93" s="258"/>
      <c r="Z93" s="182" t="s">
        <v>577</v>
      </c>
      <c r="AA93" s="182" t="s">
        <v>578</v>
      </c>
      <c r="AB93" s="257">
        <f>VLOOKUP(Z92,'[80]Location Status'!$A$7:$D$178,4,0)</f>
        <v>364</v>
      </c>
      <c r="AC93" s="258"/>
      <c r="AD93" s="182" t="s">
        <v>577</v>
      </c>
      <c r="AE93" s="182" t="s">
        <v>578</v>
      </c>
      <c r="AF93" s="257">
        <f>VLOOKUP(AD92,'[80]Location Status'!$A$7:$D$178,4,0)</f>
        <v>443</v>
      </c>
      <c r="AG93" s="258"/>
      <c r="AH93" s="182" t="s">
        <v>577</v>
      </c>
      <c r="AI93" s="182" t="s">
        <v>578</v>
      </c>
      <c r="AJ93" s="254">
        <f>VLOOKUP(AH92,'[80]Location Status'!$A$7:$D$178,4,0)</f>
        <v>389.72500000000002</v>
      </c>
      <c r="AK93" s="255"/>
      <c r="AL93" s="182" t="s">
        <v>577</v>
      </c>
      <c r="AM93" s="182" t="s">
        <v>578</v>
      </c>
      <c r="AN93" s="257">
        <f>VLOOKUP(AL92,'[80]Location Status'!$A$7:$D$178,4,0)</f>
        <v>439.99599999999998</v>
      </c>
      <c r="AO93" s="258"/>
      <c r="AP93" s="182" t="s">
        <v>577</v>
      </c>
      <c r="AQ93" s="182" t="s">
        <v>578</v>
      </c>
      <c r="AR93" s="257">
        <f>VLOOKUP(AP92,'[80]Location Status'!$A$7:$D$178,4,0)</f>
        <v>398</v>
      </c>
      <c r="AS93" s="258"/>
      <c r="AT93" s="145"/>
      <c r="AV93" s="246">
        <f>D93+H93+L93+P93+T93+X93+AB93+AF93+AJ93+AN93+AR93</f>
        <v>4485.1129999999994</v>
      </c>
      <c r="AW93" s="246"/>
      <c r="AY93">
        <v>11</v>
      </c>
      <c r="BB93" s="175"/>
      <c r="BC93" s="175"/>
      <c r="BD93" s="175"/>
    </row>
    <row r="94" spans="1:56" x14ac:dyDescent="0.35">
      <c r="A94" s="144"/>
      <c r="B94" s="156" t="s">
        <v>581</v>
      </c>
      <c r="C94" s="156" t="s">
        <v>582</v>
      </c>
      <c r="F94" s="156" t="s">
        <v>581</v>
      </c>
      <c r="G94" s="156" t="s">
        <v>582</v>
      </c>
      <c r="J94" s="156" t="s">
        <v>581</v>
      </c>
      <c r="K94" s="156" t="s">
        <v>582</v>
      </c>
      <c r="N94" s="156" t="s">
        <v>581</v>
      </c>
      <c r="O94" s="156" t="s">
        <v>582</v>
      </c>
      <c r="R94" s="156" t="s">
        <v>581</v>
      </c>
      <c r="S94" s="156" t="s">
        <v>582</v>
      </c>
      <c r="V94" s="156" t="s">
        <v>581</v>
      </c>
      <c r="W94" s="156" t="s">
        <v>582</v>
      </c>
      <c r="Z94" s="156" t="s">
        <v>581</v>
      </c>
      <c r="AA94" s="156" t="s">
        <v>582</v>
      </c>
      <c r="AD94" s="156" t="s">
        <v>581</v>
      </c>
      <c r="AE94" s="156" t="s">
        <v>582</v>
      </c>
      <c r="AH94" s="156" t="s">
        <v>581</v>
      </c>
      <c r="AI94" s="156" t="s">
        <v>582</v>
      </c>
      <c r="AL94" s="156" t="s">
        <v>581</v>
      </c>
      <c r="AM94" s="156" t="s">
        <v>582</v>
      </c>
      <c r="AP94" s="156" t="s">
        <v>581</v>
      </c>
      <c r="AQ94" s="156" t="s">
        <v>582</v>
      </c>
      <c r="AT94" s="145"/>
      <c r="AV94" s="246"/>
      <c r="AW94" s="246"/>
      <c r="BB94" s="175"/>
      <c r="BC94" s="175"/>
      <c r="BD94" s="175"/>
    </row>
    <row r="95" spans="1:56" x14ac:dyDescent="0.35">
      <c r="A95" s="144"/>
      <c r="B95" s="251" t="s">
        <v>441</v>
      </c>
      <c r="C95" s="251"/>
      <c r="F95" s="251" t="s">
        <v>441</v>
      </c>
      <c r="G95" s="251"/>
      <c r="J95" s="252" t="s">
        <v>596</v>
      </c>
      <c r="K95" s="253"/>
      <c r="N95" s="251" t="s">
        <v>441</v>
      </c>
      <c r="O95" s="251"/>
      <c r="R95" s="251" t="s">
        <v>441</v>
      </c>
      <c r="S95" s="251"/>
      <c r="V95" s="251" t="s">
        <v>441</v>
      </c>
      <c r="W95" s="251"/>
      <c r="Z95" s="251" t="s">
        <v>441</v>
      </c>
      <c r="AA95" s="251"/>
      <c r="AD95" s="251" t="s">
        <v>441</v>
      </c>
      <c r="AE95" s="251"/>
      <c r="AH95" s="251" t="s">
        <v>441</v>
      </c>
      <c r="AI95" s="251"/>
      <c r="AL95" s="251" t="s">
        <v>441</v>
      </c>
      <c r="AM95" s="251"/>
      <c r="AP95" s="251" t="s">
        <v>441</v>
      </c>
      <c r="AQ95" s="251"/>
      <c r="AT95" s="145"/>
      <c r="AV95" s="246"/>
      <c r="AW95" s="246"/>
      <c r="BB95" s="175"/>
      <c r="BC95" s="175"/>
      <c r="BD95" s="175"/>
    </row>
    <row r="96" spans="1:56" x14ac:dyDescent="0.35">
      <c r="A96" s="144"/>
      <c r="B96" s="180" t="str">
        <f>VLOOKUP(B92,'[80]Location Status'!$A$7:$D$178,3,0)</f>
        <v>DA+3</v>
      </c>
      <c r="C96" s="180"/>
      <c r="F96" s="180" t="str">
        <f>VLOOKUP(F92,'[80]Location Status'!$A$7:$D$178,3,0)</f>
        <v>DB1+9</v>
      </c>
      <c r="G96" s="180"/>
      <c r="J96" s="180" t="str">
        <f>VLOOKUP(J92,'[80]Location Status'!$A$7:$D$178,3,0)</f>
        <v>DA+9</v>
      </c>
      <c r="K96" s="180"/>
      <c r="N96" s="180" t="str">
        <f>VLOOKUP(N92,'[80]Location Status'!$A$7:$D$178,3,0)</f>
        <v>DA+3</v>
      </c>
      <c r="O96" s="180"/>
      <c r="R96" s="180" t="str">
        <f>VLOOKUP(R92,'[80]Location Status'!$A$7:$D$178,3,0)</f>
        <v>DA+0</v>
      </c>
      <c r="S96" s="180"/>
      <c r="V96" s="180" t="str">
        <f>VLOOKUP(V92,'[80]Location Status'!$A$7:$D$178,3,0)</f>
        <v>DA+3</v>
      </c>
      <c r="W96" s="180"/>
      <c r="Z96" s="180" t="str">
        <f>VLOOKUP(Z92,'[80]Location Status'!$A$7:$D$178,3,0)</f>
        <v>DA-3</v>
      </c>
      <c r="AA96" s="180"/>
      <c r="AD96" s="180" t="str">
        <f>VLOOKUP(AD92,'[80]Location Status'!$A$7:$D$178,3,0)</f>
        <v>DA+3</v>
      </c>
      <c r="AE96" s="180"/>
      <c r="AH96" s="180" t="str">
        <f>VLOOKUP(AH92,'[80]Location Status'!$A$7:$D$178,3,0)</f>
        <v>DA+6</v>
      </c>
      <c r="AI96" s="180"/>
      <c r="AL96" s="180" t="str">
        <f>VLOOKUP(AL92,'[80]Location Status'!$A$7:$D$178,3,0)</f>
        <v>DB2+3</v>
      </c>
      <c r="AM96" s="180"/>
      <c r="AP96" s="180" t="str">
        <f>VLOOKUP(AP92,'[80]Location Status'!$A$7:$D$178,3,0)</f>
        <v>DA+6</v>
      </c>
      <c r="AQ96" s="180"/>
      <c r="AT96" s="145"/>
      <c r="AV96" s="246"/>
      <c r="AW96" s="246"/>
      <c r="BB96" s="175"/>
      <c r="BC96" s="175"/>
      <c r="BD96" s="175"/>
    </row>
    <row r="97" spans="1:56" x14ac:dyDescent="0.35">
      <c r="A97" s="144"/>
      <c r="B97" s="158"/>
      <c r="C97" s="158"/>
      <c r="F97" s="158"/>
      <c r="G97" s="158"/>
      <c r="J97" s="158"/>
      <c r="K97" s="158"/>
      <c r="N97" s="158"/>
      <c r="O97" s="158"/>
      <c r="R97" s="158"/>
      <c r="S97" s="187"/>
      <c r="V97" s="158"/>
      <c r="W97" s="158"/>
      <c r="Z97" s="158"/>
      <c r="AA97" s="158"/>
      <c r="AD97" s="158"/>
      <c r="AE97" s="158"/>
      <c r="AH97" s="158"/>
      <c r="AI97" s="158"/>
      <c r="AL97" s="158"/>
      <c r="AM97" s="158"/>
      <c r="AP97" s="158"/>
      <c r="AQ97" s="158"/>
      <c r="AT97" s="145"/>
      <c r="AV97" s="246"/>
      <c r="AW97" s="246"/>
      <c r="BB97" s="175"/>
      <c r="BC97" s="175"/>
      <c r="BD97" s="175"/>
    </row>
    <row r="98" spans="1:56" x14ac:dyDescent="0.35">
      <c r="A98" s="144"/>
      <c r="B98" s="257" t="str">
        <f>VLOOKUP(B100,'[80]Location Status'!$A$7:$D$178,2,0)</f>
        <v>16/2</v>
      </c>
      <c r="C98" s="258"/>
      <c r="F98" s="257" t="str">
        <f>VLOOKUP(F100,'[80]Location Status'!$A$7:$D$178,2,0)</f>
        <v>16/3</v>
      </c>
      <c r="G98" s="258"/>
      <c r="J98" s="257" t="str">
        <f>VLOOKUP(J100,'[80]Location Status'!$A$7:$D$178,2,0)</f>
        <v>16/4</v>
      </c>
      <c r="K98" s="258"/>
      <c r="N98" s="257" t="str">
        <f>VLOOKUP(N100,'[80]Location Status'!$A$7:$D$178,2,0)</f>
        <v>16/5</v>
      </c>
      <c r="O98" s="258"/>
      <c r="R98" s="257" t="str">
        <f>VLOOKUP(R100,'[80]Location Status'!$A$7:$D$178,2,0)</f>
        <v>16/6</v>
      </c>
      <c r="S98" s="258"/>
      <c r="V98" s="257" t="str">
        <f>VLOOKUP(V100,'[80]Location Status'!$A$7:$D$178,2,0)</f>
        <v>17/0</v>
      </c>
      <c r="W98" s="258"/>
      <c r="Z98" s="257" t="str">
        <f>VLOOKUP(Z100,'[80]Location Status'!$A$7:$D$178,2,0)</f>
        <v>17/1</v>
      </c>
      <c r="AA98" s="258"/>
      <c r="AD98" s="257" t="str">
        <f>VLOOKUP(AD100,'[80]Location Status'!$A$7:$D$178,2,0)</f>
        <v>17/2</v>
      </c>
      <c r="AE98" s="258"/>
      <c r="AH98" s="257" t="str">
        <f>VLOOKUP(AH100,'[80]Location Status'!$A$7:$D$178,2,0)</f>
        <v>17/3</v>
      </c>
      <c r="AI98" s="258"/>
      <c r="AL98" s="257" t="str">
        <f>VLOOKUP(AL100,'[80]Location Status'!$A$7:$D$178,2,0)</f>
        <v>17/4</v>
      </c>
      <c r="AM98" s="258"/>
      <c r="AP98" s="257" t="str">
        <f>VLOOKUP(AP100,'[80]Location Status'!$A$7:$D$178,2,0)</f>
        <v>17/5</v>
      </c>
      <c r="AQ98" s="258"/>
      <c r="AT98" s="145"/>
      <c r="AV98" s="246"/>
      <c r="AW98" s="246"/>
      <c r="BB98" s="175"/>
      <c r="BC98" s="175"/>
      <c r="BD98" s="175"/>
    </row>
    <row r="99" spans="1:56" x14ac:dyDescent="0.35">
      <c r="A99" s="144"/>
      <c r="AT99" s="145"/>
      <c r="AV99" s="246"/>
      <c r="AW99" s="246"/>
      <c r="BB99" s="175"/>
      <c r="BC99" s="175"/>
      <c r="BD99" s="175"/>
    </row>
    <row r="100" spans="1:56" s="175" customFormat="1" ht="12.5" x14ac:dyDescent="0.25">
      <c r="A100" s="174"/>
      <c r="B100" s="175">
        <f>1+AP92</f>
        <v>85</v>
      </c>
      <c r="F100" s="175">
        <f>1+B100</f>
        <v>86</v>
      </c>
      <c r="J100" s="175">
        <f>1+F100</f>
        <v>87</v>
      </c>
      <c r="N100" s="175">
        <f>1+J100</f>
        <v>88</v>
      </c>
      <c r="R100" s="175">
        <f>1+N100</f>
        <v>89</v>
      </c>
      <c r="V100" s="175">
        <f>1+R100</f>
        <v>90</v>
      </c>
      <c r="Z100" s="175">
        <f>1+V100</f>
        <v>91</v>
      </c>
      <c r="AD100" s="175">
        <f>1+Z100</f>
        <v>92</v>
      </c>
      <c r="AH100" s="175">
        <f>1+AD100</f>
        <v>93</v>
      </c>
      <c r="AL100" s="175">
        <f>1+AH100</f>
        <v>94</v>
      </c>
      <c r="AP100" s="175">
        <f>1+AL100</f>
        <v>95</v>
      </c>
      <c r="AT100" s="176"/>
      <c r="AV100" s="259"/>
      <c r="AW100" s="259"/>
    </row>
    <row r="101" spans="1:56" x14ac:dyDescent="0.35">
      <c r="A101" s="144"/>
      <c r="B101" s="182" t="s">
        <v>577</v>
      </c>
      <c r="C101" s="182" t="s">
        <v>578</v>
      </c>
      <c r="D101" s="254">
        <f>VLOOKUP(B100,'[80]Location Status'!$A$7:$D$178,4,0)</f>
        <v>408</v>
      </c>
      <c r="E101" s="255"/>
      <c r="F101" s="182" t="s">
        <v>577</v>
      </c>
      <c r="G101" s="182" t="s">
        <v>578</v>
      </c>
      <c r="H101" s="257">
        <f>VLOOKUP(F100,'[80]Location Status'!$A$7:$D$178,4,0)</f>
        <v>481</v>
      </c>
      <c r="I101" s="258"/>
      <c r="J101" s="182" t="s">
        <v>577</v>
      </c>
      <c r="K101" s="182" t="s">
        <v>578</v>
      </c>
      <c r="L101" s="257">
        <f>VLOOKUP(J100,'[80]Location Status'!$A$7:$D$178,4,0)</f>
        <v>346</v>
      </c>
      <c r="M101" s="258"/>
      <c r="N101" s="182" t="s">
        <v>577</v>
      </c>
      <c r="O101" s="182" t="s">
        <v>578</v>
      </c>
      <c r="P101" s="257">
        <f>VLOOKUP(N100,'[80]Location Status'!$A$7:$D$178,4,0)</f>
        <v>291</v>
      </c>
      <c r="Q101" s="258"/>
      <c r="R101" s="182" t="s">
        <v>577</v>
      </c>
      <c r="S101" s="182" t="s">
        <v>578</v>
      </c>
      <c r="T101" s="254">
        <f>VLOOKUP(R100,'[80]Location Status'!$A$7:$D$178,4,0)</f>
        <v>348.60399999999998</v>
      </c>
      <c r="U101" s="255"/>
      <c r="V101" s="182" t="s">
        <v>577</v>
      </c>
      <c r="W101" s="182" t="s">
        <v>578</v>
      </c>
      <c r="X101" s="257">
        <f>VLOOKUP(V100,'[80]Location Status'!$A$7:$D$178,4,0)</f>
        <v>399.99599999999998</v>
      </c>
      <c r="Y101" s="258"/>
      <c r="Z101" s="182" t="s">
        <v>577</v>
      </c>
      <c r="AA101" s="182" t="s">
        <v>578</v>
      </c>
      <c r="AB101" s="257">
        <f>VLOOKUP(Z100,'[80]Location Status'!$A$7:$D$178,4,0)</f>
        <v>408</v>
      </c>
      <c r="AC101" s="258"/>
      <c r="AD101" s="182" t="s">
        <v>577</v>
      </c>
      <c r="AE101" s="182" t="s">
        <v>578</v>
      </c>
      <c r="AF101" s="257">
        <f>VLOOKUP(AD100,'[80]Location Status'!$A$7:$D$178,4,0)</f>
        <v>418</v>
      </c>
      <c r="AG101" s="258"/>
      <c r="AH101" s="182" t="s">
        <v>577</v>
      </c>
      <c r="AI101" s="182" t="s">
        <v>578</v>
      </c>
      <c r="AJ101" s="257">
        <f>VLOOKUP(AH100,'[80]Location Status'!$A$7:$D$178,4,0)</f>
        <v>421</v>
      </c>
      <c r="AK101" s="258"/>
      <c r="AL101" s="182" t="s">
        <v>577</v>
      </c>
      <c r="AM101" s="182" t="s">
        <v>578</v>
      </c>
      <c r="AN101" s="257">
        <f>VLOOKUP(AL100,'[80]Location Status'!$A$7:$D$178,4,0)</f>
        <v>503</v>
      </c>
      <c r="AO101" s="258"/>
      <c r="AP101" s="182" t="s">
        <v>577</v>
      </c>
      <c r="AQ101" s="182" t="s">
        <v>578</v>
      </c>
      <c r="AR101" s="254">
        <f>VLOOKUP(AP100,'[80]Location Status'!$A$7:$D$178,4,0)</f>
        <v>321</v>
      </c>
      <c r="AS101" s="255"/>
      <c r="AT101" s="145"/>
      <c r="AV101" s="246">
        <f>D101+H101+L101+P101+T101+X101+AB101+AF101+AJ101+AN101+AR101</f>
        <v>4345.6000000000004</v>
      </c>
      <c r="AW101" s="246"/>
      <c r="AY101">
        <v>11</v>
      </c>
      <c r="BB101" s="175"/>
      <c r="BC101" s="175"/>
      <c r="BD101" s="175"/>
    </row>
    <row r="102" spans="1:56" x14ac:dyDescent="0.35">
      <c r="A102" s="144"/>
      <c r="B102" s="156" t="s">
        <v>581</v>
      </c>
      <c r="C102" s="156" t="s">
        <v>582</v>
      </c>
      <c r="F102" s="156" t="s">
        <v>581</v>
      </c>
      <c r="G102" s="156" t="s">
        <v>582</v>
      </c>
      <c r="J102" s="156" t="s">
        <v>581</v>
      </c>
      <c r="K102" s="156" t="s">
        <v>582</v>
      </c>
      <c r="N102" s="156" t="s">
        <v>581</v>
      </c>
      <c r="O102" s="156" t="s">
        <v>582</v>
      </c>
      <c r="R102" s="156" t="s">
        <v>581</v>
      </c>
      <c r="S102" s="156" t="s">
        <v>582</v>
      </c>
      <c r="V102" s="156" t="s">
        <v>581</v>
      </c>
      <c r="W102" s="156" t="s">
        <v>582</v>
      </c>
      <c r="Z102" s="156" t="s">
        <v>581</v>
      </c>
      <c r="AA102" s="156" t="s">
        <v>582</v>
      </c>
      <c r="AD102" s="156" t="s">
        <v>581</v>
      </c>
      <c r="AE102" s="156" t="s">
        <v>582</v>
      </c>
      <c r="AH102" s="156" t="s">
        <v>581</v>
      </c>
      <c r="AI102" s="156" t="s">
        <v>582</v>
      </c>
      <c r="AL102" s="156" t="s">
        <v>581</v>
      </c>
      <c r="AM102" s="156" t="s">
        <v>582</v>
      </c>
      <c r="AP102" s="156" t="s">
        <v>581</v>
      </c>
      <c r="AQ102" s="156" t="s">
        <v>582</v>
      </c>
      <c r="AT102" s="145"/>
      <c r="AV102" s="246"/>
      <c r="AW102" s="246"/>
      <c r="BB102" s="175"/>
      <c r="BC102" s="175"/>
      <c r="BD102" s="175"/>
    </row>
    <row r="103" spans="1:56" x14ac:dyDescent="0.35">
      <c r="A103" s="144"/>
      <c r="B103" s="251" t="s">
        <v>441</v>
      </c>
      <c r="C103" s="251"/>
      <c r="F103" s="251" t="s">
        <v>441</v>
      </c>
      <c r="G103" s="251"/>
      <c r="J103" s="251" t="s">
        <v>441</v>
      </c>
      <c r="K103" s="251"/>
      <c r="N103" s="251" t="s">
        <v>441</v>
      </c>
      <c r="O103" s="251"/>
      <c r="R103" s="251" t="s">
        <v>441</v>
      </c>
      <c r="S103" s="251"/>
      <c r="V103" s="251" t="s">
        <v>441</v>
      </c>
      <c r="W103" s="251"/>
      <c r="Z103" s="251" t="s">
        <v>441</v>
      </c>
      <c r="AA103" s="251"/>
      <c r="AD103" s="251" t="s">
        <v>441</v>
      </c>
      <c r="AE103" s="251"/>
      <c r="AH103" s="252" t="s">
        <v>596</v>
      </c>
      <c r="AI103" s="253"/>
      <c r="AL103" s="252" t="s">
        <v>596</v>
      </c>
      <c r="AM103" s="253"/>
      <c r="AP103" s="251" t="s">
        <v>441</v>
      </c>
      <c r="AQ103" s="251"/>
      <c r="AT103" s="145"/>
      <c r="AV103" s="246"/>
      <c r="AW103" s="246"/>
      <c r="BB103" s="175"/>
      <c r="BC103" s="175"/>
      <c r="BD103" s="175"/>
    </row>
    <row r="104" spans="1:56" x14ac:dyDescent="0.35">
      <c r="A104" s="144"/>
      <c r="B104" s="180" t="str">
        <f>VLOOKUP(B100,'[80]Location Status'!$A$7:$D$178,3,0)</f>
        <v>DA-3</v>
      </c>
      <c r="C104" s="180"/>
      <c r="F104" s="180" t="str">
        <f>VLOOKUP(F100,'[80]Location Status'!$A$7:$D$178,3,0)</f>
        <v>DB1+6</v>
      </c>
      <c r="G104" s="180"/>
      <c r="J104" s="180" t="str">
        <f>VLOOKUP(J100,'[80]Location Status'!$A$7:$D$178,3,0)</f>
        <v>DA+9</v>
      </c>
      <c r="K104" s="180"/>
      <c r="N104" s="180" t="str">
        <f>VLOOKUP(N100,'[80]Location Status'!$A$7:$D$178,3,0)</f>
        <v>DA+0</v>
      </c>
      <c r="O104" s="180"/>
      <c r="R104" s="180" t="str">
        <f>VLOOKUP(R100,'[80]Location Status'!$A$7:$D$178,3,0)</f>
        <v>DA-3</v>
      </c>
      <c r="S104" s="180"/>
      <c r="V104" s="180" t="str">
        <f>VLOOKUP(V100,'[80]Location Status'!$A$7:$D$178,3,0)</f>
        <v>DB2+0</v>
      </c>
      <c r="W104" s="180"/>
      <c r="Z104" s="180" t="str">
        <f>VLOOKUP(Z100,'[80]Location Status'!$A$7:$D$178,3,0)</f>
        <v>DA+3</v>
      </c>
      <c r="AA104" s="180"/>
      <c r="AD104" s="180" t="str">
        <f>VLOOKUP(AD100,'[80]Location Status'!$A$7:$D$178,3,0)</f>
        <v>DA+0</v>
      </c>
      <c r="AE104" s="180"/>
      <c r="AH104" s="180" t="str">
        <f>VLOOKUP(AH100,'[80]Location Status'!$A$7:$D$178,3,0)</f>
        <v>DA+3</v>
      </c>
      <c r="AI104" s="180"/>
      <c r="AL104" s="180" t="str">
        <f>VLOOKUP(AL100,'[80]Location Status'!$A$7:$D$178,3,0)</f>
        <v>DB1+9</v>
      </c>
      <c r="AM104" s="180"/>
      <c r="AP104" s="180" t="str">
        <f>VLOOKUP(AP100,'[80]Location Status'!$A$7:$D$178,3,0)</f>
        <v>DA+9</v>
      </c>
      <c r="AQ104" s="180"/>
      <c r="AT104" s="145"/>
      <c r="AV104" s="246"/>
      <c r="AW104" s="246"/>
      <c r="BB104" s="184"/>
      <c r="BC104" s="184"/>
      <c r="BD104" s="185"/>
    </row>
    <row r="105" spans="1:56" x14ac:dyDescent="0.35">
      <c r="A105" s="144"/>
      <c r="R105" s="189"/>
      <c r="AT105" s="145"/>
      <c r="AV105" s="246"/>
      <c r="AW105" s="246"/>
    </row>
    <row r="106" spans="1:56" x14ac:dyDescent="0.35">
      <c r="A106" s="144"/>
      <c r="B106" s="257" t="str">
        <f>VLOOKUP(B108,'[80]Location Status'!$A$7:$D$178,2,0)</f>
        <v>17/6</v>
      </c>
      <c r="C106" s="258"/>
      <c r="F106" s="257" t="str">
        <f>VLOOKUP(F108,'[80]Location Status'!$A$7:$D$178,2,0)</f>
        <v>17/7</v>
      </c>
      <c r="G106" s="258"/>
      <c r="J106" s="257" t="str">
        <f>VLOOKUP(J108,'[80]Location Status'!$A$7:$D$178,2,0)</f>
        <v>17/8</v>
      </c>
      <c r="K106" s="258"/>
      <c r="N106" s="257" t="str">
        <f>VLOOKUP(N108,'[80]Location Status'!$A$7:$D$178,2,0)</f>
        <v>17/9</v>
      </c>
      <c r="O106" s="258"/>
      <c r="R106" s="257" t="str">
        <f>VLOOKUP(R108,'[80]Location Status'!$A$7:$D$178,2,0)</f>
        <v>18/0</v>
      </c>
      <c r="S106" s="258"/>
      <c r="V106" s="257" t="str">
        <f>VLOOKUP(V108,'[80]Location Status'!$A$7:$D$178,2,0)</f>
        <v>18/1</v>
      </c>
      <c r="W106" s="258"/>
      <c r="Z106" s="257" t="str">
        <f>VLOOKUP(Z108,'[80]Location Status'!$A$7:$D$178,2,0)</f>
        <v>18/2</v>
      </c>
      <c r="AA106" s="258"/>
      <c r="AD106" s="257" t="str">
        <f>VLOOKUP(AD108,'[80]Location Status'!$A$7:$D$178,2,0)</f>
        <v>18/3</v>
      </c>
      <c r="AE106" s="258"/>
      <c r="AH106" s="257" t="str">
        <f>VLOOKUP(AH108,'[80]Location Status'!$A$7:$D$178,2,0)</f>
        <v>18/4</v>
      </c>
      <c r="AI106" s="258"/>
      <c r="AL106" s="257" t="str">
        <f>VLOOKUP(AL108,'[80]Location Status'!$A$7:$D$178,2,0)</f>
        <v>18/5</v>
      </c>
      <c r="AM106" s="258"/>
      <c r="AP106" s="257" t="str">
        <f>VLOOKUP(AP108,'[80]Location Status'!$A$7:$D$178,2,0)</f>
        <v>18/6</v>
      </c>
      <c r="AQ106" s="258"/>
      <c r="AT106" s="145"/>
      <c r="AV106" s="246"/>
      <c r="AW106" s="246"/>
      <c r="BB106" s="183"/>
      <c r="BC106" s="184"/>
      <c r="BD106" s="185"/>
    </row>
    <row r="107" spans="1:56" x14ac:dyDescent="0.35">
      <c r="A107" s="144"/>
      <c r="AT107" s="145"/>
      <c r="AV107" s="246"/>
      <c r="AW107" s="246"/>
    </row>
    <row r="108" spans="1:56" s="175" customFormat="1" ht="12.5" x14ac:dyDescent="0.25">
      <c r="A108" s="174"/>
      <c r="B108" s="175">
        <f>1+AP100</f>
        <v>96</v>
      </c>
      <c r="F108" s="175">
        <f>1+B108</f>
        <v>97</v>
      </c>
      <c r="J108" s="175">
        <f>1+F108</f>
        <v>98</v>
      </c>
      <c r="N108" s="175">
        <f>1+J108</f>
        <v>99</v>
      </c>
      <c r="R108" s="175">
        <f>1+N108</f>
        <v>100</v>
      </c>
      <c r="V108" s="175">
        <f>1+R108</f>
        <v>101</v>
      </c>
      <c r="Z108" s="175">
        <f>1+V108</f>
        <v>102</v>
      </c>
      <c r="AD108" s="175">
        <f>1+Z108</f>
        <v>103</v>
      </c>
      <c r="AH108" s="175">
        <f>1+AD108</f>
        <v>104</v>
      </c>
      <c r="AL108" s="175">
        <f>1+AH108</f>
        <v>105</v>
      </c>
      <c r="AP108" s="175">
        <f>1+AL108</f>
        <v>106</v>
      </c>
      <c r="AT108" s="176"/>
      <c r="AV108" s="259"/>
      <c r="AW108" s="259"/>
    </row>
    <row r="109" spans="1:56" x14ac:dyDescent="0.35">
      <c r="A109" s="144"/>
      <c r="B109" s="182" t="s">
        <v>577</v>
      </c>
      <c r="C109" s="182" t="s">
        <v>578</v>
      </c>
      <c r="D109" s="257">
        <f>VLOOKUP(B108,'[80]Location Status'!$A$7:$D$178,4,0)</f>
        <v>389</v>
      </c>
      <c r="E109" s="258"/>
      <c r="F109" s="182" t="s">
        <v>577</v>
      </c>
      <c r="G109" s="182" t="s">
        <v>578</v>
      </c>
      <c r="H109" s="257">
        <f>VLOOKUP(F108,'[80]Location Status'!$A$7:$D$178,4,0)</f>
        <v>448</v>
      </c>
      <c r="I109" s="258"/>
      <c r="J109" s="182" t="s">
        <v>577</v>
      </c>
      <c r="K109" s="182" t="s">
        <v>578</v>
      </c>
      <c r="L109" s="257">
        <f>VLOOKUP(J108,'[80]Location Status'!$A$7:$D$178,4,0)</f>
        <v>304</v>
      </c>
      <c r="M109" s="258"/>
      <c r="N109" s="182" t="s">
        <v>577</v>
      </c>
      <c r="O109" s="182" t="s">
        <v>578</v>
      </c>
      <c r="P109" s="254">
        <f>VLOOKUP(N108,'[80]Location Status'!$A$7:$D$178,4,0)</f>
        <v>339.22800000000001</v>
      </c>
      <c r="Q109" s="255"/>
      <c r="R109" s="182" t="s">
        <v>577</v>
      </c>
      <c r="S109" s="182" t="s">
        <v>578</v>
      </c>
      <c r="T109" s="257">
        <f>VLOOKUP(R108,'[80]Location Status'!$A$7:$D$178,4,0)</f>
        <v>503.00200000000001</v>
      </c>
      <c r="U109" s="258"/>
      <c r="V109" s="182" t="s">
        <v>577</v>
      </c>
      <c r="W109" s="182" t="s">
        <v>578</v>
      </c>
      <c r="X109" s="257">
        <f>VLOOKUP(V108,'[80]Location Status'!$A$7:$D$178,4,0)</f>
        <v>433</v>
      </c>
      <c r="Y109" s="258"/>
      <c r="Z109" s="182" t="s">
        <v>577</v>
      </c>
      <c r="AA109" s="182" t="s">
        <v>578</v>
      </c>
      <c r="AB109" s="257">
        <f>VLOOKUP(Z108,'[80]Location Status'!$A$7:$D$178,4,0)</f>
        <v>405</v>
      </c>
      <c r="AC109" s="258"/>
      <c r="AD109" s="182" t="s">
        <v>577</v>
      </c>
      <c r="AE109" s="182" t="s">
        <v>578</v>
      </c>
      <c r="AF109" s="257">
        <f>VLOOKUP(AD108,'[80]Location Status'!$A$7:$D$178,4,0)</f>
        <v>418</v>
      </c>
      <c r="AG109" s="258"/>
      <c r="AH109" s="182" t="s">
        <v>577</v>
      </c>
      <c r="AI109" s="182" t="s">
        <v>578</v>
      </c>
      <c r="AJ109" s="254">
        <f>VLOOKUP(AH108,'[80]Location Status'!$A$7:$D$178,4,0)</f>
        <v>344</v>
      </c>
      <c r="AK109" s="255"/>
      <c r="AL109" s="182" t="s">
        <v>577</v>
      </c>
      <c r="AM109" s="182" t="s">
        <v>578</v>
      </c>
      <c r="AN109" s="257">
        <f>VLOOKUP(AL108,'[80]Location Status'!$A$7:$D$178,4,0)</f>
        <v>417</v>
      </c>
      <c r="AO109" s="258"/>
      <c r="AP109" s="182" t="s">
        <v>577</v>
      </c>
      <c r="AQ109" s="182" t="s">
        <v>578</v>
      </c>
      <c r="AR109" s="257">
        <f>VLOOKUP(AP108,'[80]Location Status'!$A$7:$D$178,4,0)</f>
        <v>384</v>
      </c>
      <c r="AS109" s="258"/>
      <c r="AT109" s="145"/>
      <c r="AV109" s="246">
        <f>D109+H109+L109+P109+T109+X109+AB109+AF109+AJ109+AN109+AR109</f>
        <v>4384.2299999999996</v>
      </c>
      <c r="AW109" s="246"/>
      <c r="AY109">
        <v>11</v>
      </c>
      <c r="BB109" s="184"/>
      <c r="BC109" s="184"/>
      <c r="BD109" s="185"/>
    </row>
    <row r="110" spans="1:56" x14ac:dyDescent="0.35">
      <c r="A110" s="144"/>
      <c r="B110" s="156" t="s">
        <v>581</v>
      </c>
      <c r="C110" s="156" t="s">
        <v>582</v>
      </c>
      <c r="F110" s="156" t="s">
        <v>581</v>
      </c>
      <c r="G110" s="156" t="s">
        <v>582</v>
      </c>
      <c r="J110" s="156" t="s">
        <v>581</v>
      </c>
      <c r="K110" s="156" t="s">
        <v>582</v>
      </c>
      <c r="N110" s="156" t="s">
        <v>581</v>
      </c>
      <c r="O110" s="156" t="s">
        <v>582</v>
      </c>
      <c r="R110" s="156" t="s">
        <v>581</v>
      </c>
      <c r="S110" s="156" t="s">
        <v>582</v>
      </c>
      <c r="V110" s="156" t="s">
        <v>581</v>
      </c>
      <c r="W110" s="156" t="s">
        <v>582</v>
      </c>
      <c r="Z110" s="156" t="s">
        <v>581</v>
      </c>
      <c r="AA110" s="156" t="s">
        <v>582</v>
      </c>
      <c r="AD110" s="156" t="s">
        <v>581</v>
      </c>
      <c r="AE110" s="156" t="s">
        <v>582</v>
      </c>
      <c r="AH110" s="156" t="s">
        <v>581</v>
      </c>
      <c r="AI110" s="156" t="s">
        <v>582</v>
      </c>
      <c r="AL110" s="156" t="s">
        <v>581</v>
      </c>
      <c r="AM110" s="156" t="s">
        <v>582</v>
      </c>
      <c r="AP110" s="156" t="s">
        <v>581</v>
      </c>
      <c r="AQ110" s="156" t="s">
        <v>582</v>
      </c>
      <c r="AT110" s="145"/>
      <c r="AV110" s="246"/>
      <c r="AW110" s="246"/>
    </row>
    <row r="111" spans="1:56" x14ac:dyDescent="0.35">
      <c r="A111" s="144"/>
      <c r="B111" s="251" t="s">
        <v>441</v>
      </c>
      <c r="C111" s="251"/>
      <c r="F111" s="252" t="s">
        <v>596</v>
      </c>
      <c r="G111" s="253"/>
      <c r="J111" s="252" t="s">
        <v>596</v>
      </c>
      <c r="K111" s="253"/>
      <c r="N111" s="252" t="s">
        <v>596</v>
      </c>
      <c r="O111" s="253"/>
      <c r="R111" s="252" t="s">
        <v>596</v>
      </c>
      <c r="S111" s="253"/>
      <c r="V111" s="252" t="s">
        <v>596</v>
      </c>
      <c r="W111" s="253"/>
      <c r="Z111" s="251" t="s">
        <v>441</v>
      </c>
      <c r="AA111" s="251"/>
      <c r="AD111" s="251" t="s">
        <v>441</v>
      </c>
      <c r="AE111" s="251"/>
      <c r="AH111" s="251" t="s">
        <v>441</v>
      </c>
      <c r="AI111" s="251"/>
      <c r="AL111" s="251" t="s">
        <v>441</v>
      </c>
      <c r="AM111" s="251"/>
      <c r="AP111" s="251" t="s">
        <v>441</v>
      </c>
      <c r="AQ111" s="251"/>
      <c r="AT111" s="145"/>
      <c r="AV111" s="246"/>
      <c r="AW111" s="246"/>
    </row>
    <row r="112" spans="1:56" x14ac:dyDescent="0.35">
      <c r="A112" s="144"/>
      <c r="B112" s="180" t="str">
        <f>VLOOKUP(B108,'[80]Location Status'!$A$7:$D$178,3,0)</f>
        <v>DA+3</v>
      </c>
      <c r="C112" s="180"/>
      <c r="F112" s="180" t="str">
        <f>VLOOKUP(F108,'[80]Location Status'!$A$7:$D$178,3,0)</f>
        <v>DA+9</v>
      </c>
      <c r="G112" s="180"/>
      <c r="J112" s="180" t="str">
        <f>VLOOKUP(J108,'[80]Location Status'!$A$7:$D$178,3,0)</f>
        <v>DA+0</v>
      </c>
      <c r="K112" s="180"/>
      <c r="N112" s="180" t="str">
        <f>VLOOKUP(N108,'[80]Location Status'!$A$7:$D$178,3,0)</f>
        <v>DA-1.5</v>
      </c>
      <c r="O112" s="180"/>
      <c r="R112" s="180" t="str">
        <f>VLOOKUP(R108,'[80]Location Status'!$A$7:$D$178,3,0)</f>
        <v>DB1+9</v>
      </c>
      <c r="S112" s="180"/>
      <c r="V112" s="180" t="str">
        <f>VLOOKUP(V108,'[80]Location Status'!$A$7:$D$178,3,0)</f>
        <v>DB1+9</v>
      </c>
      <c r="W112" s="180"/>
      <c r="Z112" s="180" t="str">
        <f>VLOOKUP(Z108,'[80]Location Status'!$A$7:$D$178,3,0)</f>
        <v>DA+0</v>
      </c>
      <c r="AA112" s="180"/>
      <c r="AD112" s="180" t="str">
        <f>VLOOKUP(AD108,'[80]Location Status'!$A$7:$D$178,3,0)</f>
        <v>DA+6</v>
      </c>
      <c r="AE112" s="180"/>
      <c r="AH112" s="180" t="str">
        <f>VLOOKUP(AH108,'[80]Location Status'!$A$7:$D$178,3,0)</f>
        <v>DA-1.5</v>
      </c>
      <c r="AI112" s="180"/>
      <c r="AL112" s="180" t="str">
        <f>VLOOKUP(AL108,'[80]Location Status'!$A$7:$D$178,3,0)</f>
        <v>DA+3</v>
      </c>
      <c r="AM112" s="180"/>
      <c r="AP112" s="180" t="str">
        <f>VLOOKUP(AP108,'[80]Location Status'!$A$7:$D$178,3,0)</f>
        <v>DA+3</v>
      </c>
      <c r="AQ112" s="180"/>
      <c r="AT112" s="145"/>
      <c r="AV112" s="246"/>
      <c r="AW112" s="246"/>
      <c r="BB112" s="184"/>
      <c r="BC112" s="184"/>
      <c r="BD112" s="185"/>
    </row>
    <row r="113" spans="1:56" x14ac:dyDescent="0.35">
      <c r="A113" s="144"/>
      <c r="AT113" s="145"/>
      <c r="AV113" s="246"/>
      <c r="AW113" s="246"/>
    </row>
    <row r="114" spans="1:56" x14ac:dyDescent="0.35">
      <c r="A114" s="144"/>
      <c r="B114" s="257" t="str">
        <f>VLOOKUP(B116,'[80]Location Status'!$A$7:$D$178,2,0)</f>
        <v>18/7</v>
      </c>
      <c r="C114" s="258"/>
      <c r="F114" s="257" t="str">
        <f>VLOOKUP(F116,'[80]Location Status'!$A$7:$D$178,2,0)</f>
        <v>18/8</v>
      </c>
      <c r="G114" s="258"/>
      <c r="J114" s="257" t="str">
        <f>VLOOKUP(J116,'[80]Location Status'!$A$7:$D$178,2,0)</f>
        <v>19/0</v>
      </c>
      <c r="K114" s="258"/>
      <c r="N114" s="257" t="str">
        <f>VLOOKUP(N116,'[80]Location Status'!$A$7:$D$178,2,0)</f>
        <v>19/1</v>
      </c>
      <c r="O114" s="258"/>
      <c r="R114" s="257" t="str">
        <f>VLOOKUP(R116,'[80]Location Status'!$A$7:$D$178,2,0)</f>
        <v>19/2</v>
      </c>
      <c r="S114" s="258"/>
      <c r="V114" s="257" t="str">
        <f>VLOOKUP(V115,'[80]Location Status'!$A$7:$D$178,2,0)</f>
        <v>19/3</v>
      </c>
      <c r="W114" s="258"/>
      <c r="Z114" s="172" t="str">
        <f>VLOOKUP(Z116,'[80]Location Status'!$A$7:$D$178,2,0)</f>
        <v>20/0</v>
      </c>
      <c r="AA114" s="171"/>
      <c r="AD114" s="257" t="str">
        <f>VLOOKUP(AD116,'[80]Location Status'!$A$7:$D$178,2,0)</f>
        <v>21/0</v>
      </c>
      <c r="AE114" s="258"/>
      <c r="AH114" s="257" t="str">
        <f>VLOOKUP(AH116,'[80]Location Status'!$A$7:$D$178,2,0)</f>
        <v>21/1</v>
      </c>
      <c r="AI114" s="258"/>
      <c r="AL114" s="257" t="str">
        <f>VLOOKUP(AL116,'[80]Location Status'!$A$7:$D$178,2,0)</f>
        <v>21/2</v>
      </c>
      <c r="AM114" s="258"/>
      <c r="AP114" s="257" t="str">
        <f>VLOOKUP(AP116,'[80]Location Status'!$A$7:$D$178,2,0)</f>
        <v>21/3</v>
      </c>
      <c r="AQ114" s="258"/>
      <c r="AT114" s="145"/>
      <c r="AV114" s="246"/>
      <c r="AW114" s="246"/>
      <c r="BB114" s="183"/>
      <c r="BC114" s="184"/>
      <c r="BD114" s="185"/>
    </row>
    <row r="115" spans="1:56" x14ac:dyDescent="0.35">
      <c r="A115" s="144"/>
      <c r="V115" s="175">
        <f>R116+1</f>
        <v>112</v>
      </c>
      <c r="AT115" s="145"/>
      <c r="AV115" s="246"/>
      <c r="AW115" s="246"/>
    </row>
    <row r="116" spans="1:56" s="175" customFormat="1" ht="12.5" x14ac:dyDescent="0.25">
      <c r="A116" s="174"/>
      <c r="B116" s="175">
        <f>1+AP108</f>
        <v>107</v>
      </c>
      <c r="F116" s="175">
        <f>1+B116</f>
        <v>108</v>
      </c>
      <c r="J116" s="175">
        <f>1+F116</f>
        <v>109</v>
      </c>
      <c r="N116" s="175">
        <f>1+J116</f>
        <v>110</v>
      </c>
      <c r="R116" s="175">
        <f>1+N116</f>
        <v>111</v>
      </c>
      <c r="V116" s="175">
        <f>1+R116</f>
        <v>112</v>
      </c>
      <c r="Z116" s="175">
        <f>1+V116</f>
        <v>113</v>
      </c>
      <c r="AD116" s="175">
        <f>1+Z116</f>
        <v>114</v>
      </c>
      <c r="AH116" s="175">
        <f>1+AD116</f>
        <v>115</v>
      </c>
      <c r="AL116" s="175">
        <f>1+AH116</f>
        <v>116</v>
      </c>
      <c r="AP116" s="175">
        <f>1+AL116</f>
        <v>117</v>
      </c>
      <c r="AT116" s="176"/>
      <c r="AV116" s="259"/>
      <c r="AW116" s="259"/>
    </row>
    <row r="117" spans="1:56" x14ac:dyDescent="0.35">
      <c r="A117" s="144"/>
      <c r="B117" s="182" t="s">
        <v>577</v>
      </c>
      <c r="C117" s="182" t="s">
        <v>578</v>
      </c>
      <c r="D117" s="257">
        <f>VLOOKUP(B116,'[80]Location Status'!$A$7:$D$178,4,0)</f>
        <v>326</v>
      </c>
      <c r="E117" s="258"/>
      <c r="F117" s="182" t="s">
        <v>577</v>
      </c>
      <c r="G117" s="182" t="s">
        <v>578</v>
      </c>
      <c r="H117" s="254">
        <f>VLOOKUP(F116,'[80]Location Status'!$A$7:$D$178,4,0)</f>
        <v>298.20600000000002</v>
      </c>
      <c r="I117" s="255"/>
      <c r="J117" s="182" t="s">
        <v>577</v>
      </c>
      <c r="K117" s="182" t="s">
        <v>578</v>
      </c>
      <c r="L117" s="254">
        <f>VLOOKUP(J116,'[80]Location Status'!$A$7:$D$178,4,0)</f>
        <v>415.00400000000002</v>
      </c>
      <c r="M117" s="255"/>
      <c r="N117" s="182" t="s">
        <v>577</v>
      </c>
      <c r="O117" s="182" t="s">
        <v>578</v>
      </c>
      <c r="P117" s="257">
        <f>VLOOKUP(N116,'[80]Location Status'!$A$7:$D$178,4,0)</f>
        <v>395</v>
      </c>
      <c r="Q117" s="258"/>
      <c r="R117" s="182" t="s">
        <v>577</v>
      </c>
      <c r="S117" s="182" t="s">
        <v>578</v>
      </c>
      <c r="T117" s="257">
        <f>VLOOKUP(R116,'[80]Location Status'!$A$7:$D$178,4,0)</f>
        <v>404</v>
      </c>
      <c r="U117" s="258"/>
      <c r="V117" s="182" t="s">
        <v>577</v>
      </c>
      <c r="W117" s="182" t="s">
        <v>578</v>
      </c>
      <c r="X117" s="254">
        <f>VLOOKUP(V115,'[80]Location Status'!$A$7:$D$178,4,0)</f>
        <v>359.55599999999998</v>
      </c>
      <c r="Y117" s="255"/>
      <c r="Z117" s="182" t="s">
        <v>577</v>
      </c>
      <c r="AA117" s="182" t="s">
        <v>578</v>
      </c>
      <c r="AB117" s="254">
        <f>VLOOKUP(Z116,'[80]Location Status'!$A$7:$D$178,4,0)</f>
        <v>460.68400000000003</v>
      </c>
      <c r="AC117" s="255"/>
      <c r="AD117" s="182" t="s">
        <v>577</v>
      </c>
      <c r="AE117" s="182" t="s">
        <v>578</v>
      </c>
      <c r="AF117" s="257">
        <f>VLOOKUP(AD116,'[80]Location Status'!$A$7:$D$178,4,0)</f>
        <v>431</v>
      </c>
      <c r="AG117" s="258"/>
      <c r="AH117" s="182" t="s">
        <v>577</v>
      </c>
      <c r="AI117" s="182" t="s">
        <v>578</v>
      </c>
      <c r="AJ117" s="254">
        <f>VLOOKUP(AH116,'[80]Location Status'!$A$7:$D$178,4,0)</f>
        <v>409</v>
      </c>
      <c r="AK117" s="255"/>
      <c r="AL117" s="182" t="s">
        <v>577</v>
      </c>
      <c r="AM117" s="182" t="s">
        <v>578</v>
      </c>
      <c r="AN117" s="257">
        <f>VLOOKUP(AL116,'[80]Location Status'!$A$7:$D$178,4,0)</f>
        <v>359</v>
      </c>
      <c r="AO117" s="258"/>
      <c r="AP117" s="182" t="s">
        <v>577</v>
      </c>
      <c r="AQ117" s="182" t="s">
        <v>578</v>
      </c>
      <c r="AR117" s="257">
        <f>VLOOKUP(AP116,'[80]Location Status'!$A$7:$D$178,4,0)</f>
        <v>414</v>
      </c>
      <c r="AS117" s="258"/>
      <c r="AT117" s="145"/>
      <c r="AV117" s="246">
        <f>D117+H117+L117+P117+T117+X117+AB117+AF117+AJ117+AN117+AR117</f>
        <v>4271.4500000000007</v>
      </c>
      <c r="AW117" s="246"/>
      <c r="AY117">
        <v>11</v>
      </c>
      <c r="BB117" s="184"/>
      <c r="BC117" s="184"/>
      <c r="BD117" s="185"/>
    </row>
    <row r="118" spans="1:56" x14ac:dyDescent="0.35">
      <c r="A118" s="144"/>
      <c r="B118" s="156" t="s">
        <v>581</v>
      </c>
      <c r="C118" s="156" t="s">
        <v>582</v>
      </c>
      <c r="F118" s="156" t="s">
        <v>581</v>
      </c>
      <c r="G118" s="156" t="s">
        <v>582</v>
      </c>
      <c r="J118" s="156" t="s">
        <v>581</v>
      </c>
      <c r="K118" s="156" t="s">
        <v>582</v>
      </c>
      <c r="N118" s="156" t="s">
        <v>581</v>
      </c>
      <c r="O118" s="156" t="s">
        <v>582</v>
      </c>
      <c r="R118" s="156" t="s">
        <v>581</v>
      </c>
      <c r="S118" s="156" t="s">
        <v>582</v>
      </c>
      <c r="V118" s="156" t="s">
        <v>581</v>
      </c>
      <c r="W118" s="156" t="s">
        <v>582</v>
      </c>
      <c r="Z118" s="156" t="s">
        <v>581</v>
      </c>
      <c r="AA118" s="156" t="s">
        <v>582</v>
      </c>
      <c r="AD118" s="156" t="s">
        <v>581</v>
      </c>
      <c r="AE118" s="156" t="s">
        <v>582</v>
      </c>
      <c r="AH118" s="156" t="s">
        <v>581</v>
      </c>
      <c r="AI118" s="156" t="s">
        <v>582</v>
      </c>
      <c r="AL118" s="156" t="s">
        <v>581</v>
      </c>
      <c r="AM118" s="156" t="s">
        <v>582</v>
      </c>
      <c r="AP118" s="156" t="s">
        <v>581</v>
      </c>
      <c r="AQ118" s="156" t="s">
        <v>582</v>
      </c>
      <c r="AT118" s="145"/>
      <c r="AV118" s="246"/>
      <c r="AW118" s="246"/>
    </row>
    <row r="119" spans="1:56" x14ac:dyDescent="0.35">
      <c r="A119" s="144"/>
      <c r="B119" s="251" t="s">
        <v>441</v>
      </c>
      <c r="C119" s="251"/>
      <c r="F119" s="251" t="s">
        <v>441</v>
      </c>
      <c r="G119" s="251"/>
      <c r="J119" s="251" t="s">
        <v>441</v>
      </c>
      <c r="K119" s="251"/>
      <c r="N119" s="252" t="s">
        <v>596</v>
      </c>
      <c r="O119" s="253"/>
      <c r="R119" s="251" t="s">
        <v>441</v>
      </c>
      <c r="S119" s="251"/>
      <c r="V119" s="251" t="s">
        <v>441</v>
      </c>
      <c r="W119" s="251"/>
      <c r="Z119" s="238" t="s">
        <v>441</v>
      </c>
      <c r="AA119" s="238"/>
      <c r="AD119" s="251" t="s">
        <v>441</v>
      </c>
      <c r="AE119" s="251"/>
      <c r="AH119" s="251" t="s">
        <v>441</v>
      </c>
      <c r="AI119" s="251"/>
      <c r="AL119" s="251" t="s">
        <v>441</v>
      </c>
      <c r="AM119" s="251"/>
      <c r="AP119" s="251" t="s">
        <v>441</v>
      </c>
      <c r="AQ119" s="251"/>
      <c r="AT119" s="145"/>
      <c r="AV119" s="246"/>
      <c r="AW119" s="246"/>
    </row>
    <row r="120" spans="1:56" x14ac:dyDescent="0.35">
      <c r="A120" s="144"/>
      <c r="B120" s="180" t="str">
        <f>VLOOKUP(B116,'[80]Location Status'!$A$7:$D$178,3,0)</f>
        <v>DA-1.5</v>
      </c>
      <c r="C120" s="180"/>
      <c r="F120" s="180" t="str">
        <f>VLOOKUP(F116,'[80]Location Status'!$A$7:$D$178,3,0)</f>
        <v>DA-3</v>
      </c>
      <c r="G120" s="180"/>
      <c r="J120" s="180" t="str">
        <f>VLOOKUP(J116,'[80]Location Status'!$A$7:$D$178,3,0)</f>
        <v>DD45+0</v>
      </c>
      <c r="K120" s="180"/>
      <c r="N120" s="180" t="str">
        <f>VLOOKUP(N116,'[80]Location Status'!$A$7:$D$178,3,0)</f>
        <v>DA+3</v>
      </c>
      <c r="O120" s="180"/>
      <c r="R120" s="180" t="str">
        <f>VLOOKUP(R116,'[80]Location Status'!$A$7:$D$178,3,0)</f>
        <v>DA+3</v>
      </c>
      <c r="S120" s="180"/>
      <c r="V120" s="180" t="str">
        <f>VLOOKUP(V115,'[80]Location Status'!$A$7:$D$178,3,0)</f>
        <v>DA+0</v>
      </c>
      <c r="W120" s="180"/>
      <c r="Z120" s="180" t="str">
        <f>VLOOKUP(Z116,'[80]Location Status'!$A$7:$D$178,3,0)</f>
        <v>DD45+6</v>
      </c>
      <c r="AA120" s="180"/>
      <c r="AD120" s="180" t="str">
        <f>VLOOKUP(AD116,'[80]Location Status'!$A$7:$D$178,3,0)</f>
        <v>DB2+6</v>
      </c>
      <c r="AE120" s="180"/>
      <c r="AH120" s="180" t="str">
        <f>VLOOKUP(AH116,'[80]Location Status'!$A$7:$D$178,3,0)</f>
        <v>DA+0</v>
      </c>
      <c r="AI120" s="180"/>
      <c r="AL120" s="180" t="str">
        <f>VLOOKUP(AL116,'[80]Location Status'!$A$7:$D$178,3,0)</f>
        <v>DA+3</v>
      </c>
      <c r="AM120" s="180"/>
      <c r="AP120" s="180" t="str">
        <f>VLOOKUP(AP116,'[80]Location Status'!$A$7:$D$178,3,0)</f>
        <v>DC1+0(T)</v>
      </c>
      <c r="AQ120" s="180"/>
      <c r="AT120" s="145"/>
      <c r="AV120" s="246"/>
      <c r="AW120" s="246"/>
      <c r="BB120" s="184"/>
      <c r="BC120" s="184"/>
      <c r="BD120" s="185"/>
    </row>
    <row r="121" spans="1:56" x14ac:dyDescent="0.35">
      <c r="A121" s="144"/>
      <c r="B121" s="158"/>
      <c r="C121" s="158"/>
      <c r="F121" s="158"/>
      <c r="G121" s="158"/>
      <c r="J121" s="158"/>
      <c r="K121" s="158"/>
      <c r="N121" s="158"/>
      <c r="O121" s="158"/>
      <c r="R121" s="158"/>
      <c r="S121" s="158"/>
      <c r="T121" s="179"/>
      <c r="V121" s="158"/>
      <c r="W121" s="158"/>
      <c r="AD121" s="158"/>
      <c r="AE121" s="158"/>
      <c r="AH121" s="158"/>
      <c r="AI121" s="158"/>
      <c r="AL121" s="158"/>
      <c r="AM121" s="158"/>
      <c r="AP121" s="187" t="s">
        <v>599</v>
      </c>
      <c r="AQ121" s="158"/>
      <c r="AT121" s="145"/>
      <c r="AV121" s="246"/>
      <c r="AW121" s="246"/>
    </row>
    <row r="122" spans="1:56" x14ac:dyDescent="0.35">
      <c r="A122" s="144"/>
      <c r="AT122" s="145"/>
      <c r="AV122" s="246"/>
      <c r="AW122" s="246"/>
    </row>
    <row r="123" spans="1:56" x14ac:dyDescent="0.35">
      <c r="A123" s="144"/>
      <c r="B123" s="257" t="str">
        <f>VLOOKUP(B125,'[80]Location Status'!$A$7:$D$178,2,0)</f>
        <v>21/4</v>
      </c>
      <c r="C123" s="258"/>
      <c r="F123" s="257" t="str">
        <f>VLOOKUP(F125,'[80]Location Status'!$A$7:$D$178,2,0)</f>
        <v>21/5</v>
      </c>
      <c r="G123" s="258"/>
      <c r="J123" s="257" t="str">
        <f>VLOOKUP(J125,'[80]Location Status'!$A$7:$D$178,2,0)</f>
        <v>22/0</v>
      </c>
      <c r="K123" s="258"/>
      <c r="N123" s="257" t="str">
        <f>VLOOKUP(N125,'[80]Location Status'!$A$7:$D$178,2,0)</f>
        <v>22/1</v>
      </c>
      <c r="O123" s="258"/>
      <c r="R123" s="257" t="str">
        <f>VLOOKUP(R125,'[80]Location Status'!$A$7:$D$178,2,0)</f>
        <v>22/2</v>
      </c>
      <c r="S123" s="258"/>
      <c r="V123" s="257" t="str">
        <f>VLOOKUP(V125,'[80]Location Status'!$A$7:$D$178,2,0)</f>
        <v>22/3</v>
      </c>
      <c r="W123" s="258"/>
      <c r="Z123" s="257" t="str">
        <f>VLOOKUP(Z125,'[80]Location Status'!$A$7:$D$178,2,0)</f>
        <v>22/4</v>
      </c>
      <c r="AA123" s="258"/>
      <c r="AD123" s="257" t="str">
        <f>VLOOKUP(AD125,'[80]Location Status'!$A$7:$D$178,2,0)</f>
        <v>23/0</v>
      </c>
      <c r="AE123" s="258"/>
      <c r="AH123" s="257" t="str">
        <f>VLOOKUP(AH125,'[80]Location Status'!$A$7:$D$178,2,0)</f>
        <v>23/1</v>
      </c>
      <c r="AI123" s="258"/>
      <c r="AL123" s="257" t="str">
        <f>VLOOKUP(AL125,'[80]Location Status'!$A$7:$D$178,2,0)</f>
        <v>23/2</v>
      </c>
      <c r="AM123" s="258"/>
      <c r="AP123" s="257" t="str">
        <f>VLOOKUP(AP125,'[80]Location Status'!$A$7:$D$178,2,0)</f>
        <v>23/3</v>
      </c>
      <c r="AQ123" s="258"/>
      <c r="AT123" s="145"/>
      <c r="AV123" s="246"/>
      <c r="AW123" s="246"/>
      <c r="BB123" s="183"/>
      <c r="BC123" s="184"/>
      <c r="BD123" s="185"/>
    </row>
    <row r="124" spans="1:56" x14ac:dyDescent="0.35">
      <c r="A124" s="144"/>
      <c r="AT124" s="145"/>
      <c r="AV124" s="246"/>
      <c r="AW124" s="246"/>
    </row>
    <row r="125" spans="1:56" s="175" customFormat="1" ht="12.5" x14ac:dyDescent="0.25">
      <c r="A125" s="174"/>
      <c r="B125" s="175">
        <f>1+AP116</f>
        <v>118</v>
      </c>
      <c r="F125" s="175">
        <f>1+B125</f>
        <v>119</v>
      </c>
      <c r="J125" s="175">
        <f>1+F125</f>
        <v>120</v>
      </c>
      <c r="N125" s="175">
        <f>1+J125</f>
        <v>121</v>
      </c>
      <c r="R125" s="175">
        <f>1+N125</f>
        <v>122</v>
      </c>
      <c r="V125" s="175">
        <f>1+R125</f>
        <v>123</v>
      </c>
      <c r="Z125" s="175">
        <f>1+V125</f>
        <v>124</v>
      </c>
      <c r="AD125" s="175">
        <f>1+Z125</f>
        <v>125</v>
      </c>
      <c r="AH125" s="175">
        <f>1+AD125</f>
        <v>126</v>
      </c>
      <c r="AL125" s="175">
        <f>1+AH125</f>
        <v>127</v>
      </c>
      <c r="AP125" s="175">
        <f>1+AL125</f>
        <v>128</v>
      </c>
      <c r="AT125" s="176"/>
      <c r="AV125" s="259"/>
      <c r="AW125" s="259"/>
    </row>
    <row r="126" spans="1:56" x14ac:dyDescent="0.35">
      <c r="A126" s="144"/>
      <c r="B126" s="182" t="s">
        <v>577</v>
      </c>
      <c r="C126" s="182" t="s">
        <v>578</v>
      </c>
      <c r="D126" s="254">
        <f>VLOOKUP(B125,'[80]Location Status'!$A$7:$D$178,4,0)</f>
        <v>425</v>
      </c>
      <c r="E126" s="255"/>
      <c r="F126" s="182" t="s">
        <v>577</v>
      </c>
      <c r="G126" s="182" t="s">
        <v>578</v>
      </c>
      <c r="H126" s="254">
        <f>VLOOKUP(F125,'[80]Location Status'!$A$7:$D$178,4,0)</f>
        <v>356.40600000000001</v>
      </c>
      <c r="I126" s="255"/>
      <c r="J126" s="182" t="s">
        <v>577</v>
      </c>
      <c r="K126" s="182" t="s">
        <v>578</v>
      </c>
      <c r="L126" s="254">
        <f>VLOOKUP(J125,'[80]Location Status'!$A$7:$D$178,4,0)</f>
        <v>409.00400000000002</v>
      </c>
      <c r="M126" s="255"/>
      <c r="N126" s="182" t="s">
        <v>577</v>
      </c>
      <c r="O126" s="182" t="s">
        <v>578</v>
      </c>
      <c r="P126" s="254">
        <f>VLOOKUP(N125,'[80]Location Status'!$A$7:$D$178,4,0)</f>
        <v>416</v>
      </c>
      <c r="Q126" s="255"/>
      <c r="R126" s="182" t="s">
        <v>577</v>
      </c>
      <c r="S126" s="182" t="s">
        <v>578</v>
      </c>
      <c r="T126" s="254">
        <f>VLOOKUP(R125,'[80]Location Status'!$A$7:$D$178,4,0)</f>
        <v>419</v>
      </c>
      <c r="U126" s="255"/>
      <c r="V126" s="182" t="s">
        <v>577</v>
      </c>
      <c r="W126" s="182" t="s">
        <v>578</v>
      </c>
      <c r="X126" s="254">
        <f>VLOOKUP(V125,'[80]Location Status'!$A$7:$D$178,4,0)</f>
        <v>413</v>
      </c>
      <c r="Y126" s="255"/>
      <c r="Z126" s="182" t="s">
        <v>577</v>
      </c>
      <c r="AA126" s="182" t="s">
        <v>578</v>
      </c>
      <c r="AB126" s="254">
        <f>VLOOKUP(Z125,'[80]Location Status'!$A$7:$D$178,4,0)</f>
        <v>315.50799999999998</v>
      </c>
      <c r="AC126" s="255"/>
      <c r="AD126" s="182" t="s">
        <v>577</v>
      </c>
      <c r="AE126" s="182" t="s">
        <v>578</v>
      </c>
      <c r="AF126" s="254">
        <f>VLOOKUP(AD125,'[80]Location Status'!$A$7:$D$178,4,0)</f>
        <v>431.00200000000001</v>
      </c>
      <c r="AG126" s="255"/>
      <c r="AH126" s="182" t="s">
        <v>577</v>
      </c>
      <c r="AI126" s="182" t="s">
        <v>578</v>
      </c>
      <c r="AJ126" s="254">
        <f>VLOOKUP(AH125,'[80]Location Status'!$A$7:$D$178,4,0)</f>
        <v>409</v>
      </c>
      <c r="AK126" s="255"/>
      <c r="AL126" s="182" t="s">
        <v>577</v>
      </c>
      <c r="AM126" s="182" t="s">
        <v>578</v>
      </c>
      <c r="AN126" s="254">
        <f>VLOOKUP(AL125,'[80]Location Status'!$A$7:$D$178,4,0)</f>
        <v>428</v>
      </c>
      <c r="AO126" s="255"/>
      <c r="AP126" s="182" t="s">
        <v>577</v>
      </c>
      <c r="AQ126" s="182" t="s">
        <v>578</v>
      </c>
      <c r="AR126" s="254">
        <f>VLOOKUP(AP125,'[80]Location Status'!$A$7:$D$178,4,0)</f>
        <v>412</v>
      </c>
      <c r="AS126" s="255"/>
      <c r="AT126" s="190"/>
      <c r="AV126" s="246">
        <f>D126+H126+L126+P126+T126+X126+AB126+AF126+AJ126+AN126+AR126</f>
        <v>4433.92</v>
      </c>
      <c r="AW126" s="246"/>
      <c r="AY126">
        <v>11</v>
      </c>
      <c r="BB126" s="184"/>
      <c r="BC126" s="184"/>
      <c r="BD126" s="185"/>
    </row>
    <row r="127" spans="1:56" x14ac:dyDescent="0.35">
      <c r="A127" s="144"/>
      <c r="B127" s="156" t="s">
        <v>581</v>
      </c>
      <c r="C127" s="156" t="s">
        <v>582</v>
      </c>
      <c r="F127" s="156" t="s">
        <v>581</v>
      </c>
      <c r="G127" s="156" t="s">
        <v>582</v>
      </c>
      <c r="J127" s="156" t="s">
        <v>581</v>
      </c>
      <c r="K127" s="156" t="s">
        <v>582</v>
      </c>
      <c r="N127" s="156" t="s">
        <v>581</v>
      </c>
      <c r="O127" s="156" t="s">
        <v>582</v>
      </c>
      <c r="R127" s="156" t="s">
        <v>581</v>
      </c>
      <c r="S127" s="156" t="s">
        <v>582</v>
      </c>
      <c r="V127" s="156" t="s">
        <v>581</v>
      </c>
      <c r="W127" s="156" t="s">
        <v>582</v>
      </c>
      <c r="Z127" s="156" t="s">
        <v>581</v>
      </c>
      <c r="AA127" s="156" t="s">
        <v>582</v>
      </c>
      <c r="AD127" s="156" t="s">
        <v>581</v>
      </c>
      <c r="AE127" s="156" t="s">
        <v>582</v>
      </c>
      <c r="AH127" s="156" t="s">
        <v>581</v>
      </c>
      <c r="AI127" s="156" t="s">
        <v>582</v>
      </c>
      <c r="AL127" s="156" t="s">
        <v>581</v>
      </c>
      <c r="AM127" s="156" t="s">
        <v>582</v>
      </c>
      <c r="AP127" s="156" t="s">
        <v>581</v>
      </c>
      <c r="AQ127" s="156" t="s">
        <v>582</v>
      </c>
      <c r="AT127" s="145"/>
      <c r="AV127" s="246"/>
      <c r="AW127" s="246"/>
    </row>
    <row r="128" spans="1:56" x14ac:dyDescent="0.35">
      <c r="A128" s="144"/>
      <c r="B128" s="251" t="s">
        <v>441</v>
      </c>
      <c r="C128" s="251"/>
      <c r="F128" s="251" t="s">
        <v>441</v>
      </c>
      <c r="G128" s="251"/>
      <c r="J128" s="251" t="s">
        <v>441</v>
      </c>
      <c r="K128" s="251"/>
      <c r="N128" s="251" t="s">
        <v>441</v>
      </c>
      <c r="O128" s="251"/>
      <c r="R128" s="251" t="s">
        <v>441</v>
      </c>
      <c r="S128" s="251"/>
      <c r="V128" s="251" t="s">
        <v>441</v>
      </c>
      <c r="W128" s="251"/>
      <c r="Z128" s="251" t="s">
        <v>441</v>
      </c>
      <c r="AA128" s="251"/>
      <c r="AD128" s="251" t="s">
        <v>441</v>
      </c>
      <c r="AE128" s="251"/>
      <c r="AH128" s="251" t="s">
        <v>441</v>
      </c>
      <c r="AI128" s="251"/>
      <c r="AL128" s="251" t="s">
        <v>441</v>
      </c>
      <c r="AM128" s="251"/>
      <c r="AP128" s="251" t="s">
        <v>600</v>
      </c>
      <c r="AQ128" s="251"/>
      <c r="AT128" s="145"/>
      <c r="AV128" s="246"/>
      <c r="AW128" s="246"/>
    </row>
    <row r="129" spans="1:56" x14ac:dyDescent="0.35">
      <c r="A129" s="144"/>
      <c r="B129" s="180" t="str">
        <f>VLOOKUP(B125,'[80]Location Status'!$A$7:$D$178,3,0)</f>
        <v>DA+3</v>
      </c>
      <c r="C129" s="180"/>
      <c r="F129" s="180" t="str">
        <f>VLOOKUP(F125,'[80]Location Status'!$A$7:$D$178,3,0)</f>
        <v>DA+3</v>
      </c>
      <c r="G129" s="180"/>
      <c r="J129" s="180" t="str">
        <f>VLOOKUP(J125,'[80]Location Status'!$A$7:$D$178,3,0)</f>
        <v>DD45+0</v>
      </c>
      <c r="K129" s="180"/>
      <c r="N129" s="180" t="str">
        <f>VLOOKUP(N125,'[80]Location Status'!$A$7:$D$178,3,0)</f>
        <v>DA+3</v>
      </c>
      <c r="O129" s="180"/>
      <c r="R129" s="180" t="str">
        <f>VLOOKUP(R125,'[80]Location Status'!$A$7:$D$178,3,0)</f>
        <v>DA-1.5</v>
      </c>
      <c r="S129" s="180"/>
      <c r="V129" s="180" t="str">
        <f>VLOOKUP(V125,'[80]Location Status'!$A$7:$D$178,3,0)</f>
        <v>DA+6</v>
      </c>
      <c r="W129" s="180"/>
      <c r="Z129" s="180" t="str">
        <f>VLOOKUP(Z125,'[80]Location Status'!$A$7:$D$178,3,0)</f>
        <v>DA+3</v>
      </c>
      <c r="AA129" s="180"/>
      <c r="AD129" s="180" t="str">
        <f>VLOOKUP(AD125,'[80]Location Status'!$A$7:$D$178,3,0)</f>
        <v>DC2+3</v>
      </c>
      <c r="AE129" s="180"/>
      <c r="AH129" s="180" t="str">
        <f>VLOOKUP(AH125,'[80]Location Status'!$A$7:$D$178,3,0)</f>
        <v>DA+9</v>
      </c>
      <c r="AI129" s="180"/>
      <c r="AL129" s="180" t="str">
        <f>VLOOKUP(AL125,'[80]Location Status'!$A$7:$D$178,3,0)</f>
        <v>DA+0</v>
      </c>
      <c r="AM129" s="180"/>
      <c r="AP129" s="180" t="str">
        <f>VLOOKUP(AP125,'[80]Location Status'!$A$7:$D$178,3,0)</f>
        <v>DA+6</v>
      </c>
      <c r="AQ129" s="180"/>
      <c r="AT129" s="145"/>
      <c r="AV129" s="246"/>
      <c r="AW129" s="246"/>
      <c r="BB129" s="184"/>
      <c r="BC129" s="184"/>
      <c r="BD129" s="185"/>
    </row>
    <row r="130" spans="1:56" x14ac:dyDescent="0.35">
      <c r="A130" s="144"/>
      <c r="AT130" s="145"/>
      <c r="AV130" s="246"/>
      <c r="AW130" s="246"/>
    </row>
    <row r="131" spans="1:56" x14ac:dyDescent="0.35">
      <c r="A131" s="144"/>
      <c r="B131" s="179"/>
      <c r="F131" s="179"/>
      <c r="I131" s="179"/>
      <c r="Q131" s="179"/>
      <c r="U131" s="179"/>
      <c r="Z131" s="191" t="s">
        <v>405</v>
      </c>
      <c r="AD131" s="179"/>
      <c r="AH131" s="191" t="s">
        <v>405</v>
      </c>
      <c r="AL131" s="191" t="s">
        <v>405</v>
      </c>
      <c r="AP131" s="179"/>
      <c r="AQ131" s="179"/>
      <c r="AT131" s="145"/>
      <c r="AV131" s="246"/>
      <c r="AW131" s="246"/>
    </row>
    <row r="132" spans="1:56" x14ac:dyDescent="0.35">
      <c r="A132" s="144"/>
      <c r="B132" s="257" t="str">
        <f>VLOOKUP(B134,'[80]Location Status'!$A$7:$D$178,2,0)</f>
        <v>23/4</v>
      </c>
      <c r="C132" s="258"/>
      <c r="F132" s="257" t="str">
        <f>VLOOKUP(F134,'[80]Location Status'!$A$7:$D$178,2,0)</f>
        <v>23/5</v>
      </c>
      <c r="G132" s="258"/>
      <c r="J132" s="257" t="str">
        <f>VLOOKUP(J134,'[80]Location Status'!$A$7:$D$178,2,0)</f>
        <v>23/6</v>
      </c>
      <c r="K132" s="258"/>
      <c r="N132" s="257" t="str">
        <f>VLOOKUP(N134,'[80]Location Status'!$A$7:$D$178,2,0)</f>
        <v>23/7</v>
      </c>
      <c r="O132" s="258"/>
      <c r="R132" s="257" t="str">
        <f>VLOOKUP(R134,'[80]Location Status'!$A$7:$D$178,2,0)</f>
        <v>24/0</v>
      </c>
      <c r="S132" s="258"/>
      <c r="V132" s="257" t="str">
        <f>VLOOKUP(V134,'[80]Location Status'!$A$7:$D$178,2,0)</f>
        <v>24/1</v>
      </c>
      <c r="W132" s="258"/>
      <c r="Z132" s="257" t="str">
        <f>VLOOKUP(Z134,'[80]Location Status'!$A$7:$D$178,2,0)</f>
        <v>24/2.</v>
      </c>
      <c r="AA132" s="258"/>
      <c r="AD132" s="257" t="str">
        <f>VLOOKUP(AD134,'[80]Location Status'!$A$7:$D$178,2,0)</f>
        <v>25/0</v>
      </c>
      <c r="AE132" s="258"/>
      <c r="AH132" s="257" t="str">
        <f>VLOOKUP(AH134,'[80]Location Status'!$A$7:$D$178,2,0)</f>
        <v>25/1</v>
      </c>
      <c r="AI132" s="258"/>
      <c r="AL132" s="257" t="str">
        <f>VLOOKUP(AL134,'[80]Location Status'!$A$7:$D$178,2,0)</f>
        <v>25/2.</v>
      </c>
      <c r="AM132" s="258"/>
      <c r="AP132" s="257" t="str">
        <f>VLOOKUP(AP134,'[80]Location Status'!$A$7:$D$178,2,0)</f>
        <v>25/3.</v>
      </c>
      <c r="AQ132" s="258"/>
      <c r="AT132" s="145"/>
      <c r="AV132" s="246"/>
      <c r="AW132" s="246"/>
      <c r="BB132" s="183"/>
      <c r="BC132" s="184"/>
      <c r="BD132" s="185"/>
    </row>
    <row r="133" spans="1:56" x14ac:dyDescent="0.35">
      <c r="A133" s="144"/>
      <c r="AT133" s="145"/>
      <c r="AV133" s="246"/>
      <c r="AW133" s="246"/>
    </row>
    <row r="134" spans="1:56" s="175" customFormat="1" ht="12.5" x14ac:dyDescent="0.25">
      <c r="A134" s="174"/>
      <c r="B134" s="175">
        <f>1+AP125</f>
        <v>129</v>
      </c>
      <c r="F134" s="175">
        <f>1+B134</f>
        <v>130</v>
      </c>
      <c r="J134" s="175">
        <f>1+F134</f>
        <v>131</v>
      </c>
      <c r="N134" s="175">
        <f>1+J134</f>
        <v>132</v>
      </c>
      <c r="R134" s="175">
        <f>1+N134</f>
        <v>133</v>
      </c>
      <c r="V134" s="175">
        <f>1+R134</f>
        <v>134</v>
      </c>
      <c r="Z134" s="175">
        <f>1+V134</f>
        <v>135</v>
      </c>
      <c r="AD134" s="175">
        <f>1+Z134</f>
        <v>136</v>
      </c>
      <c r="AH134" s="175">
        <f>1+AD134</f>
        <v>137</v>
      </c>
      <c r="AL134" s="175">
        <f>1+AH134</f>
        <v>138</v>
      </c>
      <c r="AP134" s="175">
        <f>1+AL134</f>
        <v>139</v>
      </c>
      <c r="AT134" s="176"/>
      <c r="AV134" s="259"/>
      <c r="AW134" s="259"/>
    </row>
    <row r="135" spans="1:56" x14ac:dyDescent="0.35">
      <c r="A135" s="144"/>
      <c r="B135" s="182" t="s">
        <v>577</v>
      </c>
      <c r="C135" s="182" t="s">
        <v>578</v>
      </c>
      <c r="D135" s="257">
        <f>VLOOKUP(B134,'[80]Location Status'!$A$7:$D$178,4,0)</f>
        <v>408</v>
      </c>
      <c r="E135" s="258"/>
      <c r="F135" s="182" t="s">
        <v>577</v>
      </c>
      <c r="G135" s="182" t="s">
        <v>578</v>
      </c>
      <c r="H135" s="257">
        <f>VLOOKUP(F134,'[80]Location Status'!$A$7:$D$178,4,0)</f>
        <v>362</v>
      </c>
      <c r="I135" s="258"/>
      <c r="J135" s="182" t="s">
        <v>577</v>
      </c>
      <c r="K135" s="182" t="s">
        <v>578</v>
      </c>
      <c r="L135" s="254">
        <f>VLOOKUP(J134,'[80]Location Status'!$A$7:$D$178,4,0)</f>
        <v>303</v>
      </c>
      <c r="M135" s="255"/>
      <c r="N135" s="182" t="s">
        <v>577</v>
      </c>
      <c r="O135" s="182" t="s">
        <v>578</v>
      </c>
      <c r="P135" s="254">
        <f>VLOOKUP(N134,'[80]Location Status'!$A$7:$D$178,4,0)</f>
        <v>336.96199999999999</v>
      </c>
      <c r="Q135" s="255"/>
      <c r="R135" s="182" t="s">
        <v>577</v>
      </c>
      <c r="S135" s="182" t="s">
        <v>578</v>
      </c>
      <c r="T135" s="254">
        <f>VLOOKUP(R134,'[80]Location Status'!$A$7:$D$178,4,0)</f>
        <v>431.99799999999999</v>
      </c>
      <c r="U135" s="255"/>
      <c r="V135" s="182" t="s">
        <v>577</v>
      </c>
      <c r="W135" s="182" t="s">
        <v>578</v>
      </c>
      <c r="X135" s="254">
        <f>VLOOKUP(V134,'[80]Location Status'!$A$7:$D$178,4,0)</f>
        <v>567</v>
      </c>
      <c r="Y135" s="255"/>
      <c r="Z135" s="182" t="s">
        <v>577</v>
      </c>
      <c r="AA135" s="182" t="s">
        <v>578</v>
      </c>
      <c r="AB135" s="254">
        <f>VLOOKUP(Z134,'[80]Location Status'!$A$7:$D$178,4,0)</f>
        <v>543.55399999999997</v>
      </c>
      <c r="AC135" s="255"/>
      <c r="AD135" s="182" t="s">
        <v>577</v>
      </c>
      <c r="AE135" s="182" t="s">
        <v>578</v>
      </c>
      <c r="AF135" s="257">
        <f>VLOOKUP(AD134,'[80]Location Status'!$A$7:$D$178,4,0)</f>
        <v>429</v>
      </c>
      <c r="AG135" s="258"/>
      <c r="AH135" s="178" t="s">
        <v>577</v>
      </c>
      <c r="AI135" s="178" t="s">
        <v>578</v>
      </c>
      <c r="AJ135" s="257">
        <f>VLOOKUP(AH134,'[80]Location Status'!$A$7:$D$178,4,0)</f>
        <v>346</v>
      </c>
      <c r="AK135" s="258"/>
      <c r="AL135" s="178" t="s">
        <v>577</v>
      </c>
      <c r="AM135" s="178" t="s">
        <v>578</v>
      </c>
      <c r="AN135" s="257">
        <f>VLOOKUP(AL134,'[80]Location Status'!$A$7:$D$178,4,0)</f>
        <v>381</v>
      </c>
      <c r="AO135" s="258"/>
      <c r="AP135" s="182" t="s">
        <v>577</v>
      </c>
      <c r="AQ135" s="182" t="s">
        <v>578</v>
      </c>
      <c r="AR135" s="257">
        <f>VLOOKUP(AP134,'[80]Location Status'!$A$7:$D$178,4,0)</f>
        <v>394</v>
      </c>
      <c r="AS135" s="258"/>
      <c r="AT135" s="145"/>
      <c r="AV135" s="246">
        <f>D135+H135+L135+P135+T135+X135+AB135+AF135+AJ135+AN135+AR135</f>
        <v>4502.5140000000001</v>
      </c>
      <c r="AW135" s="246"/>
      <c r="AY135">
        <v>11</v>
      </c>
      <c r="BB135" s="184"/>
      <c r="BC135" s="184"/>
      <c r="BD135" s="185"/>
    </row>
    <row r="136" spans="1:56" x14ac:dyDescent="0.35">
      <c r="A136" s="144"/>
      <c r="B136" s="156" t="s">
        <v>581</v>
      </c>
      <c r="C136" s="156" t="s">
        <v>582</v>
      </c>
      <c r="F136" s="156" t="s">
        <v>581</v>
      </c>
      <c r="G136" s="156" t="s">
        <v>582</v>
      </c>
      <c r="J136" s="156" t="s">
        <v>581</v>
      </c>
      <c r="K136" s="156" t="s">
        <v>582</v>
      </c>
      <c r="N136" s="156" t="s">
        <v>581</v>
      </c>
      <c r="O136" s="156" t="s">
        <v>582</v>
      </c>
      <c r="R136" s="156" t="s">
        <v>581</v>
      </c>
      <c r="S136" s="156" t="s">
        <v>582</v>
      </c>
      <c r="V136" s="156" t="s">
        <v>581</v>
      </c>
      <c r="W136" s="156" t="s">
        <v>582</v>
      </c>
      <c r="Z136" s="156" t="s">
        <v>581</v>
      </c>
      <c r="AA136" s="156" t="s">
        <v>582</v>
      </c>
      <c r="AD136" s="156" t="s">
        <v>581</v>
      </c>
      <c r="AE136" s="156" t="s">
        <v>582</v>
      </c>
      <c r="AH136" s="71" t="s">
        <v>581</v>
      </c>
      <c r="AI136" s="71" t="s">
        <v>582</v>
      </c>
      <c r="AL136" s="71" t="s">
        <v>581</v>
      </c>
      <c r="AM136" s="71" t="s">
        <v>582</v>
      </c>
      <c r="AP136" s="156" t="s">
        <v>581</v>
      </c>
      <c r="AQ136" s="156" t="s">
        <v>582</v>
      </c>
      <c r="AT136" s="145"/>
      <c r="AV136" s="246"/>
      <c r="AW136" s="246"/>
    </row>
    <row r="137" spans="1:56" x14ac:dyDescent="0.35">
      <c r="A137" s="144"/>
      <c r="B137" s="251" t="s">
        <v>441</v>
      </c>
      <c r="C137" s="251"/>
      <c r="F137" s="251" t="s">
        <v>441</v>
      </c>
      <c r="G137" s="251"/>
      <c r="J137" s="251" t="s">
        <v>441</v>
      </c>
      <c r="K137" s="251"/>
      <c r="N137" s="251" t="s">
        <v>441</v>
      </c>
      <c r="O137" s="251"/>
      <c r="R137" s="238" t="s">
        <v>441</v>
      </c>
      <c r="S137" s="238"/>
      <c r="V137" s="252" t="s">
        <v>596</v>
      </c>
      <c r="W137" s="253"/>
      <c r="Z137" s="238"/>
      <c r="AA137" s="238"/>
      <c r="AD137" s="252" t="s">
        <v>596</v>
      </c>
      <c r="AE137" s="253"/>
      <c r="AH137" s="238"/>
      <c r="AI137" s="238"/>
      <c r="AL137" s="238"/>
      <c r="AM137" s="238"/>
      <c r="AP137" s="251" t="s">
        <v>441</v>
      </c>
      <c r="AQ137" s="251"/>
      <c r="AT137" s="145"/>
      <c r="AV137" s="246"/>
      <c r="AW137" s="246"/>
    </row>
    <row r="138" spans="1:56" x14ac:dyDescent="0.35">
      <c r="A138" s="144"/>
      <c r="B138" s="180" t="str">
        <f>VLOOKUP(B134,'[80]Location Status'!$A$7:$D$178,3,0)</f>
        <v>DA-1.5</v>
      </c>
      <c r="C138" s="180"/>
      <c r="F138" s="180" t="str">
        <f>VLOOKUP(F134,'[80]Location Status'!$A$7:$D$178,3,0)</f>
        <v>DA+3</v>
      </c>
      <c r="G138" s="180"/>
      <c r="J138" s="180" t="str">
        <f>VLOOKUP(J134,'[80]Location Status'!$A$7:$D$178,3,0)</f>
        <v>DA-3</v>
      </c>
      <c r="K138" s="180"/>
      <c r="N138" s="180" t="str">
        <f>VLOOKUP(N134,'[80]Location Status'!$A$7:$D$178,3,0)</f>
        <v>DA-3</v>
      </c>
      <c r="O138" s="180"/>
      <c r="R138" s="180" t="str">
        <f>VLOOKUP(R134,'[80]Location Status'!$A$7:$D$178,3,0)</f>
        <v>DB2+0</v>
      </c>
      <c r="S138" s="180"/>
      <c r="V138" s="180" t="str">
        <f>VLOOKUP(V134,'[80]Location Status'!$A$7:$D$178,3,0)</f>
        <v>DB1+9</v>
      </c>
      <c r="W138" s="180"/>
      <c r="Z138" s="180" t="str">
        <f>VLOOKUP(Z134,'[80]Location Status'!$A$7:$D$178,3,0)</f>
        <v>DB1+0</v>
      </c>
      <c r="AA138" s="180"/>
      <c r="AD138" s="180" t="str">
        <f>VLOOKUP(AD134,'[80]Location Status'!$A$7:$D$178,3,0)</f>
        <v>DC1+9</v>
      </c>
      <c r="AE138" s="180"/>
      <c r="AH138" s="180" t="str">
        <f>VLOOKUP(AH134,'[80]Location Status'!$A$7:$D$178,3,0)</f>
        <v>DA+0</v>
      </c>
      <c r="AI138" s="180"/>
      <c r="AL138" s="180" t="str">
        <f>VLOOKUP(AL134,'[80]Location Status'!$A$7:$D$178,3,0)</f>
        <v>DA+0</v>
      </c>
      <c r="AM138" s="180"/>
      <c r="AP138" s="180" t="str">
        <f>VLOOKUP(AP134,'[80]Location Status'!$A$7:$D$178,3,0)</f>
        <v>DA+0</v>
      </c>
      <c r="AQ138" s="180"/>
      <c r="AT138" s="145"/>
      <c r="AV138" s="246"/>
      <c r="AW138" s="246"/>
      <c r="BB138" s="184"/>
      <c r="BC138" s="184"/>
      <c r="BD138" s="185"/>
    </row>
    <row r="139" spans="1:56" x14ac:dyDescent="0.35">
      <c r="A139" s="144"/>
      <c r="C139" s="187"/>
      <c r="AT139" s="145"/>
      <c r="AV139" s="246"/>
      <c r="AW139" s="246"/>
    </row>
    <row r="140" spans="1:56" x14ac:dyDescent="0.35">
      <c r="A140" s="144"/>
      <c r="N140" s="191" t="s">
        <v>405</v>
      </c>
      <c r="AT140" s="145"/>
      <c r="AV140" s="246"/>
      <c r="AW140" s="246"/>
    </row>
    <row r="141" spans="1:56" x14ac:dyDescent="0.35">
      <c r="A141" s="144"/>
      <c r="B141" s="257" t="str">
        <f>VLOOKUP(B143,'[80]Location Status'!$A$7:$D$178,2,0)</f>
        <v>25/4</v>
      </c>
      <c r="C141" s="258"/>
      <c r="F141" s="257" t="str">
        <f>VLOOKUP(F143,'[80]Location Status'!$A$7:$D$178,2,0)</f>
        <v>26/0</v>
      </c>
      <c r="G141" s="258"/>
      <c r="J141" s="257" t="str">
        <f>VLOOKUP(J143,'[80]Location Status'!$A$7:$D$178,2,0)</f>
        <v>26/1</v>
      </c>
      <c r="K141" s="258"/>
      <c r="N141" s="257" t="str">
        <f>VLOOKUP(N143,'[80]Location Status'!$A$7:$D$178,2,0)</f>
        <v>26/2</v>
      </c>
      <c r="O141" s="258"/>
      <c r="R141" s="257" t="str">
        <f>VLOOKUP(R143,'[80]Location Status'!$A$7:$D$178,2,0)</f>
        <v>26/3</v>
      </c>
      <c r="S141" s="258"/>
      <c r="V141" s="257" t="str">
        <f>VLOOKUP(V143,'[80]Location Status'!$A$7:$D$178,2,0)</f>
        <v>26/4</v>
      </c>
      <c r="W141" s="258"/>
      <c r="Z141" s="257" t="str">
        <f>VLOOKUP(Z143,'[80]Location Status'!$A$7:$D$178,2,0)</f>
        <v>26/5</v>
      </c>
      <c r="AA141" s="258"/>
      <c r="AD141" s="257" t="str">
        <f>VLOOKUP(AD143,'[80]Location Status'!$A$7:$D$178,2,0)</f>
        <v>26/6</v>
      </c>
      <c r="AE141" s="258"/>
      <c r="AH141" s="257" t="str">
        <f>VLOOKUP(AH143,'[80]Location Status'!$A$7:$D$178,2,0)</f>
        <v>26/7</v>
      </c>
      <c r="AI141" s="258"/>
      <c r="AL141" s="257" t="str">
        <f>VLOOKUP(AL143,'[80]Location Status'!$A$7:$D$178,2,0)</f>
        <v>26/8</v>
      </c>
      <c r="AM141" s="258"/>
      <c r="AP141" s="257" t="str">
        <f>VLOOKUP(AP143,'[80]Location Status'!$A$7:$D$178,2,0)</f>
        <v>26/9</v>
      </c>
      <c r="AQ141" s="258"/>
      <c r="AT141" s="145"/>
      <c r="AV141" s="246"/>
      <c r="AW141" s="246"/>
      <c r="BB141" s="183"/>
      <c r="BC141" s="184"/>
      <c r="BD141" s="185"/>
    </row>
    <row r="142" spans="1:56" x14ac:dyDescent="0.35">
      <c r="A142" s="144"/>
      <c r="AT142" s="145"/>
      <c r="AV142" s="246"/>
      <c r="AW142" s="246"/>
    </row>
    <row r="143" spans="1:56" s="175" customFormat="1" ht="12.5" x14ac:dyDescent="0.25">
      <c r="A143" s="174"/>
      <c r="B143" s="175">
        <f>1+AP134</f>
        <v>140</v>
      </c>
      <c r="F143" s="175">
        <f>1+B143</f>
        <v>141</v>
      </c>
      <c r="J143" s="175">
        <f>1+F143</f>
        <v>142</v>
      </c>
      <c r="N143" s="175">
        <f>1+J143</f>
        <v>143</v>
      </c>
      <c r="R143" s="175">
        <f>1+N143</f>
        <v>144</v>
      </c>
      <c r="V143" s="175">
        <f>1+R143</f>
        <v>145</v>
      </c>
      <c r="Z143" s="175">
        <f>1+V143</f>
        <v>146</v>
      </c>
      <c r="AD143" s="175">
        <f>1+Z143</f>
        <v>147</v>
      </c>
      <c r="AH143" s="175">
        <f>1+AD143</f>
        <v>148</v>
      </c>
      <c r="AL143" s="175">
        <f>1+AH143</f>
        <v>149</v>
      </c>
      <c r="AP143" s="175">
        <f>1+AL143</f>
        <v>150</v>
      </c>
      <c r="AT143" s="176"/>
      <c r="AV143" s="259"/>
      <c r="AW143" s="259"/>
    </row>
    <row r="144" spans="1:56" x14ac:dyDescent="0.35">
      <c r="A144" s="144"/>
      <c r="B144" s="182" t="s">
        <v>577</v>
      </c>
      <c r="C144" s="182" t="s">
        <v>578</v>
      </c>
      <c r="D144" s="254">
        <f>VLOOKUP(B143,'[80]Location Status'!$A$7:$D$178,4,0)</f>
        <v>356.86900000000003</v>
      </c>
      <c r="E144" s="255"/>
      <c r="F144" s="182" t="s">
        <v>577</v>
      </c>
      <c r="G144" s="182" t="s">
        <v>578</v>
      </c>
      <c r="H144" s="254">
        <f>VLOOKUP(F143,'[80]Location Status'!$A$7:$D$178,4,0)</f>
        <v>438</v>
      </c>
      <c r="I144" s="255"/>
      <c r="J144" s="182" t="s">
        <v>577</v>
      </c>
      <c r="K144" s="182" t="s">
        <v>578</v>
      </c>
      <c r="L144" s="254">
        <f>VLOOKUP(J143,'[80]Location Status'!$A$7:$D$178,4,0)</f>
        <v>399</v>
      </c>
      <c r="M144" s="255"/>
      <c r="N144" s="178" t="s">
        <v>577</v>
      </c>
      <c r="O144" s="178" t="s">
        <v>578</v>
      </c>
      <c r="P144" s="254">
        <f>VLOOKUP(N143,'[80]Location Status'!$A$7:$D$178,4,0)</f>
        <v>347</v>
      </c>
      <c r="Q144" s="255"/>
      <c r="R144" s="182" t="s">
        <v>577</v>
      </c>
      <c r="S144" s="182" t="s">
        <v>578</v>
      </c>
      <c r="T144" s="254">
        <f>VLOOKUP(R143,'[80]Location Status'!$A$7:$D$178,4,0)</f>
        <v>400</v>
      </c>
      <c r="U144" s="255"/>
      <c r="V144" s="182" t="s">
        <v>577</v>
      </c>
      <c r="W144" s="182" t="s">
        <v>578</v>
      </c>
      <c r="X144" s="254">
        <f>VLOOKUP(V143,'[80]Location Status'!$A$7:$D$178,4,0)</f>
        <v>375</v>
      </c>
      <c r="Y144" s="255"/>
      <c r="Z144" s="182" t="s">
        <v>577</v>
      </c>
      <c r="AA144" s="182" t="s">
        <v>578</v>
      </c>
      <c r="AB144" s="254">
        <f>VLOOKUP(Z143,'[80]Location Status'!$A$7:$D$178,4,0)</f>
        <v>416</v>
      </c>
      <c r="AC144" s="255"/>
      <c r="AD144" s="182" t="s">
        <v>577</v>
      </c>
      <c r="AE144" s="182" t="s">
        <v>578</v>
      </c>
      <c r="AF144" s="254">
        <f>VLOOKUP(AD143,'[80]Location Status'!$A$7:$D$178,4,0)</f>
        <v>408</v>
      </c>
      <c r="AG144" s="255"/>
      <c r="AH144" s="182" t="s">
        <v>577</v>
      </c>
      <c r="AI144" s="182" t="s">
        <v>578</v>
      </c>
      <c r="AJ144" s="254">
        <f>VLOOKUP(AH143,'[80]Location Status'!$A$7:$D$178,4,0)</f>
        <v>404</v>
      </c>
      <c r="AK144" s="255"/>
      <c r="AL144" s="182" t="s">
        <v>577</v>
      </c>
      <c r="AM144" s="182" t="s">
        <v>578</v>
      </c>
      <c r="AN144" s="254">
        <f>VLOOKUP(AL143,'[80]Location Status'!$A$7:$D$178,4,0)</f>
        <v>391</v>
      </c>
      <c r="AO144" s="255"/>
      <c r="AP144" s="182" t="s">
        <v>577</v>
      </c>
      <c r="AQ144" s="182" t="s">
        <v>578</v>
      </c>
      <c r="AR144" s="254">
        <f>VLOOKUP(AP143,'[80]Location Status'!$A$7:$D$178,4,0)</f>
        <v>371</v>
      </c>
      <c r="AS144" s="255"/>
      <c r="AT144" s="145"/>
      <c r="AV144" s="246">
        <f>D144+H144+L144+P144+T144+X144+AB144+AF144+AJ144+AN144+AR144</f>
        <v>4305.8690000000006</v>
      </c>
      <c r="AW144" s="246"/>
      <c r="AY144">
        <v>11</v>
      </c>
      <c r="BB144" s="184"/>
      <c r="BC144" s="184"/>
      <c r="BD144" s="185"/>
    </row>
    <row r="145" spans="1:56" x14ac:dyDescent="0.35">
      <c r="A145" s="144"/>
      <c r="B145" s="156" t="s">
        <v>581</v>
      </c>
      <c r="C145" s="156" t="s">
        <v>582</v>
      </c>
      <c r="F145" s="156" t="s">
        <v>581</v>
      </c>
      <c r="G145" s="156" t="s">
        <v>582</v>
      </c>
      <c r="J145" s="156" t="s">
        <v>581</v>
      </c>
      <c r="K145" s="156" t="s">
        <v>582</v>
      </c>
      <c r="N145" s="71" t="s">
        <v>581</v>
      </c>
      <c r="O145" s="71" t="s">
        <v>582</v>
      </c>
      <c r="R145" s="156" t="s">
        <v>581</v>
      </c>
      <c r="S145" s="156" t="s">
        <v>582</v>
      </c>
      <c r="V145" s="156" t="s">
        <v>581</v>
      </c>
      <c r="W145" s="156" t="s">
        <v>582</v>
      </c>
      <c r="Z145" s="156" t="s">
        <v>581</v>
      </c>
      <c r="AA145" s="156" t="s">
        <v>582</v>
      </c>
      <c r="AD145" s="156" t="s">
        <v>581</v>
      </c>
      <c r="AE145" s="156" t="s">
        <v>582</v>
      </c>
      <c r="AH145" s="156" t="s">
        <v>581</v>
      </c>
      <c r="AI145" s="156" t="s">
        <v>582</v>
      </c>
      <c r="AL145" s="156" t="s">
        <v>581</v>
      </c>
      <c r="AM145" s="156" t="s">
        <v>582</v>
      </c>
      <c r="AP145" s="156" t="s">
        <v>581</v>
      </c>
      <c r="AQ145" s="156" t="s">
        <v>582</v>
      </c>
      <c r="AT145" s="145"/>
      <c r="AV145" s="246"/>
      <c r="AW145" s="246"/>
    </row>
    <row r="146" spans="1:56" x14ac:dyDescent="0.35">
      <c r="A146" s="144"/>
      <c r="B146" s="251" t="s">
        <v>441</v>
      </c>
      <c r="C146" s="251"/>
      <c r="F146" s="251" t="s">
        <v>441</v>
      </c>
      <c r="G146" s="251"/>
      <c r="J146" s="251" t="s">
        <v>441</v>
      </c>
      <c r="K146" s="251"/>
      <c r="N146" s="238"/>
      <c r="O146" s="238"/>
      <c r="R146" s="251" t="s">
        <v>441</v>
      </c>
      <c r="S146" s="251"/>
      <c r="V146" s="251" t="s">
        <v>441</v>
      </c>
      <c r="W146" s="251"/>
      <c r="Z146" s="251" t="s">
        <v>600</v>
      </c>
      <c r="AA146" s="251"/>
      <c r="AD146" s="251" t="s">
        <v>441</v>
      </c>
      <c r="AE146" s="251"/>
      <c r="AH146" s="252" t="s">
        <v>596</v>
      </c>
      <c r="AI146" s="253"/>
      <c r="AL146" s="252" t="s">
        <v>596</v>
      </c>
      <c r="AM146" s="253"/>
      <c r="AP146" s="251" t="s">
        <v>441</v>
      </c>
      <c r="AQ146" s="251"/>
      <c r="AT146" s="145"/>
      <c r="AV146" s="246"/>
      <c r="AW146" s="246"/>
    </row>
    <row r="147" spans="1:56" x14ac:dyDescent="0.35">
      <c r="A147" s="144"/>
      <c r="B147" s="180" t="str">
        <f>VLOOKUP(B143,'[80]Location Status'!$A$7:$D$178,3,0)</f>
        <v>DA+0</v>
      </c>
      <c r="C147" s="180"/>
      <c r="F147" s="180" t="str">
        <f>VLOOKUP(F143,'[80]Location Status'!$A$7:$D$178,3,0)</f>
        <v>DC2+0</v>
      </c>
      <c r="G147" s="180"/>
      <c r="J147" s="180" t="str">
        <f>VLOOKUP(J143,'[80]Location Status'!$A$7:$D$178,3,0)</f>
        <v>DA+6</v>
      </c>
      <c r="K147" s="180"/>
      <c r="N147" s="180" t="str">
        <f>VLOOKUP(N143,'[80]Location Status'!$A$7:$D$178,3,0)</f>
        <v>DA+3</v>
      </c>
      <c r="O147" s="180"/>
      <c r="R147" s="180" t="str">
        <f>VLOOKUP(R143,'[80]Location Status'!$A$7:$D$178,3,0)</f>
        <v>DA+3</v>
      </c>
      <c r="S147" s="180"/>
      <c r="V147" s="180" t="str">
        <f>VLOOKUP(V143,'[80]Location Status'!$A$7:$D$178,3,0)</f>
        <v>DA-3</v>
      </c>
      <c r="W147" s="180"/>
      <c r="Z147" s="180" t="str">
        <f>VLOOKUP(Z143,'[80]Location Status'!$A$7:$D$178,3,0)</f>
        <v>DA+0</v>
      </c>
      <c r="AA147" s="180"/>
      <c r="AD147" s="180" t="str">
        <f>VLOOKUP(AD143,'[80]Location Status'!$A$7:$D$178,3,0)</f>
        <v>DA+3</v>
      </c>
      <c r="AE147" s="180"/>
      <c r="AH147" s="180" t="str">
        <f>VLOOKUP(AH143,'[80]Location Status'!$A$7:$D$178,3,0)</f>
        <v>DA+0</v>
      </c>
      <c r="AI147" s="180"/>
      <c r="AL147" s="180" t="str">
        <f>VLOOKUP(AL143,'[80]Location Status'!$A$7:$D$178,3,0)</f>
        <v>DA+0</v>
      </c>
      <c r="AM147" s="180"/>
      <c r="AP147" s="180" t="str">
        <f>VLOOKUP(AP143,'[80]Location Status'!$A$7:$D$178,3,0)</f>
        <v>DA+0</v>
      </c>
      <c r="AQ147" s="180"/>
      <c r="AT147" s="145"/>
      <c r="AV147" s="246"/>
      <c r="AW147" s="246"/>
      <c r="BB147" s="184"/>
      <c r="BC147" s="184"/>
      <c r="BD147" s="185"/>
    </row>
    <row r="148" spans="1:56" x14ac:dyDescent="0.35">
      <c r="A148" s="144"/>
      <c r="U148" s="158"/>
      <c r="AF148" s="158"/>
      <c r="AT148" s="145"/>
      <c r="AV148" s="246"/>
      <c r="AW148" s="246"/>
    </row>
    <row r="149" spans="1:56" x14ac:dyDescent="0.35">
      <c r="A149" s="144"/>
      <c r="R149" s="192" t="s">
        <v>601</v>
      </c>
      <c r="S149" s="193"/>
      <c r="T149" s="193"/>
      <c r="U149" s="194"/>
      <c r="V149" s="192" t="s">
        <v>601</v>
      </c>
      <c r="W149" s="193"/>
      <c r="X149" s="193"/>
      <c r="Y149" s="193"/>
      <c r="Z149" s="192" t="s">
        <v>601</v>
      </c>
      <c r="AA149" s="193"/>
      <c r="AB149" s="193"/>
      <c r="AC149" s="193"/>
      <c r="AF149" s="158"/>
      <c r="AT149" s="145"/>
      <c r="AV149" s="246"/>
      <c r="AW149" s="246"/>
    </row>
    <row r="150" spans="1:56" x14ac:dyDescent="0.35">
      <c r="A150" s="144"/>
      <c r="R150" s="195" t="s">
        <v>602</v>
      </c>
      <c r="S150" s="196"/>
      <c r="V150" s="191" t="s">
        <v>405</v>
      </c>
      <c r="Z150" s="191" t="s">
        <v>405</v>
      </c>
      <c r="AC150" s="158"/>
      <c r="AD150" s="158"/>
      <c r="AE150" s="158"/>
      <c r="AF150" s="158"/>
      <c r="AT150" s="145"/>
      <c r="AV150" s="246"/>
      <c r="AW150" s="246"/>
    </row>
    <row r="151" spans="1:56" x14ac:dyDescent="0.35">
      <c r="A151" s="144"/>
      <c r="B151" s="257" t="str">
        <f>VLOOKUP(B153,'[80]Location Status'!$A$7:$D$178,2,0)</f>
        <v>26/10</v>
      </c>
      <c r="C151" s="258"/>
      <c r="F151" s="257" t="str">
        <f>VLOOKUP(F153,'[80]Location Status'!$A$7:$D$178,2,0)</f>
        <v>27/0</v>
      </c>
      <c r="G151" s="258"/>
      <c r="J151" s="257" t="str">
        <f>VLOOKUP(J153,'[80]Location Status'!$A$7:$D$178,2,0)</f>
        <v>27/1</v>
      </c>
      <c r="K151" s="258"/>
      <c r="N151" s="257" t="str">
        <f>VLOOKUP(N153,'[80]Location Status'!$A$7:$D$178,2,0)</f>
        <v>28/0</v>
      </c>
      <c r="O151" s="258"/>
      <c r="R151" s="257" t="str">
        <f>VLOOKUP(R153,'[80]Location Status'!$A$7:$D$178,2,0)</f>
        <v>28/1</v>
      </c>
      <c r="S151" s="258"/>
      <c r="V151" s="257" t="str">
        <f>VLOOKUP(V153,'[80]Location Status'!$A$7:$D$178,2,0)</f>
        <v>29/0</v>
      </c>
      <c r="W151" s="258"/>
      <c r="Z151" s="257" t="str">
        <f>VLOOKUP(Z153,'[80]Location Status'!$A$7:$D$178,2,0)</f>
        <v>29/1</v>
      </c>
      <c r="AA151" s="258"/>
      <c r="AD151" s="257" t="str">
        <f>VLOOKUP(AD153,'[80]Location Status'!$A$7:$D$178,2,0)</f>
        <v>29/2</v>
      </c>
      <c r="AE151" s="258"/>
      <c r="AH151" s="257" t="str">
        <f>VLOOKUP(AH153,'[80]Location Status'!$A$7:$D$178,2,0)</f>
        <v>30/0</v>
      </c>
      <c r="AI151" s="258"/>
      <c r="AL151" s="257" t="str">
        <f>VLOOKUP(AL153,'[80]Location Status'!$A$7:$D$178,2,0)</f>
        <v>30/1</v>
      </c>
      <c r="AM151" s="258"/>
      <c r="AP151" s="257" t="str">
        <f>VLOOKUP(AP153,'[80]Location Status'!$A$7:$D$178,2,0)</f>
        <v>30/2</v>
      </c>
      <c r="AQ151" s="258"/>
      <c r="AT151" s="145"/>
      <c r="AV151" s="246"/>
      <c r="AW151" s="246"/>
      <c r="BB151" s="183"/>
      <c r="BC151" s="184"/>
      <c r="BD151" s="185"/>
    </row>
    <row r="152" spans="1:56" x14ac:dyDescent="0.35">
      <c r="A152" s="144"/>
      <c r="AT152" s="145"/>
      <c r="AV152" s="246"/>
      <c r="AW152" s="246"/>
    </row>
    <row r="153" spans="1:56" s="175" customFormat="1" ht="12.5" x14ac:dyDescent="0.25">
      <c r="A153" s="174"/>
      <c r="B153" s="175">
        <f>1+AP143</f>
        <v>151</v>
      </c>
      <c r="F153" s="175">
        <f>1+B153</f>
        <v>152</v>
      </c>
      <c r="J153" s="175">
        <f>1+F153</f>
        <v>153</v>
      </c>
      <c r="N153" s="175">
        <f>1+J153</f>
        <v>154</v>
      </c>
      <c r="R153" s="175">
        <f>1+N153</f>
        <v>155</v>
      </c>
      <c r="V153" s="175">
        <f>1+R153</f>
        <v>156</v>
      </c>
      <c r="Z153" s="175">
        <f>1+V153</f>
        <v>157</v>
      </c>
      <c r="AD153" s="175">
        <f>1+Z153</f>
        <v>158</v>
      </c>
      <c r="AH153" s="175">
        <f>1+AD153</f>
        <v>159</v>
      </c>
      <c r="AL153" s="175">
        <f>1+AH153</f>
        <v>160</v>
      </c>
      <c r="AP153" s="175">
        <f>1+AL153</f>
        <v>161</v>
      </c>
      <c r="AT153" s="176"/>
      <c r="AV153" s="259"/>
      <c r="AW153" s="259"/>
    </row>
    <row r="154" spans="1:56" x14ac:dyDescent="0.35">
      <c r="A154" s="144"/>
      <c r="B154" s="156" t="s">
        <v>577</v>
      </c>
      <c r="C154" s="156" t="s">
        <v>578</v>
      </c>
      <c r="D154" s="254">
        <f>VLOOKUP(B153,'[80]Location Status'!$A$7:$D$178,4,0)</f>
        <v>391.18900000000002</v>
      </c>
      <c r="E154" s="255"/>
      <c r="F154" s="182" t="s">
        <v>577</v>
      </c>
      <c r="G154" s="182" t="s">
        <v>578</v>
      </c>
      <c r="H154" s="254">
        <f>VLOOKUP(F153,'[80]Location Status'!$A$7:$D$178,4,0)</f>
        <v>412</v>
      </c>
      <c r="I154" s="255"/>
      <c r="J154" s="182" t="s">
        <v>577</v>
      </c>
      <c r="K154" s="182" t="s">
        <v>578</v>
      </c>
      <c r="L154" s="254">
        <f>VLOOKUP(J153,'[80]Location Status'!$A$7:$D$178,4,0)</f>
        <v>384.05200000000002</v>
      </c>
      <c r="M154" s="255"/>
      <c r="N154" s="182" t="s">
        <v>577</v>
      </c>
      <c r="O154" s="182" t="s">
        <v>578</v>
      </c>
      <c r="P154" s="254">
        <f>VLOOKUP(N153,'[80]Location Status'!$A$7:$D$178,4,0)</f>
        <v>404</v>
      </c>
      <c r="Q154" s="255"/>
      <c r="R154" s="181" t="s">
        <v>577</v>
      </c>
      <c r="S154" s="181" t="s">
        <v>578</v>
      </c>
      <c r="T154" s="254">
        <f>VLOOKUP(R153,'[80]Location Status'!$A$7:$D$178,4,0)</f>
        <v>261.80599999999998</v>
      </c>
      <c r="U154" s="255"/>
      <c r="V154" s="181" t="s">
        <v>577</v>
      </c>
      <c r="W154" s="181" t="s">
        <v>578</v>
      </c>
      <c r="X154" s="254">
        <f>VLOOKUP(V153,'[80]Location Status'!$A$7:$D$178,4,0)</f>
        <v>358</v>
      </c>
      <c r="Y154" s="255"/>
      <c r="Z154" s="178" t="s">
        <v>577</v>
      </c>
      <c r="AA154" s="178" t="s">
        <v>578</v>
      </c>
      <c r="AB154" s="254">
        <f>VLOOKUP(Z153,'[80]Location Status'!$A$7:$D$178,4,0)</f>
        <v>419</v>
      </c>
      <c r="AC154" s="255"/>
      <c r="AD154" s="182" t="s">
        <v>577</v>
      </c>
      <c r="AE154" s="182" t="s">
        <v>578</v>
      </c>
      <c r="AF154" s="254">
        <f>VLOOKUP(AD153,'[80]Location Status'!$A$7:$D$178,4,0)</f>
        <v>367.80799999999999</v>
      </c>
      <c r="AG154" s="255"/>
      <c r="AH154" s="182" t="s">
        <v>577</v>
      </c>
      <c r="AI154" s="182" t="s">
        <v>578</v>
      </c>
      <c r="AJ154" s="254">
        <f>VLOOKUP(AH153,'[80]Location Status'!$A$7:$D$178,4,0)</f>
        <v>409.00299999999999</v>
      </c>
      <c r="AK154" s="255"/>
      <c r="AL154" s="182" t="s">
        <v>577</v>
      </c>
      <c r="AM154" s="182" t="s">
        <v>578</v>
      </c>
      <c r="AN154" s="254">
        <f>VLOOKUP(AL153,'[80]Location Status'!$A$7:$D$178,4,0)</f>
        <v>343</v>
      </c>
      <c r="AO154" s="255"/>
      <c r="AP154" s="182" t="s">
        <v>577</v>
      </c>
      <c r="AQ154" s="182" t="s">
        <v>578</v>
      </c>
      <c r="AR154" s="254">
        <f>VLOOKUP(AP153,'[80]Location Status'!$A$7:$D$178,4,0)</f>
        <v>394</v>
      </c>
      <c r="AS154" s="255"/>
      <c r="AT154" s="145"/>
      <c r="AV154" s="246">
        <f>D154+H154+L154+P154+T154+X154+AB154+AF154+AJ154+AN154+AR154</f>
        <v>4143.8580000000002</v>
      </c>
      <c r="AW154" s="246"/>
      <c r="AY154">
        <v>11</v>
      </c>
      <c r="BB154" s="184"/>
      <c r="BC154" s="184"/>
      <c r="BD154" s="185"/>
    </row>
    <row r="155" spans="1:56" x14ac:dyDescent="0.35">
      <c r="A155" s="144"/>
      <c r="B155" s="156" t="s">
        <v>581</v>
      </c>
      <c r="C155" s="156" t="s">
        <v>582</v>
      </c>
      <c r="F155" s="156" t="s">
        <v>581</v>
      </c>
      <c r="G155" s="156" t="s">
        <v>582</v>
      </c>
      <c r="J155" s="156" t="s">
        <v>581</v>
      </c>
      <c r="K155" s="156" t="s">
        <v>582</v>
      </c>
      <c r="N155" s="156" t="s">
        <v>581</v>
      </c>
      <c r="O155" s="156" t="s">
        <v>582</v>
      </c>
      <c r="R155" s="157" t="s">
        <v>581</v>
      </c>
      <c r="S155" s="157" t="s">
        <v>582</v>
      </c>
      <c r="V155" s="157" t="s">
        <v>581</v>
      </c>
      <c r="W155" s="157" t="s">
        <v>582</v>
      </c>
      <c r="Z155" s="71" t="s">
        <v>581</v>
      </c>
      <c r="AA155" s="71" t="s">
        <v>582</v>
      </c>
      <c r="AD155" s="156" t="s">
        <v>581</v>
      </c>
      <c r="AE155" s="156" t="s">
        <v>582</v>
      </c>
      <c r="AH155" s="156" t="s">
        <v>581</v>
      </c>
      <c r="AI155" s="156" t="s">
        <v>582</v>
      </c>
      <c r="AL155" s="156" t="s">
        <v>581</v>
      </c>
      <c r="AM155" s="156" t="s">
        <v>582</v>
      </c>
      <c r="AP155" s="156" t="s">
        <v>581</v>
      </c>
      <c r="AQ155" s="156" t="s">
        <v>582</v>
      </c>
      <c r="AT155" s="145"/>
      <c r="AV155" s="246"/>
      <c r="AW155" s="246"/>
    </row>
    <row r="156" spans="1:56" x14ac:dyDescent="0.35">
      <c r="A156" s="144"/>
      <c r="B156" s="252" t="s">
        <v>596</v>
      </c>
      <c r="C156" s="253"/>
      <c r="F156" s="252" t="s">
        <v>596</v>
      </c>
      <c r="G156" s="253"/>
      <c r="J156" s="251" t="s">
        <v>441</v>
      </c>
      <c r="K156" s="251"/>
      <c r="N156" s="252" t="s">
        <v>596</v>
      </c>
      <c r="O156" s="253"/>
      <c r="R156" s="238"/>
      <c r="S156" s="238"/>
      <c r="V156" s="238"/>
      <c r="W156" s="238"/>
      <c r="Z156" s="238"/>
      <c r="AA156" s="238"/>
      <c r="AD156" s="251" t="s">
        <v>441</v>
      </c>
      <c r="AE156" s="251"/>
      <c r="AH156" s="251" t="s">
        <v>441</v>
      </c>
      <c r="AI156" s="251"/>
      <c r="AL156" s="251" t="s">
        <v>441</v>
      </c>
      <c r="AM156" s="251"/>
      <c r="AP156" s="251" t="s">
        <v>441</v>
      </c>
      <c r="AQ156" s="251"/>
      <c r="AT156" s="145"/>
      <c r="AV156" s="246"/>
      <c r="AW156" s="246"/>
    </row>
    <row r="157" spans="1:56" x14ac:dyDescent="0.35">
      <c r="A157" s="144"/>
      <c r="B157" s="180" t="str">
        <f>VLOOKUP(B153,'[80]Location Status'!$A$7:$D$178,3,0)</f>
        <v>DA+0</v>
      </c>
      <c r="C157" s="180"/>
      <c r="F157" s="180" t="str">
        <f>VLOOKUP(F153,'[80]Location Status'!$A$7:$D$178,3,0)</f>
        <v>DC1+0</v>
      </c>
      <c r="G157" s="180"/>
      <c r="J157" s="180" t="str">
        <f>VLOOKUP(J153,'[80]Location Status'!$A$7:$D$178,3,0)</f>
        <v>DA+3</v>
      </c>
      <c r="K157" s="180"/>
      <c r="N157" s="180" t="str">
        <f>VLOOKUP(N153,'[80]Location Status'!$A$7:$D$178,3,0)</f>
        <v>DC1+0</v>
      </c>
      <c r="O157" s="180"/>
      <c r="R157" s="180" t="str">
        <f>VLOOKUP(R153,'[80]Location Status'!$A$7:$D$178,3,0)</f>
        <v>DB1+0</v>
      </c>
      <c r="S157" s="180"/>
      <c r="V157" s="180" t="str">
        <f>VLOOKUP(V153,'[80]Location Status'!$A$7:$D$178,3,0)</f>
        <v>DB2+0</v>
      </c>
      <c r="W157" s="180"/>
      <c r="Z157" s="180" t="str">
        <f>VLOOKUP(Z153,'[80]Location Status'!$A$7:$D$178,3,0)</f>
        <v>DA+0</v>
      </c>
      <c r="AA157" s="180"/>
      <c r="AD157" s="180" t="str">
        <f>VLOOKUP(AD153,'[80]Location Status'!$A$7:$D$178,3,0)</f>
        <v>DA+0</v>
      </c>
      <c r="AE157" s="180"/>
      <c r="AH157" s="180" t="str">
        <f>VLOOKUP(AH153,'[80]Location Status'!$A$7:$D$178,3,0)</f>
        <v>DC2+0</v>
      </c>
      <c r="AI157" s="180"/>
      <c r="AL157" s="180" t="str">
        <f>VLOOKUP(AL153,'[80]Location Status'!$A$7:$D$178,3,0)</f>
        <v>DA+9</v>
      </c>
      <c r="AM157" s="180"/>
      <c r="AP157" s="180" t="str">
        <f>VLOOKUP(AP153,'[80]Location Status'!$A$7:$D$178,3,0)</f>
        <v>DA+3</v>
      </c>
      <c r="AQ157" s="180"/>
      <c r="AT157" s="145"/>
      <c r="AV157" s="246"/>
      <c r="AW157" s="246"/>
      <c r="BB157" s="184"/>
      <c r="BC157" s="184"/>
      <c r="BD157" s="185"/>
    </row>
    <row r="158" spans="1:56" x14ac:dyDescent="0.35">
      <c r="A158" s="144"/>
      <c r="AT158" s="145"/>
      <c r="AV158" s="246"/>
      <c r="AW158" s="246"/>
    </row>
    <row r="159" spans="1:56" x14ac:dyDescent="0.35">
      <c r="A159" s="179"/>
      <c r="B159" s="179"/>
      <c r="C159" s="179"/>
      <c r="E159" s="179"/>
      <c r="F159" s="179"/>
      <c r="G159" s="179"/>
      <c r="M159" s="179"/>
      <c r="N159" s="179"/>
      <c r="O159" s="179"/>
      <c r="P159" s="179"/>
      <c r="R159" s="191" t="s">
        <v>405</v>
      </c>
      <c r="V159" s="195" t="s">
        <v>602</v>
      </c>
      <c r="W159" s="196"/>
      <c r="X159" s="197"/>
      <c r="AD159" s="191" t="s">
        <v>405</v>
      </c>
      <c r="AT159" s="145"/>
      <c r="AV159" s="246"/>
      <c r="AW159" s="246"/>
    </row>
    <row r="160" spans="1:56" x14ac:dyDescent="0.35">
      <c r="A160" s="144"/>
      <c r="B160" s="257" t="str">
        <f>VLOOKUP(B162,'[80]Location Status'!$A$7:$D$178,2,0)</f>
        <v>30/3</v>
      </c>
      <c r="C160" s="258"/>
      <c r="F160" s="257" t="str">
        <f>VLOOKUP(F162,'[80]Location Status'!$A$7:$D$178,2,0)</f>
        <v>30/4</v>
      </c>
      <c r="G160" s="258"/>
      <c r="J160" s="257" t="str">
        <f>VLOOKUP(J162,'[80]Location Status'!$A$7:$D$178,2,0)</f>
        <v>30/5</v>
      </c>
      <c r="K160" s="258"/>
      <c r="N160" s="257" t="str">
        <f>VLOOKUP(N162,'[80]Location Status'!$A$7:$D$178,2,0)</f>
        <v>31/0</v>
      </c>
      <c r="O160" s="258"/>
      <c r="R160" s="257" t="str">
        <f>VLOOKUP(R162,'[80]Location Status'!$A$7:$D$178,2,0)</f>
        <v>31/1</v>
      </c>
      <c r="S160" s="258"/>
      <c r="V160" s="257" t="str">
        <f>VLOOKUP(V162,'[80]Location Status'!$A$7:$D$178,2,0)</f>
        <v>31/2</v>
      </c>
      <c r="W160" s="258"/>
      <c r="Z160" s="257" t="str">
        <f>VLOOKUP(Z162,'[80]Location Status'!$A$7:$D$178,2,0)</f>
        <v xml:space="preserve">32/0 </v>
      </c>
      <c r="AA160" s="258"/>
      <c r="AD160" s="257" t="str">
        <f>VLOOKUP(AD162,'[80]Location Status'!$A$7:$D$178,2,0)</f>
        <v>32/1</v>
      </c>
      <c r="AE160" s="258"/>
      <c r="AH160" s="257" t="str">
        <f>VLOOKUP(AH162,'[80]Location Status'!$A$7:$D$178,2,0)</f>
        <v>32/2</v>
      </c>
      <c r="AI160" s="258"/>
      <c r="AL160" s="257" t="str">
        <f>VLOOKUP(AL162,'[80]Location Status'!$A$7:$D$178,2,0)</f>
        <v>33/0</v>
      </c>
      <c r="AM160" s="258"/>
      <c r="AP160" s="172"/>
      <c r="AQ160" s="171"/>
      <c r="AT160" s="145"/>
      <c r="AV160" s="246"/>
      <c r="AW160" s="246"/>
      <c r="BB160" s="183"/>
      <c r="BC160" s="184"/>
      <c r="BD160" s="185"/>
    </row>
    <row r="161" spans="1:56" x14ac:dyDescent="0.35">
      <c r="A161" s="144"/>
      <c r="AP161" s="172"/>
      <c r="AQ161" s="171"/>
      <c r="AT161" s="145"/>
      <c r="AV161" s="246"/>
      <c r="AW161" s="246"/>
    </row>
    <row r="162" spans="1:56" s="175" customFormat="1" x14ac:dyDescent="0.25">
      <c r="A162" s="174"/>
      <c r="B162" s="175">
        <f>1+AP153</f>
        <v>162</v>
      </c>
      <c r="F162" s="175">
        <f>1+B162</f>
        <v>163</v>
      </c>
      <c r="J162" s="175">
        <f>1+F162</f>
        <v>164</v>
      </c>
      <c r="N162" s="175">
        <f>1+J162</f>
        <v>165</v>
      </c>
      <c r="R162" s="175">
        <f>1+N162</f>
        <v>166</v>
      </c>
      <c r="V162" s="175">
        <f>1+R162</f>
        <v>167</v>
      </c>
      <c r="Z162" s="175">
        <f>1+V162</f>
        <v>168</v>
      </c>
      <c r="AD162" s="175">
        <f>1+Z162</f>
        <v>169</v>
      </c>
      <c r="AH162" s="175">
        <f>1+AD162</f>
        <v>170</v>
      </c>
      <c r="AL162" s="175">
        <f>1+AH162</f>
        <v>171</v>
      </c>
      <c r="AP162" s="172"/>
      <c r="AQ162" s="171"/>
      <c r="AT162" s="176"/>
      <c r="AV162" s="259"/>
      <c r="AW162" s="259"/>
    </row>
    <row r="163" spans="1:56" x14ac:dyDescent="0.35">
      <c r="A163" s="144"/>
      <c r="B163" s="156" t="s">
        <v>577</v>
      </c>
      <c r="C163" s="156" t="s">
        <v>578</v>
      </c>
      <c r="D163" s="257">
        <f>VLOOKUP(B162,'[80]Location Status'!$A$7:$D$178,4,0)</f>
        <v>403</v>
      </c>
      <c r="E163" s="258"/>
      <c r="F163" s="156" t="s">
        <v>577</v>
      </c>
      <c r="G163" s="156" t="s">
        <v>578</v>
      </c>
      <c r="H163" s="254">
        <f>VLOOKUP(F162,'[80]Location Status'!$A$7:$D$178,4,0)</f>
        <v>350</v>
      </c>
      <c r="I163" s="255"/>
      <c r="J163" s="182" t="s">
        <v>577</v>
      </c>
      <c r="K163" s="182" t="s">
        <v>578</v>
      </c>
      <c r="L163" s="254">
        <f>VLOOKUP(J162,'[80]Location Status'!$A$7:$D$178,4,0)</f>
        <v>354.815</v>
      </c>
      <c r="M163" s="255"/>
      <c r="N163" s="182" t="s">
        <v>577</v>
      </c>
      <c r="O163" s="182" t="s">
        <v>578</v>
      </c>
      <c r="P163" s="254">
        <f>VLOOKUP(N162,'[80]Location Status'!$A$7:$D$178,4,0)</f>
        <v>363</v>
      </c>
      <c r="Q163" s="255"/>
      <c r="R163" s="178" t="s">
        <v>577</v>
      </c>
      <c r="S163" s="178" t="s">
        <v>578</v>
      </c>
      <c r="T163" s="254">
        <f>VLOOKUP(R162,'[80]Location Status'!$A$7:$D$178,4,0)</f>
        <v>437</v>
      </c>
      <c r="U163" s="255"/>
      <c r="V163" s="182" t="s">
        <v>577</v>
      </c>
      <c r="W163" s="182" t="s">
        <v>578</v>
      </c>
      <c r="X163" s="254">
        <f>VLOOKUP(V162,'[80]Location Status'!$A$7:$D$178,4,0)</f>
        <v>347.61599999999999</v>
      </c>
      <c r="Y163" s="255"/>
      <c r="Z163" s="182" t="s">
        <v>577</v>
      </c>
      <c r="AA163" s="182" t="s">
        <v>578</v>
      </c>
      <c r="AB163" s="254">
        <f>VLOOKUP(Z162,'[80]Location Status'!$A$7:$D$178,4,0)</f>
        <v>400</v>
      </c>
      <c r="AC163" s="255"/>
      <c r="AD163" s="178" t="s">
        <v>577</v>
      </c>
      <c r="AE163" s="178" t="s">
        <v>578</v>
      </c>
      <c r="AF163" s="254">
        <f>VLOOKUP(AD162,'[80]Location Status'!$A$7:$D$178,4,0)</f>
        <v>439</v>
      </c>
      <c r="AG163" s="255"/>
      <c r="AH163" s="182" t="s">
        <v>577</v>
      </c>
      <c r="AI163" s="182" t="s">
        <v>578</v>
      </c>
      <c r="AJ163" s="254">
        <f>VLOOKUP(AH162,'[80]Location Status'!$A$7:$D$178,4,0)</f>
        <v>343.60700000000003</v>
      </c>
      <c r="AK163" s="255"/>
      <c r="AL163" s="182" t="s">
        <v>577</v>
      </c>
      <c r="AM163" s="182" t="s">
        <v>578</v>
      </c>
      <c r="AN163" s="177"/>
      <c r="AO163" s="198"/>
      <c r="AP163" s="172"/>
      <c r="AQ163" s="171"/>
      <c r="AR163" s="172"/>
      <c r="AS163" s="171"/>
      <c r="AT163" s="145"/>
      <c r="AV163" s="256">
        <f>D163+H163+L163+P163+T163+X163+AB163+AF163+AJ163+AN163+AR163</f>
        <v>3438.038</v>
      </c>
      <c r="AW163" s="256"/>
      <c r="AY163">
        <v>10</v>
      </c>
      <c r="BB163" s="184"/>
      <c r="BC163" s="184"/>
      <c r="BD163" s="185"/>
    </row>
    <row r="164" spans="1:56" x14ac:dyDescent="0.35">
      <c r="A164" s="144"/>
      <c r="B164" s="156" t="s">
        <v>581</v>
      </c>
      <c r="C164" s="156" t="s">
        <v>582</v>
      </c>
      <c r="F164" s="156" t="s">
        <v>581</v>
      </c>
      <c r="G164" s="156" t="s">
        <v>582</v>
      </c>
      <c r="J164" s="156" t="s">
        <v>581</v>
      </c>
      <c r="K164" s="156" t="s">
        <v>582</v>
      </c>
      <c r="N164" s="156" t="s">
        <v>581</v>
      </c>
      <c r="O164" s="156" t="s">
        <v>582</v>
      </c>
      <c r="R164" s="71" t="s">
        <v>581</v>
      </c>
      <c r="S164" s="71" t="s">
        <v>582</v>
      </c>
      <c r="V164" s="156" t="s">
        <v>581</v>
      </c>
      <c r="W164" s="156" t="s">
        <v>582</v>
      </c>
      <c r="Z164" s="156" t="s">
        <v>581</v>
      </c>
      <c r="AA164" s="156" t="s">
        <v>582</v>
      </c>
      <c r="AD164" s="71" t="s">
        <v>581</v>
      </c>
      <c r="AE164" s="71" t="s">
        <v>582</v>
      </c>
      <c r="AH164" s="156" t="s">
        <v>581</v>
      </c>
      <c r="AI164" s="156" t="s">
        <v>582</v>
      </c>
      <c r="AL164" s="156" t="s">
        <v>581</v>
      </c>
      <c r="AM164" s="156" t="s">
        <v>582</v>
      </c>
      <c r="AP164" s="172"/>
      <c r="AQ164" s="171"/>
      <c r="AT164" s="145"/>
      <c r="AV164" s="246"/>
      <c r="AW164" s="246"/>
    </row>
    <row r="165" spans="1:56" x14ac:dyDescent="0.35">
      <c r="A165" s="144"/>
      <c r="B165" s="252" t="s">
        <v>596</v>
      </c>
      <c r="C165" s="253"/>
      <c r="F165" s="251" t="s">
        <v>441</v>
      </c>
      <c r="G165" s="251"/>
      <c r="J165" s="251" t="s">
        <v>441</v>
      </c>
      <c r="K165" s="251"/>
      <c r="N165" s="251" t="s">
        <v>441</v>
      </c>
      <c r="O165" s="251"/>
      <c r="R165" s="238"/>
      <c r="S165" s="238"/>
      <c r="V165" s="238"/>
      <c r="W165" s="238"/>
      <c r="Z165" s="251" t="s">
        <v>441</v>
      </c>
      <c r="AA165" s="251"/>
      <c r="AD165" s="238"/>
      <c r="AE165" s="238"/>
      <c r="AH165" s="252" t="s">
        <v>596</v>
      </c>
      <c r="AI165" s="253"/>
      <c r="AL165" s="252" t="s">
        <v>596</v>
      </c>
      <c r="AM165" s="253"/>
      <c r="AP165" s="172"/>
      <c r="AQ165" s="171"/>
      <c r="AT165" s="145"/>
      <c r="AV165" s="246"/>
      <c r="AW165" s="246"/>
    </row>
    <row r="166" spans="1:56" x14ac:dyDescent="0.35">
      <c r="A166" s="144"/>
      <c r="B166" s="180" t="str">
        <f>VLOOKUP(B162,'[80]Location Status'!$A$7:$D$178,3,0)</f>
        <v>DA+9</v>
      </c>
      <c r="C166" s="180"/>
      <c r="F166" s="180" t="str">
        <f>VLOOKUP(F162,'[80]Location Status'!$A$7:$D$178,3,0)</f>
        <v>DA+3</v>
      </c>
      <c r="G166" s="180"/>
      <c r="J166" s="180" t="str">
        <f>VLOOKUP(J162,'[80]Location Status'!$A$7:$D$178,3,0)</f>
        <v>DA+0</v>
      </c>
      <c r="K166" s="180"/>
      <c r="N166" s="180" t="str">
        <f>VLOOKUP(N162,'[80]Location Status'!$A$7:$D$178,3,0)</f>
        <v>DD45+0</v>
      </c>
      <c r="O166" s="180"/>
      <c r="R166" s="180" t="str">
        <f>VLOOKUP(R162,'[80]Location Status'!$A$7:$D$178,3,0)</f>
        <v>DA+6</v>
      </c>
      <c r="S166" s="180"/>
      <c r="V166" s="180" t="str">
        <f>VLOOKUP(V162,'[80]Location Status'!$A$7:$D$178,3,0)</f>
        <v>DB1+6</v>
      </c>
      <c r="W166" s="180"/>
      <c r="Z166" s="180" t="str">
        <f>VLOOKUP(Z162,'[80]Location Status'!$A$7:$D$178,3,0)</f>
        <v>DB1+0</v>
      </c>
      <c r="AA166" s="180"/>
      <c r="AD166" s="180" t="str">
        <f>VLOOKUP(AD162,'[80]Location Status'!$A$7:$D$178,3,0)</f>
        <v>DA+6</v>
      </c>
      <c r="AE166" s="180"/>
      <c r="AH166" s="180" t="str">
        <f>VLOOKUP(AH162,'[80]Location Status'!$A$7:$D$178,3,0)</f>
        <v>DB1+9</v>
      </c>
      <c r="AI166" s="180"/>
      <c r="AL166" s="180" t="str">
        <f>VLOOKUP(AL162,'[80]Location Status'!$A$7:$D$178,3,0)</f>
        <v>DC2+0</v>
      </c>
      <c r="AM166" s="180"/>
      <c r="AP166" s="180"/>
      <c r="AQ166" s="180"/>
      <c r="AT166" s="145"/>
      <c r="AV166" s="246"/>
      <c r="AW166" s="246"/>
      <c r="BB166" s="184"/>
      <c r="BC166" s="184"/>
      <c r="BD166" s="185"/>
    </row>
    <row r="167" spans="1:56" ht="15" thickBot="1" x14ac:dyDescent="0.4">
      <c r="A167" s="199"/>
      <c r="B167" s="200"/>
      <c r="C167" s="200"/>
      <c r="D167" s="201"/>
      <c r="E167" s="201"/>
      <c r="F167" s="200"/>
      <c r="G167" s="200"/>
      <c r="H167" s="201"/>
      <c r="I167" s="201"/>
      <c r="J167" s="200"/>
      <c r="K167" s="200"/>
      <c r="L167" s="201"/>
      <c r="M167" s="201"/>
      <c r="N167" s="200"/>
      <c r="O167" s="200"/>
      <c r="P167" s="201"/>
      <c r="Q167" s="201"/>
      <c r="R167" s="200"/>
      <c r="S167" s="200"/>
      <c r="T167" s="201"/>
      <c r="U167" s="201"/>
      <c r="V167" s="200"/>
      <c r="W167" s="200"/>
      <c r="X167" s="201"/>
      <c r="Y167" s="201"/>
      <c r="Z167" s="200"/>
      <c r="AA167" s="200"/>
      <c r="AB167" s="201"/>
      <c r="AC167" s="201"/>
      <c r="AD167" s="200"/>
      <c r="AE167" s="200"/>
      <c r="AF167" s="201"/>
      <c r="AG167" s="201"/>
      <c r="AH167" s="200"/>
      <c r="AI167" s="200"/>
      <c r="AJ167" s="201"/>
      <c r="AK167" s="201"/>
      <c r="AL167" s="200"/>
      <c r="AM167" s="200"/>
      <c r="AN167" s="201"/>
      <c r="AO167" s="201"/>
      <c r="AP167" s="200"/>
      <c r="AQ167" s="200"/>
      <c r="AR167" s="201"/>
      <c r="AS167" s="201"/>
      <c r="AT167" s="202"/>
      <c r="AV167" s="246"/>
      <c r="AW167" s="246"/>
    </row>
    <row r="168" spans="1:56" ht="15" thickBot="1" x14ac:dyDescent="0.4"/>
    <row r="169" spans="1:56" ht="15" thickBot="1" x14ac:dyDescent="0.4">
      <c r="A169" s="247" t="s">
        <v>603</v>
      </c>
      <c r="B169" s="248"/>
      <c r="C169" s="248"/>
      <c r="D169" s="248"/>
      <c r="E169" s="248"/>
      <c r="F169" s="248"/>
      <c r="G169" s="248"/>
      <c r="H169" s="248"/>
      <c r="I169" s="248"/>
      <c r="J169" s="248"/>
      <c r="K169" s="248"/>
      <c r="L169" s="248"/>
      <c r="M169" s="248"/>
      <c r="N169" s="248"/>
      <c r="O169" s="249"/>
    </row>
    <row r="170" spans="1:56" ht="0.75" customHeight="1" thickBot="1" x14ac:dyDescent="0.4">
      <c r="A170" s="144"/>
      <c r="O170" s="145"/>
    </row>
    <row r="171" spans="1:56" s="204" customFormat="1" ht="24.75" customHeight="1" thickBot="1" x14ac:dyDescent="0.4">
      <c r="A171" s="250" t="s">
        <v>604</v>
      </c>
      <c r="B171" s="242"/>
      <c r="C171" s="242" t="s">
        <v>605</v>
      </c>
      <c r="D171" s="242"/>
      <c r="E171" s="242"/>
      <c r="F171" s="203"/>
      <c r="G171" s="242" t="s">
        <v>606</v>
      </c>
      <c r="H171" s="242"/>
      <c r="I171" s="242"/>
      <c r="J171" s="242" t="s">
        <v>607</v>
      </c>
      <c r="K171" s="242"/>
      <c r="L171" s="242"/>
      <c r="M171" s="242" t="s">
        <v>0</v>
      </c>
      <c r="N171" s="242"/>
      <c r="O171" s="243"/>
      <c r="P171"/>
      <c r="Q171"/>
      <c r="R171"/>
      <c r="S171"/>
      <c r="T171"/>
      <c r="U171"/>
      <c r="V171"/>
      <c r="Y171" s="250" t="s">
        <v>608</v>
      </c>
      <c r="Z171" s="242"/>
      <c r="AA171" s="242"/>
      <c r="AB171" s="242" t="s">
        <v>609</v>
      </c>
      <c r="AC171" s="242"/>
      <c r="AD171" s="242"/>
      <c r="AE171" s="242" t="s">
        <v>570</v>
      </c>
      <c r="AF171" s="242"/>
      <c r="AG171" s="243"/>
    </row>
    <row r="172" spans="1:56" x14ac:dyDescent="0.35">
      <c r="A172" s="244">
        <f>1</f>
        <v>1</v>
      </c>
      <c r="B172" s="245"/>
      <c r="C172" s="227" t="s">
        <v>4</v>
      </c>
      <c r="D172" s="227"/>
      <c r="E172" s="227"/>
      <c r="F172" s="205" t="s">
        <v>610</v>
      </c>
      <c r="G172" s="227">
        <f>'[80]updated Progress'!C185</f>
        <v>10</v>
      </c>
      <c r="H172" s="227"/>
      <c r="I172" s="227"/>
      <c r="J172" s="227">
        <f>'[80]updated Progress'!D185</f>
        <v>9</v>
      </c>
      <c r="K172" s="227"/>
      <c r="L172" s="227"/>
      <c r="M172" s="227">
        <f>'[80]updated Progress'!E185</f>
        <v>1</v>
      </c>
      <c r="N172" s="227"/>
      <c r="O172" s="229"/>
      <c r="W172" s="158"/>
      <c r="X172" s="158"/>
      <c r="Y172" s="240">
        <f>'[80]updated Progress'!N185</f>
        <v>7</v>
      </c>
      <c r="Z172" s="227"/>
      <c r="AA172" s="227"/>
      <c r="AB172" s="227">
        <f>'[80]updated Progress'!O185</f>
        <v>2</v>
      </c>
      <c r="AC172" s="227"/>
      <c r="AD172" s="227"/>
      <c r="AE172" s="228">
        <f>'[80]updated Progress'!Q185</f>
        <v>3</v>
      </c>
      <c r="AF172" s="227"/>
      <c r="AG172" s="229"/>
    </row>
    <row r="173" spans="1:56" x14ac:dyDescent="0.35">
      <c r="A173" s="237">
        <f>A172+1</f>
        <v>2</v>
      </c>
      <c r="B173" s="238"/>
      <c r="C173" s="239" t="s">
        <v>55</v>
      </c>
      <c r="D173" s="239"/>
      <c r="E173" s="239"/>
      <c r="F173" s="206" t="s">
        <v>610</v>
      </c>
      <c r="G173" s="227">
        <f>'[80]updated Progress'!C186</f>
        <v>5</v>
      </c>
      <c r="H173" s="227"/>
      <c r="I173" s="227"/>
      <c r="J173" s="227">
        <f>'[80]updated Progress'!D186</f>
        <v>5</v>
      </c>
      <c r="K173" s="227"/>
      <c r="L173" s="227"/>
      <c r="M173" s="227">
        <f>'[80]updated Progress'!E186</f>
        <v>0</v>
      </c>
      <c r="N173" s="227"/>
      <c r="O173" s="229"/>
      <c r="W173" s="158"/>
      <c r="X173" s="158"/>
      <c r="Y173" s="240">
        <f>'[80]updated Progress'!N186</f>
        <v>5</v>
      </c>
      <c r="Z173" s="227"/>
      <c r="AA173" s="227"/>
      <c r="AB173" s="227">
        <f>'[80]updated Progress'!O186</f>
        <v>0</v>
      </c>
      <c r="AC173" s="227"/>
      <c r="AD173" s="227"/>
      <c r="AE173" s="228">
        <f>'[80]updated Progress'!Q186</f>
        <v>0</v>
      </c>
      <c r="AF173" s="227"/>
      <c r="AG173" s="229"/>
    </row>
    <row r="174" spans="1:56" x14ac:dyDescent="0.35">
      <c r="A174" s="237">
        <f t="shared" ref="A174:A204" si="1">A173+1</f>
        <v>3</v>
      </c>
      <c r="B174" s="238"/>
      <c r="C174" s="239" t="s">
        <v>3</v>
      </c>
      <c r="D174" s="239"/>
      <c r="E174" s="239"/>
      <c r="F174" s="206" t="s">
        <v>610</v>
      </c>
      <c r="G174" s="227">
        <f>'[80]updated Progress'!C187</f>
        <v>44</v>
      </c>
      <c r="H174" s="227"/>
      <c r="I174" s="227"/>
      <c r="J174" s="227">
        <f>'[80]updated Progress'!D187</f>
        <v>31</v>
      </c>
      <c r="K174" s="227"/>
      <c r="L174" s="227"/>
      <c r="M174" s="227">
        <f>'[80]updated Progress'!E187</f>
        <v>13</v>
      </c>
      <c r="N174" s="227"/>
      <c r="O174" s="229"/>
      <c r="W174" s="158"/>
      <c r="X174" s="158"/>
      <c r="Y174" s="240">
        <f>'[80]updated Progress'!N187</f>
        <v>17</v>
      </c>
      <c r="Z174" s="227"/>
      <c r="AA174" s="227"/>
      <c r="AB174" s="227">
        <f>'[80]updated Progress'!O187</f>
        <v>14</v>
      </c>
      <c r="AC174" s="227"/>
      <c r="AD174" s="227"/>
      <c r="AE174" s="228">
        <f>'[80]updated Progress'!Q187</f>
        <v>27</v>
      </c>
      <c r="AF174" s="227"/>
      <c r="AG174" s="229"/>
    </row>
    <row r="175" spans="1:56" x14ac:dyDescent="0.35">
      <c r="A175" s="237">
        <f t="shared" si="1"/>
        <v>4</v>
      </c>
      <c r="B175" s="238"/>
      <c r="C175" s="241" t="s">
        <v>68</v>
      </c>
      <c r="D175" s="239"/>
      <c r="E175" s="239"/>
      <c r="F175" s="206" t="s">
        <v>610</v>
      </c>
      <c r="G175" s="227">
        <f>'[80]updated Progress'!C188</f>
        <v>0</v>
      </c>
      <c r="H175" s="227"/>
      <c r="I175" s="227"/>
      <c r="J175" s="227">
        <f>'[80]updated Progress'!D188</f>
        <v>0</v>
      </c>
      <c r="K175" s="227"/>
      <c r="L175" s="227"/>
      <c r="M175" s="227">
        <f>'[80]updated Progress'!E188</f>
        <v>0</v>
      </c>
      <c r="N175" s="227"/>
      <c r="O175" s="229"/>
      <c r="W175" s="158"/>
      <c r="X175" s="158"/>
      <c r="Y175" s="240">
        <f>'[80]updated Progress'!N188</f>
        <v>0</v>
      </c>
      <c r="Z175" s="227"/>
      <c r="AA175" s="227"/>
      <c r="AB175" s="227">
        <f>'[80]updated Progress'!O188</f>
        <v>0</v>
      </c>
      <c r="AC175" s="227"/>
      <c r="AD175" s="227"/>
      <c r="AE175" s="228">
        <f>'[80]updated Progress'!Q188</f>
        <v>0</v>
      </c>
      <c r="AF175" s="227"/>
      <c r="AG175" s="229"/>
    </row>
    <row r="176" spans="1:56" x14ac:dyDescent="0.35">
      <c r="A176" s="237">
        <f t="shared" si="1"/>
        <v>5</v>
      </c>
      <c r="B176" s="238"/>
      <c r="C176" s="241" t="s">
        <v>2</v>
      </c>
      <c r="D176" s="239"/>
      <c r="E176" s="239"/>
      <c r="F176" s="206" t="s">
        <v>610</v>
      </c>
      <c r="G176" s="227">
        <f>'[80]updated Progress'!C189</f>
        <v>43</v>
      </c>
      <c r="H176" s="227"/>
      <c r="I176" s="227"/>
      <c r="J176" s="227">
        <f>'[80]updated Progress'!D189</f>
        <v>32</v>
      </c>
      <c r="K176" s="227"/>
      <c r="L176" s="227"/>
      <c r="M176" s="227">
        <f>'[80]updated Progress'!E189</f>
        <v>11</v>
      </c>
      <c r="N176" s="227"/>
      <c r="O176" s="229"/>
      <c r="W176" s="158"/>
      <c r="X176" s="158"/>
      <c r="Y176" s="240">
        <f>'[80]updated Progress'!N189</f>
        <v>21</v>
      </c>
      <c r="Z176" s="227"/>
      <c r="AA176" s="227"/>
      <c r="AB176" s="227">
        <f>'[80]updated Progress'!O189</f>
        <v>11</v>
      </c>
      <c r="AC176" s="227"/>
      <c r="AD176" s="227"/>
      <c r="AE176" s="228">
        <f>'[80]updated Progress'!Q189</f>
        <v>22</v>
      </c>
      <c r="AF176" s="227"/>
      <c r="AG176" s="229"/>
    </row>
    <row r="177" spans="1:33" x14ac:dyDescent="0.35">
      <c r="A177" s="237">
        <f t="shared" si="1"/>
        <v>6</v>
      </c>
      <c r="B177" s="238"/>
      <c r="C177" s="239" t="s">
        <v>47</v>
      </c>
      <c r="D177" s="239"/>
      <c r="E177" s="239"/>
      <c r="F177" s="206" t="s">
        <v>610</v>
      </c>
      <c r="G177" s="227">
        <f>'[80]updated Progress'!C190</f>
        <v>14</v>
      </c>
      <c r="H177" s="227"/>
      <c r="I177" s="227"/>
      <c r="J177" s="227">
        <f>'[80]updated Progress'!D190</f>
        <v>11</v>
      </c>
      <c r="K177" s="227"/>
      <c r="L177" s="227"/>
      <c r="M177" s="227">
        <f>'[80]updated Progress'!E190</f>
        <v>3</v>
      </c>
      <c r="N177" s="227"/>
      <c r="O177" s="229"/>
      <c r="W177" s="158"/>
      <c r="X177" s="158"/>
      <c r="Y177" s="240">
        <f>'[80]updated Progress'!N190</f>
        <v>8</v>
      </c>
      <c r="Z177" s="227"/>
      <c r="AA177" s="227"/>
      <c r="AB177" s="227">
        <f>'[80]updated Progress'!O190</f>
        <v>3</v>
      </c>
      <c r="AC177" s="227"/>
      <c r="AD177" s="227"/>
      <c r="AE177" s="228">
        <f>'[80]updated Progress'!Q190</f>
        <v>6</v>
      </c>
      <c r="AF177" s="227"/>
      <c r="AG177" s="229"/>
    </row>
    <row r="178" spans="1:33" x14ac:dyDescent="0.35">
      <c r="A178" s="237">
        <f t="shared" si="1"/>
        <v>7</v>
      </c>
      <c r="B178" s="238"/>
      <c r="C178" s="239" t="s">
        <v>17</v>
      </c>
      <c r="D178" s="239"/>
      <c r="E178" s="239"/>
      <c r="F178" s="206" t="s">
        <v>610</v>
      </c>
      <c r="G178" s="227">
        <f>'[80]updated Progress'!C191</f>
        <v>8</v>
      </c>
      <c r="H178" s="227"/>
      <c r="I178" s="227"/>
      <c r="J178" s="227">
        <f>'[80]updated Progress'!D191</f>
        <v>7</v>
      </c>
      <c r="K178" s="227"/>
      <c r="L178" s="227"/>
      <c r="M178" s="227">
        <f>'[80]updated Progress'!E191</f>
        <v>1</v>
      </c>
      <c r="N178" s="227"/>
      <c r="O178" s="229"/>
      <c r="W178" s="158"/>
      <c r="X178" s="158"/>
      <c r="Y178" s="240">
        <f>'[80]updated Progress'!N191</f>
        <v>3</v>
      </c>
      <c r="Z178" s="227"/>
      <c r="AA178" s="227"/>
      <c r="AB178" s="227">
        <f>'[80]updated Progress'!O191</f>
        <v>4</v>
      </c>
      <c r="AC178" s="227"/>
      <c r="AD178" s="227"/>
      <c r="AE178" s="228">
        <f>'[80]updated Progress'!Q191</f>
        <v>5</v>
      </c>
      <c r="AF178" s="227"/>
      <c r="AG178" s="229"/>
    </row>
    <row r="179" spans="1:33" x14ac:dyDescent="0.35">
      <c r="A179" s="237">
        <f t="shared" si="1"/>
        <v>8</v>
      </c>
      <c r="B179" s="238"/>
      <c r="C179" s="239" t="s">
        <v>89</v>
      </c>
      <c r="D179" s="239"/>
      <c r="E179" s="239"/>
      <c r="F179" s="206" t="s">
        <v>610</v>
      </c>
      <c r="G179" s="227">
        <f>'[80]updated Progress'!C192</f>
        <v>3</v>
      </c>
      <c r="H179" s="227"/>
      <c r="I179" s="227"/>
      <c r="J179" s="227">
        <f>'[80]updated Progress'!D192</f>
        <v>1</v>
      </c>
      <c r="K179" s="227"/>
      <c r="L179" s="227"/>
      <c r="M179" s="227">
        <f>'[80]updated Progress'!E192</f>
        <v>2</v>
      </c>
      <c r="N179" s="227"/>
      <c r="O179" s="229"/>
      <c r="W179" s="158"/>
      <c r="X179" s="158"/>
      <c r="Y179" s="240">
        <f>'[80]updated Progress'!N192</f>
        <v>0</v>
      </c>
      <c r="Z179" s="227"/>
      <c r="AA179" s="227"/>
      <c r="AB179" s="227">
        <f>'[80]updated Progress'!O192</f>
        <v>1</v>
      </c>
      <c r="AC179" s="227"/>
      <c r="AD179" s="227"/>
      <c r="AE179" s="228">
        <f>'[80]updated Progress'!Q192</f>
        <v>3</v>
      </c>
      <c r="AF179" s="227"/>
      <c r="AG179" s="229"/>
    </row>
    <row r="180" spans="1:33" x14ac:dyDescent="0.35">
      <c r="A180" s="237">
        <f t="shared" si="1"/>
        <v>9</v>
      </c>
      <c r="B180" s="238"/>
      <c r="C180" s="241" t="s">
        <v>98</v>
      </c>
      <c r="D180" s="239"/>
      <c r="E180" s="239"/>
      <c r="F180" s="206" t="s">
        <v>610</v>
      </c>
      <c r="G180" s="227">
        <f>'[80]updated Progress'!C193</f>
        <v>0</v>
      </c>
      <c r="H180" s="227"/>
      <c r="I180" s="227"/>
      <c r="J180" s="227">
        <f>'[80]updated Progress'!D193</f>
        <v>0</v>
      </c>
      <c r="K180" s="227"/>
      <c r="L180" s="227"/>
      <c r="M180" s="227">
        <f>'[80]updated Progress'!E193</f>
        <v>0</v>
      </c>
      <c r="N180" s="227"/>
      <c r="O180" s="229"/>
      <c r="W180" s="158"/>
      <c r="X180" s="158"/>
      <c r="Y180" s="240">
        <f>'[80]updated Progress'!N193</f>
        <v>0</v>
      </c>
      <c r="Z180" s="227"/>
      <c r="AA180" s="227"/>
      <c r="AB180" s="227">
        <f>'[80]updated Progress'!O193</f>
        <v>0</v>
      </c>
      <c r="AC180" s="227"/>
      <c r="AD180" s="227"/>
      <c r="AE180" s="228">
        <f>'[80]updated Progress'!Q193</f>
        <v>0</v>
      </c>
      <c r="AF180" s="227"/>
      <c r="AG180" s="229"/>
    </row>
    <row r="181" spans="1:33" x14ac:dyDescent="0.35">
      <c r="A181" s="237">
        <f>A179+1</f>
        <v>9</v>
      </c>
      <c r="B181" s="238"/>
      <c r="C181" s="239" t="s">
        <v>99</v>
      </c>
      <c r="D181" s="239"/>
      <c r="E181" s="239"/>
      <c r="F181" s="206" t="s">
        <v>610</v>
      </c>
      <c r="G181" s="227">
        <f>'[80]updated Progress'!C194</f>
        <v>4</v>
      </c>
      <c r="H181" s="227"/>
      <c r="I181" s="227"/>
      <c r="J181" s="227">
        <f>'[80]updated Progress'!D194</f>
        <v>3</v>
      </c>
      <c r="K181" s="227"/>
      <c r="L181" s="227"/>
      <c r="M181" s="227">
        <f>'[80]updated Progress'!E194</f>
        <v>1</v>
      </c>
      <c r="N181" s="227"/>
      <c r="O181" s="229"/>
      <c r="W181" s="158"/>
      <c r="X181" s="158"/>
      <c r="Y181" s="240">
        <f>'[80]updated Progress'!N194</f>
        <v>0</v>
      </c>
      <c r="Z181" s="227"/>
      <c r="AA181" s="227"/>
      <c r="AB181" s="227">
        <f>'[80]updated Progress'!O194</f>
        <v>3</v>
      </c>
      <c r="AC181" s="227"/>
      <c r="AD181" s="227"/>
      <c r="AE181" s="228">
        <f>'[80]updated Progress'!Q194</f>
        <v>4</v>
      </c>
      <c r="AF181" s="227"/>
      <c r="AG181" s="229"/>
    </row>
    <row r="182" spans="1:33" x14ac:dyDescent="0.35">
      <c r="A182" s="237">
        <f t="shared" si="1"/>
        <v>10</v>
      </c>
      <c r="B182" s="238"/>
      <c r="C182" s="239" t="s">
        <v>93</v>
      </c>
      <c r="D182" s="239"/>
      <c r="E182" s="239"/>
      <c r="F182" s="206" t="s">
        <v>610</v>
      </c>
      <c r="G182" s="227">
        <f>'[80]updated Progress'!C195</f>
        <v>6</v>
      </c>
      <c r="H182" s="227"/>
      <c r="I182" s="227"/>
      <c r="J182" s="227">
        <f>'[80]updated Progress'!D195</f>
        <v>6</v>
      </c>
      <c r="K182" s="227"/>
      <c r="L182" s="227"/>
      <c r="M182" s="227">
        <f>'[80]updated Progress'!E195</f>
        <v>0</v>
      </c>
      <c r="N182" s="227"/>
      <c r="O182" s="229"/>
      <c r="W182" s="158"/>
      <c r="X182" s="158"/>
      <c r="Y182" s="240">
        <f>'[80]updated Progress'!N195</f>
        <v>0</v>
      </c>
      <c r="Z182" s="227"/>
      <c r="AA182" s="227"/>
      <c r="AB182" s="227">
        <f>'[80]updated Progress'!O195</f>
        <v>6</v>
      </c>
      <c r="AC182" s="227"/>
      <c r="AD182" s="227"/>
      <c r="AE182" s="228">
        <f>'[80]updated Progress'!Q195</f>
        <v>6</v>
      </c>
      <c r="AF182" s="227"/>
      <c r="AG182" s="229"/>
    </row>
    <row r="183" spans="1:33" x14ac:dyDescent="0.35">
      <c r="A183" s="237">
        <f t="shared" si="1"/>
        <v>11</v>
      </c>
      <c r="B183" s="238"/>
      <c r="C183" s="239" t="s">
        <v>82</v>
      </c>
      <c r="D183" s="239"/>
      <c r="E183" s="239"/>
      <c r="F183" s="206" t="s">
        <v>610</v>
      </c>
      <c r="G183" s="227">
        <f>'[80]updated Progress'!C196</f>
        <v>8</v>
      </c>
      <c r="H183" s="227"/>
      <c r="I183" s="227"/>
      <c r="J183" s="227">
        <f>'[80]updated Progress'!D196</f>
        <v>5</v>
      </c>
      <c r="K183" s="227"/>
      <c r="L183" s="227"/>
      <c r="M183" s="227">
        <f>'[80]updated Progress'!E196</f>
        <v>3</v>
      </c>
      <c r="N183" s="227"/>
      <c r="O183" s="229"/>
      <c r="W183" s="158"/>
      <c r="X183" s="158"/>
      <c r="Y183" s="240">
        <f>'[80]updated Progress'!N196</f>
        <v>0</v>
      </c>
      <c r="Z183" s="227"/>
      <c r="AA183" s="227"/>
      <c r="AB183" s="227">
        <f>'[80]updated Progress'!O196</f>
        <v>5</v>
      </c>
      <c r="AC183" s="227"/>
      <c r="AD183" s="227"/>
      <c r="AE183" s="228">
        <f>'[80]updated Progress'!Q196</f>
        <v>8</v>
      </c>
      <c r="AF183" s="227"/>
      <c r="AG183" s="229"/>
    </row>
    <row r="184" spans="1:33" x14ac:dyDescent="0.35">
      <c r="A184" s="237">
        <f t="shared" si="1"/>
        <v>12</v>
      </c>
      <c r="B184" s="238"/>
      <c r="C184" s="239" t="s">
        <v>100</v>
      </c>
      <c r="D184" s="239"/>
      <c r="E184" s="239"/>
      <c r="F184" s="206" t="s">
        <v>610</v>
      </c>
      <c r="G184" s="227">
        <f>'[80]updated Progress'!C197</f>
        <v>1</v>
      </c>
      <c r="H184" s="227"/>
      <c r="I184" s="227"/>
      <c r="J184" s="227">
        <f>'[80]updated Progress'!D197</f>
        <v>1</v>
      </c>
      <c r="K184" s="227"/>
      <c r="L184" s="227"/>
      <c r="M184" s="227">
        <f>'[80]updated Progress'!E197</f>
        <v>0</v>
      </c>
      <c r="N184" s="227"/>
      <c r="O184" s="229"/>
      <c r="W184" s="158"/>
      <c r="X184" s="158"/>
      <c r="Y184" s="240">
        <f>'[80]updated Progress'!N197</f>
        <v>0</v>
      </c>
      <c r="Z184" s="227"/>
      <c r="AA184" s="227"/>
      <c r="AB184" s="227">
        <f>'[80]updated Progress'!O197</f>
        <v>1</v>
      </c>
      <c r="AC184" s="227"/>
      <c r="AD184" s="227"/>
      <c r="AE184" s="228">
        <f>'[80]updated Progress'!Q197</f>
        <v>1</v>
      </c>
      <c r="AF184" s="227"/>
      <c r="AG184" s="229"/>
    </row>
    <row r="185" spans="1:33" x14ac:dyDescent="0.35">
      <c r="A185" s="237">
        <f t="shared" si="1"/>
        <v>13</v>
      </c>
      <c r="B185" s="238"/>
      <c r="C185" s="239" t="s">
        <v>101</v>
      </c>
      <c r="D185" s="239"/>
      <c r="E185" s="239"/>
      <c r="F185" s="206" t="s">
        <v>610</v>
      </c>
      <c r="G185" s="227">
        <f>'[80]updated Progress'!C198</f>
        <v>1</v>
      </c>
      <c r="H185" s="227"/>
      <c r="I185" s="227"/>
      <c r="J185" s="227">
        <f>'[80]updated Progress'!D198</f>
        <v>1</v>
      </c>
      <c r="K185" s="227"/>
      <c r="L185" s="227"/>
      <c r="M185" s="227">
        <f>'[80]updated Progress'!E198</f>
        <v>0</v>
      </c>
      <c r="N185" s="227"/>
      <c r="O185" s="229"/>
      <c r="W185" s="158"/>
      <c r="X185" s="158"/>
      <c r="Y185" s="240">
        <f>'[80]updated Progress'!N198</f>
        <v>0</v>
      </c>
      <c r="Z185" s="227"/>
      <c r="AA185" s="227"/>
      <c r="AB185" s="227">
        <f>'[80]updated Progress'!O198</f>
        <v>1</v>
      </c>
      <c r="AC185" s="227"/>
      <c r="AD185" s="227"/>
      <c r="AE185" s="228">
        <f>'[80]updated Progress'!Q198</f>
        <v>1</v>
      </c>
      <c r="AF185" s="227"/>
      <c r="AG185" s="229"/>
    </row>
    <row r="186" spans="1:33" x14ac:dyDescent="0.35">
      <c r="A186" s="237">
        <f t="shared" si="1"/>
        <v>14</v>
      </c>
      <c r="B186" s="238"/>
      <c r="C186" s="241" t="s">
        <v>95</v>
      </c>
      <c r="D186" s="239"/>
      <c r="E186" s="239"/>
      <c r="F186" s="206" t="s">
        <v>610</v>
      </c>
      <c r="G186" s="227">
        <f>'[80]updated Progress'!C199</f>
        <v>0</v>
      </c>
      <c r="H186" s="227"/>
      <c r="I186" s="227"/>
      <c r="J186" s="227">
        <f>'[80]updated Progress'!D199</f>
        <v>0</v>
      </c>
      <c r="K186" s="227"/>
      <c r="L186" s="227"/>
      <c r="M186" s="227">
        <f>'[80]updated Progress'!E199</f>
        <v>0</v>
      </c>
      <c r="N186" s="227"/>
      <c r="O186" s="229"/>
      <c r="W186" s="158"/>
      <c r="X186" s="158"/>
      <c r="Y186" s="240">
        <f>'[80]updated Progress'!N199</f>
        <v>0</v>
      </c>
      <c r="Z186" s="227"/>
      <c r="AA186" s="227"/>
      <c r="AB186" s="227">
        <f>'[80]updated Progress'!O199</f>
        <v>0</v>
      </c>
      <c r="AC186" s="227"/>
      <c r="AD186" s="227"/>
      <c r="AE186" s="228">
        <f>'[80]updated Progress'!Q199</f>
        <v>0</v>
      </c>
      <c r="AF186" s="227"/>
      <c r="AG186" s="229"/>
    </row>
    <row r="187" spans="1:33" x14ac:dyDescent="0.35">
      <c r="A187" s="237">
        <f>A188+1</f>
        <v>15</v>
      </c>
      <c r="B187" s="238"/>
      <c r="C187" s="239" t="s">
        <v>611</v>
      </c>
      <c r="D187" s="239"/>
      <c r="E187" s="239"/>
      <c r="F187" s="206" t="s">
        <v>610</v>
      </c>
      <c r="G187" s="227">
        <f>'[80]updated Progress'!C200</f>
        <v>1</v>
      </c>
      <c r="H187" s="227"/>
      <c r="I187" s="227"/>
      <c r="J187" s="227">
        <f>'[80]updated Progress'!D200</f>
        <v>1</v>
      </c>
      <c r="K187" s="227"/>
      <c r="L187" s="227"/>
      <c r="M187" s="227">
        <f>'[80]updated Progress'!E200</f>
        <v>0</v>
      </c>
      <c r="N187" s="227"/>
      <c r="O187" s="229"/>
      <c r="W187" s="158"/>
      <c r="X187" s="158"/>
      <c r="Y187" s="240">
        <f>'[80]updated Progress'!N200</f>
        <v>0</v>
      </c>
      <c r="Z187" s="227"/>
      <c r="AA187" s="227"/>
      <c r="AB187" s="227">
        <f>'[80]updated Progress'!O200</f>
        <v>1</v>
      </c>
      <c r="AC187" s="227"/>
      <c r="AD187" s="227"/>
      <c r="AE187" s="228">
        <f>'[80]updated Progress'!Q200</f>
        <v>1</v>
      </c>
      <c r="AF187" s="227"/>
      <c r="AG187" s="229"/>
    </row>
    <row r="188" spans="1:33" x14ac:dyDescent="0.35">
      <c r="A188" s="237">
        <f>A185+1</f>
        <v>14</v>
      </c>
      <c r="B188" s="238"/>
      <c r="C188" s="239" t="s">
        <v>83</v>
      </c>
      <c r="D188" s="239"/>
      <c r="E188" s="239"/>
      <c r="F188" s="206" t="s">
        <v>610</v>
      </c>
      <c r="G188" s="227">
        <f>'[80]updated Progress'!C201</f>
        <v>4</v>
      </c>
      <c r="H188" s="227"/>
      <c r="I188" s="227"/>
      <c r="J188" s="227">
        <f>'[80]updated Progress'!D201</f>
        <v>3</v>
      </c>
      <c r="K188" s="227"/>
      <c r="L188" s="227"/>
      <c r="M188" s="227">
        <f>'[80]updated Progress'!E201</f>
        <v>1</v>
      </c>
      <c r="N188" s="227"/>
      <c r="O188" s="229"/>
      <c r="W188" s="158"/>
      <c r="X188" s="158"/>
      <c r="Y188" s="240">
        <f>'[80]updated Progress'!N201</f>
        <v>0</v>
      </c>
      <c r="Z188" s="227"/>
      <c r="AA188" s="227"/>
      <c r="AB188" s="227">
        <f>'[80]updated Progress'!O201</f>
        <v>3</v>
      </c>
      <c r="AC188" s="227"/>
      <c r="AD188" s="227"/>
      <c r="AE188" s="228">
        <f>'[80]updated Progress'!Q201</f>
        <v>4</v>
      </c>
      <c r="AF188" s="227"/>
      <c r="AG188" s="229"/>
    </row>
    <row r="189" spans="1:33" x14ac:dyDescent="0.35">
      <c r="A189" s="237">
        <f>A187+1</f>
        <v>16</v>
      </c>
      <c r="B189" s="238"/>
      <c r="C189" s="239" t="s">
        <v>96</v>
      </c>
      <c r="D189" s="239"/>
      <c r="E189" s="239"/>
      <c r="F189" s="206" t="s">
        <v>610</v>
      </c>
      <c r="G189" s="227">
        <f>'[80]updated Progress'!C202</f>
        <v>0</v>
      </c>
      <c r="H189" s="227"/>
      <c r="I189" s="227"/>
      <c r="J189" s="227">
        <f>'[80]updated Progress'!D202</f>
        <v>0</v>
      </c>
      <c r="K189" s="227"/>
      <c r="L189" s="227"/>
      <c r="M189" s="227">
        <f>'[80]updated Progress'!E202</f>
        <v>0</v>
      </c>
      <c r="N189" s="227"/>
      <c r="O189" s="229"/>
      <c r="W189" s="158"/>
      <c r="X189" s="158"/>
      <c r="Y189" s="240">
        <f>'[80]updated Progress'!N202</f>
        <v>0</v>
      </c>
      <c r="Z189" s="227"/>
      <c r="AA189" s="227"/>
      <c r="AB189" s="227">
        <f>'[80]updated Progress'!O202</f>
        <v>0</v>
      </c>
      <c r="AC189" s="227"/>
      <c r="AD189" s="227"/>
      <c r="AE189" s="228">
        <f>'[80]updated Progress'!Q202</f>
        <v>0</v>
      </c>
      <c r="AF189" s="227"/>
      <c r="AG189" s="229"/>
    </row>
    <row r="190" spans="1:33" x14ac:dyDescent="0.35">
      <c r="A190" s="237">
        <f t="shared" si="1"/>
        <v>17</v>
      </c>
      <c r="B190" s="238"/>
      <c r="C190" s="239" t="s">
        <v>612</v>
      </c>
      <c r="D190" s="239"/>
      <c r="E190" s="239"/>
      <c r="F190" s="206" t="s">
        <v>610</v>
      </c>
      <c r="G190" s="227">
        <f>'[80]updated Progress'!C203</f>
        <v>0</v>
      </c>
      <c r="H190" s="227"/>
      <c r="I190" s="227"/>
      <c r="J190" s="227">
        <f>'[80]updated Progress'!D203</f>
        <v>0</v>
      </c>
      <c r="K190" s="227"/>
      <c r="L190" s="227"/>
      <c r="M190" s="227">
        <f>'[80]updated Progress'!E203</f>
        <v>0</v>
      </c>
      <c r="N190" s="227"/>
      <c r="O190" s="229"/>
      <c r="W190" s="158"/>
      <c r="X190" s="158"/>
      <c r="Y190" s="240">
        <f>'[80]updated Progress'!N203</f>
        <v>0</v>
      </c>
      <c r="Z190" s="227"/>
      <c r="AA190" s="227"/>
      <c r="AB190" s="227">
        <f>'[80]updated Progress'!O203</f>
        <v>0</v>
      </c>
      <c r="AC190" s="227"/>
      <c r="AD190" s="227"/>
      <c r="AE190" s="228">
        <f>'[80]updated Progress'!Q203</f>
        <v>0</v>
      </c>
      <c r="AF190" s="227"/>
      <c r="AG190" s="229"/>
    </row>
    <row r="191" spans="1:33" x14ac:dyDescent="0.35">
      <c r="A191" s="237">
        <f t="shared" si="1"/>
        <v>18</v>
      </c>
      <c r="B191" s="238"/>
      <c r="C191" s="239" t="s">
        <v>613</v>
      </c>
      <c r="D191" s="239"/>
      <c r="E191" s="239"/>
      <c r="F191" s="206" t="s">
        <v>610</v>
      </c>
      <c r="G191" s="227">
        <f>'[80]updated Progress'!C204</f>
        <v>2</v>
      </c>
      <c r="H191" s="227"/>
      <c r="I191" s="227"/>
      <c r="J191" s="227">
        <f>'[80]updated Progress'!D204</f>
        <v>1</v>
      </c>
      <c r="K191" s="227"/>
      <c r="L191" s="227"/>
      <c r="M191" s="227">
        <f>'[80]updated Progress'!E204</f>
        <v>1</v>
      </c>
      <c r="N191" s="227"/>
      <c r="O191" s="229"/>
      <c r="W191" s="158"/>
      <c r="X191" s="158"/>
      <c r="Y191" s="240">
        <f>'[80]updated Progress'!N204</f>
        <v>0</v>
      </c>
      <c r="Z191" s="227"/>
      <c r="AA191" s="227"/>
      <c r="AB191" s="227">
        <f>'[80]updated Progress'!O204</f>
        <v>1</v>
      </c>
      <c r="AC191" s="227"/>
      <c r="AD191" s="227"/>
      <c r="AE191" s="228">
        <f>'[80]updated Progress'!Q204</f>
        <v>2</v>
      </c>
      <c r="AF191" s="227"/>
      <c r="AG191" s="229"/>
    </row>
    <row r="192" spans="1:33" x14ac:dyDescent="0.35">
      <c r="A192" s="237">
        <f t="shared" si="1"/>
        <v>19</v>
      </c>
      <c r="B192" s="238"/>
      <c r="C192" s="239" t="s">
        <v>71</v>
      </c>
      <c r="D192" s="239"/>
      <c r="E192" s="239"/>
      <c r="F192" s="206" t="s">
        <v>610</v>
      </c>
      <c r="G192" s="227">
        <f>'[80]updated Progress'!C205</f>
        <v>3</v>
      </c>
      <c r="H192" s="227"/>
      <c r="I192" s="227"/>
      <c r="J192" s="227">
        <f>'[80]updated Progress'!D205</f>
        <v>3</v>
      </c>
      <c r="K192" s="227"/>
      <c r="L192" s="227"/>
      <c r="M192" s="227">
        <f>'[80]updated Progress'!E205</f>
        <v>0</v>
      </c>
      <c r="N192" s="227"/>
      <c r="O192" s="229"/>
      <c r="W192" s="158"/>
      <c r="X192" s="158"/>
      <c r="Y192" s="240">
        <f>'[80]updated Progress'!N205</f>
        <v>0</v>
      </c>
      <c r="Z192" s="227"/>
      <c r="AA192" s="227"/>
      <c r="AB192" s="227">
        <f>'[80]updated Progress'!O205</f>
        <v>3</v>
      </c>
      <c r="AC192" s="227"/>
      <c r="AD192" s="227"/>
      <c r="AE192" s="228">
        <f>'[80]updated Progress'!Q205</f>
        <v>3</v>
      </c>
      <c r="AF192" s="227"/>
      <c r="AG192" s="229"/>
    </row>
    <row r="193" spans="1:33" x14ac:dyDescent="0.35">
      <c r="A193" s="237">
        <f t="shared" si="1"/>
        <v>20</v>
      </c>
      <c r="B193" s="238"/>
      <c r="C193" s="239" t="s">
        <v>614</v>
      </c>
      <c r="D193" s="239"/>
      <c r="E193" s="239"/>
      <c r="F193" s="206" t="s">
        <v>610</v>
      </c>
      <c r="G193" s="227">
        <f>'[80]updated Progress'!C206</f>
        <v>1</v>
      </c>
      <c r="H193" s="227"/>
      <c r="I193" s="227"/>
      <c r="J193" s="227">
        <f>'[80]updated Progress'!D206</f>
        <v>1</v>
      </c>
      <c r="K193" s="227"/>
      <c r="L193" s="227"/>
      <c r="M193" s="227">
        <f>'[80]updated Progress'!E206</f>
        <v>0</v>
      </c>
      <c r="N193" s="227"/>
      <c r="O193" s="229"/>
      <c r="W193" s="158"/>
      <c r="X193" s="158"/>
      <c r="Y193" s="240">
        <f>'[80]updated Progress'!N206</f>
        <v>0</v>
      </c>
      <c r="Z193" s="227"/>
      <c r="AA193" s="227"/>
      <c r="AB193" s="227">
        <f>'[80]updated Progress'!O206</f>
        <v>1</v>
      </c>
      <c r="AC193" s="227"/>
      <c r="AD193" s="227"/>
      <c r="AE193" s="228">
        <f>'[80]updated Progress'!Q206</f>
        <v>1</v>
      </c>
      <c r="AF193" s="227"/>
      <c r="AG193" s="229"/>
    </row>
    <row r="194" spans="1:33" x14ac:dyDescent="0.35">
      <c r="A194" s="237">
        <f t="shared" si="1"/>
        <v>21</v>
      </c>
      <c r="B194" s="238"/>
      <c r="C194" s="239" t="s">
        <v>615</v>
      </c>
      <c r="D194" s="239"/>
      <c r="E194" s="239"/>
      <c r="F194" s="206" t="s">
        <v>610</v>
      </c>
      <c r="G194" s="227">
        <f>'[80]updated Progress'!C207</f>
        <v>1</v>
      </c>
      <c r="H194" s="227"/>
      <c r="I194" s="227"/>
      <c r="J194" s="227">
        <f>'[80]updated Progress'!D207</f>
        <v>0</v>
      </c>
      <c r="K194" s="227"/>
      <c r="L194" s="227"/>
      <c r="M194" s="227">
        <f>'[80]updated Progress'!E207</f>
        <v>1</v>
      </c>
      <c r="N194" s="227"/>
      <c r="O194" s="229"/>
      <c r="W194" s="158"/>
      <c r="X194" s="158"/>
      <c r="Y194" s="240">
        <f>'[80]updated Progress'!N207</f>
        <v>0</v>
      </c>
      <c r="Z194" s="227"/>
      <c r="AA194" s="227"/>
      <c r="AB194" s="227">
        <f>'[80]updated Progress'!O207</f>
        <v>0</v>
      </c>
      <c r="AC194" s="227"/>
      <c r="AD194" s="227"/>
      <c r="AE194" s="228">
        <f>'[80]updated Progress'!Q207</f>
        <v>1</v>
      </c>
      <c r="AF194" s="227"/>
      <c r="AG194" s="229"/>
    </row>
    <row r="195" spans="1:33" x14ac:dyDescent="0.35">
      <c r="A195" s="237">
        <f t="shared" si="1"/>
        <v>22</v>
      </c>
      <c r="B195" s="238"/>
      <c r="C195" s="239" t="s">
        <v>616</v>
      </c>
      <c r="D195" s="239"/>
      <c r="E195" s="239"/>
      <c r="F195" s="206" t="s">
        <v>610</v>
      </c>
      <c r="G195" s="227">
        <f>'[80]updated Progress'!C208</f>
        <v>0</v>
      </c>
      <c r="H195" s="227"/>
      <c r="I195" s="227"/>
      <c r="J195" s="227">
        <f>'[80]updated Progress'!D208</f>
        <v>0</v>
      </c>
      <c r="K195" s="227"/>
      <c r="L195" s="227"/>
      <c r="M195" s="227">
        <f>'[80]updated Progress'!E208</f>
        <v>0</v>
      </c>
      <c r="N195" s="227"/>
      <c r="O195" s="229"/>
      <c r="W195" s="158"/>
      <c r="X195" s="158"/>
      <c r="Y195" s="240">
        <f>'[80]updated Progress'!N208</f>
        <v>0</v>
      </c>
      <c r="Z195" s="227"/>
      <c r="AA195" s="227"/>
      <c r="AB195" s="227">
        <f>'[80]updated Progress'!O208</f>
        <v>0</v>
      </c>
      <c r="AC195" s="227"/>
      <c r="AD195" s="227"/>
      <c r="AE195" s="228">
        <f>'[80]updated Progress'!Q208</f>
        <v>0</v>
      </c>
      <c r="AF195" s="227"/>
      <c r="AG195" s="229"/>
    </row>
    <row r="196" spans="1:33" x14ac:dyDescent="0.35">
      <c r="A196" s="237">
        <f t="shared" si="1"/>
        <v>23</v>
      </c>
      <c r="B196" s="238"/>
      <c r="C196" s="239" t="s">
        <v>76</v>
      </c>
      <c r="D196" s="239"/>
      <c r="E196" s="239"/>
      <c r="F196" s="206" t="s">
        <v>610</v>
      </c>
      <c r="G196" s="227">
        <f>'[80]updated Progress'!C209</f>
        <v>5</v>
      </c>
      <c r="H196" s="227"/>
      <c r="I196" s="227"/>
      <c r="J196" s="227">
        <f>'[80]updated Progress'!D209</f>
        <v>4</v>
      </c>
      <c r="K196" s="227"/>
      <c r="L196" s="227"/>
      <c r="M196" s="227">
        <f>'[80]updated Progress'!E209</f>
        <v>1</v>
      </c>
      <c r="N196" s="227"/>
      <c r="O196" s="229"/>
      <c r="W196" s="158"/>
      <c r="X196" s="158"/>
      <c r="Y196" s="240">
        <f>'[80]updated Progress'!N209</f>
        <v>0</v>
      </c>
      <c r="Z196" s="227"/>
      <c r="AA196" s="227"/>
      <c r="AB196" s="227">
        <f>'[80]updated Progress'!O209</f>
        <v>4</v>
      </c>
      <c r="AC196" s="227"/>
      <c r="AD196" s="227"/>
      <c r="AE196" s="228">
        <f>'[80]updated Progress'!Q209</f>
        <v>5</v>
      </c>
      <c r="AF196" s="227"/>
      <c r="AG196" s="229"/>
    </row>
    <row r="197" spans="1:33" x14ac:dyDescent="0.35">
      <c r="A197" s="237">
        <f t="shared" si="1"/>
        <v>24</v>
      </c>
      <c r="B197" s="238"/>
      <c r="C197" s="239" t="s">
        <v>81</v>
      </c>
      <c r="D197" s="239"/>
      <c r="E197" s="239"/>
      <c r="F197" s="206" t="s">
        <v>610</v>
      </c>
      <c r="G197" s="227">
        <f>'[80]updated Progress'!C210</f>
        <v>0</v>
      </c>
      <c r="H197" s="227"/>
      <c r="I197" s="227"/>
      <c r="J197" s="227">
        <f>'[80]updated Progress'!D210</f>
        <v>0</v>
      </c>
      <c r="K197" s="227"/>
      <c r="L197" s="227"/>
      <c r="M197" s="227">
        <f>'[80]updated Progress'!E210</f>
        <v>0</v>
      </c>
      <c r="N197" s="227"/>
      <c r="O197" s="229"/>
      <c r="W197" s="158"/>
      <c r="X197" s="158"/>
      <c r="Y197" s="240">
        <f>'[80]updated Progress'!N210</f>
        <v>0</v>
      </c>
      <c r="Z197" s="227"/>
      <c r="AA197" s="227"/>
      <c r="AB197" s="227">
        <f>'[80]updated Progress'!O210</f>
        <v>0</v>
      </c>
      <c r="AC197" s="227"/>
      <c r="AD197" s="227"/>
      <c r="AE197" s="228">
        <f>'[80]updated Progress'!Q210</f>
        <v>0</v>
      </c>
      <c r="AF197" s="227"/>
      <c r="AG197" s="229"/>
    </row>
    <row r="198" spans="1:33" x14ac:dyDescent="0.35">
      <c r="A198" s="237">
        <f t="shared" si="1"/>
        <v>25</v>
      </c>
      <c r="B198" s="238"/>
      <c r="C198" s="239" t="s">
        <v>617</v>
      </c>
      <c r="D198" s="239"/>
      <c r="E198" s="239"/>
      <c r="F198" s="206" t="s">
        <v>610</v>
      </c>
      <c r="G198" s="227">
        <f>'[80]updated Progress'!C211</f>
        <v>2</v>
      </c>
      <c r="H198" s="227"/>
      <c r="I198" s="227"/>
      <c r="J198" s="227">
        <f>'[80]updated Progress'!D211</f>
        <v>1</v>
      </c>
      <c r="K198" s="227"/>
      <c r="L198" s="227"/>
      <c r="M198" s="227">
        <f>'[80]updated Progress'!E211</f>
        <v>1</v>
      </c>
      <c r="N198" s="227"/>
      <c r="O198" s="229"/>
      <c r="W198" s="158"/>
      <c r="X198" s="158"/>
      <c r="Y198" s="240">
        <f>'[80]updated Progress'!N211</f>
        <v>0</v>
      </c>
      <c r="Z198" s="227"/>
      <c r="AA198" s="227"/>
      <c r="AB198" s="227">
        <f>'[80]updated Progress'!O211</f>
        <v>1</v>
      </c>
      <c r="AC198" s="227"/>
      <c r="AD198" s="227"/>
      <c r="AE198" s="228">
        <f>'[80]updated Progress'!Q211</f>
        <v>2</v>
      </c>
      <c r="AF198" s="227"/>
      <c r="AG198" s="229"/>
    </row>
    <row r="199" spans="1:33" x14ac:dyDescent="0.35">
      <c r="A199" s="237">
        <f t="shared" si="1"/>
        <v>26</v>
      </c>
      <c r="B199" s="238"/>
      <c r="C199" s="239" t="s">
        <v>618</v>
      </c>
      <c r="D199" s="239"/>
      <c r="E199" s="239"/>
      <c r="F199" s="206" t="s">
        <v>610</v>
      </c>
      <c r="G199" s="227">
        <f>'[80]updated Progress'!C212</f>
        <v>0</v>
      </c>
      <c r="H199" s="227"/>
      <c r="I199" s="227"/>
      <c r="J199" s="227">
        <f>'[80]updated Progress'!D212</f>
        <v>0</v>
      </c>
      <c r="K199" s="227"/>
      <c r="L199" s="227"/>
      <c r="M199" s="227">
        <f>'[80]updated Progress'!E212</f>
        <v>0</v>
      </c>
      <c r="N199" s="227"/>
      <c r="O199" s="229"/>
      <c r="W199" s="158"/>
      <c r="X199" s="158"/>
      <c r="Y199" s="240">
        <f>'[80]updated Progress'!N212</f>
        <v>0</v>
      </c>
      <c r="Z199" s="227"/>
      <c r="AA199" s="227"/>
      <c r="AB199" s="227">
        <f>'[80]updated Progress'!O212</f>
        <v>0</v>
      </c>
      <c r="AC199" s="227"/>
      <c r="AD199" s="227"/>
      <c r="AE199" s="228">
        <f>'[80]updated Progress'!Q212</f>
        <v>0</v>
      </c>
      <c r="AF199" s="227"/>
      <c r="AG199" s="229"/>
    </row>
    <row r="200" spans="1:33" x14ac:dyDescent="0.35">
      <c r="A200" s="237">
        <f t="shared" si="1"/>
        <v>27</v>
      </c>
      <c r="B200" s="238"/>
      <c r="C200" s="239" t="s">
        <v>86</v>
      </c>
      <c r="D200" s="239"/>
      <c r="E200" s="239"/>
      <c r="F200" s="206" t="s">
        <v>610</v>
      </c>
      <c r="G200" s="227">
        <f>'[80]updated Progress'!C213</f>
        <v>3</v>
      </c>
      <c r="H200" s="227"/>
      <c r="I200" s="227"/>
      <c r="J200" s="227">
        <f>'[80]updated Progress'!D213</f>
        <v>0</v>
      </c>
      <c r="K200" s="227"/>
      <c r="L200" s="227"/>
      <c r="M200" s="227">
        <f>'[80]updated Progress'!E213</f>
        <v>3</v>
      </c>
      <c r="N200" s="227"/>
      <c r="O200" s="229"/>
      <c r="W200" s="158"/>
      <c r="X200" s="158"/>
      <c r="Y200" s="240">
        <f>'[80]updated Progress'!N213</f>
        <v>0</v>
      </c>
      <c r="Z200" s="227"/>
      <c r="AA200" s="227"/>
      <c r="AB200" s="227">
        <f>'[80]updated Progress'!O213</f>
        <v>0</v>
      </c>
      <c r="AC200" s="227"/>
      <c r="AD200" s="227"/>
      <c r="AE200" s="228">
        <f>'[80]updated Progress'!Q213</f>
        <v>3</v>
      </c>
      <c r="AF200" s="227"/>
      <c r="AG200" s="229"/>
    </row>
    <row r="201" spans="1:33" x14ac:dyDescent="0.35">
      <c r="A201" s="237">
        <f t="shared" si="1"/>
        <v>28</v>
      </c>
      <c r="B201" s="238"/>
      <c r="C201" s="239" t="s">
        <v>94</v>
      </c>
      <c r="D201" s="239"/>
      <c r="E201" s="239"/>
      <c r="F201" s="206" t="s">
        <v>610</v>
      </c>
      <c r="G201" s="227">
        <f>'[80]updated Progress'!C214</f>
        <v>0</v>
      </c>
      <c r="H201" s="227"/>
      <c r="I201" s="227"/>
      <c r="J201" s="227">
        <f>'[80]updated Progress'!D214</f>
        <v>0</v>
      </c>
      <c r="K201" s="227"/>
      <c r="L201" s="227"/>
      <c r="M201" s="227">
        <f>'[80]updated Progress'!E214</f>
        <v>0</v>
      </c>
      <c r="N201" s="227"/>
      <c r="O201" s="229"/>
      <c r="W201" s="158"/>
      <c r="X201" s="158"/>
      <c r="Y201" s="240">
        <f>'[80]updated Progress'!N214</f>
        <v>0</v>
      </c>
      <c r="Z201" s="227"/>
      <c r="AA201" s="227"/>
      <c r="AB201" s="227">
        <f>'[80]updated Progress'!O214</f>
        <v>0</v>
      </c>
      <c r="AC201" s="227"/>
      <c r="AD201" s="227"/>
      <c r="AE201" s="228">
        <f>'[80]updated Progress'!Q214</f>
        <v>0</v>
      </c>
      <c r="AF201" s="227"/>
      <c r="AG201" s="229"/>
    </row>
    <row r="202" spans="1:33" x14ac:dyDescent="0.35">
      <c r="A202" s="237">
        <f t="shared" si="1"/>
        <v>29</v>
      </c>
      <c r="B202" s="238"/>
      <c r="C202" s="239" t="s">
        <v>619</v>
      </c>
      <c r="D202" s="239"/>
      <c r="E202" s="239"/>
      <c r="F202" s="206" t="s">
        <v>610</v>
      </c>
      <c r="G202" s="227">
        <f>'[80]updated Progress'!C215</f>
        <v>0</v>
      </c>
      <c r="H202" s="227"/>
      <c r="I202" s="227"/>
      <c r="J202" s="227">
        <f>'[80]updated Progress'!D215</f>
        <v>0</v>
      </c>
      <c r="K202" s="227"/>
      <c r="L202" s="227"/>
      <c r="M202" s="227">
        <f>'[80]updated Progress'!E215</f>
        <v>0</v>
      </c>
      <c r="N202" s="227"/>
      <c r="O202" s="229"/>
      <c r="W202" s="158"/>
      <c r="X202" s="158"/>
      <c r="Y202" s="240">
        <f>'[80]updated Progress'!N215</f>
        <v>0</v>
      </c>
      <c r="Z202" s="227"/>
      <c r="AA202" s="227"/>
      <c r="AB202" s="227">
        <f>'[80]updated Progress'!O215</f>
        <v>0</v>
      </c>
      <c r="AC202" s="227"/>
      <c r="AD202" s="227"/>
      <c r="AE202" s="228">
        <f>'[80]updated Progress'!Q215</f>
        <v>0</v>
      </c>
      <c r="AF202" s="227"/>
      <c r="AG202" s="229"/>
    </row>
    <row r="203" spans="1:33" x14ac:dyDescent="0.35">
      <c r="A203" s="237">
        <f t="shared" si="1"/>
        <v>30</v>
      </c>
      <c r="B203" s="238"/>
      <c r="C203" s="239" t="s">
        <v>92</v>
      </c>
      <c r="D203" s="239"/>
      <c r="E203" s="239"/>
      <c r="F203" s="206" t="s">
        <v>610</v>
      </c>
      <c r="G203" s="227">
        <f>'[80]updated Progress'!C216</f>
        <v>0</v>
      </c>
      <c r="H203" s="227"/>
      <c r="I203" s="227"/>
      <c r="J203" s="227">
        <f>'[80]updated Progress'!D216</f>
        <v>0</v>
      </c>
      <c r="K203" s="227"/>
      <c r="L203" s="227"/>
      <c r="M203" s="227">
        <f>'[80]updated Progress'!E216</f>
        <v>0</v>
      </c>
      <c r="N203" s="227"/>
      <c r="O203" s="229"/>
      <c r="W203" s="158"/>
      <c r="X203" s="158"/>
      <c r="Y203" s="240">
        <f>'[80]updated Progress'!N216</f>
        <v>0</v>
      </c>
      <c r="Z203" s="227"/>
      <c r="AA203" s="227"/>
      <c r="AB203" s="227">
        <f>'[80]updated Progress'!O216</f>
        <v>0</v>
      </c>
      <c r="AC203" s="227"/>
      <c r="AD203" s="227"/>
      <c r="AE203" s="228">
        <f>'[80]updated Progress'!Q216</f>
        <v>0</v>
      </c>
      <c r="AF203" s="227"/>
      <c r="AG203" s="229"/>
    </row>
    <row r="204" spans="1:33" ht="15" thickBot="1" x14ac:dyDescent="0.4">
      <c r="A204" s="230">
        <f t="shared" si="1"/>
        <v>31</v>
      </c>
      <c r="B204" s="231"/>
      <c r="C204" s="232" t="s">
        <v>168</v>
      </c>
      <c r="D204" s="232"/>
      <c r="E204" s="232"/>
      <c r="F204" s="207" t="s">
        <v>610</v>
      </c>
      <c r="G204" s="227">
        <f>'[80]updated Progress'!C217</f>
        <v>2</v>
      </c>
      <c r="H204" s="227"/>
      <c r="I204" s="227"/>
      <c r="J204" s="227">
        <f>'[80]updated Progress'!D217</f>
        <v>0</v>
      </c>
      <c r="K204" s="227"/>
      <c r="L204" s="227"/>
      <c r="M204" s="227">
        <f>'[80]updated Progress'!E217</f>
        <v>2</v>
      </c>
      <c r="N204" s="227"/>
      <c r="O204" s="229"/>
      <c r="W204" s="158"/>
      <c r="X204" s="158"/>
      <c r="Y204" s="233">
        <f>'[80]updated Progress'!N217</f>
        <v>0</v>
      </c>
      <c r="Z204" s="234"/>
      <c r="AA204" s="234"/>
      <c r="AB204" s="234">
        <f>'[80]updated Progress'!O217</f>
        <v>0</v>
      </c>
      <c r="AC204" s="234"/>
      <c r="AD204" s="234"/>
      <c r="AE204" s="235">
        <f>'[80]updated Progress'!Q217</f>
        <v>2</v>
      </c>
      <c r="AF204" s="234"/>
      <c r="AG204" s="236"/>
    </row>
    <row r="205" spans="1:33" ht="15" thickBot="1" x14ac:dyDescent="0.4">
      <c r="A205" s="222"/>
      <c r="B205" s="223"/>
      <c r="C205" s="224" t="s">
        <v>48</v>
      </c>
      <c r="D205" s="224"/>
      <c r="E205" s="224"/>
      <c r="F205" s="208" t="s">
        <v>610</v>
      </c>
      <c r="G205" s="224">
        <f>'[80]updated Progress'!C218</f>
        <v>171</v>
      </c>
      <c r="H205" s="224"/>
      <c r="I205" s="224"/>
      <c r="J205" s="224">
        <f>'[80]updated Progress'!D218</f>
        <v>126</v>
      </c>
      <c r="K205" s="224"/>
      <c r="L205" s="224"/>
      <c r="M205" s="224">
        <f>'[80]updated Progress'!E218</f>
        <v>45</v>
      </c>
      <c r="N205" s="224"/>
      <c r="O205" s="225"/>
      <c r="W205" s="158"/>
      <c r="X205" s="158"/>
      <c r="Y205" s="226">
        <f>'[80]updated Progress'!N218</f>
        <v>61</v>
      </c>
      <c r="Z205" s="218"/>
      <c r="AA205" s="218"/>
      <c r="AB205" s="218">
        <f>'[80]updated Progress'!O218</f>
        <v>65</v>
      </c>
      <c r="AC205" s="218"/>
      <c r="AD205" s="218"/>
      <c r="AE205" s="219">
        <f>'[80]updated Progress'!Q218</f>
        <v>110</v>
      </c>
      <c r="AF205" s="218"/>
      <c r="AG205" s="220"/>
    </row>
    <row r="206" spans="1:33" x14ac:dyDescent="0.35">
      <c r="W206" s="158"/>
      <c r="X206" s="158"/>
    </row>
  </sheetData>
  <mergeCells count="1006"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R3"/>
    <mergeCell ref="L7:O7"/>
    <mergeCell ref="AA7:AF9"/>
    <mergeCell ref="AG7:AI9"/>
    <mergeCell ref="AJ7:AL9"/>
    <mergeCell ref="AM7:AO9"/>
    <mergeCell ref="AP7:AR9"/>
    <mergeCell ref="O9:P9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K16:P16"/>
    <mergeCell ref="N24:AS24"/>
    <mergeCell ref="AV25:AW25"/>
    <mergeCell ref="AY25:AZ25"/>
    <mergeCell ref="J26:K26"/>
    <mergeCell ref="N26:O26"/>
    <mergeCell ref="R26:S26"/>
    <mergeCell ref="V26:W26"/>
    <mergeCell ref="Z26:AA26"/>
    <mergeCell ref="AD26:AE26"/>
    <mergeCell ref="AL31:AM31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V36:A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V36:W36"/>
    <mergeCell ref="Z36:AA36"/>
    <mergeCell ref="AD36:AE36"/>
    <mergeCell ref="AH36:AI36"/>
    <mergeCell ref="AL36:AM36"/>
    <mergeCell ref="AP36:AQ36"/>
    <mergeCell ref="AV32:AW3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Z41:AA41"/>
    <mergeCell ref="AD41:AE41"/>
    <mergeCell ref="AH41:AI41"/>
    <mergeCell ref="AL41:AM41"/>
    <mergeCell ref="AP41:AQ41"/>
    <mergeCell ref="AV41:AW41"/>
    <mergeCell ref="B41:C41"/>
    <mergeCell ref="F41:G41"/>
    <mergeCell ref="J41:K41"/>
    <mergeCell ref="N41:O41"/>
    <mergeCell ref="R41:S41"/>
    <mergeCell ref="V41:W41"/>
    <mergeCell ref="AF39:AG39"/>
    <mergeCell ref="AJ39:AK39"/>
    <mergeCell ref="AN39:AO39"/>
    <mergeCell ref="AR39:AS39"/>
    <mergeCell ref="AV39:AW39"/>
    <mergeCell ref="AV40:AW40"/>
    <mergeCell ref="AH45:AI45"/>
    <mergeCell ref="AL45:AM45"/>
    <mergeCell ref="AP45:AQ45"/>
    <mergeCell ref="AV45:AW45"/>
    <mergeCell ref="AV46:AW46"/>
    <mergeCell ref="AV47:AW47"/>
    <mergeCell ref="B44:AS44"/>
    <mergeCell ref="AV44:AW44"/>
    <mergeCell ref="B45:C45"/>
    <mergeCell ref="F45:G45"/>
    <mergeCell ref="J45:K45"/>
    <mergeCell ref="N45:O45"/>
    <mergeCell ref="R45:S45"/>
    <mergeCell ref="V45:W45"/>
    <mergeCell ref="Z45:AA45"/>
    <mergeCell ref="AD45:AE45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L50:AM50"/>
    <mergeCell ref="AP50:AQ50"/>
    <mergeCell ref="AV50:AW50"/>
    <mergeCell ref="AV51:AW51"/>
    <mergeCell ref="AV52:AW52"/>
    <mergeCell ref="AV53:AW53"/>
    <mergeCell ref="AV49:AW49"/>
    <mergeCell ref="B50:C50"/>
    <mergeCell ref="F50:G50"/>
    <mergeCell ref="J50:K50"/>
    <mergeCell ref="N50:O50"/>
    <mergeCell ref="R50:S50"/>
    <mergeCell ref="V50:W50"/>
    <mergeCell ref="Z50:AA50"/>
    <mergeCell ref="AD50:AE50"/>
    <mergeCell ref="AH50:AI50"/>
    <mergeCell ref="AB48:AC48"/>
    <mergeCell ref="AF48:AG48"/>
    <mergeCell ref="AJ48:AK48"/>
    <mergeCell ref="AN48:AO48"/>
    <mergeCell ref="AR48:AS48"/>
    <mergeCell ref="AV48:AW48"/>
    <mergeCell ref="D48:E48"/>
    <mergeCell ref="H48:I48"/>
    <mergeCell ref="L48:M48"/>
    <mergeCell ref="P48:Q48"/>
    <mergeCell ref="T48:U48"/>
    <mergeCell ref="X48:Y48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B54:C54"/>
    <mergeCell ref="F54:G54"/>
    <mergeCell ref="J54:K54"/>
    <mergeCell ref="N54:O54"/>
    <mergeCell ref="R54:S54"/>
    <mergeCell ref="V54:W54"/>
    <mergeCell ref="B63:C63"/>
    <mergeCell ref="F63:G63"/>
    <mergeCell ref="J63:K63"/>
    <mergeCell ref="N63:O63"/>
    <mergeCell ref="R63:S63"/>
    <mergeCell ref="V63:W63"/>
    <mergeCell ref="V59:W59"/>
    <mergeCell ref="Z59:AA59"/>
    <mergeCell ref="AD59:AE59"/>
    <mergeCell ref="AH59:AI59"/>
    <mergeCell ref="AL59:AM59"/>
    <mergeCell ref="AP59:AQ59"/>
    <mergeCell ref="AJ57:AK57"/>
    <mergeCell ref="AN57:AO57"/>
    <mergeCell ref="AR57:AS57"/>
    <mergeCell ref="AV57:AW57"/>
    <mergeCell ref="AV58:AW58"/>
    <mergeCell ref="B59:C59"/>
    <mergeCell ref="F59:G59"/>
    <mergeCell ref="J59:K59"/>
    <mergeCell ref="N59:O59"/>
    <mergeCell ref="R59:S59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Z63:AA63"/>
    <mergeCell ref="AD63:AE63"/>
    <mergeCell ref="AH63:AI63"/>
    <mergeCell ref="AL63:AM63"/>
    <mergeCell ref="AP63:AQ63"/>
    <mergeCell ref="AV63:AW63"/>
    <mergeCell ref="AV59:AW59"/>
    <mergeCell ref="AV60:AW60"/>
    <mergeCell ref="AV61:AW61"/>
    <mergeCell ref="AV62:AW62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AH68:AI68"/>
    <mergeCell ref="AL68:AM68"/>
    <mergeCell ref="AP68:AQ68"/>
    <mergeCell ref="AJ66:AK66"/>
    <mergeCell ref="AN66:AO66"/>
    <mergeCell ref="AR66:AS66"/>
    <mergeCell ref="AV66:AW66"/>
    <mergeCell ref="AV67:AW67"/>
    <mergeCell ref="B68:C68"/>
    <mergeCell ref="F68:G68"/>
    <mergeCell ref="J68:K68"/>
    <mergeCell ref="N68:O68"/>
    <mergeCell ref="R68:S68"/>
    <mergeCell ref="AF76:AG76"/>
    <mergeCell ref="AJ76:AK76"/>
    <mergeCell ref="AN76:AO76"/>
    <mergeCell ref="AR76:AS76"/>
    <mergeCell ref="AV76:AW76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B82:C82"/>
    <mergeCell ref="F82:G82"/>
    <mergeCell ref="J82:K82"/>
    <mergeCell ref="N82:O82"/>
    <mergeCell ref="R82:S82"/>
    <mergeCell ref="V82:W82"/>
    <mergeCell ref="Z82:AA82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V84:AW84"/>
    <mergeCell ref="D85:E85"/>
    <mergeCell ref="H85:I85"/>
    <mergeCell ref="L85:M85"/>
    <mergeCell ref="P85:Q85"/>
    <mergeCell ref="T85:U85"/>
    <mergeCell ref="X85:Y85"/>
    <mergeCell ref="AB85:AC85"/>
    <mergeCell ref="AF85:AG85"/>
    <mergeCell ref="AJ85:AK85"/>
    <mergeCell ref="AD82:AE82"/>
    <mergeCell ref="AH82:AI82"/>
    <mergeCell ref="AL82:AM82"/>
    <mergeCell ref="AP82:AQ82"/>
    <mergeCell ref="AV82:AW82"/>
    <mergeCell ref="AV83:AW83"/>
    <mergeCell ref="AV79:AW79"/>
    <mergeCell ref="AV80:AW80"/>
    <mergeCell ref="AV81:AW81"/>
    <mergeCell ref="AV88:AW88"/>
    <mergeCell ref="AV89:AW89"/>
    <mergeCell ref="B90:C90"/>
    <mergeCell ref="F90:G90"/>
    <mergeCell ref="J90:K90"/>
    <mergeCell ref="N90:O90"/>
    <mergeCell ref="R90:S90"/>
    <mergeCell ref="V90:W90"/>
    <mergeCell ref="Z90:AA90"/>
    <mergeCell ref="AD90:AE90"/>
    <mergeCell ref="Z87:AA87"/>
    <mergeCell ref="AD87:AE87"/>
    <mergeCell ref="AH87:AI87"/>
    <mergeCell ref="AL87:AM87"/>
    <mergeCell ref="AP87:AQ87"/>
    <mergeCell ref="AV87:AW87"/>
    <mergeCell ref="AN85:AO85"/>
    <mergeCell ref="AR85:AS85"/>
    <mergeCell ref="AV85:AW85"/>
    <mergeCell ref="AV86:AW86"/>
    <mergeCell ref="B87:C87"/>
    <mergeCell ref="F87:G87"/>
    <mergeCell ref="J87:K87"/>
    <mergeCell ref="N87:O87"/>
    <mergeCell ref="R87:S87"/>
    <mergeCell ref="V87:W87"/>
    <mergeCell ref="AB93:AC93"/>
    <mergeCell ref="AF93:AG93"/>
    <mergeCell ref="AJ93:AK93"/>
    <mergeCell ref="AN93:AO93"/>
    <mergeCell ref="AR93:AS93"/>
    <mergeCell ref="AV93:AW93"/>
    <mergeCell ref="D93:E93"/>
    <mergeCell ref="H93:I93"/>
    <mergeCell ref="L93:M93"/>
    <mergeCell ref="P93:Q93"/>
    <mergeCell ref="T93:U93"/>
    <mergeCell ref="X93:Y93"/>
    <mergeCell ref="AH90:AI90"/>
    <mergeCell ref="AL90:AM90"/>
    <mergeCell ref="AP90:AQ90"/>
    <mergeCell ref="AV90:AW90"/>
    <mergeCell ref="AV91:AW91"/>
    <mergeCell ref="AV92:AW92"/>
    <mergeCell ref="AL95:AM95"/>
    <mergeCell ref="AP95:AQ95"/>
    <mergeCell ref="AV95:AW95"/>
    <mergeCell ref="AV96:AW96"/>
    <mergeCell ref="AV97:AW97"/>
    <mergeCell ref="B98:C98"/>
    <mergeCell ref="F98:G98"/>
    <mergeCell ref="J98:K98"/>
    <mergeCell ref="N98:O98"/>
    <mergeCell ref="R98:S98"/>
    <mergeCell ref="AV94:AW94"/>
    <mergeCell ref="B95:C95"/>
    <mergeCell ref="F95:G95"/>
    <mergeCell ref="J95:K95"/>
    <mergeCell ref="N95:O95"/>
    <mergeCell ref="R95:S95"/>
    <mergeCell ref="V95:W95"/>
    <mergeCell ref="Z95:AA95"/>
    <mergeCell ref="AD95:AE95"/>
    <mergeCell ref="AH95:AI95"/>
    <mergeCell ref="AF101:AG101"/>
    <mergeCell ref="AJ101:AK101"/>
    <mergeCell ref="AN101:AO101"/>
    <mergeCell ref="AR101:AS101"/>
    <mergeCell ref="AV101:AW101"/>
    <mergeCell ref="AV102:AW102"/>
    <mergeCell ref="AV98:AW98"/>
    <mergeCell ref="AV99:AW99"/>
    <mergeCell ref="AV100:AW100"/>
    <mergeCell ref="D101:E101"/>
    <mergeCell ref="H101:I101"/>
    <mergeCell ref="L101:M101"/>
    <mergeCell ref="P101:Q101"/>
    <mergeCell ref="T101:U101"/>
    <mergeCell ref="X101:Y101"/>
    <mergeCell ref="AB101:AC101"/>
    <mergeCell ref="V98:W98"/>
    <mergeCell ref="Z98:AA98"/>
    <mergeCell ref="AD98:AE98"/>
    <mergeCell ref="AH98:AI98"/>
    <mergeCell ref="AL98:AM98"/>
    <mergeCell ref="AP98:AQ98"/>
    <mergeCell ref="AH106:AI106"/>
    <mergeCell ref="AL106:AM106"/>
    <mergeCell ref="AP106:AQ106"/>
    <mergeCell ref="AV106:AW106"/>
    <mergeCell ref="AV107:AW107"/>
    <mergeCell ref="AV108:AW108"/>
    <mergeCell ref="AV104:AW104"/>
    <mergeCell ref="AV105:AW105"/>
    <mergeCell ref="B106:C106"/>
    <mergeCell ref="F106:G106"/>
    <mergeCell ref="J106:K106"/>
    <mergeCell ref="N106:O106"/>
    <mergeCell ref="R106:S106"/>
    <mergeCell ref="V106:W106"/>
    <mergeCell ref="Z106:AA106"/>
    <mergeCell ref="AD106:AE106"/>
    <mergeCell ref="Z103:AA103"/>
    <mergeCell ref="AD103:AE103"/>
    <mergeCell ref="AH103:AI103"/>
    <mergeCell ref="AL103:AM103"/>
    <mergeCell ref="AP103:AQ103"/>
    <mergeCell ref="AV103:AW103"/>
    <mergeCell ref="B103:C103"/>
    <mergeCell ref="F103:G103"/>
    <mergeCell ref="J103:K103"/>
    <mergeCell ref="N103:O103"/>
    <mergeCell ref="R103:S103"/>
    <mergeCell ref="V103:W103"/>
    <mergeCell ref="B114:C114"/>
    <mergeCell ref="F114:G114"/>
    <mergeCell ref="J114:K114"/>
    <mergeCell ref="N114:O114"/>
    <mergeCell ref="R114:S114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AB109:AC109"/>
    <mergeCell ref="AF109:AG109"/>
    <mergeCell ref="AJ109:AK109"/>
    <mergeCell ref="AN109:AO109"/>
    <mergeCell ref="AR109:AS109"/>
    <mergeCell ref="AV109:AW109"/>
    <mergeCell ref="D109:E109"/>
    <mergeCell ref="H109:I109"/>
    <mergeCell ref="L109:M109"/>
    <mergeCell ref="P109:Q109"/>
    <mergeCell ref="T109:U109"/>
    <mergeCell ref="X109:Y109"/>
    <mergeCell ref="AV115:AW115"/>
    <mergeCell ref="AV116:AW116"/>
    <mergeCell ref="D117:E117"/>
    <mergeCell ref="H117:I117"/>
    <mergeCell ref="L117:M117"/>
    <mergeCell ref="P117:Q117"/>
    <mergeCell ref="T117:U117"/>
    <mergeCell ref="X117:Y117"/>
    <mergeCell ref="AB117:AC117"/>
    <mergeCell ref="AF117:AG117"/>
    <mergeCell ref="V114:W114"/>
    <mergeCell ref="AD114:AE114"/>
    <mergeCell ref="AH114:AI114"/>
    <mergeCell ref="AL114:AM114"/>
    <mergeCell ref="AP114:AQ114"/>
    <mergeCell ref="AV114:AW114"/>
    <mergeCell ref="AL111:AM111"/>
    <mergeCell ref="AP111:AQ111"/>
    <mergeCell ref="AV111:AW111"/>
    <mergeCell ref="AV112:AW112"/>
    <mergeCell ref="AV113:AW113"/>
    <mergeCell ref="B123:C123"/>
    <mergeCell ref="F123:G123"/>
    <mergeCell ref="J123:K123"/>
    <mergeCell ref="N123:O123"/>
    <mergeCell ref="R123:S123"/>
    <mergeCell ref="V123:W123"/>
    <mergeCell ref="V119:W119"/>
    <mergeCell ref="Z119:AA119"/>
    <mergeCell ref="AD119:AE119"/>
    <mergeCell ref="AH119:AI119"/>
    <mergeCell ref="AL119:AM119"/>
    <mergeCell ref="AP119:AQ119"/>
    <mergeCell ref="AJ117:AK117"/>
    <mergeCell ref="AN117:AO117"/>
    <mergeCell ref="AR117:AS117"/>
    <mergeCell ref="AV117:AW117"/>
    <mergeCell ref="AV118:AW118"/>
    <mergeCell ref="B119:C119"/>
    <mergeCell ref="F119:G119"/>
    <mergeCell ref="J119:K119"/>
    <mergeCell ref="N119:O119"/>
    <mergeCell ref="R119:S119"/>
    <mergeCell ref="AV124:AW124"/>
    <mergeCell ref="AV125:AW125"/>
    <mergeCell ref="D126:E126"/>
    <mergeCell ref="H126:I126"/>
    <mergeCell ref="L126:M126"/>
    <mergeCell ref="P126:Q126"/>
    <mergeCell ref="T126:U126"/>
    <mergeCell ref="X126:Y126"/>
    <mergeCell ref="AB126:AC126"/>
    <mergeCell ref="AF126:AG126"/>
    <mergeCell ref="Z123:AA123"/>
    <mergeCell ref="AD123:AE123"/>
    <mergeCell ref="AH123:AI123"/>
    <mergeCell ref="AL123:AM123"/>
    <mergeCell ref="AP123:AQ123"/>
    <mergeCell ref="AV123:AW123"/>
    <mergeCell ref="AV119:AW119"/>
    <mergeCell ref="AV120:AW120"/>
    <mergeCell ref="AV121:AW121"/>
    <mergeCell ref="AV122:AW122"/>
    <mergeCell ref="B132:C132"/>
    <mergeCell ref="F132:G132"/>
    <mergeCell ref="J132:K132"/>
    <mergeCell ref="N132:O132"/>
    <mergeCell ref="R132:S132"/>
    <mergeCell ref="V132:W132"/>
    <mergeCell ref="V128:W128"/>
    <mergeCell ref="Z128:AA128"/>
    <mergeCell ref="AD128:AE128"/>
    <mergeCell ref="AH128:AI128"/>
    <mergeCell ref="AL128:AM128"/>
    <mergeCell ref="AP128:AQ128"/>
    <mergeCell ref="AJ126:AK126"/>
    <mergeCell ref="AN126:AO126"/>
    <mergeCell ref="AR126:AS126"/>
    <mergeCell ref="AV126:AW126"/>
    <mergeCell ref="AV127:AW127"/>
    <mergeCell ref="B128:C128"/>
    <mergeCell ref="F128:G128"/>
    <mergeCell ref="J128:K128"/>
    <mergeCell ref="N128:O128"/>
    <mergeCell ref="R128:S128"/>
    <mergeCell ref="AV133:AW133"/>
    <mergeCell ref="AV134:AW134"/>
    <mergeCell ref="D135:E135"/>
    <mergeCell ref="H135:I135"/>
    <mergeCell ref="L135:M135"/>
    <mergeCell ref="P135:Q135"/>
    <mergeCell ref="T135:U135"/>
    <mergeCell ref="X135:Y135"/>
    <mergeCell ref="AB135:AC135"/>
    <mergeCell ref="AF135:AG135"/>
    <mergeCell ref="Z132:AA132"/>
    <mergeCell ref="AD132:AE132"/>
    <mergeCell ref="AH132:AI132"/>
    <mergeCell ref="AL132:AM132"/>
    <mergeCell ref="AP132:AQ132"/>
    <mergeCell ref="AV132:AW132"/>
    <mergeCell ref="AV128:AW128"/>
    <mergeCell ref="AV129:AW129"/>
    <mergeCell ref="AV130:AW130"/>
    <mergeCell ref="AV131:AW131"/>
    <mergeCell ref="B141:C141"/>
    <mergeCell ref="F141:G141"/>
    <mergeCell ref="J141:K141"/>
    <mergeCell ref="N141:O141"/>
    <mergeCell ref="R141:S141"/>
    <mergeCell ref="V141:W141"/>
    <mergeCell ref="V137:W137"/>
    <mergeCell ref="Z137:AA137"/>
    <mergeCell ref="AD137:AE137"/>
    <mergeCell ref="AH137:AI137"/>
    <mergeCell ref="AL137:AM137"/>
    <mergeCell ref="AP137:AQ137"/>
    <mergeCell ref="AJ135:AK135"/>
    <mergeCell ref="AN135:AO135"/>
    <mergeCell ref="AR135:AS135"/>
    <mergeCell ref="AV135:AW135"/>
    <mergeCell ref="AV136:AW136"/>
    <mergeCell ref="B137:C137"/>
    <mergeCell ref="F137:G137"/>
    <mergeCell ref="J137:K137"/>
    <mergeCell ref="N137:O137"/>
    <mergeCell ref="R137:S137"/>
    <mergeCell ref="AV142:AW142"/>
    <mergeCell ref="AV143:AW143"/>
    <mergeCell ref="D144:E144"/>
    <mergeCell ref="H144:I144"/>
    <mergeCell ref="L144:M144"/>
    <mergeCell ref="P144:Q144"/>
    <mergeCell ref="T144:U144"/>
    <mergeCell ref="X144:Y144"/>
    <mergeCell ref="AB144:AC144"/>
    <mergeCell ref="AF144:AG144"/>
    <mergeCell ref="Z141:AA141"/>
    <mergeCell ref="AD141:AE141"/>
    <mergeCell ref="AH141:AI141"/>
    <mergeCell ref="AL141:AM141"/>
    <mergeCell ref="AP141:AQ141"/>
    <mergeCell ref="AV141:AW141"/>
    <mergeCell ref="AV137:AW137"/>
    <mergeCell ref="AV138:AW138"/>
    <mergeCell ref="AV139:AW139"/>
    <mergeCell ref="AV140:AW140"/>
    <mergeCell ref="AV146:AW146"/>
    <mergeCell ref="AV147:AW147"/>
    <mergeCell ref="AV148:AW148"/>
    <mergeCell ref="AV149:AW149"/>
    <mergeCell ref="AV150:AW150"/>
    <mergeCell ref="B151:C151"/>
    <mergeCell ref="F151:G151"/>
    <mergeCell ref="J151:K151"/>
    <mergeCell ref="N151:O151"/>
    <mergeCell ref="R151:S151"/>
    <mergeCell ref="V146:W146"/>
    <mergeCell ref="Z146:AA146"/>
    <mergeCell ref="AD146:AE146"/>
    <mergeCell ref="AH146:AI146"/>
    <mergeCell ref="AL146:AM146"/>
    <mergeCell ref="AP146:AQ146"/>
    <mergeCell ref="AJ144:AK144"/>
    <mergeCell ref="AN144:AO144"/>
    <mergeCell ref="AR144:AS144"/>
    <mergeCell ref="AV144:AW144"/>
    <mergeCell ref="AV145:AW145"/>
    <mergeCell ref="B146:C146"/>
    <mergeCell ref="F146:G146"/>
    <mergeCell ref="J146:K146"/>
    <mergeCell ref="N146:O146"/>
    <mergeCell ref="R146:S146"/>
    <mergeCell ref="AF154:AG154"/>
    <mergeCell ref="AJ154:AK154"/>
    <mergeCell ref="AN154:AO154"/>
    <mergeCell ref="AR154:AS154"/>
    <mergeCell ref="AV154:AW154"/>
    <mergeCell ref="AV155:AW155"/>
    <mergeCell ref="AV151:AW151"/>
    <mergeCell ref="AV152:AW152"/>
    <mergeCell ref="AV153:AW153"/>
    <mergeCell ref="D154:E154"/>
    <mergeCell ref="H154:I154"/>
    <mergeCell ref="L154:M154"/>
    <mergeCell ref="P154:Q154"/>
    <mergeCell ref="T154:U154"/>
    <mergeCell ref="X154:Y154"/>
    <mergeCell ref="AB154:AC154"/>
    <mergeCell ref="V151:W151"/>
    <mergeCell ref="Z151:AA151"/>
    <mergeCell ref="AD151:AE151"/>
    <mergeCell ref="AH151:AI151"/>
    <mergeCell ref="AL151:AM151"/>
    <mergeCell ref="AP151:AQ151"/>
    <mergeCell ref="AD160:AE160"/>
    <mergeCell ref="AH160:AI160"/>
    <mergeCell ref="AL160:AM160"/>
    <mergeCell ref="AV160:AW160"/>
    <mergeCell ref="AV161:AW161"/>
    <mergeCell ref="AV162:AW162"/>
    <mergeCell ref="AV157:AW157"/>
    <mergeCell ref="AV158:AW158"/>
    <mergeCell ref="AV159:AW159"/>
    <mergeCell ref="B160:C160"/>
    <mergeCell ref="F160:G160"/>
    <mergeCell ref="J160:K160"/>
    <mergeCell ref="N160:O160"/>
    <mergeCell ref="R160:S160"/>
    <mergeCell ref="V160:W160"/>
    <mergeCell ref="Z160:AA160"/>
    <mergeCell ref="Z156:AA156"/>
    <mergeCell ref="AD156:AE156"/>
    <mergeCell ref="AH156:AI156"/>
    <mergeCell ref="AL156:AM156"/>
    <mergeCell ref="AP156:AQ156"/>
    <mergeCell ref="AV156:AW156"/>
    <mergeCell ref="B156:C156"/>
    <mergeCell ref="F156:G156"/>
    <mergeCell ref="J156:K156"/>
    <mergeCell ref="N156:O156"/>
    <mergeCell ref="R156:S156"/>
    <mergeCell ref="V156:W156"/>
    <mergeCell ref="AV166:AW166"/>
    <mergeCell ref="AV167:AW167"/>
    <mergeCell ref="A169:O169"/>
    <mergeCell ref="A171:B171"/>
    <mergeCell ref="C171:E171"/>
    <mergeCell ref="G171:I171"/>
    <mergeCell ref="J171:L171"/>
    <mergeCell ref="M171:O171"/>
    <mergeCell ref="Y171:AA171"/>
    <mergeCell ref="AB171:AD171"/>
    <mergeCell ref="V165:W165"/>
    <mergeCell ref="Z165:AA165"/>
    <mergeCell ref="AD165:AE165"/>
    <mergeCell ref="AH165:AI165"/>
    <mergeCell ref="AL165:AM165"/>
    <mergeCell ref="AV165:AW165"/>
    <mergeCell ref="AB163:AC163"/>
    <mergeCell ref="AF163:AG163"/>
    <mergeCell ref="AJ163:AK163"/>
    <mergeCell ref="AV163:AW163"/>
    <mergeCell ref="AV164:AW164"/>
    <mergeCell ref="B165:C165"/>
    <mergeCell ref="F165:G165"/>
    <mergeCell ref="J165:K165"/>
    <mergeCell ref="N165:O165"/>
    <mergeCell ref="R165:S165"/>
    <mergeCell ref="D163:E163"/>
    <mergeCell ref="H163:I163"/>
    <mergeCell ref="L163:M163"/>
    <mergeCell ref="P163:Q163"/>
    <mergeCell ref="T163:U163"/>
    <mergeCell ref="X163:Y163"/>
    <mergeCell ref="AB173:AD173"/>
    <mergeCell ref="AE173:AG173"/>
    <mergeCell ref="A174:B174"/>
    <mergeCell ref="C174:E174"/>
    <mergeCell ref="G174:I174"/>
    <mergeCell ref="J174:L174"/>
    <mergeCell ref="M174:O174"/>
    <mergeCell ref="Y174:AA174"/>
    <mergeCell ref="AB174:AD174"/>
    <mergeCell ref="AE174:AG174"/>
    <mergeCell ref="A173:B173"/>
    <mergeCell ref="C173:E173"/>
    <mergeCell ref="G173:I173"/>
    <mergeCell ref="J173:L173"/>
    <mergeCell ref="M173:O173"/>
    <mergeCell ref="Y173:AA173"/>
    <mergeCell ref="AE171:AG171"/>
    <mergeCell ref="A172:B172"/>
    <mergeCell ref="C172:E172"/>
    <mergeCell ref="G172:I172"/>
    <mergeCell ref="J172:L172"/>
    <mergeCell ref="M172:O172"/>
    <mergeCell ref="Y172:AA172"/>
    <mergeCell ref="AB172:AD172"/>
    <mergeCell ref="AE172:AG172"/>
    <mergeCell ref="AB177:AD177"/>
    <mergeCell ref="AE177:AG177"/>
    <mergeCell ref="A178:B178"/>
    <mergeCell ref="C178:E178"/>
    <mergeCell ref="G178:I178"/>
    <mergeCell ref="J178:L178"/>
    <mergeCell ref="M178:O178"/>
    <mergeCell ref="Y178:AA178"/>
    <mergeCell ref="AB178:AD178"/>
    <mergeCell ref="AE178:AG178"/>
    <mergeCell ref="A177:B177"/>
    <mergeCell ref="C177:E177"/>
    <mergeCell ref="G177:I177"/>
    <mergeCell ref="J177:L177"/>
    <mergeCell ref="M177:O177"/>
    <mergeCell ref="Y177:AA177"/>
    <mergeCell ref="AB175:AD175"/>
    <mergeCell ref="AE175:AG175"/>
    <mergeCell ref="A176:B176"/>
    <mergeCell ref="C176:E176"/>
    <mergeCell ref="G176:I176"/>
    <mergeCell ref="J176:L176"/>
    <mergeCell ref="M176:O176"/>
    <mergeCell ref="Y176:AA176"/>
    <mergeCell ref="AB176:AD176"/>
    <mergeCell ref="AE176:AG176"/>
    <mergeCell ref="A175:B175"/>
    <mergeCell ref="C175:E175"/>
    <mergeCell ref="G175:I175"/>
    <mergeCell ref="J175:L175"/>
    <mergeCell ref="M175:O175"/>
    <mergeCell ref="Y175:AA175"/>
    <mergeCell ref="AB181:AD181"/>
    <mergeCell ref="AE181:AG181"/>
    <mergeCell ref="A182:B182"/>
    <mergeCell ref="C182:E182"/>
    <mergeCell ref="G182:I182"/>
    <mergeCell ref="J182:L182"/>
    <mergeCell ref="M182:O182"/>
    <mergeCell ref="Y182:AA182"/>
    <mergeCell ref="AB182:AD182"/>
    <mergeCell ref="AE182:AG182"/>
    <mergeCell ref="A181:B181"/>
    <mergeCell ref="C181:E181"/>
    <mergeCell ref="G181:I181"/>
    <mergeCell ref="J181:L181"/>
    <mergeCell ref="M181:O181"/>
    <mergeCell ref="Y181:AA181"/>
    <mergeCell ref="AB179:AD179"/>
    <mergeCell ref="AE179:AG179"/>
    <mergeCell ref="A180:B180"/>
    <mergeCell ref="C180:E180"/>
    <mergeCell ref="G180:I180"/>
    <mergeCell ref="J180:L180"/>
    <mergeCell ref="M180:O180"/>
    <mergeCell ref="Y180:AA180"/>
    <mergeCell ref="AB180:AD180"/>
    <mergeCell ref="AE180:AG180"/>
    <mergeCell ref="A179:B179"/>
    <mergeCell ref="C179:E179"/>
    <mergeCell ref="G179:I179"/>
    <mergeCell ref="J179:L179"/>
    <mergeCell ref="M179:O179"/>
    <mergeCell ref="Y179:AA179"/>
    <mergeCell ref="AB185:AD185"/>
    <mergeCell ref="AE185:AG185"/>
    <mergeCell ref="A186:B186"/>
    <mergeCell ref="C186:E186"/>
    <mergeCell ref="G186:I186"/>
    <mergeCell ref="J186:L186"/>
    <mergeCell ref="M186:O186"/>
    <mergeCell ref="Y186:AA186"/>
    <mergeCell ref="AB186:AD186"/>
    <mergeCell ref="AE186:AG186"/>
    <mergeCell ref="A185:B185"/>
    <mergeCell ref="C185:E185"/>
    <mergeCell ref="G185:I185"/>
    <mergeCell ref="J185:L185"/>
    <mergeCell ref="M185:O185"/>
    <mergeCell ref="Y185:AA185"/>
    <mergeCell ref="AB183:AD183"/>
    <mergeCell ref="AE183:AG183"/>
    <mergeCell ref="A184:B184"/>
    <mergeCell ref="C184:E184"/>
    <mergeCell ref="G184:I184"/>
    <mergeCell ref="J184:L184"/>
    <mergeCell ref="M184:O184"/>
    <mergeCell ref="Y184:AA184"/>
    <mergeCell ref="AB184:AD184"/>
    <mergeCell ref="AE184:AG184"/>
    <mergeCell ref="A183:B183"/>
    <mergeCell ref="C183:E183"/>
    <mergeCell ref="G183:I183"/>
    <mergeCell ref="J183:L183"/>
    <mergeCell ref="M183:O183"/>
    <mergeCell ref="Y183:AA183"/>
    <mergeCell ref="AB189:AD189"/>
    <mergeCell ref="AE189:AG189"/>
    <mergeCell ref="A190:B190"/>
    <mergeCell ref="C190:E190"/>
    <mergeCell ref="G190:I190"/>
    <mergeCell ref="J190:L190"/>
    <mergeCell ref="M190:O190"/>
    <mergeCell ref="Y190:AA190"/>
    <mergeCell ref="AB190:AD190"/>
    <mergeCell ref="AE190:AG190"/>
    <mergeCell ref="A189:B189"/>
    <mergeCell ref="C189:E189"/>
    <mergeCell ref="G189:I189"/>
    <mergeCell ref="J189:L189"/>
    <mergeCell ref="M189:O189"/>
    <mergeCell ref="Y189:AA189"/>
    <mergeCell ref="AB187:AD187"/>
    <mergeCell ref="AE187:AG187"/>
    <mergeCell ref="A188:B188"/>
    <mergeCell ref="C188:E188"/>
    <mergeCell ref="G188:I188"/>
    <mergeCell ref="J188:L188"/>
    <mergeCell ref="M188:O188"/>
    <mergeCell ref="Y188:AA188"/>
    <mergeCell ref="AB188:AD188"/>
    <mergeCell ref="AE188:AG188"/>
    <mergeCell ref="A187:B187"/>
    <mergeCell ref="C187:E187"/>
    <mergeCell ref="G187:I187"/>
    <mergeCell ref="J187:L187"/>
    <mergeCell ref="M187:O187"/>
    <mergeCell ref="Y187:AA187"/>
    <mergeCell ref="AB193:AD193"/>
    <mergeCell ref="AE193:AG193"/>
    <mergeCell ref="A194:B194"/>
    <mergeCell ref="C194:E194"/>
    <mergeCell ref="G194:I194"/>
    <mergeCell ref="J194:L194"/>
    <mergeCell ref="M194:O194"/>
    <mergeCell ref="Y194:AA194"/>
    <mergeCell ref="AB194:AD194"/>
    <mergeCell ref="AE194:AG194"/>
    <mergeCell ref="A193:B193"/>
    <mergeCell ref="C193:E193"/>
    <mergeCell ref="G193:I193"/>
    <mergeCell ref="J193:L193"/>
    <mergeCell ref="M193:O193"/>
    <mergeCell ref="Y193:AA193"/>
    <mergeCell ref="AB191:AD191"/>
    <mergeCell ref="AE191:AG191"/>
    <mergeCell ref="A192:B192"/>
    <mergeCell ref="C192:E192"/>
    <mergeCell ref="G192:I192"/>
    <mergeCell ref="J192:L192"/>
    <mergeCell ref="M192:O192"/>
    <mergeCell ref="Y192:AA192"/>
    <mergeCell ref="AB192:AD192"/>
    <mergeCell ref="AE192:AG192"/>
    <mergeCell ref="A191:B191"/>
    <mergeCell ref="C191:E191"/>
    <mergeCell ref="G191:I191"/>
    <mergeCell ref="J191:L191"/>
    <mergeCell ref="M191:O191"/>
    <mergeCell ref="Y191:AA191"/>
    <mergeCell ref="AB197:AD197"/>
    <mergeCell ref="AE197:AG197"/>
    <mergeCell ref="A198:B198"/>
    <mergeCell ref="C198:E198"/>
    <mergeCell ref="G198:I198"/>
    <mergeCell ref="J198:L198"/>
    <mergeCell ref="M198:O198"/>
    <mergeCell ref="Y198:AA198"/>
    <mergeCell ref="AB198:AD198"/>
    <mergeCell ref="AE198:AG198"/>
    <mergeCell ref="A197:B197"/>
    <mergeCell ref="C197:E197"/>
    <mergeCell ref="G197:I197"/>
    <mergeCell ref="J197:L197"/>
    <mergeCell ref="M197:O197"/>
    <mergeCell ref="Y197:AA197"/>
    <mergeCell ref="AB195:AD195"/>
    <mergeCell ref="AE195:AG195"/>
    <mergeCell ref="A196:B196"/>
    <mergeCell ref="C196:E196"/>
    <mergeCell ref="G196:I196"/>
    <mergeCell ref="J196:L196"/>
    <mergeCell ref="M196:O196"/>
    <mergeCell ref="Y196:AA196"/>
    <mergeCell ref="AB196:AD196"/>
    <mergeCell ref="AE196:AG196"/>
    <mergeCell ref="A195:B195"/>
    <mergeCell ref="C195:E195"/>
    <mergeCell ref="G195:I195"/>
    <mergeCell ref="J195:L195"/>
    <mergeCell ref="M195:O195"/>
    <mergeCell ref="Y195:AA195"/>
    <mergeCell ref="Y202:AA202"/>
    <mergeCell ref="AB202:AD202"/>
    <mergeCell ref="AE202:AG202"/>
    <mergeCell ref="A201:B201"/>
    <mergeCell ref="C201:E201"/>
    <mergeCell ref="G201:I201"/>
    <mergeCell ref="J201:L201"/>
    <mergeCell ref="M201:O201"/>
    <mergeCell ref="Y201:AA201"/>
    <mergeCell ref="AB199:AD199"/>
    <mergeCell ref="AE199:AG199"/>
    <mergeCell ref="A200:B200"/>
    <mergeCell ref="C200:E200"/>
    <mergeCell ref="G200:I200"/>
    <mergeCell ref="J200:L200"/>
    <mergeCell ref="M200:O200"/>
    <mergeCell ref="Y200:AA200"/>
    <mergeCell ref="AB200:AD200"/>
    <mergeCell ref="AE200:AG200"/>
    <mergeCell ref="A199:B199"/>
    <mergeCell ref="C199:E199"/>
    <mergeCell ref="G199:I199"/>
    <mergeCell ref="J199:L199"/>
    <mergeCell ref="M199:O199"/>
    <mergeCell ref="Y199:AA199"/>
    <mergeCell ref="AB205:AD205"/>
    <mergeCell ref="AE205:AG205"/>
    <mergeCell ref="B53:N53"/>
    <mergeCell ref="A205:B205"/>
    <mergeCell ref="C205:E205"/>
    <mergeCell ref="G205:I205"/>
    <mergeCell ref="J205:L205"/>
    <mergeCell ref="M205:O205"/>
    <mergeCell ref="Y205:AA205"/>
    <mergeCell ref="AB203:AD203"/>
    <mergeCell ref="AE203:AG203"/>
    <mergeCell ref="A204:B204"/>
    <mergeCell ref="C204:E204"/>
    <mergeCell ref="G204:I204"/>
    <mergeCell ref="J204:L204"/>
    <mergeCell ref="M204:O204"/>
    <mergeCell ref="Y204:AA204"/>
    <mergeCell ref="AB204:AD204"/>
    <mergeCell ref="AE204:AG204"/>
    <mergeCell ref="A203:B203"/>
    <mergeCell ref="C203:E203"/>
    <mergeCell ref="G203:I203"/>
    <mergeCell ref="J203:L203"/>
    <mergeCell ref="M203:O203"/>
    <mergeCell ref="Y203:AA203"/>
    <mergeCell ref="AB201:AD201"/>
    <mergeCell ref="AE201:AG201"/>
    <mergeCell ref="A202:B202"/>
    <mergeCell ref="C202:E202"/>
    <mergeCell ref="G202:I202"/>
    <mergeCell ref="J202:L202"/>
    <mergeCell ref="M202:O202"/>
  </mergeCells>
  <conditionalFormatting sqref="A1 I3 L3 G4 I4:K4 M4 A5:I6 AA10:AA15 G19:J21 M19:T21 C19:D24 H22:J22 M22:Q22 T22 G23:S23 G24:N24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F3" sqref="F3"/>
    </sheetView>
  </sheetViews>
  <sheetFormatPr defaultRowHeight="14.5" x14ac:dyDescent="0.35"/>
  <cols>
    <col min="1" max="1" width="11.26953125" bestFit="1" customWidth="1"/>
    <col min="2" max="2" width="38.453125" customWidth="1"/>
    <col min="3" max="3" width="11.7265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8" t="s">
        <v>489</v>
      </c>
      <c r="B1" s="98" t="s">
        <v>488</v>
      </c>
      <c r="C1" s="98" t="s">
        <v>487</v>
      </c>
      <c r="D1" s="98" t="s">
        <v>486</v>
      </c>
      <c r="E1" s="98" t="s">
        <v>485</v>
      </c>
      <c r="F1" s="98" t="s">
        <v>484</v>
      </c>
      <c r="G1" s="98" t="s">
        <v>483</v>
      </c>
      <c r="H1" s="98" t="s">
        <v>482</v>
      </c>
      <c r="I1" s="98" t="s">
        <v>481</v>
      </c>
      <c r="J1" s="98" t="s">
        <v>480</v>
      </c>
      <c r="K1" s="98" t="s">
        <v>479</v>
      </c>
    </row>
    <row r="2" spans="1:11" x14ac:dyDescent="0.35">
      <c r="A2" s="96" t="s">
        <v>629</v>
      </c>
      <c r="B2" s="96" t="s">
        <v>630</v>
      </c>
      <c r="C2" s="96" t="s">
        <v>478</v>
      </c>
      <c r="D2" s="97">
        <v>45488</v>
      </c>
      <c r="E2" s="97">
        <v>46187</v>
      </c>
      <c r="F2" s="96" t="s">
        <v>632</v>
      </c>
      <c r="G2" s="96" t="s">
        <v>620</v>
      </c>
      <c r="H2" s="96" t="s">
        <v>621</v>
      </c>
      <c r="I2" s="96" t="s">
        <v>622</v>
      </c>
      <c r="J2" s="96" t="s">
        <v>623</v>
      </c>
      <c r="K2" s="96" t="s">
        <v>624</v>
      </c>
    </row>
    <row r="3" spans="1:11" x14ac:dyDescent="0.35">
      <c r="A3" s="96"/>
      <c r="B3" s="96"/>
      <c r="C3" s="96"/>
      <c r="D3" s="96"/>
      <c r="E3" s="97"/>
      <c r="F3" s="96"/>
      <c r="G3" s="96"/>
      <c r="H3" s="96"/>
      <c r="I3" s="96"/>
      <c r="J3" s="96"/>
      <c r="K3" t="s">
        <v>625</v>
      </c>
    </row>
    <row r="4" spans="1:11" x14ac:dyDescent="0.35">
      <c r="A4" s="96"/>
      <c r="B4" s="96"/>
      <c r="C4" s="96"/>
      <c r="D4" s="96"/>
      <c r="E4" s="96"/>
      <c r="F4" s="96"/>
      <c r="G4" s="96"/>
      <c r="H4" s="96"/>
      <c r="I4" s="96"/>
      <c r="J4" s="96"/>
      <c r="K4" s="96" t="s">
        <v>626</v>
      </c>
    </row>
    <row r="5" spans="1:11" x14ac:dyDescent="0.35">
      <c r="A5" s="96"/>
      <c r="B5" s="96"/>
      <c r="C5" s="96"/>
      <c r="D5" s="96"/>
      <c r="E5" s="96"/>
      <c r="F5" s="96"/>
      <c r="G5" s="96"/>
      <c r="H5" s="96"/>
      <c r="I5" s="96"/>
      <c r="J5" s="96"/>
      <c r="K5" s="96" t="s">
        <v>627</v>
      </c>
    </row>
    <row r="6" spans="1:11" x14ac:dyDescent="0.35">
      <c r="A6" s="96"/>
      <c r="B6" s="97"/>
      <c r="C6" s="96"/>
      <c r="D6" s="96"/>
      <c r="E6" s="96"/>
      <c r="F6" s="96"/>
      <c r="G6" s="96"/>
      <c r="H6" s="96"/>
      <c r="I6" s="96"/>
      <c r="J6" s="96"/>
      <c r="K6" s="96" t="s">
        <v>628</v>
      </c>
    </row>
    <row r="7" spans="1:11" x14ac:dyDescent="0.3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</row>
    <row r="8" spans="1:11" x14ac:dyDescent="0.3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</row>
    <row r="9" spans="1:11" x14ac:dyDescent="0.35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</row>
    <row r="10" spans="1:11" x14ac:dyDescent="0.3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</row>
    <row r="11" spans="1:11" x14ac:dyDescent="0.3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</row>
    <row r="12" spans="1:11" x14ac:dyDescent="0.35">
      <c r="K12" s="96"/>
    </row>
    <row r="13" spans="1:11" x14ac:dyDescent="0.35">
      <c r="K13" s="96"/>
    </row>
    <row r="14" spans="1:11" x14ac:dyDescent="0.35">
      <c r="K14" s="96"/>
    </row>
    <row r="15" spans="1:11" x14ac:dyDescent="0.35">
      <c r="K15" s="96"/>
    </row>
    <row r="16" spans="1:11" x14ac:dyDescent="0.35">
      <c r="K16" s="96"/>
    </row>
    <row r="17" spans="11:11" x14ac:dyDescent="0.35">
      <c r="K17" s="96"/>
    </row>
    <row r="18" spans="11:11" x14ac:dyDescent="0.35">
      <c r="K18" s="96"/>
    </row>
    <row r="19" spans="11:11" x14ac:dyDescent="0.35">
      <c r="K19" s="96"/>
    </row>
    <row r="20" spans="11:11" x14ac:dyDescent="0.35">
      <c r="K20" s="96"/>
    </row>
    <row r="21" spans="11:11" x14ac:dyDescent="0.35">
      <c r="K21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7265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338" t="s">
        <v>347</v>
      </c>
      <c r="B1" s="339"/>
      <c r="C1" s="339"/>
      <c r="D1" s="340"/>
      <c r="E1" s="340"/>
      <c r="F1" s="340"/>
      <c r="G1" s="340"/>
      <c r="H1" s="340"/>
      <c r="I1" s="340"/>
      <c r="J1" s="339"/>
      <c r="K1" s="339"/>
      <c r="L1" s="339"/>
      <c r="M1" s="339"/>
      <c r="N1" s="339"/>
      <c r="O1" s="339"/>
      <c r="P1" s="341"/>
    </row>
    <row r="2" spans="1:16" s="2" customFormat="1" ht="29.25" customHeight="1" x14ac:dyDescent="0.35">
      <c r="A2" s="342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342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DPR_TA-504</vt:lpstr>
      <vt:lpstr>Erection compiled</vt:lpstr>
      <vt:lpstr>Visual Chart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2025-11-07T05:58:37Z</dcterms:modified>
</cp:coreProperties>
</file>