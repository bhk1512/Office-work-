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1711" documentId="8_{16FA9FDA-04F7-4315-B5A3-F2AC902332DB}" xr6:coauthVersionLast="47" xr6:coauthVersionMax="47" xr10:uidLastSave="{741C2F36-B7F8-44B3-9F6A-755FBF176AAF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'Stringing-132KV'!$A$5:$Z$45</definedName>
    <definedName name="_xlnm._FilterDatabase" localSheetId="8" hidden="1">'Stringing-220kV'!$A$5:$Z$214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1" i="14" l="1"/>
  <c r="AW25" i="14" s="1"/>
  <c r="AX21" i="14"/>
  <c r="AX25" i="14"/>
  <c r="AW14" i="14"/>
  <c r="AX14" i="14"/>
  <c r="AW137" i="15"/>
  <c r="AX137" i="15"/>
  <c r="AY137" i="15"/>
  <c r="AZ137" i="15"/>
  <c r="BA137" i="15"/>
  <c r="BB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B42" i="15"/>
  <c r="BA42" i="15"/>
  <c r="BB33" i="15"/>
  <c r="BA33" i="15"/>
  <c r="BA24" i="15"/>
  <c r="BB15" i="15"/>
  <c r="BA15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A46" i="16" l="1"/>
  <c r="A47" i="16" s="1"/>
  <c r="A48" i="16" s="1"/>
  <c r="A49" i="16" s="1"/>
  <c r="A50" i="16" s="1"/>
  <c r="A51" i="16" s="1"/>
  <c r="A52" i="16" s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/>
  <c r="AP402" i="8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/>
  <c r="AP364" i="8"/>
  <c r="BE362" i="8"/>
  <c r="AZ362" i="8"/>
  <c r="AX362" i="8"/>
  <c r="AR362" i="8"/>
  <c r="AQ362" i="8" s="1"/>
  <c r="AP362" i="8" s="1"/>
  <c r="BE360" i="8"/>
  <c r="AX360" i="8"/>
  <c r="AR360" i="8"/>
  <c r="AQ360" i="8"/>
  <c r="AP360" i="8" s="1"/>
  <c r="BE358" i="8"/>
  <c r="AX358" i="8"/>
  <c r="AR358" i="8"/>
  <c r="AQ358" i="8"/>
  <c r="AP358" i="8"/>
  <c r="BE356" i="8"/>
  <c r="AX356" i="8"/>
  <c r="AR356" i="8"/>
  <c r="AQ356" i="8"/>
  <c r="AP356" i="8" s="1"/>
  <c r="BK354" i="8"/>
  <c r="BE354" i="8"/>
  <c r="AR354" i="8"/>
  <c r="AQ354" i="8"/>
  <c r="AP354" i="8"/>
  <c r="BK352" i="8"/>
  <c r="BE352" i="8"/>
  <c r="AZ352" i="8"/>
  <c r="AY352" i="8"/>
  <c r="AX352" i="8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/>
  <c r="AP346" i="8" s="1"/>
  <c r="AN346" i="8"/>
  <c r="BE344" i="8"/>
  <c r="AR344" i="8"/>
  <c r="AQ344" i="8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/>
  <c r="AP336" i="8"/>
  <c r="BK334" i="8"/>
  <c r="BJ334" i="8"/>
  <c r="BE334" i="8"/>
  <c r="AX334" i="8"/>
  <c r="AR334" i="8"/>
  <c r="AQ334" i="8"/>
  <c r="AP334" i="8" s="1"/>
  <c r="BJ332" i="8"/>
  <c r="BE332" i="8"/>
  <c r="AN332" i="8"/>
  <c r="BE330" i="8"/>
  <c r="AX330" i="8"/>
  <c r="AR330" i="8"/>
  <c r="AQ330" i="8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/>
  <c r="AN318" i="8"/>
  <c r="BJ316" i="8"/>
  <c r="BE316" i="8"/>
  <c r="AX316" i="8"/>
  <c r="AR316" i="8"/>
  <c r="AQ316" i="8"/>
  <c r="AP316" i="8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/>
  <c r="AP310" i="8"/>
  <c r="BE308" i="8"/>
  <c r="AX308" i="8"/>
  <c r="AN308" i="8"/>
  <c r="E3" i="16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7" i="16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Y70" i="9"/>
  <c r="Y69" i="9"/>
  <c r="V70" i="9"/>
  <c r="V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P13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H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V68" i="9"/>
  <c r="X68" i="9" s="1"/>
  <c r="Y68" i="9" s="1"/>
  <c r="B68" i="9"/>
  <c r="X67" i="9"/>
  <c r="Y66" i="9" s="1"/>
  <c r="X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Y3" i="9"/>
  <c r="M17" i="5" s="1"/>
  <c r="X3" i="9"/>
  <c r="V3" i="9"/>
  <c r="U3" i="9"/>
  <c r="M16" i="5"/>
  <c r="K16" i="5" s="1"/>
  <c r="H12" i="13" s="1"/>
  <c r="K3" i="9"/>
  <c r="H3" i="9"/>
  <c r="D3" i="9"/>
  <c r="A2" i="9"/>
  <c r="A1" i="9"/>
  <c r="BI407" i="8"/>
  <c r="BI5" i="8" s="1"/>
  <c r="M13" i="5" s="1"/>
  <c r="BD407" i="8"/>
  <c r="BB407" i="8"/>
  <c r="M12" i="5" s="1"/>
  <c r="AV407" i="8"/>
  <c r="M11" i="5" s="1"/>
  <c r="K11" i="5" s="1"/>
  <c r="AO407" i="8"/>
  <c r="AM407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AK141" i="15" l="1"/>
  <c r="AK146" i="15"/>
  <c r="AE147" i="15"/>
  <c r="AE140" i="15"/>
  <c r="AK147" i="15"/>
  <c r="AH140" i="15"/>
  <c r="AM5" i="8"/>
  <c r="K9" i="13"/>
  <c r="N13" i="5"/>
  <c r="K13" i="5"/>
  <c r="M27" i="5"/>
  <c r="I23" i="13" s="1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K17" i="5"/>
  <c r="I13" i="13" s="1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V67" i="9"/>
  <c r="U67" i="9" s="1"/>
  <c r="L220" i="9"/>
  <c r="V66" i="9"/>
  <c r="U66" i="9" s="1"/>
  <c r="Y65" i="9"/>
  <c r="X65" i="9" s="1"/>
  <c r="V65" i="9" s="1"/>
  <c r="U65" i="9" s="1"/>
  <c r="AA1" i="8"/>
  <c r="S5" i="8"/>
  <c r="N16" i="5"/>
  <c r="L12" i="13" s="1"/>
  <c r="I12" i="13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AK140" i="15" l="1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K10" i="5"/>
  <c r="I6" i="13" s="1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<sst xmlns="http://schemas.openxmlformats.org/spreadsheetml/2006/main" count="11140" uniqueCount="751">
  <si>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</si>
  <si>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</si>
  <si>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</si>
  <si>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</si>
  <si>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</si>
  <si>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</si>
  <si>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</si>
  <si>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</si>
  <si>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</si>
  <si>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</si>
  <si>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</si>
  <si>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</si>
  <si>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</si>
  <si>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</si>
  <si>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</si>
  <si>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</si>
  <si>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</si>
  <si>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</si>
  <si>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</si>
  <si>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</si>
  <si>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</si>
  <si>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</si>
  <si>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</si>
  <si>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</si>
  <si>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</si>
  <si>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</si>
  <si>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</si>
  <si>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</si>
  <si>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</si>
  <si>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</si>
  <si>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</si>
  <si>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</si>
  <si>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</si>
  <si>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</si>
  <si>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</si>
  <si>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</si>
  <si>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</si>
  <si>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</si>
  <si>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</si>
  <si>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</si>
  <si>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</si>
  <si>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</si>
  <si>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</si>
  <si>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</si>
  <si>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</si>
  <si>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</si>
  <si>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</si>
  <si>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</si>
  <si>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</si>
  <si>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</si>
  <si>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</si>
  <si>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</si>
  <si>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</si>
  <si>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</si>
  <si>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</si>
  <si>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</si>
  <si>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</si>
  <si>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</si>
  <si>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</si>
  <si>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</si>
  <si>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</si>
  <si>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</si>
  <si>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</si>
  <si>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</si>
  <si>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</si>
  <si>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</si>
  <si>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</si>
  <si>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</si>
  <si>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</si>
  <si>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</si>
  <si>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</si>
  <si>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</si>
  <si>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</si>
  <si>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</si>
  <si>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</si>
  <si>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</si>
  <si>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</si>
  <si>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</si>
  <si>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</si>
  <si>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</si>
  <si>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</si>
  <si>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</si>
  <si>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</si>
  <si>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</si>
  <si>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</si>
  <si>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</si>
  <si>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</si>
  <si>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</si>
  <si>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</si>
  <si>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</si>
  <si>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</si>
  <si>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</si>
  <si>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</si>
  <si>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</si>
  <si>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</si>
  <si>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</si>
  <si>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</si>
  <si>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</si>
  <si>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</si>
  <si>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</si>
  <si>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</si>
  <si>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</si>
  <si>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</si>
  <si>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</si>
  <si>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</si>
  <si>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</si>
  <si>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</si>
  <si>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</si>
  <si>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</si>
  <si>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</si>
  <si>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</si>
  <si>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</si>
  <si>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</si>
  <si>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</si>
  <si>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</si>
  <si>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</si>
  <si>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</si>
  <si>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</si>
  <si>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</si>
  <si>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</si>
  <si>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</si>
  <si>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</si>
  <si>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</si>
  <si>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</si>
  <si>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</si>
  <si>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</si>
  <si>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</si>
  <si>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</si>
  <si>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</si>
  <si>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</si>
  <si>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</si>
  <si>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</si>
  <si>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</si>
  <si>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</si>
  <si>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</si>
  <si>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</si>
  <si>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</si>
  <si>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</si>
  <si>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</si>
  <si>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</si>
  <si>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</si>
  <si>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</si>
  <si>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</si>
  <si>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</si>
  <si>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</si>
  <si>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</si>
  <si>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</si>
  <si>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</si>
  <si>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</si>
  <si>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</si>
  <si>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</si>
  <si>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</si>
  <si>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</si>
  <si>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</si>
  <si>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</si>
  <si>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</si>
  <si>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</si>
  <si>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</si>
  <si>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</si>
  <si>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</si>
  <si>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</si>
  <si>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</si>
  <si>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</si>
  <si>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</si>
  <si>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</si>
  <si>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</si>
  <si>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</si>
  <si>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</si>
  <si>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</si>
  <si>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</si>
  <si>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</si>
  <si>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</si>
  <si>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</si>
  <si>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</si>
  <si>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</si>
  <si>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</si>
  <si>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</si>
  <si>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</si>
  <si>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</si>
  <si>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</si>
  <si>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</si>
  <si>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</si>
  <si>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</si>
  <si>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</si>
  <si>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</si>
  <si>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</si>
  <si>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</si>
  <si>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</si>
  <si>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</si>
  <si>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</si>
  <si>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</si>
  <si>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</si>
  <si>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</si>
  <si>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</si>
  <si>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</si>
  <si>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</si>
  <si>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</si>
  <si>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</si>
  <si>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</si>
  <si>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</si>
  <si>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</si>
  <si>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</si>
  <si>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</si>
  <si>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</si>
  <si>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</si>
  <si>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</si>
  <si>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</si>
  <si>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</si>
  <si>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</si>
  <si>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</si>
  <si>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</si>
  <si>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</si>
  <si>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</si>
  <si>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</si>
  <si>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</si>
  <si>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</si>
  <si>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</si>
  <si>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</si>
  <si>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</si>
  <si>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</si>
  <si>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</si>
  <si>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</si>
  <si>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</si>
  <si>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</si>
  <si>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</si>
  <si>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</si>
  <si>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</si>
  <si>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</si>
  <si>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</si>
  <si>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</si>
  <si>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</si>
  <si>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</si>
  <si>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</si>
  <si>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</si>
  <si>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</si>
  <si>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</si>
  <si>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</si>
  <si>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</si>
  <si>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</si>
  <si>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</si>
  <si>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</si>
  <si>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</si>
  <si>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</si>
  <si>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</si>
  <si>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</si>
  <si>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</si>
  <si>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</si>
  <si>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</si>
  <si>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</si>
  <si>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</si>
  <si>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</si>
  <si>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</si>
  <si>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</si>
  <si>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</si>
  <si>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</si>
  <si>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</si>
  <si>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</si>
  <si>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</si>
  <si>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</si>
  <si>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</si>
  <si>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</si>
  <si>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</si>
  <si>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</si>
  <si>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</si>
  <si>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</si>
  <si>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</si>
  <si>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</si>
  <si>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</si>
  <si>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</si>
  <si>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</si>
  <si>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</si>
  <si>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</si>
  <si>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</si>
  <si>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</si>
  <si>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</si>
  <si>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</si>
  <si>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</si>
  <si>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</si>
  <si>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</si>
  <si>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</si>
  <si>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</si>
  <si>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</si>
  <si>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</si>
  <si>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</si>
  <si>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</si>
  <si>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</si>
  <si>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</si>
  <si>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</si>
  <si>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</si>
  <si>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</si>
  <si>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</si>
  <si>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</si>
  <si>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</si>
  <si>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</si>
  <si>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</si>
  <si>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</si>
  <si>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</si>
  <si>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</si>
  <si>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</si>
  <si>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</si>
  <si>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</si>
  <si>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</si>
  <si>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</si>
  <si>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</si>
  <si>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</si>
  <si>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</si>
  <si>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</si>
  <si>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</si>
  <si>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</si>
  <si>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</si>
  <si>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</si>
  <si>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</si>
  <si>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</si>
  <si>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</si>
  <si>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</si>
  <si>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</si>
  <si>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</si>
  <si>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</si>
  <si>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</si>
  <si>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</si>
  <si>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</si>
  <si>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</si>
  <si>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</si>
  <si>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</si>
  <si>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</si>
  <si>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</si>
  <si>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</si>
  <si>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</si>
  <si>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</si>
  <si>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</si>
  <si>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</si>
  <si>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</si>
  <si>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</si>
  <si>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</si>
  <si>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</si>
  <si>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</si>
  <si>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</si>
  <si>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</si>
  <si>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</si>
  <si>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</si>
  <si>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</si>
  <si>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</si>
  <si>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</si>
  <si>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</si>
  <si>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</si>
  <si>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</si>
  <si>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</si>
  <si>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</si>
  <si>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</si>
  <si>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</si>
  <si>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</si>
  <si>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</si>
  <si>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</si>
  <si>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</si>
  <si>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</si>
  <si>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</si>
  <si>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</si>
  <si>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</si>
  <si>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</si>
  <si>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</si>
  <si>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</si>
  <si>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</si>
  <si>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</si>
  <si>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</si>
  <si>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</si>
  <si>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</si>
  <si>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</si>
  <si>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</si>
  <si>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</si>
  <si>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</si>
  <si>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</si>
  <si>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</si>
  <si>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</si>
  <si>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</si>
  <si>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</si>
  <si>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</si>
  <si>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</si>
  <si>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</si>
  <si>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</si>
  <si>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</si>
  <si>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</si>
  <si>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</si>
  <si>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</si>
  <si>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</si>
  <si>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</si>
  <si>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</si>
  <si>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</si>
  <si>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</si>
  <si>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</si>
  <si>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</si>
  <si>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</si>
  <si>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</si>
  <si>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</si>
  <si>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</si>
  <si>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</si>
  <si>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</si>
  <si>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</si>
  <si>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</si>
  <si>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</si>
  <si>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</si>
  <si>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</si>
  <si>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</si>
  <si>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</si>
  <si>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</si>
  <si>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</si>
  <si>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</si>
  <si>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</si>
  <si>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</si>
  <si>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</si>
  <si>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</si>
  <si>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</si>
  <si>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</si>
  <si>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</si>
  <si>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</si>
  <si>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</si>
  <si>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</si>
  <si>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</si>
  <si>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</si>
  <si>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</si>
  <si>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</si>
  <si>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</si>
  <si>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</si>
  <si>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</si>
  <si>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</si>
  <si>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</si>
  <si>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</si>
  <si>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</si>
  <si>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</si>
  <si>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</si>
  <si>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</si>
  <si>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</si>
  <si>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</si>
  <si>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</si>
  <si>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</si>
  <si>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</si>
  <si>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</si>
  <si>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</si>
  <si>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</si>
  <si>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</si>
  <si>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</si>
  <si>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</si>
  <si>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</si>
  <si>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</si>
  <si>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</si>
  <si>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</si>
  <si>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</si>
  <si>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</si>
  <si>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</si>
  <si>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</si>
  <si>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</si>
  <si>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</si>
  <si>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</si>
  <si>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</si>
  <si>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</si>
  <si>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</si>
  <si>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</si>
  <si>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</si>
  <si>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</si>
  <si>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</si>
  <si>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</si>
  <si>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</si>
  <si>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</si>
  <si>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</si>
  <si>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</si>
  <si>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</si>
  <si>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</si>
  <si>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</si>
  <si>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</si>
  <si>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</si>
  <si>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</si>
  <si>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</si>
  <si>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</si>
  <si>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</si>
  <si>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</si>
  <si>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</si>
  <si>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</si>
  <si>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</si>
  <si>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</si>
  <si>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</si>
  <si>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</si>
  <si>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</si>
  <si>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</si>
  <si>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</si>
  <si>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</si>
  <si>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</si>
  <si>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</si>
  <si>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</si>
  <si>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</si>
  <si>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</si>
  <si>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</si>
  <si>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</si>
  <si>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</si>
  <si>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</si>
  <si>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</si>
  <si>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</si>
  <si>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</si>
  <si>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</si>
  <si>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</si>
  <si>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</si>
  <si>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</si>
  <si>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</si>
  <si>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</si>
  <si>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</si>
  <si>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</si>
  <si>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</si>
  <si>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</si>
  <si>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</si>
  <si>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</si>
  <si>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</si>
  <si>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</si>
  <si>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</si>
  <si>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</si>
  <si>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</si>
  <si>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</si>
  <si>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</si>
  <si>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</si>
  <si>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</si>
  <si>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</si>
  <si>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</si>
  <si>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</si>
  <si>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</si>
  <si>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</si>
  <si>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</si>
  <si>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</si>
  <si>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</si>
  <si>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</si>
  <si>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</si>
  <si>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</si>
  <si>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</si>
  <si>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</si>
  <si>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</si>
  <si>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</si>
  <si>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</si>
  <si>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</si>
  <si>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</si>
  <si>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</si>
  <si>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</si>
  <si>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</si>
  <si>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</si>
  <si>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</si>
  <si>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</si>
  <si>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</si>
  <si>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</si>
  <si>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</si>
  <si>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</si>
  <si>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</si>
  <si>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</si>
  <si>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</si>
  <si>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</si>
  <si>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</si>
  <si>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</si>
  <si>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</si>
  <si>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</si>
  <si>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</si>
  <si>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</si>
  <si>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</si>
  <si>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</si>
  <si>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</si>
  <si>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</si>
  <si>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</si>
  <si>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</si>
  <si>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</si>
  <si>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</si>
  <si>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</si>
  <si>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</si>
  <si>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</si>
  <si>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</si>
  <si>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</si>
  <si>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</si>
  <si>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</si>
  <si>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</si>
  <si>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</si>
  <si>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</si>
  <si>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</si>
  <si>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</si>
  <si>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</si>
  <si>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</si>
  <si>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</si>
  <si>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</si>
  <si>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</si>
  <si>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</si>
  <si>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</si>
  <si>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</si>
  <si>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</si>
  <si>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</si>
  <si>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</si>
  <si>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</si>
  <si>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</si>
  <si>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</si>
  <si>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</si>
  <si>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</si>
  <si>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</si>
  <si>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</si>
  <si>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</si>
  <si>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</si>
  <si>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</si>
  <si>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</si>
  <si>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</si>
  <si>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</si>
  <si>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</si>
  <si>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</si>
  <si>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</si>
  <si>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</si>
  <si>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</si>
  <si>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</si>
  <si>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</si>
  <si>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</si>
  <si>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</si>
  <si>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</si>
  <si>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</si>
  <si>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</si>
  <si>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</si>
  <si>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</si>
  <si>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</si>
  <si>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</si>
  <si>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</si>
  <si>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</si>
  <si>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</si>
  <si>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</si>
  <si>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</si>
  <si>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</si>
  <si>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</si>
  <si>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</si>
  <si>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</si>
  <si>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</si>
  <si>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</si>
  <si>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</si>
  <si>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</si>
  <si>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</si>
  <si>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</si>
  <si>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</si>
  <si>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</si>
  <si>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</si>
  <si>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</si>
  <si>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</si>
  <si>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</si>
  <si>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</si>
  <si>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</si>
  <si>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</si>
  <si>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</si>
  <si>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</si>
  <si>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</si>
  <si>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</si>
  <si>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</si>
  <si>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</si>
  <si>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</si>
  <si>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</si>
  <si>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</si>
  <si>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</si>
  <si>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</si>
  <si>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</si>
  <si>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</si>
  <si>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</si>
  <si>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</si>
  <si>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</si>
  <si>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</si>
  <si>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</si>
  <si>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</si>
  <si>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</si>
  <si>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</si>
  <si>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</si>
  <si>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</si>
  <si>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</si>
  <si>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</si>
  <si>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</si>
  <si>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</si>
  <si>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</si>
  <si>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</si>
  <si>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</si>
  <si>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</si>
  <si>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</si>
  <si>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</si>
  <si>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</si>
  <si>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</si>
  <si>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</si>
  <si>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</si>
  <si>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</si>
  <si>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</si>
  <si>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</si>
  <si>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</si>
  <si>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</si>
  <si>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</si>
  <si>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</si>
  <si>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</si>
  <si>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</si>
  <si>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</si>
  <si>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</si>
  <si>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</si>
  <si>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</si>
  <si>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</si>
  <si>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</si>
  <si>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</si>
  <si>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</si>
  <si>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</si>
  <si>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</si>
  <si>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</si>
  <si>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</si>
  <si>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</si>
  <si>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</si>
  <si>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U/P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</si>
  <si>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</si>
  <si>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</si>
  <si>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</si>
  <si>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</si>
  <si>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</si>
  <si>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</si>
  <si>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</si>
  <si>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</si>
  <si>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</si>
  <si>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</si>
  <si>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</si>
  <si>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</si>
  <si>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</si>
  <si>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</si>
  <si>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</si>
  <si>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</si>
  <si>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</si>
  <si>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</si>
  <si>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</si>
  <si>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</si>
  <si>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</si>
  <si>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</si>
  <si>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</si>
  <si>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</si>
  <si>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</si>
  <si>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</si>
  <si>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</si>
  <si>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</si>
  <si>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</si>
  <si>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</si>
  <si>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</si>
  <si>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</si>
  <si>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</si>
  <si>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</si>
  <si>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28/2/2026</t>
  </si>
  <si>
    <t>27/2/2026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</si>
  <si>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</si>
  <si>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</si>
  <si>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</si>
  <si>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</si>
  <si>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</si>
  <si>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</si>
  <si>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</si>
  <si>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</si>
  <si>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</si>
  <si>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</si>
  <si>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Shree Shyam Construction/Yash</t>
  </si>
  <si>
    <t>Progress of Current Month (March'26)</t>
  </si>
  <si>
    <t>Conductor Paying out insection AP8D/0 to 8C/0 (33KV Shutdown)</t>
  </si>
  <si>
    <t xml:space="preserve">
1/0 Excavation U/P
4/1  RCC U/P 
4/2 RCC U/P 
6/4 Excavation Completed
</t>
  </si>
  <si>
    <t xml:space="preserve">13/1 to 13/0 and 13/0 to 12/0 Paying out arrangement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</si>
</sst>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7" fillId="0" borderId="18"/>
    <xf numFmtId="0" fontId="36" fillId="0" borderId="18"/>
    <xf numFmtId="0" fontId="7" fillId="0" borderId="18"/>
    <xf numFmtId="0" fontId="37" fillId="0" borderId="18"/>
    <xf numFmtId="185" fontId="7" fillId="0" borderId="18"/>
    <xf numFmtId="185" fontId="37" fillId="0" borderId="18"/>
    <xf numFmtId="0" fontId="7" fillId="0" borderId="18"/>
    <xf numFmtId="0" fontId="37" fillId="0" borderId="18"/>
    <xf numFmtId="0" fontId="37" fillId="0" borderId="18"/>
    <xf numFmtId="0" fontId="39" fillId="0" borderId="18"/>
    <xf numFmtId="0" fontId="37" fillId="0" borderId="18"/>
    <xf numFmtId="0" fontId="37" fillId="0" borderId="18"/>
    <xf numFmtId="0" fontId="7" fillId="0" borderId="18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50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48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54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7" borderId="18" applyNumberFormat="0" applyBorder="0" applyAlignment="0" applyProtection="0"/>
    <xf numFmtId="0" fontId="42" fillId="57" borderId="18" applyNumberFormat="0" applyBorder="0" applyAlignment="0" applyProtection="0"/>
    <xf numFmtId="187" fontId="43" fillId="0" borderId="18" applyFont="0" applyFill="0" applyBorder="0" applyAlignment="0" applyProtection="0"/>
    <xf numFmtId="188" fontId="43" fillId="0" borderId="18" applyFont="0" applyFill="0" applyBorder="0" applyAlignment="0" applyProtection="0"/>
    <xf numFmtId="0" fontId="44" fillId="0" borderId="18"/>
    <xf numFmtId="0" fontId="44" fillId="0" borderId="18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189" fontId="43" fillId="0" borderId="18" applyFont="0" applyFill="0" applyBorder="0" applyAlignment="0" applyProtection="0"/>
    <xf numFmtId="190" fontId="43" fillId="0" borderId="18" applyFont="0" applyFill="0" applyBorder="0" applyAlignment="0" applyProtection="0"/>
    <xf numFmtId="191" fontId="41" fillId="0" borderId="88">
      <protection locked="0"/>
    </xf>
    <xf numFmtId="0" fontId="45" fillId="29" borderId="18" applyNumberFormat="0" applyBorder="0" applyAlignment="0" applyProtection="0"/>
    <xf numFmtId="0" fontId="46" fillId="58" borderId="18" applyNumberFormat="0" applyBorder="0" applyAlignment="0" applyProtection="0"/>
    <xf numFmtId="0" fontId="46" fillId="58" borderId="18" applyNumberFormat="0" applyBorder="0" applyAlignment="0" applyProtection="0"/>
    <xf numFmtId="38" fontId="47" fillId="0" borderId="18" applyFill="0" applyBorder="0" applyAlignment="0" applyProtection="0"/>
    <xf numFmtId="0" fontId="48" fillId="0" borderId="18"/>
    <xf numFmtId="0" fontId="49" fillId="59" borderId="89" applyNumberFormat="0" applyAlignment="0" applyProtection="0"/>
    <xf numFmtId="0" fontId="50" fillId="60" borderId="89" applyNumberFormat="0" applyAlignment="0" applyProtection="0"/>
    <xf numFmtId="0" fontId="50" fillId="60" borderId="89" applyNumberFormat="0" applyAlignment="0" applyProtection="0"/>
    <xf numFmtId="0" fontId="51" fillId="61" borderId="90" applyNumberFormat="0" applyAlignment="0" applyProtection="0"/>
    <xf numFmtId="0" fontId="51" fillId="48" borderId="90" applyNumberFormat="0" applyAlignment="0" applyProtection="0"/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1" fontId="52" fillId="0" borderId="91" applyNumberFormat="0" applyBorder="0" applyAlignment="0" applyProtection="0">
      <protection locked="0"/>
    </xf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0" fontId="57" fillId="30" borderId="18" applyNumberFormat="0" applyBorder="0" applyAlignment="0" applyProtection="0"/>
    <xf numFmtId="0" fontId="57" fillId="51" borderId="18" applyNumberFormat="0" applyBorder="0" applyAlignment="0" applyProtection="0"/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60" fillId="0" borderId="94" applyNumberFormat="0" applyFill="0" applyAlignment="0" applyProtection="0"/>
    <xf numFmtId="0" fontId="61" fillId="0" borderId="95" applyNumberFormat="0" applyFill="0" applyAlignment="0" applyProtection="0"/>
    <xf numFmtId="0" fontId="61" fillId="0" borderId="95" applyNumberFormat="0" applyFill="0" applyAlignment="0" applyProtection="0"/>
    <xf numFmtId="0" fontId="62" fillId="0" borderId="96" applyNumberFormat="0" applyFill="0" applyAlignment="0" applyProtection="0"/>
    <xf numFmtId="0" fontId="63" fillId="0" borderId="96" applyNumberFormat="0" applyFill="0" applyAlignment="0" applyProtection="0"/>
    <xf numFmtId="0" fontId="63" fillId="0" borderId="96" applyNumberFormat="0" applyFill="0" applyAlignment="0" applyProtection="0"/>
    <xf numFmtId="0" fontId="64" fillId="0" borderId="97" applyNumberFormat="0" applyFill="0" applyAlignment="0" applyProtection="0"/>
    <xf numFmtId="0" fontId="65" fillId="0" borderId="98" applyNumberFormat="0" applyFill="0" applyAlignment="0" applyProtection="0"/>
    <xf numFmtId="0" fontId="65" fillId="0" borderId="98" applyNumberFormat="0" applyFill="0" applyAlignment="0" applyProtection="0"/>
    <xf numFmtId="0" fontId="64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0" fontId="58" fillId="65" borderId="82" applyNumberFormat="0" applyBorder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9" fillId="0" borderId="99" applyNumberFormat="0" applyFill="0" applyAlignment="0" applyProtection="0"/>
    <xf numFmtId="0" fontId="70" fillId="0" borderId="99" applyNumberFormat="0" applyFill="0" applyAlignment="0" applyProtection="0"/>
    <xf numFmtId="0" fontId="70" fillId="0" borderId="99" applyNumberFormat="0" applyFill="0" applyAlignment="0" applyProtection="0"/>
    <xf numFmtId="195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190" fontId="37" fillId="0" borderId="18" applyFont="0" applyFill="0" applyBorder="0" applyAlignment="0" applyProtection="0"/>
    <xf numFmtId="197" fontId="37" fillId="0" borderId="18" applyFont="0" applyFill="0" applyBorder="0" applyAlignment="0" applyProtection="0"/>
    <xf numFmtId="188" fontId="37" fillId="0" borderId="18" applyFont="0" applyFill="0" applyBorder="0" applyAlignment="0" applyProtection="0"/>
    <xf numFmtId="198" fontId="37" fillId="0" borderId="18" applyFont="0" applyFill="0" applyBorder="0" applyAlignment="0" applyProtection="0"/>
    <xf numFmtId="0" fontId="71" fillId="66" borderId="18" applyNumberFormat="0" applyBorder="0" applyAlignment="0" applyProtection="0"/>
    <xf numFmtId="0" fontId="71" fillId="67" borderId="18" applyNumberFormat="0" applyBorder="0" applyAlignment="0" applyProtection="0"/>
    <xf numFmtId="0" fontId="71" fillId="67" borderId="18" applyNumberFormat="0" applyBorder="0" applyAlignment="0" applyProtection="0"/>
    <xf numFmtId="37" fontId="72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6" fillId="0" borderId="18"/>
    <xf numFmtId="0" fontId="7" fillId="0" borderId="18"/>
    <xf numFmtId="0" fontId="36" fillId="0" borderId="18"/>
    <xf numFmtId="0" fontId="7" fillId="0" borderId="18"/>
    <xf numFmtId="0" fontId="37" fillId="0" borderId="18"/>
    <xf numFmtId="0" fontId="37" fillId="0" borderId="18"/>
    <xf numFmtId="0" fontId="36" fillId="0" borderId="18"/>
    <xf numFmtId="0" fontId="36" fillId="0" borderId="18"/>
    <xf numFmtId="0" fontId="7" fillId="0" borderId="18"/>
    <xf numFmtId="0" fontId="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6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9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39" fillId="0" borderId="18"/>
    <xf numFmtId="0" fontId="7" fillId="0" borderId="18"/>
    <xf numFmtId="0" fontId="36" fillId="0" borderId="18"/>
    <xf numFmtId="0" fontId="36" fillId="0" borderId="18"/>
    <xf numFmtId="0" fontId="36" fillId="0" borderId="18"/>
    <xf numFmtId="0" fontId="40" fillId="0" borderId="18"/>
    <xf numFmtId="0" fontId="3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36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7" fillId="0" borderId="18"/>
    <xf numFmtId="0" fontId="40" fillId="0" borderId="18"/>
    <xf numFmtId="0" fontId="37" fillId="0" borderId="18"/>
    <xf numFmtId="0" fontId="36" fillId="0" borderId="18"/>
    <xf numFmtId="0" fontId="7" fillId="0" borderId="18"/>
    <xf numFmtId="0" fontId="36" fillId="0" borderId="18"/>
    <xf numFmtId="0" fontId="40" fillId="0" borderId="18"/>
    <xf numFmtId="0" fontId="37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7" fillId="0" borderId="18"/>
    <xf numFmtId="0" fontId="37" fillId="0" borderId="18"/>
    <xf numFmtId="0" fontId="37" fillId="0" borderId="18"/>
    <xf numFmtId="0" fontId="74" fillId="0" borderId="18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46" borderId="100" applyNumberFormat="0" applyAlignment="0" applyProtection="0"/>
    <xf numFmtId="0" fontId="40" fillId="46" borderId="100" applyNumberFormat="0" applyAlignment="0" applyProtection="0"/>
    <xf numFmtId="0" fontId="75" fillId="59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0" fontId="77" fillId="0" borderId="18" applyNumberFormat="0" applyFill="0" applyBorder="0" applyAlignment="0" applyProtection="0"/>
    <xf numFmtId="0" fontId="78" fillId="0" borderId="18" applyNumberFormat="0" applyFill="0" applyBorder="0" applyAlignment="0" applyProtection="0">
      <alignment vertical="top"/>
      <protection locked="0"/>
    </xf>
    <xf numFmtId="0" fontId="47" fillId="0" borderId="18"/>
    <xf numFmtId="0" fontId="37" fillId="0" borderId="18"/>
    <xf numFmtId="0" fontId="37" fillId="0" borderId="18"/>
    <xf numFmtId="40" fontId="79" fillId="0" borderId="18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38" fillId="0" borderId="102" applyNumberFormat="0" applyFill="0" applyAlignment="0" applyProtection="0"/>
    <xf numFmtId="0" fontId="38" fillId="0" borderId="103" applyNumberFormat="0" applyFill="0" applyAlignment="0" applyProtection="0"/>
    <xf numFmtId="0" fontId="38" fillId="0" borderId="103" applyNumberFormat="0" applyFill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9" fontId="82" fillId="0" borderId="18" applyFont="0" applyFill="0" applyBorder="0" applyAlignment="0" applyProtection="0"/>
    <xf numFmtId="0" fontId="82" fillId="0" borderId="18"/>
    <xf numFmtId="0" fontId="84" fillId="0" borderId="18"/>
    <xf numFmtId="0" fontId="84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7" borderId="18" applyNumberFormat="0" applyBorder="0" applyAlignment="0" applyProtection="0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85" fillId="69" borderId="105" applyNumberFormat="0"/>
    <xf numFmtId="0" fontId="86" fillId="59" borderId="89" applyNumberFormat="0" applyAlignment="0" applyProtection="0"/>
    <xf numFmtId="0" fontId="50" fillId="60" borderId="89" applyNumberFormat="0" applyAlignment="0" applyProtection="0"/>
    <xf numFmtId="0" fontId="86" fillId="59" borderId="89" applyNumberFormat="0" applyAlignment="0" applyProtection="0"/>
    <xf numFmtId="0" fontId="49" fillId="59" borderId="89" applyNumberFormat="0" applyAlignment="0" applyProtection="0"/>
    <xf numFmtId="0" fontId="86" fillId="59" borderId="89" applyNumberFormat="0" applyAlignment="0" applyProtection="0"/>
    <xf numFmtId="0" fontId="87" fillId="70" borderId="106">
      <alignment horizontal="center"/>
    </xf>
    <xf numFmtId="0" fontId="88" fillId="0" borderId="18"/>
    <xf numFmtId="0" fontId="89" fillId="0" borderId="18">
      <alignment vertical="center"/>
    </xf>
    <xf numFmtId="202" fontId="90" fillId="71" borderId="107">
      <alignment horizontal="center"/>
    </xf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38" fontId="92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84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7" fillId="0" borderId="18"/>
    <xf numFmtId="0" fontId="37" fillId="0" borderId="18"/>
    <xf numFmtId="205" fontId="37" fillId="0" borderId="18">
      <protection locked="0"/>
    </xf>
    <xf numFmtId="205" fontId="37" fillId="0" borderId="18">
      <protection locked="0"/>
    </xf>
    <xf numFmtId="205" fontId="37" fillId="0" borderId="18">
      <protection locked="0"/>
    </xf>
    <xf numFmtId="0" fontId="83" fillId="0" borderId="18"/>
    <xf numFmtId="44" fontId="37" fillId="0" borderId="18" applyFont="0" applyFill="0" applyBorder="0" applyAlignment="0" applyProtection="0"/>
    <xf numFmtId="44" fontId="37" fillId="0" borderId="18" applyFont="0" applyFill="0" applyBorder="0" applyAlignment="0" applyProtection="0"/>
    <xf numFmtId="206" fontId="37" fillId="0" borderId="18">
      <protection locked="0"/>
    </xf>
    <xf numFmtId="206" fontId="37" fillId="0" borderId="18">
      <protection locked="0"/>
    </xf>
    <xf numFmtId="206" fontId="37" fillId="0" borderId="18">
      <protection locked="0"/>
    </xf>
    <xf numFmtId="0" fontId="93" fillId="0" borderId="18">
      <protection locked="0"/>
    </xf>
    <xf numFmtId="207" fontId="37" fillId="0" borderId="18" applyFont="0" applyFill="0" applyBorder="0" applyAlignment="0" applyProtection="0"/>
    <xf numFmtId="208" fontId="37" fillId="0" borderId="18" applyFont="0" applyFill="0" applyBorder="0" applyAlignment="0" applyProtection="0"/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37" fillId="72" borderId="82" applyNumberFormat="0"/>
    <xf numFmtId="0" fontId="94" fillId="73" borderId="108" applyNumberFormat="0" applyAlignment="0">
      <alignment horizontal="center"/>
    </xf>
    <xf numFmtId="209" fontId="37" fillId="0" borderId="18" applyFont="0" applyFill="0" applyBorder="0" applyAlignment="0" applyProtection="0"/>
    <xf numFmtId="186" fontId="37" fillId="0" borderId="18" applyFont="0" applyFill="0" applyBorder="0" applyAlignment="0" applyProtection="0"/>
    <xf numFmtId="210" fontId="37" fillId="0" borderId="18" applyFont="0" applyFill="0" applyBorder="0" applyAlignment="0" applyProtection="0"/>
    <xf numFmtId="0" fontId="37" fillId="74" borderId="18" applyNumberFormat="0" applyFont="0" applyAlignment="0"/>
    <xf numFmtId="211" fontId="37" fillId="0" borderId="18">
      <protection locked="0"/>
    </xf>
    <xf numFmtId="211" fontId="37" fillId="0" borderId="18">
      <protection locked="0"/>
    </xf>
    <xf numFmtId="211" fontId="37" fillId="0" borderId="18">
      <protection locked="0"/>
    </xf>
    <xf numFmtId="212" fontId="95" fillId="75" borderId="89"/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193" fontId="56" fillId="0" borderId="93">
      <alignment horizontal="right"/>
    </xf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37" fillId="76" borderId="107" applyNumberFormat="0" applyFont="0" applyAlignment="0"/>
    <xf numFmtId="0" fontId="96" fillId="0" borderId="18">
      <alignment horizontal="left"/>
    </xf>
    <xf numFmtId="0" fontId="97" fillId="0" borderId="18"/>
    <xf numFmtId="0" fontId="98" fillId="0" borderId="18">
      <alignment wrapText="1"/>
    </xf>
    <xf numFmtId="0" fontId="99" fillId="0" borderId="18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100" fillId="0" borderId="18"/>
    <xf numFmtId="0" fontId="59" fillId="0" borderId="18" applyNumberFormat="0" applyFill="0" applyBorder="0" applyAlignment="0"/>
    <xf numFmtId="0" fontId="100" fillId="0" borderId="18" applyNumberFormat="0" applyFill="0" applyBorder="0" applyAlignment="0"/>
    <xf numFmtId="213" fontId="101" fillId="0" borderId="18">
      <protection locked="0"/>
    </xf>
    <xf numFmtId="213" fontId="101" fillId="0" borderId="18">
      <protection locked="0"/>
    </xf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0" fontId="103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3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0" fontId="90" fillId="0" borderId="18" applyNumberFormat="0" applyFill="0" applyBorder="0">
      <alignment horizontal="left"/>
    </xf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8" fillId="77" borderId="18"/>
    <xf numFmtId="0" fontId="37" fillId="0" borderId="82" applyNumberFormat="0"/>
    <xf numFmtId="0" fontId="37" fillId="0" borderId="109" applyNumberFormat="0" applyFont="0" applyFill="0" applyAlignment="0"/>
    <xf numFmtId="0" fontId="109" fillId="0" borderId="104"/>
    <xf numFmtId="182" fontId="37" fillId="0" borderId="18" applyFont="0" applyFill="0" applyBorder="0" applyAlignment="0" applyProtection="0"/>
    <xf numFmtId="183" fontId="37" fillId="0" borderId="18" applyFont="0" applyFill="0" applyBorder="0" applyAlignment="0" applyProtection="0"/>
    <xf numFmtId="0" fontId="71" fillId="67" borderId="18" applyNumberFormat="0" applyBorder="0" applyAlignment="0" applyProtection="0"/>
    <xf numFmtId="37" fontId="72" fillId="0" borderId="18"/>
    <xf numFmtId="37" fontId="72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7" fillId="0" borderId="18"/>
    <xf numFmtId="0" fontId="34" fillId="0" borderId="18"/>
    <xf numFmtId="0" fontId="7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4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37" fillId="0" borderId="18"/>
    <xf numFmtId="0" fontId="40" fillId="0" borderId="18"/>
    <xf numFmtId="0" fontId="3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4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/>
    <xf numFmtId="0" fontId="41" fillId="0" borderId="18"/>
    <xf numFmtId="0" fontId="40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37" fillId="0" borderId="18"/>
    <xf numFmtId="0" fontId="84" fillId="0" borderId="18"/>
    <xf numFmtId="0" fontId="37" fillId="0" borderId="18"/>
    <xf numFmtId="0" fontId="84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1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1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40" fillId="0" borderId="18"/>
    <xf numFmtId="0" fontId="37" fillId="0" borderId="18"/>
    <xf numFmtId="0" fontId="40" fillId="0" borderId="18"/>
    <xf numFmtId="0" fontId="37" fillId="0" borderId="18"/>
    <xf numFmtId="0" fontId="40" fillId="0" borderId="18"/>
    <xf numFmtId="0" fontId="40" fillId="0" borderId="18"/>
    <xf numFmtId="0" fontId="40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41" fillId="0" borderId="18"/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41" fillId="0" borderId="18"/>
    <xf numFmtId="0" fontId="111" fillId="0" borderId="18"/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6" fillId="0" borderId="18"/>
    <xf numFmtId="0" fontId="36" fillId="0" borderId="18"/>
    <xf numFmtId="0" fontId="112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3" fillId="0" borderId="18"/>
    <xf numFmtId="0" fontId="7" fillId="0" borderId="18"/>
    <xf numFmtId="0" fontId="34" fillId="0" borderId="18"/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114" fillId="78" borderId="110" applyNumberFormat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115" fillId="59" borderId="101" applyNumberFormat="0" applyAlignment="0" applyProtection="0"/>
    <xf numFmtId="0" fontId="75" fillId="59" borderId="101" applyNumberFormat="0" applyAlignment="0" applyProtection="0"/>
    <xf numFmtId="0" fontId="115" fillId="59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8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9" fontId="37" fillId="0" borderId="18" applyFont="0" applyFill="0" applyBorder="0" applyAlignment="0" applyProtection="0"/>
    <xf numFmtId="0" fontId="116" fillId="79" borderId="111" applyNumberFormat="0">
      <alignment horizontal="center"/>
    </xf>
    <xf numFmtId="214" fontId="37" fillId="0" borderId="18" applyBorder="0"/>
    <xf numFmtId="0" fontId="117" fillId="77" borderId="18"/>
    <xf numFmtId="0" fontId="118" fillId="77" borderId="18"/>
    <xf numFmtId="0" fontId="119" fillId="77" borderId="18"/>
    <xf numFmtId="0" fontId="78" fillId="0" borderId="18" applyNumberFormat="0" applyFill="0" applyBorder="0" applyAlignment="0" applyProtection="0">
      <alignment vertical="top"/>
      <protection locked="0"/>
    </xf>
    <xf numFmtId="0" fontId="78" fillId="0" borderId="18" applyNumberFormat="0" applyFill="0" applyBorder="0" applyAlignment="0" applyProtection="0">
      <alignment vertical="top"/>
      <protection locked="0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09" fillId="0" borderId="18"/>
    <xf numFmtId="0" fontId="41" fillId="0" borderId="18">
      <alignment horizontal="right"/>
    </xf>
    <xf numFmtId="0" fontId="41" fillId="0" borderId="18">
      <alignment horizontal="right"/>
    </xf>
    <xf numFmtId="0" fontId="121" fillId="0" borderId="87">
      <alignment horizontal="center" vertical="top"/>
    </xf>
    <xf numFmtId="0" fontId="122" fillId="80" borderId="80" applyNumberFormat="0">
      <alignment horizontal="center" vertical="center"/>
    </xf>
    <xf numFmtId="0" fontId="90" fillId="76" borderId="107">
      <alignment horizontal="left"/>
    </xf>
    <xf numFmtId="0" fontId="58" fillId="0" borderId="112" applyNumberFormat="0" applyProtection="0"/>
    <xf numFmtId="0" fontId="37" fillId="0" borderId="18" applyProtection="0"/>
    <xf numFmtId="0" fontId="37" fillId="0" borderId="18" applyProtection="0"/>
    <xf numFmtId="0" fontId="123" fillId="0" borderId="102" applyNumberFormat="0" applyFill="0" applyAlignment="0" applyProtection="0"/>
    <xf numFmtId="0" fontId="123" fillId="0" borderId="102" applyNumberFormat="0" applyFill="0" applyAlignment="0" applyProtection="0"/>
    <xf numFmtId="0" fontId="38" fillId="0" borderId="102" applyNumberFormat="0" applyFill="0" applyAlignment="0" applyProtection="0"/>
    <xf numFmtId="0" fontId="123" fillId="0" borderId="102" applyNumberFormat="0" applyFill="0" applyAlignment="0" applyProtection="0"/>
    <xf numFmtId="179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79" fontId="124" fillId="0" borderId="18" applyFont="0" applyFill="0" applyBorder="0" applyAlignment="0" applyProtection="0"/>
    <xf numFmtId="181" fontId="124" fillId="0" borderId="18" applyFont="0" applyFill="0" applyBorder="0" applyAlignment="0" applyProtection="0"/>
    <xf numFmtId="0" fontId="90" fillId="0" borderId="18" applyNumberFormat="0"/>
    <xf numFmtId="215" fontId="124" fillId="0" borderId="18" applyFont="0" applyFill="0" applyBorder="0" applyAlignment="0" applyProtection="0"/>
    <xf numFmtId="216" fontId="37" fillId="0" borderId="18" applyFont="0" applyFill="0" applyBorder="0" applyAlignment="0" applyProtection="0"/>
    <xf numFmtId="217" fontId="124" fillId="0" borderId="18" applyFont="0" applyFill="0" applyBorder="0" applyAlignment="0" applyProtection="0"/>
    <xf numFmtId="218" fontId="37" fillId="0" borderId="18" applyFont="0" applyFill="0" applyBorder="0" applyAlignment="0" applyProtection="0"/>
    <xf numFmtId="219" fontId="37" fillId="0" borderId="18" applyFont="0" applyFill="0" applyBorder="0" applyAlignment="0" applyProtection="0"/>
    <xf numFmtId="0" fontId="125" fillId="81" borderId="113">
      <alignment horizontal="center"/>
    </xf>
    <xf numFmtId="195" fontId="37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200" fontId="126" fillId="0" borderId="18" applyFont="0" applyFill="0" applyBorder="0" applyAlignment="0" applyProtection="0"/>
    <xf numFmtId="201" fontId="126" fillId="0" borderId="18" applyFont="0" applyFill="0" applyBorder="0" applyAlignment="0" applyProtection="0"/>
    <xf numFmtId="0" fontId="127" fillId="0" borderId="18">
      <alignment vertical="center"/>
    </xf>
    <xf numFmtId="0" fontId="128" fillId="0" borderId="18"/>
    <xf numFmtId="0" fontId="7" fillId="28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0" fontId="37" fillId="0" borderId="18"/>
    <xf numFmtId="0" fontId="7" fillId="26" borderId="18" applyNumberFormat="0" applyBorder="0" applyAlignment="0" applyProtection="0"/>
    <xf numFmtId="0" fontId="7" fillId="0" borderId="18"/>
    <xf numFmtId="0" fontId="7" fillId="24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184" fontId="7" fillId="0" borderId="18" applyFont="0" applyFill="0" applyBorder="0" applyAlignment="0" applyProtection="0"/>
    <xf numFmtId="0" fontId="134" fillId="0" borderId="18">
      <alignment vertical="center"/>
    </xf>
    <xf numFmtId="0" fontId="132" fillId="0" borderId="18"/>
    <xf numFmtId="0" fontId="37" fillId="0" borderId="18"/>
    <xf numFmtId="181" fontId="37" fillId="0" borderId="18" applyFont="0" applyFill="0" applyBorder="0" applyAlignment="0" applyProtection="0"/>
    <xf numFmtId="0" fontId="37" fillId="0" borderId="18"/>
    <xf numFmtId="0" fontId="131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7" fillId="0" borderId="18"/>
    <xf numFmtId="0" fontId="7" fillId="0" borderId="18"/>
    <xf numFmtId="9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0" fontId="7" fillId="0" borderId="18"/>
    <xf numFmtId="0" fontId="36" fillId="0" borderId="18"/>
    <xf numFmtId="0" fontId="35" fillId="0" borderId="18"/>
    <xf numFmtId="9" fontId="35" fillId="0" borderId="18" applyFont="0" applyFill="0" applyBorder="0" applyAlignment="0" applyProtection="0"/>
    <xf numFmtId="164" fontId="1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9" fontId="140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7" fillId="0" borderId="18" applyFont="0" applyFill="0" applyBorder="0" applyAlignment="0" applyProtection="0"/>
    <xf numFmtId="184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84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4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181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4" fontId="7" fillId="0" borderId="18" applyFont="0" applyFill="0" applyBorder="0" applyAlignment="0" applyProtection="0"/>
  </cellStyleXfs>
  <cellXfs count="810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165" fontId="11" fillId="5" borderId="4" xfId="0" applyNumberFormat="1" applyFont="1" applyFill="1" applyBorder="1" applyAlignment="1">
      <alignment horizontal="center" vertical="center" wrapText="1"/>
    </xf>
    <xf numFmtId="168" fontId="12" fillId="5" borderId="4" xfId="0" applyNumberFormat="1" applyFont="1" applyFill="1" applyBorder="1" applyAlignment="1">
      <alignment horizontal="center" vertical="center" wrapText="1"/>
    </xf>
    <xf numFmtId="168" fontId="12" fillId="0" borderId="4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/>
    <xf numFmtId="0" fontId="10" fillId="0" borderId="8" xfId="0" applyFont="1" applyBorder="1" applyAlignment="1">
      <alignment horizontal="center" vertical="center"/>
    </xf>
    <xf numFmtId="0" fontId="10" fillId="6" borderId="4" xfId="0" applyFont="1" applyFill="1" applyBorder="1"/>
    <xf numFmtId="0" fontId="10" fillId="7" borderId="4" xfId="0" applyFont="1" applyFill="1" applyBorder="1" applyAlignment="1">
      <alignment horizontal="center" vertical="center"/>
    </xf>
    <xf numFmtId="2" fontId="10" fillId="7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9" fontId="10" fillId="0" borderId="4" xfId="0" applyNumberFormat="1" applyFont="1" applyBorder="1" applyAlignment="1">
      <alignment horizontal="center" vertical="center"/>
    </xf>
    <xf numFmtId="169" fontId="10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167" fontId="10" fillId="0" borderId="4" xfId="0" applyNumberFormat="1" applyFont="1" applyBorder="1" applyAlignment="1">
      <alignment horizontal="center" vertical="center" wrapText="1"/>
    </xf>
    <xf numFmtId="169" fontId="10" fillId="0" borderId="0" xfId="0" applyNumberFormat="1" applyFont="1" applyAlignment="1">
      <alignment vertical="center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2" fontId="10" fillId="5" borderId="4" xfId="0" applyNumberFormat="1" applyFont="1" applyFill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2" fontId="10" fillId="5" borderId="9" xfId="0" applyNumberFormat="1" applyFont="1" applyFill="1" applyBorder="1" applyAlignment="1">
      <alignment horizontal="center" vertical="center"/>
    </xf>
    <xf numFmtId="167" fontId="10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169" fontId="8" fillId="0" borderId="4" xfId="0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2" fontId="10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 vertical="center" wrapText="1"/>
    </xf>
    <xf numFmtId="2" fontId="10" fillId="10" borderId="4" xfId="0" applyNumberFormat="1" applyFont="1" applyFill="1" applyBorder="1" applyAlignment="1">
      <alignment horizontal="center" vertical="center"/>
    </xf>
    <xf numFmtId="167" fontId="10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vertical="center"/>
    </xf>
    <xf numFmtId="2" fontId="10" fillId="9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 wrapText="1"/>
    </xf>
    <xf numFmtId="2" fontId="10" fillId="3" borderId="4" xfId="0" applyNumberFormat="1" applyFont="1" applyFill="1" applyBorder="1" applyAlignment="1">
      <alignment horizontal="center" vertical="center"/>
    </xf>
    <xf numFmtId="167" fontId="10" fillId="3" borderId="4" xfId="0" applyNumberFormat="1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167" fontId="18" fillId="5" borderId="19" xfId="0" applyNumberFormat="1" applyFont="1" applyFill="1" applyBorder="1" applyAlignment="1">
      <alignment horizontal="center" vertical="center"/>
    </xf>
    <xf numFmtId="167" fontId="17" fillId="0" borderId="24" xfId="0" applyNumberFormat="1" applyFont="1" applyBorder="1" applyAlignment="1">
      <alignment horizontal="center" vertical="center"/>
    </xf>
    <xf numFmtId="1" fontId="15" fillId="5" borderId="15" xfId="0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/>
    </xf>
    <xf numFmtId="170" fontId="20" fillId="3" borderId="29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15" fontId="12" fillId="5" borderId="4" xfId="0" applyNumberFormat="1" applyFont="1" applyFill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1" fontId="21" fillId="5" borderId="4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69" fontId="15" fillId="5" borderId="15" xfId="0" applyNumberFormat="1" applyFont="1" applyFill="1" applyBorder="1" applyAlignment="1">
      <alignment horizontal="center" vertical="center" wrapText="1"/>
    </xf>
    <xf numFmtId="2" fontId="15" fillId="5" borderId="15" xfId="0" applyNumberFormat="1" applyFont="1" applyFill="1" applyBorder="1" applyAlignment="1">
      <alignment horizontal="center" vertical="center" wrapText="1"/>
    </xf>
    <xf numFmtId="1" fontId="16" fillId="5" borderId="15" xfId="0" applyNumberFormat="1" applyFont="1" applyFill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171" fontId="15" fillId="0" borderId="4" xfId="0" applyNumberFormat="1" applyFont="1" applyBorder="1" applyAlignment="1">
      <alignment horizontal="center" vertical="center" wrapText="1"/>
    </xf>
    <xf numFmtId="169" fontId="15" fillId="0" borderId="4" xfId="0" applyNumberFormat="1" applyFont="1" applyBorder="1" applyAlignment="1">
      <alignment horizontal="center" vertical="center" wrapText="1"/>
    </xf>
    <xf numFmtId="0" fontId="18" fillId="5" borderId="41" xfId="0" applyFont="1" applyFill="1" applyBorder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 wrapText="1"/>
    </xf>
    <xf numFmtId="1" fontId="15" fillId="5" borderId="42" xfId="0" applyNumberFormat="1" applyFont="1" applyFill="1" applyBorder="1" applyAlignment="1">
      <alignment horizontal="center" vertical="center" wrapText="1"/>
    </xf>
    <xf numFmtId="15" fontId="12" fillId="5" borderId="42" xfId="0" applyNumberFormat="1" applyFont="1" applyFill="1" applyBorder="1" applyAlignment="1">
      <alignment horizontal="center" vertical="center"/>
    </xf>
    <xf numFmtId="1" fontId="15" fillId="0" borderId="42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 wrapText="1"/>
    </xf>
    <xf numFmtId="0" fontId="23" fillId="11" borderId="45" xfId="0" applyFont="1" applyFill="1" applyBorder="1" applyAlignment="1">
      <alignment horizontal="center" vertical="center" wrapText="1"/>
    </xf>
    <xf numFmtId="0" fontId="23" fillId="11" borderId="46" xfId="0" applyFont="1" applyFill="1" applyBorder="1" applyAlignment="1">
      <alignment vertical="center" wrapText="1"/>
    </xf>
    <xf numFmtId="0" fontId="23" fillId="11" borderId="46" xfId="0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7" fontId="24" fillId="0" borderId="2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4" fillId="0" borderId="47" xfId="0" applyFont="1" applyBorder="1" applyAlignment="1">
      <alignment vertical="center" wrapText="1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167" fontId="24" fillId="0" borderId="24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48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167" fontId="10" fillId="0" borderId="4" xfId="0" applyNumberFormat="1" applyFont="1" applyBorder="1"/>
    <xf numFmtId="0" fontId="10" fillId="0" borderId="4" xfId="0" quotePrefix="1" applyFont="1" applyBorder="1" applyAlignment="1">
      <alignment horizontal="center" vertical="center"/>
    </xf>
    <xf numFmtId="167" fontId="27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/>
    </xf>
    <xf numFmtId="171" fontId="10" fillId="0" borderId="4" xfId="0" applyNumberFormat="1" applyFont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8" fillId="0" borderId="0" xfId="0" applyFont="1"/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0" fillId="14" borderId="15" xfId="0" applyFont="1" applyFill="1" applyBorder="1"/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14" borderId="4" xfId="0" applyFont="1" applyFill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5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14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14" borderId="6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8" fillId="0" borderId="64" xfId="0" applyNumberFormat="1" applyFont="1" applyBorder="1" applyAlignment="1">
      <alignment horizontal="center" vertical="center" wrapText="1"/>
    </xf>
    <xf numFmtId="0" fontId="8" fillId="14" borderId="6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173" fontId="10" fillId="0" borderId="55" xfId="0" applyNumberFormat="1" applyFont="1" applyBorder="1" applyAlignment="1">
      <alignment horizontal="center" vertical="center"/>
    </xf>
    <xf numFmtId="0" fontId="10" fillId="15" borderId="4" xfId="0" applyFont="1" applyFill="1" applyBorder="1"/>
    <xf numFmtId="0" fontId="29" fillId="0" borderId="4" xfId="0" applyFont="1" applyBorder="1" applyAlignment="1">
      <alignment horizontal="center" vertical="center"/>
    </xf>
    <xf numFmtId="167" fontId="10" fillId="14" borderId="4" xfId="0" applyNumberFormat="1" applyFont="1" applyFill="1" applyBorder="1"/>
    <xf numFmtId="167" fontId="10" fillId="14" borderId="4" xfId="0" applyNumberFormat="1" applyFont="1" applyFill="1" applyBorder="1" applyAlignment="1">
      <alignment horizontal="center" vertical="center"/>
    </xf>
    <xf numFmtId="167" fontId="10" fillId="14" borderId="4" xfId="0" applyNumberFormat="1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vertical="center"/>
    </xf>
    <xf numFmtId="3" fontId="10" fillId="0" borderId="64" xfId="0" applyNumberFormat="1" applyFont="1" applyBorder="1" applyAlignment="1">
      <alignment horizontal="center" vertical="center"/>
    </xf>
    <xf numFmtId="0" fontId="10" fillId="12" borderId="66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4" xfId="0" applyFont="1" applyBorder="1"/>
    <xf numFmtId="0" fontId="10" fillId="0" borderId="67" xfId="0" applyFont="1" applyBorder="1" applyAlignment="1">
      <alignment horizontal="center" vertical="center"/>
    </xf>
    <xf numFmtId="0" fontId="8" fillId="18" borderId="68" xfId="0" applyFont="1" applyFill="1" applyBorder="1" applyAlignment="1">
      <alignment horizontal="center"/>
    </xf>
    <xf numFmtId="167" fontId="8" fillId="3" borderId="4" xfId="0" applyNumberFormat="1" applyFont="1" applyFill="1" applyBorder="1"/>
    <xf numFmtId="2" fontId="8" fillId="6" borderId="4" xfId="0" applyNumberFormat="1" applyFont="1" applyFill="1" applyBorder="1" applyAlignment="1">
      <alignment horizontal="center" vertical="center"/>
    </xf>
    <xf numFmtId="0" fontId="8" fillId="0" borderId="4" xfId="0" applyFont="1" applyBorder="1"/>
    <xf numFmtId="2" fontId="8" fillId="0" borderId="4" xfId="0" applyNumberFormat="1" applyFont="1" applyBorder="1" applyAlignment="1">
      <alignment horizontal="center" vertical="center"/>
    </xf>
    <xf numFmtId="0" fontId="8" fillId="18" borderId="4" xfId="0" applyFont="1" applyFill="1" applyBorder="1"/>
    <xf numFmtId="0" fontId="8" fillId="19" borderId="4" xfId="0" applyFont="1" applyFill="1" applyBorder="1" applyAlignment="1">
      <alignment horizontal="center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8" fillId="18" borderId="69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/>
    </xf>
    <xf numFmtId="0" fontId="8" fillId="19" borderId="65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18" borderId="65" xfId="0" applyFont="1" applyFill="1" applyBorder="1" applyAlignment="1">
      <alignment horizontal="center" vertical="center" wrapText="1"/>
    </xf>
    <xf numFmtId="0" fontId="10" fillId="18" borderId="4" xfId="0" applyFont="1" applyFill="1" applyBorder="1"/>
    <xf numFmtId="0" fontId="10" fillId="18" borderId="4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/>
    </xf>
    <xf numFmtId="2" fontId="31" fillId="20" borderId="4" xfId="0" applyNumberFormat="1" applyFont="1" applyFill="1" applyBorder="1" applyAlignment="1">
      <alignment horizontal="center"/>
    </xf>
    <xf numFmtId="0" fontId="10" fillId="18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center" wrapText="1"/>
    </xf>
    <xf numFmtId="0" fontId="10" fillId="18" borderId="4" xfId="0" applyFont="1" applyFill="1" applyBorder="1" applyAlignment="1">
      <alignment horizontal="center" wrapText="1"/>
    </xf>
    <xf numFmtId="2" fontId="24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/>
    </xf>
    <xf numFmtId="169" fontId="8" fillId="0" borderId="4" xfId="0" applyNumberFormat="1" applyFont="1" applyBorder="1" applyAlignment="1">
      <alignment horizontal="center"/>
    </xf>
    <xf numFmtId="0" fontId="10" fillId="18" borderId="15" xfId="0" applyFont="1" applyFill="1" applyBorder="1"/>
    <xf numFmtId="2" fontId="10" fillId="0" borderId="0" xfId="0" applyNumberFormat="1" applyFont="1"/>
    <xf numFmtId="167" fontId="8" fillId="2" borderId="29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8" xfId="0" applyFont="1" applyBorder="1"/>
    <xf numFmtId="0" fontId="10" fillId="0" borderId="37" xfId="0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/>
    </xf>
    <xf numFmtId="0" fontId="10" fillId="0" borderId="39" xfId="0" applyFont="1" applyBorder="1"/>
    <xf numFmtId="0" fontId="8" fillId="0" borderId="38" xfId="0" applyFont="1" applyBorder="1" applyAlignment="1">
      <alignment horizont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9" fontId="8" fillId="0" borderId="42" xfId="0" applyNumberFormat="1" applyFont="1" applyBorder="1" applyAlignment="1">
      <alignment horizontal="center" vertical="center"/>
    </xf>
    <xf numFmtId="0" fontId="10" fillId="0" borderId="43" xfId="0" applyFont="1" applyBorder="1"/>
    <xf numFmtId="0" fontId="10" fillId="0" borderId="4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8" fillId="21" borderId="75" xfId="0" applyFont="1" applyFill="1" applyBorder="1" applyAlignment="1">
      <alignment horizontal="center" vertical="center"/>
    </xf>
    <xf numFmtId="175" fontId="8" fillId="21" borderId="46" xfId="0" applyNumberFormat="1" applyFont="1" applyFill="1" applyBorder="1" applyAlignment="1">
      <alignment horizontal="center" vertical="center"/>
    </xf>
    <xf numFmtId="0" fontId="14" fillId="0" borderId="0" xfId="0" applyFont="1"/>
    <xf numFmtId="0" fontId="23" fillId="22" borderId="4" xfId="0" applyFont="1" applyFill="1" applyBorder="1" applyAlignment="1">
      <alignment horizontal="center" vertical="center" wrapText="1"/>
    </xf>
    <xf numFmtId="0" fontId="23" fillId="22" borderId="65" xfId="0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/>
    </xf>
    <xf numFmtId="176" fontId="23" fillId="0" borderId="4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1" fontId="14" fillId="0" borderId="0" xfId="0" applyNumberFormat="1" applyFont="1"/>
    <xf numFmtId="176" fontId="23" fillId="0" borderId="7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1" fontId="23" fillId="0" borderId="42" xfId="0" applyNumberFormat="1" applyFont="1" applyBorder="1" applyAlignment="1">
      <alignment horizontal="center" vertical="center" wrapText="1"/>
    </xf>
    <xf numFmtId="176" fontId="23" fillId="0" borderId="4" xfId="0" applyNumberFormat="1" applyFont="1" applyBorder="1" applyAlignment="1">
      <alignment vertical="center" wrapText="1"/>
    </xf>
    <xf numFmtId="1" fontId="23" fillId="0" borderId="74" xfId="0" applyNumberFormat="1" applyFont="1" applyBorder="1" applyAlignment="1">
      <alignment horizontal="center" vertical="center" wrapText="1"/>
    </xf>
    <xf numFmtId="172" fontId="23" fillId="0" borderId="4" xfId="0" applyNumberFormat="1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center" vertical="center" wrapText="1"/>
    </xf>
    <xf numFmtId="176" fontId="23" fillId="0" borderId="42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 wrapText="1"/>
    </xf>
    <xf numFmtId="177" fontId="10" fillId="0" borderId="4" xfId="0" applyNumberFormat="1" applyFont="1" applyBorder="1"/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8" fillId="0" borderId="0" xfId="0" applyNumberFormat="1" applyFont="1"/>
    <xf numFmtId="0" fontId="34" fillId="0" borderId="4" xfId="0" applyFont="1" applyBorder="1" applyAlignment="1">
      <alignment horizontal="center" vertical="center"/>
    </xf>
    <xf numFmtId="0" fontId="7" fillId="0" borderId="18" xfId="335"/>
    <xf numFmtId="0" fontId="7" fillId="0" borderId="18" xfId="335" applyAlignment="1">
      <alignment horizontal="center" vertical="center"/>
    </xf>
    <xf numFmtId="0" fontId="7" fillId="0" borderId="127" xfId="335" applyBorder="1"/>
    <xf numFmtId="0" fontId="7" fillId="0" borderId="104" xfId="335" applyBorder="1" applyAlignment="1">
      <alignment horizontal="center" vertical="center"/>
    </xf>
    <xf numFmtId="0" fontId="7" fillId="0" borderId="104" xfId="335" applyBorder="1"/>
    <xf numFmtId="0" fontId="7" fillId="0" borderId="126" xfId="335" applyBorder="1"/>
    <xf numFmtId="0" fontId="7" fillId="0" borderId="92" xfId="335" applyBorder="1"/>
    <xf numFmtId="0" fontId="7" fillId="0" borderId="82" xfId="335" applyBorder="1" applyAlignment="1">
      <alignment horizontal="center" vertical="center"/>
    </xf>
    <xf numFmtId="171" fontId="7" fillId="0" borderId="18" xfId="335" applyNumberFormat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7" fillId="0" borderId="18" xfId="335" applyAlignment="1">
      <alignment horizontal="center"/>
    </xf>
    <xf numFmtId="0" fontId="135" fillId="0" borderId="18" xfId="335" applyFont="1"/>
    <xf numFmtId="0" fontId="135" fillId="0" borderId="91" xfId="335" applyFont="1" applyBorder="1"/>
    <xf numFmtId="0" fontId="7" fillId="0" borderId="91" xfId="335" applyBorder="1"/>
    <xf numFmtId="1" fontId="7" fillId="0" borderId="18" xfId="335" applyNumberFormat="1" applyAlignment="1">
      <alignment horizontal="right" vertical="center"/>
    </xf>
    <xf numFmtId="0" fontId="7" fillId="0" borderId="82" xfId="335" applyBorder="1"/>
    <xf numFmtId="0" fontId="133" fillId="0" borderId="82" xfId="335" applyFont="1" applyBorder="1" applyAlignment="1">
      <alignment horizontal="center"/>
    </xf>
    <xf numFmtId="0" fontId="133" fillId="87" borderId="82" xfId="335" applyFont="1" applyFill="1" applyBorder="1" applyAlignment="1">
      <alignment horizontal="center"/>
    </xf>
    <xf numFmtId="171" fontId="7" fillId="0" borderId="18" xfId="335" applyNumberFormat="1" applyAlignment="1">
      <alignment horizontal="left" vertical="center"/>
    </xf>
    <xf numFmtId="0" fontId="136" fillId="87" borderId="82" xfId="335" applyFont="1" applyFill="1" applyBorder="1" applyAlignment="1">
      <alignment horizontal="center" vertical="center"/>
    </xf>
    <xf numFmtId="0" fontId="135" fillId="0" borderId="87" xfId="335" applyFont="1" applyBorder="1"/>
    <xf numFmtId="0" fontId="7" fillId="0" borderId="18" xfId="335" applyAlignment="1">
      <alignment horizontal="left" vertical="center"/>
    </xf>
    <xf numFmtId="0" fontId="133" fillId="0" borderId="18" xfId="335" applyFont="1" applyAlignment="1">
      <alignment horizontal="center"/>
    </xf>
    <xf numFmtId="0" fontId="7" fillId="0" borderId="120" xfId="335" applyBorder="1" applyAlignment="1">
      <alignment horizontal="center" vertical="center"/>
    </xf>
    <xf numFmtId="0" fontId="33" fillId="0" borderId="18" xfId="335" applyFont="1" applyAlignment="1">
      <alignment horizontal="center"/>
    </xf>
    <xf numFmtId="0" fontId="33" fillId="0" borderId="18" xfId="335" applyFont="1" applyAlignment="1">
      <alignment horizontal="center" vertical="center"/>
    </xf>
    <xf numFmtId="1" fontId="33" fillId="0" borderId="18" xfId="335" applyNumberFormat="1" applyFont="1" applyAlignment="1">
      <alignment horizontal="center" vertical="center"/>
    </xf>
    <xf numFmtId="0" fontId="33" fillId="0" borderId="18" xfId="335" applyFont="1"/>
    <xf numFmtId="0" fontId="138" fillId="0" borderId="18" xfId="335" applyFont="1" applyAlignment="1">
      <alignment horizontal="center"/>
    </xf>
    <xf numFmtId="0" fontId="33" fillId="87" borderId="82" xfId="335" applyFont="1" applyFill="1" applyBorder="1"/>
    <xf numFmtId="0" fontId="33" fillId="0" borderId="82" xfId="335" applyFont="1" applyBorder="1"/>
    <xf numFmtId="1" fontId="33" fillId="0" borderId="18" xfId="335" applyNumberFormat="1" applyFont="1" applyAlignment="1">
      <alignment horizontal="right" vertical="center"/>
    </xf>
    <xf numFmtId="0" fontId="136" fillId="82" borderId="82" xfId="335" applyFont="1" applyFill="1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0" fontId="33" fillId="0" borderId="104" xfId="335" applyFont="1" applyBorder="1" applyAlignment="1">
      <alignment horizontal="center"/>
    </xf>
    <xf numFmtId="2" fontId="7" fillId="0" borderId="18" xfId="335" applyNumberFormat="1" applyAlignment="1">
      <alignment horizontal="center"/>
    </xf>
    <xf numFmtId="2" fontId="33" fillId="0" borderId="18" xfId="335" applyNumberFormat="1" applyFont="1" applyAlignment="1">
      <alignment horizontal="center"/>
    </xf>
    <xf numFmtId="0" fontId="33" fillId="0" borderId="104" xfId="335" applyFont="1" applyBorder="1" applyAlignment="1">
      <alignment horizontal="center" vertical="center"/>
    </xf>
    <xf numFmtId="1" fontId="33" fillId="0" borderId="18" xfId="335" applyNumberFormat="1" applyFont="1"/>
    <xf numFmtId="1" fontId="138" fillId="0" borderId="18" xfId="335" applyNumberFormat="1" applyFont="1" applyAlignment="1">
      <alignment horizontal="center"/>
    </xf>
    <xf numFmtId="0" fontId="33" fillId="89" borderId="18" xfId="335" applyFont="1" applyFill="1" applyAlignment="1">
      <alignment horizontal="center"/>
    </xf>
    <xf numFmtId="0" fontId="7" fillId="89" borderId="18" xfId="335" applyFill="1" applyAlignment="1">
      <alignment horizontal="center" vertical="center"/>
    </xf>
    <xf numFmtId="0" fontId="33" fillId="89" borderId="18" xfId="335" applyFont="1" applyFill="1" applyAlignment="1">
      <alignment horizontal="center" vertical="center"/>
    </xf>
    <xf numFmtId="1" fontId="33" fillId="0" borderId="18" xfId="335" applyNumberFormat="1" applyFont="1" applyAlignment="1">
      <alignment horizontal="center"/>
    </xf>
    <xf numFmtId="1" fontId="7" fillId="0" borderId="18" xfId="335" applyNumberFormat="1"/>
    <xf numFmtId="0" fontId="138" fillId="87" borderId="82" xfId="335" applyFont="1" applyFill="1" applyBorder="1" applyAlignment="1">
      <alignment horizontal="center"/>
    </xf>
    <xf numFmtId="2" fontId="33" fillId="89" borderId="18" xfId="335" applyNumberFormat="1" applyFont="1" applyFill="1" applyAlignment="1">
      <alignment horizontal="center"/>
    </xf>
    <xf numFmtId="0" fontId="33" fillId="88" borderId="18" xfId="335" applyFont="1" applyFill="1" applyAlignment="1">
      <alignment horizontal="center" vertical="center"/>
    </xf>
    <xf numFmtId="0" fontId="33" fillId="88" borderId="18" xfId="335" applyFont="1" applyFill="1" applyAlignment="1">
      <alignment horizontal="center"/>
    </xf>
    <xf numFmtId="0" fontId="139" fillId="87" borderId="82" xfId="335" applyFont="1" applyFill="1" applyBorder="1" applyAlignment="1">
      <alignment horizontal="center" vertical="center"/>
    </xf>
    <xf numFmtId="2" fontId="33" fillId="88" borderId="18" xfId="335" applyNumberFormat="1" applyFont="1" applyFill="1" applyAlignment="1">
      <alignment horizontal="center"/>
    </xf>
    <xf numFmtId="0" fontId="7" fillId="87" borderId="82" xfId="335" applyFill="1" applyBorder="1"/>
    <xf numFmtId="0" fontId="33" fillId="0" borderId="18" xfId="335" applyFont="1" applyAlignment="1">
      <alignment horizontal="right" vertical="center"/>
    </xf>
    <xf numFmtId="0" fontId="33" fillId="0" borderId="18" xfId="335" quotePrefix="1" applyFont="1" applyAlignment="1">
      <alignment horizontal="center" vertical="center"/>
    </xf>
    <xf numFmtId="0" fontId="33" fillId="0" borderId="18" xfId="335" applyFont="1" applyAlignment="1">
      <alignment vertical="center"/>
    </xf>
    <xf numFmtId="1" fontId="33" fillId="0" borderId="18" xfId="335" applyNumberFormat="1" applyFont="1" applyAlignment="1">
      <alignment horizontal="left" vertical="center"/>
    </xf>
    <xf numFmtId="0" fontId="7" fillId="88" borderId="18" xfId="335" applyFill="1" applyAlignment="1">
      <alignment horizontal="center" vertical="center"/>
    </xf>
    <xf numFmtId="1" fontId="33" fillId="88" borderId="18" xfId="335" applyNumberFormat="1" applyFont="1" applyFill="1" applyAlignment="1">
      <alignment horizontal="center" vertical="center"/>
    </xf>
    <xf numFmtId="16" fontId="33" fillId="0" borderId="18" xfId="335" applyNumberFormat="1" applyFont="1" applyAlignment="1">
      <alignment horizontal="center"/>
    </xf>
    <xf numFmtId="0" fontId="8" fillId="90" borderId="18" xfId="0" applyFont="1" applyFill="1" applyBorder="1" applyAlignment="1">
      <alignment horizontal="center" wrapText="1"/>
    </xf>
    <xf numFmtId="0" fontId="140" fillId="90" borderId="18" xfId="0" applyFont="1" applyFill="1" applyBorder="1" applyAlignment="1">
      <alignment wrapText="1"/>
    </xf>
    <xf numFmtId="0" fontId="6" fillId="0" borderId="18" xfId="335" applyFont="1"/>
    <xf numFmtId="0" fontId="140" fillId="0" borderId="18" xfId="0" applyFont="1" applyBorder="1" applyAlignment="1">
      <alignment wrapText="1"/>
    </xf>
    <xf numFmtId="0" fontId="10" fillId="0" borderId="82" xfId="0" applyFont="1" applyBorder="1" applyAlignment="1">
      <alignment horizontal="center" vertical="center" wrapText="1"/>
    </xf>
    <xf numFmtId="0" fontId="140" fillId="0" borderId="82" xfId="0" applyFont="1" applyBorder="1" applyAlignment="1">
      <alignment vertical="center" wrapText="1"/>
    </xf>
    <xf numFmtId="177" fontId="8" fillId="0" borderId="11" xfId="0" applyNumberFormat="1" applyFont="1" applyBorder="1" applyAlignment="1">
      <alignment horizontal="center" vertical="center" wrapText="1"/>
    </xf>
    <xf numFmtId="220" fontId="10" fillId="0" borderId="4" xfId="0" applyNumberFormat="1" applyFont="1" applyBorder="1"/>
    <xf numFmtId="0" fontId="15" fillId="5" borderId="15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5" borderId="44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176" fontId="24" fillId="0" borderId="74" xfId="0" applyNumberFormat="1" applyFont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92" borderId="18" xfId="335" applyFont="1" applyFill="1" applyAlignment="1">
      <alignment horizontal="center" vertical="center"/>
    </xf>
    <xf numFmtId="0" fontId="33" fillId="92" borderId="18" xfId="335" applyFont="1" applyFill="1" applyAlignment="1">
      <alignment horizontal="center"/>
    </xf>
    <xf numFmtId="2" fontId="33" fillId="92" borderId="18" xfId="335" applyNumberFormat="1" applyFont="1" applyFill="1" applyAlignment="1">
      <alignment horizontal="center"/>
    </xf>
    <xf numFmtId="0" fontId="7" fillId="92" borderId="18" xfId="335" applyFill="1" applyAlignment="1">
      <alignment horizontal="center" vertical="center"/>
    </xf>
    <xf numFmtId="0" fontId="7" fillId="92" borderId="18" xfId="335" applyFill="1" applyAlignment="1">
      <alignment horizontal="center"/>
    </xf>
    <xf numFmtId="0" fontId="138" fillId="92" borderId="18" xfId="335" applyFont="1" applyFill="1" applyAlignment="1">
      <alignment horizontal="center"/>
    </xf>
    <xf numFmtId="0" fontId="33" fillId="92" borderId="104" xfId="335" applyFont="1" applyFill="1" applyBorder="1" applyAlignment="1">
      <alignment horizontal="center" vertical="center"/>
    </xf>
    <xf numFmtId="0" fontId="138" fillId="0" borderId="82" xfId="335" applyFont="1" applyBorder="1" applyAlignment="1">
      <alignment horizontal="center"/>
    </xf>
    <xf numFmtId="0" fontId="138" fillId="0" borderId="18" xfId="335" applyFont="1"/>
    <xf numFmtId="0" fontId="7" fillId="92" borderId="18" xfId="335" applyFill="1"/>
    <xf numFmtId="2" fontId="5" fillId="0" borderId="18" xfId="0" applyNumberFormat="1" applyFont="1" applyBorder="1" applyAlignment="1">
      <alignment horizontal="center" vertical="center"/>
    </xf>
    <xf numFmtId="2" fontId="33" fillId="0" borderId="18" xfId="0" applyNumberFormat="1" applyFont="1" applyBorder="1" applyAlignment="1">
      <alignment horizontal="center" vertical="center"/>
    </xf>
    <xf numFmtId="0" fontId="7" fillId="0" borderId="128" xfId="335" applyBorder="1" applyAlignment="1">
      <alignment horizontal="center" vertical="center"/>
    </xf>
    <xf numFmtId="0" fontId="133" fillId="0" borderId="82" xfId="335" applyFont="1" applyBorder="1" applyAlignment="1">
      <alignment horizontal="center" vertical="center"/>
    </xf>
    <xf numFmtId="0" fontId="133" fillId="84" borderId="82" xfId="335" applyFont="1" applyFill="1" applyBorder="1" applyAlignment="1">
      <alignment horizontal="center" vertical="center"/>
    </xf>
    <xf numFmtId="0" fontId="7" fillId="0" borderId="91" xfId="335" applyBorder="1" applyAlignment="1">
      <alignment horizontal="center" vertical="center"/>
    </xf>
    <xf numFmtId="0" fontId="33" fillId="0" borderId="91" xfId="335" applyFont="1" applyBorder="1" applyAlignment="1">
      <alignment horizontal="center" vertical="center"/>
    </xf>
    <xf numFmtId="0" fontId="33" fillId="87" borderId="82" xfId="335" applyFont="1" applyFill="1" applyBorder="1" applyAlignment="1">
      <alignment horizontal="center" vertical="center"/>
    </xf>
    <xf numFmtId="0" fontId="33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135" fillId="0" borderId="91" xfId="335" applyFont="1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5" fillId="0" borderId="87" xfId="335" applyFont="1" applyBorder="1" applyAlignment="1">
      <alignment horizontal="center" vertical="center"/>
    </xf>
    <xf numFmtId="0" fontId="133" fillId="87" borderId="82" xfId="335" applyFont="1" applyFill="1" applyBorder="1" applyAlignment="1">
      <alignment horizontal="center" vertical="center"/>
    </xf>
    <xf numFmtId="0" fontId="7" fillId="0" borderId="126" xfId="335" applyBorder="1" applyAlignment="1">
      <alignment horizontal="center" vertical="center"/>
    </xf>
    <xf numFmtId="0" fontId="138" fillId="87" borderId="82" xfId="335" applyFont="1" applyFill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139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40" xfId="0" applyFont="1" applyBorder="1" applyAlignment="1">
      <alignment horizontal="center" vertical="center" wrapText="1"/>
    </xf>
    <xf numFmtId="0" fontId="24" fillId="0" borderId="112" xfId="0" applyFont="1" applyBorder="1" applyAlignment="1">
      <alignment horizontal="center" vertical="center" wrapText="1"/>
    </xf>
    <xf numFmtId="0" fontId="24" fillId="0" borderId="141" xfId="0" applyFont="1" applyBorder="1" applyAlignment="1">
      <alignment horizontal="center" vertical="center" wrapText="1"/>
    </xf>
    <xf numFmtId="0" fontId="24" fillId="0" borderId="142" xfId="0" applyFont="1" applyBorder="1" applyAlignment="1">
      <alignment horizontal="center" vertical="center" wrapText="1"/>
    </xf>
    <xf numFmtId="0" fontId="24" fillId="0" borderId="143" xfId="0" applyFont="1" applyBorder="1" applyAlignment="1">
      <alignment horizontal="center" vertical="center" wrapText="1"/>
    </xf>
    <xf numFmtId="0" fontId="10" fillId="82" borderId="4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165" fontId="8" fillId="0" borderId="65" xfId="0" applyNumberFormat="1" applyFont="1" applyBorder="1" applyAlignment="1">
      <alignment horizontal="center" vertical="center" wrapText="1"/>
    </xf>
    <xf numFmtId="1" fontId="23" fillId="0" borderId="74" xfId="0" applyNumberFormat="1" applyFont="1" applyBorder="1" applyAlignment="1">
      <alignment horizontal="center" vertical="center"/>
    </xf>
    <xf numFmtId="176" fontId="24" fillId="0" borderId="4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8" fillId="4" borderId="77" xfId="0" applyFont="1" applyFill="1" applyBorder="1" applyAlignment="1">
      <alignment horizontal="center" vertical="center"/>
    </xf>
    <xf numFmtId="170" fontId="20" fillId="3" borderId="78" xfId="0" applyNumberFormat="1" applyFont="1" applyFill="1" applyBorder="1" applyAlignment="1">
      <alignment horizontal="center" vertical="center"/>
    </xf>
    <xf numFmtId="0" fontId="18" fillId="5" borderId="153" xfId="0" applyFont="1" applyFill="1" applyBorder="1" applyAlignment="1">
      <alignment horizontal="center" vertical="center" wrapText="1"/>
    </xf>
    <xf numFmtId="0" fontId="15" fillId="0" borderId="154" xfId="0" applyFont="1" applyBorder="1" applyAlignment="1">
      <alignment horizontal="center" vertical="center" wrapText="1"/>
    </xf>
    <xf numFmtId="0" fontId="15" fillId="5" borderId="154" xfId="0" applyFont="1" applyFill="1" applyBorder="1" applyAlignment="1">
      <alignment horizontal="center" vertical="center" wrapText="1"/>
    </xf>
    <xf numFmtId="0" fontId="18" fillId="5" borderId="157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0" fontId="15" fillId="5" borderId="158" xfId="0" applyFont="1" applyFill="1" applyBorder="1" applyAlignment="1">
      <alignment horizontal="center" vertical="center" wrapText="1"/>
    </xf>
    <xf numFmtId="1" fontId="15" fillId="5" borderId="158" xfId="0" applyNumberFormat="1" applyFont="1" applyFill="1" applyBorder="1" applyAlignment="1">
      <alignment horizontal="center" vertical="center" wrapText="1"/>
    </xf>
    <xf numFmtId="15" fontId="12" fillId="5" borderId="158" xfId="0" applyNumberFormat="1" applyFont="1" applyFill="1" applyBorder="1" applyAlignment="1">
      <alignment horizontal="center" vertical="center"/>
    </xf>
    <xf numFmtId="1" fontId="15" fillId="0" borderId="158" xfId="0" applyNumberFormat="1" applyFont="1" applyBorder="1" applyAlignment="1">
      <alignment horizontal="center" vertical="center" wrapText="1"/>
    </xf>
    <xf numFmtId="1" fontId="21" fillId="0" borderId="158" xfId="0" applyNumberFormat="1" applyFont="1" applyBorder="1" applyAlignment="1">
      <alignment horizontal="center" vertical="center" wrapText="1"/>
    </xf>
    <xf numFmtId="2" fontId="21" fillId="0" borderId="158" xfId="0" applyNumberFormat="1" applyFont="1" applyBorder="1" applyAlignment="1">
      <alignment horizontal="center" vertical="center" wrapText="1"/>
    </xf>
    <xf numFmtId="171" fontId="21" fillId="5" borderId="158" xfId="0" applyNumberFormat="1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21" fillId="5" borderId="159" xfId="0" applyFont="1" applyFill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0" fillId="82" borderId="4" xfId="0" applyFont="1" applyFill="1" applyBorder="1"/>
    <xf numFmtId="0" fontId="7" fillId="82" borderId="18" xfId="335" applyFill="1" applyAlignment="1">
      <alignment horizontal="center" vertical="center"/>
    </xf>
    <xf numFmtId="0" fontId="10" fillId="0" borderId="66" xfId="0" applyFont="1" applyBorder="1" applyAlignment="1">
      <alignment horizontal="left" vertical="center"/>
    </xf>
    <xf numFmtId="0" fontId="10" fillId="0" borderId="68" xfId="0" applyFont="1" applyBorder="1" applyAlignment="1">
      <alignment horizontal="left" vertical="center"/>
    </xf>
    <xf numFmtId="0" fontId="10" fillId="0" borderId="160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61" xfId="0" applyFont="1" applyBorder="1" applyAlignment="1">
      <alignment horizontal="left" vertical="center"/>
    </xf>
    <xf numFmtId="0" fontId="10" fillId="0" borderId="16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2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10" fillId="0" borderId="69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3" fontId="10" fillId="0" borderId="67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14" borderId="9" xfId="0" applyFont="1" applyFill="1" applyBorder="1"/>
    <xf numFmtId="177" fontId="10" fillId="0" borderId="9" xfId="0" applyNumberFormat="1" applyFont="1" applyBorder="1"/>
    <xf numFmtId="0" fontId="10" fillId="0" borderId="65" xfId="0" applyFont="1" applyBorder="1" applyAlignment="1">
      <alignment horizontal="center" vertical="center"/>
    </xf>
    <xf numFmtId="0" fontId="10" fillId="0" borderId="65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164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165" xfId="0" applyFont="1" applyBorder="1" applyAlignment="1">
      <alignment horizontal="center" vertical="center"/>
    </xf>
    <xf numFmtId="3" fontId="10" fillId="0" borderId="61" xfId="0" applyNumberFormat="1" applyFont="1" applyBorder="1" applyAlignment="1">
      <alignment horizontal="center" vertical="center"/>
    </xf>
    <xf numFmtId="2" fontId="10" fillId="0" borderId="65" xfId="0" applyNumberFormat="1" applyFont="1" applyBorder="1" applyAlignment="1">
      <alignment horizontal="center" vertical="center"/>
    </xf>
    <xf numFmtId="0" fontId="10" fillId="14" borderId="65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0" fillId="0" borderId="4" xfId="0" quotePrefix="1" applyNumberFormat="1" applyFont="1" applyBorder="1" applyAlignment="1">
      <alignment horizontal="left" vertical="center"/>
    </xf>
    <xf numFmtId="2" fontId="8" fillId="6" borderId="82" xfId="0" applyNumberFormat="1" applyFont="1" applyFill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 wrapText="1"/>
    </xf>
    <xf numFmtId="0" fontId="8" fillId="19" borderId="82" xfId="0" applyFont="1" applyFill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18" borderId="82" xfId="0" applyFont="1" applyFill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10" fillId="0" borderId="82" xfId="0" quotePrefix="1" applyFont="1" applyBorder="1" applyAlignment="1">
      <alignment horizontal="center" vertical="center"/>
    </xf>
    <xf numFmtId="177" fontId="10" fillId="0" borderId="82" xfId="0" applyNumberFormat="1" applyFont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 wrapText="1"/>
    </xf>
    <xf numFmtId="167" fontId="10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67" fontId="8" fillId="3" borderId="82" xfId="0" applyNumberFormat="1" applyFont="1" applyFill="1" applyBorder="1" applyAlignment="1">
      <alignment horizontal="center" vertical="center"/>
    </xf>
    <xf numFmtId="0" fontId="8" fillId="18" borderId="82" xfId="0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10" fillId="18" borderId="18" xfId="0" applyFont="1" applyFill="1" applyBorder="1" applyAlignment="1">
      <alignment horizontal="center" vertical="center"/>
    </xf>
    <xf numFmtId="0" fontId="10" fillId="18" borderId="15" xfId="0" applyFont="1" applyFill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0" fontId="2" fillId="83" borderId="82" xfId="0" applyFont="1" applyFill="1" applyBorder="1" applyAlignment="1">
      <alignment horizontal="center" vertical="center"/>
    </xf>
    <xf numFmtId="0" fontId="7" fillId="93" borderId="18" xfId="335" applyFill="1" applyAlignment="1">
      <alignment horizontal="center"/>
    </xf>
    <xf numFmtId="0" fontId="7" fillId="93" borderId="18" xfId="335" applyFill="1" applyAlignment="1">
      <alignment horizontal="center" vertical="center"/>
    </xf>
    <xf numFmtId="0" fontId="7" fillId="93" borderId="18" xfId="335" applyFill="1"/>
    <xf numFmtId="0" fontId="142" fillId="0" borderId="18" xfId="335" applyFont="1" applyAlignment="1">
      <alignment horizontal="center" vertical="center"/>
    </xf>
    <xf numFmtId="0" fontId="130" fillId="0" borderId="18" xfId="335" applyFont="1" applyAlignment="1">
      <alignment horizontal="center" vertical="center"/>
    </xf>
    <xf numFmtId="0" fontId="135" fillId="0" borderId="120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1" fontId="143" fillId="0" borderId="18" xfId="335" applyNumberFormat="1" applyFont="1" applyAlignment="1">
      <alignment horizontal="center" vertical="center"/>
    </xf>
    <xf numFmtId="2" fontId="143" fillId="0" borderId="18" xfId="0" applyNumberFormat="1" applyFont="1" applyBorder="1" applyAlignment="1">
      <alignment horizontal="center" vertical="center"/>
    </xf>
    <xf numFmtId="0" fontId="143" fillId="0" borderId="104" xfId="335" applyFont="1" applyBorder="1" applyAlignment="1">
      <alignment horizontal="center" vertical="center"/>
    </xf>
    <xf numFmtId="0" fontId="135" fillId="0" borderId="104" xfId="335" applyFont="1" applyBorder="1" applyAlignment="1">
      <alignment horizontal="center" vertical="center"/>
    </xf>
    <xf numFmtId="2" fontId="135" fillId="0" borderId="18" xfId="0" applyNumberFormat="1" applyFont="1" applyBorder="1" applyAlignment="1">
      <alignment horizontal="center" vertical="center"/>
    </xf>
    <xf numFmtId="171" fontId="135" fillId="0" borderId="18" xfId="335" applyNumberFormat="1" applyFont="1" applyAlignment="1">
      <alignment horizontal="center" vertical="center"/>
    </xf>
    <xf numFmtId="1" fontId="135" fillId="0" borderId="18" xfId="335" applyNumberFormat="1" applyFont="1" applyAlignment="1">
      <alignment horizontal="center" vertical="center"/>
    </xf>
    <xf numFmtId="0" fontId="143" fillId="0" borderId="18" xfId="0" applyFont="1" applyBorder="1" applyAlignment="1">
      <alignment horizontal="center" vertical="center"/>
    </xf>
    <xf numFmtId="0" fontId="135" fillId="0" borderId="18" xfId="0" applyFont="1" applyBorder="1" applyAlignment="1">
      <alignment horizontal="center" vertical="center"/>
    </xf>
    <xf numFmtId="0" fontId="135" fillId="0" borderId="92" xfId="335" applyFont="1" applyBorder="1" applyAlignment="1">
      <alignment horizontal="center" vertical="center"/>
    </xf>
    <xf numFmtId="0" fontId="135" fillId="0" borderId="127" xfId="335" applyFont="1" applyBorder="1" applyAlignment="1">
      <alignment horizontal="center" vertical="center"/>
    </xf>
    <xf numFmtId="171" fontId="143" fillId="0" borderId="18" xfId="0" applyNumberFormat="1" applyFont="1" applyBorder="1" applyAlignment="1">
      <alignment horizontal="center" vertical="center"/>
    </xf>
    <xf numFmtId="0" fontId="143" fillId="0" borderId="92" xfId="335" applyFont="1" applyBorder="1" applyAlignment="1">
      <alignment horizontal="center" vertical="center"/>
    </xf>
    <xf numFmtId="1" fontId="143" fillId="0" borderId="92" xfId="335" applyNumberFormat="1" applyFont="1" applyBorder="1" applyAlignment="1">
      <alignment horizontal="center" vertical="center"/>
    </xf>
    <xf numFmtId="2" fontId="143" fillId="0" borderId="92" xfId="0" applyNumberFormat="1" applyFont="1" applyBorder="1" applyAlignment="1">
      <alignment horizontal="center" vertical="center"/>
    </xf>
    <xf numFmtId="2" fontId="135" fillId="0" borderId="92" xfId="0" applyNumberFormat="1" applyFont="1" applyBorder="1" applyAlignment="1">
      <alignment horizontal="center" vertical="center"/>
    </xf>
    <xf numFmtId="0" fontId="135" fillId="83" borderId="18" xfId="335" applyFont="1" applyFill="1" applyAlignment="1">
      <alignment horizontal="center" vertical="center"/>
    </xf>
    <xf numFmtId="2" fontId="15" fillId="5" borderId="4" xfId="0" applyNumberFormat="1" applyFont="1" applyFill="1" applyBorder="1" applyAlignment="1">
      <alignment horizontal="center" vertical="center" wrapText="1"/>
    </xf>
    <xf numFmtId="2" fontId="15" fillId="5" borderId="42" xfId="0" applyNumberFormat="1" applyFont="1" applyFill="1" applyBorder="1" applyAlignment="1">
      <alignment horizontal="center" vertical="center" wrapText="1"/>
    </xf>
    <xf numFmtId="171" fontId="7" fillId="0" borderId="82" xfId="335" applyNumberFormat="1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 wrapText="1"/>
    </xf>
    <xf numFmtId="2" fontId="23" fillId="0" borderId="42" xfId="0" applyNumberFormat="1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0" fontId="1" fillId="0" borderId="18" xfId="335" applyFont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" fontId="1" fillId="0" borderId="18" xfId="335" applyNumberFormat="1" applyFont="1" applyAlignment="1">
      <alignment horizontal="center" vertical="center"/>
    </xf>
    <xf numFmtId="2" fontId="21" fillId="5" borderId="4" xfId="0" applyNumberFormat="1" applyFont="1" applyFill="1" applyBorder="1" applyAlignment="1">
      <alignment horizontal="center" vertical="center" wrapText="1"/>
    </xf>
    <xf numFmtId="169" fontId="8" fillId="6" borderId="4" xfId="0" applyNumberFormat="1" applyFont="1" applyFill="1" applyBorder="1" applyAlignment="1">
      <alignment horizontal="center" vertical="center"/>
    </xf>
    <xf numFmtId="169" fontId="8" fillId="0" borderId="4" xfId="0" applyNumberFormat="1" applyFont="1" applyBorder="1"/>
    <xf numFmtId="0" fontId="143" fillId="87" borderId="18" xfId="335" applyFont="1" applyFill="1" applyAlignment="1">
      <alignment horizontal="center" vertical="center"/>
    </xf>
    <xf numFmtId="0" fontId="33" fillId="0" borderId="82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/>
    </xf>
    <xf numFmtId="0" fontId="37" fillId="0" borderId="82" xfId="0" quotePrefix="1" applyFont="1" applyBorder="1" applyAlignment="1">
      <alignment horizontal="center" vertical="center"/>
    </xf>
    <xf numFmtId="16" fontId="37" fillId="0" borderId="82" xfId="0" quotePrefix="1" applyNumberFormat="1" applyFont="1" applyBorder="1" applyAlignment="1">
      <alignment horizontal="center" vertical="center"/>
    </xf>
    <xf numFmtId="16" fontId="4" fillId="0" borderId="82" xfId="0" quotePrefix="1" applyNumberFormat="1" applyFont="1" applyBorder="1" applyAlignment="1">
      <alignment horizontal="center" vertical="center"/>
    </xf>
    <xf numFmtId="0" fontId="4" fillId="0" borderId="82" xfId="0" quotePrefix="1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  <xf numFmtId="0" fontId="8" fillId="0" borderId="8" xfId="0" applyFont="1" applyBorder="1" applyAlignment="1">
      <alignment horizontal="center" vertical="center"/>
    </xf>
    <xf numFmtId="0" fontId="9" fillId="0" borderId="11" xfId="0" applyFont="1" applyBorder="1"/>
    <xf numFmtId="0" fontId="8" fillId="0" borderId="8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5" borderId="18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9" fillId="0" borderId="148" xfId="0" applyFont="1" applyBorder="1" applyAlignment="1">
      <alignment horizontal="center" vertical="center"/>
    </xf>
    <xf numFmtId="0" fontId="17" fillId="2" borderId="147" xfId="0" applyFont="1" applyFill="1" applyBorder="1" applyAlignment="1">
      <alignment horizontal="center" vertical="center" wrapText="1"/>
    </xf>
    <xf numFmtId="0" fontId="9" fillId="0" borderId="149" xfId="0" applyFont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9" fillId="0" borderId="144" xfId="0" applyFont="1" applyBorder="1" applyAlignment="1">
      <alignment horizontal="center" vertical="center"/>
    </xf>
    <xf numFmtId="0" fontId="18" fillId="2" borderId="145" xfId="0" applyFont="1" applyFill="1" applyBorder="1" applyAlignment="1">
      <alignment horizontal="center" vertical="center" wrapText="1"/>
    </xf>
    <xf numFmtId="0" fontId="9" fillId="0" borderId="151" xfId="0" applyFont="1" applyBorder="1" applyAlignment="1">
      <alignment horizontal="center" vertical="center"/>
    </xf>
    <xf numFmtId="0" fontId="18" fillId="2" borderId="146" xfId="0" applyFont="1" applyFill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/>
    </xf>
    <xf numFmtId="0" fontId="21" fillId="5" borderId="155" xfId="0" applyFont="1" applyFill="1" applyBorder="1" applyAlignment="1">
      <alignment horizontal="center" vertical="center" wrapText="1"/>
    </xf>
    <xf numFmtId="0" fontId="21" fillId="5" borderId="156" xfId="0" applyFont="1" applyFill="1" applyBorder="1" applyAlignment="1">
      <alignment horizontal="center" vertical="center" wrapText="1"/>
    </xf>
    <xf numFmtId="0" fontId="21" fillId="5" borderId="152" xfId="0" applyFont="1" applyFill="1" applyBorder="1" applyAlignment="1">
      <alignment horizontal="center" vertical="center" wrapText="1"/>
    </xf>
    <xf numFmtId="0" fontId="18" fillId="2" borderId="150" xfId="0" applyFont="1" applyFill="1" applyBorder="1" applyAlignment="1">
      <alignment horizontal="center" vertical="center" wrapText="1"/>
    </xf>
    <xf numFmtId="0" fontId="9" fillId="0" borderId="152" xfId="0" applyFont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21" fillId="0" borderId="155" xfId="0" applyFont="1" applyBorder="1" applyAlignment="1">
      <alignment horizontal="center" vertical="center" wrapText="1"/>
    </xf>
    <xf numFmtId="0" fontId="21" fillId="0" borderId="156" xfId="0" applyFont="1" applyBorder="1" applyAlignment="1">
      <alignment horizontal="center" vertical="center" wrapText="1"/>
    </xf>
    <xf numFmtId="0" fontId="21" fillId="0" borderId="152" xfId="0" applyFont="1" applyBorder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10" fillId="0" borderId="160" xfId="0" applyFont="1" applyBorder="1" applyAlignment="1">
      <alignment horizontal="center" vertical="center"/>
    </xf>
    <xf numFmtId="0" fontId="10" fillId="0" borderId="163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9" fillId="0" borderId="50" xfId="0" applyFont="1" applyBorder="1"/>
    <xf numFmtId="0" fontId="9" fillId="0" borderId="51" xfId="0" applyFont="1" applyBorder="1"/>
    <xf numFmtId="0" fontId="8" fillId="0" borderId="1" xfId="0" applyFont="1" applyBorder="1" applyAlignment="1">
      <alignment horizontal="center"/>
    </xf>
    <xf numFmtId="0" fontId="8" fillId="19" borderId="1" xfId="0" applyFont="1" applyFill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33" fillId="0" borderId="18" xfId="335" applyFont="1" applyAlignment="1">
      <alignment horizontal="center"/>
    </xf>
    <xf numFmtId="16" fontId="33" fillId="0" borderId="18" xfId="335" applyNumberFormat="1" applyFont="1" applyAlignment="1">
      <alignment horizontal="center"/>
    </xf>
    <xf numFmtId="2" fontId="33" fillId="0" borderId="18" xfId="335" applyNumberFormat="1" applyFont="1" applyAlignment="1">
      <alignment horizontal="center"/>
    </xf>
    <xf numFmtId="1" fontId="7" fillId="0" borderId="18" xfId="335" applyNumberFormat="1" applyAlignment="1">
      <alignment horizontal="center"/>
    </xf>
    <xf numFmtId="0" fontId="7" fillId="0" borderId="18" xfId="335" applyAlignment="1">
      <alignment horizontal="center"/>
    </xf>
    <xf numFmtId="0" fontId="33" fillId="0" borderId="131" xfId="335" applyFont="1" applyBorder="1" applyAlignment="1">
      <alignment horizontal="center"/>
    </xf>
    <xf numFmtId="0" fontId="33" fillId="0" borderId="130" xfId="335" applyFont="1" applyBorder="1" applyAlignment="1">
      <alignment horizontal="center"/>
    </xf>
    <xf numFmtId="0" fontId="33" fillId="0" borderId="130" xfId="335" applyFont="1" applyBorder="1" applyAlignment="1">
      <alignment horizontal="left" vertical="center"/>
    </xf>
    <xf numFmtId="0" fontId="33" fillId="0" borderId="130" xfId="335" applyFont="1" applyBorder="1" applyAlignment="1">
      <alignment horizontal="center" vertical="center"/>
    </xf>
    <xf numFmtId="1" fontId="33" fillId="0" borderId="82" xfId="335" applyNumberFormat="1" applyFont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/>
    </xf>
    <xf numFmtId="1" fontId="33" fillId="0" borderId="130" xfId="335" applyNumberFormat="1" applyFont="1" applyBorder="1" applyAlignment="1">
      <alignment horizontal="center" vertical="center"/>
    </xf>
    <xf numFmtId="0" fontId="7" fillId="0" borderId="82" xfId="335" applyBorder="1" applyAlignment="1">
      <alignment horizontal="center" vertical="center"/>
    </xf>
    <xf numFmtId="0" fontId="7" fillId="0" borderId="130" xfId="335" applyBorder="1" applyAlignment="1">
      <alignment horizontal="center" vertical="center"/>
    </xf>
    <xf numFmtId="0" fontId="7" fillId="0" borderId="84" xfId="335" applyBorder="1" applyAlignment="1">
      <alignment horizontal="center" vertical="center"/>
    </xf>
    <xf numFmtId="0" fontId="7" fillId="0" borderId="115" xfId="335" applyBorder="1" applyAlignment="1">
      <alignment horizontal="center" vertical="center"/>
    </xf>
    <xf numFmtId="0" fontId="7" fillId="0" borderId="88" xfId="335" applyBorder="1" applyAlignment="1">
      <alignment horizontal="center" vertical="center"/>
    </xf>
    <xf numFmtId="0" fontId="7" fillId="0" borderId="87" xfId="335" applyBorder="1" applyAlignment="1">
      <alignment horizontal="center" vertical="center"/>
    </xf>
    <xf numFmtId="0" fontId="7" fillId="0" borderId="135" xfId="335" applyBorder="1" applyAlignment="1">
      <alignment horizontal="center" vertical="center"/>
    </xf>
    <xf numFmtId="0" fontId="7" fillId="0" borderId="85" xfId="335" applyBorder="1" applyAlignment="1">
      <alignment horizontal="center" vertical="center"/>
    </xf>
    <xf numFmtId="0" fontId="7" fillId="0" borderId="84" xfId="335" applyBorder="1" applyAlignment="1">
      <alignment horizontal="center"/>
    </xf>
    <xf numFmtId="0" fontId="7" fillId="0" borderId="115" xfId="335" applyBorder="1" applyAlignment="1">
      <alignment horizontal="center"/>
    </xf>
    <xf numFmtId="0" fontId="7" fillId="0" borderId="88" xfId="335" applyBorder="1" applyAlignment="1">
      <alignment horizontal="center"/>
    </xf>
    <xf numFmtId="0" fontId="7" fillId="0" borderId="87" xfId="335" applyBorder="1" applyAlignment="1">
      <alignment horizontal="center"/>
    </xf>
    <xf numFmtId="0" fontId="7" fillId="0" borderId="135" xfId="335" applyBorder="1" applyAlignment="1">
      <alignment horizontal="center"/>
    </xf>
    <xf numFmtId="0" fontId="7" fillId="0" borderId="85" xfId="335" applyBorder="1" applyAlignment="1">
      <alignment horizontal="center"/>
    </xf>
    <xf numFmtId="0" fontId="141" fillId="0" borderId="116" xfId="335" applyFont="1" applyBorder="1" applyAlignment="1">
      <alignment horizontal="center" vertical="center"/>
    </xf>
    <xf numFmtId="0" fontId="141" fillId="0" borderId="117" xfId="335" applyFont="1" applyBorder="1" applyAlignment="1">
      <alignment horizontal="center" vertical="center"/>
    </xf>
    <xf numFmtId="0" fontId="141" fillId="0" borderId="121" xfId="335" applyFont="1" applyBorder="1" applyAlignment="1">
      <alignment horizontal="center" vertical="center"/>
    </xf>
    <xf numFmtId="0" fontId="141" fillId="0" borderId="82" xfId="335" applyFont="1" applyBorder="1" applyAlignment="1">
      <alignment horizontal="center" vertical="center"/>
    </xf>
    <xf numFmtId="0" fontId="33" fillId="0" borderId="82" xfId="335" applyFont="1" applyBorder="1" applyAlignment="1">
      <alignment horizontal="left" vertical="center"/>
    </xf>
    <xf numFmtId="2" fontId="33" fillId="0" borderId="82" xfId="335" applyNumberFormat="1" applyFont="1" applyBorder="1" applyAlignment="1">
      <alignment horizontal="center" vertical="center"/>
    </xf>
    <xf numFmtId="0" fontId="33" fillId="0" borderId="137" xfId="335" applyFont="1" applyBorder="1" applyAlignment="1">
      <alignment horizontal="center" vertical="center"/>
    </xf>
    <xf numFmtId="0" fontId="33" fillId="0" borderId="125" xfId="335" applyFont="1" applyBorder="1" applyAlignment="1">
      <alignment horizontal="center" vertical="center"/>
    </xf>
    <xf numFmtId="0" fontId="33" fillId="0" borderId="79" xfId="335" applyFont="1" applyBorder="1" applyAlignment="1">
      <alignment horizontal="left" vertical="center"/>
    </xf>
    <xf numFmtId="0" fontId="33" fillId="0" borderId="122" xfId="335" applyFont="1" applyBorder="1" applyAlignment="1">
      <alignment horizontal="left" vertical="center"/>
    </xf>
    <xf numFmtId="0" fontId="7" fillId="86" borderId="82" xfId="335" applyFill="1" applyBorder="1" applyAlignment="1">
      <alignment horizontal="center"/>
    </xf>
    <xf numFmtId="0" fontId="7" fillId="86" borderId="82" xfId="335" applyFill="1" applyBorder="1" applyAlignment="1">
      <alignment horizontal="center" vertical="center"/>
    </xf>
    <xf numFmtId="0" fontId="7" fillId="86" borderId="130" xfId="335" applyFill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 wrapText="1"/>
    </xf>
    <xf numFmtId="0" fontId="33" fillId="0" borderId="130" xfId="335" applyFont="1" applyBorder="1" applyAlignment="1">
      <alignment horizontal="center" vertical="center" wrapText="1"/>
    </xf>
    <xf numFmtId="16" fontId="7" fillId="0" borderId="83" xfId="335" applyNumberFormat="1" applyBorder="1" applyAlignment="1">
      <alignment horizontal="center"/>
    </xf>
    <xf numFmtId="0" fontId="7" fillId="0" borderId="83" xfId="335" applyBorder="1" applyAlignment="1">
      <alignment horizontal="center"/>
    </xf>
    <xf numFmtId="0" fontId="33" fillId="85" borderId="82" xfId="335" applyFont="1" applyFill="1" applyBorder="1" applyAlignment="1">
      <alignment horizontal="center" vertical="center"/>
    </xf>
    <xf numFmtId="0" fontId="33" fillId="0" borderId="79" xfId="335" applyFont="1" applyBorder="1" applyAlignment="1">
      <alignment horizontal="center" vertical="center"/>
    </xf>
    <xf numFmtId="0" fontId="33" fillId="0" borderId="122" xfId="335" applyFont="1" applyBorder="1" applyAlignment="1">
      <alignment horizontal="center" vertical="center"/>
    </xf>
    <xf numFmtId="0" fontId="33" fillId="0" borderId="121" xfId="335" applyFont="1" applyBorder="1" applyAlignment="1">
      <alignment horizontal="center"/>
    </xf>
    <xf numFmtId="0" fontId="33" fillId="0" borderId="82" xfId="335" applyFont="1" applyBorder="1" applyAlignment="1">
      <alignment horizontal="center"/>
    </xf>
    <xf numFmtId="0" fontId="33" fillId="0" borderId="124" xfId="335" quotePrefix="1" applyFont="1" applyBorder="1" applyAlignment="1">
      <alignment horizontal="center"/>
    </xf>
    <xf numFmtId="0" fontId="33" fillId="0" borderId="124" xfId="335" applyFont="1" applyBorder="1" applyAlignment="1">
      <alignment horizontal="center"/>
    </xf>
    <xf numFmtId="0" fontId="33" fillId="85" borderId="79" xfId="335" applyFont="1" applyFill="1" applyBorder="1" applyAlignment="1">
      <alignment horizontal="center" vertical="center"/>
    </xf>
    <xf numFmtId="0" fontId="33" fillId="85" borderId="122" xfId="335" applyFont="1" applyFill="1" applyBorder="1" applyAlignment="1">
      <alignment horizontal="center" vertical="center"/>
    </xf>
    <xf numFmtId="0" fontId="33" fillId="85" borderId="121" xfId="335" applyFont="1" applyFill="1" applyBorder="1" applyAlignment="1">
      <alignment horizontal="center"/>
    </xf>
    <xf numFmtId="0" fontId="33" fillId="85" borderId="82" xfId="335" applyFont="1" applyFill="1" applyBorder="1" applyAlignment="1">
      <alignment horizontal="center"/>
    </xf>
    <xf numFmtId="2" fontId="33" fillId="0" borderId="124" xfId="335" quotePrefix="1" applyNumberFormat="1" applyFont="1" applyBorder="1" applyAlignment="1">
      <alignment horizontal="center"/>
    </xf>
    <xf numFmtId="0" fontId="129" fillId="0" borderId="114" xfId="335" applyFont="1" applyBorder="1" applyAlignment="1">
      <alignment horizontal="center"/>
    </xf>
    <xf numFmtId="0" fontId="33" fillId="0" borderId="18" xfId="335" quotePrefix="1" applyFont="1" applyAlignment="1">
      <alignment horizontal="center"/>
    </xf>
    <xf numFmtId="16" fontId="33" fillId="0" borderId="124" xfId="335" quotePrefix="1" applyNumberFormat="1" applyFont="1" applyBorder="1" applyAlignment="1">
      <alignment horizontal="center"/>
    </xf>
    <xf numFmtId="0" fontId="129" fillId="82" borderId="119" xfId="335" applyFont="1" applyFill="1" applyBorder="1" applyAlignment="1">
      <alignment horizontal="center" vertical="center"/>
    </xf>
    <xf numFmtId="0" fontId="129" fillId="82" borderId="86" xfId="335" applyFont="1" applyFill="1" applyBorder="1" applyAlignment="1">
      <alignment horizontal="center" vertical="center"/>
    </xf>
    <xf numFmtId="0" fontId="129" fillId="82" borderId="123" xfId="335" applyFont="1" applyFill="1" applyBorder="1" applyAlignment="1">
      <alignment horizontal="center" vertical="center"/>
    </xf>
    <xf numFmtId="174" fontId="33" fillId="0" borderId="82" xfId="335" applyNumberFormat="1" applyFont="1" applyBorder="1" applyAlignment="1">
      <alignment horizontal="center" vertical="center"/>
    </xf>
    <xf numFmtId="12" fontId="33" fillId="0" borderId="124" xfId="335" quotePrefix="1" applyNumberFormat="1" applyFont="1" applyBorder="1" applyAlignment="1">
      <alignment horizontal="center"/>
    </xf>
    <xf numFmtId="12" fontId="33" fillId="0" borderId="124" xfId="335" applyNumberFormat="1" applyFont="1" applyBorder="1" applyAlignment="1">
      <alignment horizontal="center"/>
    </xf>
    <xf numFmtId="0" fontId="133" fillId="84" borderId="88" xfId="335" applyFont="1" applyFill="1" applyBorder="1" applyAlignment="1">
      <alignment horizontal="center"/>
    </xf>
    <xf numFmtId="0" fontId="133" fillId="84" borderId="18" xfId="335" applyFont="1" applyFill="1" applyAlignment="1">
      <alignment horizontal="center"/>
    </xf>
    <xf numFmtId="0" fontId="33" fillId="0" borderId="18" xfId="335" applyFont="1" applyAlignment="1">
      <alignment horizontal="center" vertical="center"/>
    </xf>
    <xf numFmtId="14" fontId="33" fillId="0" borderId="18" xfId="335" applyNumberFormat="1" applyFont="1" applyAlignment="1">
      <alignment horizontal="center" vertical="center"/>
    </xf>
    <xf numFmtId="0" fontId="130" fillId="0" borderId="117" xfId="335" applyFont="1" applyBorder="1" applyAlignment="1">
      <alignment horizontal="center" vertical="center"/>
    </xf>
    <xf numFmtId="0" fontId="130" fillId="0" borderId="136" xfId="335" applyFont="1" applyBorder="1" applyAlignment="1">
      <alignment horizontal="center" vertical="center"/>
    </xf>
    <xf numFmtId="0" fontId="130" fillId="0" borderId="118" xfId="335" applyFont="1" applyBorder="1" applyAlignment="1">
      <alignment horizontal="center" vertical="center"/>
    </xf>
    <xf numFmtId="14" fontId="33" fillId="0" borderId="82" xfId="335" applyNumberFormat="1" applyFont="1" applyBorder="1" applyAlignment="1">
      <alignment horizontal="center" vertical="center"/>
    </xf>
    <xf numFmtId="14" fontId="33" fillId="0" borderId="79" xfId="335" applyNumberFormat="1" applyFont="1" applyBorder="1" applyAlignment="1">
      <alignment horizontal="center" vertical="center"/>
    </xf>
    <xf numFmtId="14" fontId="33" fillId="0" borderId="122" xfId="335" applyNumberFormat="1" applyFont="1" applyBorder="1" applyAlignment="1">
      <alignment horizontal="center" vertical="center"/>
    </xf>
    <xf numFmtId="0" fontId="33" fillId="0" borderId="18" xfId="335" quotePrefix="1" applyFont="1" applyAlignment="1">
      <alignment horizontal="center" vertical="center"/>
    </xf>
    <xf numFmtId="0" fontId="33" fillId="0" borderId="124" xfId="335" quotePrefix="1" applyFont="1" applyBorder="1" applyAlignment="1">
      <alignment horizontal="center" vertical="center"/>
    </xf>
    <xf numFmtId="16" fontId="7" fillId="0" borderId="18" xfId="335" applyNumberFormat="1" applyAlignment="1">
      <alignment horizontal="center"/>
    </xf>
    <xf numFmtId="0" fontId="7" fillId="0" borderId="124" xfId="335" quotePrefix="1" applyBorder="1" applyAlignment="1">
      <alignment horizontal="center"/>
    </xf>
    <xf numFmtId="0" fontId="7" fillId="0" borderId="124" xfId="335" applyBorder="1" applyAlignment="1">
      <alignment horizontal="center"/>
    </xf>
    <xf numFmtId="2" fontId="33" fillId="0" borderId="18" xfId="335" quotePrefix="1" applyNumberFormat="1" applyFont="1" applyAlignment="1">
      <alignment horizontal="center"/>
    </xf>
    <xf numFmtId="2" fontId="33" fillId="0" borderId="124" xfId="335" applyNumberFormat="1" applyFont="1" applyBorder="1" applyAlignment="1">
      <alignment horizontal="center"/>
    </xf>
    <xf numFmtId="2" fontId="7" fillId="0" borderId="83" xfId="335" applyNumberFormat="1" applyBorder="1" applyAlignment="1">
      <alignment horizontal="center"/>
    </xf>
    <xf numFmtId="1" fontId="7" fillId="0" borderId="83" xfId="335" applyNumberFormat="1" applyBorder="1" applyAlignment="1">
      <alignment horizontal="center"/>
    </xf>
    <xf numFmtId="0" fontId="33" fillId="0" borderId="83" xfId="335" applyFont="1" applyBorder="1" applyAlignment="1">
      <alignment horizontal="center"/>
    </xf>
    <xf numFmtId="0" fontId="135" fillId="0" borderId="82" xfId="335" applyFont="1" applyBorder="1" applyAlignment="1">
      <alignment horizontal="center" vertical="center" wrapText="1"/>
    </xf>
    <xf numFmtId="0" fontId="135" fillId="0" borderId="130" xfId="335" applyFont="1" applyBorder="1" applyAlignment="1">
      <alignment horizontal="center" vertical="center" wrapText="1"/>
    </xf>
    <xf numFmtId="0" fontId="33" fillId="0" borderId="119" xfId="335" applyFont="1" applyBorder="1" applyAlignment="1">
      <alignment horizontal="center"/>
    </xf>
    <xf numFmtId="0" fontId="33" fillId="0" borderId="86" xfId="335" applyFont="1" applyBorder="1" applyAlignment="1">
      <alignment horizontal="center"/>
    </xf>
    <xf numFmtId="0" fontId="33" fillId="0" borderId="123" xfId="335" applyFont="1" applyBorder="1" applyAlignment="1">
      <alignment horizontal="center"/>
    </xf>
    <xf numFmtId="0" fontId="33" fillId="0" borderId="126" xfId="335" applyFont="1" applyBorder="1" applyAlignment="1">
      <alignment horizontal="center"/>
    </xf>
    <xf numFmtId="0" fontId="33" fillId="0" borderId="104" xfId="335" applyFont="1" applyBorder="1" applyAlignment="1">
      <alignment horizontal="center"/>
    </xf>
    <xf numFmtId="0" fontId="7" fillId="0" borderId="82" xfId="335" applyBorder="1" applyAlignment="1">
      <alignment horizontal="center"/>
    </xf>
    <xf numFmtId="0" fontId="7" fillId="0" borderId="130" xfId="335" applyBorder="1" applyAlignment="1">
      <alignment horizontal="center"/>
    </xf>
    <xf numFmtId="0" fontId="135" fillId="86" borderId="133" xfId="335" applyFont="1" applyFill="1" applyBorder="1" applyAlignment="1">
      <alignment horizontal="left"/>
    </xf>
    <xf numFmtId="0" fontId="135" fillId="86" borderId="80" xfId="335" applyFont="1" applyFill="1" applyBorder="1" applyAlignment="1">
      <alignment horizontal="left"/>
    </xf>
    <xf numFmtId="0" fontId="135" fillId="86" borderId="81" xfId="335" applyFont="1" applyFill="1" applyBorder="1" applyAlignment="1">
      <alignment horizontal="left"/>
    </xf>
    <xf numFmtId="0" fontId="7" fillId="86" borderId="133" xfId="335" applyFill="1" applyBorder="1" applyAlignment="1">
      <alignment horizontal="center"/>
    </xf>
    <xf numFmtId="0" fontId="7" fillId="86" borderId="80" xfId="335" applyFill="1" applyBorder="1" applyAlignment="1">
      <alignment horizontal="center"/>
    </xf>
    <xf numFmtId="0" fontId="7" fillId="86" borderId="81" xfId="335" applyFill="1" applyBorder="1" applyAlignment="1">
      <alignment horizontal="center"/>
    </xf>
    <xf numFmtId="0" fontId="135" fillId="86" borderId="91" xfId="335" applyFont="1" applyFill="1" applyBorder="1" applyAlignment="1">
      <alignment horizontal="left"/>
    </xf>
    <xf numFmtId="0" fontId="135" fillId="86" borderId="18" xfId="335" applyFont="1" applyFill="1" applyAlignment="1">
      <alignment horizontal="left"/>
    </xf>
    <xf numFmtId="0" fontId="135" fillId="86" borderId="87" xfId="335" applyFont="1" applyFill="1" applyBorder="1" applyAlignment="1">
      <alignment horizontal="left"/>
    </xf>
    <xf numFmtId="0" fontId="7" fillId="86" borderId="130" xfId="335" applyFill="1" applyBorder="1" applyAlignment="1">
      <alignment horizontal="center"/>
    </xf>
    <xf numFmtId="16" fontId="7" fillId="83" borderId="18" xfId="335" applyNumberFormat="1" applyFill="1" applyAlignment="1">
      <alignment horizontal="center"/>
    </xf>
    <xf numFmtId="0" fontId="7" fillId="83" borderId="18" xfId="335" applyFill="1" applyAlignment="1">
      <alignment horizontal="center"/>
    </xf>
    <xf numFmtId="16" fontId="7" fillId="0" borderId="124" xfId="335" quotePrefix="1" applyNumberFormat="1" applyBorder="1" applyAlignment="1">
      <alignment horizontal="center"/>
    </xf>
    <xf numFmtId="0" fontId="7" fillId="83" borderId="124" xfId="335" quotePrefix="1" applyFill="1" applyBorder="1" applyAlignment="1">
      <alignment horizontal="center"/>
    </xf>
    <xf numFmtId="0" fontId="7" fillId="83" borderId="124" xfId="335" applyFill="1" applyBorder="1" applyAlignment="1">
      <alignment horizontal="center"/>
    </xf>
    <xf numFmtId="0" fontId="138" fillId="0" borderId="124" xfId="335" applyFont="1" applyBorder="1" applyAlignment="1">
      <alignment horizontal="center"/>
    </xf>
    <xf numFmtId="1" fontId="138" fillId="0" borderId="124" xfId="335" applyNumberFormat="1" applyFont="1" applyBorder="1" applyAlignment="1">
      <alignment horizontal="center"/>
    </xf>
    <xf numFmtId="0" fontId="138" fillId="0" borderId="18" xfId="335" applyFont="1" applyAlignment="1">
      <alignment horizontal="center"/>
    </xf>
    <xf numFmtId="2" fontId="7" fillId="0" borderId="18" xfId="335" applyNumberFormat="1" applyAlignment="1">
      <alignment horizontal="center"/>
    </xf>
    <xf numFmtId="1" fontId="33" fillId="0" borderId="124" xfId="335" applyNumberFormat="1" applyFont="1" applyBorder="1" applyAlignment="1">
      <alignment horizontal="center" vertical="center"/>
    </xf>
    <xf numFmtId="14" fontId="33" fillId="0" borderId="120" xfId="335" applyNumberFormat="1" applyFont="1" applyBorder="1" applyAlignment="1">
      <alignment horizontal="center" vertical="center"/>
    </xf>
    <xf numFmtId="14" fontId="33" fillId="0" borderId="129" xfId="335" applyNumberFormat="1" applyFont="1" applyBorder="1" applyAlignment="1">
      <alignment horizontal="center" vertical="center"/>
    </xf>
    <xf numFmtId="0" fontId="33" fillId="0" borderId="83" xfId="335" applyFont="1" applyBorder="1" applyAlignment="1">
      <alignment horizontal="center" vertical="center"/>
    </xf>
    <xf numFmtId="16" fontId="33" fillId="0" borderId="18" xfId="335" quotePrefix="1" applyNumberFormat="1" applyFont="1" applyAlignment="1">
      <alignment horizontal="center" vertical="center"/>
    </xf>
    <xf numFmtId="0" fontId="129" fillId="0" borderId="119" xfId="335" applyFont="1" applyBorder="1" applyAlignment="1">
      <alignment horizontal="center" vertical="center"/>
    </xf>
    <xf numFmtId="0" fontId="129" fillId="0" borderId="86" xfId="335" applyFont="1" applyBorder="1" applyAlignment="1">
      <alignment horizontal="center" vertical="center"/>
    </xf>
    <xf numFmtId="0" fontId="129" fillId="0" borderId="123" xfId="335" applyFont="1" applyBorder="1" applyAlignment="1">
      <alignment horizontal="center" vertical="center"/>
    </xf>
    <xf numFmtId="0" fontId="129" fillId="0" borderId="120" xfId="335" applyFont="1" applyBorder="1" applyAlignment="1">
      <alignment horizontal="center" vertical="center"/>
    </xf>
    <xf numFmtId="0" fontId="33" fillId="0" borderId="120" xfId="335" applyFont="1" applyBorder="1" applyAlignment="1">
      <alignment horizontal="center" vertical="center"/>
    </xf>
    <xf numFmtId="17" fontId="33" fillId="0" borderId="18" xfId="335" quotePrefix="1" applyNumberFormat="1" applyFont="1" applyAlignment="1">
      <alignment horizontal="center" vertical="center"/>
    </xf>
    <xf numFmtId="16" fontId="33" fillId="0" borderId="124" xfId="335" quotePrefix="1" applyNumberFormat="1" applyFont="1" applyBorder="1" applyAlignment="1">
      <alignment horizontal="center" vertical="center"/>
    </xf>
    <xf numFmtId="0" fontId="33" fillId="0" borderId="124" xfId="335" applyFont="1" applyBorder="1" applyAlignment="1">
      <alignment horizontal="center" vertical="center"/>
    </xf>
    <xf numFmtId="0" fontId="33" fillId="0" borderId="104" xfId="335" applyFont="1" applyBorder="1" applyAlignment="1">
      <alignment horizontal="center" vertical="center"/>
    </xf>
    <xf numFmtId="0" fontId="135" fillId="86" borderId="91" xfId="335" applyFont="1" applyFill="1" applyBorder="1" applyAlignment="1">
      <alignment horizontal="center" vertical="center"/>
    </xf>
    <xf numFmtId="0" fontId="135" fillId="86" borderId="18" xfId="335" applyFont="1" applyFill="1" applyAlignment="1">
      <alignment horizontal="center" vertical="center"/>
    </xf>
    <xf numFmtId="0" fontId="135" fillId="86" borderId="87" xfId="335" applyFont="1" applyFill="1" applyBorder="1" applyAlignment="1">
      <alignment horizontal="center" vertical="center"/>
    </xf>
    <xf numFmtId="0" fontId="33" fillId="0" borderId="121" xfId="335" applyFont="1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7" fillId="0" borderId="83" xfId="335" applyBorder="1" applyAlignment="1">
      <alignment horizontal="center" vertical="center"/>
    </xf>
    <xf numFmtId="0" fontId="33" fillId="0" borderId="126" xfId="335" applyFont="1" applyBorder="1" applyAlignment="1">
      <alignment horizontal="center" vertical="center"/>
    </xf>
    <xf numFmtId="0" fontId="33" fillId="0" borderId="127" xfId="335" applyFont="1" applyBorder="1" applyAlignment="1">
      <alignment horizontal="center" vertical="center"/>
    </xf>
    <xf numFmtId="0" fontId="135" fillId="86" borderId="133" xfId="335" applyFont="1" applyFill="1" applyBorder="1" applyAlignment="1">
      <alignment horizontal="center" vertical="center"/>
    </xf>
    <xf numFmtId="0" fontId="135" fillId="86" borderId="80" xfId="335" applyFont="1" applyFill="1" applyBorder="1" applyAlignment="1">
      <alignment horizontal="center" vertical="center"/>
    </xf>
    <xf numFmtId="0" fontId="135" fillId="86" borderId="81" xfId="335" applyFont="1" applyFill="1" applyBorder="1" applyAlignment="1">
      <alignment horizontal="center" vertical="center"/>
    </xf>
    <xf numFmtId="0" fontId="141" fillId="0" borderId="91" xfId="335" applyFont="1" applyBorder="1" applyAlignment="1">
      <alignment horizontal="center" vertical="center"/>
    </xf>
    <xf numFmtId="0" fontId="141" fillId="0" borderId="18" xfId="335" applyFont="1" applyAlignment="1">
      <alignment horizontal="center" vertical="center"/>
    </xf>
    <xf numFmtId="0" fontId="141" fillId="0" borderId="132" xfId="335" applyFont="1" applyBorder="1" applyAlignment="1">
      <alignment horizontal="center" vertical="center"/>
    </xf>
    <xf numFmtId="0" fontId="141" fillId="0" borderId="83" xfId="335" applyFont="1" applyBorder="1" applyAlignment="1">
      <alignment horizontal="center" vertical="center"/>
    </xf>
    <xf numFmtId="0" fontId="130" fillId="0" borderId="114" xfId="335" applyFont="1" applyBorder="1" applyAlignment="1">
      <alignment horizontal="center" vertical="center"/>
    </xf>
    <xf numFmtId="0" fontId="130" fillId="0" borderId="138" xfId="335" applyFont="1" applyBorder="1" applyAlignment="1">
      <alignment horizontal="center" vertical="center"/>
    </xf>
    <xf numFmtId="177" fontId="33" fillId="0" borderId="82" xfId="335" applyNumberFormat="1" applyFont="1" applyBorder="1" applyAlignment="1">
      <alignment horizontal="center" vertical="center"/>
    </xf>
    <xf numFmtId="177" fontId="33" fillId="0" borderId="122" xfId="335" applyNumberFormat="1" applyFont="1" applyBorder="1" applyAlignment="1">
      <alignment horizontal="center" vertical="center"/>
    </xf>
    <xf numFmtId="0" fontId="33" fillId="85" borderId="121" xfId="335" applyFont="1" applyFill="1" applyBorder="1" applyAlignment="1">
      <alignment horizontal="center" vertical="center"/>
    </xf>
    <xf numFmtId="1" fontId="33" fillId="0" borderId="79" xfId="335" applyNumberFormat="1" applyFont="1" applyBorder="1" applyAlignment="1">
      <alignment horizontal="center" vertical="center"/>
    </xf>
    <xf numFmtId="1" fontId="33" fillId="0" borderId="80" xfId="335" applyNumberFormat="1" applyFont="1" applyBorder="1" applyAlignment="1">
      <alignment horizontal="center" vertical="center"/>
    </xf>
    <xf numFmtId="1" fontId="33" fillId="0" borderId="81" xfId="335" applyNumberFormat="1" applyFont="1" applyBorder="1" applyAlignment="1">
      <alignment horizontal="center" vertical="center"/>
    </xf>
    <xf numFmtId="0" fontId="7" fillId="0" borderId="124" xfId="335" applyBorder="1" applyAlignment="1">
      <alignment horizontal="center" vertical="center"/>
    </xf>
    <xf numFmtId="16" fontId="7" fillId="0" borderId="124" xfId="335" quotePrefix="1" applyNumberFormat="1" applyBorder="1" applyAlignment="1">
      <alignment horizontal="center" vertical="center"/>
    </xf>
    <xf numFmtId="0" fontId="7" fillId="83" borderId="124" xfId="335" quotePrefix="1" applyFill="1" applyBorder="1" applyAlignment="1">
      <alignment horizontal="center" vertical="center"/>
    </xf>
    <xf numFmtId="0" fontId="7" fillId="83" borderId="124" xfId="335" applyFill="1" applyBorder="1" applyAlignment="1">
      <alignment horizontal="center" vertical="center"/>
    </xf>
    <xf numFmtId="0" fontId="33" fillId="0" borderId="80" xfId="335" applyFont="1" applyBorder="1" applyAlignment="1">
      <alignment horizontal="center" vertical="center"/>
    </xf>
    <xf numFmtId="0" fontId="33" fillId="0" borderId="134" xfId="335" applyFont="1" applyBorder="1" applyAlignment="1">
      <alignment horizontal="center" vertical="center"/>
    </xf>
    <xf numFmtId="171" fontId="33" fillId="0" borderId="82" xfId="335" applyNumberFormat="1" applyFont="1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0" fontId="33" fillId="0" borderId="128" xfId="335" applyFont="1" applyBorder="1" applyAlignment="1">
      <alignment horizontal="center" vertical="center"/>
    </xf>
    <xf numFmtId="0" fontId="33" fillId="0" borderId="129" xfId="335" applyFont="1" applyBorder="1" applyAlignment="1">
      <alignment horizontal="center" vertical="center"/>
    </xf>
    <xf numFmtId="0" fontId="33" fillId="0" borderId="18" xfId="335" applyFont="1" applyAlignment="1">
      <alignment horizontal="center" vertical="center" wrapText="1"/>
    </xf>
    <xf numFmtId="0" fontId="33" fillId="0" borderId="131" xfId="335" applyFont="1" applyBorder="1" applyAlignment="1">
      <alignment horizontal="center" vertical="center"/>
    </xf>
    <xf numFmtId="0" fontId="7" fillId="0" borderId="18" xfId="335" applyAlignment="1">
      <alignment horizontal="center" vertical="center"/>
    </xf>
    <xf numFmtId="16" fontId="7" fillId="83" borderId="18" xfId="335" applyNumberFormat="1" applyFill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135" fillId="0" borderId="130" xfId="335" applyFont="1" applyBorder="1" applyAlignment="1">
      <alignment horizontal="center" vertical="center"/>
    </xf>
    <xf numFmtId="0" fontId="7" fillId="86" borderId="133" xfId="335" applyFill="1" applyBorder="1" applyAlignment="1">
      <alignment horizontal="center" vertical="center"/>
    </xf>
    <xf numFmtId="0" fontId="7" fillId="86" borderId="80" xfId="335" applyFill="1" applyBorder="1" applyAlignment="1">
      <alignment horizontal="center" vertical="center"/>
    </xf>
    <xf numFmtId="0" fontId="7" fillId="86" borderId="81" xfId="335" applyFill="1" applyBorder="1" applyAlignment="1">
      <alignment horizontal="center" vertical="center"/>
    </xf>
    <xf numFmtId="16" fontId="7" fillId="0" borderId="83" xfId="335" applyNumberForma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9" fillId="0" borderId="40" xfId="0" applyFont="1" applyBorder="1"/>
    <xf numFmtId="0" fontId="9" fillId="0" borderId="37" xfId="0" applyFont="1" applyBorder="1"/>
    <xf numFmtId="0" fontId="10" fillId="0" borderId="74" xfId="0" applyFont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/>
    </xf>
    <xf numFmtId="0" fontId="9" fillId="0" borderId="71" xfId="0" applyFont="1" applyBorder="1"/>
    <xf numFmtId="0" fontId="9" fillId="0" borderId="72" xfId="0" applyFont="1" applyBorder="1"/>
    <xf numFmtId="0" fontId="8" fillId="2" borderId="25" xfId="0" applyFont="1" applyFill="1" applyBorder="1" applyAlignment="1">
      <alignment horizontal="center"/>
    </xf>
    <xf numFmtId="0" fontId="9" fillId="0" borderId="26" xfId="0" applyFont="1" applyBorder="1"/>
    <xf numFmtId="0" fontId="9" fillId="0" borderId="27" xfId="0" applyFont="1" applyBorder="1"/>
    <xf numFmtId="0" fontId="8" fillId="21" borderId="70" xfId="0" applyFont="1" applyFill="1" applyBorder="1" applyAlignment="1">
      <alignment horizontal="center" vertical="center"/>
    </xf>
    <xf numFmtId="0" fontId="23" fillId="22" borderId="76" xfId="0" applyFont="1" applyFill="1" applyBorder="1" applyAlignment="1">
      <alignment horizontal="center" vertical="center" wrapText="1"/>
    </xf>
    <xf numFmtId="0" fontId="9" fillId="0" borderId="36" xfId="0" applyFont="1" applyBorder="1"/>
    <xf numFmtId="0" fontId="23" fillId="22" borderId="77" xfId="0" applyFont="1" applyFill="1" applyBorder="1" applyAlignment="1">
      <alignment horizontal="center" vertical="center"/>
    </xf>
    <xf numFmtId="0" fontId="23" fillId="22" borderId="77" xfId="0" applyFont="1" applyFill="1" applyBorder="1" applyAlignment="1">
      <alignment horizontal="center" vertical="center" wrapText="1"/>
    </xf>
    <xf numFmtId="0" fontId="23" fillId="22" borderId="73" xfId="0" applyFont="1" applyFill="1" applyBorder="1" applyAlignment="1">
      <alignment horizontal="center" vertical="center" wrapText="1"/>
    </xf>
    <xf numFmtId="0" fontId="23" fillId="22" borderId="78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/>
    </xf>
    <xf numFmtId="0" fontId="23" fillId="0" borderId="8" xfId="0" applyFont="1" applyBorder="1" applyAlignment="1">
      <alignment horizontal="center" vertical="center"/>
    </xf>
    <xf numFmtId="176" fontId="10" fillId="0" borderId="74" xfId="0" applyNumberFormat="1" applyFont="1" applyBorder="1" applyAlignment="1">
      <alignment horizontal="center" vertical="center" wrapText="1"/>
    </xf>
    <xf numFmtId="176" fontId="23" fillId="0" borderId="74" xfId="0" applyNumberFormat="1" applyFont="1" applyBorder="1" applyAlignment="1">
      <alignment horizontal="center" vertical="center" wrapText="1"/>
    </xf>
    <xf numFmtId="176" fontId="23" fillId="0" borderId="37" xfId="0" applyNumberFormat="1" applyFont="1" applyBorder="1" applyAlignment="1">
      <alignment horizontal="center" vertical="center" wrapText="1"/>
    </xf>
    <xf numFmtId="176" fontId="23" fillId="0" borderId="40" xfId="0" applyNumberFormat="1" applyFont="1" applyBorder="1" applyAlignment="1">
      <alignment horizontal="center" vertical="center" wrapText="1"/>
    </xf>
    <xf numFmtId="172" fontId="23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60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12498</xdr:colOff>
      <xdr:row>10</xdr:row>
      <xdr:rowOff>22577</xdr:rowOff>
    </xdr:from>
    <xdr:to>
      <xdr:col>43</xdr:col>
      <xdr:colOff>222789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805169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1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3"/>
    </row>
    <row r="2" spans="1:26" ht="14.25" customHeight="1">
      <c r="A2" s="531" t="s">
        <v>1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4" t="s">
        <v>7</v>
      </c>
      <c r="G3" s="532"/>
      <c r="H3" s="532"/>
      <c r="I3" s="533"/>
      <c r="J3" s="2" t="s">
        <v>8</v>
      </c>
      <c r="K3" s="534" t="s">
        <v>9</v>
      </c>
      <c r="L3" s="532"/>
      <c r="M3" s="532"/>
      <c r="N3" s="533"/>
      <c r="O3" s="2" t="s">
        <v>10</v>
      </c>
      <c r="P3" s="4" t="s">
        <v>11</v>
      </c>
      <c r="Q3" s="535" t="s">
        <v>12</v>
      </c>
      <c r="R3" s="532"/>
      <c r="S3" s="533"/>
      <c r="T3" s="536" t="s">
        <v>13</v>
      </c>
      <c r="U3" s="532"/>
      <c r="V3" s="533"/>
      <c r="W3" s="537" t="s">
        <v>14</v>
      </c>
      <c r="X3" s="538"/>
      <c r="Y3" s="53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1" t="str">
        <f>+Summary!A2</f>
        <v>Name of the Line: 220KV DC AL59 line from Neemuch - Chanderiya + 132KV DC ACSS Line from Chanderiya to Hindustan Zinc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3"/>
    </row>
    <row r="2" spans="1:26" ht="14.25" customHeight="1">
      <c r="A2" s="531" t="s">
        <v>296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4" t="s">
        <v>7</v>
      </c>
      <c r="G3" s="532"/>
      <c r="H3" s="532"/>
      <c r="I3" s="533"/>
      <c r="J3" s="2" t="s">
        <v>8</v>
      </c>
      <c r="K3" s="534" t="s">
        <v>9</v>
      </c>
      <c r="L3" s="532"/>
      <c r="M3" s="532"/>
      <c r="N3" s="533"/>
      <c r="O3" s="2" t="s">
        <v>10</v>
      </c>
      <c r="P3" s="4" t="s">
        <v>11</v>
      </c>
      <c r="Q3" s="535" t="s">
        <v>12</v>
      </c>
      <c r="R3" s="532"/>
      <c r="S3" s="533"/>
      <c r="T3" s="536" t="s">
        <v>13</v>
      </c>
      <c r="U3" s="532"/>
      <c r="V3" s="533"/>
      <c r="W3" s="537" t="s">
        <v>14</v>
      </c>
      <c r="X3" s="538"/>
      <c r="Y3" s="53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1" t="str">
        <f>+Summary!A2</f>
        <v>Name of the Line: 220KV DC AL59 line from Neemuch - Chanderiya + 132KV DC ACSS Line from Chanderiya to Hindustan Zinc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3"/>
    </row>
    <row r="2" spans="1:26" ht="14.25" customHeight="1">
      <c r="A2" s="531" t="s">
        <v>302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3"/>
    </row>
    <row r="3" spans="1:26" ht="30" customHeight="1">
      <c r="A3" s="542" t="s">
        <v>2</v>
      </c>
      <c r="B3" s="542" t="s">
        <v>3</v>
      </c>
      <c r="C3" s="542" t="s">
        <v>4</v>
      </c>
      <c r="D3" s="2" t="s">
        <v>5</v>
      </c>
      <c r="E3" s="2" t="s">
        <v>6</v>
      </c>
      <c r="F3" s="534" t="s">
        <v>7</v>
      </c>
      <c r="G3" s="532"/>
      <c r="H3" s="532"/>
      <c r="I3" s="533"/>
      <c r="J3" s="2" t="s">
        <v>8</v>
      </c>
      <c r="K3" s="534" t="s">
        <v>9</v>
      </c>
      <c r="L3" s="532"/>
      <c r="M3" s="532"/>
      <c r="N3" s="533"/>
      <c r="O3" s="2" t="s">
        <v>10</v>
      </c>
      <c r="P3" s="4" t="s">
        <v>11</v>
      </c>
      <c r="Q3" s="535" t="s">
        <v>12</v>
      </c>
      <c r="R3" s="532"/>
      <c r="S3" s="533"/>
      <c r="T3" s="536" t="s">
        <v>13</v>
      </c>
      <c r="U3" s="532"/>
      <c r="V3" s="533"/>
      <c r="W3" s="537" t="s">
        <v>14</v>
      </c>
      <c r="X3" s="538"/>
      <c r="Y3" s="539"/>
      <c r="Z3" s="540" t="s">
        <v>15</v>
      </c>
    </row>
    <row r="4" spans="1:26" ht="22.5" customHeight="1">
      <c r="A4" s="541"/>
      <c r="B4" s="541"/>
      <c r="C4" s="541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1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1" t="str">
        <f>+Summary!A2</f>
        <v>Name of the Line: 220KV DC AL59 line from Neemuch - Chanderiya + 132KV DC ACSS Line from Chanderiya to Hindustan Zinc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3"/>
    </row>
    <row r="2" spans="1:26" ht="14.25" customHeight="1">
      <c r="A2" s="531" t="s">
        <v>296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2"/>
      <c r="S2" s="532"/>
      <c r="T2" s="532"/>
      <c r="U2" s="532"/>
      <c r="V2" s="532"/>
      <c r="W2" s="532"/>
      <c r="X2" s="532"/>
      <c r="Y2" s="532"/>
      <c r="Z2" s="533"/>
    </row>
    <row r="3" spans="1:26" ht="30" customHeight="1">
      <c r="A3" s="542" t="s">
        <v>2</v>
      </c>
      <c r="B3" s="542" t="s">
        <v>3</v>
      </c>
      <c r="C3" s="542" t="s">
        <v>4</v>
      </c>
      <c r="D3" s="2" t="s">
        <v>5</v>
      </c>
      <c r="E3" s="2" t="s">
        <v>6</v>
      </c>
      <c r="F3" s="534" t="s">
        <v>7</v>
      </c>
      <c r="G3" s="532"/>
      <c r="H3" s="532"/>
      <c r="I3" s="533"/>
      <c r="J3" s="2" t="s">
        <v>8</v>
      </c>
      <c r="K3" s="534" t="s">
        <v>9</v>
      </c>
      <c r="L3" s="532"/>
      <c r="M3" s="532"/>
      <c r="N3" s="533"/>
      <c r="O3" s="2" t="s">
        <v>10</v>
      </c>
      <c r="P3" s="4" t="s">
        <v>11</v>
      </c>
      <c r="Q3" s="535" t="s">
        <v>12</v>
      </c>
      <c r="R3" s="532"/>
      <c r="S3" s="533"/>
      <c r="T3" s="536" t="s">
        <v>13</v>
      </c>
      <c r="U3" s="532"/>
      <c r="V3" s="533"/>
      <c r="W3" s="537" t="s">
        <v>14</v>
      </c>
      <c r="X3" s="538"/>
      <c r="Y3" s="539"/>
      <c r="Z3" s="540" t="s">
        <v>15</v>
      </c>
    </row>
    <row r="4" spans="1:26" ht="22.5" customHeight="1">
      <c r="A4" s="541"/>
      <c r="B4" s="541"/>
      <c r="C4" s="541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1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I8" activePane="bottomRight" state="frozen"/>
      <selection pane="topRight" activeCell="C1" sqref="C1"/>
      <selection pane="bottomLeft" activeCell="A8" sqref="A8"/>
      <selection pane="bottomRight" activeCell="K29" sqref="K29"/>
    </sheetView>
  </sheetViews>
  <sheetFormatPr defaultColWidth="14.453125" defaultRowHeight="15" customHeight="1"/>
  <cols>
    <col min="1" max="1" width="6.54296875" style="361" customWidth="1"/>
    <col min="2" max="2" width="18.81640625" style="361" customWidth="1"/>
    <col min="3" max="3" width="6.26953125" style="361" customWidth="1"/>
    <col min="4" max="4" width="13" style="361" customWidth="1"/>
    <col min="5" max="5" width="12.08984375" style="361" hidden="1" customWidth="1"/>
    <col min="6" max="6" width="11.26953125" style="361" hidden="1" customWidth="1"/>
    <col min="7" max="8" width="11.453125" style="361" customWidth="1"/>
    <col min="9" max="9" width="11.08984375" style="361" customWidth="1"/>
    <col min="10" max="10" width="10.81640625" style="361" customWidth="1"/>
    <col min="11" max="11" width="13.08984375" style="361" customWidth="1"/>
    <col min="12" max="12" width="11.54296875" style="361" customWidth="1"/>
    <col min="13" max="13" width="13.81640625" style="361" customWidth="1"/>
    <col min="14" max="14" width="12.453125" style="361" customWidth="1"/>
    <col min="15" max="15" width="11.54296875" style="361" customWidth="1"/>
    <col min="16" max="16" width="12" style="361" customWidth="1"/>
    <col min="17" max="17" width="9.453125" style="361" customWidth="1"/>
    <col min="18" max="18" width="44.1796875" style="361" customWidth="1"/>
    <col min="19" max="19" width="13.54296875" style="361" customWidth="1"/>
    <col min="20" max="20" width="13.7265625" style="361" customWidth="1"/>
    <col min="21" max="21" width="14.81640625" style="361" customWidth="1"/>
    <col min="22" max="22" width="12.26953125" style="361" customWidth="1"/>
    <col min="23" max="42" width="9.08984375" style="361" customWidth="1"/>
    <col min="43" max="43" width="14.08984375" style="361" customWidth="1"/>
    <col min="44" max="63" width="9.08984375" style="361" customWidth="1"/>
    <col min="64" max="16384" width="14.453125" style="361"/>
  </cols>
  <sheetData>
    <row r="1" spans="1:43" ht="12.75" customHeight="1">
      <c r="A1" s="543" t="s">
        <v>345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5"/>
      <c r="S1" s="360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</row>
    <row r="2" spans="1:43" ht="15.75" customHeight="1">
      <c r="A2" s="546" t="s">
        <v>346</v>
      </c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352"/>
      <c r="O2" s="548" t="s">
        <v>347</v>
      </c>
      <c r="P2" s="547"/>
      <c r="Q2" s="547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</row>
    <row r="3" spans="1:43" ht="13.5" customHeight="1">
      <c r="A3" s="549" t="s">
        <v>348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50"/>
      <c r="N3" s="551"/>
      <c r="O3" s="552" t="s">
        <v>349</v>
      </c>
      <c r="P3" s="547"/>
      <c r="Q3" s="547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59" t="s">
        <v>350</v>
      </c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353"/>
      <c r="N4" s="353"/>
      <c r="O4" s="553" t="s">
        <v>351</v>
      </c>
      <c r="P4" s="554"/>
      <c r="Q4" s="554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60" t="s">
        <v>353</v>
      </c>
      <c r="B5" s="544"/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61"/>
      <c r="Q5" s="413" t="s">
        <v>354</v>
      </c>
      <c r="R5" s="414">
        <v>46092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62" t="s">
        <v>355</v>
      </c>
      <c r="B6" s="564" t="s">
        <v>356</v>
      </c>
      <c r="C6" s="564" t="s">
        <v>357</v>
      </c>
      <c r="D6" s="564" t="s">
        <v>358</v>
      </c>
      <c r="E6" s="555" t="s">
        <v>359</v>
      </c>
      <c r="F6" s="556"/>
      <c r="G6" s="555" t="s">
        <v>360</v>
      </c>
      <c r="H6" s="556"/>
      <c r="I6" s="557" t="s">
        <v>747</v>
      </c>
      <c r="J6" s="558"/>
      <c r="K6" s="556"/>
      <c r="L6" s="555" t="s">
        <v>361</v>
      </c>
      <c r="M6" s="558"/>
      <c r="N6" s="556"/>
      <c r="O6" s="555" t="s">
        <v>362</v>
      </c>
      <c r="P6" s="558"/>
      <c r="Q6" s="556"/>
      <c r="R6" s="569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63"/>
      <c r="B7" s="565"/>
      <c r="C7" s="565"/>
      <c r="D7" s="565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70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5">
        <v>1</v>
      </c>
      <c r="B8" s="354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10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6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5">
        <v>2</v>
      </c>
      <c r="B9" s="354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1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5">
        <v>3</v>
      </c>
      <c r="B10" s="354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1</v>
      </c>
      <c r="K10" s="84">
        <f t="shared" si="0"/>
        <v>0</v>
      </c>
      <c r="L10" s="79">
        <v>199</v>
      </c>
      <c r="M10" s="81">
        <f>'Progress-220kV'!AM407-2</f>
        <v>195</v>
      </c>
      <c r="N10" s="79">
        <f>D10-M10</f>
        <v>4</v>
      </c>
      <c r="O10" s="571">
        <v>0</v>
      </c>
      <c r="P10" s="571">
        <v>0</v>
      </c>
      <c r="Q10" s="572">
        <f t="shared" si="1"/>
        <v>0</v>
      </c>
      <c r="R10" s="573"/>
      <c r="S10" s="352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5">
        <v>4</v>
      </c>
      <c r="B11" s="354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f>M11-H11</f>
        <v>0</v>
      </c>
      <c r="L11" s="79">
        <v>199</v>
      </c>
      <c r="M11" s="83">
        <f>'Progress-220kV'!AV407-2</f>
        <v>195</v>
      </c>
      <c r="N11" s="79">
        <f>D11-M11</f>
        <v>4</v>
      </c>
      <c r="O11" s="565"/>
      <c r="P11" s="565"/>
      <c r="Q11" s="565"/>
      <c r="R11" s="574"/>
      <c r="S11" s="352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5">
        <v>5</v>
      </c>
      <c r="B12" s="354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0</v>
      </c>
      <c r="K12" s="79">
        <f>M12-H12</f>
        <v>0</v>
      </c>
      <c r="L12" s="79">
        <v>199</v>
      </c>
      <c r="M12" s="81">
        <f>'Progress-220kV'!BB407-2</f>
        <v>194</v>
      </c>
      <c r="N12" s="79">
        <f>D12-M12</f>
        <v>5</v>
      </c>
      <c r="O12" s="78">
        <v>0</v>
      </c>
      <c r="P12" s="78">
        <v>0</v>
      </c>
      <c r="Q12" s="78">
        <f t="shared" ref="Q12:Q13" si="3">+O12-P12</f>
        <v>0</v>
      </c>
      <c r="R12" s="575"/>
      <c r="S12" s="352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5">
        <v>6</v>
      </c>
      <c r="B13" s="354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'Progress-220kV'!BI5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17"/>
      <c r="S13" s="352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5">
        <v>7</v>
      </c>
      <c r="B14" s="354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:K17" si="4">M14-H14</f>
        <v>0</v>
      </c>
      <c r="L14" s="79"/>
      <c r="M14" s="81"/>
      <c r="N14" s="79"/>
      <c r="O14" s="78"/>
      <c r="P14" s="78"/>
      <c r="Q14" s="78"/>
      <c r="R14" s="566" t="s">
        <v>748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5" t="s">
        <v>385</v>
      </c>
      <c r="B15" s="354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81">
        <v>64</v>
      </c>
      <c r="H15" s="89">
        <v>58.5</v>
      </c>
      <c r="I15" s="83">
        <f>G15-H15</f>
        <v>5.5</v>
      </c>
      <c r="J15" s="90">
        <v>0</v>
      </c>
      <c r="K15" s="518">
        <f>M15-H15</f>
        <v>1.0635750000000002</v>
      </c>
      <c r="L15" s="79">
        <v>64</v>
      </c>
      <c r="M15" s="514">
        <f>'Stringing-220kV'!I3</f>
        <v>59.563575</v>
      </c>
      <c r="N15" s="509">
        <f>D15-M15</f>
        <v>4.4364249999999998</v>
      </c>
      <c r="O15" s="572">
        <v>2</v>
      </c>
      <c r="P15" s="571">
        <v>1</v>
      </c>
      <c r="Q15" s="572">
        <f>+O15-P15</f>
        <v>1</v>
      </c>
      <c r="R15" s="567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5" t="s">
        <v>387</v>
      </c>
      <c r="B16" s="354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81">
        <v>64</v>
      </c>
      <c r="H16" s="89">
        <v>57.4</v>
      </c>
      <c r="I16" s="83">
        <v>7</v>
      </c>
      <c r="J16" s="91">
        <v>0</v>
      </c>
      <c r="K16" s="518">
        <f>M16-H16</f>
        <v>1.0603249999999989</v>
      </c>
      <c r="L16" s="79">
        <v>64</v>
      </c>
      <c r="M16" s="514">
        <f>'Stringing-220kV'!L3</f>
        <v>58.460324999999997</v>
      </c>
      <c r="N16" s="509">
        <f t="shared" ref="N16:N17" si="5">D16-M16</f>
        <v>5.5396750000000026</v>
      </c>
      <c r="O16" s="565"/>
      <c r="P16" s="565"/>
      <c r="Q16" s="565"/>
      <c r="R16" s="568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12.75" customHeight="1" thickBot="1">
      <c r="A17" s="418" t="s">
        <v>389</v>
      </c>
      <c r="B17" s="419" t="s">
        <v>390</v>
      </c>
      <c r="C17" s="420" t="s">
        <v>377</v>
      </c>
      <c r="D17" s="421">
        <v>64</v>
      </c>
      <c r="E17" s="422">
        <v>45627</v>
      </c>
      <c r="F17" s="422">
        <v>45777</v>
      </c>
      <c r="G17" s="423">
        <v>64</v>
      </c>
      <c r="H17" s="424">
        <v>39.299999999999997</v>
      </c>
      <c r="I17" s="424">
        <v>25</v>
      </c>
      <c r="J17" s="425">
        <v>0</v>
      </c>
      <c r="K17" s="426">
        <f t="shared" si="4"/>
        <v>1.0409999999936304E-3</v>
      </c>
      <c r="L17" s="421">
        <v>64</v>
      </c>
      <c r="M17" s="423">
        <f>'Stringing-220kV'!Y3</f>
        <v>39.301040999999991</v>
      </c>
      <c r="N17" s="421">
        <f t="shared" si="5"/>
        <v>24.698959000000009</v>
      </c>
      <c r="O17" s="420">
        <v>1</v>
      </c>
      <c r="P17" s="427">
        <v>0</v>
      </c>
      <c r="Q17" s="420">
        <f>+O17-P17</f>
        <v>1</v>
      </c>
      <c r="R17" s="428"/>
    </row>
    <row r="18" spans="1:18" ht="12.75" customHeight="1" thickBot="1">
      <c r="A18" s="362"/>
      <c r="B18" s="360"/>
      <c r="C18" s="360"/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60"/>
      <c r="O18" s="360"/>
      <c r="P18" s="360"/>
      <c r="Q18" s="360"/>
      <c r="R18" s="363"/>
    </row>
    <row r="19" spans="1:18" ht="12.75" customHeight="1">
      <c r="A19" s="585" t="s">
        <v>391</v>
      </c>
      <c r="B19" s="586"/>
      <c r="C19" s="586"/>
      <c r="D19" s="586"/>
      <c r="E19" s="586"/>
      <c r="F19" s="586"/>
      <c r="G19" s="586"/>
      <c r="H19" s="586"/>
      <c r="I19" s="586"/>
      <c r="J19" s="586"/>
      <c r="K19" s="586"/>
      <c r="L19" s="586"/>
      <c r="M19" s="586"/>
      <c r="N19" s="586"/>
      <c r="O19" s="586"/>
      <c r="P19" s="587"/>
      <c r="Q19" s="74" t="s">
        <v>354</v>
      </c>
      <c r="R19" s="75">
        <f>+R5</f>
        <v>46092</v>
      </c>
    </row>
    <row r="20" spans="1:18" ht="30" customHeight="1">
      <c r="A20" s="588" t="s">
        <v>355</v>
      </c>
      <c r="B20" s="590" t="s">
        <v>356</v>
      </c>
      <c r="C20" s="590" t="s">
        <v>357</v>
      </c>
      <c r="D20" s="590" t="s">
        <v>358</v>
      </c>
      <c r="E20" s="582" t="s">
        <v>359</v>
      </c>
      <c r="F20" s="583"/>
      <c r="G20" s="582" t="s">
        <v>360</v>
      </c>
      <c r="H20" s="583"/>
      <c r="I20" s="582" t="str">
        <f>+I6</f>
        <v>Progress of Current Month (March'26)</v>
      </c>
      <c r="J20" s="584"/>
      <c r="K20" s="583"/>
      <c r="L20" s="582" t="s">
        <v>361</v>
      </c>
      <c r="M20" s="584"/>
      <c r="N20" s="583"/>
      <c r="O20" s="582" t="s">
        <v>362</v>
      </c>
      <c r="P20" s="584"/>
      <c r="Q20" s="583"/>
      <c r="R20" s="578" t="s">
        <v>363</v>
      </c>
    </row>
    <row r="21" spans="1:18" ht="12.75" customHeight="1">
      <c r="A21" s="589"/>
      <c r="B21" s="581"/>
      <c r="C21" s="581"/>
      <c r="D21" s="58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79"/>
    </row>
    <row r="22" spans="1:18" ht="12.75" customHeight="1">
      <c r="A22" s="77">
        <v>1</v>
      </c>
      <c r="B22" s="354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5"/>
    </row>
    <row r="23" spans="1:18" ht="12.75" customHeight="1">
      <c r="A23" s="77">
        <v>2</v>
      </c>
      <c r="B23" s="354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5"/>
    </row>
    <row r="24" spans="1:18" ht="82.5" customHeight="1">
      <c r="A24" s="77">
        <v>3</v>
      </c>
      <c r="B24" s="354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1</v>
      </c>
      <c r="L24" s="79">
        <v>39</v>
      </c>
      <c r="M24" s="81">
        <f>'Progress-132kV'!AF87</f>
        <v>28</v>
      </c>
      <c r="N24" s="79">
        <f>D24-M24</f>
        <v>11</v>
      </c>
      <c r="O24" s="82">
        <v>2</v>
      </c>
      <c r="P24" s="82">
        <v>2</v>
      </c>
      <c r="Q24" s="82">
        <f>O24-P24</f>
        <v>0</v>
      </c>
      <c r="R24" s="358" t="s">
        <v>749</v>
      </c>
    </row>
    <row r="25" spans="1:18" ht="12.75" customHeight="1">
      <c r="A25" s="77">
        <v>4</v>
      </c>
      <c r="B25" s="354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0</v>
      </c>
      <c r="L25" s="79">
        <v>39</v>
      </c>
      <c r="M25" s="81">
        <f>'Progress-132kV'!AL87</f>
        <v>25</v>
      </c>
      <c r="N25" s="79">
        <f t="shared" si="8"/>
        <v>14</v>
      </c>
      <c r="O25" s="82">
        <v>2</v>
      </c>
      <c r="P25" s="82">
        <v>2</v>
      </c>
      <c r="Q25" s="82">
        <v>0</v>
      </c>
      <c r="R25" s="358"/>
    </row>
    <row r="26" spans="1:18" ht="12.75" customHeight="1">
      <c r="A26" s="77">
        <v>5</v>
      </c>
      <c r="B26" s="354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0</v>
      </c>
      <c r="L26" s="79">
        <v>39</v>
      </c>
      <c r="M26" s="81">
        <f>'Progress-132kV'!AQ87</f>
        <v>23</v>
      </c>
      <c r="N26" s="79">
        <f t="shared" si="8"/>
        <v>16</v>
      </c>
      <c r="O26" s="82">
        <v>1</v>
      </c>
      <c r="P26" s="78">
        <v>0</v>
      </c>
      <c r="Q26" s="78">
        <f t="shared" ref="Q26:Q27" si="9">+O26-P26</f>
        <v>1</v>
      </c>
      <c r="R26" s="356"/>
    </row>
    <row r="27" spans="1:18" ht="12.75" customHeight="1">
      <c r="A27" s="77">
        <v>6</v>
      </c>
      <c r="B27" s="354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0</v>
      </c>
      <c r="K27" s="79">
        <v>0</v>
      </c>
      <c r="L27" s="79">
        <v>39</v>
      </c>
      <c r="M27" s="81">
        <f>'Progress-132kV'!AV87</f>
        <v>11</v>
      </c>
      <c r="N27" s="79">
        <f t="shared" si="8"/>
        <v>28</v>
      </c>
      <c r="O27" s="78">
        <v>1</v>
      </c>
      <c r="P27" s="78">
        <v>0</v>
      </c>
      <c r="Q27" s="78">
        <f t="shared" si="9"/>
        <v>1</v>
      </c>
      <c r="R27" s="356"/>
    </row>
    <row r="28" spans="1:18" ht="12.75" customHeight="1">
      <c r="A28" s="77">
        <v>7</v>
      </c>
      <c r="B28" s="354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6"/>
    </row>
    <row r="29" spans="1:18" ht="27" customHeight="1">
      <c r="A29" s="77" t="s">
        <v>385</v>
      </c>
      <c r="B29" s="354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9">
        <v>0</v>
      </c>
      <c r="I29" s="81">
        <v>9</v>
      </c>
      <c r="J29" s="514">
        <v>0</v>
      </c>
      <c r="K29" s="509">
        <f>M29-H29</f>
        <v>1.398406</v>
      </c>
      <c r="L29" s="509">
        <v>9</v>
      </c>
      <c r="M29" s="509">
        <f>'Stringing-132KV'!I3</f>
        <v>1.398406</v>
      </c>
      <c r="N29" s="509">
        <f t="shared" ref="N29:N31" si="10">D29-M29</f>
        <v>7.6015940000000004</v>
      </c>
      <c r="O29" s="78">
        <v>1</v>
      </c>
      <c r="P29" s="78">
        <v>1</v>
      </c>
      <c r="Q29" s="580">
        <f>+O29-P29</f>
        <v>0</v>
      </c>
      <c r="R29" s="576" t="s">
        <v>750</v>
      </c>
    </row>
    <row r="30" spans="1:18" ht="27" customHeight="1">
      <c r="A30" s="77" t="s">
        <v>387</v>
      </c>
      <c r="B30" s="354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9">
        <v>0</v>
      </c>
      <c r="I30" s="81">
        <v>9</v>
      </c>
      <c r="J30" s="514">
        <v>0</v>
      </c>
      <c r="K30" s="509">
        <f>M30-H30</f>
        <v>1.398406</v>
      </c>
      <c r="L30" s="509">
        <v>9</v>
      </c>
      <c r="M30" s="509">
        <f>'Stringing-132KV'!L3</f>
        <v>1.398406</v>
      </c>
      <c r="N30" s="509">
        <f t="shared" si="10"/>
        <v>7.6015940000000004</v>
      </c>
      <c r="O30" s="78">
        <v>1</v>
      </c>
      <c r="P30" s="78">
        <v>1</v>
      </c>
      <c r="Q30" s="581"/>
      <c r="R30" s="577"/>
    </row>
    <row r="31" spans="1:18" ht="12.75" customHeight="1" thickBot="1">
      <c r="A31" s="92" t="s">
        <v>389</v>
      </c>
      <c r="B31" s="357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10">
        <v>9</v>
      </c>
      <c r="M31" s="94"/>
      <c r="N31" s="510">
        <f t="shared" si="10"/>
        <v>9</v>
      </c>
      <c r="O31" s="93"/>
      <c r="P31" s="93"/>
      <c r="Q31" s="93">
        <f>+O31-P31</f>
        <v>0</v>
      </c>
      <c r="R31" s="359"/>
    </row>
  </sheetData>
  <mergeCells count="40"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14:R16"/>
    <mergeCell ref="R6:R7"/>
    <mergeCell ref="L6:N6"/>
    <mergeCell ref="O6:Q6"/>
    <mergeCell ref="O10:O11"/>
    <mergeCell ref="P10:P11"/>
    <mergeCell ref="Q10:Q11"/>
    <mergeCell ref="R10:R12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59" priority="1" operator="equal">
      <formula>"U/P"</formula>
    </cfRule>
    <cfRule type="cellIs" dxfId="1558" priority="2" operator="equal">
      <formula>"C"</formula>
    </cfRule>
  </conditionalFormatting>
  <conditionalFormatting sqref="R19">
    <cfRule type="cellIs" dxfId="1557" priority="3" operator="equal">
      <formula>"U/P"</formula>
    </cfRule>
    <cfRule type="cellIs" dxfId="1556" priority="4" operator="equal">
      <formula>"C"</formula>
    </cfRule>
  </conditionalFormatting>
  <pageMargins left="0.31496062992125984" right="0.23622047244094491" top="0.62992125984251968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G40" sqref="G40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1" t="str">
        <f>+Summary!A2</f>
        <v>Name of the Line: 220KV DC AL59 line from Neemuch - Chanderiya + 132KV DC ACSS Line from Chanderiya to Hindustan Zinc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3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2" t="s">
        <v>410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3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2" t="s">
        <v>437</v>
      </c>
      <c r="B11" s="532"/>
      <c r="C11" s="532"/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2"/>
      <c r="Q11" s="532"/>
      <c r="R11" s="532"/>
      <c r="S11" s="533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7" t="s">
        <v>430</v>
      </c>
      <c r="B27" s="398" t="s">
        <v>420</v>
      </c>
      <c r="C27" s="398" t="s">
        <v>421</v>
      </c>
      <c r="D27" s="398" t="s">
        <v>431</v>
      </c>
      <c r="E27" s="398" t="s">
        <v>463</v>
      </c>
      <c r="F27" s="398"/>
      <c r="G27" s="398" t="s">
        <v>462</v>
      </c>
    </row>
    <row r="28" spans="1:19" ht="14.25" customHeight="1" thickBot="1">
      <c r="A28" s="401" t="s">
        <v>708</v>
      </c>
      <c r="B28" s="402" t="s">
        <v>420</v>
      </c>
      <c r="C28" s="402" t="s">
        <v>421</v>
      </c>
      <c r="D28" s="402" t="s">
        <v>710</v>
      </c>
      <c r="E28" s="402"/>
      <c r="F28" s="402"/>
      <c r="G28" s="403" t="s">
        <v>712</v>
      </c>
    </row>
    <row r="29" spans="1:19" ht="14.25" customHeight="1" thickBot="1">
      <c r="A29" s="399" t="s">
        <v>709</v>
      </c>
      <c r="B29" s="400" t="s">
        <v>420</v>
      </c>
      <c r="C29" s="400" t="s">
        <v>421</v>
      </c>
      <c r="D29" s="400" t="s">
        <v>711</v>
      </c>
      <c r="E29" s="400"/>
      <c r="F29" s="400"/>
      <c r="G29" s="403" t="s">
        <v>712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713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Q23" activePane="bottomRight" state="frozen"/>
      <selection pane="topRight" activeCell="D1" sqref="D1"/>
      <selection pane="bottomLeft" activeCell="A6" sqref="A6"/>
      <selection pane="bottomRight" activeCell="A44" sqref="A44:XFD44"/>
    </sheetView>
  </sheetViews>
  <sheetFormatPr defaultColWidth="14.453125" defaultRowHeight="15" customHeight="1"/>
  <cols>
    <col min="1" max="1" width="4.54296875" style="361" customWidth="1"/>
    <col min="2" max="2" width="8.7265625" style="361" customWidth="1"/>
    <col min="3" max="14" width="14.54296875" style="361" customWidth="1"/>
    <col min="15" max="17" width="4.26953125" style="361" customWidth="1"/>
    <col min="18" max="18" width="3.453125" style="361" customWidth="1"/>
    <col min="19" max="19" width="10.54296875" style="361" customWidth="1"/>
    <col min="20" max="25" width="10.453125" style="361" customWidth="1"/>
    <col min="26" max="29" width="11.453125" style="361" customWidth="1"/>
    <col min="30" max="30" width="11" style="361" customWidth="1"/>
    <col min="31" max="31" width="10.453125" style="361" customWidth="1"/>
    <col min="32" max="32" width="8.26953125" style="361" customWidth="1"/>
    <col min="33" max="36" width="10.453125" style="361" customWidth="1"/>
    <col min="37" max="37" width="30.54296875" style="361" customWidth="1"/>
    <col min="38" max="38" width="9.08984375" customWidth="1"/>
    <col min="39" max="39" width="5.26953125" style="396" customWidth="1"/>
    <col min="40" max="41" width="10.453125" customWidth="1"/>
    <col min="42" max="42" width="20.26953125" customWidth="1"/>
    <col min="43" max="43" width="9.08984375" style="361" customWidth="1"/>
    <col min="44" max="45" width="10.453125" style="361" customWidth="1"/>
    <col min="46" max="46" width="20.26953125" style="361" customWidth="1"/>
    <col min="47" max="47" width="15.26953125" style="361" customWidth="1"/>
    <col min="48" max="48" width="8.54296875" style="361" customWidth="1"/>
    <col min="49" max="51" width="10.54296875" style="361" customWidth="1"/>
    <col min="52" max="52" width="15.7265625" style="361" customWidth="1"/>
    <col min="53" max="53" width="18.90625" style="361" customWidth="1"/>
    <col min="54" max="16384" width="14.453125" style="361"/>
  </cols>
  <sheetData>
    <row r="1" spans="1:53" ht="14.25" customHeight="1">
      <c r="A1" s="531" t="str">
        <f>+Summary!A2</f>
        <v>Name of the Line: 220KV DC AL59 line from Neemuch - Chanderiya + 132KV DC ACSS Line from Chanderiya to Hindustan Zinc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32"/>
      <c r="AM1" s="532"/>
      <c r="AN1" s="532"/>
      <c r="AO1" s="532"/>
      <c r="AP1" s="532"/>
      <c r="AQ1" s="594"/>
      <c r="AR1" s="594"/>
      <c r="AS1" s="594"/>
      <c r="AT1" s="594"/>
      <c r="AU1" s="594"/>
      <c r="AV1" s="594"/>
      <c r="AW1" s="594"/>
      <c r="AX1" s="594"/>
      <c r="AY1" s="594"/>
      <c r="AZ1" s="594"/>
      <c r="BA1" s="593"/>
    </row>
    <row r="2" spans="1:53" ht="14.25" customHeight="1">
      <c r="A2" s="531" t="str">
        <f>+Summary!A5</f>
        <v>Progress of 220kV Line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  <c r="Y2" s="594"/>
      <c r="Z2" s="594"/>
      <c r="AA2" s="594"/>
      <c r="AB2" s="594"/>
      <c r="AC2" s="594"/>
      <c r="AD2" s="594"/>
      <c r="AE2" s="594"/>
      <c r="AF2" s="594"/>
      <c r="AG2" s="594"/>
      <c r="AH2" s="594"/>
      <c r="AI2" s="594"/>
      <c r="AJ2" s="594"/>
      <c r="AK2" s="594"/>
      <c r="AL2" s="532"/>
      <c r="AM2" s="532"/>
      <c r="AN2" s="532"/>
      <c r="AO2" s="532"/>
      <c r="AP2" s="532"/>
      <c r="AQ2" s="594"/>
      <c r="AR2" s="594"/>
      <c r="AS2" s="594"/>
      <c r="AT2" s="594"/>
      <c r="AU2" s="594"/>
      <c r="AV2" s="594"/>
      <c r="AW2" s="594"/>
      <c r="AX2" s="594"/>
      <c r="AY2" s="594"/>
      <c r="AZ2" s="594"/>
      <c r="BA2" s="593"/>
    </row>
    <row r="3" spans="1:53" ht="23" customHeight="1">
      <c r="A3" s="531" t="s">
        <v>468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594"/>
      <c r="O3" s="594"/>
      <c r="P3" s="594"/>
      <c r="Q3" s="594"/>
      <c r="R3" s="594"/>
      <c r="S3" s="593"/>
      <c r="T3" s="531" t="s">
        <v>379</v>
      </c>
      <c r="U3" s="594"/>
      <c r="V3" s="594"/>
      <c r="W3" s="594"/>
      <c r="X3" s="594"/>
      <c r="Y3" s="594"/>
      <c r="Z3" s="594"/>
      <c r="AA3" s="594"/>
      <c r="AB3" s="594"/>
      <c r="AC3" s="594"/>
      <c r="AD3" s="594"/>
      <c r="AE3" s="594"/>
      <c r="AF3" s="594"/>
      <c r="AG3" s="594"/>
      <c r="AH3" s="594"/>
      <c r="AI3" s="594"/>
      <c r="AJ3" s="594"/>
      <c r="AK3" s="593"/>
      <c r="AL3" s="531" t="s">
        <v>381</v>
      </c>
      <c r="AM3" s="532"/>
      <c r="AN3" s="532"/>
      <c r="AO3" s="532"/>
      <c r="AP3" s="533"/>
      <c r="AQ3" s="531" t="s">
        <v>469</v>
      </c>
      <c r="AR3" s="594"/>
      <c r="AS3" s="594"/>
      <c r="AT3" s="593"/>
      <c r="AU3" s="55" t="s">
        <v>470</v>
      </c>
      <c r="AV3" s="531" t="s">
        <v>471</v>
      </c>
      <c r="AW3" s="594"/>
      <c r="AX3" s="594"/>
      <c r="AY3" s="594"/>
      <c r="AZ3" s="593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5" t="s">
        <v>473</v>
      </c>
      <c r="H4" s="596"/>
      <c r="I4" s="596"/>
      <c r="J4" s="597"/>
      <c r="K4" s="595" t="s">
        <v>474</v>
      </c>
      <c r="L4" s="596"/>
      <c r="M4" s="596"/>
      <c r="N4" s="597"/>
      <c r="O4" s="598" t="s">
        <v>9</v>
      </c>
      <c r="P4" s="594"/>
      <c r="Q4" s="594"/>
      <c r="R4" s="593"/>
      <c r="S4" s="121" t="s">
        <v>475</v>
      </c>
      <c r="T4" s="55" t="s">
        <v>476</v>
      </c>
      <c r="U4" s="2" t="s">
        <v>477</v>
      </c>
      <c r="V4" s="531" t="s">
        <v>478</v>
      </c>
      <c r="W4" s="594"/>
      <c r="X4" s="593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599" t="s">
        <v>487</v>
      </c>
      <c r="AH4" s="593"/>
      <c r="AI4" s="531" t="s">
        <v>488</v>
      </c>
      <c r="AJ4" s="593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22" t="s">
        <v>717</v>
      </c>
      <c r="C6" s="523"/>
      <c r="D6" s="125"/>
      <c r="E6" s="125"/>
      <c r="F6" s="125"/>
      <c r="G6" s="125"/>
      <c r="H6" s="2"/>
      <c r="I6" s="2"/>
      <c r="J6" s="405"/>
      <c r="K6" s="125"/>
      <c r="L6" s="125"/>
      <c r="M6" s="2"/>
      <c r="N6" s="405"/>
      <c r="O6" s="6"/>
      <c r="P6" s="6"/>
      <c r="Q6" s="6"/>
      <c r="R6" s="6"/>
      <c r="S6" s="8"/>
      <c r="T6" s="406"/>
      <c r="U6" s="407"/>
      <c r="V6" s="407"/>
      <c r="W6" s="407"/>
      <c r="X6" s="407"/>
      <c r="Y6" s="408"/>
      <c r="Z6" s="408"/>
      <c r="AA6" s="408"/>
      <c r="AB6" s="408"/>
      <c r="AC6" s="408"/>
      <c r="AD6" s="408"/>
      <c r="AE6" s="406"/>
      <c r="AF6" s="406"/>
      <c r="AG6" s="6"/>
      <c r="AH6" s="6"/>
      <c r="AI6" s="6"/>
      <c r="AJ6" s="6"/>
      <c r="AK6" s="406"/>
      <c r="AL6" s="406"/>
      <c r="AM6" s="406"/>
      <c r="AN6" s="6"/>
      <c r="AO6" s="6"/>
      <c r="AP6" s="406"/>
      <c r="AQ6" s="406"/>
      <c r="AR6" s="6"/>
      <c r="AS6" s="6"/>
      <c r="AT6" s="406"/>
      <c r="AU6" s="406"/>
      <c r="AV6" s="406"/>
      <c r="AW6" s="6"/>
      <c r="AX6" s="6"/>
      <c r="AY6" s="409"/>
      <c r="AZ6" s="406"/>
      <c r="BA6" s="406"/>
    </row>
    <row r="7" spans="1:53" ht="14.25" customHeight="1">
      <c r="A7" s="2"/>
      <c r="B7" s="523"/>
      <c r="C7" s="523"/>
      <c r="D7" s="125"/>
      <c r="E7" s="125"/>
      <c r="F7" s="125"/>
      <c r="G7" s="125"/>
      <c r="H7" s="2"/>
      <c r="I7" s="2"/>
      <c r="J7" s="405"/>
      <c r="K7" s="125"/>
      <c r="L7" s="125"/>
      <c r="M7" s="2"/>
      <c r="N7" s="405"/>
      <c r="O7" s="6"/>
      <c r="P7" s="6"/>
      <c r="Q7" s="6"/>
      <c r="R7" s="6"/>
      <c r="S7" s="8"/>
      <c r="T7" s="406"/>
      <c r="U7" s="407"/>
      <c r="V7" s="407"/>
      <c r="W7" s="407"/>
      <c r="X7" s="407"/>
      <c r="Y7" s="408"/>
      <c r="Z7" s="408"/>
      <c r="AA7" s="408"/>
      <c r="AB7" s="408"/>
      <c r="AC7" s="408"/>
      <c r="AD7" s="408"/>
      <c r="AE7" s="406"/>
      <c r="AF7" s="406"/>
      <c r="AG7" s="6"/>
      <c r="AH7" s="6"/>
      <c r="AI7" s="6"/>
      <c r="AJ7" s="6"/>
      <c r="AK7" s="406"/>
      <c r="AL7" s="406"/>
      <c r="AM7" s="406"/>
      <c r="AN7" s="6"/>
      <c r="AO7" s="6"/>
      <c r="AP7" s="406"/>
      <c r="AQ7" s="406"/>
      <c r="AR7" s="6"/>
      <c r="AS7" s="6"/>
      <c r="AT7" s="406"/>
      <c r="AU7" s="406"/>
      <c r="AV7" s="406"/>
      <c r="AW7" s="6"/>
      <c r="AX7" s="6"/>
      <c r="AY7" s="409"/>
      <c r="AZ7" s="406"/>
      <c r="BA7" s="406"/>
    </row>
    <row r="8" spans="1:53" ht="14.25" customHeight="1">
      <c r="A8" s="2">
        <v>1</v>
      </c>
      <c r="B8" s="522" t="s">
        <v>718</v>
      </c>
      <c r="C8" s="523" t="s">
        <v>719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6"/>
      <c r="AL8" s="406"/>
      <c r="AM8" s="406"/>
      <c r="AN8" s="6"/>
      <c r="AO8" s="6"/>
      <c r="AP8" s="406"/>
      <c r="AQ8" s="406"/>
      <c r="AR8" s="6"/>
      <c r="AS8" s="6"/>
      <c r="AT8" s="406"/>
      <c r="AU8" s="406"/>
      <c r="AV8" s="406"/>
      <c r="AW8" s="6"/>
      <c r="AX8" s="6"/>
      <c r="AY8" s="409"/>
      <c r="AZ8" s="406"/>
      <c r="BA8" s="406"/>
    </row>
    <row r="9" spans="1:53" ht="14.25" customHeight="1">
      <c r="A9" s="2"/>
      <c r="B9" s="523"/>
      <c r="C9" s="523"/>
      <c r="D9" s="125"/>
      <c r="E9" s="125"/>
      <c r="F9" s="125"/>
      <c r="G9" s="125"/>
      <c r="H9" s="2"/>
      <c r="I9" s="2"/>
      <c r="J9" s="405"/>
      <c r="K9" s="125"/>
      <c r="L9" s="125"/>
      <c r="M9" s="2"/>
      <c r="N9" s="405"/>
      <c r="O9" s="6"/>
      <c r="P9" s="6"/>
      <c r="Q9" s="6"/>
      <c r="R9" s="6"/>
      <c r="S9" s="8"/>
      <c r="T9" s="406"/>
      <c r="U9" s="407"/>
      <c r="V9" s="407"/>
      <c r="W9" s="407"/>
      <c r="X9" s="407"/>
      <c r="Y9" s="408"/>
      <c r="Z9" s="408"/>
      <c r="AA9" s="408"/>
      <c r="AB9" s="408"/>
      <c r="AC9" s="408"/>
      <c r="AD9" s="408"/>
      <c r="AE9" s="406"/>
      <c r="AF9" s="406"/>
      <c r="AG9" s="6"/>
      <c r="AH9" s="6"/>
      <c r="AI9" s="6"/>
      <c r="AJ9" s="6"/>
      <c r="AK9" s="406"/>
      <c r="AL9" s="406"/>
      <c r="AM9" s="406"/>
      <c r="AN9" s="6"/>
      <c r="AO9" s="6"/>
      <c r="AP9" s="406"/>
      <c r="AQ9" s="406"/>
      <c r="AR9" s="6"/>
      <c r="AS9" s="6"/>
      <c r="AT9" s="406"/>
      <c r="AU9" s="406"/>
      <c r="AV9" s="406"/>
      <c r="AW9" s="6"/>
      <c r="AX9" s="6"/>
      <c r="AY9" s="409"/>
      <c r="AZ9" s="406"/>
      <c r="BA9" s="406"/>
    </row>
    <row r="10" spans="1:53" ht="14.25" customHeight="1">
      <c r="A10" s="2">
        <f>A8+1</f>
        <v>2</v>
      </c>
      <c r="B10" s="522" t="s">
        <v>720</v>
      </c>
      <c r="C10" s="523" t="s">
        <v>721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6"/>
      <c r="AL10" s="406"/>
      <c r="AM10" s="406"/>
      <c r="AN10" s="6"/>
      <c r="AO10" s="6"/>
      <c r="AP10" s="406"/>
      <c r="AQ10" s="406"/>
      <c r="AR10" s="6"/>
      <c r="AS10" s="6"/>
      <c r="AT10" s="406"/>
      <c r="AU10" s="406"/>
      <c r="AV10" s="406"/>
      <c r="AW10" s="6"/>
      <c r="AX10" s="6"/>
      <c r="AY10" s="409"/>
      <c r="AZ10" s="406"/>
      <c r="BA10" s="406"/>
    </row>
    <row r="11" spans="1:53" ht="14.25" customHeight="1">
      <c r="A11" s="2"/>
      <c r="B11" s="523"/>
      <c r="C11" s="523"/>
      <c r="D11" s="125"/>
      <c r="E11" s="125"/>
      <c r="F11" s="125"/>
      <c r="G11" s="125"/>
      <c r="H11" s="2"/>
      <c r="I11" s="2"/>
      <c r="J11" s="405"/>
      <c r="K11" s="125"/>
      <c r="L11" s="125"/>
      <c r="M11" s="2"/>
      <c r="N11" s="405"/>
      <c r="O11" s="6"/>
      <c r="P11" s="6"/>
      <c r="Q11" s="6"/>
      <c r="R11" s="6"/>
      <c r="S11" s="8"/>
      <c r="T11" s="406"/>
      <c r="U11" s="407"/>
      <c r="V11" s="407"/>
      <c r="W11" s="407"/>
      <c r="X11" s="407"/>
      <c r="Y11" s="408"/>
      <c r="Z11" s="408"/>
      <c r="AA11" s="408"/>
      <c r="AB11" s="408"/>
      <c r="AC11" s="408"/>
      <c r="AD11" s="408"/>
      <c r="AE11" s="406"/>
      <c r="AF11" s="406"/>
      <c r="AG11" s="6"/>
      <c r="AH11" s="6"/>
      <c r="AI11" s="6"/>
      <c r="AJ11" s="6"/>
      <c r="AK11" s="406"/>
      <c r="AL11" s="406"/>
      <c r="AM11" s="406"/>
      <c r="AN11" s="6"/>
      <c r="AO11" s="6"/>
      <c r="AP11" s="406"/>
      <c r="AQ11" s="406"/>
      <c r="AR11" s="6"/>
      <c r="AS11" s="6"/>
      <c r="AT11" s="406"/>
      <c r="AU11" s="406"/>
      <c r="AV11" s="406"/>
      <c r="AW11" s="6"/>
      <c r="AX11" s="6"/>
      <c r="AY11" s="409"/>
      <c r="AZ11" s="406"/>
      <c r="BA11" s="406"/>
    </row>
    <row r="12" spans="1:53" ht="14.25" customHeight="1">
      <c r="A12" s="2">
        <f>A10+1</f>
        <v>3</v>
      </c>
      <c r="B12" s="522" t="s">
        <v>722</v>
      </c>
      <c r="C12" s="523" t="s">
        <v>721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6"/>
      <c r="AL12" s="406"/>
      <c r="AM12" s="406"/>
      <c r="AN12" s="6"/>
      <c r="AO12" s="6"/>
      <c r="AP12" s="406"/>
      <c r="AQ12" s="406"/>
      <c r="AR12" s="6"/>
      <c r="AS12" s="6"/>
      <c r="AT12" s="406"/>
      <c r="AU12" s="406"/>
      <c r="AV12" s="406"/>
      <c r="AW12" s="6"/>
      <c r="AX12" s="6"/>
      <c r="AY12" s="409"/>
      <c r="AZ12" s="406"/>
      <c r="BA12" s="406"/>
    </row>
    <row r="13" spans="1:53" ht="14.25" customHeight="1">
      <c r="A13" s="2"/>
      <c r="B13" s="523"/>
      <c r="C13" s="523"/>
      <c r="D13" s="125"/>
      <c r="E13" s="125"/>
      <c r="F13" s="125"/>
      <c r="G13" s="125"/>
      <c r="H13" s="2"/>
      <c r="I13" s="2"/>
      <c r="J13" s="405"/>
      <c r="K13" s="125"/>
      <c r="L13" s="125"/>
      <c r="M13" s="2"/>
      <c r="N13" s="405"/>
      <c r="O13" s="6"/>
      <c r="P13" s="6"/>
      <c r="Q13" s="6"/>
      <c r="R13" s="6"/>
      <c r="S13" s="8"/>
      <c r="T13" s="406"/>
      <c r="U13" s="407"/>
      <c r="V13" s="407"/>
      <c r="W13" s="407"/>
      <c r="X13" s="407"/>
      <c r="Y13" s="408"/>
      <c r="Z13" s="408"/>
      <c r="AA13" s="408"/>
      <c r="AB13" s="408"/>
      <c r="AC13" s="408"/>
      <c r="AD13" s="408"/>
      <c r="AE13" s="406"/>
      <c r="AF13" s="406"/>
      <c r="AG13" s="6"/>
      <c r="AH13" s="6"/>
      <c r="AI13" s="6"/>
      <c r="AJ13" s="6"/>
      <c r="AK13" s="406"/>
      <c r="AL13" s="406"/>
      <c r="AM13" s="406"/>
      <c r="AN13" s="6"/>
      <c r="AO13" s="6"/>
      <c r="AP13" s="406"/>
      <c r="AQ13" s="406"/>
      <c r="AR13" s="6"/>
      <c r="AS13" s="6"/>
      <c r="AT13" s="406"/>
      <c r="AU13" s="406"/>
      <c r="AV13" s="406"/>
      <c r="AW13" s="6"/>
      <c r="AX13" s="6"/>
      <c r="AY13" s="409"/>
      <c r="AZ13" s="406"/>
      <c r="BA13" s="406"/>
    </row>
    <row r="14" spans="1:53" ht="14.25" customHeight="1">
      <c r="A14" s="2">
        <f>A12+1</f>
        <v>4</v>
      </c>
      <c r="B14" s="522" t="s">
        <v>723</v>
      </c>
      <c r="C14" s="529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5"/>
      <c r="K15" s="125"/>
      <c r="L15" s="125"/>
      <c r="M15" s="2"/>
      <c r="N15" s="405"/>
      <c r="O15" s="6"/>
      <c r="P15" s="6"/>
      <c r="Q15" s="6"/>
      <c r="R15" s="6"/>
      <c r="S15" s="8"/>
      <c r="T15" s="406"/>
      <c r="U15" s="407"/>
      <c r="V15" s="407"/>
      <c r="W15" s="407"/>
      <c r="X15" s="407"/>
      <c r="Y15" s="408"/>
      <c r="Z15" s="408"/>
      <c r="AA15" s="408"/>
      <c r="AB15" s="408"/>
      <c r="AC15" s="408"/>
      <c r="AD15" s="408"/>
      <c r="AE15" s="406"/>
      <c r="AF15" s="406"/>
      <c r="AG15" s="6"/>
      <c r="AH15" s="6"/>
      <c r="AI15" s="6"/>
      <c r="AJ15" s="6"/>
      <c r="AK15" s="406"/>
      <c r="AL15" s="406"/>
      <c r="AM15" s="406"/>
      <c r="AN15" s="6"/>
      <c r="AO15" s="6"/>
      <c r="AP15" s="406"/>
      <c r="AQ15" s="406"/>
      <c r="AR15" s="6"/>
      <c r="AS15" s="6"/>
      <c r="AT15" s="406"/>
      <c r="AU15" s="406"/>
      <c r="AV15" s="406"/>
      <c r="AW15" s="6"/>
      <c r="AX15" s="6"/>
      <c r="AY15" s="409"/>
      <c r="AZ15" s="406"/>
      <c r="BA15" s="406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24" t="s">
        <v>38</v>
      </c>
      <c r="C18" s="530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24"/>
      <c r="C19" s="52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24" t="s">
        <v>64</v>
      </c>
      <c r="C20" s="530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728</v>
      </c>
      <c r="AL20" s="15"/>
      <c r="AM20" s="15"/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24"/>
      <c r="C21" s="52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25" t="s">
        <v>344</v>
      </c>
      <c r="C22" s="530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728</v>
      </c>
      <c r="AL22" s="15"/>
      <c r="AM22" s="15"/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24"/>
      <c r="C23" s="52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25" t="s">
        <v>67</v>
      </c>
      <c r="C24" s="530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24"/>
      <c r="C25" s="52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25" t="s">
        <v>310</v>
      </c>
      <c r="C26" s="524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24"/>
      <c r="C27" s="52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24" t="s">
        <v>69</v>
      </c>
      <c r="C28" s="530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707</v>
      </c>
      <c r="AL28" s="15"/>
      <c r="AM28" s="15"/>
      <c r="AN28" s="131"/>
      <c r="AO28" s="131"/>
      <c r="AP28" s="24"/>
      <c r="AQ28" s="15"/>
      <c r="AR28" s="17"/>
      <c r="AS28" s="17"/>
      <c r="AT28" s="133"/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24"/>
      <c r="C29" s="52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26" t="s">
        <v>71</v>
      </c>
      <c r="C30" s="530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404" t="s">
        <v>699</v>
      </c>
      <c r="AG30" s="17"/>
      <c r="AH30" s="17"/>
      <c r="AI30" s="17">
        <v>46084</v>
      </c>
      <c r="AJ30" s="17"/>
      <c r="AK30" s="15" t="s">
        <v>707</v>
      </c>
      <c r="AL30" s="15"/>
      <c r="AM30" s="15"/>
      <c r="AN30" s="131"/>
      <c r="AO30" s="131"/>
      <c r="AP30" s="24"/>
      <c r="AQ30" s="15"/>
      <c r="AR30" s="17"/>
      <c r="AS30" s="17"/>
      <c r="AT30" s="133"/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24"/>
      <c r="C31" s="52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26" t="s">
        <v>72</v>
      </c>
      <c r="C32" s="530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404" t="s">
        <v>699</v>
      </c>
      <c r="AG32" s="17"/>
      <c r="AH32" s="17"/>
      <c r="AI32" s="17" t="s">
        <v>733</v>
      </c>
      <c r="AJ32" s="17"/>
      <c r="AK32" s="15" t="s">
        <v>746</v>
      </c>
      <c r="AL32" s="15"/>
      <c r="AM32" s="15"/>
      <c r="AN32" s="131"/>
      <c r="AO32" s="131"/>
      <c r="AP32" s="24"/>
      <c r="AQ32" s="15"/>
      <c r="AR32" s="17"/>
      <c r="AS32" s="17"/>
      <c r="AT32" s="133"/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25"/>
      <c r="C33" s="530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25" t="s">
        <v>93</v>
      </c>
      <c r="C34" s="530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707</v>
      </c>
      <c r="AL34" s="137" t="s">
        <v>20</v>
      </c>
      <c r="AM34" s="25" t="s">
        <v>6</v>
      </c>
      <c r="AN34" s="131"/>
      <c r="AO34" s="131"/>
      <c r="AP34" s="24"/>
      <c r="AQ34" s="15"/>
      <c r="AR34" s="17"/>
      <c r="AS34" s="17"/>
      <c r="AT34" s="133"/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24"/>
      <c r="C35" s="524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25" t="s">
        <v>104</v>
      </c>
      <c r="C36" s="530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724</v>
      </c>
      <c r="AI36" s="17">
        <v>46058</v>
      </c>
      <c r="AJ36" s="17" t="s">
        <v>727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5"/>
      <c r="AW36" s="17"/>
      <c r="AX36" s="17"/>
      <c r="AY36" s="17"/>
      <c r="AZ36" s="15"/>
      <c r="BA36" s="15"/>
    </row>
    <row r="37" spans="1:53" customFormat="1" ht="14.25" customHeight="1">
      <c r="A37" s="15"/>
      <c r="B37" s="524"/>
      <c r="C37" s="52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26" t="s">
        <v>702</v>
      </c>
      <c r="C38" s="530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707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524"/>
      <c r="C39" s="52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25" t="s">
        <v>703</v>
      </c>
      <c r="C40" s="530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5"/>
      <c r="AR40" s="17"/>
      <c r="AS40" s="17"/>
      <c r="AT40" s="133"/>
      <c r="AU40" s="15"/>
      <c r="AV40" s="15"/>
      <c r="AW40" s="15"/>
      <c r="AX40" s="15"/>
      <c r="AY40" s="15"/>
      <c r="AZ40" s="15"/>
      <c r="BA40" s="15"/>
    </row>
    <row r="41" spans="1:53" customFormat="1" ht="14.25" customHeight="1">
      <c r="A41" s="15"/>
      <c r="B41" s="524"/>
      <c r="C41" s="52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7" t="s">
        <v>704</v>
      </c>
      <c r="C42" s="530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714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5"/>
      <c r="AW42" s="15"/>
      <c r="AX42" s="15"/>
      <c r="AY42" s="15"/>
      <c r="AZ42" s="15"/>
      <c r="BA42" s="15"/>
    </row>
    <row r="43" spans="1:53" customFormat="1" ht="14.25" customHeight="1">
      <c r="A43" s="15"/>
      <c r="B43" s="524"/>
      <c r="C43" s="52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8" t="s">
        <v>705</v>
      </c>
      <c r="C44" s="524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404" t="s">
        <v>699</v>
      </c>
      <c r="AG44" s="17">
        <v>46089</v>
      </c>
      <c r="AH44" s="17"/>
      <c r="AI44" s="17"/>
      <c r="AJ44" s="17"/>
      <c r="AK44" s="15" t="s">
        <v>707</v>
      </c>
      <c r="AL44" s="15"/>
      <c r="AM44" s="25"/>
      <c r="AN44" s="131"/>
      <c r="AO44" s="131"/>
      <c r="AP44" s="24"/>
      <c r="AQ44" s="15"/>
      <c r="AR44" s="17"/>
      <c r="AS44" s="17"/>
      <c r="AT44" s="133"/>
      <c r="AU44" s="15"/>
      <c r="AV44" s="15"/>
      <c r="AW44" s="15"/>
      <c r="AX44" s="15"/>
      <c r="AY44" s="15"/>
      <c r="AZ44" s="15"/>
      <c r="BA44" s="15"/>
    </row>
    <row r="45" spans="1:53" customFormat="1" ht="14.25" customHeight="1">
      <c r="A45" s="15"/>
      <c r="B45" s="524"/>
      <c r="C45" s="52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8" t="s">
        <v>106</v>
      </c>
      <c r="C46" s="524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707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5"/>
      <c r="AW46" s="15"/>
      <c r="AX46" s="15"/>
      <c r="AY46" s="15"/>
      <c r="AZ46" s="15"/>
      <c r="BA46" s="15"/>
    </row>
    <row r="47" spans="1:53" customFormat="1" ht="14" customHeight="1">
      <c r="A47" s="15"/>
      <c r="B47" s="524"/>
      <c r="C47" s="52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8" t="s">
        <v>111</v>
      </c>
      <c r="C48" s="524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707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5"/>
      <c r="AW48" s="17"/>
      <c r="AX48" s="17"/>
      <c r="AY48" s="17"/>
      <c r="AZ48" s="15"/>
      <c r="BA48" s="15"/>
    </row>
    <row r="49" spans="1:53" customFormat="1" ht="14.25" customHeight="1">
      <c r="A49" s="15"/>
      <c r="B49" s="524"/>
      <c r="C49" s="52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8" t="s">
        <v>320</v>
      </c>
      <c r="C50" s="524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707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5"/>
      <c r="AW50" s="17"/>
      <c r="AX50" s="17"/>
      <c r="AY50" s="17"/>
      <c r="AZ50" s="15"/>
      <c r="BA50" s="15"/>
    </row>
    <row r="51" spans="1:53" customFormat="1" ht="14.25" customHeight="1">
      <c r="A51" s="15"/>
      <c r="B51" s="524"/>
      <c r="C51" s="52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4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4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4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707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4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4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5"/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5"/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707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5"/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707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4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707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4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4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4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5"/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4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6" t="s">
        <v>691</v>
      </c>
      <c r="AT84" s="15" t="s">
        <v>698</v>
      </c>
      <c r="AU84" s="15"/>
      <c r="AV84" s="15"/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28</v>
      </c>
      <c r="AL87" s="139">
        <f>+COUNTIF($AL$16:$AL$86,"C")</f>
        <v>25</v>
      </c>
      <c r="AM87" s="139"/>
      <c r="AQ87" s="43">
        <f>+COUNTIF($AQ$16:$AQ$86,"C")</f>
        <v>23</v>
      </c>
      <c r="AV87" s="139">
        <f>+COUNTIF(AV16:AV86,"C")</f>
        <v>11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7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L105" activePane="bottomRight" state="frozen"/>
      <selection activeCell="A5" sqref="A5"/>
      <selection pane="topRight" activeCell="L5" sqref="L5"/>
      <selection pane="bottomLeft" activeCell="A20" sqref="A20"/>
      <selection pane="bottomRight" activeCell="V117" sqref="V117:V120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2" customWidth="1"/>
    <col min="58" max="58" width="14.08984375" style="282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6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3" t="s">
        <v>508</v>
      </c>
      <c r="I4" s="604"/>
      <c r="J4" s="604"/>
      <c r="K4" s="605"/>
      <c r="L4" s="603" t="s">
        <v>473</v>
      </c>
      <c r="M4" s="606"/>
      <c r="N4" s="606"/>
      <c r="O4" s="606"/>
      <c r="P4" s="607"/>
      <c r="Q4" s="603" t="s">
        <v>474</v>
      </c>
      <c r="R4" s="606"/>
      <c r="S4" s="607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197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197</v>
      </c>
      <c r="AW5" s="161"/>
      <c r="AX5" s="5"/>
      <c r="AY5" s="5"/>
      <c r="AZ5" s="56"/>
      <c r="BA5" s="160"/>
      <c r="BB5" s="149">
        <f>SUBTOTAL(109,BB8:BB410)</f>
        <v>196</v>
      </c>
      <c r="BC5" s="152"/>
      <c r="BD5" s="5"/>
      <c r="BE5" s="277"/>
      <c r="BF5" s="277"/>
      <c r="BG5" s="56"/>
      <c r="BH5" s="162"/>
      <c r="BI5" s="149">
        <f>SUBTOTAL(109,BI8:BI410)</f>
        <v>182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4" t="s">
        <v>513</v>
      </c>
      <c r="AC6" s="533"/>
      <c r="AD6" s="534" t="s">
        <v>514</v>
      </c>
      <c r="AE6" s="532"/>
      <c r="AF6" s="532"/>
      <c r="AG6" s="532"/>
      <c r="AH6" s="532"/>
      <c r="AI6" s="532"/>
      <c r="AJ6" s="532"/>
      <c r="AK6" s="533"/>
      <c r="AL6" s="160"/>
      <c r="AM6" s="55" t="s">
        <v>515</v>
      </c>
      <c r="AN6" s="6" t="s">
        <v>516</v>
      </c>
      <c r="AO6" s="6" t="s">
        <v>517</v>
      </c>
      <c r="AP6" s="599" t="s">
        <v>487</v>
      </c>
      <c r="AQ6" s="533"/>
      <c r="AR6" s="531" t="s">
        <v>488</v>
      </c>
      <c r="AS6" s="533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8" t="s">
        <v>492</v>
      </c>
      <c r="BF6" s="278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50"/>
      <c r="AY7" s="350"/>
      <c r="AZ7" s="128"/>
      <c r="BA7" s="170"/>
      <c r="BB7" s="128"/>
      <c r="BC7" s="6"/>
      <c r="BD7" s="6"/>
      <c r="BE7" s="278"/>
      <c r="BF7" s="278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51"/>
      <c r="AQ8" s="351"/>
      <c r="AR8" s="351"/>
      <c r="AS8" s="351"/>
      <c r="AT8" s="24"/>
      <c r="AU8" s="178"/>
      <c r="AV8" s="24"/>
      <c r="AW8" s="24"/>
      <c r="AX8" s="279"/>
      <c r="AY8" s="279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9"/>
      <c r="AY9" s="279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51">
        <f>AQ10-1</f>
        <v>45703</v>
      </c>
      <c r="AQ10" s="351">
        <f t="shared" ref="AQ10:AR10" si="1">AR10-2</f>
        <v>45704</v>
      </c>
      <c r="AR10" s="351">
        <f t="shared" si="1"/>
        <v>45706</v>
      </c>
      <c r="AS10" s="351">
        <v>45708</v>
      </c>
      <c r="AT10" s="24" t="s">
        <v>538</v>
      </c>
      <c r="AU10" s="178"/>
      <c r="AV10" s="137" t="s">
        <v>20</v>
      </c>
      <c r="AW10" s="15" t="s">
        <v>6</v>
      </c>
      <c r="AX10" s="279">
        <v>45737</v>
      </c>
      <c r="AY10" s="279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80">
        <f>BF10-2</f>
        <v>45754</v>
      </c>
      <c r="BF10" s="280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9"/>
      <c r="AY11" s="279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51">
        <f>AQ12-2</f>
        <v>45693</v>
      </c>
      <c r="AQ12" s="351">
        <f t="shared" ref="AQ12:AR12" si="5">AR12-1</f>
        <v>45695</v>
      </c>
      <c r="AR12" s="351">
        <f t="shared" si="5"/>
        <v>45696</v>
      </c>
      <c r="AS12" s="351">
        <v>45697</v>
      </c>
      <c r="AT12" s="24" t="s">
        <v>538</v>
      </c>
      <c r="AU12" s="178"/>
      <c r="AV12" s="137" t="s">
        <v>20</v>
      </c>
      <c r="AW12" s="15" t="s">
        <v>6</v>
      </c>
      <c r="AX12" s="279">
        <v>45709</v>
      </c>
      <c r="AY12" s="279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80">
        <f>BF12-2</f>
        <v>45749</v>
      </c>
      <c r="BF12" s="280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9"/>
      <c r="AY13" s="279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51">
        <f>AQ14-3</f>
        <v>45736</v>
      </c>
      <c r="AQ14" s="351">
        <f t="shared" ref="AQ14:AR14" si="7">AR14-2</f>
        <v>45739</v>
      </c>
      <c r="AR14" s="351">
        <f t="shared" si="7"/>
        <v>45741</v>
      </c>
      <c r="AS14" s="351">
        <v>45743</v>
      </c>
      <c r="AT14" s="24" t="s">
        <v>538</v>
      </c>
      <c r="AU14" s="178"/>
      <c r="AV14" s="137" t="s">
        <v>20</v>
      </c>
      <c r="AW14" s="15" t="s">
        <v>6</v>
      </c>
      <c r="AX14" s="279">
        <v>45709</v>
      </c>
      <c r="AY14" s="279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80">
        <f>BF14-2</f>
        <v>45758</v>
      </c>
      <c r="BF14" s="280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9"/>
      <c r="AY15" s="279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51">
        <f>AQ16-2</f>
        <v>45706</v>
      </c>
      <c r="AQ16" s="351">
        <f>AR16-1</f>
        <v>45708</v>
      </c>
      <c r="AR16" s="351">
        <f>AS16-2</f>
        <v>45709</v>
      </c>
      <c r="AS16" s="351">
        <v>45711</v>
      </c>
      <c r="AT16" s="24" t="s">
        <v>538</v>
      </c>
      <c r="AU16" s="178"/>
      <c r="AV16" s="137" t="s">
        <v>20</v>
      </c>
      <c r="AW16" s="15" t="s">
        <v>544</v>
      </c>
      <c r="AX16" s="279">
        <v>45709</v>
      </c>
      <c r="AY16" s="279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80">
        <f>BF16-2</f>
        <v>45747</v>
      </c>
      <c r="BF16" s="280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9"/>
      <c r="AY17" s="279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51">
        <f t="shared" ref="AP18:AR18" si="10">AQ18-1</f>
        <v>45691</v>
      </c>
      <c r="AQ18" s="351">
        <f t="shared" si="10"/>
        <v>45692</v>
      </c>
      <c r="AR18" s="351">
        <f t="shared" si="10"/>
        <v>45693</v>
      </c>
      <c r="AS18" s="351">
        <v>45694</v>
      </c>
      <c r="AT18" s="24" t="s">
        <v>538</v>
      </c>
      <c r="AU18" s="178"/>
      <c r="AV18" s="137" t="s">
        <v>20</v>
      </c>
      <c r="AW18" s="15" t="s">
        <v>6</v>
      </c>
      <c r="AX18" s="279">
        <v>45709</v>
      </c>
      <c r="AY18" s="279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80">
        <f>BF18-2</f>
        <v>45745</v>
      </c>
      <c r="BF18" s="280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9"/>
      <c r="AY19" s="279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51">
        <f>AQ20-3</f>
        <v>45698</v>
      </c>
      <c r="AQ20" s="351">
        <f t="shared" ref="AQ20:AR20" si="12">AR20-2</f>
        <v>45701</v>
      </c>
      <c r="AR20" s="351">
        <f t="shared" si="12"/>
        <v>45703</v>
      </c>
      <c r="AS20" s="351">
        <v>45705</v>
      </c>
      <c r="AT20" s="24" t="s">
        <v>538</v>
      </c>
      <c r="AU20" s="178"/>
      <c r="AV20" s="137" t="s">
        <v>20</v>
      </c>
      <c r="AW20" s="15" t="s">
        <v>6</v>
      </c>
      <c r="AX20" s="279">
        <v>45733</v>
      </c>
      <c r="AY20" s="279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80">
        <f>BF20-2</f>
        <v>45768</v>
      </c>
      <c r="BF20" s="280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9"/>
      <c r="AY21" s="279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51">
        <v>45688</v>
      </c>
      <c r="AQ22" s="351">
        <f>AP22+2</f>
        <v>45690</v>
      </c>
      <c r="AR22" s="351">
        <f>AS22-2</f>
        <v>45691</v>
      </c>
      <c r="AS22" s="351">
        <v>45693</v>
      </c>
      <c r="AT22" s="24" t="s">
        <v>539</v>
      </c>
      <c r="AU22" s="178"/>
      <c r="AV22" s="137" t="s">
        <v>20</v>
      </c>
      <c r="AW22" s="15" t="s">
        <v>6</v>
      </c>
      <c r="AX22" s="279">
        <v>45709</v>
      </c>
      <c r="AY22" s="279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80">
        <f>BF22-2</f>
        <v>45751</v>
      </c>
      <c r="BF22" s="280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9"/>
      <c r="AY23" s="279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51">
        <v>45681</v>
      </c>
      <c r="AQ24" s="351">
        <f>AP24+2</f>
        <v>45683</v>
      </c>
      <c r="AR24" s="351">
        <f>AS24-2</f>
        <v>45688</v>
      </c>
      <c r="AS24" s="351">
        <v>45690</v>
      </c>
      <c r="AT24" s="24" t="s">
        <v>539</v>
      </c>
      <c r="AU24" s="178"/>
      <c r="AV24" s="137" t="s">
        <v>20</v>
      </c>
      <c r="AW24" s="15" t="s">
        <v>6</v>
      </c>
      <c r="AX24" s="279">
        <v>45733</v>
      </c>
      <c r="AY24" s="279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80">
        <f>BF24-2</f>
        <v>45761</v>
      </c>
      <c r="BF24" s="280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9"/>
      <c r="AY25" s="279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51">
        <f>AQ26-2</f>
        <v>45717</v>
      </c>
      <c r="AQ26" s="351">
        <f t="shared" ref="AQ26:AR26" si="16">AR26-1</f>
        <v>45719</v>
      </c>
      <c r="AR26" s="351">
        <f t="shared" si="16"/>
        <v>45720</v>
      </c>
      <c r="AS26" s="351">
        <v>45721</v>
      </c>
      <c r="AT26" s="24" t="s">
        <v>539</v>
      </c>
      <c r="AU26" s="178"/>
      <c r="AV26" s="137" t="s">
        <v>20</v>
      </c>
      <c r="AW26" s="15" t="s">
        <v>6</v>
      </c>
      <c r="AX26" s="279">
        <v>45733</v>
      </c>
      <c r="AY26" s="279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80">
        <f>BF26-2</f>
        <v>45772</v>
      </c>
      <c r="BF26" s="280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9"/>
      <c r="AY27" s="279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51">
        <v>46057</v>
      </c>
      <c r="AQ28" s="351">
        <v>46074</v>
      </c>
      <c r="AR28" s="351"/>
      <c r="AS28" s="351">
        <v>46077</v>
      </c>
      <c r="AT28" s="24" t="s">
        <v>707</v>
      </c>
      <c r="AU28" s="178"/>
      <c r="AV28" s="137" t="s">
        <v>20</v>
      </c>
      <c r="AW28" s="15" t="s">
        <v>6</v>
      </c>
      <c r="AX28" s="279"/>
      <c r="AY28" s="279"/>
      <c r="AZ28" s="24"/>
      <c r="BA28" s="178"/>
      <c r="BB28" s="137"/>
      <c r="BC28" s="131"/>
      <c r="BD28" s="131"/>
      <c r="BE28" s="131"/>
      <c r="BF28" s="131"/>
      <c r="BG28" s="17"/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9"/>
      <c r="AY29" s="279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51">
        <f t="shared" ref="AP30:AR30" si="18">AQ30-2</f>
        <v>45707</v>
      </c>
      <c r="AQ30" s="351">
        <f t="shared" si="18"/>
        <v>45709</v>
      </c>
      <c r="AR30" s="351">
        <f t="shared" si="18"/>
        <v>45711</v>
      </c>
      <c r="AS30" s="351">
        <v>45713</v>
      </c>
      <c r="AT30" s="24" t="s">
        <v>545</v>
      </c>
      <c r="AU30" s="178"/>
      <c r="AV30" s="137" t="s">
        <v>20</v>
      </c>
      <c r="AW30" s="15" t="s">
        <v>544</v>
      </c>
      <c r="AX30" s="279">
        <f>AY30</f>
        <v>45720</v>
      </c>
      <c r="AY30" s="279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80">
        <f>BF30-2</f>
        <v>45794</v>
      </c>
      <c r="BF30" s="280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9"/>
      <c r="AY31" s="279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51">
        <v>45679</v>
      </c>
      <c r="AQ32" s="351">
        <f t="shared" ref="AQ32:AR32" si="19">AR32-2</f>
        <v>45684</v>
      </c>
      <c r="AR32" s="351">
        <f t="shared" si="19"/>
        <v>45686</v>
      </c>
      <c r="AS32" s="351">
        <v>45688</v>
      </c>
      <c r="AT32" s="182" t="s">
        <v>539</v>
      </c>
      <c r="AU32" s="183"/>
      <c r="AV32" s="137" t="s">
        <v>20</v>
      </c>
      <c r="AW32" s="15" t="s">
        <v>544</v>
      </c>
      <c r="AX32" s="279">
        <v>45703</v>
      </c>
      <c r="AY32" s="279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80">
        <f>BF32-1</f>
        <v>45745</v>
      </c>
      <c r="BF32" s="280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9"/>
      <c r="AY33" s="279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51">
        <f t="shared" ref="AP34:AR34" si="20">AQ34-2</f>
        <v>45704</v>
      </c>
      <c r="AQ34" s="351">
        <f t="shared" si="20"/>
        <v>45706</v>
      </c>
      <c r="AR34" s="351">
        <f t="shared" si="20"/>
        <v>45708</v>
      </c>
      <c r="AS34" s="351">
        <v>45710</v>
      </c>
      <c r="AT34" s="24" t="s">
        <v>545</v>
      </c>
      <c r="AU34" s="178"/>
      <c r="AV34" s="137" t="s">
        <v>20</v>
      </c>
      <c r="AW34" s="15" t="s">
        <v>544</v>
      </c>
      <c r="AX34" s="279">
        <v>45703</v>
      </c>
      <c r="AY34" s="279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80">
        <f>BF34-1</f>
        <v>45743</v>
      </c>
      <c r="BF34" s="280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9"/>
      <c r="AY35" s="279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51">
        <f t="shared" ref="AP36:AQ36" si="21">AQ36-2</f>
        <v>45731</v>
      </c>
      <c r="AQ36" s="351">
        <f t="shared" si="21"/>
        <v>45733</v>
      </c>
      <c r="AR36" s="351">
        <f>AS36-3</f>
        <v>45735</v>
      </c>
      <c r="AS36" s="351">
        <v>45738</v>
      </c>
      <c r="AT36" s="24" t="s">
        <v>545</v>
      </c>
      <c r="AU36" s="178"/>
      <c r="AV36" s="137" t="s">
        <v>20</v>
      </c>
      <c r="AW36" s="15" t="s">
        <v>6</v>
      </c>
      <c r="AX36" s="279">
        <f>AY36</f>
        <v>45661</v>
      </c>
      <c r="AY36" s="279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80">
        <f>BF36-2</f>
        <v>45802</v>
      </c>
      <c r="BF36" s="280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9"/>
      <c r="AY37" s="279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51">
        <v>45679</v>
      </c>
      <c r="AQ38" s="351">
        <f>AP38+2</f>
        <v>45681</v>
      </c>
      <c r="AR38" s="351">
        <f>AS38-2</f>
        <v>45688</v>
      </c>
      <c r="AS38" s="351">
        <v>45690</v>
      </c>
      <c r="AT38" s="24" t="s">
        <v>545</v>
      </c>
      <c r="AU38" s="178"/>
      <c r="AV38" s="137" t="s">
        <v>20</v>
      </c>
      <c r="AW38" s="15" t="s">
        <v>544</v>
      </c>
      <c r="AX38" s="279">
        <v>45703</v>
      </c>
      <c r="AY38" s="279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80">
        <f>BF38-2</f>
        <v>45766</v>
      </c>
      <c r="BF38" s="280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9"/>
      <c r="AY39" s="279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51">
        <f t="shared" ref="AP40:AR40" si="22">AQ40-2</f>
        <v>45700</v>
      </c>
      <c r="AQ40" s="351">
        <f t="shared" si="22"/>
        <v>45702</v>
      </c>
      <c r="AR40" s="351">
        <f t="shared" si="22"/>
        <v>45704</v>
      </c>
      <c r="AS40" s="351">
        <v>45706</v>
      </c>
      <c r="AT40" s="24" t="s">
        <v>545</v>
      </c>
      <c r="AU40" s="178"/>
      <c r="AV40" s="137" t="s">
        <v>20</v>
      </c>
      <c r="AW40" s="15" t="s">
        <v>544</v>
      </c>
      <c r="AX40" s="279">
        <v>45703</v>
      </c>
      <c r="AY40" s="279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80">
        <f>BF40-2</f>
        <v>45778</v>
      </c>
      <c r="BF40" s="280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9"/>
      <c r="AY41" s="279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51">
        <f t="shared" ref="AP42:AQ42" si="23">AQ42-1</f>
        <v>45689</v>
      </c>
      <c r="AQ42" s="351">
        <f t="shared" si="23"/>
        <v>45690</v>
      </c>
      <c r="AR42" s="351">
        <f>AS42-2</f>
        <v>45691</v>
      </c>
      <c r="AS42" s="351">
        <v>45693</v>
      </c>
      <c r="AT42" s="24" t="s">
        <v>545</v>
      </c>
      <c r="AU42" s="178"/>
      <c r="AV42" s="137" t="s">
        <v>20</v>
      </c>
      <c r="AW42" s="15" t="s">
        <v>6</v>
      </c>
      <c r="AX42" s="279">
        <f>AY42</f>
        <v>45661</v>
      </c>
      <c r="AY42" s="279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80">
        <f>BF42-2</f>
        <v>45805</v>
      </c>
      <c r="BF42" s="280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9"/>
      <c r="AY43" s="279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51">
        <f t="shared" ref="AP44:AQ44" si="24">AQ44-1</f>
        <v>45677</v>
      </c>
      <c r="AQ44" s="351">
        <f t="shared" si="24"/>
        <v>45678</v>
      </c>
      <c r="AR44" s="351">
        <f>AS44-2</f>
        <v>45679</v>
      </c>
      <c r="AS44" s="351">
        <v>45681</v>
      </c>
      <c r="AT44" s="24" t="s">
        <v>545</v>
      </c>
      <c r="AU44" s="178"/>
      <c r="AV44" s="137" t="s">
        <v>20</v>
      </c>
      <c r="AW44" s="15" t="s">
        <v>544</v>
      </c>
      <c r="AX44" s="279">
        <v>45703</v>
      </c>
      <c r="AY44" s="279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80">
        <f>BF44</f>
        <v>45742</v>
      </c>
      <c r="BF44" s="280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9"/>
      <c r="AY45" s="279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51">
        <v>45666</v>
      </c>
      <c r="AQ46" s="351">
        <f>AP46+3</f>
        <v>45669</v>
      </c>
      <c r="AR46" s="351">
        <f>AS46-2</f>
        <v>45673</v>
      </c>
      <c r="AS46" s="351">
        <v>45675</v>
      </c>
      <c r="AT46" s="24" t="s">
        <v>545</v>
      </c>
      <c r="AU46" s="178"/>
      <c r="AV46" s="137" t="s">
        <v>20</v>
      </c>
      <c r="AW46" s="15" t="s">
        <v>544</v>
      </c>
      <c r="AX46" s="279">
        <v>45703</v>
      </c>
      <c r="AY46" s="279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80">
        <f>BF46-2</f>
        <v>45737</v>
      </c>
      <c r="BF46" s="280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9"/>
      <c r="AY47" s="279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51">
        <v>45666</v>
      </c>
      <c r="AQ48" s="351">
        <f t="shared" ref="AQ48:AR48" si="25">AR48-2</f>
        <v>45667</v>
      </c>
      <c r="AR48" s="351">
        <f t="shared" si="25"/>
        <v>45669</v>
      </c>
      <c r="AS48" s="351">
        <v>45671</v>
      </c>
      <c r="AT48" s="24" t="s">
        <v>545</v>
      </c>
      <c r="AU48" s="178"/>
      <c r="AV48" s="137" t="s">
        <v>20</v>
      </c>
      <c r="AW48" s="15" t="s">
        <v>544</v>
      </c>
      <c r="AX48" s="279">
        <v>45703</v>
      </c>
      <c r="AY48" s="279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80">
        <f>BF48-2</f>
        <v>45734</v>
      </c>
      <c r="BF48" s="280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9"/>
      <c r="AY49" s="279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51">
        <f>AQ50-1</f>
        <v>45660</v>
      </c>
      <c r="AQ50" s="351">
        <f t="shared" ref="AQ50:AR50" si="26">AR50-2</f>
        <v>45661</v>
      </c>
      <c r="AR50" s="351">
        <f t="shared" si="26"/>
        <v>45663</v>
      </c>
      <c r="AS50" s="351">
        <v>45665</v>
      </c>
      <c r="AT50" s="182" t="s">
        <v>539</v>
      </c>
      <c r="AU50" s="183"/>
      <c r="AV50" s="137" t="s">
        <v>20</v>
      </c>
      <c r="AW50" s="15" t="s">
        <v>544</v>
      </c>
      <c r="AX50" s="279">
        <v>45703</v>
      </c>
      <c r="AY50" s="279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80">
        <f>BF50-2</f>
        <v>45736</v>
      </c>
      <c r="BF50" s="280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9"/>
      <c r="AY51" s="279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51">
        <v>45672</v>
      </c>
      <c r="AQ52" s="351">
        <f>AR52-2</f>
        <v>45673</v>
      </c>
      <c r="AR52" s="351">
        <f>AS52-1</f>
        <v>45675</v>
      </c>
      <c r="AS52" s="351">
        <v>45676</v>
      </c>
      <c r="AT52" s="182" t="s">
        <v>539</v>
      </c>
      <c r="AU52" s="183"/>
      <c r="AV52" s="137" t="s">
        <v>20</v>
      </c>
      <c r="AW52" s="15" t="s">
        <v>6</v>
      </c>
      <c r="AX52" s="279">
        <v>45698</v>
      </c>
      <c r="AY52" s="279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80">
        <f>BF52-2</f>
        <v>45739</v>
      </c>
      <c r="BF52" s="280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9"/>
      <c r="AY53" s="279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51">
        <v>45667</v>
      </c>
      <c r="AQ54" s="351">
        <f>AP54+1</f>
        <v>45668</v>
      </c>
      <c r="AR54" s="351">
        <f>AS54-1</f>
        <v>45670</v>
      </c>
      <c r="AS54" s="351">
        <v>45671</v>
      </c>
      <c r="AT54" s="182" t="s">
        <v>539</v>
      </c>
      <c r="AU54" s="183"/>
      <c r="AV54" s="137" t="s">
        <v>20</v>
      </c>
      <c r="AW54" s="15" t="s">
        <v>6</v>
      </c>
      <c r="AX54" s="279">
        <v>45698</v>
      </c>
      <c r="AY54" s="279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80">
        <f>BF54-1</f>
        <v>45725</v>
      </c>
      <c r="BF54" s="280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9"/>
      <c r="AY55" s="279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51">
        <f>AQ56-4</f>
        <v>45915</v>
      </c>
      <c r="AQ56" s="351">
        <f>AR56-3</f>
        <v>45919</v>
      </c>
      <c r="AR56" s="351">
        <f>AS56-4</f>
        <v>45922</v>
      </c>
      <c r="AS56" s="351">
        <v>45926</v>
      </c>
      <c r="AT56" s="24" t="s">
        <v>553</v>
      </c>
      <c r="AU56" s="178"/>
      <c r="AV56" s="137" t="s">
        <v>20</v>
      </c>
      <c r="AW56" s="15" t="s">
        <v>6</v>
      </c>
      <c r="AX56" s="279"/>
      <c r="AY56" s="279"/>
      <c r="AZ56" s="24"/>
      <c r="BA56" s="178"/>
      <c r="BB56" s="137" t="s">
        <v>20</v>
      </c>
      <c r="BC56" s="131"/>
      <c r="BD56" s="131"/>
      <c r="BE56" s="280">
        <v>46041</v>
      </c>
      <c r="BF56" s="280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9"/>
      <c r="AY57" s="279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51">
        <f t="shared" ref="AP58:AR58" si="27">AQ58-2</f>
        <v>45897</v>
      </c>
      <c r="AQ58" s="351">
        <f t="shared" si="27"/>
        <v>45899</v>
      </c>
      <c r="AR58" s="351">
        <f t="shared" si="27"/>
        <v>45901</v>
      </c>
      <c r="AS58" s="351">
        <v>45903</v>
      </c>
      <c r="AT58" s="182" t="s">
        <v>549</v>
      </c>
      <c r="AU58" s="183"/>
      <c r="AV58" s="137" t="s">
        <v>20</v>
      </c>
      <c r="AW58" s="15" t="s">
        <v>6</v>
      </c>
      <c r="AX58" s="279">
        <f>AY58</f>
        <v>45905</v>
      </c>
      <c r="AY58" s="279">
        <v>45905</v>
      </c>
      <c r="AZ58" s="24" t="s">
        <v>549</v>
      </c>
      <c r="BA58" s="178"/>
      <c r="BB58" s="137" t="s">
        <v>20</v>
      </c>
      <c r="BC58" s="131"/>
      <c r="BD58" s="131"/>
      <c r="BE58" s="280">
        <v>46013</v>
      </c>
      <c r="BF58" s="280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9"/>
      <c r="AY59" s="279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51">
        <v>45685</v>
      </c>
      <c r="AQ60" s="351">
        <v>45686</v>
      </c>
      <c r="AR60" s="351">
        <f>AQ60</f>
        <v>45686</v>
      </c>
      <c r="AS60" s="351">
        <v>45687</v>
      </c>
      <c r="AT60" s="182" t="s">
        <v>549</v>
      </c>
      <c r="AU60" s="183"/>
      <c r="AV60" s="137" t="s">
        <v>20</v>
      </c>
      <c r="AW60" s="15" t="s">
        <v>6</v>
      </c>
      <c r="AX60" s="279">
        <v>45698</v>
      </c>
      <c r="AY60" s="279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80">
        <f>BF60-2</f>
        <v>45731</v>
      </c>
      <c r="BF60" s="280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9"/>
      <c r="AY61" s="279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51">
        <v>45688</v>
      </c>
      <c r="AQ62" s="351">
        <f t="shared" ref="AQ62:AR62" si="28">AR62-2</f>
        <v>45692</v>
      </c>
      <c r="AR62" s="351">
        <f t="shared" si="28"/>
        <v>45694</v>
      </c>
      <c r="AS62" s="351">
        <v>45696</v>
      </c>
      <c r="AT62" s="182" t="s">
        <v>549</v>
      </c>
      <c r="AU62" s="183"/>
      <c r="AV62" s="137" t="s">
        <v>20</v>
      </c>
      <c r="AW62" s="15" t="s">
        <v>6</v>
      </c>
      <c r="AX62" s="279">
        <f>AY62</f>
        <v>45721</v>
      </c>
      <c r="AY62" s="279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80">
        <f>BF62-2</f>
        <v>45727</v>
      </c>
      <c r="BF62" s="280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9"/>
      <c r="AY63" s="279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51">
        <v>45656</v>
      </c>
      <c r="AQ64" s="351">
        <f>AR64-4</f>
        <v>45663</v>
      </c>
      <c r="AR64" s="351">
        <f>AS64-2</f>
        <v>45667</v>
      </c>
      <c r="AS64" s="351">
        <v>45669</v>
      </c>
      <c r="AT64" s="24" t="s">
        <v>549</v>
      </c>
      <c r="AU64" s="178"/>
      <c r="AV64" s="137" t="s">
        <v>20</v>
      </c>
      <c r="AW64" s="15" t="s">
        <v>6</v>
      </c>
      <c r="AX64" s="279">
        <f>AY64</f>
        <v>45721</v>
      </c>
      <c r="AY64" s="279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80">
        <f>BF64-1</f>
        <v>45727</v>
      </c>
      <c r="BF64" s="280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9"/>
      <c r="AY65" s="279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51">
        <f t="shared" ref="AP66:AR66" si="29">AQ66-2</f>
        <v>45784</v>
      </c>
      <c r="AQ66" s="351">
        <f t="shared" si="29"/>
        <v>45786</v>
      </c>
      <c r="AR66" s="351">
        <f t="shared" si="29"/>
        <v>45788</v>
      </c>
      <c r="AS66" s="351">
        <v>45790</v>
      </c>
      <c r="AT66" s="182" t="s">
        <v>549</v>
      </c>
      <c r="AU66" s="183"/>
      <c r="AV66" s="137" t="s">
        <v>20</v>
      </c>
      <c r="AW66" s="15" t="s">
        <v>6</v>
      </c>
      <c r="AX66" s="279">
        <f>AY66</f>
        <v>45797</v>
      </c>
      <c r="AY66" s="279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80">
        <f>BF66</f>
        <v>45812</v>
      </c>
      <c r="BF66" s="280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9"/>
      <c r="AY67" s="279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51">
        <f>AQ68-3</f>
        <v>45639</v>
      </c>
      <c r="AQ68" s="351">
        <f t="shared" ref="AQ68:AR68" si="30">AR68-2</f>
        <v>45642</v>
      </c>
      <c r="AR68" s="351">
        <f t="shared" si="30"/>
        <v>45644</v>
      </c>
      <c r="AS68" s="351">
        <v>45646</v>
      </c>
      <c r="AT68" s="24" t="s">
        <v>549</v>
      </c>
      <c r="AU68" s="178"/>
      <c r="AV68" s="137" t="s">
        <v>20</v>
      </c>
      <c r="AW68" s="15" t="s">
        <v>6</v>
      </c>
      <c r="AX68" s="279">
        <f>AY68</f>
        <v>45708</v>
      </c>
      <c r="AY68" s="279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80">
        <f>BF68-3</f>
        <v>45729</v>
      </c>
      <c r="BF68" s="280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9"/>
      <c r="AY69" s="279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51">
        <f>AQ70-3</f>
        <v>45638</v>
      </c>
      <c r="AQ70" s="351">
        <f t="shared" ref="AQ70:AR70" si="31">AR70-2</f>
        <v>45641</v>
      </c>
      <c r="AR70" s="351">
        <f t="shared" si="31"/>
        <v>45643</v>
      </c>
      <c r="AS70" s="351">
        <v>45645</v>
      </c>
      <c r="AT70" s="24" t="s">
        <v>549</v>
      </c>
      <c r="AU70" s="178"/>
      <c r="AV70" s="137" t="s">
        <v>20</v>
      </c>
      <c r="AW70" s="15" t="s">
        <v>6</v>
      </c>
      <c r="AX70" s="279">
        <f>AY70</f>
        <v>45677</v>
      </c>
      <c r="AY70" s="279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80">
        <f>BF70-2</f>
        <v>45732</v>
      </c>
      <c r="BF70" s="280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9"/>
      <c r="AY71" s="279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51">
        <f>AQ72-3</f>
        <v>45644</v>
      </c>
      <c r="AQ72" s="351">
        <f t="shared" ref="AQ72:AR72" si="32">AR72-2</f>
        <v>45647</v>
      </c>
      <c r="AR72" s="351">
        <f t="shared" si="32"/>
        <v>45649</v>
      </c>
      <c r="AS72" s="351">
        <v>45651</v>
      </c>
      <c r="AT72" s="24" t="s">
        <v>549</v>
      </c>
      <c r="AU72" s="178"/>
      <c r="AV72" s="137" t="s">
        <v>20</v>
      </c>
      <c r="AW72" s="15" t="s">
        <v>6</v>
      </c>
      <c r="AX72" s="279">
        <f>AY72</f>
        <v>45677</v>
      </c>
      <c r="AY72" s="279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80">
        <f>BF72-2</f>
        <v>45739</v>
      </c>
      <c r="BF72" s="280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9"/>
      <c r="AY73" s="279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51">
        <v>45677</v>
      </c>
      <c r="AQ74" s="351">
        <f t="shared" ref="AQ74:AR74" si="33">AR74-2</f>
        <v>45696</v>
      </c>
      <c r="AR74" s="351">
        <f t="shared" si="33"/>
        <v>45698</v>
      </c>
      <c r="AS74" s="351">
        <v>45700</v>
      </c>
      <c r="AT74" s="24" t="s">
        <v>538</v>
      </c>
      <c r="AU74" s="178"/>
      <c r="AV74" s="137" t="s">
        <v>20</v>
      </c>
      <c r="AW74" s="15" t="s">
        <v>6</v>
      </c>
      <c r="AX74" s="279">
        <f>AY74</f>
        <v>45708</v>
      </c>
      <c r="AY74" s="279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80">
        <f>BF74-2</f>
        <v>45737</v>
      </c>
      <c r="BF74" s="280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9"/>
      <c r="AY75" s="279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51">
        <f>AQ76-3</f>
        <v>45697</v>
      </c>
      <c r="AQ76" s="351">
        <f>AR76-2</f>
        <v>45700</v>
      </c>
      <c r="AR76" s="351">
        <f>AS76-1</f>
        <v>45702</v>
      </c>
      <c r="AS76" s="351">
        <v>45703</v>
      </c>
      <c r="AT76" s="24" t="s">
        <v>538</v>
      </c>
      <c r="AU76" s="178"/>
      <c r="AV76" s="137" t="s">
        <v>20</v>
      </c>
      <c r="AW76" s="15" t="s">
        <v>6</v>
      </c>
      <c r="AX76" s="279">
        <f>AY76</f>
        <v>45708</v>
      </c>
      <c r="AY76" s="279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80">
        <f>BF76-1</f>
        <v>45735</v>
      </c>
      <c r="BF76" s="280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9"/>
      <c r="AY77" s="279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51">
        <f t="shared" ref="AP78:AR78" si="37">AQ78-2</f>
        <v>45738</v>
      </c>
      <c r="AQ78" s="351">
        <f t="shared" si="37"/>
        <v>45740</v>
      </c>
      <c r="AR78" s="351">
        <f t="shared" si="37"/>
        <v>45742</v>
      </c>
      <c r="AS78" s="351">
        <v>45744</v>
      </c>
      <c r="AT78" s="24" t="s">
        <v>549</v>
      </c>
      <c r="AU78" s="178"/>
      <c r="AV78" s="137" t="s">
        <v>20</v>
      </c>
      <c r="AW78" s="15" t="s">
        <v>6</v>
      </c>
      <c r="AX78" s="279">
        <f>AY78</f>
        <v>45661</v>
      </c>
      <c r="AY78" s="279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80">
        <v>45852</v>
      </c>
      <c r="BF78" s="280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9"/>
      <c r="AY79" s="279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51">
        <v>46022</v>
      </c>
      <c r="AQ80" s="351">
        <f>AR80-1</f>
        <v>45658</v>
      </c>
      <c r="AR80" s="351">
        <f>AS80-3</f>
        <v>45659</v>
      </c>
      <c r="AS80" s="351">
        <v>45662</v>
      </c>
      <c r="AT80" s="24" t="s">
        <v>549</v>
      </c>
      <c r="AU80" s="178"/>
      <c r="AV80" s="137" t="s">
        <v>20</v>
      </c>
      <c r="AW80" s="15" t="s">
        <v>6</v>
      </c>
      <c r="AX80" s="279">
        <v>45644</v>
      </c>
      <c r="AY80" s="279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80">
        <f>BF80-1</f>
        <v>45759</v>
      </c>
      <c r="BF80" s="280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9"/>
      <c r="AY81" s="279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51">
        <f t="shared" ref="AP82:AR82" si="38">AQ82-2</f>
        <v>45626</v>
      </c>
      <c r="AQ82" s="351">
        <f t="shared" si="38"/>
        <v>45628</v>
      </c>
      <c r="AR82" s="351">
        <f t="shared" si="38"/>
        <v>45630</v>
      </c>
      <c r="AS82" s="351">
        <v>45632</v>
      </c>
      <c r="AT82" s="24" t="s">
        <v>549</v>
      </c>
      <c r="AU82" s="178"/>
      <c r="AV82" s="137" t="s">
        <v>20</v>
      </c>
      <c r="AW82" s="15" t="s">
        <v>6</v>
      </c>
      <c r="AX82" s="279">
        <v>45644</v>
      </c>
      <c r="AY82" s="279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80">
        <f>BF82-2</f>
        <v>45742</v>
      </c>
      <c r="BF82" s="280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9"/>
      <c r="AY83" s="279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51">
        <f t="shared" ref="AP84:AR84" si="39">AQ84-2</f>
        <v>45627</v>
      </c>
      <c r="AQ84" s="351">
        <f t="shared" si="39"/>
        <v>45629</v>
      </c>
      <c r="AR84" s="351">
        <f t="shared" si="39"/>
        <v>45631</v>
      </c>
      <c r="AS84" s="351">
        <v>45633</v>
      </c>
      <c r="AT84" s="24" t="s">
        <v>549</v>
      </c>
      <c r="AU84" s="178"/>
      <c r="AV84" s="137" t="s">
        <v>20</v>
      </c>
      <c r="AW84" s="15" t="s">
        <v>6</v>
      </c>
      <c r="AX84" s="279">
        <v>45645</v>
      </c>
      <c r="AY84" s="279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80">
        <f>BF84-2</f>
        <v>45745</v>
      </c>
      <c r="BF84" s="280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9"/>
      <c r="AY85" s="279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51">
        <f>AQ86-2</f>
        <v>45648</v>
      </c>
      <c r="AQ86" s="351">
        <f>AR86-3</f>
        <v>45650</v>
      </c>
      <c r="AR86" s="351">
        <f>AS86-2</f>
        <v>45653</v>
      </c>
      <c r="AS86" s="351">
        <v>45655</v>
      </c>
      <c r="AT86" s="24" t="s">
        <v>549</v>
      </c>
      <c r="AU86" s="178"/>
      <c r="AV86" s="137" t="s">
        <v>20</v>
      </c>
      <c r="AW86" s="15" t="s">
        <v>6</v>
      </c>
      <c r="AX86" s="279">
        <f>AY86</f>
        <v>45695</v>
      </c>
      <c r="AY86" s="279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80">
        <f>BF86</f>
        <v>45746</v>
      </c>
      <c r="BF86" s="280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9"/>
      <c r="AY87" s="279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51">
        <f t="shared" ref="AP88:AR88" si="40">AQ88-3</f>
        <v>45929</v>
      </c>
      <c r="AQ88" s="351">
        <f t="shared" si="40"/>
        <v>45932</v>
      </c>
      <c r="AR88" s="351">
        <f t="shared" si="40"/>
        <v>45935</v>
      </c>
      <c r="AS88" s="351">
        <v>45938</v>
      </c>
      <c r="AT88" s="19" t="s">
        <v>553</v>
      </c>
      <c r="AU88" s="178"/>
      <c r="AV88" s="137" t="s">
        <v>20</v>
      </c>
      <c r="AW88" s="15" t="s">
        <v>6</v>
      </c>
      <c r="AX88" s="279"/>
      <c r="AY88" s="279"/>
      <c r="AZ88" s="24"/>
      <c r="BA88" s="178"/>
      <c r="BB88" s="137" t="s">
        <v>20</v>
      </c>
      <c r="BC88" s="131"/>
      <c r="BD88" s="131"/>
      <c r="BE88" s="280">
        <f>BF90</f>
        <v>45984</v>
      </c>
      <c r="BF88" s="280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715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9"/>
      <c r="AY89" s="279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51">
        <f>AQ90-3</f>
        <v>45935</v>
      </c>
      <c r="AQ90" s="351">
        <f t="shared" ref="AQ90:AR90" si="41">AR90-2</f>
        <v>45938</v>
      </c>
      <c r="AR90" s="351">
        <f t="shared" si="41"/>
        <v>45940</v>
      </c>
      <c r="AS90" s="351">
        <v>45942</v>
      </c>
      <c r="AT90" s="19" t="s">
        <v>553</v>
      </c>
      <c r="AU90" s="178"/>
      <c r="AV90" s="137" t="s">
        <v>20</v>
      </c>
      <c r="AW90" s="15" t="s">
        <v>6</v>
      </c>
      <c r="AX90" s="279"/>
      <c r="AY90" s="279"/>
      <c r="AZ90" s="24"/>
      <c r="BA90" s="178"/>
      <c r="BB90" s="137" t="s">
        <v>20</v>
      </c>
      <c r="BC90" s="131"/>
      <c r="BD90" s="131"/>
      <c r="BE90" s="280">
        <f>BF92</f>
        <v>45983</v>
      </c>
      <c r="BF90" s="280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715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9"/>
      <c r="AY91" s="279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51">
        <f>AQ92-1</f>
        <v>45942</v>
      </c>
      <c r="AQ92" s="351">
        <f t="shared" ref="AQ92:AR92" si="43">AR92-2</f>
        <v>45943</v>
      </c>
      <c r="AR92" s="351">
        <f t="shared" si="43"/>
        <v>45945</v>
      </c>
      <c r="AS92" s="351">
        <v>45947</v>
      </c>
      <c r="AT92" s="19" t="s">
        <v>553</v>
      </c>
      <c r="AU92" s="194"/>
      <c r="AV92" s="137" t="s">
        <v>20</v>
      </c>
      <c r="AW92" s="15" t="s">
        <v>6</v>
      </c>
      <c r="AX92" s="279"/>
      <c r="AY92" s="279"/>
      <c r="AZ92" s="24"/>
      <c r="BA92" s="178"/>
      <c r="BB92" s="137" t="s">
        <v>20</v>
      </c>
      <c r="BC92" s="131"/>
      <c r="BD92" s="131"/>
      <c r="BE92" s="280">
        <v>45982</v>
      </c>
      <c r="BF92" s="280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715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9"/>
      <c r="AY93" s="279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51">
        <f>AQ94-1</f>
        <v>45982</v>
      </c>
      <c r="AQ94" s="351">
        <f t="shared" ref="AQ94:AR94" si="44">AR94-2</f>
        <v>45983</v>
      </c>
      <c r="AR94" s="351">
        <f t="shared" si="44"/>
        <v>45985</v>
      </c>
      <c r="AS94" s="351">
        <v>45987</v>
      </c>
      <c r="AT94" s="19" t="s">
        <v>553</v>
      </c>
      <c r="AU94" s="194"/>
      <c r="AV94" s="137" t="s">
        <v>20</v>
      </c>
      <c r="AW94" s="15" t="s">
        <v>6</v>
      </c>
      <c r="AX94" s="279"/>
      <c r="AY94" s="279"/>
      <c r="AZ94" s="19"/>
      <c r="BA94" s="194"/>
      <c r="BB94" s="137" t="s">
        <v>20</v>
      </c>
      <c r="BC94" s="131"/>
      <c r="BD94" s="131"/>
      <c r="BE94" s="280">
        <v>46009</v>
      </c>
      <c r="BF94" s="280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715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9"/>
      <c r="AY95" s="279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51">
        <f>AQ96-2</f>
        <v>45725</v>
      </c>
      <c r="AQ96" s="351">
        <f>AR96-3</f>
        <v>45727</v>
      </c>
      <c r="AR96" s="351">
        <f>AS96-2</f>
        <v>45730</v>
      </c>
      <c r="AS96" s="351">
        <v>45732</v>
      </c>
      <c r="AT96" s="24" t="s">
        <v>538</v>
      </c>
      <c r="AU96" s="178"/>
      <c r="AV96" s="137" t="s">
        <v>20</v>
      </c>
      <c r="AW96" s="15" t="s">
        <v>6</v>
      </c>
      <c r="AX96" s="279">
        <f>AY96-0</f>
        <v>45736</v>
      </c>
      <c r="AY96" s="279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80">
        <f>BF96-2</f>
        <v>45755</v>
      </c>
      <c r="BF96" s="280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9"/>
      <c r="AY97" s="279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51">
        <f>AQ98-2</f>
        <v>45720</v>
      </c>
      <c r="AQ98" s="351">
        <f>AR98-1</f>
        <v>45722</v>
      </c>
      <c r="AR98" s="351">
        <f>AS98-2</f>
        <v>45723</v>
      </c>
      <c r="AS98" s="351">
        <v>45725</v>
      </c>
      <c r="AT98" s="24" t="s">
        <v>549</v>
      </c>
      <c r="AU98" s="178"/>
      <c r="AV98" s="137" t="s">
        <v>20</v>
      </c>
      <c r="AW98" s="15" t="s">
        <v>6</v>
      </c>
      <c r="AX98" s="279">
        <f>AY98-0</f>
        <v>45736</v>
      </c>
      <c r="AY98" s="279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80">
        <f>BF98-1</f>
        <v>45752</v>
      </c>
      <c r="BF98" s="280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9"/>
      <c r="AY99" s="279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51">
        <f t="shared" ref="AP100:AQ100" si="45">AQ100-2</f>
        <v>45725</v>
      </c>
      <c r="AQ100" s="351">
        <f t="shared" si="45"/>
        <v>45727</v>
      </c>
      <c r="AR100" s="351">
        <f>AS100-3</f>
        <v>45729</v>
      </c>
      <c r="AS100" s="351">
        <v>45732</v>
      </c>
      <c r="AT100" s="24" t="s">
        <v>538</v>
      </c>
      <c r="AU100" s="178"/>
      <c r="AV100" s="137" t="s">
        <v>20</v>
      </c>
      <c r="AW100" s="15" t="s">
        <v>6</v>
      </c>
      <c r="AX100" s="279">
        <f>AY100-0</f>
        <v>45736</v>
      </c>
      <c r="AY100" s="279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80">
        <f>BF100-2</f>
        <v>45752</v>
      </c>
      <c r="BF100" s="280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9"/>
      <c r="AY101" s="279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51">
        <f t="shared" ref="AP102:AR102" si="46">AQ102-2</f>
        <v>45733</v>
      </c>
      <c r="AQ102" s="351">
        <f t="shared" si="46"/>
        <v>45735</v>
      </c>
      <c r="AR102" s="351">
        <f t="shared" si="46"/>
        <v>45737</v>
      </c>
      <c r="AS102" s="351">
        <v>45739</v>
      </c>
      <c r="AT102" s="24" t="s">
        <v>538</v>
      </c>
      <c r="AU102" s="178"/>
      <c r="AV102" s="137" t="s">
        <v>20</v>
      </c>
      <c r="AW102" s="15" t="s">
        <v>544</v>
      </c>
      <c r="AX102" s="279">
        <f>AX100+7</f>
        <v>45743</v>
      </c>
      <c r="AY102" s="279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80">
        <f>BF102-2</f>
        <v>45768</v>
      </c>
      <c r="BF102" s="280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9"/>
      <c r="AY103" s="279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51">
        <f>AQ104-2</f>
        <v>45790</v>
      </c>
      <c r="AQ104" s="351">
        <f>AR104-1</f>
        <v>45792</v>
      </c>
      <c r="AR104" s="351">
        <f>AS104-2</f>
        <v>45793</v>
      </c>
      <c r="AS104" s="351">
        <v>45795</v>
      </c>
      <c r="AT104" s="24" t="s">
        <v>538</v>
      </c>
      <c r="AU104" s="178"/>
      <c r="AV104" s="137" t="s">
        <v>20</v>
      </c>
      <c r="AW104" s="15" t="s">
        <v>544</v>
      </c>
      <c r="AX104" s="279">
        <v>45798</v>
      </c>
      <c r="AY104" s="279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80">
        <f>BF104-2</f>
        <v>45814</v>
      </c>
      <c r="BF104" s="280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9"/>
      <c r="AY105" s="279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51">
        <v>45652</v>
      </c>
      <c r="AQ106" s="351">
        <f>AR106-4</f>
        <v>45655</v>
      </c>
      <c r="AR106" s="351">
        <f>AS106-2</f>
        <v>45659</v>
      </c>
      <c r="AS106" s="351">
        <v>45661</v>
      </c>
      <c r="AT106" s="24" t="s">
        <v>561</v>
      </c>
      <c r="AU106" s="178"/>
      <c r="AV106" s="137" t="s">
        <v>20</v>
      </c>
      <c r="AW106" s="15" t="s">
        <v>544</v>
      </c>
      <c r="AX106" s="279">
        <v>45660</v>
      </c>
      <c r="AY106" s="279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80">
        <f>BF106-2</f>
        <v>45775</v>
      </c>
      <c r="BF106" s="280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9"/>
      <c r="AY107" s="279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51">
        <f t="shared" ref="AP108:AQ108" si="47">AQ108-1</f>
        <v>45633</v>
      </c>
      <c r="AQ108" s="351">
        <f t="shared" si="47"/>
        <v>45634</v>
      </c>
      <c r="AR108" s="351">
        <f>AS108-2</f>
        <v>45635</v>
      </c>
      <c r="AS108" s="351">
        <v>45637</v>
      </c>
      <c r="AT108" s="24" t="s">
        <v>561</v>
      </c>
      <c r="AU108" s="178"/>
      <c r="AV108" s="137" t="s">
        <v>20</v>
      </c>
      <c r="AW108" s="15" t="s">
        <v>544</v>
      </c>
      <c r="AX108" s="279">
        <v>45647</v>
      </c>
      <c r="AY108" s="279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80">
        <f>BF108-2</f>
        <v>45767</v>
      </c>
      <c r="BF108" s="280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9"/>
      <c r="AY109" s="279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51">
        <v>45631</v>
      </c>
      <c r="AQ110" s="351">
        <v>45643</v>
      </c>
      <c r="AR110" s="351">
        <v>45644</v>
      </c>
      <c r="AS110" s="351">
        <v>45645</v>
      </c>
      <c r="AT110" s="24" t="s">
        <v>561</v>
      </c>
      <c r="AU110" s="178"/>
      <c r="AV110" s="137" t="s">
        <v>20</v>
      </c>
      <c r="AW110" s="15" t="s">
        <v>544</v>
      </c>
      <c r="AX110" s="279">
        <v>45647</v>
      </c>
      <c r="AY110" s="279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80">
        <f>BF110-1</f>
        <v>45749</v>
      </c>
      <c r="BF110" s="280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9"/>
      <c r="AY111" s="279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51">
        <f>AQ112-5</f>
        <v>45643</v>
      </c>
      <c r="AQ112" s="351">
        <f>AR112-3</f>
        <v>45648</v>
      </c>
      <c r="AR112" s="351">
        <f>AS112-2</f>
        <v>45651</v>
      </c>
      <c r="AS112" s="351">
        <v>45653</v>
      </c>
      <c r="AT112" s="24" t="s">
        <v>561</v>
      </c>
      <c r="AU112" s="178"/>
      <c r="AV112" s="137" t="s">
        <v>20</v>
      </c>
      <c r="AW112" s="15" t="s">
        <v>544</v>
      </c>
      <c r="AX112" s="279">
        <v>45660</v>
      </c>
      <c r="AY112" s="279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80">
        <f>BF112-1</f>
        <v>45750</v>
      </c>
      <c r="BF112" s="280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9"/>
      <c r="AY113" s="279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51">
        <f>AQ114-3</f>
        <v>45782</v>
      </c>
      <c r="AQ114" s="351">
        <f t="shared" ref="AQ114:AR114" si="48">AR114-2</f>
        <v>45785</v>
      </c>
      <c r="AR114" s="351">
        <f t="shared" si="48"/>
        <v>45787</v>
      </c>
      <c r="AS114" s="351">
        <v>45789</v>
      </c>
      <c r="AT114" s="24" t="s">
        <v>538</v>
      </c>
      <c r="AU114" s="178"/>
      <c r="AV114" s="137" t="s">
        <v>20</v>
      </c>
      <c r="AW114" s="15" t="s">
        <v>6</v>
      </c>
      <c r="AX114" s="279">
        <f>AY114</f>
        <v>45797</v>
      </c>
      <c r="AY114" s="279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80">
        <f>BF114-2</f>
        <v>45812</v>
      </c>
      <c r="BF114" s="280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9"/>
      <c r="AY115" s="279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25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51">
        <v>45636</v>
      </c>
      <c r="AQ116" s="351">
        <f>AR116-2</f>
        <v>45670</v>
      </c>
      <c r="AR116" s="351">
        <f>AS116-1</f>
        <v>45672</v>
      </c>
      <c r="AS116" s="351">
        <v>45673</v>
      </c>
      <c r="AT116" s="24" t="s">
        <v>561</v>
      </c>
      <c r="AU116" s="178"/>
      <c r="AV116" s="137" t="s">
        <v>20</v>
      </c>
      <c r="AW116" s="15" t="s">
        <v>6</v>
      </c>
      <c r="AX116" s="279">
        <v>45660</v>
      </c>
      <c r="AY116" s="279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80">
        <f>BF116-2</f>
        <v>45762</v>
      </c>
      <c r="BF116" s="280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715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9"/>
      <c r="AY117" s="279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51">
        <f>AQ120</f>
        <v>45979</v>
      </c>
      <c r="AQ118" s="351">
        <v>45984</v>
      </c>
      <c r="AR118" s="351"/>
      <c r="AS118" s="351"/>
      <c r="AT118" s="431" t="s">
        <v>567</v>
      </c>
      <c r="AU118" s="178"/>
      <c r="AV118" s="137" t="s">
        <v>20</v>
      </c>
      <c r="AW118" s="15"/>
      <c r="AX118" s="279"/>
      <c r="AY118" s="279"/>
      <c r="AZ118" s="24"/>
      <c r="BA118" s="178"/>
      <c r="BB118" s="137" t="s">
        <v>20</v>
      </c>
      <c r="BC118" s="131"/>
      <c r="BD118" s="131"/>
      <c r="BE118" s="280">
        <v>45995</v>
      </c>
      <c r="BF118" s="280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715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9"/>
      <c r="AY119" s="279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51">
        <f t="shared" ref="AP120:AQ120" si="49">AQ120-2</f>
        <v>45977</v>
      </c>
      <c r="AQ120" s="351">
        <f t="shared" si="49"/>
        <v>45979</v>
      </c>
      <c r="AR120" s="351">
        <f>AS120</f>
        <v>45981</v>
      </c>
      <c r="AS120" s="351">
        <v>45981</v>
      </c>
      <c r="AT120" s="431" t="s">
        <v>567</v>
      </c>
      <c r="AU120" s="178"/>
      <c r="AV120" s="137" t="s">
        <v>20</v>
      </c>
      <c r="AW120" s="15"/>
      <c r="AX120" s="279"/>
      <c r="AY120" s="279"/>
      <c r="AZ120" s="24"/>
      <c r="BA120" s="178"/>
      <c r="BB120" s="137" t="s">
        <v>20</v>
      </c>
      <c r="BC120" s="131"/>
      <c r="BD120" s="131"/>
      <c r="BE120" s="280">
        <v>45988</v>
      </c>
      <c r="BF120" s="280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715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9"/>
      <c r="AY121" s="279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51">
        <v>45986</v>
      </c>
      <c r="AQ122" s="351">
        <v>45992</v>
      </c>
      <c r="AR122" s="351">
        <v>45988</v>
      </c>
      <c r="AS122" s="351">
        <v>45994</v>
      </c>
      <c r="AT122" s="431" t="s">
        <v>567</v>
      </c>
      <c r="AU122" s="178"/>
      <c r="AV122" s="137" t="s">
        <v>20</v>
      </c>
      <c r="AW122" s="24"/>
      <c r="AX122" s="279"/>
      <c r="AY122" s="279"/>
      <c r="AZ122" s="24"/>
      <c r="BA122" s="178"/>
      <c r="BB122" s="137" t="s">
        <v>20</v>
      </c>
      <c r="BC122" s="24"/>
      <c r="BD122" s="24"/>
      <c r="BE122" s="280">
        <f>BF118</f>
        <v>45998</v>
      </c>
      <c r="BF122" s="280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715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9"/>
      <c r="AY123" s="279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51">
        <f>AQ124-3</f>
        <v>45903</v>
      </c>
      <c r="AQ124" s="351">
        <f t="shared" ref="AQ124:AR124" si="50">AR124-2</f>
        <v>45906</v>
      </c>
      <c r="AR124" s="351">
        <f t="shared" si="50"/>
        <v>45908</v>
      </c>
      <c r="AS124" s="351">
        <v>45910</v>
      </c>
      <c r="AT124" s="24" t="s">
        <v>538</v>
      </c>
      <c r="AU124" s="178"/>
      <c r="AV124" s="137" t="s">
        <v>20</v>
      </c>
      <c r="AW124" s="15" t="s">
        <v>6</v>
      </c>
      <c r="AX124" s="279">
        <f>AS124+2</f>
        <v>45912</v>
      </c>
      <c r="AY124" s="279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80">
        <v>45987</v>
      </c>
      <c r="BF124" s="280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715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9"/>
      <c r="AY125" s="279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51">
        <f t="shared" ref="AP126:AR126" si="51">AQ126-2</f>
        <v>45893</v>
      </c>
      <c r="AQ126" s="351">
        <f t="shared" si="51"/>
        <v>45895</v>
      </c>
      <c r="AR126" s="351">
        <f t="shared" si="51"/>
        <v>45897</v>
      </c>
      <c r="AS126" s="351">
        <v>45899</v>
      </c>
      <c r="AT126" s="24" t="s">
        <v>538</v>
      </c>
      <c r="AU126" s="178"/>
      <c r="AV126" s="137" t="s">
        <v>20</v>
      </c>
      <c r="AW126" s="15" t="s">
        <v>6</v>
      </c>
      <c r="AX126" s="279">
        <f>AS126+2</f>
        <v>45901</v>
      </c>
      <c r="AY126" s="279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80">
        <f>BF126-2</f>
        <v>45963</v>
      </c>
      <c r="BF126" s="280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715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9"/>
      <c r="AY127" s="279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51">
        <f>AQ128-6</f>
        <v>45875</v>
      </c>
      <c r="AQ128" s="351">
        <f>AR128-3</f>
        <v>45881</v>
      </c>
      <c r="AR128" s="351">
        <f>AS128-2</f>
        <v>45884</v>
      </c>
      <c r="AS128" s="351">
        <v>45886</v>
      </c>
      <c r="AT128" s="24" t="s">
        <v>538</v>
      </c>
      <c r="AU128" s="178"/>
      <c r="AV128" s="137" t="s">
        <v>20</v>
      </c>
      <c r="AW128" s="15" t="s">
        <v>6</v>
      </c>
      <c r="AX128" s="279">
        <f>AS128+2</f>
        <v>45888</v>
      </c>
      <c r="AY128" s="279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80">
        <f>BF128-2</f>
        <v>45964</v>
      </c>
      <c r="BF128" s="280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715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9"/>
      <c r="AY129" s="279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51">
        <f>AQ130-6</f>
        <v>45881</v>
      </c>
      <c r="AQ130" s="351">
        <f>AR130-3</f>
        <v>45887</v>
      </c>
      <c r="AR130" s="351">
        <f>AS130-2</f>
        <v>45890</v>
      </c>
      <c r="AS130" s="351">
        <v>45892</v>
      </c>
      <c r="AT130" s="24" t="s">
        <v>538</v>
      </c>
      <c r="AU130" s="178"/>
      <c r="AV130" s="137" t="s">
        <v>20</v>
      </c>
      <c r="AW130" s="15" t="s">
        <v>6</v>
      </c>
      <c r="AX130" s="279">
        <f>AS130+2</f>
        <v>45894</v>
      </c>
      <c r="AY130" s="279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80">
        <f>BF130-2</f>
        <v>45966</v>
      </c>
      <c r="BF130" s="280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715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9"/>
      <c r="AY131" s="279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51">
        <f t="shared" ref="AP132:AR132" si="52">AQ132-2</f>
        <v>45915</v>
      </c>
      <c r="AQ132" s="351">
        <f t="shared" si="52"/>
        <v>45917</v>
      </c>
      <c r="AR132" s="351">
        <f t="shared" si="52"/>
        <v>45919</v>
      </c>
      <c r="AS132" s="351">
        <v>45921</v>
      </c>
      <c r="AT132" s="24" t="s">
        <v>538</v>
      </c>
      <c r="AU132" s="178"/>
      <c r="AV132" s="137" t="s">
        <v>20</v>
      </c>
      <c r="AW132" s="15" t="s">
        <v>6</v>
      </c>
      <c r="AX132" s="279"/>
      <c r="AY132" s="279"/>
      <c r="AZ132" s="24"/>
      <c r="BA132" s="178"/>
      <c r="BB132" s="137" t="s">
        <v>20</v>
      </c>
      <c r="BC132" s="131"/>
      <c r="BD132" s="131"/>
      <c r="BE132" s="280">
        <f>BF132-2</f>
        <v>45968</v>
      </c>
      <c r="BF132" s="280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715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9"/>
      <c r="AY133" s="279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51">
        <f>AQ134-2</f>
        <v>45811</v>
      </c>
      <c r="AQ134" s="351">
        <f>AR134-1</f>
        <v>45813</v>
      </c>
      <c r="AR134" s="351">
        <f>AS134-2</f>
        <v>45814</v>
      </c>
      <c r="AS134" s="351">
        <v>45816</v>
      </c>
      <c r="AT134" s="24" t="s">
        <v>549</v>
      </c>
      <c r="AU134" s="178"/>
      <c r="AV134" s="137" t="s">
        <v>20</v>
      </c>
      <c r="AW134" s="15" t="s">
        <v>6</v>
      </c>
      <c r="AX134" s="279">
        <f>AY134</f>
        <v>45820</v>
      </c>
      <c r="AY134" s="279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80">
        <f>BF134-2</f>
        <v>45831</v>
      </c>
      <c r="BF134" s="280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9"/>
      <c r="AY135" s="279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51">
        <v>45678</v>
      </c>
      <c r="AQ136" s="351">
        <f>AR136-3</f>
        <v>45679</v>
      </c>
      <c r="AR136" s="351">
        <f>AS136-2</f>
        <v>45682</v>
      </c>
      <c r="AS136" s="351">
        <v>45684</v>
      </c>
      <c r="AT136" s="24" t="s">
        <v>561</v>
      </c>
      <c r="AU136" s="178"/>
      <c r="AV136" s="137" t="s">
        <v>20</v>
      </c>
      <c r="AW136" s="15" t="s">
        <v>6</v>
      </c>
      <c r="AX136" s="279">
        <v>45662</v>
      </c>
      <c r="AY136" s="279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80">
        <f>BF136-2</f>
        <v>45817</v>
      </c>
      <c r="BF136" s="280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9"/>
      <c r="AY137" s="279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51">
        <f>AQ138-1</f>
        <v>45809</v>
      </c>
      <c r="AQ138" s="351">
        <f t="shared" ref="AQ138:AR138" si="53">AR138-2</f>
        <v>45810</v>
      </c>
      <c r="AR138" s="351">
        <f t="shared" si="53"/>
        <v>45812</v>
      </c>
      <c r="AS138" s="351">
        <v>45814</v>
      </c>
      <c r="AT138" s="182" t="s">
        <v>539</v>
      </c>
      <c r="AU138" s="183"/>
      <c r="AV138" s="137" t="s">
        <v>20</v>
      </c>
      <c r="AW138" s="15" t="s">
        <v>6</v>
      </c>
      <c r="AX138" s="279">
        <f>AY138</f>
        <v>45820</v>
      </c>
      <c r="AY138" s="279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80">
        <v>45830</v>
      </c>
      <c r="BF138" s="280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9"/>
      <c r="AY139" s="279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51">
        <f t="shared" ref="AP140:AR140" si="57">AQ140-2</f>
        <v>45767</v>
      </c>
      <c r="AQ140" s="351">
        <f t="shared" si="57"/>
        <v>45769</v>
      </c>
      <c r="AR140" s="351">
        <f t="shared" si="57"/>
        <v>45771</v>
      </c>
      <c r="AS140" s="351">
        <v>45773</v>
      </c>
      <c r="AT140" s="182" t="s">
        <v>539</v>
      </c>
      <c r="AU140" s="183"/>
      <c r="AV140" s="137" t="s">
        <v>20</v>
      </c>
      <c r="AW140" s="15" t="s">
        <v>6</v>
      </c>
      <c r="AX140" s="279">
        <f>AY140</f>
        <v>45661</v>
      </c>
      <c r="AY140" s="279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80">
        <f>BF140-2</f>
        <v>45829</v>
      </c>
      <c r="BF140" s="280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9"/>
      <c r="AY141" s="279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51">
        <f t="shared" ref="AP142:AR142" si="58">AQ142-2</f>
        <v>45766</v>
      </c>
      <c r="AQ142" s="351">
        <f t="shared" si="58"/>
        <v>45768</v>
      </c>
      <c r="AR142" s="351">
        <f t="shared" si="58"/>
        <v>45770</v>
      </c>
      <c r="AS142" s="351">
        <v>45772</v>
      </c>
      <c r="AT142" s="182" t="s">
        <v>539</v>
      </c>
      <c r="AU142" s="183"/>
      <c r="AV142" s="137" t="s">
        <v>20</v>
      </c>
      <c r="AW142" s="15" t="s">
        <v>6</v>
      </c>
      <c r="AX142" s="279">
        <f>AY142</f>
        <v>45661</v>
      </c>
      <c r="AY142" s="279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80">
        <f>BF142-2</f>
        <v>45833</v>
      </c>
      <c r="BF142" s="280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9"/>
      <c r="AY143" s="279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51">
        <f t="shared" ref="AP144:AQ144" si="59">AQ144-2</f>
        <v>45807</v>
      </c>
      <c r="AQ144" s="351">
        <f t="shared" si="59"/>
        <v>45809</v>
      </c>
      <c r="AR144" s="351">
        <f>AS144-1</f>
        <v>45811</v>
      </c>
      <c r="AS144" s="351">
        <v>45812</v>
      </c>
      <c r="AT144" s="182" t="s">
        <v>539</v>
      </c>
      <c r="AU144" s="183"/>
      <c r="AV144" s="137" t="s">
        <v>20</v>
      </c>
      <c r="AW144" s="15" t="s">
        <v>6</v>
      </c>
      <c r="AX144" s="279">
        <v>45814</v>
      </c>
      <c r="AY144" s="279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80">
        <f>BF144-2</f>
        <v>45828</v>
      </c>
      <c r="BF144" s="280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9"/>
      <c r="AY145" s="279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51">
        <f t="shared" ref="AP146:AQ146" si="60">AQ146-2</f>
        <v>45972</v>
      </c>
      <c r="AQ146" s="351">
        <f t="shared" si="60"/>
        <v>45974</v>
      </c>
      <c r="AR146" s="351">
        <f>AS146-1</f>
        <v>45976</v>
      </c>
      <c r="AS146" s="351">
        <v>45977</v>
      </c>
      <c r="AT146" s="19" t="s">
        <v>553</v>
      </c>
      <c r="AU146" s="178"/>
      <c r="AV146" s="137" t="s">
        <v>20</v>
      </c>
      <c r="AW146" s="15" t="s">
        <v>6</v>
      </c>
      <c r="AX146" s="279"/>
      <c r="AY146" s="279"/>
      <c r="AZ146" s="24"/>
      <c r="BA146" s="178"/>
      <c r="BB146" s="137" t="s">
        <v>20</v>
      </c>
      <c r="BC146" s="131"/>
      <c r="BD146" s="131"/>
      <c r="BE146" s="280">
        <v>45990</v>
      </c>
      <c r="BF146" s="280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9"/>
      <c r="AY147" s="279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51">
        <f>AQ148-1</f>
        <v>45798</v>
      </c>
      <c r="AQ148" s="351">
        <f t="shared" ref="AQ148:AR148" si="61">AR148-2</f>
        <v>45799</v>
      </c>
      <c r="AR148" s="351">
        <f t="shared" si="61"/>
        <v>45801</v>
      </c>
      <c r="AS148" s="351">
        <v>45803</v>
      </c>
      <c r="AT148" s="182" t="s">
        <v>539</v>
      </c>
      <c r="AU148" s="183"/>
      <c r="AV148" s="137" t="s">
        <v>20</v>
      </c>
      <c r="AW148" s="15" t="s">
        <v>6</v>
      </c>
      <c r="AX148" s="279">
        <v>45814</v>
      </c>
      <c r="AY148" s="279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80">
        <f>BF148-2</f>
        <v>45828</v>
      </c>
      <c r="BF148" s="280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715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9"/>
      <c r="AY149" s="279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51">
        <f t="shared" ref="AP150:AR150" si="62">AQ150-2</f>
        <v>45800</v>
      </c>
      <c r="AQ150" s="351">
        <f t="shared" si="62"/>
        <v>45802</v>
      </c>
      <c r="AR150" s="351">
        <f t="shared" si="62"/>
        <v>45804</v>
      </c>
      <c r="AS150" s="351">
        <v>45806</v>
      </c>
      <c r="AT150" s="182" t="s">
        <v>539</v>
      </c>
      <c r="AU150" s="183"/>
      <c r="AV150" s="137" t="s">
        <v>20</v>
      </c>
      <c r="AW150" s="15" t="s">
        <v>6</v>
      </c>
      <c r="AX150" s="279">
        <v>45814</v>
      </c>
      <c r="AY150" s="279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80">
        <f>BF150-2</f>
        <v>45825</v>
      </c>
      <c r="BF150" s="280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9"/>
      <c r="AY151" s="279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51">
        <f>AQ152-1</f>
        <v>45797</v>
      </c>
      <c r="AQ152" s="351">
        <f t="shared" ref="AQ152:AR152" si="63">AR152-2</f>
        <v>45798</v>
      </c>
      <c r="AR152" s="351">
        <f t="shared" si="63"/>
        <v>45800</v>
      </c>
      <c r="AS152" s="351">
        <v>45802</v>
      </c>
      <c r="AT152" s="182" t="s">
        <v>539</v>
      </c>
      <c r="AU152" s="183"/>
      <c r="AV152" s="137" t="s">
        <v>20</v>
      </c>
      <c r="AW152" s="15" t="s">
        <v>6</v>
      </c>
      <c r="AX152" s="279">
        <v>45814</v>
      </c>
      <c r="AY152" s="279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80">
        <f>BF152-1</f>
        <v>45821</v>
      </c>
      <c r="BF152" s="280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25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9"/>
      <c r="AY153" s="279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51">
        <f>AQ154-1</f>
        <v>45802</v>
      </c>
      <c r="AQ154" s="351">
        <f t="shared" ref="AQ154:AR154" si="64">AR154-2</f>
        <v>45803</v>
      </c>
      <c r="AR154" s="351">
        <f t="shared" si="64"/>
        <v>45805</v>
      </c>
      <c r="AS154" s="351">
        <v>45807</v>
      </c>
      <c r="AT154" s="182" t="s">
        <v>539</v>
      </c>
      <c r="AU154" s="183"/>
      <c r="AV154" s="137" t="s">
        <v>20</v>
      </c>
      <c r="AW154" s="15" t="s">
        <v>6</v>
      </c>
      <c r="AX154" s="279">
        <v>45814</v>
      </c>
      <c r="AY154" s="279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80">
        <f>BF154-2</f>
        <v>45823</v>
      </c>
      <c r="BF154" s="280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715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9"/>
      <c r="AY155" s="279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51">
        <f t="shared" ref="AP156:AR156" si="66">AQ156-2</f>
        <v>45798</v>
      </c>
      <c r="AQ156" s="351">
        <f t="shared" si="66"/>
        <v>45800</v>
      </c>
      <c r="AR156" s="351">
        <f t="shared" si="66"/>
        <v>45802</v>
      </c>
      <c r="AS156" s="351">
        <v>45804</v>
      </c>
      <c r="AT156" s="182" t="s">
        <v>572</v>
      </c>
      <c r="AU156" s="183"/>
      <c r="AV156" s="137" t="s">
        <v>20</v>
      </c>
      <c r="AW156" s="15" t="s">
        <v>6</v>
      </c>
      <c r="AX156" s="279">
        <v>45814</v>
      </c>
      <c r="AY156" s="279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80">
        <f>BF156-2</f>
        <v>45844</v>
      </c>
      <c r="BF156" s="280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9"/>
      <c r="AY157" s="279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51">
        <f>AQ158-1</f>
        <v>45790</v>
      </c>
      <c r="AQ158" s="351">
        <f t="shared" ref="AQ158:AR158" si="67">AR158-2</f>
        <v>45791</v>
      </c>
      <c r="AR158" s="351">
        <f t="shared" si="67"/>
        <v>45793</v>
      </c>
      <c r="AS158" s="351">
        <v>45795</v>
      </c>
      <c r="AT158" s="182" t="s">
        <v>572</v>
      </c>
      <c r="AU158" s="183"/>
      <c r="AV158" s="137" t="s">
        <v>20</v>
      </c>
      <c r="AW158" s="15" t="s">
        <v>6</v>
      </c>
      <c r="AX158" s="279">
        <v>45814</v>
      </c>
      <c r="AY158" s="279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80">
        <f>BF158-2</f>
        <v>45840</v>
      </c>
      <c r="BF158" s="280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9"/>
      <c r="U159" s="199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9"/>
      <c r="AY159" s="279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9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51">
        <f t="shared" ref="AP160:AS160" si="68">AP158-1</f>
        <v>45789</v>
      </c>
      <c r="AQ160" s="351">
        <f t="shared" si="68"/>
        <v>45790</v>
      </c>
      <c r="AR160" s="351">
        <f t="shared" si="68"/>
        <v>45792</v>
      </c>
      <c r="AS160" s="351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9">
        <v>45805</v>
      </c>
      <c r="AY160" s="279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80">
        <f>BF160-2</f>
        <v>45842</v>
      </c>
      <c r="BF160" s="280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9"/>
      <c r="U161" s="199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9"/>
      <c r="AY161" s="279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9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51">
        <f t="shared" ref="AP162:AR162" si="69">AQ162-2</f>
        <v>45793</v>
      </c>
      <c r="AQ162" s="351">
        <f t="shared" si="69"/>
        <v>45795</v>
      </c>
      <c r="AR162" s="351">
        <f t="shared" si="69"/>
        <v>45797</v>
      </c>
      <c r="AS162" s="351">
        <v>45799</v>
      </c>
      <c r="AT162" s="182" t="s">
        <v>573</v>
      </c>
      <c r="AU162" s="183"/>
      <c r="AV162" s="137" t="s">
        <v>20</v>
      </c>
      <c r="AW162" s="15" t="s">
        <v>6</v>
      </c>
      <c r="AX162" s="279">
        <v>45814</v>
      </c>
      <c r="AY162" s="279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80">
        <f>BF162-2</f>
        <v>45839</v>
      </c>
      <c r="BF162" s="280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9"/>
      <c r="U163" s="199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9"/>
      <c r="AY163" s="279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9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51">
        <f t="shared" ref="AP164:AR164" si="70">AQ164-2</f>
        <v>45807</v>
      </c>
      <c r="AQ164" s="351">
        <f t="shared" si="70"/>
        <v>45809</v>
      </c>
      <c r="AR164" s="351">
        <f t="shared" si="70"/>
        <v>45811</v>
      </c>
      <c r="AS164" s="351">
        <v>45813</v>
      </c>
      <c r="AT164" s="182" t="s">
        <v>572</v>
      </c>
      <c r="AU164" s="183"/>
      <c r="AV164" s="137" t="s">
        <v>20</v>
      </c>
      <c r="AW164" s="15" t="s">
        <v>6</v>
      </c>
      <c r="AX164" s="279">
        <v>45814</v>
      </c>
      <c r="AY164" s="279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80">
        <f>BF164-2</f>
        <v>45841</v>
      </c>
      <c r="BF164" s="280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9"/>
      <c r="U165" s="199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9"/>
      <c r="AY165" s="279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9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51">
        <f t="shared" ref="AP166:AR166" si="71">AQ166-2</f>
        <v>45807</v>
      </c>
      <c r="AQ166" s="351">
        <f t="shared" si="71"/>
        <v>45809</v>
      </c>
      <c r="AR166" s="351">
        <f t="shared" si="71"/>
        <v>45811</v>
      </c>
      <c r="AS166" s="351">
        <v>45813</v>
      </c>
      <c r="AT166" s="182" t="s">
        <v>572</v>
      </c>
      <c r="AU166" s="183"/>
      <c r="AV166" s="137" t="s">
        <v>20</v>
      </c>
      <c r="AW166" s="15" t="s">
        <v>6</v>
      </c>
      <c r="AX166" s="279">
        <v>45814</v>
      </c>
      <c r="AY166" s="279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80">
        <f>BF166</f>
        <v>45845</v>
      </c>
      <c r="BF166" s="280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9"/>
      <c r="U167" s="199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9"/>
      <c r="AY167" s="279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9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51">
        <f t="shared" ref="AP168:AR168" si="72">AQ168-2</f>
        <v>45796</v>
      </c>
      <c r="AQ168" s="351">
        <f t="shared" si="72"/>
        <v>45798</v>
      </c>
      <c r="AR168" s="351">
        <f t="shared" si="72"/>
        <v>45800</v>
      </c>
      <c r="AS168" s="351">
        <v>45802</v>
      </c>
      <c r="AT168" s="24" t="s">
        <v>545</v>
      </c>
      <c r="AU168" s="178"/>
      <c r="AV168" s="137" t="s">
        <v>20</v>
      </c>
      <c r="AW168" s="15" t="s">
        <v>6</v>
      </c>
      <c r="AX168" s="279">
        <v>45805</v>
      </c>
      <c r="AY168" s="279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80">
        <f>BF168-2</f>
        <v>45866</v>
      </c>
      <c r="BF168" s="280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9"/>
      <c r="U169" s="199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9"/>
      <c r="AY169" s="279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9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51">
        <f t="shared" ref="AP170:AR170" si="73">AQ170-2</f>
        <v>45794</v>
      </c>
      <c r="AQ170" s="351">
        <f t="shared" si="73"/>
        <v>45796</v>
      </c>
      <c r="AR170" s="351">
        <f t="shared" si="73"/>
        <v>45798</v>
      </c>
      <c r="AS170" s="351">
        <v>45800</v>
      </c>
      <c r="AT170" s="24" t="s">
        <v>545</v>
      </c>
      <c r="AU170" s="178"/>
      <c r="AV170" s="137" t="s">
        <v>20</v>
      </c>
      <c r="AW170" s="15" t="s">
        <v>6</v>
      </c>
      <c r="AX170" s="279">
        <f>AY170</f>
        <v>45805</v>
      </c>
      <c r="AY170" s="279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80">
        <f>BF170-2</f>
        <v>45835</v>
      </c>
      <c r="BF170" s="280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9"/>
      <c r="U171" s="199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9"/>
      <c r="AY171" s="279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9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51">
        <f>AQ172-1</f>
        <v>45801</v>
      </c>
      <c r="AQ172" s="351">
        <f t="shared" ref="AQ172:AR172" si="74">AR172-2</f>
        <v>45802</v>
      </c>
      <c r="AR172" s="351">
        <f t="shared" si="74"/>
        <v>45804</v>
      </c>
      <c r="AS172" s="351">
        <v>45806</v>
      </c>
      <c r="AT172" s="24" t="s">
        <v>545</v>
      </c>
      <c r="AU172" s="178"/>
      <c r="AV172" s="137" t="s">
        <v>20</v>
      </c>
      <c r="AW172" s="15" t="s">
        <v>6</v>
      </c>
      <c r="AX172" s="279">
        <v>45811</v>
      </c>
      <c r="AY172" s="279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80">
        <f>BF172</f>
        <v>45839</v>
      </c>
      <c r="BF172" s="280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9"/>
      <c r="U173" s="199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9"/>
      <c r="AY173" s="279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9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51">
        <v>45527</v>
      </c>
      <c r="AQ174" s="351">
        <v>45536</v>
      </c>
      <c r="AR174" s="351">
        <v>45558</v>
      </c>
      <c r="AS174" s="351">
        <v>45563</v>
      </c>
      <c r="AT174" s="24" t="s">
        <v>574</v>
      </c>
      <c r="AU174" s="178"/>
      <c r="AV174" s="137" t="s">
        <v>20</v>
      </c>
      <c r="AW174" s="15" t="s">
        <v>6</v>
      </c>
      <c r="AX174" s="279">
        <v>45662</v>
      </c>
      <c r="AY174" s="279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80">
        <f>BF174-2</f>
        <v>45729</v>
      </c>
      <c r="BF174" s="280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9"/>
      <c r="U175" s="199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9"/>
      <c r="AY175" s="279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9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51">
        <v>45547</v>
      </c>
      <c r="AQ176" s="351">
        <v>45550</v>
      </c>
      <c r="AR176" s="351">
        <v>45594</v>
      </c>
      <c r="AS176" s="351">
        <v>45595</v>
      </c>
      <c r="AT176" s="24" t="s">
        <v>574</v>
      </c>
      <c r="AU176" s="178"/>
      <c r="AV176" s="137" t="s">
        <v>20</v>
      </c>
      <c r="AW176" s="15" t="s">
        <v>6</v>
      </c>
      <c r="AX176" s="279">
        <v>45662</v>
      </c>
      <c r="AY176" s="279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80">
        <f>BF176-1</f>
        <v>45796</v>
      </c>
      <c r="BF176" s="280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9"/>
      <c r="U177" s="199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9"/>
      <c r="AY177" s="279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9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51">
        <v>45604</v>
      </c>
      <c r="AQ178" s="351">
        <f>AP178+10</f>
        <v>45614</v>
      </c>
      <c r="AR178" s="351">
        <f>AS178-4</f>
        <v>45618</v>
      </c>
      <c r="AS178" s="351">
        <v>45622</v>
      </c>
      <c r="AT178" s="24" t="s">
        <v>574</v>
      </c>
      <c r="AU178" s="178"/>
      <c r="AV178" s="137" t="s">
        <v>20</v>
      </c>
      <c r="AW178" s="15" t="s">
        <v>6</v>
      </c>
      <c r="AX178" s="279">
        <v>45706</v>
      </c>
      <c r="AY178" s="279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80">
        <f>BF178-2</f>
        <v>45743</v>
      </c>
      <c r="BF178" s="280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9"/>
      <c r="U179" s="199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9"/>
      <c r="AY179" s="279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200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9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51">
        <f t="shared" ref="AP180:AR180" si="75">AQ180-2</f>
        <v>45760</v>
      </c>
      <c r="AQ180" s="351">
        <f t="shared" si="75"/>
        <v>45762</v>
      </c>
      <c r="AR180" s="351">
        <f t="shared" si="75"/>
        <v>45764</v>
      </c>
      <c r="AS180" s="351">
        <v>45766</v>
      </c>
      <c r="AT180" s="24" t="s">
        <v>549</v>
      </c>
      <c r="AU180" s="178"/>
      <c r="AV180" s="137" t="s">
        <v>20</v>
      </c>
      <c r="AW180" s="15" t="s">
        <v>6</v>
      </c>
      <c r="AX180" s="279">
        <f>AY180</f>
        <v>45661</v>
      </c>
      <c r="AY180" s="279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80">
        <f>BF180-1</f>
        <v>45798</v>
      </c>
      <c r="BF180" s="280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9"/>
      <c r="U181" s="199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9"/>
      <c r="AY181" s="279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9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51">
        <v>45602</v>
      </c>
      <c r="AQ182" s="351">
        <f t="shared" ref="AQ182:AR182" si="76">AR182-2</f>
        <v>45607</v>
      </c>
      <c r="AR182" s="351">
        <f t="shared" si="76"/>
        <v>45609</v>
      </c>
      <c r="AS182" s="351">
        <v>45611</v>
      </c>
      <c r="AT182" s="24" t="s">
        <v>574</v>
      </c>
      <c r="AU182" s="178"/>
      <c r="AV182" s="137" t="s">
        <v>20</v>
      </c>
      <c r="AW182" s="15" t="s">
        <v>6</v>
      </c>
      <c r="AX182" s="279">
        <v>45706</v>
      </c>
      <c r="AY182" s="279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80">
        <f>BF182-2</f>
        <v>45733</v>
      </c>
      <c r="BF182" s="280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9"/>
      <c r="U183" s="199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9"/>
      <c r="AY183" s="279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9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51">
        <v>45528</v>
      </c>
      <c r="AQ184" s="351">
        <v>45531</v>
      </c>
      <c r="AR184" s="351">
        <v>45536</v>
      </c>
      <c r="AS184" s="351">
        <v>45544</v>
      </c>
      <c r="AT184" s="24" t="s">
        <v>574</v>
      </c>
      <c r="AU184" s="178"/>
      <c r="AV184" s="137" t="s">
        <v>20</v>
      </c>
      <c r="AW184" s="15" t="s">
        <v>6</v>
      </c>
      <c r="AX184" s="279">
        <v>45706</v>
      </c>
      <c r="AY184" s="279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80">
        <f>BF184-2</f>
        <v>45727</v>
      </c>
      <c r="BF184" s="280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9"/>
      <c r="U185" s="199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9"/>
      <c r="AY185" s="279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9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51">
        <v>15.1</v>
      </c>
      <c r="AQ186" s="351">
        <v>18.100000000000001</v>
      </c>
      <c r="AR186" s="351">
        <v>45586</v>
      </c>
      <c r="AS186" s="351">
        <v>45587</v>
      </c>
      <c r="AT186" s="24" t="s">
        <v>574</v>
      </c>
      <c r="AU186" s="178"/>
      <c r="AV186" s="137" t="s">
        <v>20</v>
      </c>
      <c r="AW186" s="15" t="s">
        <v>544</v>
      </c>
      <c r="AX186" s="279">
        <v>45660</v>
      </c>
      <c r="AY186" s="279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80">
        <f>BF186-2</f>
        <v>45770</v>
      </c>
      <c r="BF186" s="280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9"/>
      <c r="U187" s="199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9"/>
      <c r="AY187" s="279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9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51">
        <v>45575</v>
      </c>
      <c r="AQ188" s="351">
        <v>45578</v>
      </c>
      <c r="AR188" s="351">
        <v>45583</v>
      </c>
      <c r="AS188" s="351">
        <v>45585</v>
      </c>
      <c r="AT188" s="24" t="s">
        <v>574</v>
      </c>
      <c r="AU188" s="178"/>
      <c r="AV188" s="137" t="s">
        <v>20</v>
      </c>
      <c r="AW188" s="15" t="s">
        <v>6</v>
      </c>
      <c r="AX188" s="279">
        <v>45706</v>
      </c>
      <c r="AY188" s="279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80">
        <f>BF188-2</f>
        <v>45777</v>
      </c>
      <c r="BF188" s="280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9"/>
      <c r="AY189" s="279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51">
        <v>45585</v>
      </c>
      <c r="AQ190" s="351">
        <v>45588</v>
      </c>
      <c r="AR190" s="351">
        <v>45590</v>
      </c>
      <c r="AS190" s="351">
        <v>45592</v>
      </c>
      <c r="AT190" s="24" t="s">
        <v>574</v>
      </c>
      <c r="AU190" s="178"/>
      <c r="AV190" s="137" t="s">
        <v>20</v>
      </c>
      <c r="AW190" s="15" t="s">
        <v>6</v>
      </c>
      <c r="AX190" s="279">
        <f>AY190-2</f>
        <v>45718</v>
      </c>
      <c r="AY190" s="279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80">
        <f>BF190-1</f>
        <v>45729</v>
      </c>
      <c r="BF190" s="280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9"/>
      <c r="AY191" s="279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51">
        <v>45566</v>
      </c>
      <c r="AQ192" s="351">
        <v>45567</v>
      </c>
      <c r="AR192" s="351">
        <v>45575</v>
      </c>
      <c r="AS192" s="351">
        <v>45584</v>
      </c>
      <c r="AT192" s="24" t="s">
        <v>574</v>
      </c>
      <c r="AU192" s="178"/>
      <c r="AV192" s="137" t="s">
        <v>20</v>
      </c>
      <c r="AW192" s="15" t="s">
        <v>6</v>
      </c>
      <c r="AX192" s="279">
        <v>45706</v>
      </c>
      <c r="AY192" s="279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80">
        <f>BF192-2</f>
        <v>45736</v>
      </c>
      <c r="BF192" s="280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9"/>
      <c r="AY193" s="279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51">
        <f t="shared" ref="AP194:AR194" si="77">AQ194-2</f>
        <v>45749</v>
      </c>
      <c r="AQ194" s="351">
        <f t="shared" si="77"/>
        <v>45751</v>
      </c>
      <c r="AR194" s="351">
        <f t="shared" si="77"/>
        <v>45753</v>
      </c>
      <c r="AS194" s="351">
        <v>45755</v>
      </c>
      <c r="AT194" s="24" t="s">
        <v>549</v>
      </c>
      <c r="AU194" s="178"/>
      <c r="AV194" s="137" t="s">
        <v>20</v>
      </c>
      <c r="AW194" s="15" t="s">
        <v>544</v>
      </c>
      <c r="AX194" s="279">
        <f>AY194</f>
        <v>45661</v>
      </c>
      <c r="AY194" s="279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80">
        <f>BF194-1</f>
        <v>45800</v>
      </c>
      <c r="BF194" s="280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9"/>
      <c r="AY195" s="279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51">
        <f t="shared" ref="AP196:AR196" si="78">AQ196-2</f>
        <v>45963</v>
      </c>
      <c r="AQ196" s="351">
        <f t="shared" si="78"/>
        <v>45965</v>
      </c>
      <c r="AR196" s="351">
        <f t="shared" si="78"/>
        <v>45967</v>
      </c>
      <c r="AS196" s="351">
        <v>45969</v>
      </c>
      <c r="AT196" s="19" t="s">
        <v>538</v>
      </c>
      <c r="AU196" s="178"/>
      <c r="AV196" s="137" t="s">
        <v>20</v>
      </c>
      <c r="AW196" s="15"/>
      <c r="AX196" s="279">
        <f>AY196-2</f>
        <v>45973</v>
      </c>
      <c r="AY196" s="279">
        <v>45975</v>
      </c>
      <c r="AZ196" s="182" t="s">
        <v>506</v>
      </c>
      <c r="BA196" s="183"/>
      <c r="BB196" s="137" t="s">
        <v>20</v>
      </c>
      <c r="BC196" s="131"/>
      <c r="BD196" s="131"/>
      <c r="BE196" s="280">
        <f>BF196-2</f>
        <v>45971</v>
      </c>
      <c r="BF196" s="280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9"/>
      <c r="AY197" s="279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51">
        <v>45593</v>
      </c>
      <c r="AQ198" s="351">
        <f>AR198-3</f>
        <v>45599</v>
      </c>
      <c r="AR198" s="351">
        <f>AS198-2</f>
        <v>45602</v>
      </c>
      <c r="AS198" s="351">
        <v>45604</v>
      </c>
      <c r="AT198" s="24" t="s">
        <v>574</v>
      </c>
      <c r="AU198" s="178"/>
      <c r="AV198" s="137" t="s">
        <v>20</v>
      </c>
      <c r="AW198" s="15" t="s">
        <v>6</v>
      </c>
      <c r="AX198" s="279">
        <v>45706</v>
      </c>
      <c r="AY198" s="279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80">
        <f>BF198</f>
        <v>45785</v>
      </c>
      <c r="BF198" s="280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9"/>
      <c r="AY199" s="279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51">
        <f>AQ200-2</f>
        <v>45900</v>
      </c>
      <c r="AQ200" s="351">
        <f>AR200-3</f>
        <v>45902</v>
      </c>
      <c r="AR200" s="351">
        <f>AS200-2</f>
        <v>45905</v>
      </c>
      <c r="AS200" s="351">
        <v>45907</v>
      </c>
      <c r="AT200" s="182" t="s">
        <v>581</v>
      </c>
      <c r="AU200" s="183"/>
      <c r="AV200" s="137" t="s">
        <v>20</v>
      </c>
      <c r="AW200" s="15" t="s">
        <v>6</v>
      </c>
      <c r="AX200" s="279">
        <f>AS200+2</f>
        <v>45909</v>
      </c>
      <c r="AY200" s="279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80">
        <f>BF200</f>
        <v>45956</v>
      </c>
      <c r="BF200" s="280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9"/>
      <c r="AY201" s="279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51">
        <f t="shared" ref="AP202:AQ202" si="79">AQ202-3</f>
        <v>45912</v>
      </c>
      <c r="AQ202" s="351">
        <f t="shared" si="79"/>
        <v>45915</v>
      </c>
      <c r="AR202" s="351">
        <f>AS202-2</f>
        <v>45918</v>
      </c>
      <c r="AS202" s="351">
        <v>45920</v>
      </c>
      <c r="AT202" s="182" t="s">
        <v>581</v>
      </c>
      <c r="AU202" s="178"/>
      <c r="AV202" s="137" t="s">
        <v>20</v>
      </c>
      <c r="AW202" s="15"/>
      <c r="AX202" s="279"/>
      <c r="AY202" s="279"/>
      <c r="AZ202" s="24"/>
      <c r="BA202" s="178"/>
      <c r="BB202" s="137" t="s">
        <v>20</v>
      </c>
      <c r="BC202" s="131"/>
      <c r="BD202" s="131"/>
      <c r="BE202" s="280">
        <f>BF202-2</f>
        <v>45951</v>
      </c>
      <c r="BF202" s="280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9"/>
      <c r="AY203" s="279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51">
        <f t="shared" ref="AP204:AR204" si="83">AQ204-2</f>
        <v>45906</v>
      </c>
      <c r="AQ204" s="351">
        <f t="shared" si="83"/>
        <v>45908</v>
      </c>
      <c r="AR204" s="351">
        <f t="shared" si="83"/>
        <v>45910</v>
      </c>
      <c r="AS204" s="351">
        <v>45912</v>
      </c>
      <c r="AT204" s="182" t="s">
        <v>581</v>
      </c>
      <c r="AU204" s="183"/>
      <c r="AV204" s="137" t="s">
        <v>20</v>
      </c>
      <c r="AW204" s="15" t="s">
        <v>6</v>
      </c>
      <c r="AX204" s="279">
        <f>AS204+2</f>
        <v>45914</v>
      </c>
      <c r="AY204" s="279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80">
        <f>BF204-2</f>
        <v>45957</v>
      </c>
      <c r="BF204" s="280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9"/>
      <c r="AY205" s="279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51">
        <f>AQ206-2</f>
        <v>45922</v>
      </c>
      <c r="AQ206" s="351">
        <f t="shared" ref="AQ206:AR206" si="84">AR206-3</f>
        <v>45924</v>
      </c>
      <c r="AR206" s="351">
        <f t="shared" si="84"/>
        <v>45927</v>
      </c>
      <c r="AS206" s="351">
        <v>45930</v>
      </c>
      <c r="AT206" s="19" t="s">
        <v>553</v>
      </c>
      <c r="AU206" s="194"/>
      <c r="AV206" s="137" t="s">
        <v>20</v>
      </c>
      <c r="AW206" s="15" t="s">
        <v>6</v>
      </c>
      <c r="AX206" s="279">
        <f>AS206+2</f>
        <v>45932</v>
      </c>
      <c r="AY206" s="279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80">
        <f>BF206-2</f>
        <v>45975</v>
      </c>
      <c r="BF206" s="280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9"/>
      <c r="AY207" s="279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51">
        <f>AQ208-7</f>
        <v>45922</v>
      </c>
      <c r="AQ208" s="351">
        <f>AR208-6</f>
        <v>45929</v>
      </c>
      <c r="AR208" s="351">
        <f>AS208-3</f>
        <v>45935</v>
      </c>
      <c r="AS208" s="351">
        <v>45938</v>
      </c>
      <c r="AT208" s="19" t="s">
        <v>538</v>
      </c>
      <c r="AU208" s="194"/>
      <c r="AV208" s="137" t="s">
        <v>20</v>
      </c>
      <c r="AW208" s="15" t="s">
        <v>6</v>
      </c>
      <c r="AX208" s="279">
        <f>AS208+2</f>
        <v>45940</v>
      </c>
      <c r="AY208" s="279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80">
        <f>BF208-2</f>
        <v>45959</v>
      </c>
      <c r="BF208" s="280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9"/>
      <c r="AY209" s="279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51">
        <f t="shared" ref="AP210:AR210" si="85">AQ210-3</f>
        <v>45957</v>
      </c>
      <c r="AQ210" s="351">
        <f t="shared" si="85"/>
        <v>45960</v>
      </c>
      <c r="AR210" s="351">
        <f t="shared" si="85"/>
        <v>45963</v>
      </c>
      <c r="AS210" s="351">
        <v>45966</v>
      </c>
      <c r="AT210" s="19" t="s">
        <v>553</v>
      </c>
      <c r="AU210" s="194"/>
      <c r="AV210" s="137" t="s">
        <v>20</v>
      </c>
      <c r="AW210" s="15" t="s">
        <v>6</v>
      </c>
      <c r="AX210" s="279">
        <f>AS210+2</f>
        <v>45968</v>
      </c>
      <c r="AY210" s="279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80">
        <f>BF210-2</f>
        <v>45976</v>
      </c>
      <c r="BF210" s="280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9"/>
      <c r="AY211" s="279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51">
        <f>AQ212-2</f>
        <v>45644</v>
      </c>
      <c r="AQ212" s="351">
        <f>AR212-3</f>
        <v>45646</v>
      </c>
      <c r="AR212" s="351">
        <f>AS212-2</f>
        <v>45649</v>
      </c>
      <c r="AS212" s="351">
        <v>45651</v>
      </c>
      <c r="AT212" s="182" t="s">
        <v>539</v>
      </c>
      <c r="AU212" s="183"/>
      <c r="AV212" s="137" t="s">
        <v>20</v>
      </c>
      <c r="AW212" s="15" t="s">
        <v>6</v>
      </c>
      <c r="AX212" s="279">
        <v>45644</v>
      </c>
      <c r="AY212" s="279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80">
        <f>BF212-2</f>
        <v>45686</v>
      </c>
      <c r="BF212" s="280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9"/>
      <c r="AY213" s="279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51">
        <v>45656</v>
      </c>
      <c r="AQ214" s="351">
        <v>45656</v>
      </c>
      <c r="AR214" s="351">
        <v>45657</v>
      </c>
      <c r="AS214" s="351">
        <v>45657</v>
      </c>
      <c r="AT214" s="182" t="s">
        <v>539</v>
      </c>
      <c r="AU214" s="183"/>
      <c r="AV214" s="137" t="s">
        <v>20</v>
      </c>
      <c r="AW214" s="15" t="s">
        <v>6</v>
      </c>
      <c r="AX214" s="279">
        <v>45644</v>
      </c>
      <c r="AY214" s="279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80">
        <f>BF214-2</f>
        <v>45687</v>
      </c>
      <c r="BF214" s="280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9"/>
      <c r="AY215" s="279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51">
        <f t="shared" ref="AP216:AQ216" si="86">AQ216-3</f>
        <v>45637</v>
      </c>
      <c r="AQ216" s="351">
        <f t="shared" si="86"/>
        <v>45640</v>
      </c>
      <c r="AR216" s="351">
        <f>AS216-2</f>
        <v>45643</v>
      </c>
      <c r="AS216" s="351">
        <v>45645</v>
      </c>
      <c r="AT216" s="182" t="s">
        <v>539</v>
      </c>
      <c r="AU216" s="183"/>
      <c r="AV216" s="137" t="s">
        <v>20</v>
      </c>
      <c r="AW216" s="15" t="s">
        <v>6</v>
      </c>
      <c r="AX216" s="279">
        <v>45644</v>
      </c>
      <c r="AY216" s="279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80">
        <f>BF216-1</f>
        <v>45689</v>
      </c>
      <c r="BF216" s="280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9"/>
      <c r="AY217" s="279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51">
        <f>AQ218-3</f>
        <v>45634</v>
      </c>
      <c r="AQ218" s="351">
        <f t="shared" ref="AQ218:AR218" si="87">AR218-2</f>
        <v>45637</v>
      </c>
      <c r="AR218" s="351">
        <f t="shared" si="87"/>
        <v>45639</v>
      </c>
      <c r="AS218" s="351">
        <v>45641</v>
      </c>
      <c r="AT218" s="182" t="s">
        <v>539</v>
      </c>
      <c r="AU218" s="183"/>
      <c r="AV218" s="137" t="s">
        <v>20</v>
      </c>
      <c r="AW218" s="15" t="s">
        <v>6</v>
      </c>
      <c r="AX218" s="279">
        <v>45644</v>
      </c>
      <c r="AY218" s="279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80">
        <f>BF218-1</f>
        <v>45692</v>
      </c>
      <c r="BF218" s="280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9"/>
      <c r="AY219" s="279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51">
        <v>45547</v>
      </c>
      <c r="AQ220" s="351">
        <v>45550</v>
      </c>
      <c r="AR220" s="351">
        <v>45551</v>
      </c>
      <c r="AS220" s="351">
        <v>45557</v>
      </c>
      <c r="AT220" s="182" t="s">
        <v>539</v>
      </c>
      <c r="AU220" s="183"/>
      <c r="AV220" s="137" t="s">
        <v>20</v>
      </c>
      <c r="AW220" s="15" t="s">
        <v>6</v>
      </c>
      <c r="AX220" s="279">
        <v>45644</v>
      </c>
      <c r="AY220" s="279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80">
        <v>45645</v>
      </c>
      <c r="BF220" s="280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9"/>
      <c r="AY221" s="279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51">
        <v>45531</v>
      </c>
      <c r="AQ222" s="351">
        <v>45542</v>
      </c>
      <c r="AR222" s="351">
        <v>45542</v>
      </c>
      <c r="AS222" s="351">
        <v>45546</v>
      </c>
      <c r="AT222" s="182" t="s">
        <v>539</v>
      </c>
      <c r="AU222" s="183"/>
      <c r="AV222" s="137" t="s">
        <v>20</v>
      </c>
      <c r="AW222" s="15" t="s">
        <v>6</v>
      </c>
      <c r="AX222" s="279">
        <v>45646</v>
      </c>
      <c r="AY222" s="279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80">
        <v>45650</v>
      </c>
      <c r="BF222" s="280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9"/>
      <c r="AY223" s="279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51">
        <v>45543</v>
      </c>
      <c r="AQ224" s="351">
        <v>45546</v>
      </c>
      <c r="AR224" s="351">
        <v>45547</v>
      </c>
      <c r="AS224" s="351">
        <v>45550</v>
      </c>
      <c r="AT224" s="182" t="s">
        <v>539</v>
      </c>
      <c r="AU224" s="183"/>
      <c r="AV224" s="137" t="s">
        <v>20</v>
      </c>
      <c r="AW224" s="15" t="s">
        <v>6</v>
      </c>
      <c r="AX224" s="279">
        <v>45650</v>
      </c>
      <c r="AY224" s="279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80">
        <v>45651</v>
      </c>
      <c r="BF224" s="280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9"/>
      <c r="AY225" s="279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51">
        <v>45531</v>
      </c>
      <c r="AQ226" s="351">
        <v>45551</v>
      </c>
      <c r="AR226" s="351">
        <v>45584</v>
      </c>
      <c r="AS226" s="351">
        <v>45589</v>
      </c>
      <c r="AT226" s="182" t="s">
        <v>539</v>
      </c>
      <c r="AU226" s="183"/>
      <c r="AV226" s="137" t="s">
        <v>20</v>
      </c>
      <c r="AW226" s="15" t="s">
        <v>6</v>
      </c>
      <c r="AX226" s="279">
        <v>45650</v>
      </c>
      <c r="AY226" s="279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80">
        <f>BF226-2</f>
        <v>45693</v>
      </c>
      <c r="BF226" s="280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9"/>
      <c r="AY227" s="279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51">
        <v>45628</v>
      </c>
      <c r="AQ228" s="351">
        <f t="shared" ref="AQ228:AR228" si="89">AR228-2</f>
        <v>45631</v>
      </c>
      <c r="AR228" s="351">
        <f t="shared" si="89"/>
        <v>45633</v>
      </c>
      <c r="AS228" s="351">
        <v>45635</v>
      </c>
      <c r="AT228" s="24" t="s">
        <v>585</v>
      </c>
      <c r="AU228" s="178"/>
      <c r="AV228" s="137" t="s">
        <v>20</v>
      </c>
      <c r="AW228" s="15" t="s">
        <v>6</v>
      </c>
      <c r="AX228" s="279">
        <v>45648</v>
      </c>
      <c r="AY228" s="279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80">
        <f>BF228-2</f>
        <v>45695</v>
      </c>
      <c r="BF228" s="280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9"/>
      <c r="AY229" s="279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51">
        <v>45588</v>
      </c>
      <c r="AQ230" s="351">
        <f>AP230+2</f>
        <v>45590</v>
      </c>
      <c r="AR230" s="351">
        <f>AS230-2</f>
        <v>45600</v>
      </c>
      <c r="AS230" s="351">
        <v>45602</v>
      </c>
      <c r="AT230" s="182" t="s">
        <v>585</v>
      </c>
      <c r="AU230" s="183"/>
      <c r="AV230" s="137" t="s">
        <v>20</v>
      </c>
      <c r="AW230" s="15" t="s">
        <v>6</v>
      </c>
      <c r="AX230" s="279">
        <v>45648</v>
      </c>
      <c r="AY230" s="279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80">
        <f>BF230-1</f>
        <v>45699</v>
      </c>
      <c r="BF230" s="280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9"/>
      <c r="AY231" s="279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51">
        <v>45594</v>
      </c>
      <c r="AQ232" s="351">
        <v>45596</v>
      </c>
      <c r="AR232" s="351">
        <v>45598</v>
      </c>
      <c r="AS232" s="351">
        <v>45599</v>
      </c>
      <c r="AT232" s="182" t="s">
        <v>539</v>
      </c>
      <c r="AU232" s="183"/>
      <c r="AV232" s="137" t="s">
        <v>20</v>
      </c>
      <c r="AW232" s="15" t="s">
        <v>544</v>
      </c>
      <c r="AX232" s="279">
        <v>45648</v>
      </c>
      <c r="AY232" s="279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80">
        <f>BF232-2</f>
        <v>45697</v>
      </c>
      <c r="BF232" s="280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9"/>
      <c r="AY233" s="279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51">
        <v>45599</v>
      </c>
      <c r="AQ234" s="351">
        <v>45602</v>
      </c>
      <c r="AR234" s="351">
        <v>45605</v>
      </c>
      <c r="AS234" s="351">
        <v>45605</v>
      </c>
      <c r="AT234" s="182" t="s">
        <v>539</v>
      </c>
      <c r="AU234" s="183"/>
      <c r="AV234" s="137" t="s">
        <v>20</v>
      </c>
      <c r="AW234" s="15" t="s">
        <v>544</v>
      </c>
      <c r="AX234" s="279">
        <v>45648</v>
      </c>
      <c r="AY234" s="279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80">
        <f>BF234-2</f>
        <v>45699</v>
      </c>
      <c r="BF234" s="280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9"/>
      <c r="AY235" s="279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51">
        <v>45603</v>
      </c>
      <c r="AQ236" s="351">
        <f t="shared" ref="AQ236:AR236" si="90">AR236-2</f>
        <v>45604</v>
      </c>
      <c r="AR236" s="351">
        <f t="shared" si="90"/>
        <v>45606</v>
      </c>
      <c r="AS236" s="351">
        <v>45608</v>
      </c>
      <c r="AT236" s="24" t="s">
        <v>585</v>
      </c>
      <c r="AU236" s="178"/>
      <c r="AV236" s="137" t="s">
        <v>20</v>
      </c>
      <c r="AW236" s="15" t="s">
        <v>544</v>
      </c>
      <c r="AX236" s="279">
        <v>45648</v>
      </c>
      <c r="AY236" s="279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80">
        <f>BF236-1</f>
        <v>45704</v>
      </c>
      <c r="BF236" s="280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9"/>
      <c r="AY237" s="279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51">
        <v>45570</v>
      </c>
      <c r="AQ238" s="351">
        <v>45571</v>
      </c>
      <c r="AR238" s="351">
        <v>45572</v>
      </c>
      <c r="AS238" s="351">
        <v>45575</v>
      </c>
      <c r="AT238" s="24" t="s">
        <v>539</v>
      </c>
      <c r="AU238" s="178"/>
      <c r="AV238" s="137" t="s">
        <v>20</v>
      </c>
      <c r="AW238" s="15" t="s">
        <v>6</v>
      </c>
      <c r="AX238" s="279">
        <v>45648</v>
      </c>
      <c r="AY238" s="279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80">
        <f>BF238-1</f>
        <v>45702</v>
      </c>
      <c r="BF238" s="280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9"/>
      <c r="AY239" s="279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51">
        <v>45557</v>
      </c>
      <c r="AQ240" s="351">
        <v>45558</v>
      </c>
      <c r="AR240" s="351">
        <v>45561</v>
      </c>
      <c r="AS240" s="351">
        <v>45566</v>
      </c>
      <c r="AT240" s="24" t="s">
        <v>539</v>
      </c>
      <c r="AU240" s="178"/>
      <c r="AV240" s="137" t="s">
        <v>20</v>
      </c>
      <c r="AW240" s="15" t="s">
        <v>6</v>
      </c>
      <c r="AX240" s="279">
        <v>45648</v>
      </c>
      <c r="AY240" s="279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80">
        <f>BF240-2</f>
        <v>45702</v>
      </c>
      <c r="BF240" s="280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9"/>
      <c r="AY241" s="279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51">
        <v>45557</v>
      </c>
      <c r="AQ242" s="351">
        <v>45575</v>
      </c>
      <c r="AR242" s="351">
        <v>45576</v>
      </c>
      <c r="AS242" s="351">
        <v>45592</v>
      </c>
      <c r="AT242" s="24" t="s">
        <v>585</v>
      </c>
      <c r="AU242" s="178"/>
      <c r="AV242" s="137" t="s">
        <v>20</v>
      </c>
      <c r="AW242" s="15" t="s">
        <v>544</v>
      </c>
      <c r="AX242" s="279">
        <v>45648</v>
      </c>
      <c r="AY242" s="279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80">
        <f>BF242-2</f>
        <v>45710</v>
      </c>
      <c r="BF242" s="280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9"/>
      <c r="AY243" s="279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51">
        <v>45572</v>
      </c>
      <c r="AQ244" s="351">
        <v>45574</v>
      </c>
      <c r="AR244" s="351">
        <v>45577</v>
      </c>
      <c r="AS244" s="351">
        <v>45581</v>
      </c>
      <c r="AT244" s="24" t="s">
        <v>539</v>
      </c>
      <c r="AU244" s="178"/>
      <c r="AV244" s="137" t="s">
        <v>20</v>
      </c>
      <c r="AW244" s="15" t="s">
        <v>6</v>
      </c>
      <c r="AX244" s="279">
        <v>45708</v>
      </c>
      <c r="AY244" s="279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80">
        <f>BF244-1</f>
        <v>45706</v>
      </c>
      <c r="BF244" s="280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9"/>
      <c r="AY245" s="279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51">
        <v>45584</v>
      </c>
      <c r="AQ246" s="351">
        <v>45592</v>
      </c>
      <c r="AR246" s="351">
        <v>45594</v>
      </c>
      <c r="AS246" s="351">
        <v>45596</v>
      </c>
      <c r="AT246" s="19" t="s">
        <v>561</v>
      </c>
      <c r="AU246" s="194"/>
      <c r="AV246" s="137" t="s">
        <v>20</v>
      </c>
      <c r="AW246" s="15" t="s">
        <v>6</v>
      </c>
      <c r="AX246" s="279">
        <f>AY246</f>
        <v>45693</v>
      </c>
      <c r="AY246" s="279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80">
        <f>BF246-2</f>
        <v>45695</v>
      </c>
      <c r="BF246" s="280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9"/>
      <c r="AY247" s="279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51">
        <v>45576</v>
      </c>
      <c r="AQ248" s="351">
        <v>45584</v>
      </c>
      <c r="AR248" s="351">
        <v>45588</v>
      </c>
      <c r="AS248" s="351">
        <v>45589</v>
      </c>
      <c r="AT248" s="19" t="s">
        <v>561</v>
      </c>
      <c r="AU248" s="194"/>
      <c r="AV248" s="137" t="s">
        <v>20</v>
      </c>
      <c r="AW248" s="15" t="s">
        <v>6</v>
      </c>
      <c r="AX248" s="279">
        <f>AY248</f>
        <v>45693</v>
      </c>
      <c r="AY248" s="279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80">
        <f>BF248-2</f>
        <v>45706</v>
      </c>
      <c r="BF248" s="280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9"/>
      <c r="AY249" s="279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51">
        <v>45572</v>
      </c>
      <c r="AQ250" s="351">
        <v>45573</v>
      </c>
      <c r="AR250" s="351">
        <v>45575</v>
      </c>
      <c r="AS250" s="351">
        <v>45576</v>
      </c>
      <c r="AT250" s="19" t="s">
        <v>561</v>
      </c>
      <c r="AU250" s="194"/>
      <c r="AV250" s="137" t="s">
        <v>20</v>
      </c>
      <c r="AW250" s="15" t="s">
        <v>6</v>
      </c>
      <c r="AX250" s="279">
        <v>45657</v>
      </c>
      <c r="AY250" s="279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80">
        <f>BF250-2</f>
        <v>45689</v>
      </c>
      <c r="BF250" s="280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9"/>
      <c r="AY251" s="279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51">
        <v>45595</v>
      </c>
      <c r="AQ252" s="351">
        <v>45566</v>
      </c>
      <c r="AR252" s="351">
        <v>45567</v>
      </c>
      <c r="AS252" s="351">
        <v>45571</v>
      </c>
      <c r="AT252" s="19" t="s">
        <v>561</v>
      </c>
      <c r="AU252" s="194"/>
      <c r="AV252" s="137" t="s">
        <v>20</v>
      </c>
      <c r="AW252" s="15" t="s">
        <v>544</v>
      </c>
      <c r="AX252" s="279">
        <v>45657</v>
      </c>
      <c r="AY252" s="279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80">
        <f>BF252-2</f>
        <v>45686</v>
      </c>
      <c r="BF252" s="280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9"/>
      <c r="AY253" s="279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51">
        <v>45577</v>
      </c>
      <c r="AQ254" s="351">
        <v>45579</v>
      </c>
      <c r="AR254" s="351">
        <v>45583</v>
      </c>
      <c r="AS254" s="351">
        <v>45586</v>
      </c>
      <c r="AT254" s="19" t="s">
        <v>561</v>
      </c>
      <c r="AU254" s="194"/>
      <c r="AV254" s="137" t="s">
        <v>20</v>
      </c>
      <c r="AW254" s="15" t="s">
        <v>6</v>
      </c>
      <c r="AX254" s="279">
        <v>45657</v>
      </c>
      <c r="AY254" s="279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80">
        <f>BF254-2</f>
        <v>45709</v>
      </c>
      <c r="BF254" s="280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9"/>
      <c r="U255" s="199"/>
      <c r="V255" s="201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9"/>
      <c r="AY255" s="279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9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51">
        <v>45605</v>
      </c>
      <c r="AQ256" s="351">
        <f>AR256-4</f>
        <v>45618</v>
      </c>
      <c r="AR256" s="351">
        <f>AS256-3</f>
        <v>45622</v>
      </c>
      <c r="AS256" s="351">
        <v>45625</v>
      </c>
      <c r="AT256" s="182" t="s">
        <v>589</v>
      </c>
      <c r="AU256" s="183"/>
      <c r="AV256" s="137" t="s">
        <v>20</v>
      </c>
      <c r="AW256" s="15" t="s">
        <v>544</v>
      </c>
      <c r="AX256" s="279">
        <v>45657</v>
      </c>
      <c r="AY256" s="279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80">
        <v>45656</v>
      </c>
      <c r="BF256" s="280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9"/>
      <c r="U257" s="199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9"/>
      <c r="AY257" s="279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9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51">
        <v>45605</v>
      </c>
      <c r="AQ258" s="351">
        <f t="shared" ref="AQ258:AR258" si="91">AR258-3</f>
        <v>45628</v>
      </c>
      <c r="AR258" s="351">
        <f t="shared" si="91"/>
        <v>45631</v>
      </c>
      <c r="AS258" s="351">
        <v>45634</v>
      </c>
      <c r="AT258" s="182" t="s">
        <v>589</v>
      </c>
      <c r="AU258" s="183"/>
      <c r="AV258" s="137" t="s">
        <v>20</v>
      </c>
      <c r="AW258" s="15" t="s">
        <v>6</v>
      </c>
      <c r="AX258" s="279">
        <v>45635</v>
      </c>
      <c r="AY258" s="279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80">
        <v>45653</v>
      </c>
      <c r="BF258" s="280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9"/>
      <c r="U259" s="199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9"/>
      <c r="AY259" s="279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9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51">
        <v>45518</v>
      </c>
      <c r="AQ260" s="351">
        <v>45521</v>
      </c>
      <c r="AR260" s="351">
        <v>45522</v>
      </c>
      <c r="AS260" s="351">
        <v>45523</v>
      </c>
      <c r="AT260" s="182" t="s">
        <v>539</v>
      </c>
      <c r="AU260" s="183"/>
      <c r="AV260" s="137" t="s">
        <v>20</v>
      </c>
      <c r="AW260" s="15" t="s">
        <v>544</v>
      </c>
      <c r="AX260" s="279">
        <f>AY260</f>
        <v>45661</v>
      </c>
      <c r="AY260" s="279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80">
        <f>BF260-1</f>
        <v>45662</v>
      </c>
      <c r="BF260" s="280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9"/>
      <c r="U261" s="199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9"/>
      <c r="AY261" s="279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9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51">
        <v>45594</v>
      </c>
      <c r="AQ262" s="351">
        <v>45598</v>
      </c>
      <c r="AR262" s="351">
        <v>45599</v>
      </c>
      <c r="AS262" s="351">
        <v>45600</v>
      </c>
      <c r="AT262" s="19" t="s">
        <v>561</v>
      </c>
      <c r="AU262" s="194"/>
      <c r="AV262" s="137" t="s">
        <v>20</v>
      </c>
      <c r="AW262" s="15" t="s">
        <v>6</v>
      </c>
      <c r="AX262" s="279">
        <f>AY262</f>
        <v>45658</v>
      </c>
      <c r="AY262" s="279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80">
        <v>45659</v>
      </c>
      <c r="BF262" s="280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9"/>
      <c r="U263" s="199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9"/>
      <c r="AY263" s="279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9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51">
        <v>45526</v>
      </c>
      <c r="AQ264" s="351">
        <v>45579</v>
      </c>
      <c r="AR264" s="351">
        <v>45580</v>
      </c>
      <c r="AS264" s="351">
        <v>45583</v>
      </c>
      <c r="AT264" s="182" t="s">
        <v>591</v>
      </c>
      <c r="AU264" s="183"/>
      <c r="AV264" s="137" t="s">
        <v>20</v>
      </c>
      <c r="AW264" s="15" t="s">
        <v>6</v>
      </c>
      <c r="AX264" s="279">
        <f>AY264</f>
        <v>45659</v>
      </c>
      <c r="AY264" s="279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80">
        <f>BF264-2</f>
        <v>45660</v>
      </c>
      <c r="BF264" s="280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9"/>
      <c r="U265" s="199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9"/>
      <c r="AY265" s="279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9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51">
        <v>45603</v>
      </c>
      <c r="AQ266" s="351">
        <f t="shared" ref="AQ266:AR266" si="92">AR266-2</f>
        <v>45606</v>
      </c>
      <c r="AR266" s="351">
        <f t="shared" si="92"/>
        <v>45608</v>
      </c>
      <c r="AS266" s="351">
        <v>45610</v>
      </c>
      <c r="AT266" s="19" t="s">
        <v>561</v>
      </c>
      <c r="AU266" s="194"/>
      <c r="AV266" s="137" t="s">
        <v>20</v>
      </c>
      <c r="AW266" s="15" t="s">
        <v>6</v>
      </c>
      <c r="AX266" s="279">
        <f>AY266</f>
        <v>45663</v>
      </c>
      <c r="AY266" s="279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80">
        <f>BF266-1</f>
        <v>45664</v>
      </c>
      <c r="BF266" s="280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9"/>
      <c r="U267" s="199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9"/>
      <c r="AY267" s="279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9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51">
        <f t="shared" ref="AP268:AQ268" si="96">AQ268-1</f>
        <v>45612</v>
      </c>
      <c r="AQ268" s="351">
        <f t="shared" si="96"/>
        <v>45613</v>
      </c>
      <c r="AR268" s="351">
        <f>AS268-2</f>
        <v>45614</v>
      </c>
      <c r="AS268" s="351">
        <v>45616</v>
      </c>
      <c r="AT268" s="19" t="s">
        <v>561</v>
      </c>
      <c r="AU268" s="194"/>
      <c r="AV268" s="137" t="s">
        <v>20</v>
      </c>
      <c r="AW268" s="15" t="s">
        <v>6</v>
      </c>
      <c r="AX268" s="279">
        <v>45623</v>
      </c>
      <c r="AY268" s="279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80">
        <f>BF268-2</f>
        <v>45671</v>
      </c>
      <c r="BF268" s="280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9"/>
      <c r="U269" s="199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9"/>
      <c r="AY269" s="279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9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51">
        <f t="shared" ref="AP270:AR270" si="97">AQ270-2</f>
        <v>45620</v>
      </c>
      <c r="AQ270" s="351">
        <f t="shared" si="97"/>
        <v>45622</v>
      </c>
      <c r="AR270" s="351">
        <f t="shared" si="97"/>
        <v>45624</v>
      </c>
      <c r="AS270" s="351">
        <v>45626</v>
      </c>
      <c r="AT270" s="19" t="s">
        <v>561</v>
      </c>
      <c r="AU270" s="194"/>
      <c r="AV270" s="137" t="s">
        <v>20</v>
      </c>
      <c r="AW270" s="15" t="s">
        <v>6</v>
      </c>
      <c r="AX270" s="279">
        <v>45628</v>
      </c>
      <c r="AY270" s="279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80">
        <v>45666</v>
      </c>
      <c r="BF270" s="280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9"/>
      <c r="U271" s="199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9"/>
      <c r="AY271" s="279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9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51">
        <v>45604</v>
      </c>
      <c r="AQ272" s="351">
        <f>AP272+11</f>
        <v>45615</v>
      </c>
      <c r="AR272" s="351">
        <f>AS272-4</f>
        <v>45618</v>
      </c>
      <c r="AS272" s="351">
        <v>45622</v>
      </c>
      <c r="AT272" s="19" t="s">
        <v>561</v>
      </c>
      <c r="AU272" s="194"/>
      <c r="AV272" s="137" t="s">
        <v>20</v>
      </c>
      <c r="AW272" s="15" t="s">
        <v>6</v>
      </c>
      <c r="AX272" s="279">
        <v>45627</v>
      </c>
      <c r="AY272" s="279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80">
        <v>45668</v>
      </c>
      <c r="BF272" s="280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9"/>
      <c r="U273" s="199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9"/>
      <c r="AY273" s="279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9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51">
        <v>45589</v>
      </c>
      <c r="AQ274" s="351">
        <f>AR274-5</f>
        <v>45617</v>
      </c>
      <c r="AR274" s="351">
        <f>AS274-4</f>
        <v>45622</v>
      </c>
      <c r="AS274" s="351">
        <v>45626</v>
      </c>
      <c r="AT274" s="182" t="s">
        <v>591</v>
      </c>
      <c r="AU274" s="183"/>
      <c r="AV274" s="137" t="s">
        <v>20</v>
      </c>
      <c r="AW274" s="15" t="s">
        <v>6</v>
      </c>
      <c r="AX274" s="279">
        <f>AY274</f>
        <v>45667</v>
      </c>
      <c r="AY274" s="279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80">
        <v>45669</v>
      </c>
      <c r="BF274" s="280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9"/>
      <c r="U275" s="199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9"/>
      <c r="AY275" s="279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9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51">
        <v>45584</v>
      </c>
      <c r="AQ276" s="351">
        <v>45587</v>
      </c>
      <c r="AR276" s="351">
        <v>45585</v>
      </c>
      <c r="AS276" s="351">
        <v>45589</v>
      </c>
      <c r="AT276" s="182" t="s">
        <v>591</v>
      </c>
      <c r="AU276" s="183"/>
      <c r="AV276" s="137" t="s">
        <v>20</v>
      </c>
      <c r="AW276" s="15" t="s">
        <v>544</v>
      </c>
      <c r="AX276" s="279">
        <f>AY276</f>
        <v>45667</v>
      </c>
      <c r="AY276" s="279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80">
        <f>BF276-1</f>
        <v>45685</v>
      </c>
      <c r="BF276" s="280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9"/>
      <c r="U277" s="199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9"/>
      <c r="AY277" s="279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9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51">
        <v>45574</v>
      </c>
      <c r="AQ278" s="351">
        <v>45581</v>
      </c>
      <c r="AR278" s="351">
        <v>45582</v>
      </c>
      <c r="AS278" s="351">
        <v>45585</v>
      </c>
      <c r="AT278" s="182" t="s">
        <v>591</v>
      </c>
      <c r="AU278" s="183"/>
      <c r="AV278" s="137" t="s">
        <v>20</v>
      </c>
      <c r="AW278" s="15" t="s">
        <v>544</v>
      </c>
      <c r="AX278" s="279">
        <f>AY278</f>
        <v>45659</v>
      </c>
      <c r="AY278" s="279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80">
        <f>BF278-1</f>
        <v>45673</v>
      </c>
      <c r="BF278" s="280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9"/>
      <c r="U279" s="199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9"/>
      <c r="AY279" s="279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9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51">
        <v>45514</v>
      </c>
      <c r="AQ280" s="351">
        <v>45520</v>
      </c>
      <c r="AR280" s="351">
        <f>AS280-4</f>
        <v>45618</v>
      </c>
      <c r="AS280" s="351">
        <v>45622</v>
      </c>
      <c r="AT280" s="182" t="s">
        <v>539</v>
      </c>
      <c r="AU280" s="183"/>
      <c r="AV280" s="137" t="s">
        <v>20</v>
      </c>
      <c r="AW280" s="15" t="s">
        <v>544</v>
      </c>
      <c r="AX280" s="279">
        <f>AY280</f>
        <v>45660</v>
      </c>
      <c r="AY280" s="279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80">
        <f>BF280-1</f>
        <v>45675</v>
      </c>
      <c r="BF280" s="280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9"/>
      <c r="U281" s="199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9"/>
      <c r="AY281" s="279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9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51">
        <v>45521</v>
      </c>
      <c r="AQ282" s="351">
        <v>45527</v>
      </c>
      <c r="AR282" s="351">
        <v>45528</v>
      </c>
      <c r="AS282" s="351">
        <v>45569</v>
      </c>
      <c r="AT282" s="182" t="s">
        <v>539</v>
      </c>
      <c r="AU282" s="183"/>
      <c r="AV282" s="137" t="s">
        <v>20</v>
      </c>
      <c r="AW282" s="15" t="s">
        <v>544</v>
      </c>
      <c r="AX282" s="279">
        <f>AY282</f>
        <v>45676</v>
      </c>
      <c r="AY282" s="279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80">
        <f>BF282-1</f>
        <v>45677</v>
      </c>
      <c r="BF282" s="280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9"/>
      <c r="U283" s="199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9"/>
      <c r="AY283" s="279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9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51">
        <f t="shared" ref="AP284:AR284" si="99">AQ284-2</f>
        <v>45608</v>
      </c>
      <c r="AQ284" s="351">
        <f t="shared" si="99"/>
        <v>45610</v>
      </c>
      <c r="AR284" s="351">
        <f t="shared" si="99"/>
        <v>45612</v>
      </c>
      <c r="AS284" s="351">
        <v>45614</v>
      </c>
      <c r="AT284" s="182" t="s">
        <v>539</v>
      </c>
      <c r="AU284" s="183"/>
      <c r="AV284" s="137" t="s">
        <v>20</v>
      </c>
      <c r="AW284" s="15" t="s">
        <v>544</v>
      </c>
      <c r="AX284" s="279">
        <f>AY284</f>
        <v>45661</v>
      </c>
      <c r="AY284" s="279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80">
        <f>BF284-1</f>
        <v>45679</v>
      </c>
      <c r="BF284" s="280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9"/>
      <c r="U285" s="199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9"/>
      <c r="AY285" s="279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9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51">
        <f t="shared" ref="AP286:AQ286" si="100">AQ286-2</f>
        <v>45613</v>
      </c>
      <c r="AQ286" s="351">
        <f t="shared" si="100"/>
        <v>45615</v>
      </c>
      <c r="AR286" s="351">
        <f>AS286-3</f>
        <v>45617</v>
      </c>
      <c r="AS286" s="351">
        <v>45620</v>
      </c>
      <c r="AT286" s="182" t="s">
        <v>539</v>
      </c>
      <c r="AU286" s="183"/>
      <c r="AV286" s="137" t="s">
        <v>20</v>
      </c>
      <c r="AW286" s="15" t="s">
        <v>544</v>
      </c>
      <c r="AX286" s="279">
        <v>45667</v>
      </c>
      <c r="AY286" s="279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80">
        <f>BF286-1</f>
        <v>45681</v>
      </c>
      <c r="BF286" s="280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9"/>
      <c r="U287" s="199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9"/>
      <c r="AY287" s="279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9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51">
        <v>45589</v>
      </c>
      <c r="AQ288" s="351">
        <f>AR288-5</f>
        <v>45609</v>
      </c>
      <c r="AR288" s="351">
        <f>AS288-3</f>
        <v>45614</v>
      </c>
      <c r="AS288" s="351">
        <v>45617</v>
      </c>
      <c r="AT288" s="182" t="s">
        <v>585</v>
      </c>
      <c r="AU288" s="183"/>
      <c r="AV288" s="137" t="s">
        <v>20</v>
      </c>
      <c r="AW288" s="15" t="s">
        <v>544</v>
      </c>
      <c r="AX288" s="279">
        <f>AY288</f>
        <v>45662</v>
      </c>
      <c r="AY288" s="279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80">
        <f>BF288-1</f>
        <v>45786</v>
      </c>
      <c r="BF288" s="280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9"/>
      <c r="U289" s="199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9"/>
      <c r="AY289" s="279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9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51">
        <v>45602</v>
      </c>
      <c r="AQ290" s="351">
        <f t="shared" ref="AQ290:AR290" si="101">AR290-2</f>
        <v>45604</v>
      </c>
      <c r="AR290" s="351">
        <f t="shared" si="101"/>
        <v>45606</v>
      </c>
      <c r="AS290" s="351">
        <v>45608</v>
      </c>
      <c r="AT290" s="182" t="s">
        <v>589</v>
      </c>
      <c r="AU290" s="183"/>
      <c r="AV290" s="137" t="s">
        <v>20</v>
      </c>
      <c r="AW290" s="15" t="s">
        <v>544</v>
      </c>
      <c r="AX290" s="279">
        <f>AY290</f>
        <v>45659</v>
      </c>
      <c r="AY290" s="279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80">
        <f>BF290-2</f>
        <v>45714</v>
      </c>
      <c r="BF290" s="280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9"/>
      <c r="U291" s="199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9"/>
      <c r="AY291" s="279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9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51">
        <v>45598</v>
      </c>
      <c r="AQ292" s="351">
        <f t="shared" ref="AQ292:AR292" si="102">AR292-2</f>
        <v>45600</v>
      </c>
      <c r="AR292" s="351">
        <f t="shared" si="102"/>
        <v>45602</v>
      </c>
      <c r="AS292" s="351">
        <v>45604</v>
      </c>
      <c r="AT292" s="182" t="s">
        <v>589</v>
      </c>
      <c r="AU292" s="183"/>
      <c r="AV292" s="137" t="s">
        <v>20</v>
      </c>
      <c r="AW292" s="15" t="s">
        <v>544</v>
      </c>
      <c r="AX292" s="279">
        <f>AY292</f>
        <v>45659</v>
      </c>
      <c r="AY292" s="279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80">
        <f>BF292-2</f>
        <v>45709</v>
      </c>
      <c r="BF292" s="280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9"/>
      <c r="U293" s="199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9"/>
      <c r="AY293" s="279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9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51">
        <v>45596</v>
      </c>
      <c r="AQ294" s="351">
        <v>45597</v>
      </c>
      <c r="AR294" s="351">
        <v>45599</v>
      </c>
      <c r="AS294" s="351">
        <v>45601</v>
      </c>
      <c r="AT294" s="182" t="s">
        <v>589</v>
      </c>
      <c r="AU294" s="183"/>
      <c r="AV294" s="137" t="s">
        <v>20</v>
      </c>
      <c r="AW294" s="15" t="s">
        <v>544</v>
      </c>
      <c r="AX294" s="279">
        <f>AY294</f>
        <v>45659</v>
      </c>
      <c r="AY294" s="279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80">
        <f>BF294-2</f>
        <v>45711</v>
      </c>
      <c r="BF294" s="280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9"/>
      <c r="U295" s="199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9"/>
      <c r="AY295" s="279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9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51">
        <v>45587</v>
      </c>
      <c r="AQ296" s="351">
        <v>45588</v>
      </c>
      <c r="AR296" s="351">
        <v>45589</v>
      </c>
      <c r="AS296" s="351">
        <v>45591</v>
      </c>
      <c r="AT296" s="182" t="s">
        <v>589</v>
      </c>
      <c r="AU296" s="183"/>
      <c r="AV296" s="137" t="s">
        <v>20</v>
      </c>
      <c r="AW296" s="15" t="s">
        <v>544</v>
      </c>
      <c r="AX296" s="279">
        <f>AY296</f>
        <v>45659</v>
      </c>
      <c r="AY296" s="279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80">
        <f>BF296-2</f>
        <v>45716</v>
      </c>
      <c r="BF296" s="280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9"/>
      <c r="U297" s="199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9"/>
      <c r="AY297" s="279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9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51">
        <v>45591</v>
      </c>
      <c r="AQ298" s="351">
        <v>45592</v>
      </c>
      <c r="AR298" s="351">
        <v>45594</v>
      </c>
      <c r="AS298" s="351">
        <v>45595</v>
      </c>
      <c r="AT298" s="182" t="s">
        <v>589</v>
      </c>
      <c r="AU298" s="183"/>
      <c r="AV298" s="137" t="s">
        <v>20</v>
      </c>
      <c r="AW298" s="15" t="s">
        <v>544</v>
      </c>
      <c r="AX298" s="279">
        <f>AY298</f>
        <v>45659</v>
      </c>
      <c r="AY298" s="279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80">
        <f>BF298-2</f>
        <v>45718</v>
      </c>
      <c r="BF298" s="280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9"/>
      <c r="U299" s="199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9"/>
      <c r="AY299" s="279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9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51">
        <v>45513</v>
      </c>
      <c r="AQ300" s="351">
        <v>45514</v>
      </c>
      <c r="AR300" s="351">
        <v>45516</v>
      </c>
      <c r="AS300" s="351">
        <v>45520</v>
      </c>
      <c r="AT300" s="182" t="s">
        <v>585</v>
      </c>
      <c r="AU300" s="183"/>
      <c r="AV300" s="137" t="s">
        <v>20</v>
      </c>
      <c r="AW300" s="15" t="s">
        <v>544</v>
      </c>
      <c r="AX300" s="279">
        <f>AY300</f>
        <v>45659</v>
      </c>
      <c r="AY300" s="279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80">
        <f>BF300-2</f>
        <v>45705</v>
      </c>
      <c r="BF300" s="280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9"/>
      <c r="U301" s="199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9"/>
      <c r="AY301" s="279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9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51">
        <v>45557</v>
      </c>
      <c r="AQ302" s="351">
        <v>45582</v>
      </c>
      <c r="AR302" s="351">
        <v>45583</v>
      </c>
      <c r="AS302" s="351">
        <v>45587</v>
      </c>
      <c r="AT302" s="182" t="s">
        <v>589</v>
      </c>
      <c r="AU302" s="183"/>
      <c r="AV302" s="137" t="s">
        <v>20</v>
      </c>
      <c r="AW302" s="15" t="s">
        <v>544</v>
      </c>
      <c r="AX302" s="279">
        <f>AY302</f>
        <v>45661</v>
      </c>
      <c r="AY302" s="279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80">
        <f>BF302-1</f>
        <v>45721</v>
      </c>
      <c r="BF302" s="280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9"/>
      <c r="U303" s="199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9"/>
      <c r="AY303" s="279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9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51">
        <v>45505</v>
      </c>
      <c r="AQ304" s="351">
        <v>45510</v>
      </c>
      <c r="AR304" s="351">
        <v>45512</v>
      </c>
      <c r="AS304" s="351">
        <v>45516</v>
      </c>
      <c r="AT304" s="182" t="s">
        <v>539</v>
      </c>
      <c r="AU304" s="183"/>
      <c r="AV304" s="137" t="s">
        <v>20</v>
      </c>
      <c r="AW304" s="15" t="s">
        <v>544</v>
      </c>
      <c r="AX304" s="279">
        <f>AY304</f>
        <v>45661</v>
      </c>
      <c r="AY304" s="279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80">
        <f>BF304-2</f>
        <v>45707</v>
      </c>
      <c r="BF304" s="280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9"/>
      <c r="U305" s="199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9"/>
      <c r="AY305" s="279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9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51">
        <f t="shared" ref="AP306:AR306" si="103">AQ306-2</f>
        <v>45707</v>
      </c>
      <c r="AQ306" s="351">
        <f t="shared" si="103"/>
        <v>45709</v>
      </c>
      <c r="AR306" s="351">
        <f t="shared" si="103"/>
        <v>45711</v>
      </c>
      <c r="AS306" s="351">
        <v>45713</v>
      </c>
      <c r="AT306" s="182" t="s">
        <v>589</v>
      </c>
      <c r="AU306" s="183"/>
      <c r="AV306" s="137" t="s">
        <v>20</v>
      </c>
      <c r="AW306" s="15" t="s">
        <v>544</v>
      </c>
      <c r="AX306" s="279">
        <f>AS306+10</f>
        <v>45723</v>
      </c>
      <c r="AY306" s="279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80">
        <f>BF306-2</f>
        <v>45971</v>
      </c>
      <c r="BF306" s="280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9" t="s">
        <v>0</v>
      </c>
      <c r="B307" s="436"/>
      <c r="C307" s="442"/>
      <c r="D307" s="443"/>
      <c r="E307" s="443"/>
      <c r="F307" s="443"/>
      <c r="G307" s="443"/>
      <c r="H307" s="435"/>
      <c r="I307" s="436"/>
      <c r="J307" s="436"/>
      <c r="K307" s="437"/>
      <c r="L307" s="438"/>
      <c r="M307" s="439"/>
      <c r="N307" s="439"/>
      <c r="O307" s="439"/>
      <c r="P307" s="440"/>
      <c r="Q307" s="438"/>
      <c r="R307" s="439"/>
      <c r="S307" s="440"/>
      <c r="T307" s="444"/>
      <c r="U307" s="444"/>
      <c r="V307" s="445">
        <v>284</v>
      </c>
      <c r="W307" s="439" t="s">
        <v>565</v>
      </c>
      <c r="X307" s="439"/>
      <c r="Y307" s="439"/>
      <c r="Z307" s="439"/>
      <c r="AA307" s="439"/>
      <c r="AB307" s="439"/>
      <c r="AC307" s="439"/>
      <c r="AD307" s="439"/>
      <c r="AE307" s="439"/>
      <c r="AF307" s="439"/>
      <c r="AG307" s="439"/>
      <c r="AH307" s="439"/>
      <c r="AI307" s="439"/>
      <c r="AJ307" s="439"/>
      <c r="AK307" s="439"/>
      <c r="AL307" s="446"/>
      <c r="AM307" s="439"/>
      <c r="AN307" s="447"/>
      <c r="AO307" s="447"/>
      <c r="AP307" s="447"/>
      <c r="AQ307" s="447"/>
      <c r="AR307" s="447"/>
      <c r="AS307" s="447"/>
      <c r="AT307" s="447"/>
      <c r="AU307" s="448"/>
      <c r="AV307" s="439"/>
      <c r="AW307" s="447"/>
      <c r="AX307" s="449"/>
      <c r="AY307" s="449"/>
      <c r="AZ307" s="447"/>
      <c r="BA307" s="448"/>
      <c r="BB307" s="447"/>
      <c r="BC307" s="447"/>
      <c r="BD307" s="447"/>
      <c r="BE307" s="447"/>
      <c r="BF307" s="447"/>
      <c r="BG307" s="447"/>
      <c r="BH307" s="448"/>
      <c r="BI307" s="447"/>
      <c r="BJ307" s="447"/>
      <c r="BK307" s="447"/>
      <c r="BL307" s="447"/>
      <c r="BM307" s="447"/>
    </row>
    <row r="308" spans="1:65" ht="15" customHeight="1">
      <c r="A308" s="460">
        <f>A306+1</f>
        <v>150</v>
      </c>
      <c r="B308" s="462" t="s">
        <v>231</v>
      </c>
      <c r="C308" s="462" t="s">
        <v>76</v>
      </c>
      <c r="D308" s="462">
        <v>7.71</v>
      </c>
      <c r="E308" s="462">
        <f>D308*4</f>
        <v>30.84</v>
      </c>
      <c r="F308" s="462">
        <f>E308*8</f>
        <v>246.72</v>
      </c>
      <c r="G308" s="462"/>
      <c r="H308" s="462"/>
      <c r="I308" s="462"/>
      <c r="J308" s="462"/>
      <c r="K308" s="462"/>
      <c r="L308" s="462">
        <v>3.452</v>
      </c>
      <c r="M308" s="462">
        <v>2.633</v>
      </c>
      <c r="N308" s="462">
        <v>4.0000000000000001E-3</v>
      </c>
      <c r="O308" s="462">
        <v>0.24099999999999999</v>
      </c>
      <c r="P308" s="462">
        <f t="shared" si="93"/>
        <v>6.3299999999999992</v>
      </c>
      <c r="Q308" s="462">
        <v>0.36299999999999999</v>
      </c>
      <c r="R308" s="462">
        <v>6.0000000000000001E-3</v>
      </c>
      <c r="S308" s="462">
        <f t="shared" si="94"/>
        <v>0.36899999999999999</v>
      </c>
      <c r="T308" s="462" t="s">
        <v>230</v>
      </c>
      <c r="U308" s="462" t="s">
        <v>536</v>
      </c>
      <c r="V308" s="462"/>
      <c r="W308" s="462"/>
      <c r="X308" s="462"/>
      <c r="Y308" s="462">
        <v>1.68</v>
      </c>
      <c r="Z308" s="462">
        <v>13.27</v>
      </c>
      <c r="AA308" s="462">
        <f t="shared" si="95"/>
        <v>14.95</v>
      </c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  <c r="AL308" s="462"/>
      <c r="AM308" s="137" t="s">
        <v>20</v>
      </c>
      <c r="AN308" s="131" t="str">
        <f>AO308</f>
        <v>D</v>
      </c>
      <c r="AO308" s="131" t="s">
        <v>21</v>
      </c>
      <c r="AP308" s="351">
        <v>45588</v>
      </c>
      <c r="AQ308" s="351">
        <v>45592</v>
      </c>
      <c r="AR308" s="351">
        <v>45602</v>
      </c>
      <c r="AS308" s="351">
        <v>45605</v>
      </c>
      <c r="AT308" s="24" t="s">
        <v>593</v>
      </c>
      <c r="AU308" s="178"/>
      <c r="AV308" s="137" t="s">
        <v>20</v>
      </c>
      <c r="AW308" s="15" t="s">
        <v>544</v>
      </c>
      <c r="AX308" s="279">
        <f>AY308</f>
        <v>45661</v>
      </c>
      <c r="AY308" s="279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80">
        <f>BF308-2</f>
        <v>45722</v>
      </c>
      <c r="BF308" s="280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50" t="s">
        <v>0</v>
      </c>
      <c r="B309" s="451"/>
      <c r="C309" s="452"/>
      <c r="D309" s="453"/>
      <c r="E309" s="453"/>
      <c r="F309" s="453"/>
      <c r="G309" s="453"/>
      <c r="H309" s="454"/>
      <c r="I309" s="451"/>
      <c r="J309" s="451"/>
      <c r="K309" s="455"/>
      <c r="L309" s="441"/>
      <c r="M309" s="450"/>
      <c r="N309" s="450"/>
      <c r="O309" s="450"/>
      <c r="P309" s="456"/>
      <c r="Q309" s="441"/>
      <c r="R309" s="450"/>
      <c r="S309" s="456"/>
      <c r="T309" s="457"/>
      <c r="U309" s="457"/>
      <c r="V309" s="458">
        <v>345.88</v>
      </c>
      <c r="W309" s="450" t="s">
        <v>542</v>
      </c>
      <c r="X309" s="450"/>
      <c r="Y309" s="450"/>
      <c r="Z309" s="450"/>
      <c r="AA309" s="450"/>
      <c r="AB309" s="450"/>
      <c r="AC309" s="450"/>
      <c r="AD309" s="450"/>
      <c r="AE309" s="450"/>
      <c r="AF309" s="450"/>
      <c r="AG309" s="450"/>
      <c r="AH309" s="450"/>
      <c r="AI309" s="450"/>
      <c r="AJ309" s="450"/>
      <c r="AK309" s="450"/>
      <c r="AL309" s="459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9"/>
      <c r="AY309" s="279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9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51">
        <f t="shared" ref="AP310" si="104">AQ310-2</f>
        <v>45756</v>
      </c>
      <c r="AQ310" s="351">
        <f t="shared" ref="AQ310" si="105">AR310-2</f>
        <v>45758</v>
      </c>
      <c r="AR310" s="351">
        <f t="shared" ref="AR310" si="106">AS310-2</f>
        <v>45760</v>
      </c>
      <c r="AS310" s="351">
        <v>45762</v>
      </c>
      <c r="AT310" s="19" t="s">
        <v>561</v>
      </c>
      <c r="AU310" s="194"/>
      <c r="AV310" s="137" t="s">
        <v>20</v>
      </c>
      <c r="AW310" s="15" t="s">
        <v>544</v>
      </c>
      <c r="AX310" s="279">
        <f>AY310</f>
        <v>45787</v>
      </c>
      <c r="AY310" s="279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80">
        <f>BF310</f>
        <v>45794</v>
      </c>
      <c r="BF310" s="280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9"/>
      <c r="U311" s="199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9"/>
      <c r="AY311" s="279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9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51">
        <f t="shared" ref="AP312" si="107">AQ312-2</f>
        <v>45762</v>
      </c>
      <c r="AQ312" s="351">
        <f t="shared" ref="AQ312" si="108">AR312-2</f>
        <v>45764</v>
      </c>
      <c r="AR312" s="351">
        <f t="shared" ref="AR312" si="109">AS312-2</f>
        <v>45766</v>
      </c>
      <c r="AS312" s="351">
        <v>45768</v>
      </c>
      <c r="AT312" s="19" t="s">
        <v>561</v>
      </c>
      <c r="AU312" s="194"/>
      <c r="AV312" s="137" t="s">
        <v>20</v>
      </c>
      <c r="AW312" s="15" t="s">
        <v>544</v>
      </c>
      <c r="AX312" s="279">
        <f>AY312-1</f>
        <v>45778</v>
      </c>
      <c r="AY312" s="279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80">
        <f>BF312-1</f>
        <v>45791</v>
      </c>
      <c r="BF312" s="280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9"/>
      <c r="U313" s="199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9"/>
      <c r="AY313" s="279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9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51">
        <v>45588</v>
      </c>
      <c r="AQ314" s="351">
        <v>45590</v>
      </c>
      <c r="AR314" s="351">
        <v>45591</v>
      </c>
      <c r="AS314" s="351">
        <v>45591</v>
      </c>
      <c r="AT314" s="24" t="s">
        <v>593</v>
      </c>
      <c r="AU314" s="178"/>
      <c r="AV314" s="137" t="s">
        <v>20</v>
      </c>
      <c r="AW314" s="15" t="s">
        <v>6</v>
      </c>
      <c r="AX314" s="279">
        <f>AY314-1</f>
        <v>45684</v>
      </c>
      <c r="AY314" s="279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80">
        <f>BF314-1</f>
        <v>45706</v>
      </c>
      <c r="BF314" s="280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9"/>
      <c r="U315" s="199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9"/>
      <c r="AY315" s="279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9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51">
        <f t="shared" ref="AP316" si="110">AQ316-2</f>
        <v>45607</v>
      </c>
      <c r="AQ316" s="351">
        <f t="shared" ref="AQ316" si="111">AR316-2</f>
        <v>45609</v>
      </c>
      <c r="AR316" s="351">
        <f t="shared" ref="AR316" si="112">AS316-2</f>
        <v>45611</v>
      </c>
      <c r="AS316" s="351">
        <v>45613</v>
      </c>
      <c r="AT316" s="182" t="s">
        <v>589</v>
      </c>
      <c r="AU316" s="183"/>
      <c r="AV316" s="137" t="s">
        <v>20</v>
      </c>
      <c r="AW316" s="15" t="s">
        <v>544</v>
      </c>
      <c r="AX316" s="279">
        <f>AY316-1</f>
        <v>45684</v>
      </c>
      <c r="AY316" s="279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80">
        <f>BF316-2</f>
        <v>45695</v>
      </c>
      <c r="BF316" s="280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9"/>
      <c r="U317" s="199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9"/>
      <c r="AY317" s="279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9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51">
        <v>45608</v>
      </c>
      <c r="AQ318" s="351">
        <f t="shared" ref="AQ318" si="113">AR318-1</f>
        <v>45609</v>
      </c>
      <c r="AR318" s="351">
        <f t="shared" ref="AR318" si="114">AS318-1</f>
        <v>45610</v>
      </c>
      <c r="AS318" s="351">
        <v>45611</v>
      </c>
      <c r="AT318" s="182" t="s">
        <v>589</v>
      </c>
      <c r="AU318" s="183"/>
      <c r="AV318" s="137" t="s">
        <v>20</v>
      </c>
      <c r="AW318" s="15" t="s">
        <v>544</v>
      </c>
      <c r="AX318" s="279">
        <f>AY318</f>
        <v>45691</v>
      </c>
      <c r="AY318" s="279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80">
        <f>BF318-1</f>
        <v>45698</v>
      </c>
      <c r="BF318" s="280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9"/>
      <c r="U319" s="199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9"/>
      <c r="AY319" s="279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9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51">
        <v>45534</v>
      </c>
      <c r="AQ320" s="351">
        <v>45536</v>
      </c>
      <c r="AR320" s="351">
        <v>45536</v>
      </c>
      <c r="AS320" s="351">
        <v>45554</v>
      </c>
      <c r="AT320" s="24" t="s">
        <v>593</v>
      </c>
      <c r="AU320" s="178"/>
      <c r="AV320" s="137" t="s">
        <v>20</v>
      </c>
      <c r="AW320" s="15" t="s">
        <v>6</v>
      </c>
      <c r="AX320" s="279">
        <f>AY320</f>
        <v>45691</v>
      </c>
      <c r="AY320" s="279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80">
        <f>BF320-1</f>
        <v>45701</v>
      </c>
      <c r="BF320" s="280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9"/>
      <c r="U321" s="199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9"/>
      <c r="AY321" s="279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9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51">
        <v>45538</v>
      </c>
      <c r="AQ322" s="351">
        <v>45548</v>
      </c>
      <c r="AR322" s="351">
        <v>45556</v>
      </c>
      <c r="AS322" s="351">
        <v>45558</v>
      </c>
      <c r="AT322" s="24" t="s">
        <v>593</v>
      </c>
      <c r="AU322" s="178"/>
      <c r="AV322" s="137" t="s">
        <v>20</v>
      </c>
      <c r="AW322" s="15" t="s">
        <v>6</v>
      </c>
      <c r="AX322" s="279">
        <f>AY322</f>
        <v>45691</v>
      </c>
      <c r="AY322" s="279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80">
        <f>BF322-2</f>
        <v>45702</v>
      </c>
      <c r="BF322" s="280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9"/>
      <c r="U323" s="199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9"/>
      <c r="AY323" s="279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9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51">
        <f>AQ324-3</f>
        <v>45608</v>
      </c>
      <c r="AQ324" s="351">
        <f t="shared" ref="AQ324" si="115">AR324-2</f>
        <v>45611</v>
      </c>
      <c r="AR324" s="351">
        <f t="shared" ref="AR324" si="116">AS324-2</f>
        <v>45613</v>
      </c>
      <c r="AS324" s="351">
        <v>45615</v>
      </c>
      <c r="AT324" s="182" t="s">
        <v>589</v>
      </c>
      <c r="AU324" s="183"/>
      <c r="AV324" s="137" t="s">
        <v>20</v>
      </c>
      <c r="AW324" s="15" t="s">
        <v>544</v>
      </c>
      <c r="AX324" s="279">
        <f>AY324</f>
        <v>45691</v>
      </c>
      <c r="AY324" s="279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80">
        <f>BF324-2</f>
        <v>45707</v>
      </c>
      <c r="BF324" s="280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9"/>
      <c r="U325" s="199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9"/>
      <c r="AY325" s="279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9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51">
        <v>45603</v>
      </c>
      <c r="AQ326" s="351">
        <f>AP326+19</f>
        <v>45622</v>
      </c>
      <c r="AR326" s="351">
        <f>AS326-3</f>
        <v>45627</v>
      </c>
      <c r="AS326" s="351">
        <v>45630</v>
      </c>
      <c r="AT326" s="24" t="s">
        <v>593</v>
      </c>
      <c r="AU326" s="178"/>
      <c r="AV326" s="137" t="s">
        <v>20</v>
      </c>
      <c r="AW326" s="15" t="s">
        <v>544</v>
      </c>
      <c r="AX326" s="279">
        <f>AY326</f>
        <v>45691</v>
      </c>
      <c r="AY326" s="279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80">
        <f>BF326-2</f>
        <v>45709</v>
      </c>
      <c r="BF326" s="280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9"/>
      <c r="U327" s="199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9"/>
      <c r="AY327" s="279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9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51">
        <v>45532</v>
      </c>
      <c r="AQ328" s="351">
        <f t="shared" ref="AQ328" si="117">AR328-4</f>
        <v>45607</v>
      </c>
      <c r="AR328" s="351">
        <f t="shared" ref="AR328" si="118">AS328-4</f>
        <v>45611</v>
      </c>
      <c r="AS328" s="351">
        <v>45615</v>
      </c>
      <c r="AT328" s="24" t="s">
        <v>593</v>
      </c>
      <c r="AU328" s="177"/>
      <c r="AV328" s="137" t="s">
        <v>20</v>
      </c>
      <c r="AW328" s="15" t="s">
        <v>544</v>
      </c>
      <c r="AX328" s="279">
        <f>AY328</f>
        <v>45691</v>
      </c>
      <c r="AY328" s="279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80">
        <f>BF328-2</f>
        <v>45711</v>
      </c>
      <c r="BF328" s="280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9"/>
      <c r="U329" s="199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9"/>
      <c r="AY329" s="279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9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51">
        <v>45695</v>
      </c>
      <c r="AQ330" s="351">
        <f t="shared" ref="AQ330" si="121">AR330-3</f>
        <v>45701</v>
      </c>
      <c r="AR330" s="351">
        <f t="shared" ref="AR330" si="122">AS330-3</f>
        <v>45704</v>
      </c>
      <c r="AS330" s="351">
        <v>45707</v>
      </c>
      <c r="AT330" s="182" t="s">
        <v>589</v>
      </c>
      <c r="AU330" s="177"/>
      <c r="AV330" s="137" t="s">
        <v>20</v>
      </c>
      <c r="AW330" s="15" t="s">
        <v>544</v>
      </c>
      <c r="AX330" s="279">
        <f>AY330</f>
        <v>45719</v>
      </c>
      <c r="AY330" s="279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80">
        <f>BF330-2</f>
        <v>45787</v>
      </c>
      <c r="BF330" s="280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9"/>
      <c r="U331" s="199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9"/>
      <c r="AY331" s="279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9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51">
        <v>45557</v>
      </c>
      <c r="AQ332" s="351">
        <v>45578</v>
      </c>
      <c r="AR332" s="351">
        <v>45582</v>
      </c>
      <c r="AS332" s="351">
        <v>45586</v>
      </c>
      <c r="AT332" s="24" t="s">
        <v>593</v>
      </c>
      <c r="AU332" s="177"/>
      <c r="AV332" s="137" t="s">
        <v>20</v>
      </c>
      <c r="AW332" s="15" t="s">
        <v>6</v>
      </c>
      <c r="AX332" s="279">
        <v>45662</v>
      </c>
      <c r="AY332" s="279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80">
        <f>BF332-2</f>
        <v>45719</v>
      </c>
      <c r="BF332" s="280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9"/>
      <c r="U333" s="199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9"/>
      <c r="AY333" s="279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9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51">
        <f t="shared" ref="AP334" si="124">AQ334-2</f>
        <v>45768</v>
      </c>
      <c r="AQ334" s="351">
        <f t="shared" ref="AQ334" si="125">AR334-2</f>
        <v>45770</v>
      </c>
      <c r="AR334" s="351">
        <f t="shared" ref="AR334" si="126">AS334-2</f>
        <v>45772</v>
      </c>
      <c r="AS334" s="351">
        <v>45774</v>
      </c>
      <c r="AT334" s="19" t="s">
        <v>561</v>
      </c>
      <c r="AU334" s="177"/>
      <c r="AV334" s="137" t="s">
        <v>20</v>
      </c>
      <c r="AW334" s="15" t="s">
        <v>6</v>
      </c>
      <c r="AX334" s="279">
        <f>AY334-0</f>
        <v>45782</v>
      </c>
      <c r="AY334" s="279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80">
        <f>BF334-2</f>
        <v>45794</v>
      </c>
      <c r="BF334" s="280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9"/>
      <c r="U335" s="199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9"/>
      <c r="AY335" s="279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9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51">
        <f>AQ336-2</f>
        <v>45632</v>
      </c>
      <c r="AQ336" s="351">
        <f>AR336-1</f>
        <v>45634</v>
      </c>
      <c r="AR336" s="351">
        <f>AS336-2</f>
        <v>45635</v>
      </c>
      <c r="AS336" s="351">
        <v>45637</v>
      </c>
      <c r="AT336" s="24" t="s">
        <v>593</v>
      </c>
      <c r="AU336" s="177"/>
      <c r="AV336" s="137" t="s">
        <v>20</v>
      </c>
      <c r="AW336" s="15" t="s">
        <v>6</v>
      </c>
      <c r="AX336" s="279">
        <v>45660</v>
      </c>
      <c r="AY336" s="279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80">
        <f>BF336-2</f>
        <v>45714</v>
      </c>
      <c r="BF336" s="280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9"/>
      <c r="U337" s="199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9"/>
      <c r="AY337" s="279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9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51">
        <f t="shared" ref="AP338" si="127">AQ338-2</f>
        <v>45639</v>
      </c>
      <c r="AQ338" s="351">
        <f t="shared" ref="AQ338" si="128">AR338-2</f>
        <v>45641</v>
      </c>
      <c r="AR338" s="351">
        <f t="shared" ref="AR338" si="129">AS338-2</f>
        <v>45643</v>
      </c>
      <c r="AS338" s="351">
        <v>45645</v>
      </c>
      <c r="AT338" s="24" t="s">
        <v>593</v>
      </c>
      <c r="AU338" s="178"/>
      <c r="AV338" s="137" t="s">
        <v>20</v>
      </c>
      <c r="AW338" s="15" t="s">
        <v>6</v>
      </c>
      <c r="AX338" s="279">
        <v>45660</v>
      </c>
      <c r="AY338" s="279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80">
        <f>BF338-2</f>
        <v>45715</v>
      </c>
      <c r="BF338" s="280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9"/>
      <c r="U339" s="199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9"/>
      <c r="AY339" s="279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9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51">
        <v>45526</v>
      </c>
      <c r="AQ340" s="351">
        <v>45560</v>
      </c>
      <c r="AR340" s="351">
        <v>45570</v>
      </c>
      <c r="AS340" s="351">
        <v>45574</v>
      </c>
      <c r="AT340" s="24" t="s">
        <v>593</v>
      </c>
      <c r="AU340" s="178"/>
      <c r="AV340" s="137" t="s">
        <v>20</v>
      </c>
      <c r="AW340" s="15" t="s">
        <v>6</v>
      </c>
      <c r="AX340" s="279">
        <v>45662</v>
      </c>
      <c r="AY340" s="279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80">
        <f>BF340-1</f>
        <v>45713</v>
      </c>
      <c r="BF340" s="280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9"/>
      <c r="U341" s="199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9"/>
      <c r="AY341" s="279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9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51">
        <v>45688</v>
      </c>
      <c r="AQ342" s="351">
        <f>AR342-1</f>
        <v>45691</v>
      </c>
      <c r="AR342" s="351">
        <f>AS342-2</f>
        <v>45692</v>
      </c>
      <c r="AS342" s="351">
        <v>45694</v>
      </c>
      <c r="AT342" s="182" t="s">
        <v>589</v>
      </c>
      <c r="AU342" s="183"/>
      <c r="AV342" s="137" t="s">
        <v>20</v>
      </c>
      <c r="AW342" s="15" t="s">
        <v>6</v>
      </c>
      <c r="AX342" s="279">
        <f>AS342+10</f>
        <v>45704</v>
      </c>
      <c r="AY342" s="279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80">
        <f>BF342-2</f>
        <v>45886</v>
      </c>
      <c r="BF342" s="280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9"/>
      <c r="U343" s="199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9"/>
      <c r="AY343" s="279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9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51">
        <v>45692</v>
      </c>
      <c r="AQ344" s="351">
        <f>AR344-1</f>
        <v>45695</v>
      </c>
      <c r="AR344" s="351">
        <f>AS344-2</f>
        <v>45696</v>
      </c>
      <c r="AS344" s="351">
        <v>45698</v>
      </c>
      <c r="AT344" s="182" t="s">
        <v>589</v>
      </c>
      <c r="AU344" s="183"/>
      <c r="AV344" s="137" t="s">
        <v>20</v>
      </c>
      <c r="AW344" s="15" t="s">
        <v>6</v>
      </c>
      <c r="AX344" s="279">
        <v>45662</v>
      </c>
      <c r="AY344" s="279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80">
        <f>BF344-1</f>
        <v>45721</v>
      </c>
      <c r="BF344" s="280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9"/>
      <c r="U345" s="199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9"/>
      <c r="AY345" s="279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9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51">
        <f>AQ346-3</f>
        <v>45642</v>
      </c>
      <c r="AQ346" s="351">
        <f t="shared" ref="AQ346" si="130">AR346-2</f>
        <v>45645</v>
      </c>
      <c r="AR346" s="351">
        <f t="shared" ref="AR346" si="131">AS346-2</f>
        <v>45647</v>
      </c>
      <c r="AS346" s="351">
        <v>45649</v>
      </c>
      <c r="AT346" s="24" t="s">
        <v>593</v>
      </c>
      <c r="AU346" s="178"/>
      <c r="AV346" s="137" t="s">
        <v>20</v>
      </c>
      <c r="AW346" s="15" t="s">
        <v>6</v>
      </c>
      <c r="AX346" s="279">
        <v>45713</v>
      </c>
      <c r="AY346" s="279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80">
        <f>BF346-1</f>
        <v>45717</v>
      </c>
      <c r="BF346" s="280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9"/>
      <c r="U347" s="199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9"/>
      <c r="AY347" s="279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9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51">
        <f t="shared" ref="AP348" si="133">AQ348-2</f>
        <v>45711</v>
      </c>
      <c r="AQ348" s="351">
        <f t="shared" ref="AQ348" si="134">AR348-2</f>
        <v>45713</v>
      </c>
      <c r="AR348" s="351">
        <f>AS348-1</f>
        <v>45715</v>
      </c>
      <c r="AS348" s="351">
        <v>45716</v>
      </c>
      <c r="AT348" s="182" t="s">
        <v>589</v>
      </c>
      <c r="AU348" s="183"/>
      <c r="AV348" s="137" t="s">
        <v>20</v>
      </c>
      <c r="AW348" s="15" t="s">
        <v>6</v>
      </c>
      <c r="AX348" s="279">
        <f>AY348</f>
        <v>45718</v>
      </c>
      <c r="AY348" s="279">
        <v>45718</v>
      </c>
      <c r="AZ348" s="100" t="str">
        <f>AT348</f>
        <v xml:space="preserve">Shree Bayo </v>
      </c>
      <c r="BA348" s="202"/>
      <c r="BB348" s="137" t="s">
        <v>20</v>
      </c>
      <c r="BC348" s="131"/>
      <c r="BD348" s="131" t="s">
        <v>21</v>
      </c>
      <c r="BE348" s="280">
        <f>BF348-2</f>
        <v>45803</v>
      </c>
      <c r="BF348" s="280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9"/>
      <c r="U349" s="199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9"/>
      <c r="AY349" s="279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9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51">
        <v>45637</v>
      </c>
      <c r="AQ350" s="351">
        <v>45638</v>
      </c>
      <c r="AR350" s="351">
        <f>AS350-2</f>
        <v>45639</v>
      </c>
      <c r="AS350" s="351">
        <v>45641</v>
      </c>
      <c r="AT350" s="182" t="s">
        <v>589</v>
      </c>
      <c r="AU350" s="183"/>
      <c r="AV350" s="137" t="s">
        <v>20</v>
      </c>
      <c r="AW350" s="15" t="s">
        <v>6</v>
      </c>
      <c r="AX350" s="279">
        <v>45646</v>
      </c>
      <c r="AY350" s="279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80">
        <f>BF350-1</f>
        <v>45718</v>
      </c>
      <c r="BF350" s="280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9"/>
      <c r="U351" s="199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9"/>
      <c r="AY351" s="279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9" t="s">
        <v>31</v>
      </c>
      <c r="U352" s="199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51">
        <f t="shared" ref="AP352" si="135">AQ352-2</f>
        <v>45771</v>
      </c>
      <c r="AQ352" s="351">
        <f t="shared" ref="AQ352" si="136">AR352-2</f>
        <v>45773</v>
      </c>
      <c r="AR352" s="351">
        <f t="shared" ref="AR352" si="137">AS352-2</f>
        <v>45775</v>
      </c>
      <c r="AS352" s="351">
        <v>45777</v>
      </c>
      <c r="AT352" s="182" t="s">
        <v>538</v>
      </c>
      <c r="AU352" s="183"/>
      <c r="AV352" s="137" t="s">
        <v>20</v>
      </c>
      <c r="AW352" s="15" t="s">
        <v>6</v>
      </c>
      <c r="AX352" s="279">
        <f>AY352</f>
        <v>45783</v>
      </c>
      <c r="AY352" s="279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80">
        <f>BF352-2</f>
        <v>45806</v>
      </c>
      <c r="BF352" s="280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9"/>
      <c r="U353" s="199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9"/>
      <c r="AY353" s="279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9" t="s">
        <v>596</v>
      </c>
      <c r="U354" s="199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51">
        <f t="shared" ref="AP354" si="138">AQ354-2</f>
        <v>45770</v>
      </c>
      <c r="AQ354" s="351">
        <f t="shared" ref="AQ354" si="139">AR354-2</f>
        <v>45772</v>
      </c>
      <c r="AR354" s="351">
        <f t="shared" ref="AR354" si="140">AS354-2</f>
        <v>45774</v>
      </c>
      <c r="AS354" s="351">
        <v>45776</v>
      </c>
      <c r="AT354" s="182" t="s">
        <v>538</v>
      </c>
      <c r="AU354" s="183"/>
      <c r="AV354" s="137" t="s">
        <v>20</v>
      </c>
      <c r="AW354" s="15" t="s">
        <v>6</v>
      </c>
      <c r="AX354" s="279">
        <v>45778</v>
      </c>
      <c r="AY354" s="279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80">
        <f>BF354-2</f>
        <v>45817</v>
      </c>
      <c r="BF354" s="280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9"/>
      <c r="U355" s="199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9"/>
      <c r="AY355" s="279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3" t="s">
        <v>597</v>
      </c>
      <c r="U356" s="199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51">
        <f t="shared" ref="AP356" si="142">AQ356-2</f>
        <v>45758</v>
      </c>
      <c r="AQ356" s="351">
        <f t="shared" ref="AQ356" si="143">AR356-2</f>
        <v>45760</v>
      </c>
      <c r="AR356" s="351">
        <f t="shared" ref="AR356" si="144">AS356-2</f>
        <v>45762</v>
      </c>
      <c r="AS356" s="351">
        <v>45764</v>
      </c>
      <c r="AT356" s="182" t="s">
        <v>589</v>
      </c>
      <c r="AU356" s="183"/>
      <c r="AV356" s="137" t="s">
        <v>20</v>
      </c>
      <c r="AW356" s="15" t="s">
        <v>6</v>
      </c>
      <c r="AX356" s="279">
        <f>AY356</f>
        <v>45767</v>
      </c>
      <c r="AY356" s="279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80">
        <f>BF356-2</f>
        <v>45862</v>
      </c>
      <c r="BF356" s="280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4"/>
      <c r="U357" s="204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9"/>
      <c r="AY357" s="279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9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51">
        <f>AQ358-2</f>
        <v>45725</v>
      </c>
      <c r="AQ358" s="351">
        <f>AR358-3</f>
        <v>45727</v>
      </c>
      <c r="AR358" s="351">
        <f>AS358-2</f>
        <v>45730</v>
      </c>
      <c r="AS358" s="351">
        <v>45732</v>
      </c>
      <c r="AT358" s="182" t="s">
        <v>589</v>
      </c>
      <c r="AU358" s="183"/>
      <c r="AV358" s="137" t="s">
        <v>20</v>
      </c>
      <c r="AW358" s="15" t="s">
        <v>6</v>
      </c>
      <c r="AX358" s="279">
        <f>AY358</f>
        <v>45754</v>
      </c>
      <c r="AY358" s="279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80">
        <f>BF358-2</f>
        <v>45812</v>
      </c>
      <c r="BF358" s="280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9"/>
      <c r="AY359" s="279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9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51">
        <f>AQ360-2</f>
        <v>45743</v>
      </c>
      <c r="AQ360" s="351">
        <f>AR360-3</f>
        <v>45745</v>
      </c>
      <c r="AR360" s="351">
        <f>AS360-2</f>
        <v>45748</v>
      </c>
      <c r="AS360" s="351">
        <v>45750</v>
      </c>
      <c r="AT360" s="182" t="s">
        <v>589</v>
      </c>
      <c r="AU360" s="183"/>
      <c r="AV360" s="137" t="s">
        <v>20</v>
      </c>
      <c r="AW360" s="15" t="s">
        <v>6</v>
      </c>
      <c r="AX360" s="279">
        <f>AY360</f>
        <v>45754</v>
      </c>
      <c r="AY360" s="279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80">
        <f>BF360-2</f>
        <v>45862</v>
      </c>
      <c r="BF360" s="280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9"/>
      <c r="AY361" s="279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9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51">
        <f>AQ362-1</f>
        <v>45797</v>
      </c>
      <c r="AQ362" s="351">
        <f t="shared" ref="AQ362" si="145">AR362-2</f>
        <v>45798</v>
      </c>
      <c r="AR362" s="351">
        <f t="shared" ref="AR362" si="146">AS362-2</f>
        <v>45800</v>
      </c>
      <c r="AS362" s="351">
        <v>45802</v>
      </c>
      <c r="AT362" s="182" t="s">
        <v>589</v>
      </c>
      <c r="AU362" s="183"/>
      <c r="AV362" s="137" t="s">
        <v>20</v>
      </c>
      <c r="AW362" s="15" t="s">
        <v>6</v>
      </c>
      <c r="AX362" s="279">
        <f>AY362</f>
        <v>45813</v>
      </c>
      <c r="AY362" s="279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80">
        <f>BF362-2</f>
        <v>45823</v>
      </c>
      <c r="BF362" s="280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9"/>
      <c r="AY363" s="279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9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51">
        <f>AR364-15</f>
        <v>45783</v>
      </c>
      <c r="AQ364" s="351">
        <f>AR364-9</f>
        <v>45789</v>
      </c>
      <c r="AR364" s="351">
        <f>AS364-3</f>
        <v>45798</v>
      </c>
      <c r="AS364" s="351">
        <v>45801</v>
      </c>
      <c r="AT364" s="19" t="s">
        <v>539</v>
      </c>
      <c r="AU364" s="194"/>
      <c r="AV364" s="137" t="s">
        <v>20</v>
      </c>
      <c r="AW364" s="15"/>
      <c r="AX364" s="279"/>
      <c r="AY364" s="279"/>
      <c r="AZ364" s="19"/>
      <c r="BA364" s="194"/>
      <c r="BB364" s="137" t="s">
        <v>20</v>
      </c>
      <c r="BC364" s="131"/>
      <c r="BD364" s="131"/>
      <c r="BE364" s="280">
        <v>45948</v>
      </c>
      <c r="BF364" s="280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9"/>
      <c r="AY365" s="279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63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9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51">
        <f t="shared" ref="AP366" si="147">AQ366-5</f>
        <v>45824</v>
      </c>
      <c r="AQ366" s="351">
        <f t="shared" ref="AQ366" si="148">AR366-5</f>
        <v>45829</v>
      </c>
      <c r="AR366" s="351">
        <f>AS366-3</f>
        <v>45834</v>
      </c>
      <c r="AS366" s="351">
        <v>45837</v>
      </c>
      <c r="AT366" s="19" t="s">
        <v>539</v>
      </c>
      <c r="AU366" s="194"/>
      <c r="AV366" s="137" t="s">
        <v>20</v>
      </c>
      <c r="AW366" s="15"/>
      <c r="AX366" s="279">
        <f>AS366+10</f>
        <v>45847</v>
      </c>
      <c r="AY366" s="279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80">
        <f>BF366-3</f>
        <v>45883</v>
      </c>
      <c r="BF366" s="280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9"/>
      <c r="AY367" s="279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9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51">
        <f>AQ368-3</f>
        <v>45784</v>
      </c>
      <c r="AQ368" s="351">
        <f t="shared" ref="AQ368" si="149">AR368-2</f>
        <v>45787</v>
      </c>
      <c r="AR368" s="351">
        <f t="shared" ref="AR368" si="150">AS368-2</f>
        <v>45789</v>
      </c>
      <c r="AS368" s="351">
        <v>45791</v>
      </c>
      <c r="AT368" s="19" t="s">
        <v>539</v>
      </c>
      <c r="AU368" s="194"/>
      <c r="AV368" s="137" t="s">
        <v>20</v>
      </c>
      <c r="AW368" s="15" t="s">
        <v>6</v>
      </c>
      <c r="AX368" s="279">
        <f>AY368</f>
        <v>45798</v>
      </c>
      <c r="AY368" s="279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80">
        <f>BF368-2</f>
        <v>45821</v>
      </c>
      <c r="BF368" s="280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9"/>
      <c r="AY369" s="279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9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51">
        <f>AQ370-3</f>
        <v>45780</v>
      </c>
      <c r="AQ370" s="351">
        <f t="shared" ref="AQ370" si="151">AR370-2</f>
        <v>45783</v>
      </c>
      <c r="AR370" s="351">
        <f t="shared" ref="AR370" si="152">AS370-2</f>
        <v>45785</v>
      </c>
      <c r="AS370" s="351">
        <v>45787</v>
      </c>
      <c r="AT370" s="19" t="s">
        <v>539</v>
      </c>
      <c r="AU370" s="194"/>
      <c r="AV370" s="137" t="s">
        <v>20</v>
      </c>
      <c r="AW370" s="15"/>
      <c r="AX370" s="279">
        <f>AS370+10</f>
        <v>45797</v>
      </c>
      <c r="AY370" s="279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80">
        <f>BF370-3</f>
        <v>45880</v>
      </c>
      <c r="BF370" s="280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9"/>
      <c r="AY371" s="279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9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51">
        <f t="shared" ref="AP372" si="153">AQ372-2</f>
        <v>45646</v>
      </c>
      <c r="AQ372" s="351">
        <f t="shared" ref="AQ372" si="154">AR372-2</f>
        <v>45648</v>
      </c>
      <c r="AR372" s="351">
        <f t="shared" ref="AR372" si="155">AS372-2</f>
        <v>45650</v>
      </c>
      <c r="AS372" s="351">
        <v>45652</v>
      </c>
      <c r="AT372" s="19" t="s">
        <v>539</v>
      </c>
      <c r="AU372" s="194"/>
      <c r="AV372" s="137" t="s">
        <v>20</v>
      </c>
      <c r="AW372" s="15" t="s">
        <v>6</v>
      </c>
      <c r="AX372" s="279">
        <v>45677</v>
      </c>
      <c r="AY372" s="279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80">
        <f>BF372-1</f>
        <v>45706</v>
      </c>
      <c r="BF372" s="280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9"/>
      <c r="AY373" s="279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9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51">
        <f>AQ374-6</f>
        <v>45636</v>
      </c>
      <c r="AQ374" s="351">
        <f t="shared" ref="AQ374" si="156">AR374-2</f>
        <v>45642</v>
      </c>
      <c r="AR374" s="351">
        <f t="shared" ref="AR374" si="157">AS374-2</f>
        <v>45644</v>
      </c>
      <c r="AS374" s="351">
        <v>45646</v>
      </c>
      <c r="AT374" s="182" t="s">
        <v>589</v>
      </c>
      <c r="AU374" s="183"/>
      <c r="AV374" s="137" t="s">
        <v>20</v>
      </c>
      <c r="AW374" s="15" t="s">
        <v>6</v>
      </c>
      <c r="AX374" s="279">
        <v>45648</v>
      </c>
      <c r="AY374" s="279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80">
        <f>BF374-2</f>
        <v>45707</v>
      </c>
      <c r="BF374" s="280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9"/>
      <c r="AY375" s="279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5"/>
      <c r="U376" s="199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51">
        <f t="shared" ref="AP376" si="158">AQ376-2</f>
        <v>45645</v>
      </c>
      <c r="AQ376" s="351">
        <f t="shared" ref="AQ376" si="159">AR376-2</f>
        <v>45647</v>
      </c>
      <c r="AR376" s="351">
        <f t="shared" ref="AR376" si="160">AS376-2</f>
        <v>45649</v>
      </c>
      <c r="AS376" s="351">
        <v>45651</v>
      </c>
      <c r="AT376" s="182" t="s">
        <v>589</v>
      </c>
      <c r="AU376" s="183"/>
      <c r="AV376" s="137" t="s">
        <v>20</v>
      </c>
      <c r="AW376" s="15" t="s">
        <v>6</v>
      </c>
      <c r="AX376" s="279">
        <v>45648</v>
      </c>
      <c r="AY376" s="279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80">
        <f>BF376-2</f>
        <v>45709</v>
      </c>
      <c r="BF376" s="280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9"/>
      <c r="AY377" s="279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9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51">
        <v>45648</v>
      </c>
      <c r="AQ378" s="351">
        <f>AR378-3</f>
        <v>45672</v>
      </c>
      <c r="AR378" s="351">
        <f>AS378-1</f>
        <v>45675</v>
      </c>
      <c r="AS378" s="351">
        <v>45676</v>
      </c>
      <c r="AT378" s="182" t="s">
        <v>600</v>
      </c>
      <c r="AU378" s="183"/>
      <c r="AV378" s="137" t="s">
        <v>20</v>
      </c>
      <c r="AW378" s="15" t="s">
        <v>6</v>
      </c>
      <c r="AX378" s="279">
        <f>AY378</f>
        <v>45723</v>
      </c>
      <c r="AY378" s="279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80">
        <f>BF378-1</f>
        <v>45714</v>
      </c>
      <c r="BF378" s="280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9"/>
      <c r="AY379" s="279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9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51">
        <v>45650</v>
      </c>
      <c r="AQ380" s="351">
        <f t="shared" ref="AQ380" si="161">AR380-1</f>
        <v>45652</v>
      </c>
      <c r="AR380" s="351">
        <f t="shared" ref="AR380" si="162">AS380-1</f>
        <v>45653</v>
      </c>
      <c r="AS380" s="351">
        <v>45654</v>
      </c>
      <c r="AT380" s="24" t="s">
        <v>538</v>
      </c>
      <c r="AU380" s="178"/>
      <c r="AV380" s="137" t="s">
        <v>20</v>
      </c>
      <c r="AW380" s="15" t="s">
        <v>6</v>
      </c>
      <c r="AX380" s="279">
        <v>45655</v>
      </c>
      <c r="AY380" s="279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80">
        <f>BF380-2</f>
        <v>45711</v>
      </c>
      <c r="BF380" s="280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9"/>
      <c r="AY381" s="279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9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51">
        <v>45651</v>
      </c>
      <c r="AQ382" s="351">
        <f t="shared" ref="AQ382" si="163">AR382-1</f>
        <v>45652</v>
      </c>
      <c r="AR382" s="351">
        <f t="shared" ref="AR382" si="164">AS382-1</f>
        <v>45653</v>
      </c>
      <c r="AS382" s="351">
        <v>45654</v>
      </c>
      <c r="AT382" s="182" t="s">
        <v>601</v>
      </c>
      <c r="AU382" s="183"/>
      <c r="AV382" s="137" t="s">
        <v>20</v>
      </c>
      <c r="AW382" s="15" t="s">
        <v>6</v>
      </c>
      <c r="AX382" s="279">
        <v>45655</v>
      </c>
      <c r="AY382" s="279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80">
        <f>BF382-2</f>
        <v>45714</v>
      </c>
      <c r="BF382" s="280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9"/>
      <c r="AY383" s="279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9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51">
        <v>45652</v>
      </c>
      <c r="AQ384" s="351">
        <f>AR384-1</f>
        <v>45660</v>
      </c>
      <c r="AR384" s="351">
        <f>AS384-2</f>
        <v>45661</v>
      </c>
      <c r="AS384" s="351">
        <v>45663</v>
      </c>
      <c r="AT384" s="182" t="s">
        <v>601</v>
      </c>
      <c r="AU384" s="183"/>
      <c r="AV384" s="137" t="s">
        <v>20</v>
      </c>
      <c r="AW384" s="15" t="s">
        <v>6</v>
      </c>
      <c r="AX384" s="279">
        <v>45721</v>
      </c>
      <c r="AY384" s="279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80">
        <f>BF384-1</f>
        <v>45718</v>
      </c>
      <c r="BF384" s="280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9"/>
      <c r="AY385" s="279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9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51">
        <v>45654</v>
      </c>
      <c r="AQ386" s="351">
        <f t="shared" ref="AQ386" si="165">AP386+1</f>
        <v>45655</v>
      </c>
      <c r="AR386" s="351">
        <f t="shared" ref="AR386" si="166">AQ386+1</f>
        <v>45656</v>
      </c>
      <c r="AS386" s="351">
        <v>45657</v>
      </c>
      <c r="AT386" s="19" t="s">
        <v>539</v>
      </c>
      <c r="AU386" s="194"/>
      <c r="AV386" s="137" t="s">
        <v>20</v>
      </c>
      <c r="AW386" s="15" t="s">
        <v>6</v>
      </c>
      <c r="AX386" s="279">
        <v>45655</v>
      </c>
      <c r="AY386" s="279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80">
        <f>BF386-2</f>
        <v>45687</v>
      </c>
      <c r="BF386" s="280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9"/>
      <c r="AY387" s="279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9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51">
        <v>45659</v>
      </c>
      <c r="AQ388" s="351">
        <f t="shared" ref="AQ388" si="167">AR388-1</f>
        <v>45660</v>
      </c>
      <c r="AR388" s="351">
        <f t="shared" ref="AR388" si="168">AS388-1</f>
        <v>45661</v>
      </c>
      <c r="AS388" s="351">
        <v>45662</v>
      </c>
      <c r="AT388" s="19" t="s">
        <v>539</v>
      </c>
      <c r="AU388" s="194"/>
      <c r="AV388" s="137" t="s">
        <v>20</v>
      </c>
      <c r="AW388" s="15" t="s">
        <v>6</v>
      </c>
      <c r="AX388" s="279">
        <v>45655</v>
      </c>
      <c r="AY388" s="279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80">
        <f>BF388-1</f>
        <v>45721</v>
      </c>
      <c r="BF388" s="280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9"/>
      <c r="AY389" s="279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9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51">
        <v>45659</v>
      </c>
      <c r="AQ390" s="351">
        <f>AR390-3</f>
        <v>45662</v>
      </c>
      <c r="AR390" s="351">
        <f>AS390-2</f>
        <v>45665</v>
      </c>
      <c r="AS390" s="351">
        <v>45667</v>
      </c>
      <c r="AT390" s="19" t="s">
        <v>539</v>
      </c>
      <c r="AU390" s="194"/>
      <c r="AV390" s="137" t="s">
        <v>20</v>
      </c>
      <c r="AW390" s="15" t="s">
        <v>6</v>
      </c>
      <c r="AX390" s="279">
        <v>45655</v>
      </c>
      <c r="AY390" s="279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80">
        <f>BF390-2</f>
        <v>45719</v>
      </c>
      <c r="BF390" s="280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9"/>
      <c r="AY391" s="279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9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51">
        <v>45654</v>
      </c>
      <c r="AQ392" s="351">
        <v>45654</v>
      </c>
      <c r="AR392" s="351">
        <f>AS392-1</f>
        <v>45655</v>
      </c>
      <c r="AS392" s="351">
        <v>45656</v>
      </c>
      <c r="AT392" s="182" t="s">
        <v>589</v>
      </c>
      <c r="AU392" s="183"/>
      <c r="AV392" s="137" t="s">
        <v>20</v>
      </c>
      <c r="AW392" s="15" t="s">
        <v>6</v>
      </c>
      <c r="AX392" s="279">
        <v>45655</v>
      </c>
      <c r="AY392" s="279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80">
        <f>BF392-1</f>
        <v>45718</v>
      </c>
      <c r="BF392" s="280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9"/>
      <c r="AY393" s="279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9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51">
        <f t="shared" ref="AP394" si="171">AQ394-2</f>
        <v>45658</v>
      </c>
      <c r="AQ394" s="351">
        <f t="shared" ref="AQ394" si="172">AR394-2</f>
        <v>45660</v>
      </c>
      <c r="AR394" s="351">
        <f t="shared" ref="AR394" si="173">AS394-2</f>
        <v>45662</v>
      </c>
      <c r="AS394" s="351">
        <v>45664</v>
      </c>
      <c r="AT394" s="182" t="s">
        <v>589</v>
      </c>
      <c r="AU394" s="183"/>
      <c r="AV394" s="137" t="s">
        <v>20</v>
      </c>
      <c r="AW394" s="15" t="s">
        <v>6</v>
      </c>
      <c r="AX394" s="279">
        <v>45655</v>
      </c>
      <c r="AY394" s="279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80">
        <f>BF394-2</f>
        <v>45716</v>
      </c>
      <c r="BF394" s="280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9"/>
      <c r="AY395" s="279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9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51">
        <v>45667</v>
      </c>
      <c r="AQ396" s="351">
        <f>AR396-1</f>
        <v>45669</v>
      </c>
      <c r="AR396" s="351">
        <f>AS396-2</f>
        <v>45670</v>
      </c>
      <c r="AS396" s="351">
        <v>45672</v>
      </c>
      <c r="AT396" s="182" t="s">
        <v>589</v>
      </c>
      <c r="AU396" s="183"/>
      <c r="AV396" s="137" t="s">
        <v>20</v>
      </c>
      <c r="AW396" s="15" t="s">
        <v>6</v>
      </c>
      <c r="AX396" s="279">
        <v>45700</v>
      </c>
      <c r="AY396" s="279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80">
        <f>BF396-2</f>
        <v>45849</v>
      </c>
      <c r="BF396" s="280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9"/>
      <c r="AY397" s="279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9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51">
        <v>45677</v>
      </c>
      <c r="AQ398" s="351">
        <f>AP398+2</f>
        <v>45679</v>
      </c>
      <c r="AR398" s="351">
        <f>AS398-2</f>
        <v>45684</v>
      </c>
      <c r="AS398" s="351">
        <v>45686</v>
      </c>
      <c r="AT398" s="182" t="s">
        <v>589</v>
      </c>
      <c r="AU398" s="183"/>
      <c r="AV398" s="137" t="s">
        <v>20</v>
      </c>
      <c r="AW398" s="15" t="s">
        <v>6</v>
      </c>
      <c r="AX398" s="279">
        <v>45700</v>
      </c>
      <c r="AY398" s="279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80">
        <f>BF398-2</f>
        <v>45852</v>
      </c>
      <c r="BF398" s="280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0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9"/>
      <c r="AY399" s="279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9" t="s">
        <v>569</v>
      </c>
      <c r="V400" s="601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51">
        <v>45674</v>
      </c>
      <c r="AQ400" s="351">
        <v>45676</v>
      </c>
      <c r="AR400" s="351">
        <v>45678</v>
      </c>
      <c r="AS400" s="351">
        <v>45680</v>
      </c>
      <c r="AT400" s="182" t="s">
        <v>589</v>
      </c>
      <c r="AU400" s="183"/>
      <c r="AV400" s="137" t="s">
        <v>20</v>
      </c>
      <c r="AW400" s="15" t="s">
        <v>6</v>
      </c>
      <c r="AX400" s="279">
        <v>45700</v>
      </c>
      <c r="AY400" s="279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80">
        <f>BF400-1</f>
        <v>45806</v>
      </c>
      <c r="BF400" s="280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1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9"/>
      <c r="AY401" s="279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9" t="s">
        <v>569</v>
      </c>
      <c r="V402" s="602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51">
        <f t="shared" ref="AP402" si="175">AQ402-2</f>
        <v>45698</v>
      </c>
      <c r="AQ402" s="351">
        <f t="shared" ref="AQ402" si="176">AR402-2</f>
        <v>45700</v>
      </c>
      <c r="AR402" s="351">
        <f>AS402-1</f>
        <v>45702</v>
      </c>
      <c r="AS402" s="351">
        <v>45703</v>
      </c>
      <c r="AT402" s="182" t="s">
        <v>589</v>
      </c>
      <c r="AU402" s="183"/>
      <c r="AV402" s="137" t="s">
        <v>20</v>
      </c>
      <c r="AW402" s="15" t="s">
        <v>6</v>
      </c>
      <c r="AX402" s="279">
        <f>AY402</f>
        <v>45719</v>
      </c>
      <c r="AY402" s="279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80">
        <f>BF402-2</f>
        <v>45801</v>
      </c>
      <c r="BF402" s="280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9"/>
      <c r="AY403" s="279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729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9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5"/>
      <c r="AN404" s="131"/>
      <c r="AO404" s="131"/>
      <c r="AP404" s="351"/>
      <c r="AQ404" s="351"/>
      <c r="AR404" s="351"/>
      <c r="AS404" s="351"/>
      <c r="AT404" s="182"/>
      <c r="AU404" s="183"/>
      <c r="AV404" s="137"/>
      <c r="AW404" s="15"/>
      <c r="AX404" s="279"/>
      <c r="AY404" s="279"/>
      <c r="AZ404" s="19"/>
      <c r="BA404" s="194"/>
      <c r="BB404" s="137"/>
      <c r="BC404" s="131"/>
      <c r="BD404" s="131"/>
      <c r="BE404" s="280"/>
      <c r="BF404" s="280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9"/>
      <c r="AY405" s="279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730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9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5"/>
      <c r="AN406" s="131"/>
      <c r="AO406" s="131"/>
      <c r="AP406" s="351"/>
      <c r="AQ406" s="351"/>
      <c r="AR406" s="351"/>
      <c r="AS406" s="351"/>
      <c r="AT406" s="19" t="s">
        <v>602</v>
      </c>
      <c r="AU406" s="194"/>
      <c r="AV406" s="15"/>
      <c r="AW406" s="15"/>
      <c r="AX406" s="279"/>
      <c r="AY406" s="279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  <c r="AM407" s="15">
        <f>+COUNTIF($AM$8:$AM$406,"C")</f>
        <v>197</v>
      </c>
      <c r="AN407" s="131"/>
      <c r="AO407" s="15">
        <f>+COUNTIF($AO$8:$AO$406,"D")</f>
        <v>171</v>
      </c>
      <c r="AP407" s="131"/>
      <c r="AQ407" s="131"/>
      <c r="AR407" s="131"/>
      <c r="AS407" s="131"/>
      <c r="AT407" s="182"/>
      <c r="AU407" s="183"/>
      <c r="AV407" s="15">
        <f>+COUNTIF($AV$8:$AV$406,"C")</f>
        <v>197</v>
      </c>
      <c r="AW407" s="15"/>
      <c r="AX407" s="279"/>
      <c r="AY407" s="279"/>
      <c r="AZ407" s="182"/>
      <c r="BA407" s="183"/>
      <c r="BB407" s="15">
        <f>+COUNTIF($BB$8:$BB$406,"C")</f>
        <v>196</v>
      </c>
      <c r="BC407" s="131"/>
      <c r="BD407" s="15">
        <f>+COUNTIF($BD$8:$BD$406,"D")</f>
        <v>139</v>
      </c>
      <c r="BE407" s="131"/>
      <c r="BF407" s="131"/>
      <c r="BG407" s="15"/>
      <c r="BH407" s="177"/>
      <c r="BI407" s="15">
        <f>+COUNTIF($BI$8:$BI$406,"C")</f>
        <v>182</v>
      </c>
      <c r="BL407"/>
    </row>
    <row r="408" spans="1:64" ht="19.5" customHeight="1">
      <c r="A408" s="15">
        <f t="shared" si="132"/>
        <v>198</v>
      </c>
      <c r="B408" s="19" t="s">
        <v>731</v>
      </c>
      <c r="C408" s="433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4"/>
      <c r="H408" s="435"/>
      <c r="I408" s="436"/>
      <c r="J408" s="436"/>
      <c r="K408" s="437"/>
      <c r="L408" s="438">
        <v>8.8970000000000002</v>
      </c>
      <c r="M408" s="439">
        <v>8.8010000000000002</v>
      </c>
      <c r="N408" s="439">
        <v>9.2999999999999992E-3</v>
      </c>
      <c r="O408" s="439">
        <v>0.752</v>
      </c>
      <c r="P408" s="440">
        <f t="shared" si="174"/>
        <v>18.459299999999999</v>
      </c>
      <c r="Q408" s="438">
        <v>1.1160000000000001</v>
      </c>
      <c r="R408" s="439">
        <v>3.2000000000000001E-2</v>
      </c>
      <c r="S408" s="440">
        <f t="shared" si="169"/>
        <v>1.1480000000000001</v>
      </c>
      <c r="T408" s="205"/>
      <c r="U408" s="205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9"/>
      <c r="AY408" s="279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33"/>
      <c r="D409" s="130">
        <v>16.654</v>
      </c>
      <c r="E409" s="130"/>
      <c r="F409" s="130"/>
      <c r="G409" s="434"/>
      <c r="H409" s="435"/>
      <c r="I409" s="436"/>
      <c r="J409" s="436"/>
      <c r="K409" s="437"/>
      <c r="L409" s="438"/>
      <c r="M409" s="439"/>
      <c r="N409" s="439"/>
      <c r="O409" s="439"/>
      <c r="P409" s="440"/>
      <c r="Q409" s="438"/>
      <c r="R409" s="439"/>
      <c r="S409" s="440"/>
      <c r="T409" s="205"/>
      <c r="U409" s="205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9"/>
      <c r="AY409" s="279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732</v>
      </c>
      <c r="C410" s="433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4"/>
      <c r="H410" s="435"/>
      <c r="I410" s="436"/>
      <c r="J410" s="436"/>
      <c r="K410" s="437"/>
      <c r="L410" s="438">
        <v>8.8970000000000002</v>
      </c>
      <c r="M410" s="439">
        <v>8.8010000000000002</v>
      </c>
      <c r="N410" s="439">
        <v>9.2999999999999992E-3</v>
      </c>
      <c r="O410" s="439">
        <v>0.752</v>
      </c>
      <c r="P410" s="440">
        <f t="shared" si="174"/>
        <v>18.459299999999999</v>
      </c>
      <c r="Q410" s="438">
        <v>1.1160000000000001</v>
      </c>
      <c r="R410" s="439">
        <v>3.2000000000000001E-2</v>
      </c>
      <c r="S410" s="440">
        <f t="shared" si="169"/>
        <v>1.1480000000000001</v>
      </c>
      <c r="T410" s="205"/>
      <c r="U410" s="205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9"/>
      <c r="AY410" s="279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43"/>
      <c r="AU411" s="144"/>
      <c r="BA411" s="144"/>
      <c r="BE411"/>
      <c r="BF411"/>
      <c r="BH411" s="144"/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231"/>
  <sheetViews>
    <sheetView workbookViewId="0">
      <pane xSplit="4" ySplit="5" topLeftCell="Q15" activePane="bottomRight" state="frozen"/>
      <selection pane="topRight" activeCell="E1" sqref="E1"/>
      <selection pane="bottomLeft" activeCell="A6" sqref="A6"/>
      <selection pane="bottomRight" activeCell="O42" sqref="O42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6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5" width="11.26953125" customWidth="1"/>
    <col min="16" max="16" width="21.453125" customWidth="1"/>
    <col min="17" max="17" width="5.08984375" customWidth="1"/>
    <col min="18" max="18" width="19.26953125" customWidth="1"/>
    <col min="19" max="19" width="3" customWidth="1"/>
    <col min="20" max="20" width="8.7265625" customWidth="1"/>
    <col min="21" max="22" width="11.26953125" customWidth="1"/>
    <col min="23" max="23" width="8.7265625" customWidth="1"/>
    <col min="24" max="25" width="11.26953125" customWidth="1"/>
    <col min="26" max="26" width="22" customWidth="1"/>
  </cols>
  <sheetData>
    <row r="1" spans="1:26" ht="14.25" customHeight="1">
      <c r="A1" s="608" t="str">
        <f>+Summary!A2</f>
        <v>Name of the Line: 220KV DC AL59 line from Neemuch - Chanderiya + 132KV DC ACSS Line from Chanderiya to Hindustan Zinc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3"/>
    </row>
    <row r="2" spans="1:26" ht="14.25" customHeight="1">
      <c r="A2" s="608" t="str">
        <f>+Summary!A5</f>
        <v>Progress of 220kV Line</v>
      </c>
      <c r="B2" s="532"/>
      <c r="C2" s="532"/>
      <c r="D2" s="533"/>
      <c r="E2" s="119"/>
      <c r="F2" s="608" t="s">
        <v>603</v>
      </c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533"/>
      <c r="S2" s="206"/>
      <c r="T2" s="608" t="s">
        <v>604</v>
      </c>
      <c r="U2" s="532"/>
      <c r="V2" s="532"/>
      <c r="W2" s="532"/>
      <c r="X2" s="532"/>
      <c r="Y2" s="532"/>
      <c r="Z2" s="533"/>
    </row>
    <row r="3" spans="1:26" ht="14.25" customHeight="1">
      <c r="A3" s="608" t="s">
        <v>605</v>
      </c>
      <c r="B3" s="532"/>
      <c r="C3" s="533"/>
      <c r="D3" s="207">
        <f>Summary!R5</f>
        <v>46092</v>
      </c>
      <c r="E3" s="208">
        <f>SUMIF(E6:E213,"C",$D$6:$D$213)/1000</f>
        <v>59.563575</v>
      </c>
      <c r="F3" s="209"/>
      <c r="G3" s="209"/>
      <c r="H3" s="210">
        <f>SUMIF(G7:G213,"WIP",$D$7:$D$213)/1000</f>
        <v>0</v>
      </c>
      <c r="I3" s="519">
        <f>SUMIF(G6:G213,"C",$D$6:$D$213)/1000</f>
        <v>59.563575</v>
      </c>
      <c r="J3" s="520"/>
      <c r="K3" s="52">
        <f>SUMIF(J7:J213,"WIP",$D$7:$D$213)/1000</f>
        <v>0</v>
      </c>
      <c r="L3" s="519">
        <f>SUMIF(J6:J213,"C",$D$6:$D$213)/1000</f>
        <v>58.460324999999997</v>
      </c>
      <c r="M3" s="209"/>
      <c r="N3" s="209"/>
      <c r="O3" s="209"/>
      <c r="P3" s="209"/>
      <c r="Q3" s="209"/>
      <c r="R3" s="209"/>
      <c r="S3" s="211"/>
      <c r="T3" s="209"/>
      <c r="U3" s="210">
        <f>SUMIF(T7:T213,"WIP",$D$7:$D$213)/1000</f>
        <v>0</v>
      </c>
      <c r="V3" s="210">
        <f>SUMIF(T7:T213,"C",$D$7:$D$213)/1000</f>
        <v>39.301040999999991</v>
      </c>
      <c r="W3" s="210"/>
      <c r="X3" s="210">
        <f>SUMIF(W7:W213,"WIP",$D$7:$D$213)/1000</f>
        <v>0</v>
      </c>
      <c r="Y3" s="210">
        <f>SUMIF(W7:W213,"C",$D$7:$D$213)/1000</f>
        <v>39.301040999999991</v>
      </c>
      <c r="Z3" s="209"/>
    </row>
    <row r="4" spans="1:26" ht="14.25" customHeight="1">
      <c r="A4" s="212" t="s">
        <v>2</v>
      </c>
      <c r="B4" s="609" t="s">
        <v>459</v>
      </c>
      <c r="C4" s="533"/>
      <c r="D4" s="212" t="s">
        <v>606</v>
      </c>
      <c r="E4" s="213" t="s">
        <v>607</v>
      </c>
      <c r="F4" s="55" t="s">
        <v>608</v>
      </c>
      <c r="G4" s="534" t="s">
        <v>609</v>
      </c>
      <c r="H4" s="532"/>
      <c r="I4" s="533"/>
      <c r="J4" s="534" t="s">
        <v>388</v>
      </c>
      <c r="K4" s="532"/>
      <c r="L4" s="533"/>
      <c r="M4" s="214" t="s">
        <v>610</v>
      </c>
      <c r="N4" s="125" t="s">
        <v>611</v>
      </c>
      <c r="O4" s="215" t="s">
        <v>612</v>
      </c>
      <c r="P4" s="2" t="s">
        <v>489</v>
      </c>
      <c r="Q4" s="216" t="s">
        <v>569</v>
      </c>
      <c r="R4" s="55" t="s">
        <v>15</v>
      </c>
      <c r="S4" s="217"/>
      <c r="T4" s="531" t="s">
        <v>613</v>
      </c>
      <c r="U4" s="532"/>
      <c r="V4" s="533"/>
      <c r="W4" s="531" t="s">
        <v>614</v>
      </c>
      <c r="X4" s="532"/>
      <c r="Y4" s="533"/>
      <c r="Z4" s="2" t="s">
        <v>489</v>
      </c>
    </row>
    <row r="5" spans="1:26" ht="14.25" customHeight="1">
      <c r="A5" s="212"/>
      <c r="B5" s="218" t="s">
        <v>615</v>
      </c>
      <c r="C5" s="218" t="s">
        <v>616</v>
      </c>
      <c r="D5" s="212"/>
      <c r="E5" s="219"/>
      <c r="F5" s="128"/>
      <c r="G5" s="215" t="s">
        <v>617</v>
      </c>
      <c r="H5" s="5" t="s">
        <v>492</v>
      </c>
      <c r="I5" s="215" t="s">
        <v>23</v>
      </c>
      <c r="J5" s="215" t="s">
        <v>617</v>
      </c>
      <c r="K5" s="215" t="s">
        <v>492</v>
      </c>
      <c r="L5" s="215" t="s">
        <v>23</v>
      </c>
      <c r="M5" s="215" t="s">
        <v>617</v>
      </c>
      <c r="N5" s="215" t="s">
        <v>617</v>
      </c>
      <c r="O5" s="215" t="s">
        <v>617</v>
      </c>
      <c r="P5" s="2"/>
      <c r="Q5" s="220"/>
      <c r="R5" s="128"/>
      <c r="S5" s="221"/>
      <c r="T5" s="215" t="s">
        <v>617</v>
      </c>
      <c r="U5" s="215" t="s">
        <v>492</v>
      </c>
      <c r="V5" s="215" t="s">
        <v>23</v>
      </c>
      <c r="W5" s="215" t="s">
        <v>617</v>
      </c>
      <c r="X5" s="215" t="s">
        <v>492</v>
      </c>
      <c r="Y5" s="215" t="s">
        <v>23</v>
      </c>
      <c r="Z5" s="2"/>
    </row>
    <row r="6" spans="1:26" ht="14.25" customHeight="1">
      <c r="A6" s="15">
        <v>1</v>
      </c>
      <c r="B6" s="132" t="s">
        <v>725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9">
        <v>46053</v>
      </c>
      <c r="I6" s="279">
        <v>46055</v>
      </c>
      <c r="J6" s="16" t="s">
        <v>20</v>
      </c>
      <c r="K6" s="429">
        <v>46053</v>
      </c>
      <c r="L6" s="279">
        <v>46055</v>
      </c>
      <c r="M6" s="16"/>
      <c r="N6" s="16"/>
      <c r="O6" s="16"/>
      <c r="P6" s="24" t="s">
        <v>726</v>
      </c>
      <c r="Q6" s="25"/>
      <c r="R6" s="24"/>
      <c r="S6" s="222"/>
      <c r="T6" s="24"/>
      <c r="U6" s="279"/>
      <c r="V6" s="279"/>
      <c r="W6" s="24"/>
      <c r="X6" s="279"/>
      <c r="Y6" s="279"/>
      <c r="Z6" s="24"/>
    </row>
    <row r="7" spans="1:26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9">
        <v>45796</v>
      </c>
      <c r="I7" s="279">
        <v>45801</v>
      </c>
      <c r="J7" s="16" t="s">
        <v>20</v>
      </c>
      <c r="K7" s="280">
        <v>45803</v>
      </c>
      <c r="L7" s="279">
        <f t="shared" ref="L7:L8" si="0">K7+2</f>
        <v>45805</v>
      </c>
      <c r="M7" s="16" t="s">
        <v>20</v>
      </c>
      <c r="N7" s="16" t="s">
        <v>20</v>
      </c>
      <c r="O7" s="16" t="s">
        <v>20</v>
      </c>
      <c r="P7" s="24" t="s">
        <v>618</v>
      </c>
      <c r="Q7" s="25"/>
      <c r="R7" s="24"/>
      <c r="S7" s="222"/>
      <c r="T7" s="24"/>
      <c r="U7" s="279"/>
      <c r="V7" s="279"/>
      <c r="W7" s="24"/>
      <c r="X7" s="279"/>
      <c r="Y7" s="279"/>
      <c r="Z7" s="24"/>
    </row>
    <row r="8" spans="1:26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9">
        <v>45796</v>
      </c>
      <c r="I8" s="279">
        <v>45801</v>
      </c>
      <c r="J8" s="16" t="s">
        <v>20</v>
      </c>
      <c r="K8" s="280">
        <v>45803</v>
      </c>
      <c r="L8" s="279">
        <f t="shared" si="0"/>
        <v>45805</v>
      </c>
      <c r="M8" s="16" t="s">
        <v>20</v>
      </c>
      <c r="N8" s="16" t="s">
        <v>20</v>
      </c>
      <c r="O8" s="16" t="s">
        <v>20</v>
      </c>
      <c r="P8" s="24" t="s">
        <v>618</v>
      </c>
      <c r="Q8" s="25"/>
      <c r="R8" s="24"/>
      <c r="S8" s="222"/>
      <c r="T8" s="24"/>
      <c r="U8" s="279"/>
      <c r="V8" s="279"/>
      <c r="W8" s="24"/>
      <c r="X8" s="279"/>
      <c r="Y8" s="279"/>
      <c r="Z8" s="24"/>
    </row>
    <row r="9" spans="1:26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9">
        <f t="shared" ref="H9:H10" si="3">I9</f>
        <v>45837</v>
      </c>
      <c r="I9" s="279">
        <v>45837</v>
      </c>
      <c r="J9" s="16" t="s">
        <v>20</v>
      </c>
      <c r="K9" s="279">
        <v>45838</v>
      </c>
      <c r="L9" s="279">
        <f t="shared" ref="L9:L10" si="4">K9</f>
        <v>45838</v>
      </c>
      <c r="M9" s="16" t="s">
        <v>20</v>
      </c>
      <c r="N9" s="16" t="s">
        <v>20</v>
      </c>
      <c r="O9" s="16" t="s">
        <v>20</v>
      </c>
      <c r="P9" s="24" t="s">
        <v>618</v>
      </c>
      <c r="Q9" s="25"/>
      <c r="R9" s="24"/>
      <c r="S9" s="222"/>
      <c r="T9" s="24"/>
      <c r="U9" s="279"/>
      <c r="V9" s="279"/>
      <c r="W9" s="24"/>
      <c r="X9" s="279"/>
      <c r="Y9" s="279"/>
      <c r="Z9" s="24"/>
    </row>
    <row r="10" spans="1:26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9">
        <f t="shared" si="3"/>
        <v>45837</v>
      </c>
      <c r="I10" s="279">
        <v>45837</v>
      </c>
      <c r="J10" s="16" t="s">
        <v>20</v>
      </c>
      <c r="K10" s="279">
        <v>45837</v>
      </c>
      <c r="L10" s="279">
        <f t="shared" si="4"/>
        <v>45837</v>
      </c>
      <c r="M10" s="16" t="s">
        <v>20</v>
      </c>
      <c r="N10" s="16" t="s">
        <v>20</v>
      </c>
      <c r="O10" s="16"/>
      <c r="P10" s="24" t="s">
        <v>618</v>
      </c>
      <c r="Q10" s="25"/>
      <c r="R10" s="24"/>
      <c r="S10" s="222"/>
      <c r="T10" s="24"/>
      <c r="U10" s="279"/>
      <c r="V10" s="279"/>
      <c r="W10" s="24"/>
      <c r="X10" s="279"/>
      <c r="Y10" s="279"/>
      <c r="Z10" s="24"/>
    </row>
    <row r="11" spans="1:26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9"/>
      <c r="I11" s="279"/>
      <c r="J11" s="24"/>
      <c r="K11" s="279"/>
      <c r="L11" s="279"/>
      <c r="M11" s="24"/>
      <c r="N11" s="24"/>
      <c r="O11" s="24"/>
      <c r="P11" s="24"/>
      <c r="Q11" s="25"/>
      <c r="R11" s="24"/>
      <c r="S11" s="222"/>
      <c r="T11" s="24"/>
      <c r="U11" s="279"/>
      <c r="V11" s="279"/>
      <c r="W11" s="24"/>
      <c r="X11" s="279"/>
      <c r="Y11" s="279"/>
      <c r="Z11" s="24"/>
    </row>
    <row r="12" spans="1:26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9"/>
      <c r="I12" s="279"/>
      <c r="J12" s="24"/>
      <c r="K12" s="279"/>
      <c r="L12" s="279"/>
      <c r="M12" s="24"/>
      <c r="N12" s="24"/>
      <c r="O12" s="24"/>
      <c r="P12" s="24"/>
      <c r="Q12" s="25"/>
      <c r="R12" s="24"/>
      <c r="S12" s="222"/>
      <c r="T12" s="24"/>
      <c r="U12" s="279"/>
      <c r="V12" s="279"/>
      <c r="W12" s="24"/>
      <c r="X12" s="279"/>
      <c r="Y12" s="279"/>
      <c r="Z12" s="24"/>
    </row>
    <row r="13" spans="1:26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9">
        <f>I13-1</f>
        <v>45870</v>
      </c>
      <c r="I13" s="279">
        <f t="shared" ref="I13:I14" si="5">K13-2</f>
        <v>45871</v>
      </c>
      <c r="J13" s="16" t="s">
        <v>20</v>
      </c>
      <c r="K13" s="279">
        <f t="shared" ref="K13:K14" si="6">L13-3</f>
        <v>45873</v>
      </c>
      <c r="L13" s="279">
        <v>45876</v>
      </c>
      <c r="M13" s="16" t="s">
        <v>20</v>
      </c>
      <c r="N13" s="16" t="s">
        <v>20</v>
      </c>
      <c r="O13" s="16" t="s">
        <v>20</v>
      </c>
      <c r="P13" s="24" t="s">
        <v>619</v>
      </c>
      <c r="Q13" s="25"/>
      <c r="R13" s="24"/>
      <c r="S13" s="222"/>
      <c r="T13" s="24"/>
      <c r="U13" s="279"/>
      <c r="V13" s="279"/>
      <c r="W13" s="24"/>
      <c r="X13" s="279"/>
      <c r="Y13" s="279"/>
      <c r="Z13" s="24"/>
    </row>
    <row r="14" spans="1:26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9">
        <f>I14-3</f>
        <v>45864</v>
      </c>
      <c r="I14" s="279">
        <f t="shared" si="5"/>
        <v>45867</v>
      </c>
      <c r="J14" s="16" t="s">
        <v>20</v>
      </c>
      <c r="K14" s="279">
        <f t="shared" si="6"/>
        <v>45869</v>
      </c>
      <c r="L14" s="279">
        <v>45872</v>
      </c>
      <c r="M14" s="16" t="s">
        <v>20</v>
      </c>
      <c r="N14" s="16" t="s">
        <v>20</v>
      </c>
      <c r="O14" s="24"/>
      <c r="P14" s="24" t="s">
        <v>619</v>
      </c>
      <c r="Q14" s="25"/>
      <c r="R14" s="24"/>
      <c r="S14" s="222"/>
      <c r="T14" s="24"/>
      <c r="U14" s="279"/>
      <c r="V14" s="279"/>
      <c r="W14" s="24"/>
      <c r="X14" s="279"/>
      <c r="Y14" s="279"/>
      <c r="Z14" s="24"/>
    </row>
    <row r="15" spans="1:26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/>
      <c r="F15" s="16"/>
      <c r="G15" s="24"/>
      <c r="H15" s="429"/>
      <c r="I15" s="279"/>
      <c r="J15" s="24"/>
      <c r="K15" s="279"/>
      <c r="L15" s="279"/>
      <c r="M15" s="24"/>
      <c r="N15" s="24"/>
      <c r="O15" s="24"/>
      <c r="P15" s="24"/>
      <c r="Q15" s="25"/>
      <c r="R15" s="24"/>
      <c r="S15" s="222"/>
      <c r="T15" s="24"/>
      <c r="U15" s="279"/>
      <c r="V15" s="279"/>
      <c r="W15" s="24"/>
      <c r="X15" s="279"/>
      <c r="Y15" s="279"/>
      <c r="Z15" s="24"/>
    </row>
    <row r="16" spans="1:26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9"/>
      <c r="I16" s="279"/>
      <c r="J16" s="24"/>
      <c r="K16" s="279"/>
      <c r="L16" s="279"/>
      <c r="M16" s="24"/>
      <c r="N16" s="24"/>
      <c r="O16" s="24"/>
      <c r="P16" s="24"/>
      <c r="Q16" s="25"/>
      <c r="R16" s="24"/>
      <c r="S16" s="222"/>
      <c r="T16" s="24"/>
      <c r="U16" s="279"/>
      <c r="V16" s="279"/>
      <c r="W16" s="24"/>
      <c r="X16" s="279"/>
      <c r="Y16" s="279"/>
      <c r="Z16" s="24"/>
    </row>
    <row r="17" spans="1:26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9">
        <f t="shared" ref="H17:H18" si="7">I17-3</f>
        <v>45849</v>
      </c>
      <c r="I17" s="279">
        <f t="shared" ref="I17:I18" si="8">K17-2</f>
        <v>45852</v>
      </c>
      <c r="J17" s="16" t="s">
        <v>20</v>
      </c>
      <c r="K17" s="279">
        <f t="shared" ref="K17:K18" si="9">L17-2</f>
        <v>45854</v>
      </c>
      <c r="L17" s="279">
        <v>45856</v>
      </c>
      <c r="M17" s="16" t="s">
        <v>20</v>
      </c>
      <c r="N17" s="16" t="s">
        <v>20</v>
      </c>
      <c r="O17" s="16" t="s">
        <v>20</v>
      </c>
      <c r="P17" s="24" t="s">
        <v>619</v>
      </c>
      <c r="Q17" s="25"/>
      <c r="R17" s="24"/>
      <c r="S17" s="222"/>
      <c r="T17" s="24"/>
      <c r="U17" s="279"/>
      <c r="V17" s="279"/>
      <c r="W17" s="24"/>
      <c r="X17" s="279"/>
      <c r="Y17" s="279"/>
      <c r="Z17" s="24"/>
    </row>
    <row r="18" spans="1:26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9">
        <f t="shared" si="7"/>
        <v>45849</v>
      </c>
      <c r="I18" s="279">
        <f t="shared" si="8"/>
        <v>45852</v>
      </c>
      <c r="J18" s="16" t="s">
        <v>20</v>
      </c>
      <c r="K18" s="279">
        <f t="shared" si="9"/>
        <v>45854</v>
      </c>
      <c r="L18" s="279">
        <v>45856</v>
      </c>
      <c r="M18" s="16" t="s">
        <v>20</v>
      </c>
      <c r="N18" s="16" t="s">
        <v>20</v>
      </c>
      <c r="O18" s="16"/>
      <c r="P18" s="24" t="s">
        <v>619</v>
      </c>
      <c r="Q18" s="25"/>
      <c r="R18" s="24"/>
      <c r="S18" s="222"/>
      <c r="T18" s="24"/>
      <c r="U18" s="279"/>
      <c r="V18" s="279"/>
      <c r="W18" s="24"/>
      <c r="X18" s="279"/>
      <c r="Y18" s="279"/>
      <c r="Z18" s="24"/>
    </row>
    <row r="19" spans="1:26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9"/>
      <c r="I19" s="279"/>
      <c r="J19" s="24"/>
      <c r="K19" s="279"/>
      <c r="L19" s="279"/>
      <c r="M19" s="24"/>
      <c r="N19" s="24"/>
      <c r="O19" s="24"/>
      <c r="P19" s="24"/>
      <c r="Q19" s="25"/>
      <c r="R19" s="24"/>
      <c r="S19" s="222"/>
      <c r="T19" s="24"/>
      <c r="U19" s="279"/>
      <c r="V19" s="279"/>
      <c r="W19" s="24"/>
      <c r="X19" s="279"/>
      <c r="Y19" s="279"/>
      <c r="Z19" s="24"/>
    </row>
    <row r="20" spans="1:26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9"/>
      <c r="I20" s="279"/>
      <c r="J20" s="24"/>
      <c r="K20" s="279"/>
      <c r="L20" s="279"/>
      <c r="M20" s="24"/>
      <c r="N20" s="24"/>
      <c r="O20" s="24"/>
      <c r="P20" s="24"/>
      <c r="Q20" s="25"/>
      <c r="R20" s="24"/>
      <c r="S20" s="222"/>
      <c r="T20" s="24"/>
      <c r="U20" s="279"/>
      <c r="V20" s="279"/>
      <c r="W20" s="24"/>
      <c r="X20" s="279"/>
      <c r="Y20" s="279"/>
      <c r="Z20" s="24"/>
    </row>
    <row r="21" spans="1:26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9"/>
      <c r="I21" s="279"/>
      <c r="J21" s="24"/>
      <c r="K21" s="279"/>
      <c r="L21" s="279"/>
      <c r="M21" s="24"/>
      <c r="N21" s="24"/>
      <c r="O21" s="24"/>
      <c r="P21" s="24"/>
      <c r="Q21" s="25"/>
      <c r="R21" s="24"/>
      <c r="S21" s="222"/>
      <c r="T21" s="24"/>
      <c r="U21" s="279"/>
      <c r="V21" s="279"/>
      <c r="W21" s="24"/>
      <c r="X21" s="279"/>
      <c r="Y21" s="279"/>
      <c r="Z21" s="24"/>
    </row>
    <row r="22" spans="1:26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9">
        <f t="shared" ref="H22:H26" si="10">I22-3</f>
        <v>45891</v>
      </c>
      <c r="I22" s="279">
        <v>45894</v>
      </c>
      <c r="J22" s="16" t="s">
        <v>20</v>
      </c>
      <c r="K22" s="279">
        <f>L22-2</f>
        <v>45919</v>
      </c>
      <c r="L22" s="279">
        <v>45921</v>
      </c>
      <c r="M22" s="16" t="s">
        <v>20</v>
      </c>
      <c r="N22" s="16" t="s">
        <v>20</v>
      </c>
      <c r="O22" s="16" t="s">
        <v>20</v>
      </c>
      <c r="P22" s="24" t="s">
        <v>618</v>
      </c>
      <c r="Q22" s="25"/>
      <c r="R22" s="24"/>
      <c r="S22" s="222"/>
      <c r="T22" s="24"/>
      <c r="U22" s="279"/>
      <c r="V22" s="279"/>
      <c r="W22" s="24"/>
      <c r="X22" s="279"/>
      <c r="Y22" s="279"/>
      <c r="Z22" s="24"/>
    </row>
    <row r="23" spans="1:26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9">
        <f t="shared" si="10"/>
        <v>45891</v>
      </c>
      <c r="I23" s="279">
        <v>45894</v>
      </c>
      <c r="J23" s="16" t="s">
        <v>20</v>
      </c>
      <c r="K23" s="279">
        <f>K22</f>
        <v>45919</v>
      </c>
      <c r="L23" s="279">
        <v>45921</v>
      </c>
      <c r="M23" s="16" t="s">
        <v>20</v>
      </c>
      <c r="N23" s="16" t="s">
        <v>20</v>
      </c>
      <c r="O23" s="16" t="s">
        <v>20</v>
      </c>
      <c r="P23" s="24" t="s">
        <v>618</v>
      </c>
      <c r="Q23" s="15"/>
      <c r="R23" s="24"/>
      <c r="S23" s="222"/>
      <c r="T23" s="24"/>
      <c r="U23" s="279"/>
      <c r="V23" s="279"/>
      <c r="W23" s="24"/>
      <c r="X23" s="279"/>
      <c r="Y23" s="279"/>
      <c r="Z23" s="24"/>
    </row>
    <row r="24" spans="1:26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9">
        <f t="shared" si="10"/>
        <v>45891</v>
      </c>
      <c r="I24" s="279">
        <v>45894</v>
      </c>
      <c r="J24" s="16" t="s">
        <v>20</v>
      </c>
      <c r="K24" s="279">
        <f t="shared" ref="K24:K25" si="11">L24-3</f>
        <v>45910</v>
      </c>
      <c r="L24" s="279">
        <v>45913</v>
      </c>
      <c r="M24" s="16" t="s">
        <v>20</v>
      </c>
      <c r="N24" s="16" t="s">
        <v>20</v>
      </c>
      <c r="O24" s="16" t="s">
        <v>20</v>
      </c>
      <c r="P24" s="24" t="s">
        <v>618</v>
      </c>
      <c r="Q24" s="15"/>
      <c r="R24" s="24"/>
      <c r="S24" s="222"/>
      <c r="T24" s="24"/>
      <c r="U24" s="279"/>
      <c r="V24" s="279"/>
      <c r="W24" s="24"/>
      <c r="X24" s="279"/>
      <c r="Y24" s="279"/>
      <c r="Z24" s="24"/>
    </row>
    <row r="25" spans="1:26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9">
        <f t="shared" si="10"/>
        <v>45891</v>
      </c>
      <c r="I25" s="279">
        <v>45894</v>
      </c>
      <c r="J25" s="16" t="s">
        <v>20</v>
      </c>
      <c r="K25" s="279">
        <f t="shared" si="11"/>
        <v>45900</v>
      </c>
      <c r="L25" s="279">
        <v>45903</v>
      </c>
      <c r="M25" s="16" t="s">
        <v>20</v>
      </c>
      <c r="N25" s="16" t="s">
        <v>20</v>
      </c>
      <c r="O25" s="16" t="s">
        <v>20</v>
      </c>
      <c r="P25" s="24" t="s">
        <v>618</v>
      </c>
      <c r="Q25" s="15"/>
      <c r="R25" s="24"/>
      <c r="S25" s="222"/>
      <c r="T25" s="24"/>
      <c r="U25" s="279"/>
      <c r="V25" s="279"/>
      <c r="W25" s="24"/>
      <c r="X25" s="279"/>
      <c r="Y25" s="279"/>
      <c r="Z25" s="24"/>
    </row>
    <row r="26" spans="1:26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9">
        <f t="shared" si="10"/>
        <v>45891</v>
      </c>
      <c r="I26" s="279">
        <v>45894</v>
      </c>
      <c r="J26" s="16" t="s">
        <v>20</v>
      </c>
      <c r="K26" s="279">
        <f>L26-1</f>
        <v>45916</v>
      </c>
      <c r="L26" s="279">
        <v>45917</v>
      </c>
      <c r="M26" s="16" t="s">
        <v>20</v>
      </c>
      <c r="N26" s="16" t="s">
        <v>20</v>
      </c>
      <c r="O26" s="16" t="s">
        <v>20</v>
      </c>
      <c r="P26" s="24" t="s">
        <v>618</v>
      </c>
      <c r="Q26" s="15"/>
      <c r="R26" s="24"/>
      <c r="S26" s="222"/>
      <c r="T26" s="24"/>
      <c r="U26" s="279"/>
      <c r="V26" s="279"/>
      <c r="W26" s="24"/>
      <c r="X26" s="279"/>
      <c r="Y26" s="279"/>
      <c r="Z26" s="24"/>
    </row>
    <row r="27" spans="1:26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9">
        <v>45897</v>
      </c>
      <c r="I27" s="279">
        <v>45900</v>
      </c>
      <c r="J27" s="16" t="s">
        <v>20</v>
      </c>
      <c r="K27" s="279">
        <f t="shared" ref="K27:K28" si="12">L27-3</f>
        <v>45907</v>
      </c>
      <c r="L27" s="279">
        <v>45910</v>
      </c>
      <c r="M27" s="16" t="s">
        <v>20</v>
      </c>
      <c r="N27" s="16" t="s">
        <v>20</v>
      </c>
      <c r="O27" s="16" t="s">
        <v>20</v>
      </c>
      <c r="P27" s="24" t="s">
        <v>618</v>
      </c>
      <c r="Q27" s="15"/>
      <c r="R27" s="24"/>
      <c r="S27" s="222"/>
      <c r="T27" s="24"/>
      <c r="U27" s="279"/>
      <c r="V27" s="279"/>
      <c r="W27" s="24"/>
      <c r="X27" s="279"/>
      <c r="Y27" s="279"/>
      <c r="Z27" s="24"/>
    </row>
    <row r="28" spans="1:26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9">
        <v>45897</v>
      </c>
      <c r="I28" s="279">
        <v>45900</v>
      </c>
      <c r="J28" s="16" t="s">
        <v>20</v>
      </c>
      <c r="K28" s="279">
        <f t="shared" si="12"/>
        <v>45908</v>
      </c>
      <c r="L28" s="279">
        <f>L27+1</f>
        <v>45911</v>
      </c>
      <c r="M28" s="16" t="s">
        <v>20</v>
      </c>
      <c r="N28" s="16" t="s">
        <v>20</v>
      </c>
      <c r="O28" s="16" t="s">
        <v>20</v>
      </c>
      <c r="P28" s="24" t="s">
        <v>618</v>
      </c>
      <c r="Q28" s="15"/>
      <c r="R28" s="24"/>
      <c r="S28" s="222"/>
      <c r="T28" s="24"/>
      <c r="U28" s="279"/>
      <c r="V28" s="279"/>
      <c r="W28" s="24"/>
      <c r="X28" s="279"/>
      <c r="Y28" s="279"/>
      <c r="Z28" s="24"/>
    </row>
    <row r="29" spans="1:26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9">
        <f>I29</f>
        <v>45946</v>
      </c>
      <c r="I29" s="279">
        <f>K29-1</f>
        <v>45946</v>
      </c>
      <c r="J29" s="16" t="s">
        <v>20</v>
      </c>
      <c r="K29" s="279">
        <f>L29-2</f>
        <v>45947</v>
      </c>
      <c r="L29" s="279">
        <v>45949</v>
      </c>
      <c r="M29" s="16" t="s">
        <v>20</v>
      </c>
      <c r="N29" s="16" t="s">
        <v>20</v>
      </c>
      <c r="O29" s="24"/>
      <c r="P29" s="24" t="s">
        <v>618</v>
      </c>
      <c r="Q29" s="15"/>
      <c r="R29" s="24"/>
      <c r="S29" s="222"/>
      <c r="T29" s="24"/>
      <c r="U29" s="279"/>
      <c r="V29" s="279"/>
      <c r="W29" s="24"/>
      <c r="X29" s="279"/>
      <c r="Y29" s="279"/>
      <c r="Z29" s="24"/>
    </row>
    <row r="30" spans="1:26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9">
        <v>46063</v>
      </c>
      <c r="I30" s="279">
        <v>46065</v>
      </c>
      <c r="J30" s="16" t="s">
        <v>20</v>
      </c>
      <c r="K30" s="279">
        <v>46066</v>
      </c>
      <c r="L30" s="279">
        <v>46067</v>
      </c>
      <c r="M30" s="16" t="s">
        <v>20</v>
      </c>
      <c r="N30" s="16" t="s">
        <v>20</v>
      </c>
      <c r="O30" s="24"/>
      <c r="P30" s="24" t="s">
        <v>618</v>
      </c>
      <c r="Q30" s="15"/>
      <c r="R30" s="24"/>
      <c r="S30" s="222"/>
      <c r="T30" s="24"/>
      <c r="U30" s="279"/>
      <c r="V30" s="279"/>
      <c r="W30" s="24"/>
      <c r="X30" s="279"/>
      <c r="Y30" s="279"/>
      <c r="Z30" s="24"/>
    </row>
    <row r="31" spans="1:26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9">
        <v>46062</v>
      </c>
      <c r="I31" s="279">
        <v>46063</v>
      </c>
      <c r="J31" s="16" t="s">
        <v>20</v>
      </c>
      <c r="K31" s="279">
        <v>46067</v>
      </c>
      <c r="L31" s="279">
        <v>46068</v>
      </c>
      <c r="M31" s="16" t="s">
        <v>20</v>
      </c>
      <c r="N31" s="16" t="s">
        <v>20</v>
      </c>
      <c r="O31" s="16" t="s">
        <v>20</v>
      </c>
      <c r="P31" s="24" t="s">
        <v>618</v>
      </c>
      <c r="Q31" s="15"/>
      <c r="R31" s="24"/>
      <c r="S31" s="222"/>
      <c r="T31" s="24"/>
      <c r="U31" s="279"/>
      <c r="V31" s="279"/>
      <c r="W31" s="24"/>
      <c r="X31" s="279"/>
      <c r="Y31" s="279"/>
      <c r="Z31" s="24"/>
    </row>
    <row r="32" spans="1:26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9">
        <v>46059</v>
      </c>
      <c r="I32" s="279">
        <v>46062</v>
      </c>
      <c r="J32" s="16" t="s">
        <v>20</v>
      </c>
      <c r="K32" s="279">
        <v>46062</v>
      </c>
      <c r="L32" s="279">
        <v>46063</v>
      </c>
      <c r="M32" s="16" t="s">
        <v>20</v>
      </c>
      <c r="N32" s="16" t="s">
        <v>20</v>
      </c>
      <c r="O32" s="16" t="s">
        <v>20</v>
      </c>
      <c r="P32" s="24" t="s">
        <v>618</v>
      </c>
      <c r="Q32" s="15"/>
      <c r="R32" s="24"/>
      <c r="S32" s="222"/>
      <c r="T32" s="24"/>
      <c r="U32" s="279"/>
      <c r="V32" s="279"/>
      <c r="W32" s="24"/>
      <c r="X32" s="279"/>
      <c r="Y32" s="279"/>
      <c r="Z32" s="24"/>
    </row>
    <row r="33" spans="1:26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9">
        <v>46050</v>
      </c>
      <c r="I33" s="279">
        <v>46057</v>
      </c>
      <c r="J33" s="16" t="s">
        <v>20</v>
      </c>
      <c r="K33" s="279">
        <v>46060</v>
      </c>
      <c r="L33" s="279">
        <v>46062</v>
      </c>
      <c r="M33" s="16" t="s">
        <v>20</v>
      </c>
      <c r="N33" s="16" t="s">
        <v>20</v>
      </c>
      <c r="O33" s="24"/>
      <c r="P33" s="24" t="s">
        <v>618</v>
      </c>
      <c r="Q33" s="25"/>
      <c r="R33" s="24"/>
      <c r="S33" s="222"/>
      <c r="T33" s="24"/>
      <c r="U33" s="279"/>
      <c r="V33" s="279"/>
      <c r="W33" s="24"/>
      <c r="X33" s="279"/>
      <c r="Y33" s="279"/>
      <c r="Z33" s="24"/>
    </row>
    <row r="34" spans="1:26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9">
        <v>46050</v>
      </c>
      <c r="I34" s="279">
        <v>46057</v>
      </c>
      <c r="J34" s="16" t="s">
        <v>20</v>
      </c>
      <c r="K34" s="279">
        <v>46057</v>
      </c>
      <c r="L34" s="279">
        <v>46059</v>
      </c>
      <c r="M34" s="16" t="s">
        <v>20</v>
      </c>
      <c r="N34" s="16" t="s">
        <v>20</v>
      </c>
      <c r="O34" s="24"/>
      <c r="P34" s="24" t="s">
        <v>618</v>
      </c>
      <c r="Q34" s="25"/>
      <c r="R34" s="24"/>
      <c r="S34" s="222"/>
      <c r="T34" s="24"/>
      <c r="U34" s="279"/>
      <c r="V34" s="279"/>
      <c r="W34" s="24"/>
      <c r="X34" s="279"/>
      <c r="Y34" s="279"/>
      <c r="Z34" s="24"/>
    </row>
    <row r="35" spans="1:26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9">
        <f>I35-2</f>
        <v>45922</v>
      </c>
      <c r="I35" s="279">
        <v>45924</v>
      </c>
      <c r="J35" s="16" t="s">
        <v>20</v>
      </c>
      <c r="K35" s="279">
        <f>L35-2</f>
        <v>45925</v>
      </c>
      <c r="L35" s="279">
        <v>45927</v>
      </c>
      <c r="M35" s="16" t="s">
        <v>20</v>
      </c>
      <c r="N35" s="16" t="s">
        <v>20</v>
      </c>
      <c r="O35" s="16" t="s">
        <v>20</v>
      </c>
      <c r="P35" s="24" t="s">
        <v>618</v>
      </c>
      <c r="Q35" s="25"/>
      <c r="R35" s="24"/>
      <c r="S35" s="222"/>
      <c r="T35" s="24"/>
      <c r="U35" s="279"/>
      <c r="V35" s="279"/>
      <c r="W35" s="24"/>
      <c r="X35" s="279"/>
      <c r="Y35" s="279"/>
      <c r="Z35" s="24"/>
    </row>
    <row r="36" spans="1:26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9">
        <f>I36</f>
        <v>45931</v>
      </c>
      <c r="I36" s="279">
        <v>45931</v>
      </c>
      <c r="J36" s="16" t="s">
        <v>20</v>
      </c>
      <c r="K36" s="279">
        <f t="shared" ref="K36:K38" si="13">L36-1</f>
        <v>45934</v>
      </c>
      <c r="L36" s="279">
        <v>45935</v>
      </c>
      <c r="M36" s="16" t="s">
        <v>20</v>
      </c>
      <c r="N36" s="16" t="s">
        <v>20</v>
      </c>
      <c r="O36" s="16" t="s">
        <v>20</v>
      </c>
      <c r="P36" s="24" t="s">
        <v>618</v>
      </c>
      <c r="Q36" s="25"/>
      <c r="R36" s="24"/>
      <c r="S36" s="222"/>
      <c r="T36" s="24"/>
      <c r="U36" s="279"/>
      <c r="V36" s="279"/>
      <c r="W36" s="24"/>
      <c r="X36" s="279"/>
      <c r="Y36" s="279"/>
      <c r="Z36" s="24"/>
    </row>
    <row r="37" spans="1:26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9">
        <f t="shared" ref="H37:I37" si="14">H36+2</f>
        <v>45933</v>
      </c>
      <c r="I37" s="279">
        <f t="shared" si="14"/>
        <v>45933</v>
      </c>
      <c r="J37" s="16" t="s">
        <v>20</v>
      </c>
      <c r="K37" s="279">
        <f t="shared" si="13"/>
        <v>45938</v>
      </c>
      <c r="L37" s="279">
        <v>45939</v>
      </c>
      <c r="M37" s="16" t="s">
        <v>20</v>
      </c>
      <c r="N37" s="16" t="s">
        <v>20</v>
      </c>
      <c r="O37" s="16" t="s">
        <v>20</v>
      </c>
      <c r="P37" s="24" t="s">
        <v>618</v>
      </c>
      <c r="Q37" s="25"/>
      <c r="R37" s="24"/>
      <c r="S37" s="222"/>
      <c r="T37" s="24"/>
      <c r="U37" s="279"/>
      <c r="V37" s="279"/>
      <c r="W37" s="24"/>
      <c r="X37" s="279"/>
      <c r="Y37" s="279"/>
      <c r="Z37" s="24"/>
    </row>
    <row r="38" spans="1:26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9">
        <f t="shared" ref="H38:I38" si="15">H37+1</f>
        <v>45934</v>
      </c>
      <c r="I38" s="279">
        <f t="shared" si="15"/>
        <v>45934</v>
      </c>
      <c r="J38" s="16" t="s">
        <v>20</v>
      </c>
      <c r="K38" s="279">
        <f t="shared" si="13"/>
        <v>45938</v>
      </c>
      <c r="L38" s="279">
        <v>45939</v>
      </c>
      <c r="M38" s="16" t="s">
        <v>20</v>
      </c>
      <c r="N38" s="16" t="s">
        <v>20</v>
      </c>
      <c r="O38" s="16" t="s">
        <v>20</v>
      </c>
      <c r="P38" s="24" t="s">
        <v>618</v>
      </c>
      <c r="Q38" s="25"/>
      <c r="R38" s="24"/>
      <c r="S38" s="222"/>
      <c r="T38" s="24"/>
      <c r="U38" s="279"/>
      <c r="V38" s="279"/>
      <c r="W38" s="24"/>
      <c r="X38" s="279"/>
      <c r="Y38" s="279"/>
      <c r="Z38" s="24"/>
    </row>
    <row r="39" spans="1:26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/>
      <c r="F39" s="16"/>
      <c r="G39" s="16"/>
      <c r="H39" s="429"/>
      <c r="I39" s="279"/>
      <c r="J39" s="16"/>
      <c r="K39" s="279"/>
      <c r="L39" s="279"/>
      <c r="M39" s="16"/>
      <c r="N39" s="16"/>
      <c r="O39" s="24"/>
      <c r="P39" s="100"/>
      <c r="Q39" s="25"/>
      <c r="R39" s="24"/>
      <c r="S39" s="222"/>
      <c r="T39" s="24"/>
      <c r="U39" s="279"/>
      <c r="V39" s="279"/>
      <c r="W39" s="24"/>
      <c r="X39" s="279"/>
      <c r="Y39" s="279"/>
      <c r="Z39" s="24"/>
    </row>
    <row r="40" spans="1:26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9">
        <v>46086</v>
      </c>
      <c r="I40" s="429">
        <v>46087</v>
      </c>
      <c r="J40" s="16" t="s">
        <v>20</v>
      </c>
      <c r="K40" s="279">
        <v>46088</v>
      </c>
      <c r="L40" s="279">
        <v>46089</v>
      </c>
      <c r="M40" s="16" t="s">
        <v>20</v>
      </c>
      <c r="N40" s="16" t="s">
        <v>20</v>
      </c>
      <c r="O40" s="16" t="s">
        <v>20</v>
      </c>
      <c r="P40" s="24" t="s">
        <v>618</v>
      </c>
      <c r="Q40" s="25"/>
      <c r="R40" s="24"/>
      <c r="S40" s="222"/>
      <c r="T40" s="24"/>
      <c r="U40" s="279"/>
      <c r="V40" s="279"/>
      <c r="W40" s="24"/>
      <c r="X40" s="279"/>
      <c r="Y40" s="279"/>
      <c r="Z40" s="24"/>
    </row>
    <row r="41" spans="1:26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9">
        <v>46083</v>
      </c>
      <c r="I41" s="279">
        <v>46086</v>
      </c>
      <c r="J41" s="16" t="s">
        <v>20</v>
      </c>
      <c r="K41" s="279">
        <v>46089</v>
      </c>
      <c r="L41" s="279">
        <v>46090</v>
      </c>
      <c r="M41" s="16" t="s">
        <v>20</v>
      </c>
      <c r="N41" s="16" t="s">
        <v>20</v>
      </c>
      <c r="O41" s="16" t="s">
        <v>20</v>
      </c>
      <c r="P41" s="24" t="s">
        <v>618</v>
      </c>
      <c r="Q41" s="25"/>
      <c r="R41" s="24"/>
      <c r="S41" s="222"/>
      <c r="T41" s="24"/>
      <c r="U41" s="279"/>
      <c r="V41" s="279"/>
      <c r="W41" s="24"/>
      <c r="X41" s="279"/>
      <c r="Y41" s="279"/>
      <c r="Z41" s="24"/>
    </row>
    <row r="42" spans="1:26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9">
        <v>46068</v>
      </c>
      <c r="I42" s="429">
        <v>46072</v>
      </c>
      <c r="J42" s="16" t="s">
        <v>20</v>
      </c>
      <c r="K42" s="279" t="s">
        <v>735</v>
      </c>
      <c r="L42" s="279" t="s">
        <v>735</v>
      </c>
      <c r="M42" s="16" t="s">
        <v>20</v>
      </c>
      <c r="N42" s="16" t="s">
        <v>20</v>
      </c>
      <c r="O42" s="24"/>
      <c r="P42" s="24" t="s">
        <v>618</v>
      </c>
      <c r="Q42" s="15"/>
      <c r="R42" s="24"/>
      <c r="S42" s="222"/>
      <c r="T42" s="15"/>
      <c r="U42" s="279"/>
      <c r="V42" s="279"/>
      <c r="W42" s="24"/>
      <c r="X42" s="279"/>
      <c r="Y42" s="279"/>
      <c r="Z42" s="24"/>
    </row>
    <row r="43" spans="1:26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9">
        <v>46068</v>
      </c>
      <c r="I43" s="429">
        <v>46072</v>
      </c>
      <c r="J43" s="16" t="s">
        <v>20</v>
      </c>
      <c r="K43" s="279" t="s">
        <v>734</v>
      </c>
      <c r="L43" s="279" t="s">
        <v>734</v>
      </c>
      <c r="M43" s="16" t="s">
        <v>20</v>
      </c>
      <c r="N43" s="16" t="s">
        <v>20</v>
      </c>
      <c r="O43" s="15"/>
      <c r="P43" s="24" t="s">
        <v>618</v>
      </c>
      <c r="Q43" s="35"/>
      <c r="R43" s="35"/>
      <c r="S43" s="223"/>
      <c r="T43" s="15"/>
      <c r="U43" s="279"/>
      <c r="V43" s="279"/>
      <c r="W43" s="24"/>
      <c r="X43" s="279"/>
      <c r="Y43" s="279"/>
      <c r="Z43" s="24"/>
    </row>
    <row r="44" spans="1:26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9">
        <v>46068</v>
      </c>
      <c r="I44" s="429">
        <v>46072</v>
      </c>
      <c r="J44" s="16"/>
      <c r="K44" s="279"/>
      <c r="L44" s="279"/>
      <c r="M44" s="24"/>
      <c r="N44" s="131"/>
      <c r="O44" s="15"/>
      <c r="P44" s="100"/>
      <c r="Q44" s="35"/>
      <c r="R44" s="24"/>
      <c r="S44" s="222"/>
      <c r="T44" s="15"/>
      <c r="U44" s="279"/>
      <c r="V44" s="279"/>
      <c r="W44" s="24"/>
      <c r="X44" s="279"/>
      <c r="Y44" s="279"/>
      <c r="Z44" s="24"/>
    </row>
    <row r="45" spans="1:26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/>
      <c r="G45" s="16" t="s">
        <v>20</v>
      </c>
      <c r="H45" s="429">
        <v>46068</v>
      </c>
      <c r="I45" s="429">
        <v>46072</v>
      </c>
      <c r="J45" s="15"/>
      <c r="K45" s="279"/>
      <c r="L45" s="279"/>
      <c r="M45" s="24"/>
      <c r="N45" s="131"/>
      <c r="O45" s="15"/>
      <c r="P45" s="100"/>
      <c r="Q45" s="35"/>
      <c r="R45" s="24"/>
      <c r="S45" s="222"/>
      <c r="T45" s="15"/>
      <c r="U45" s="279"/>
      <c r="V45" s="279"/>
      <c r="W45" s="24"/>
      <c r="X45" s="279"/>
      <c r="Y45" s="279"/>
      <c r="Z45" s="24"/>
    </row>
    <row r="46" spans="1:26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/>
      <c r="G46" s="16" t="s">
        <v>20</v>
      </c>
      <c r="H46" s="429">
        <v>46068</v>
      </c>
      <c r="I46" s="429">
        <v>46072</v>
      </c>
      <c r="J46" s="16"/>
      <c r="K46" s="279"/>
      <c r="L46" s="279"/>
      <c r="M46" s="16"/>
      <c r="N46" s="16"/>
      <c r="O46" s="16"/>
      <c r="P46" s="100"/>
      <c r="Q46" s="35"/>
      <c r="R46" s="24"/>
      <c r="S46" s="222"/>
      <c r="T46" s="15"/>
      <c r="U46" s="279"/>
      <c r="V46" s="279"/>
      <c r="W46" s="24"/>
      <c r="X46" s="279"/>
      <c r="Y46" s="279"/>
      <c r="Z46" s="24"/>
    </row>
    <row r="47" spans="1:26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9">
        <f t="shared" ref="H47:H49" si="16">I47-3</f>
        <v>45972</v>
      </c>
      <c r="I47" s="279">
        <f t="shared" ref="I47:I49" si="17">K47-1</f>
        <v>45975</v>
      </c>
      <c r="J47" s="16" t="s">
        <v>20</v>
      </c>
      <c r="K47" s="279">
        <f t="shared" ref="K47:K49" si="18">L47-3</f>
        <v>45976</v>
      </c>
      <c r="L47" s="279">
        <v>45979</v>
      </c>
      <c r="M47" s="16" t="s">
        <v>20</v>
      </c>
      <c r="N47" s="16" t="s">
        <v>20</v>
      </c>
      <c r="O47" s="16" t="s">
        <v>20</v>
      </c>
      <c r="P47" s="24" t="s">
        <v>618</v>
      </c>
      <c r="Q47" s="35"/>
      <c r="R47" s="24"/>
      <c r="S47" s="222"/>
      <c r="T47" s="15"/>
      <c r="U47" s="279"/>
      <c r="V47" s="279"/>
      <c r="W47" s="15"/>
      <c r="X47" s="279"/>
      <c r="Y47" s="279"/>
      <c r="Z47" s="18"/>
    </row>
    <row r="48" spans="1:26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9">
        <f t="shared" si="16"/>
        <v>45972</v>
      </c>
      <c r="I48" s="279">
        <f t="shared" si="17"/>
        <v>45975</v>
      </c>
      <c r="J48" s="16" t="s">
        <v>20</v>
      </c>
      <c r="K48" s="279">
        <f t="shared" si="18"/>
        <v>45976</v>
      </c>
      <c r="L48" s="279">
        <v>45979</v>
      </c>
      <c r="M48" s="16" t="s">
        <v>20</v>
      </c>
      <c r="N48" s="16" t="s">
        <v>20</v>
      </c>
      <c r="O48" s="16" t="s">
        <v>20</v>
      </c>
      <c r="P48" s="24" t="s">
        <v>618</v>
      </c>
      <c r="Q48" s="35"/>
      <c r="R48" s="24"/>
      <c r="S48" s="222"/>
      <c r="T48" s="15"/>
      <c r="U48" s="279"/>
      <c r="V48" s="279"/>
      <c r="W48" s="15"/>
      <c r="X48" s="279"/>
      <c r="Y48" s="279"/>
      <c r="Z48" s="18"/>
    </row>
    <row r="49" spans="1:26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9">
        <f t="shared" si="16"/>
        <v>45972</v>
      </c>
      <c r="I49" s="279">
        <f t="shared" si="17"/>
        <v>45975</v>
      </c>
      <c r="J49" s="16" t="s">
        <v>20</v>
      </c>
      <c r="K49" s="279">
        <f t="shared" si="18"/>
        <v>45976</v>
      </c>
      <c r="L49" s="279">
        <v>45979</v>
      </c>
      <c r="M49" s="16" t="s">
        <v>20</v>
      </c>
      <c r="N49" s="16" t="s">
        <v>20</v>
      </c>
      <c r="O49" s="16" t="s">
        <v>20</v>
      </c>
      <c r="P49" s="24" t="s">
        <v>618</v>
      </c>
      <c r="Q49" s="35"/>
      <c r="R49" s="24"/>
      <c r="S49" s="222"/>
      <c r="T49" s="15"/>
      <c r="U49" s="279"/>
      <c r="V49" s="279"/>
      <c r="W49" s="15"/>
      <c r="X49" s="279"/>
      <c r="Y49" s="279"/>
      <c r="Z49" s="18"/>
    </row>
    <row r="50" spans="1:26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9">
        <v>46073</v>
      </c>
      <c r="I50" s="279">
        <v>46075</v>
      </c>
      <c r="J50" s="15" t="s">
        <v>20</v>
      </c>
      <c r="K50" s="279">
        <v>46077</v>
      </c>
      <c r="L50" s="279">
        <v>46077</v>
      </c>
      <c r="M50" s="16" t="s">
        <v>20</v>
      </c>
      <c r="N50" s="16" t="s">
        <v>20</v>
      </c>
      <c r="O50" s="16" t="s">
        <v>20</v>
      </c>
      <c r="P50" s="100"/>
      <c r="Q50" s="35"/>
      <c r="R50" s="24"/>
      <c r="S50" s="222"/>
      <c r="T50" s="15"/>
      <c r="U50" s="279"/>
      <c r="V50" s="279"/>
      <c r="W50" s="15"/>
      <c r="X50" s="279"/>
      <c r="Y50" s="279"/>
      <c r="Z50" s="18"/>
    </row>
    <row r="51" spans="1:26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9">
        <v>46073</v>
      </c>
      <c r="I51" s="279">
        <v>46076</v>
      </c>
      <c r="J51" s="15" t="s">
        <v>20</v>
      </c>
      <c r="K51" s="279">
        <v>46078</v>
      </c>
      <c r="L51" s="279">
        <v>46078</v>
      </c>
      <c r="M51" s="16" t="s">
        <v>20</v>
      </c>
      <c r="N51" s="16" t="s">
        <v>20</v>
      </c>
      <c r="O51" s="16" t="s">
        <v>20</v>
      </c>
      <c r="P51" s="100"/>
      <c r="Q51" s="35"/>
      <c r="R51" s="24"/>
      <c r="S51" s="222"/>
      <c r="T51" s="15"/>
      <c r="U51" s="279"/>
      <c r="V51" s="279"/>
      <c r="W51" s="15"/>
      <c r="X51" s="279"/>
      <c r="Y51" s="279"/>
      <c r="Z51" s="18"/>
    </row>
    <row r="52" spans="1:26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9">
        <f>I52-2</f>
        <v>45978</v>
      </c>
      <c r="I52" s="279">
        <v>45980</v>
      </c>
      <c r="J52" s="16" t="s">
        <v>20</v>
      </c>
      <c r="K52" s="279">
        <f>L52-1</f>
        <v>45983</v>
      </c>
      <c r="L52" s="279">
        <v>45984</v>
      </c>
      <c r="M52" s="16" t="s">
        <v>20</v>
      </c>
      <c r="N52" s="16" t="s">
        <v>20</v>
      </c>
      <c r="O52" s="16" t="s">
        <v>20</v>
      </c>
      <c r="P52" s="24" t="s">
        <v>618</v>
      </c>
      <c r="Q52" s="35"/>
      <c r="R52" s="24"/>
      <c r="S52" s="222"/>
      <c r="T52" s="15"/>
      <c r="U52" s="279"/>
      <c r="V52" s="279"/>
      <c r="W52" s="15"/>
      <c r="X52" s="279"/>
      <c r="Y52" s="279"/>
      <c r="Z52" s="18"/>
    </row>
    <row r="53" spans="1:26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9">
        <f t="shared" ref="H53:H55" si="19">I53-4</f>
        <v>45966</v>
      </c>
      <c r="I53" s="279">
        <v>45970</v>
      </c>
      <c r="J53" s="16" t="s">
        <v>20</v>
      </c>
      <c r="K53" s="279">
        <f t="shared" ref="K53:K55" si="20">L53-2</f>
        <v>45972</v>
      </c>
      <c r="L53" s="279">
        <v>45974</v>
      </c>
      <c r="M53" s="16" t="s">
        <v>20</v>
      </c>
      <c r="N53" s="16" t="s">
        <v>20</v>
      </c>
      <c r="O53" s="16" t="s">
        <v>20</v>
      </c>
      <c r="P53" s="24" t="s">
        <v>618</v>
      </c>
      <c r="Q53" s="35"/>
      <c r="R53" s="24"/>
      <c r="S53" s="222"/>
      <c r="T53" s="15" t="s">
        <v>20</v>
      </c>
      <c r="U53" s="279">
        <v>46008</v>
      </c>
      <c r="V53" s="279">
        <v>46011</v>
      </c>
      <c r="W53" s="15" t="s">
        <v>20</v>
      </c>
      <c r="X53" s="279">
        <v>46012</v>
      </c>
      <c r="Y53" s="279">
        <v>46012</v>
      </c>
      <c r="Z53" s="18"/>
    </row>
    <row r="54" spans="1:26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9">
        <f t="shared" si="19"/>
        <v>45966</v>
      </c>
      <c r="I54" s="279">
        <v>45970</v>
      </c>
      <c r="J54" s="16" t="s">
        <v>20</v>
      </c>
      <c r="K54" s="279">
        <f t="shared" si="20"/>
        <v>45970</v>
      </c>
      <c r="L54" s="279">
        <v>45972</v>
      </c>
      <c r="M54" s="16" t="s">
        <v>20</v>
      </c>
      <c r="N54" s="16" t="s">
        <v>20</v>
      </c>
      <c r="O54" s="16" t="s">
        <v>20</v>
      </c>
      <c r="P54" s="24" t="s">
        <v>618</v>
      </c>
      <c r="Q54" s="35"/>
      <c r="R54" s="24"/>
      <c r="S54" s="222"/>
      <c r="T54" s="15" t="s">
        <v>20</v>
      </c>
      <c r="U54" s="279">
        <v>46008</v>
      </c>
      <c r="V54" s="279">
        <v>46011</v>
      </c>
      <c r="W54" s="15" t="s">
        <v>20</v>
      </c>
      <c r="X54" s="279">
        <v>46012</v>
      </c>
      <c r="Y54" s="279">
        <v>46012</v>
      </c>
      <c r="Z54" s="18"/>
    </row>
    <row r="55" spans="1:26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9">
        <f t="shared" si="19"/>
        <v>45966</v>
      </c>
      <c r="I55" s="279">
        <v>45970</v>
      </c>
      <c r="J55" s="16" t="s">
        <v>20</v>
      </c>
      <c r="K55" s="279">
        <f t="shared" si="20"/>
        <v>45970</v>
      </c>
      <c r="L55" s="279">
        <v>45972</v>
      </c>
      <c r="M55" s="16" t="s">
        <v>20</v>
      </c>
      <c r="N55" s="16" t="s">
        <v>20</v>
      </c>
      <c r="O55" s="16" t="s">
        <v>20</v>
      </c>
      <c r="P55" s="24" t="s">
        <v>618</v>
      </c>
      <c r="Q55" s="35"/>
      <c r="R55" s="24"/>
      <c r="S55" s="222"/>
      <c r="T55" s="15" t="s">
        <v>20</v>
      </c>
      <c r="U55" s="279">
        <v>46008</v>
      </c>
      <c r="V55" s="279">
        <v>46011</v>
      </c>
      <c r="W55" s="15" t="s">
        <v>20</v>
      </c>
      <c r="X55" s="279">
        <v>46012</v>
      </c>
      <c r="Y55" s="279">
        <v>46012</v>
      </c>
      <c r="Z55" s="24"/>
    </row>
    <row r="56" spans="1:26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9">
        <v>45956</v>
      </c>
      <c r="I56" s="279">
        <f>H56+1</f>
        <v>45957</v>
      </c>
      <c r="J56" s="16" t="s">
        <v>20</v>
      </c>
      <c r="K56" s="279">
        <f>I56+1</f>
        <v>45958</v>
      </c>
      <c r="L56" s="279">
        <f t="shared" ref="L56:L57" si="21">K56+1</f>
        <v>45959</v>
      </c>
      <c r="M56" s="16" t="s">
        <v>20</v>
      </c>
      <c r="N56" s="16" t="s">
        <v>20</v>
      </c>
      <c r="O56" s="16" t="s">
        <v>20</v>
      </c>
      <c r="P56" s="24" t="s">
        <v>618</v>
      </c>
      <c r="Q56" s="35"/>
      <c r="R56" s="24"/>
      <c r="S56" s="222"/>
      <c r="T56" s="15" t="s">
        <v>20</v>
      </c>
      <c r="U56" s="279">
        <v>46008</v>
      </c>
      <c r="V56" s="279">
        <v>46011</v>
      </c>
      <c r="W56" s="15" t="s">
        <v>20</v>
      </c>
      <c r="X56" s="279">
        <v>46012</v>
      </c>
      <c r="Y56" s="279">
        <v>46012</v>
      </c>
      <c r="Z56" s="24"/>
    </row>
    <row r="57" spans="1:26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9">
        <f>I57-4</f>
        <v>45926</v>
      </c>
      <c r="I57" s="279">
        <v>45930</v>
      </c>
      <c r="J57" s="16" t="s">
        <v>20</v>
      </c>
      <c r="K57" s="279">
        <v>45956</v>
      </c>
      <c r="L57" s="279">
        <f t="shared" si="21"/>
        <v>45957</v>
      </c>
      <c r="M57" s="16" t="s">
        <v>20</v>
      </c>
      <c r="N57" s="16" t="s">
        <v>20</v>
      </c>
      <c r="O57" s="16" t="s">
        <v>20</v>
      </c>
      <c r="P57" s="24" t="s">
        <v>618</v>
      </c>
      <c r="Q57" s="35"/>
      <c r="R57" s="24"/>
      <c r="S57" s="222"/>
      <c r="T57" s="15" t="s">
        <v>20</v>
      </c>
      <c r="U57" s="279">
        <v>46008</v>
      </c>
      <c r="V57" s="279">
        <v>46011</v>
      </c>
      <c r="W57" s="15" t="s">
        <v>20</v>
      </c>
      <c r="X57" s="279">
        <v>46012</v>
      </c>
      <c r="Y57" s="279">
        <v>46012</v>
      </c>
      <c r="Z57" s="24"/>
    </row>
    <row r="58" spans="1:26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9">
        <f t="shared" ref="H58:H59" si="22">I58-2</f>
        <v>45940</v>
      </c>
      <c r="I58" s="279">
        <v>45942</v>
      </c>
      <c r="J58" s="16" t="s">
        <v>20</v>
      </c>
      <c r="K58" s="279">
        <f t="shared" ref="K58:K60" si="23">L58-2</f>
        <v>45942</v>
      </c>
      <c r="L58" s="279">
        <v>45944</v>
      </c>
      <c r="M58" s="16" t="s">
        <v>20</v>
      </c>
      <c r="N58" s="16" t="s">
        <v>20</v>
      </c>
      <c r="O58" s="16" t="s">
        <v>20</v>
      </c>
      <c r="P58" s="24" t="s">
        <v>618</v>
      </c>
      <c r="Q58" s="35"/>
      <c r="R58" s="24"/>
      <c r="S58" s="222"/>
      <c r="T58" s="15" t="s">
        <v>20</v>
      </c>
      <c r="U58" s="279">
        <v>46017</v>
      </c>
      <c r="V58" s="279">
        <v>46018</v>
      </c>
      <c r="W58" s="15" t="s">
        <v>20</v>
      </c>
      <c r="X58" s="279">
        <v>46019</v>
      </c>
      <c r="Y58" s="279">
        <v>46019</v>
      </c>
      <c r="Z58" s="24"/>
    </row>
    <row r="59" spans="1:26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9">
        <f t="shared" si="22"/>
        <v>45940</v>
      </c>
      <c r="I59" s="279">
        <v>45942</v>
      </c>
      <c r="J59" s="16" t="s">
        <v>20</v>
      </c>
      <c r="K59" s="279">
        <f t="shared" si="23"/>
        <v>45942</v>
      </c>
      <c r="L59" s="279">
        <v>45944</v>
      </c>
      <c r="M59" s="16" t="s">
        <v>20</v>
      </c>
      <c r="N59" s="16" t="s">
        <v>20</v>
      </c>
      <c r="O59" s="16" t="s">
        <v>20</v>
      </c>
      <c r="P59" s="24" t="s">
        <v>618</v>
      </c>
      <c r="Q59" s="25"/>
      <c r="R59" s="24"/>
      <c r="S59" s="222"/>
      <c r="T59" s="15" t="s">
        <v>20</v>
      </c>
      <c r="U59" s="279">
        <v>46017</v>
      </c>
      <c r="V59" s="279">
        <v>46018</v>
      </c>
      <c r="W59" s="15" t="s">
        <v>20</v>
      </c>
      <c r="X59" s="279">
        <v>46019</v>
      </c>
      <c r="Y59" s="279">
        <v>46019</v>
      </c>
      <c r="Z59" s="24"/>
    </row>
    <row r="60" spans="1:26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9">
        <f>I60</f>
        <v>45931</v>
      </c>
      <c r="I60" s="279">
        <v>45931</v>
      </c>
      <c r="J60" s="16" t="s">
        <v>20</v>
      </c>
      <c r="K60" s="279">
        <f t="shared" si="23"/>
        <v>45938</v>
      </c>
      <c r="L60" s="279">
        <v>45940</v>
      </c>
      <c r="M60" s="16" t="s">
        <v>20</v>
      </c>
      <c r="N60" s="16" t="s">
        <v>20</v>
      </c>
      <c r="O60" s="16" t="s">
        <v>20</v>
      </c>
      <c r="P60" s="24" t="s">
        <v>618</v>
      </c>
      <c r="Q60" s="25"/>
      <c r="R60" s="24"/>
      <c r="S60" s="222"/>
      <c r="T60" s="15" t="s">
        <v>20</v>
      </c>
      <c r="U60" s="279">
        <v>46017</v>
      </c>
      <c r="V60" s="279">
        <v>46018</v>
      </c>
      <c r="W60" s="15" t="s">
        <v>20</v>
      </c>
      <c r="X60" s="279">
        <v>46019</v>
      </c>
      <c r="Y60" s="279">
        <v>46019</v>
      </c>
      <c r="Z60" s="24"/>
    </row>
    <row r="61" spans="1:26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9">
        <v>46009</v>
      </c>
      <c r="I61" s="279">
        <v>46011</v>
      </c>
      <c r="J61" s="16" t="s">
        <v>20</v>
      </c>
      <c r="K61" s="279">
        <v>46015</v>
      </c>
      <c r="L61" s="279">
        <v>46018</v>
      </c>
      <c r="M61" s="16" t="s">
        <v>20</v>
      </c>
      <c r="N61" s="16" t="s">
        <v>20</v>
      </c>
      <c r="O61" s="16" t="s">
        <v>20</v>
      </c>
      <c r="P61" s="24" t="s">
        <v>618</v>
      </c>
      <c r="Q61" s="25"/>
      <c r="R61" s="24"/>
      <c r="S61" s="222"/>
      <c r="T61" s="15" t="s">
        <v>20</v>
      </c>
      <c r="U61" s="279">
        <v>46017</v>
      </c>
      <c r="V61" s="279">
        <v>46018</v>
      </c>
      <c r="W61" s="15" t="s">
        <v>20</v>
      </c>
      <c r="X61" s="279">
        <v>46019</v>
      </c>
      <c r="Y61" s="279">
        <v>46019</v>
      </c>
      <c r="Z61" s="24"/>
    </row>
    <row r="62" spans="1:26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9">
        <v>46009</v>
      </c>
      <c r="I62" s="279">
        <v>46011</v>
      </c>
      <c r="J62" s="16" t="s">
        <v>20</v>
      </c>
      <c r="K62" s="279">
        <v>46015</v>
      </c>
      <c r="L62" s="279">
        <v>46018</v>
      </c>
      <c r="M62" s="16" t="s">
        <v>20</v>
      </c>
      <c r="N62" s="16" t="s">
        <v>20</v>
      </c>
      <c r="O62" s="16" t="s">
        <v>20</v>
      </c>
      <c r="P62" s="24" t="s">
        <v>618</v>
      </c>
      <c r="Q62" s="25"/>
      <c r="R62" s="24"/>
      <c r="S62" s="222"/>
      <c r="T62" s="15" t="s">
        <v>20</v>
      </c>
      <c r="U62" s="279">
        <v>46017</v>
      </c>
      <c r="V62" s="279">
        <v>46018</v>
      </c>
      <c r="W62" s="15" t="s">
        <v>20</v>
      </c>
      <c r="X62" s="279">
        <v>46019</v>
      </c>
      <c r="Y62" s="279">
        <v>46019</v>
      </c>
      <c r="Z62" s="24"/>
    </row>
    <row r="63" spans="1:26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9">
        <v>46009</v>
      </c>
      <c r="I63" s="279">
        <v>46011</v>
      </c>
      <c r="J63" s="16" t="s">
        <v>20</v>
      </c>
      <c r="K63" s="279">
        <v>46012</v>
      </c>
      <c r="L63" s="279">
        <v>46018</v>
      </c>
      <c r="M63" s="16" t="s">
        <v>20</v>
      </c>
      <c r="N63" s="16" t="s">
        <v>20</v>
      </c>
      <c r="O63" s="16" t="s">
        <v>20</v>
      </c>
      <c r="P63" s="24" t="s">
        <v>618</v>
      </c>
      <c r="Q63" s="25"/>
      <c r="R63" s="24"/>
      <c r="S63" s="222"/>
      <c r="T63" s="15" t="s">
        <v>20</v>
      </c>
      <c r="U63" s="279">
        <v>46017</v>
      </c>
      <c r="V63" s="279">
        <v>46018</v>
      </c>
      <c r="W63" s="15" t="s">
        <v>20</v>
      </c>
      <c r="X63" s="279">
        <v>46019</v>
      </c>
      <c r="Y63" s="279">
        <v>46019</v>
      </c>
      <c r="Z63" s="24"/>
    </row>
    <row r="64" spans="1:26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9">
        <v>46004</v>
      </c>
      <c r="I64" s="279">
        <v>46006</v>
      </c>
      <c r="J64" s="16" t="s">
        <v>20</v>
      </c>
      <c r="K64" s="279">
        <v>46013</v>
      </c>
      <c r="L64" s="279">
        <v>46014</v>
      </c>
      <c r="M64" s="16" t="s">
        <v>20</v>
      </c>
      <c r="N64" s="16" t="s">
        <v>20</v>
      </c>
      <c r="O64" s="16"/>
      <c r="P64" s="24" t="s">
        <v>618</v>
      </c>
      <c r="Q64" s="25"/>
      <c r="R64" s="24"/>
      <c r="S64" s="222"/>
      <c r="T64" s="15" t="s">
        <v>20</v>
      </c>
      <c r="U64" s="279">
        <v>46013</v>
      </c>
      <c r="V64" s="279">
        <v>46015</v>
      </c>
      <c r="W64" s="15" t="s">
        <v>20</v>
      </c>
      <c r="X64" s="279">
        <v>46016</v>
      </c>
      <c r="Y64" s="279">
        <v>46016</v>
      </c>
      <c r="Z64" s="24"/>
    </row>
    <row r="65" spans="1:26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9">
        <v>45825</v>
      </c>
      <c r="I65" s="279">
        <v>45833</v>
      </c>
      <c r="J65" s="16" t="s">
        <v>20</v>
      </c>
      <c r="K65" s="279">
        <v>45828</v>
      </c>
      <c r="L65" s="279">
        <v>45837</v>
      </c>
      <c r="M65" s="16" t="s">
        <v>20</v>
      </c>
      <c r="N65" s="16" t="s">
        <v>20</v>
      </c>
      <c r="O65" s="16" t="s">
        <v>20</v>
      </c>
      <c r="P65" s="24" t="s">
        <v>620</v>
      </c>
      <c r="Q65" s="25"/>
      <c r="R65" s="24"/>
      <c r="S65" s="222"/>
      <c r="T65" s="16" t="s">
        <v>20</v>
      </c>
      <c r="U65" s="279">
        <f t="shared" ref="U65:U67" si="24">V65-2</f>
        <v>45928</v>
      </c>
      <c r="V65" s="279">
        <f t="shared" ref="V65:V67" si="25">X65-1</f>
        <v>45930</v>
      </c>
      <c r="W65" s="16" t="s">
        <v>20</v>
      </c>
      <c r="X65" s="279">
        <f t="shared" ref="X65:X66" si="26">Y65-1</f>
        <v>45931</v>
      </c>
      <c r="Y65" s="279">
        <f t="shared" ref="Y65:Y66" si="27">X66-1</f>
        <v>45932</v>
      </c>
      <c r="Z65" s="24"/>
    </row>
    <row r="66" spans="1:26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9">
        <v>45838</v>
      </c>
      <c r="I66" s="279">
        <v>45844</v>
      </c>
      <c r="J66" s="16" t="s">
        <v>20</v>
      </c>
      <c r="K66" s="279">
        <v>45846</v>
      </c>
      <c r="L66" s="279">
        <v>45849</v>
      </c>
      <c r="M66" s="16" t="s">
        <v>20</v>
      </c>
      <c r="N66" s="16" t="s">
        <v>20</v>
      </c>
      <c r="O66" s="16" t="s">
        <v>20</v>
      </c>
      <c r="P66" s="24" t="s">
        <v>618</v>
      </c>
      <c r="Q66" s="25"/>
      <c r="R66" s="24"/>
      <c r="S66" s="222"/>
      <c r="T66" s="16" t="s">
        <v>20</v>
      </c>
      <c r="U66" s="279">
        <f t="shared" si="24"/>
        <v>45930</v>
      </c>
      <c r="V66" s="279">
        <f t="shared" si="25"/>
        <v>45932</v>
      </c>
      <c r="W66" s="16" t="s">
        <v>20</v>
      </c>
      <c r="X66" s="279">
        <f t="shared" si="26"/>
        <v>45933</v>
      </c>
      <c r="Y66" s="279">
        <f t="shared" si="27"/>
        <v>45934</v>
      </c>
      <c r="Z66" s="24"/>
    </row>
    <row r="67" spans="1:26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9">
        <v>45838</v>
      </c>
      <c r="I67" s="279">
        <v>45844</v>
      </c>
      <c r="J67" s="16" t="s">
        <v>20</v>
      </c>
      <c r="K67" s="279">
        <v>45846</v>
      </c>
      <c r="L67" s="279">
        <v>45849</v>
      </c>
      <c r="M67" s="16" t="s">
        <v>20</v>
      </c>
      <c r="N67" s="16" t="s">
        <v>20</v>
      </c>
      <c r="O67" s="16" t="s">
        <v>20</v>
      </c>
      <c r="P67" s="24" t="s">
        <v>618</v>
      </c>
      <c r="Q67" s="25"/>
      <c r="R67" s="25"/>
      <c r="S67" s="224"/>
      <c r="T67" s="16" t="s">
        <v>20</v>
      </c>
      <c r="U67" s="279">
        <f t="shared" si="24"/>
        <v>45932</v>
      </c>
      <c r="V67" s="279">
        <f t="shared" si="25"/>
        <v>45934</v>
      </c>
      <c r="W67" s="16" t="s">
        <v>20</v>
      </c>
      <c r="X67" s="279">
        <f>Y67-2</f>
        <v>45935</v>
      </c>
      <c r="Y67" s="279">
        <v>45937</v>
      </c>
      <c r="Z67" s="24"/>
    </row>
    <row r="68" spans="1:26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9">
        <v>45852</v>
      </c>
      <c r="I68" s="279">
        <v>45853</v>
      </c>
      <c r="J68" s="16" t="s">
        <v>20</v>
      </c>
      <c r="K68" s="279">
        <v>45854</v>
      </c>
      <c r="L68" s="279">
        <v>45856</v>
      </c>
      <c r="M68" s="16" t="s">
        <v>20</v>
      </c>
      <c r="N68" s="16" t="s">
        <v>20</v>
      </c>
      <c r="O68" s="16" t="s">
        <v>20</v>
      </c>
      <c r="P68" s="182" t="s">
        <v>618</v>
      </c>
      <c r="Q68" s="25"/>
      <c r="R68" s="25"/>
      <c r="S68" s="224"/>
      <c r="T68" s="16" t="s">
        <v>20</v>
      </c>
      <c r="U68" s="279">
        <v>45938</v>
      </c>
      <c r="V68" s="279">
        <f>U68+1</f>
        <v>45939</v>
      </c>
      <c r="W68" s="16" t="s">
        <v>20</v>
      </c>
      <c r="X68" s="279">
        <f>V68+1</f>
        <v>45940</v>
      </c>
      <c r="Y68" s="279">
        <f>X68+1</f>
        <v>45941</v>
      </c>
      <c r="Z68" s="24"/>
    </row>
    <row r="69" spans="1:26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9">
        <v>45858</v>
      </c>
      <c r="I69" s="279">
        <v>45859</v>
      </c>
      <c r="J69" s="16" t="s">
        <v>20</v>
      </c>
      <c r="K69" s="279">
        <v>45859</v>
      </c>
      <c r="L69" s="279">
        <v>45860</v>
      </c>
      <c r="M69" s="16" t="s">
        <v>20</v>
      </c>
      <c r="N69" s="16" t="s">
        <v>20</v>
      </c>
      <c r="O69" s="16" t="s">
        <v>20</v>
      </c>
      <c r="P69" s="24" t="s">
        <v>618</v>
      </c>
      <c r="Q69" s="25"/>
      <c r="R69" s="25"/>
      <c r="S69" s="224"/>
      <c r="T69" s="16" t="s">
        <v>20</v>
      </c>
      <c r="U69" s="279">
        <v>45998</v>
      </c>
      <c r="V69" s="279">
        <f>U69+1</f>
        <v>45999</v>
      </c>
      <c r="W69" s="16" t="s">
        <v>20</v>
      </c>
      <c r="X69" s="279">
        <v>45999</v>
      </c>
      <c r="Y69" s="279">
        <f>X69+1</f>
        <v>46000</v>
      </c>
      <c r="Z69" s="24"/>
    </row>
    <row r="70" spans="1:26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80">
        <f>I70-2</f>
        <v>45860</v>
      </c>
      <c r="I70" s="279">
        <v>45862</v>
      </c>
      <c r="J70" s="16" t="s">
        <v>20</v>
      </c>
      <c r="K70" s="279"/>
      <c r="L70" s="279"/>
      <c r="M70" s="16" t="s">
        <v>20</v>
      </c>
      <c r="N70" s="16" t="s">
        <v>20</v>
      </c>
      <c r="O70" s="16" t="s">
        <v>20</v>
      </c>
      <c r="P70" s="24" t="s">
        <v>618</v>
      </c>
      <c r="Q70" s="25"/>
      <c r="R70" s="25"/>
      <c r="S70" s="224"/>
      <c r="T70" s="16" t="s">
        <v>20</v>
      </c>
      <c r="U70" s="279">
        <v>45998</v>
      </c>
      <c r="V70" s="279">
        <f>U70+1</f>
        <v>45999</v>
      </c>
      <c r="W70" s="16" t="s">
        <v>20</v>
      </c>
      <c r="X70" s="279">
        <v>45999</v>
      </c>
      <c r="Y70" s="279">
        <f>X70+1</f>
        <v>46000</v>
      </c>
      <c r="Z70" s="24"/>
    </row>
    <row r="71" spans="1:26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9">
        <v>45873</v>
      </c>
      <c r="I71" s="279">
        <v>45881</v>
      </c>
      <c r="J71" s="16" t="s">
        <v>20</v>
      </c>
      <c r="K71" s="279">
        <v>45887</v>
      </c>
      <c r="L71" s="279">
        <f>K71+4</f>
        <v>45891</v>
      </c>
      <c r="M71" s="16" t="s">
        <v>20</v>
      </c>
      <c r="N71" s="16" t="s">
        <v>20</v>
      </c>
      <c r="O71" s="16" t="s">
        <v>20</v>
      </c>
      <c r="P71" s="24" t="s">
        <v>618</v>
      </c>
      <c r="Q71" s="25"/>
      <c r="R71" s="25"/>
      <c r="S71" s="224"/>
      <c r="T71" s="225" t="s">
        <v>20</v>
      </c>
      <c r="U71" s="283">
        <v>45987</v>
      </c>
      <c r="V71" s="279">
        <v>45988</v>
      </c>
      <c r="W71" s="225" t="s">
        <v>20</v>
      </c>
      <c r="X71" s="279">
        <v>45988</v>
      </c>
      <c r="Y71" s="279">
        <v>45988</v>
      </c>
      <c r="Z71" s="24"/>
    </row>
    <row r="72" spans="1:26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9">
        <f>I72-4</f>
        <v>45877</v>
      </c>
      <c r="I72" s="279">
        <v>45881</v>
      </c>
      <c r="J72" s="16" t="s">
        <v>20</v>
      </c>
      <c r="K72" s="279">
        <v>45907</v>
      </c>
      <c r="L72" s="279">
        <v>45908</v>
      </c>
      <c r="M72" s="16" t="s">
        <v>20</v>
      </c>
      <c r="N72" s="16" t="s">
        <v>20</v>
      </c>
      <c r="O72" s="16" t="s">
        <v>20</v>
      </c>
      <c r="P72" s="24" t="s">
        <v>618</v>
      </c>
      <c r="Q72" s="25"/>
      <c r="R72" s="24"/>
      <c r="S72" s="222"/>
      <c r="T72" s="225" t="s">
        <v>20</v>
      </c>
      <c r="U72" s="279">
        <v>46001</v>
      </c>
      <c r="V72" s="279">
        <v>46004</v>
      </c>
      <c r="W72" s="225" t="s">
        <v>20</v>
      </c>
      <c r="X72" s="279">
        <v>46005</v>
      </c>
      <c r="Y72" s="279">
        <v>46006</v>
      </c>
      <c r="Z72" s="24"/>
    </row>
    <row r="73" spans="1:26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9">
        <v>45904</v>
      </c>
      <c r="I73" s="279">
        <v>45906</v>
      </c>
      <c r="J73" s="16" t="s">
        <v>20</v>
      </c>
      <c r="K73" s="279">
        <f>K72</f>
        <v>45907</v>
      </c>
      <c r="L73" s="279">
        <v>45908</v>
      </c>
      <c r="M73" s="16" t="s">
        <v>20</v>
      </c>
      <c r="N73" s="16" t="s">
        <v>20</v>
      </c>
      <c r="O73" s="16" t="s">
        <v>20</v>
      </c>
      <c r="P73" s="24" t="s">
        <v>618</v>
      </c>
      <c r="Q73" s="25"/>
      <c r="R73" s="24"/>
      <c r="S73" s="222"/>
      <c r="T73" s="225" t="s">
        <v>20</v>
      </c>
      <c r="U73" s="279">
        <v>46001</v>
      </c>
      <c r="V73" s="279">
        <v>46004</v>
      </c>
      <c r="W73" s="225" t="s">
        <v>20</v>
      </c>
      <c r="X73" s="279">
        <v>46005</v>
      </c>
      <c r="Y73" s="279">
        <v>46006</v>
      </c>
      <c r="Z73" s="24"/>
    </row>
    <row r="74" spans="1:26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9">
        <f>I74</f>
        <v>45934</v>
      </c>
      <c r="I74" s="279">
        <v>45934</v>
      </c>
      <c r="J74" s="16" t="s">
        <v>20</v>
      </c>
      <c r="K74" s="279">
        <f>L74</f>
        <v>45934</v>
      </c>
      <c r="L74" s="279">
        <v>45934</v>
      </c>
      <c r="M74" s="16" t="s">
        <v>20</v>
      </c>
      <c r="N74" s="16" t="s">
        <v>20</v>
      </c>
      <c r="O74" s="16" t="s">
        <v>20</v>
      </c>
      <c r="P74" s="24" t="s">
        <v>618</v>
      </c>
      <c r="Q74" s="25"/>
      <c r="R74" s="24" t="s">
        <v>421</v>
      </c>
      <c r="S74" s="222"/>
      <c r="T74" s="225" t="s">
        <v>20</v>
      </c>
      <c r="U74" s="279">
        <v>46001</v>
      </c>
      <c r="V74" s="279">
        <v>46004</v>
      </c>
      <c r="W74" s="225" t="s">
        <v>20</v>
      </c>
      <c r="X74" s="279">
        <v>46005</v>
      </c>
      <c r="Y74" s="279">
        <v>46006</v>
      </c>
      <c r="Z74" s="24"/>
    </row>
    <row r="75" spans="1:26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9">
        <f>I75-2</f>
        <v>45913</v>
      </c>
      <c r="I75" s="279">
        <v>45915</v>
      </c>
      <c r="J75" s="16" t="s">
        <v>20</v>
      </c>
      <c r="K75" s="279">
        <f>L75-1</f>
        <v>45915</v>
      </c>
      <c r="L75" s="279">
        <v>45916</v>
      </c>
      <c r="M75" s="16" t="s">
        <v>20</v>
      </c>
      <c r="N75" s="16" t="s">
        <v>20</v>
      </c>
      <c r="O75" s="16" t="s">
        <v>20</v>
      </c>
      <c r="P75" s="24" t="s">
        <v>618</v>
      </c>
      <c r="Q75" s="25"/>
      <c r="R75" s="24"/>
      <c r="S75" s="222"/>
      <c r="T75" s="225" t="s">
        <v>20</v>
      </c>
      <c r="U75" s="279">
        <v>46001</v>
      </c>
      <c r="V75" s="279">
        <v>46004</v>
      </c>
      <c r="W75" s="225" t="s">
        <v>20</v>
      </c>
      <c r="X75" s="279">
        <v>46005</v>
      </c>
      <c r="Y75" s="279">
        <v>46006</v>
      </c>
      <c r="Z75" s="24"/>
    </row>
    <row r="76" spans="1:26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9">
        <f>I76</f>
        <v>45936</v>
      </c>
      <c r="I76" s="279">
        <v>45936</v>
      </c>
      <c r="J76" s="16" t="s">
        <v>20</v>
      </c>
      <c r="K76" s="279">
        <f>L76</f>
        <v>45936</v>
      </c>
      <c r="L76" s="279">
        <v>45936</v>
      </c>
      <c r="M76" s="16" t="s">
        <v>20</v>
      </c>
      <c r="N76" s="16" t="s">
        <v>20</v>
      </c>
      <c r="O76" s="16" t="s">
        <v>20</v>
      </c>
      <c r="P76" s="24" t="s">
        <v>618</v>
      </c>
      <c r="Q76" s="25"/>
      <c r="R76" s="24" t="s">
        <v>421</v>
      </c>
      <c r="S76" s="222"/>
      <c r="T76" s="225" t="s">
        <v>20</v>
      </c>
      <c r="U76" s="279">
        <v>46001</v>
      </c>
      <c r="V76" s="279">
        <v>46004</v>
      </c>
      <c r="W76" s="225" t="s">
        <v>20</v>
      </c>
      <c r="X76" s="279">
        <v>46005</v>
      </c>
      <c r="Y76" s="279">
        <v>46006</v>
      </c>
      <c r="Z76" s="24"/>
    </row>
    <row r="77" spans="1:26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9">
        <v>45963</v>
      </c>
      <c r="I77" s="279">
        <v>45963</v>
      </c>
      <c r="J77" s="16" t="s">
        <v>20</v>
      </c>
      <c r="K77" s="279">
        <v>45994</v>
      </c>
      <c r="L77" s="279">
        <v>45996</v>
      </c>
      <c r="M77" s="16" t="s">
        <v>20</v>
      </c>
      <c r="N77" s="16" t="s">
        <v>20</v>
      </c>
      <c r="O77" s="16" t="s">
        <v>20</v>
      </c>
      <c r="P77" s="24" t="s">
        <v>618</v>
      </c>
      <c r="Q77" s="25"/>
      <c r="R77" s="24" t="s">
        <v>421</v>
      </c>
      <c r="S77" s="222"/>
      <c r="T77" s="225" t="s">
        <v>20</v>
      </c>
      <c r="U77" s="279">
        <v>46001</v>
      </c>
      <c r="V77" s="279">
        <v>46004</v>
      </c>
      <c r="W77" s="225" t="s">
        <v>20</v>
      </c>
      <c r="X77" s="279">
        <v>46005</v>
      </c>
      <c r="Y77" s="279">
        <v>46006</v>
      </c>
      <c r="Z77" s="24"/>
    </row>
    <row r="78" spans="1:26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9">
        <v>45963</v>
      </c>
      <c r="I78" s="279">
        <v>45963</v>
      </c>
      <c r="J78" s="16" t="s">
        <v>20</v>
      </c>
      <c r="K78" s="279">
        <v>45994</v>
      </c>
      <c r="L78" s="279">
        <v>45996</v>
      </c>
      <c r="M78" s="16" t="s">
        <v>20</v>
      </c>
      <c r="N78" s="16" t="s">
        <v>20</v>
      </c>
      <c r="O78" s="16" t="s">
        <v>20</v>
      </c>
      <c r="P78" s="24" t="s">
        <v>618</v>
      </c>
      <c r="Q78" s="25"/>
      <c r="R78" s="24"/>
      <c r="S78" s="222"/>
      <c r="T78" s="225" t="s">
        <v>20</v>
      </c>
      <c r="U78" s="279">
        <v>46001</v>
      </c>
      <c r="V78" s="279">
        <v>46004</v>
      </c>
      <c r="W78" s="225" t="s">
        <v>20</v>
      </c>
      <c r="X78" s="279">
        <v>46005</v>
      </c>
      <c r="Y78" s="279">
        <v>46006</v>
      </c>
      <c r="Z78" s="24"/>
    </row>
    <row r="79" spans="1:26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9">
        <v>45963</v>
      </c>
      <c r="I79" s="279">
        <v>45963</v>
      </c>
      <c r="J79" s="16" t="s">
        <v>20</v>
      </c>
      <c r="K79" s="279">
        <v>45994</v>
      </c>
      <c r="L79" s="279">
        <v>45996</v>
      </c>
      <c r="M79" s="16" t="s">
        <v>20</v>
      </c>
      <c r="N79" s="16" t="s">
        <v>20</v>
      </c>
      <c r="O79" s="16" t="s">
        <v>20</v>
      </c>
      <c r="P79" s="24" t="s">
        <v>618</v>
      </c>
      <c r="Q79" s="25"/>
      <c r="R79" s="24"/>
      <c r="S79" s="222"/>
      <c r="T79" s="225" t="s">
        <v>20</v>
      </c>
      <c r="U79" s="279">
        <v>46001</v>
      </c>
      <c r="V79" s="279">
        <v>46004</v>
      </c>
      <c r="W79" s="225" t="s">
        <v>20</v>
      </c>
      <c r="X79" s="279">
        <v>46005</v>
      </c>
      <c r="Y79" s="279">
        <v>46006</v>
      </c>
      <c r="Z79" s="24"/>
    </row>
    <row r="80" spans="1:26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9">
        <f t="shared" ref="H80:H81" si="29">I80</f>
        <v>45916</v>
      </c>
      <c r="I80" s="279">
        <v>45916</v>
      </c>
      <c r="J80" s="16" t="s">
        <v>20</v>
      </c>
      <c r="K80" s="279">
        <f t="shared" ref="K80:K81" si="30">L80</f>
        <v>45917</v>
      </c>
      <c r="L80" s="279">
        <v>45917</v>
      </c>
      <c r="M80" s="16" t="s">
        <v>20</v>
      </c>
      <c r="N80" s="16" t="s">
        <v>20</v>
      </c>
      <c r="O80" s="16" t="s">
        <v>20</v>
      </c>
      <c r="P80" s="24" t="s">
        <v>618</v>
      </c>
      <c r="Q80" s="25"/>
      <c r="R80" s="24"/>
      <c r="S80" s="222"/>
      <c r="T80" s="225" t="s">
        <v>20</v>
      </c>
      <c r="U80" s="279">
        <v>46001</v>
      </c>
      <c r="V80" s="279">
        <v>46004</v>
      </c>
      <c r="W80" s="225" t="s">
        <v>20</v>
      </c>
      <c r="X80" s="279">
        <v>46005</v>
      </c>
      <c r="Y80" s="279">
        <v>46006</v>
      </c>
      <c r="Z80" s="24"/>
    </row>
    <row r="81" spans="1:26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9">
        <f t="shared" si="29"/>
        <v>45915</v>
      </c>
      <c r="I81" s="279">
        <f>K81-1</f>
        <v>45915</v>
      </c>
      <c r="J81" s="16" t="s">
        <v>20</v>
      </c>
      <c r="K81" s="279">
        <f t="shared" si="30"/>
        <v>45916</v>
      </c>
      <c r="L81" s="279">
        <v>45916</v>
      </c>
      <c r="M81" s="16" t="s">
        <v>20</v>
      </c>
      <c r="N81" s="16" t="s">
        <v>20</v>
      </c>
      <c r="O81" s="16" t="s">
        <v>20</v>
      </c>
      <c r="P81" s="24" t="s">
        <v>618</v>
      </c>
      <c r="Q81" s="25"/>
      <c r="R81" s="24"/>
      <c r="S81" s="222"/>
      <c r="T81" s="225" t="s">
        <v>20</v>
      </c>
      <c r="U81" s="279">
        <v>46001</v>
      </c>
      <c r="V81" s="279">
        <v>46004</v>
      </c>
      <c r="W81" s="225" t="s">
        <v>20</v>
      </c>
      <c r="X81" s="279">
        <v>46005</v>
      </c>
      <c r="Y81" s="279">
        <v>46006</v>
      </c>
      <c r="Z81" s="24"/>
    </row>
    <row r="82" spans="1:26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9">
        <v>45854</v>
      </c>
      <c r="I82" s="279">
        <f>H82+4</f>
        <v>45858</v>
      </c>
      <c r="J82" s="16" t="s">
        <v>20</v>
      </c>
      <c r="K82" s="279">
        <f>L82-3</f>
        <v>45897</v>
      </c>
      <c r="L82" s="279">
        <v>45900</v>
      </c>
      <c r="M82" s="16" t="s">
        <v>20</v>
      </c>
      <c r="N82" s="16" t="s">
        <v>20</v>
      </c>
      <c r="O82" s="16" t="s">
        <v>20</v>
      </c>
      <c r="P82" s="24" t="s">
        <v>618</v>
      </c>
      <c r="Q82" s="25"/>
      <c r="R82" s="24"/>
      <c r="S82" s="222"/>
      <c r="T82" s="225" t="s">
        <v>20</v>
      </c>
      <c r="U82" s="279">
        <v>45989</v>
      </c>
      <c r="V82" s="279">
        <v>45992</v>
      </c>
      <c r="W82" s="225" t="s">
        <v>20</v>
      </c>
      <c r="X82" s="279">
        <v>45989</v>
      </c>
      <c r="Y82" s="279">
        <v>45992</v>
      </c>
      <c r="Z82" s="24"/>
    </row>
    <row r="83" spans="1:26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9">
        <v>45846</v>
      </c>
      <c r="I83" s="279">
        <f>H83+5</f>
        <v>45851</v>
      </c>
      <c r="J83" s="16" t="s">
        <v>20</v>
      </c>
      <c r="K83" s="279">
        <v>45854</v>
      </c>
      <c r="L83" s="279">
        <v>45860</v>
      </c>
      <c r="M83" s="16" t="s">
        <v>20</v>
      </c>
      <c r="N83" s="16" t="s">
        <v>20</v>
      </c>
      <c r="O83" s="24"/>
      <c r="P83" s="24" t="s">
        <v>621</v>
      </c>
      <c r="Q83" s="25"/>
      <c r="R83" s="24"/>
      <c r="S83" s="222"/>
      <c r="T83" s="225" t="s">
        <v>20</v>
      </c>
      <c r="U83" s="279">
        <v>45989</v>
      </c>
      <c r="V83" s="279">
        <v>45992</v>
      </c>
      <c r="W83" s="225" t="s">
        <v>20</v>
      </c>
      <c r="X83" s="279">
        <v>45989</v>
      </c>
      <c r="Y83" s="279">
        <v>45992</v>
      </c>
      <c r="Z83" s="24"/>
    </row>
    <row r="84" spans="1:26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9"/>
      <c r="I84" s="279"/>
      <c r="J84" s="16"/>
      <c r="K84" s="279"/>
      <c r="L84" s="279"/>
      <c r="M84" s="24"/>
      <c r="N84" s="24"/>
      <c r="O84" s="24"/>
      <c r="P84" s="24"/>
      <c r="Q84" s="25"/>
      <c r="R84" s="24"/>
      <c r="S84" s="222"/>
      <c r="T84" s="15"/>
      <c r="U84" s="279"/>
      <c r="V84" s="279"/>
      <c r="W84" s="24"/>
      <c r="X84" s="279"/>
      <c r="Y84" s="279"/>
      <c r="Z84" s="24"/>
    </row>
    <row r="85" spans="1:26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9"/>
      <c r="I85" s="279"/>
      <c r="J85" s="16"/>
      <c r="K85" s="279"/>
      <c r="L85" s="279"/>
      <c r="M85" s="24"/>
      <c r="N85" s="24"/>
      <c r="O85" s="24"/>
      <c r="P85" s="24"/>
      <c r="Q85" s="25"/>
      <c r="R85" s="24"/>
      <c r="S85" s="222"/>
      <c r="T85" s="15"/>
      <c r="U85" s="279"/>
      <c r="V85" s="279"/>
      <c r="W85" s="24"/>
      <c r="X85" s="279"/>
      <c r="Y85" s="279"/>
      <c r="Z85" s="24"/>
    </row>
    <row r="86" spans="1:26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9"/>
      <c r="I86" s="279"/>
      <c r="J86" s="16"/>
      <c r="K86" s="279"/>
      <c r="L86" s="279"/>
      <c r="M86" s="15"/>
      <c r="N86" s="15"/>
      <c r="O86" s="15"/>
      <c r="P86" s="182"/>
      <c r="Q86" s="25"/>
      <c r="R86" s="24"/>
      <c r="S86" s="222"/>
      <c r="T86" s="15"/>
      <c r="U86" s="279"/>
      <c r="V86" s="279"/>
      <c r="W86" s="15"/>
      <c r="X86" s="279"/>
      <c r="Y86" s="279"/>
      <c r="Z86" s="18"/>
    </row>
    <row r="87" spans="1:26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9"/>
      <c r="I87" s="279"/>
      <c r="J87" s="16"/>
      <c r="K87" s="279"/>
      <c r="L87" s="279"/>
      <c r="M87" s="24"/>
      <c r="N87" s="131"/>
      <c r="O87" s="15"/>
      <c r="P87" s="182"/>
      <c r="Q87" s="25"/>
      <c r="R87" s="24"/>
      <c r="S87" s="222"/>
      <c r="T87" s="15"/>
      <c r="U87" s="279"/>
      <c r="V87" s="279"/>
      <c r="W87" s="15"/>
      <c r="X87" s="279"/>
      <c r="Y87" s="279"/>
      <c r="Z87" s="18"/>
    </row>
    <row r="88" spans="1:26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9"/>
      <c r="I88" s="279"/>
      <c r="J88" s="15"/>
      <c r="K88" s="279"/>
      <c r="L88" s="279"/>
      <c r="M88" s="15"/>
      <c r="N88" s="15"/>
      <c r="O88" s="15"/>
      <c r="P88" s="100"/>
      <c r="Q88" s="35"/>
      <c r="R88" s="35"/>
      <c r="S88" s="223"/>
      <c r="T88" s="15"/>
      <c r="U88" s="279"/>
      <c r="V88" s="279"/>
      <c r="W88" s="15"/>
      <c r="X88" s="279"/>
      <c r="Y88" s="279"/>
      <c r="Z88" s="18"/>
    </row>
    <row r="89" spans="1:26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9"/>
      <c r="I89" s="279"/>
      <c r="J89" s="15"/>
      <c r="K89" s="279"/>
      <c r="L89" s="279"/>
      <c r="M89" s="24"/>
      <c r="N89" s="131"/>
      <c r="O89" s="15"/>
      <c r="P89" s="182"/>
      <c r="Q89" s="25"/>
      <c r="R89" s="24"/>
      <c r="S89" s="222"/>
      <c r="T89" s="15"/>
      <c r="U89" s="279"/>
      <c r="V89" s="279"/>
      <c r="W89" s="15"/>
      <c r="X89" s="279"/>
      <c r="Y89" s="279"/>
      <c r="Z89" s="18"/>
    </row>
    <row r="90" spans="1:26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9"/>
      <c r="I90" s="279"/>
      <c r="J90" s="15"/>
      <c r="K90" s="279"/>
      <c r="L90" s="279"/>
      <c r="M90" s="24"/>
      <c r="N90" s="131"/>
      <c r="O90" s="15"/>
      <c r="P90" s="182"/>
      <c r="Q90" s="25"/>
      <c r="R90" s="24"/>
      <c r="S90" s="222"/>
      <c r="T90" s="15"/>
      <c r="U90" s="279"/>
      <c r="V90" s="279"/>
      <c r="W90" s="15"/>
      <c r="X90" s="279"/>
      <c r="Y90" s="279"/>
      <c r="Z90" s="18"/>
    </row>
    <row r="91" spans="1:26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9"/>
      <c r="I91" s="279"/>
      <c r="J91" s="15"/>
      <c r="K91" s="279"/>
      <c r="L91" s="279"/>
      <c r="M91" s="24"/>
      <c r="N91" s="131"/>
      <c r="O91" s="15"/>
      <c r="P91" s="182"/>
      <c r="Q91" s="25"/>
      <c r="R91" s="24"/>
      <c r="S91" s="222"/>
      <c r="T91" s="15"/>
      <c r="U91" s="279"/>
      <c r="V91" s="279"/>
      <c r="W91" s="15"/>
      <c r="X91" s="279"/>
      <c r="Y91" s="279"/>
      <c r="Z91" s="18"/>
    </row>
    <row r="92" spans="1:26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9"/>
      <c r="I92" s="279"/>
      <c r="J92" s="15"/>
      <c r="K92" s="279"/>
      <c r="L92" s="279"/>
      <c r="M92" s="24"/>
      <c r="N92" s="15"/>
      <c r="O92" s="15"/>
      <c r="P92" s="182"/>
      <c r="Q92" s="25"/>
      <c r="R92" s="24"/>
      <c r="S92" s="222"/>
      <c r="T92" s="15"/>
      <c r="U92" s="279"/>
      <c r="V92" s="279"/>
      <c r="W92" s="15"/>
      <c r="X92" s="279"/>
      <c r="Y92" s="279"/>
      <c r="Z92" s="18"/>
    </row>
    <row r="93" spans="1:26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9"/>
      <c r="I93" s="279"/>
      <c r="J93" s="15"/>
      <c r="K93" s="279"/>
      <c r="L93" s="279"/>
      <c r="M93" s="24"/>
      <c r="N93" s="131"/>
      <c r="O93" s="15"/>
      <c r="P93" s="24"/>
      <c r="Q93" s="25"/>
      <c r="R93" s="24"/>
      <c r="S93" s="222"/>
      <c r="T93" s="15"/>
      <c r="U93" s="279"/>
      <c r="V93" s="279"/>
      <c r="W93" s="15"/>
      <c r="X93" s="279"/>
      <c r="Y93" s="279"/>
      <c r="Z93" s="18"/>
    </row>
    <row r="94" spans="1:26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9"/>
      <c r="I94" s="279"/>
      <c r="J94" s="15"/>
      <c r="K94" s="279"/>
      <c r="L94" s="279"/>
      <c r="M94" s="24"/>
      <c r="N94" s="131"/>
      <c r="O94" s="24"/>
      <c r="P94" s="24"/>
      <c r="Q94" s="25"/>
      <c r="R94" s="24"/>
      <c r="S94" s="222"/>
      <c r="T94" s="24"/>
      <c r="U94" s="279"/>
      <c r="V94" s="279"/>
      <c r="W94" s="24"/>
      <c r="X94" s="279"/>
      <c r="Y94" s="279"/>
      <c r="Z94" s="24"/>
    </row>
    <row r="95" spans="1:26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9"/>
      <c r="I95" s="279"/>
      <c r="J95" s="15"/>
      <c r="K95" s="279"/>
      <c r="L95" s="279"/>
      <c r="M95" s="24"/>
      <c r="N95" s="24"/>
      <c r="O95" s="24"/>
      <c r="P95" s="182"/>
      <c r="Q95" s="25"/>
      <c r="R95" s="24"/>
      <c r="S95" s="222"/>
      <c r="T95" s="24"/>
      <c r="U95" s="279"/>
      <c r="V95" s="279"/>
      <c r="W95" s="24"/>
      <c r="X95" s="279"/>
      <c r="Y95" s="279"/>
      <c r="Z95" s="24"/>
    </row>
    <row r="96" spans="1:26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9"/>
      <c r="I96" s="279"/>
      <c r="J96" s="25"/>
      <c r="K96" s="279"/>
      <c r="L96" s="279"/>
      <c r="M96" s="24"/>
      <c r="N96" s="24"/>
      <c r="O96" s="24"/>
      <c r="P96" s="182"/>
      <c r="Q96" s="25"/>
      <c r="R96" s="24"/>
      <c r="S96" s="222"/>
      <c r="T96" s="24"/>
      <c r="U96" s="279"/>
      <c r="V96" s="279"/>
      <c r="W96" s="24"/>
      <c r="X96" s="279"/>
      <c r="Y96" s="279"/>
      <c r="Z96" s="24"/>
    </row>
    <row r="97" spans="1:26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9"/>
      <c r="I97" s="279"/>
      <c r="J97" s="24"/>
      <c r="K97" s="279"/>
      <c r="L97" s="279"/>
      <c r="M97" s="24"/>
      <c r="N97" s="24"/>
      <c r="O97" s="24"/>
      <c r="P97" s="182"/>
      <c r="Q97" s="25"/>
      <c r="R97" s="24"/>
      <c r="S97" s="222"/>
      <c r="T97" s="24"/>
      <c r="U97" s="279"/>
      <c r="V97" s="279"/>
      <c r="W97" s="24"/>
      <c r="X97" s="279"/>
      <c r="Y97" s="279"/>
      <c r="Z97" s="24"/>
    </row>
    <row r="98" spans="1:26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9"/>
      <c r="I98" s="279"/>
      <c r="J98" s="24"/>
      <c r="K98" s="279"/>
      <c r="L98" s="279"/>
      <c r="M98" s="24"/>
      <c r="N98" s="24"/>
      <c r="O98" s="24"/>
      <c r="P98" s="24"/>
      <c r="Q98" s="25"/>
      <c r="R98" s="24"/>
      <c r="S98" s="222"/>
      <c r="T98" s="24"/>
      <c r="U98" s="279"/>
      <c r="V98" s="279"/>
      <c r="W98" s="24"/>
      <c r="X98" s="279"/>
      <c r="Y98" s="279"/>
      <c r="Z98" s="24"/>
    </row>
    <row r="99" spans="1:26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9"/>
      <c r="I99" s="279"/>
      <c r="J99" s="16"/>
      <c r="K99" s="279"/>
      <c r="L99" s="279"/>
      <c r="M99" s="24"/>
      <c r="N99" s="24"/>
      <c r="O99" s="24"/>
      <c r="P99" s="24"/>
      <c r="Q99" s="25"/>
      <c r="R99" s="24"/>
      <c r="S99" s="222"/>
      <c r="T99" s="24"/>
      <c r="U99" s="279"/>
      <c r="V99" s="279"/>
      <c r="W99" s="24"/>
      <c r="X99" s="279"/>
      <c r="Y99" s="279"/>
      <c r="Z99" s="24"/>
    </row>
    <row r="100" spans="1:26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9"/>
      <c r="I100" s="279"/>
      <c r="J100" s="16"/>
      <c r="K100" s="279"/>
      <c r="L100" s="279"/>
      <c r="M100" s="25"/>
      <c r="N100" s="131"/>
      <c r="O100" s="131"/>
      <c r="P100" s="24"/>
      <c r="Q100" s="25"/>
      <c r="R100" s="24"/>
      <c r="S100" s="222"/>
      <c r="T100" s="15"/>
      <c r="U100" s="279"/>
      <c r="V100" s="279"/>
      <c r="W100" s="24"/>
      <c r="X100" s="279"/>
      <c r="Y100" s="279"/>
      <c r="Z100" s="24"/>
    </row>
    <row r="101" spans="1:26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9"/>
      <c r="I101" s="279"/>
      <c r="J101" s="16"/>
      <c r="K101" s="279"/>
      <c r="L101" s="279"/>
      <c r="M101" s="25"/>
      <c r="N101" s="15"/>
      <c r="O101" s="15"/>
      <c r="P101" s="24"/>
      <c r="Q101" s="25"/>
      <c r="R101" s="24"/>
      <c r="S101" s="222"/>
      <c r="T101" s="15"/>
      <c r="U101" s="279"/>
      <c r="V101" s="279"/>
      <c r="W101" s="24"/>
      <c r="X101" s="279"/>
      <c r="Y101" s="279"/>
      <c r="Z101" s="24"/>
    </row>
    <row r="102" spans="1:26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9"/>
      <c r="I102" s="279"/>
      <c r="J102" s="15"/>
      <c r="K102" s="279"/>
      <c r="L102" s="279"/>
      <c r="M102" s="15"/>
      <c r="N102" s="15"/>
      <c r="O102" s="24"/>
      <c r="P102" s="100"/>
      <c r="Q102" s="35"/>
      <c r="R102" s="35"/>
      <c r="S102" s="223"/>
      <c r="T102" s="15"/>
      <c r="U102" s="279"/>
      <c r="V102" s="279"/>
      <c r="W102" s="24"/>
      <c r="X102" s="279"/>
      <c r="Y102" s="279"/>
      <c r="Z102" s="24"/>
    </row>
    <row r="103" spans="1:26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9"/>
      <c r="I103" s="279"/>
      <c r="J103" s="15"/>
      <c r="K103" s="279"/>
      <c r="L103" s="279"/>
      <c r="M103" s="15"/>
      <c r="N103" s="15"/>
      <c r="O103" s="15"/>
      <c r="P103" s="100"/>
      <c r="Q103" s="35"/>
      <c r="R103" s="35"/>
      <c r="S103" s="223"/>
      <c r="T103" s="15"/>
      <c r="U103" s="279"/>
      <c r="V103" s="279"/>
      <c r="W103" s="15"/>
      <c r="X103" s="279"/>
      <c r="Y103" s="279"/>
      <c r="Z103" s="18"/>
    </row>
    <row r="104" spans="1:26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9"/>
      <c r="I104" s="279"/>
      <c r="J104" s="15"/>
      <c r="K104" s="279"/>
      <c r="L104" s="279"/>
      <c r="M104" s="15"/>
      <c r="N104" s="15"/>
      <c r="O104" s="15"/>
      <c r="P104" s="19"/>
      <c r="Q104" s="15"/>
      <c r="R104" s="15"/>
      <c r="S104" s="226"/>
      <c r="T104" s="15"/>
      <c r="U104" s="279"/>
      <c r="V104" s="279"/>
      <c r="W104" s="15"/>
      <c r="X104" s="279"/>
      <c r="Y104" s="279"/>
      <c r="Z104" s="18"/>
    </row>
    <row r="105" spans="1:26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9"/>
      <c r="I105" s="279"/>
      <c r="J105" s="15"/>
      <c r="K105" s="279"/>
      <c r="L105" s="279"/>
      <c r="M105" s="15"/>
      <c r="N105" s="15"/>
      <c r="O105" s="15"/>
      <c r="P105" s="19"/>
      <c r="Q105" s="15"/>
      <c r="R105" s="15"/>
      <c r="S105" s="226"/>
      <c r="T105" s="15"/>
      <c r="U105" s="279"/>
      <c r="V105" s="279"/>
      <c r="W105" s="15"/>
      <c r="X105" s="279"/>
      <c r="Y105" s="279"/>
      <c r="Z105" s="18"/>
    </row>
    <row r="106" spans="1:26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9"/>
      <c r="I106" s="279"/>
      <c r="J106" s="15"/>
      <c r="K106" s="279"/>
      <c r="L106" s="279"/>
      <c r="M106" s="15"/>
      <c r="N106" s="15"/>
      <c r="O106" s="15"/>
      <c r="P106" s="19"/>
      <c r="Q106" s="15"/>
      <c r="R106" s="15"/>
      <c r="S106" s="226"/>
      <c r="T106" s="15"/>
      <c r="U106" s="279"/>
      <c r="V106" s="279"/>
      <c r="W106" s="15"/>
      <c r="X106" s="279"/>
      <c r="Y106" s="279"/>
      <c r="Z106" s="18"/>
    </row>
    <row r="107" spans="1:26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9"/>
      <c r="I107" s="279"/>
      <c r="J107" s="15"/>
      <c r="K107" s="279"/>
      <c r="L107" s="279"/>
      <c r="M107" s="15"/>
      <c r="N107" s="15"/>
      <c r="O107" s="15"/>
      <c r="P107" s="19"/>
      <c r="Q107" s="15"/>
      <c r="R107" s="15"/>
      <c r="S107" s="226"/>
      <c r="T107" s="15"/>
      <c r="U107" s="279"/>
      <c r="V107" s="279"/>
      <c r="W107" s="15"/>
      <c r="X107" s="279"/>
      <c r="Y107" s="279"/>
      <c r="Z107" s="18"/>
    </row>
    <row r="108" spans="1:26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9"/>
      <c r="I108" s="279"/>
      <c r="J108" s="15"/>
      <c r="K108" s="279"/>
      <c r="L108" s="279"/>
      <c r="M108" s="15"/>
      <c r="N108" s="15"/>
      <c r="O108" s="15"/>
      <c r="P108" s="19"/>
      <c r="Q108" s="15"/>
      <c r="R108" s="15"/>
      <c r="S108" s="226"/>
      <c r="T108" s="15"/>
      <c r="U108" s="279"/>
      <c r="V108" s="279"/>
      <c r="W108" s="15"/>
      <c r="X108" s="279"/>
      <c r="Y108" s="279"/>
      <c r="Z108" s="18"/>
    </row>
    <row r="109" spans="1:26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9"/>
      <c r="I109" s="279"/>
      <c r="J109" s="15"/>
      <c r="K109" s="279"/>
      <c r="L109" s="279"/>
      <c r="M109" s="24"/>
      <c r="N109" s="131"/>
      <c r="O109" s="15"/>
      <c r="P109" s="182"/>
      <c r="Q109" s="15"/>
      <c r="R109" s="24"/>
      <c r="S109" s="222"/>
      <c r="T109" s="15"/>
      <c r="U109" s="279"/>
      <c r="V109" s="279"/>
      <c r="W109" s="15"/>
      <c r="X109" s="279"/>
      <c r="Y109" s="279"/>
      <c r="Z109" s="18"/>
    </row>
    <row r="110" spans="1:26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9"/>
      <c r="I110" s="279"/>
      <c r="J110" s="15"/>
      <c r="K110" s="279"/>
      <c r="L110" s="279"/>
      <c r="M110" s="24"/>
      <c r="N110" s="131"/>
      <c r="O110" s="15"/>
      <c r="P110" s="182"/>
      <c r="Q110" s="15"/>
      <c r="R110" s="24"/>
      <c r="S110" s="222"/>
      <c r="T110" s="15"/>
      <c r="U110" s="279"/>
      <c r="V110" s="279"/>
      <c r="W110" s="15"/>
      <c r="X110" s="279"/>
      <c r="Y110" s="279"/>
      <c r="Z110" s="18"/>
    </row>
    <row r="111" spans="1:26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9"/>
      <c r="I111" s="279"/>
      <c r="J111" s="15"/>
      <c r="K111" s="279"/>
      <c r="L111" s="279"/>
      <c r="M111" s="24"/>
      <c r="N111" s="131"/>
      <c r="O111" s="15"/>
      <c r="P111" s="182"/>
      <c r="Q111" s="15"/>
      <c r="R111" s="24"/>
      <c r="S111" s="222"/>
      <c r="T111" s="15"/>
      <c r="U111" s="279"/>
      <c r="V111" s="279"/>
      <c r="W111" s="15"/>
      <c r="X111" s="279"/>
      <c r="Y111" s="279"/>
      <c r="Z111" s="18"/>
    </row>
    <row r="112" spans="1:26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9"/>
      <c r="I112" s="279"/>
      <c r="J112" s="15"/>
      <c r="K112" s="279"/>
      <c r="L112" s="279"/>
      <c r="M112" s="24"/>
      <c r="N112" s="131"/>
      <c r="O112" s="15"/>
      <c r="P112" s="182"/>
      <c r="Q112" s="15"/>
      <c r="R112" s="24"/>
      <c r="S112" s="222"/>
      <c r="T112" s="15"/>
      <c r="U112" s="279"/>
      <c r="V112" s="279"/>
      <c r="W112" s="15"/>
      <c r="X112" s="279"/>
      <c r="Y112" s="279"/>
      <c r="Z112" s="18"/>
    </row>
    <row r="113" spans="1:26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9"/>
      <c r="I113" s="279"/>
      <c r="J113" s="15"/>
      <c r="K113" s="279"/>
      <c r="L113" s="279"/>
      <c r="M113" s="24"/>
      <c r="N113" s="131"/>
      <c r="O113" s="15"/>
      <c r="P113" s="24"/>
      <c r="Q113" s="15"/>
      <c r="R113" s="24"/>
      <c r="S113" s="222"/>
      <c r="T113" s="15"/>
      <c r="U113" s="279"/>
      <c r="V113" s="279"/>
      <c r="W113" s="15"/>
      <c r="X113" s="279"/>
      <c r="Y113" s="279"/>
      <c r="Z113" s="18"/>
    </row>
    <row r="114" spans="1:26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9"/>
      <c r="I114" s="279"/>
      <c r="J114" s="15"/>
      <c r="K114" s="279"/>
      <c r="L114" s="279"/>
      <c r="M114" s="24"/>
      <c r="N114" s="131"/>
      <c r="O114" s="15"/>
      <c r="P114" s="24"/>
      <c r="Q114" s="15"/>
      <c r="R114" s="24"/>
      <c r="S114" s="222"/>
      <c r="T114" s="15"/>
      <c r="U114" s="279"/>
      <c r="V114" s="279"/>
      <c r="W114" s="15"/>
      <c r="X114" s="279"/>
      <c r="Y114" s="279"/>
      <c r="Z114" s="18"/>
    </row>
    <row r="115" spans="1:26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9"/>
      <c r="I115" s="279"/>
      <c r="J115" s="15"/>
      <c r="K115" s="279"/>
      <c r="L115" s="279"/>
      <c r="M115" s="24"/>
      <c r="N115" s="15"/>
      <c r="O115" s="15"/>
      <c r="P115" s="24"/>
      <c r="Q115" s="15"/>
      <c r="R115" s="24"/>
      <c r="S115" s="222"/>
      <c r="T115" s="15"/>
      <c r="U115" s="279"/>
      <c r="V115" s="279"/>
      <c r="W115" s="15"/>
      <c r="X115" s="279"/>
      <c r="Y115" s="279"/>
      <c r="Z115" s="18"/>
    </row>
    <row r="116" spans="1:26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9"/>
      <c r="I116" s="279"/>
      <c r="J116" s="16"/>
      <c r="K116" s="279"/>
      <c r="L116" s="279"/>
      <c r="M116" s="24"/>
      <c r="N116" s="131"/>
      <c r="O116" s="15"/>
      <c r="P116" s="24"/>
      <c r="Q116" s="15"/>
      <c r="R116" s="24"/>
      <c r="S116" s="222"/>
      <c r="T116" s="15"/>
      <c r="U116" s="279"/>
      <c r="V116" s="279"/>
      <c r="W116" s="15"/>
      <c r="X116" s="279"/>
      <c r="Y116" s="279"/>
      <c r="Z116" s="18"/>
    </row>
    <row r="117" spans="1:26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9"/>
      <c r="I117" s="279"/>
      <c r="J117" s="16"/>
      <c r="K117" s="279"/>
      <c r="L117" s="279"/>
      <c r="M117" s="15"/>
      <c r="N117" s="131"/>
      <c r="O117" s="15"/>
      <c r="P117" s="24"/>
      <c r="Q117" s="15"/>
      <c r="R117" s="24"/>
      <c r="S117" s="222"/>
      <c r="T117" s="15"/>
      <c r="U117" s="279"/>
      <c r="V117" s="279"/>
      <c r="W117" s="15"/>
      <c r="X117" s="279"/>
      <c r="Y117" s="279"/>
      <c r="Z117" s="18"/>
    </row>
    <row r="118" spans="1:26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9"/>
      <c r="I118" s="279"/>
      <c r="J118" s="16"/>
      <c r="K118" s="279"/>
      <c r="L118" s="279"/>
      <c r="M118" s="24"/>
      <c r="N118" s="131"/>
      <c r="O118" s="15"/>
      <c r="P118" s="24"/>
      <c r="Q118" s="15"/>
      <c r="R118" s="24"/>
      <c r="S118" s="222"/>
      <c r="T118" s="15"/>
      <c r="U118" s="279"/>
      <c r="V118" s="279"/>
      <c r="W118" s="15"/>
      <c r="X118" s="279"/>
      <c r="Y118" s="279"/>
      <c r="Z118" s="18"/>
    </row>
    <row r="119" spans="1:26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9"/>
      <c r="I119" s="279"/>
      <c r="J119" s="16"/>
      <c r="K119" s="279"/>
      <c r="L119" s="279"/>
      <c r="M119" s="24"/>
      <c r="N119" s="131"/>
      <c r="O119" s="15"/>
      <c r="P119" s="24"/>
      <c r="Q119" s="15"/>
      <c r="R119" s="24"/>
      <c r="S119" s="222"/>
      <c r="T119" s="15"/>
      <c r="U119" s="279"/>
      <c r="V119" s="279"/>
      <c r="W119" s="15"/>
      <c r="X119" s="279"/>
      <c r="Y119" s="279"/>
      <c r="Z119" s="18"/>
    </row>
    <row r="120" spans="1:26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9"/>
      <c r="I120" s="279"/>
      <c r="J120" s="16"/>
      <c r="K120" s="279"/>
      <c r="L120" s="279"/>
      <c r="M120" s="24"/>
      <c r="N120" s="131"/>
      <c r="O120" s="15"/>
      <c r="P120" s="24"/>
      <c r="Q120" s="15"/>
      <c r="R120" s="24"/>
      <c r="S120" s="222"/>
      <c r="T120" s="15"/>
      <c r="U120" s="279"/>
      <c r="V120" s="279"/>
      <c r="W120" s="15"/>
      <c r="X120" s="279"/>
      <c r="Y120" s="279"/>
      <c r="Z120" s="18"/>
    </row>
    <row r="121" spans="1:26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9"/>
      <c r="I121" s="279"/>
      <c r="J121" s="16"/>
      <c r="K121" s="279"/>
      <c r="L121" s="279"/>
      <c r="M121" s="24"/>
      <c r="N121" s="131"/>
      <c r="O121" s="15"/>
      <c r="P121" s="24"/>
      <c r="Q121" s="15"/>
      <c r="R121" s="24"/>
      <c r="S121" s="222"/>
      <c r="T121" s="15"/>
      <c r="U121" s="279"/>
      <c r="V121" s="279"/>
      <c r="W121" s="15"/>
      <c r="X121" s="279"/>
      <c r="Y121" s="279"/>
      <c r="Z121" s="18"/>
    </row>
    <row r="122" spans="1:26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9"/>
      <c r="I122" s="279"/>
      <c r="J122" s="16"/>
      <c r="K122" s="279"/>
      <c r="L122" s="279"/>
      <c r="M122" s="24"/>
      <c r="N122" s="131"/>
      <c r="O122" s="15"/>
      <c r="P122" s="24"/>
      <c r="Q122" s="15"/>
      <c r="R122" s="24"/>
      <c r="S122" s="222"/>
      <c r="T122" s="15"/>
      <c r="U122" s="279"/>
      <c r="V122" s="279"/>
      <c r="W122" s="15"/>
      <c r="X122" s="279"/>
      <c r="Y122" s="279"/>
      <c r="Z122" s="18"/>
    </row>
    <row r="123" spans="1:26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9"/>
      <c r="I123" s="279"/>
      <c r="J123" s="16"/>
      <c r="K123" s="279"/>
      <c r="L123" s="279"/>
      <c r="M123" s="24"/>
      <c r="N123" s="131"/>
      <c r="O123" s="15"/>
      <c r="P123" s="24"/>
      <c r="Q123" s="15"/>
      <c r="R123" s="24"/>
      <c r="S123" s="222"/>
      <c r="T123" s="15"/>
      <c r="U123" s="279"/>
      <c r="V123" s="279"/>
      <c r="W123" s="15"/>
      <c r="X123" s="279"/>
      <c r="Y123" s="279"/>
      <c r="Z123" s="18"/>
    </row>
    <row r="124" spans="1:26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9"/>
      <c r="I124" s="279"/>
      <c r="J124" s="16"/>
      <c r="K124" s="279"/>
      <c r="L124" s="279"/>
      <c r="M124" s="24"/>
      <c r="N124" s="131"/>
      <c r="O124" s="15"/>
      <c r="P124" s="24"/>
      <c r="Q124" s="15"/>
      <c r="R124" s="24"/>
      <c r="S124" s="222"/>
      <c r="T124" s="15"/>
      <c r="U124" s="279"/>
      <c r="V124" s="279"/>
      <c r="W124" s="15"/>
      <c r="X124" s="279"/>
      <c r="Y124" s="279"/>
      <c r="Z124" s="18"/>
    </row>
    <row r="125" spans="1:26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9"/>
      <c r="I125" s="279"/>
      <c r="J125" s="16"/>
      <c r="K125" s="279"/>
      <c r="L125" s="279"/>
      <c r="M125" s="24"/>
      <c r="N125" s="131"/>
      <c r="O125" s="15"/>
      <c r="P125" s="24"/>
      <c r="Q125" s="15"/>
      <c r="R125" s="24"/>
      <c r="S125" s="222"/>
      <c r="T125" s="15"/>
      <c r="U125" s="279"/>
      <c r="V125" s="279"/>
      <c r="W125" s="15"/>
      <c r="X125" s="279"/>
      <c r="Y125" s="279"/>
      <c r="Z125" s="18"/>
    </row>
    <row r="126" spans="1:26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9"/>
      <c r="I126" s="279"/>
      <c r="J126" s="16"/>
      <c r="K126" s="279"/>
      <c r="L126" s="279"/>
      <c r="M126" s="24"/>
      <c r="N126" s="131"/>
      <c r="O126" s="15"/>
      <c r="P126" s="24"/>
      <c r="Q126" s="15"/>
      <c r="R126" s="24"/>
      <c r="S126" s="222"/>
      <c r="T126" s="15"/>
      <c r="U126" s="279"/>
      <c r="V126" s="279"/>
      <c r="W126" s="15"/>
      <c r="X126" s="279"/>
      <c r="Y126" s="279"/>
      <c r="Z126" s="18"/>
    </row>
    <row r="127" spans="1:26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9"/>
      <c r="I127" s="279"/>
      <c r="J127" s="16"/>
      <c r="K127" s="279"/>
      <c r="L127" s="279"/>
      <c r="M127" s="24"/>
      <c r="N127" s="131"/>
      <c r="O127" s="15"/>
      <c r="P127" s="182"/>
      <c r="Q127" s="15"/>
      <c r="R127" s="24"/>
      <c r="S127" s="222"/>
      <c r="T127" s="15"/>
      <c r="U127" s="279"/>
      <c r="V127" s="279"/>
      <c r="W127" s="15"/>
      <c r="X127" s="279"/>
      <c r="Y127" s="279"/>
      <c r="Z127" s="18"/>
    </row>
    <row r="128" spans="1:26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9"/>
      <c r="I128" s="279"/>
      <c r="J128" s="16"/>
      <c r="K128" s="279"/>
      <c r="L128" s="279"/>
      <c r="M128" s="24"/>
      <c r="N128" s="131"/>
      <c r="O128" s="15"/>
      <c r="P128" s="182"/>
      <c r="Q128" s="15"/>
      <c r="R128" s="24"/>
      <c r="S128" s="222"/>
      <c r="T128" s="15"/>
      <c r="U128" s="279"/>
      <c r="V128" s="279"/>
      <c r="W128" s="15"/>
      <c r="X128" s="279"/>
      <c r="Y128" s="279"/>
      <c r="Z128" s="18"/>
    </row>
    <row r="129" spans="1:26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9"/>
      <c r="I129" s="279"/>
      <c r="J129" s="16"/>
      <c r="K129" s="279"/>
      <c r="L129" s="279"/>
      <c r="M129" s="24"/>
      <c r="N129" s="131"/>
      <c r="O129" s="15"/>
      <c r="P129" s="24"/>
      <c r="Q129" s="15"/>
      <c r="R129" s="24"/>
      <c r="S129" s="222"/>
      <c r="T129" s="15"/>
      <c r="U129" s="279"/>
      <c r="V129" s="279"/>
      <c r="W129" s="15"/>
      <c r="X129" s="279"/>
      <c r="Y129" s="279"/>
      <c r="Z129" s="18"/>
    </row>
    <row r="130" spans="1:26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9"/>
      <c r="I130" s="279"/>
      <c r="J130" s="16"/>
      <c r="K130" s="279"/>
      <c r="L130" s="279"/>
      <c r="M130" s="15"/>
      <c r="N130" s="131"/>
      <c r="O130" s="15"/>
      <c r="P130" s="24"/>
      <c r="Q130" s="15"/>
      <c r="R130" s="24"/>
      <c r="S130" s="222"/>
      <c r="T130" s="15"/>
      <c r="U130" s="279"/>
      <c r="V130" s="279"/>
      <c r="W130" s="15"/>
      <c r="X130" s="279"/>
      <c r="Y130" s="279"/>
      <c r="Z130" s="18"/>
    </row>
    <row r="131" spans="1:26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9"/>
      <c r="I131" s="279"/>
      <c r="J131" s="16"/>
      <c r="K131" s="279"/>
      <c r="L131" s="279"/>
      <c r="M131" s="24"/>
      <c r="N131" s="131"/>
      <c r="O131" s="15"/>
      <c r="P131" s="24"/>
      <c r="Q131" s="15"/>
      <c r="R131" s="24"/>
      <c r="S131" s="222"/>
      <c r="T131" s="15"/>
      <c r="U131" s="279"/>
      <c r="V131" s="279"/>
      <c r="W131" s="15"/>
      <c r="X131" s="279"/>
      <c r="Y131" s="279"/>
      <c r="Z131" s="18"/>
    </row>
    <row r="132" spans="1:26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9"/>
      <c r="I132" s="279"/>
      <c r="J132" s="16"/>
      <c r="K132" s="279"/>
      <c r="L132" s="279"/>
      <c r="M132" s="24"/>
      <c r="N132" s="15"/>
      <c r="O132" s="15"/>
      <c r="P132" s="24"/>
      <c r="Q132" s="15"/>
      <c r="R132" s="24"/>
      <c r="S132" s="222"/>
      <c r="T132" s="15"/>
      <c r="U132" s="279"/>
      <c r="V132" s="279"/>
      <c r="W132" s="15"/>
      <c r="X132" s="279"/>
      <c r="Y132" s="279"/>
      <c r="Z132" s="18"/>
    </row>
    <row r="133" spans="1:26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9"/>
      <c r="I133" s="279"/>
      <c r="J133" s="16"/>
      <c r="K133" s="279"/>
      <c r="L133" s="279"/>
      <c r="M133" s="24"/>
      <c r="N133" s="15"/>
      <c r="O133" s="15"/>
      <c r="P133" s="24"/>
      <c r="Q133" s="15"/>
      <c r="R133" s="24"/>
      <c r="S133" s="222"/>
      <c r="T133" s="15"/>
      <c r="U133" s="279"/>
      <c r="V133" s="279"/>
      <c r="W133" s="15"/>
      <c r="X133" s="279"/>
      <c r="Y133" s="279"/>
      <c r="Z133" s="18"/>
    </row>
    <row r="134" spans="1:26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9"/>
      <c r="I134" s="279"/>
      <c r="J134" s="25"/>
      <c r="K134" s="279"/>
      <c r="L134" s="279"/>
      <c r="M134" s="24"/>
      <c r="N134" s="131"/>
      <c r="O134" s="15"/>
      <c r="P134" s="24"/>
      <c r="Q134" s="15"/>
      <c r="R134" s="24"/>
      <c r="S134" s="222"/>
      <c r="T134" s="15"/>
      <c r="U134" s="279"/>
      <c r="V134" s="279"/>
      <c r="W134" s="15"/>
      <c r="X134" s="279"/>
      <c r="Y134" s="279"/>
      <c r="Z134" s="18"/>
    </row>
    <row r="135" spans="1:26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9"/>
      <c r="I135" s="279"/>
      <c r="J135" s="25"/>
      <c r="K135" s="279"/>
      <c r="L135" s="279"/>
      <c r="M135" s="24"/>
      <c r="N135" s="15"/>
      <c r="O135" s="15"/>
      <c r="P135" s="182"/>
      <c r="Q135" s="25"/>
      <c r="R135" s="24"/>
      <c r="S135" s="222"/>
      <c r="T135" s="15"/>
      <c r="U135" s="279"/>
      <c r="V135" s="279"/>
      <c r="W135" s="15"/>
      <c r="X135" s="279"/>
      <c r="Y135" s="279"/>
      <c r="Z135" s="18"/>
    </row>
    <row r="136" spans="1:26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9"/>
      <c r="I136" s="279"/>
      <c r="J136" s="25"/>
      <c r="K136" s="279"/>
      <c r="L136" s="279"/>
      <c r="M136" s="24"/>
      <c r="N136" s="15"/>
      <c r="O136" s="15"/>
      <c r="P136" s="182"/>
      <c r="Q136" s="25"/>
      <c r="R136" s="25"/>
      <c r="S136" s="224"/>
      <c r="T136" s="15"/>
      <c r="U136" s="279"/>
      <c r="V136" s="279"/>
      <c r="W136" s="15"/>
      <c r="X136" s="279"/>
      <c r="Y136" s="279"/>
      <c r="Z136" s="18"/>
    </row>
    <row r="137" spans="1:26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9"/>
      <c r="I137" s="279"/>
      <c r="J137" s="25"/>
      <c r="K137" s="279"/>
      <c r="L137" s="279"/>
      <c r="M137" s="15"/>
      <c r="N137" s="15"/>
      <c r="O137" s="15"/>
      <c r="P137" s="182"/>
      <c r="Q137" s="25"/>
      <c r="R137" s="25"/>
      <c r="S137" s="224"/>
      <c r="T137" s="15"/>
      <c r="U137" s="279"/>
      <c r="V137" s="279"/>
      <c r="W137" s="15"/>
      <c r="X137" s="279"/>
      <c r="Y137" s="279"/>
      <c r="Z137" s="18"/>
    </row>
    <row r="138" spans="1:26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9"/>
      <c r="I138" s="279"/>
      <c r="J138" s="25"/>
      <c r="K138" s="279"/>
      <c r="L138" s="279"/>
      <c r="M138" s="15"/>
      <c r="N138" s="15"/>
      <c r="O138" s="15"/>
      <c r="P138" s="182"/>
      <c r="Q138" s="25"/>
      <c r="R138" s="25"/>
      <c r="S138" s="224"/>
      <c r="T138" s="15"/>
      <c r="U138" s="279"/>
      <c r="V138" s="279"/>
      <c r="W138" s="15"/>
      <c r="X138" s="279"/>
      <c r="Y138" s="279"/>
      <c r="Z138" s="18"/>
    </row>
    <row r="139" spans="1:26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80"/>
      <c r="I139" s="281"/>
      <c r="J139" s="15"/>
      <c r="K139" s="281"/>
      <c r="L139" s="281"/>
      <c r="M139" s="24"/>
      <c r="N139" s="198"/>
      <c r="O139" s="15"/>
      <c r="P139" s="227"/>
      <c r="Q139" s="228"/>
      <c r="R139" s="228"/>
      <c r="S139" s="229"/>
      <c r="T139" s="15"/>
      <c r="U139" s="281"/>
      <c r="V139" s="281"/>
      <c r="W139" s="15"/>
      <c r="X139" s="281"/>
      <c r="Y139" s="281"/>
      <c r="Z139" s="18"/>
    </row>
    <row r="140" spans="1:26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9"/>
      <c r="I140" s="279"/>
      <c r="J140" s="25"/>
      <c r="K140" s="279"/>
      <c r="L140" s="279"/>
      <c r="M140" s="15"/>
      <c r="N140" s="15"/>
      <c r="O140" s="15"/>
      <c r="P140" s="19"/>
      <c r="Q140" s="15"/>
      <c r="R140" s="15"/>
      <c r="S140" s="226"/>
      <c r="T140" s="15"/>
      <c r="U140" s="279"/>
      <c r="V140" s="279"/>
      <c r="W140" s="15"/>
      <c r="X140" s="279"/>
      <c r="Y140" s="279"/>
      <c r="Z140" s="18"/>
    </row>
    <row r="141" spans="1:26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9"/>
      <c r="I141" s="279"/>
      <c r="J141" s="25"/>
      <c r="K141" s="279"/>
      <c r="L141" s="279"/>
      <c r="M141" s="24"/>
      <c r="N141" s="15"/>
      <c r="O141" s="15"/>
      <c r="P141" s="19"/>
      <c r="Q141" s="15"/>
      <c r="R141" s="15"/>
      <c r="S141" s="226"/>
      <c r="T141" s="15"/>
      <c r="U141" s="279"/>
      <c r="V141" s="279"/>
      <c r="W141" s="15"/>
      <c r="X141" s="279"/>
      <c r="Y141" s="279"/>
      <c r="Z141" s="18"/>
    </row>
    <row r="142" spans="1:26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9"/>
      <c r="I142" s="279"/>
      <c r="J142" s="25"/>
      <c r="K142" s="279"/>
      <c r="L142" s="279"/>
      <c r="M142" s="24"/>
      <c r="N142" s="131"/>
      <c r="O142" s="15"/>
      <c r="P142" s="19"/>
      <c r="Q142" s="15"/>
      <c r="R142" s="15"/>
      <c r="S142" s="226"/>
      <c r="T142" s="15"/>
      <c r="U142" s="279"/>
      <c r="V142" s="279"/>
      <c r="W142" s="15"/>
      <c r="X142" s="279"/>
      <c r="Y142" s="279"/>
      <c r="Z142" s="18"/>
    </row>
    <row r="143" spans="1:26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9"/>
      <c r="I143" s="279"/>
      <c r="J143" s="25"/>
      <c r="K143" s="279"/>
      <c r="L143" s="279"/>
      <c r="M143" s="24"/>
      <c r="N143" s="131"/>
      <c r="O143" s="15"/>
      <c r="P143" s="19"/>
      <c r="Q143" s="15"/>
      <c r="R143" s="24"/>
      <c r="S143" s="222"/>
      <c r="T143" s="15"/>
      <c r="U143" s="131"/>
      <c r="V143" s="131"/>
      <c r="W143" s="15"/>
      <c r="X143" s="131"/>
      <c r="Y143" s="131"/>
      <c r="Z143" s="18"/>
    </row>
    <row r="144" spans="1:26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9"/>
      <c r="I144" s="279"/>
      <c r="J144" s="25"/>
      <c r="K144" s="279"/>
      <c r="L144" s="279"/>
      <c r="M144" s="24"/>
      <c r="N144" s="131"/>
      <c r="O144" s="15"/>
      <c r="P144" s="19"/>
      <c r="Q144" s="15"/>
      <c r="R144" s="24"/>
      <c r="S144" s="222"/>
      <c r="T144" s="15"/>
      <c r="U144" s="131"/>
      <c r="V144" s="131"/>
      <c r="W144" s="15"/>
      <c r="X144" s="131"/>
      <c r="Y144" s="131"/>
      <c r="Z144" s="18"/>
    </row>
    <row r="145" spans="1:26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9"/>
      <c r="I145" s="279"/>
      <c r="J145" s="25"/>
      <c r="K145" s="279"/>
      <c r="L145" s="279"/>
      <c r="M145" s="24"/>
      <c r="N145" s="131"/>
      <c r="O145" s="15"/>
      <c r="P145" s="19"/>
      <c r="Q145" s="15"/>
      <c r="R145" s="24"/>
      <c r="S145" s="222"/>
      <c r="T145" s="15"/>
      <c r="U145" s="131"/>
      <c r="V145" s="131"/>
      <c r="W145" s="15"/>
      <c r="X145" s="131"/>
      <c r="Y145" s="131"/>
      <c r="Z145" s="18"/>
    </row>
    <row r="146" spans="1:26" ht="14.25" customHeight="1">
      <c r="A146" s="15">
        <f t="shared" si="31"/>
        <v>141</v>
      </c>
      <c r="B146" s="15"/>
      <c r="C146" s="15"/>
      <c r="D146" s="230"/>
      <c r="E146" s="16"/>
      <c r="F146" s="16"/>
      <c r="G146" s="25"/>
      <c r="H146" s="429"/>
      <c r="I146" s="279"/>
      <c r="J146" s="25"/>
      <c r="K146" s="279"/>
      <c r="L146" s="279"/>
      <c r="M146" s="24"/>
      <c r="N146" s="131"/>
      <c r="O146" s="15"/>
      <c r="P146" s="19"/>
      <c r="Q146" s="15"/>
      <c r="R146" s="24"/>
      <c r="S146" s="222"/>
      <c r="T146" s="15"/>
      <c r="U146" s="131"/>
      <c r="V146" s="131"/>
      <c r="W146" s="15"/>
      <c r="X146" s="131"/>
      <c r="Y146" s="131"/>
      <c r="Z146" s="18"/>
    </row>
    <row r="147" spans="1:26" ht="14.25" customHeight="1">
      <c r="A147" s="15">
        <f t="shared" si="31"/>
        <v>142</v>
      </c>
      <c r="B147" s="15"/>
      <c r="C147" s="15"/>
      <c r="D147" s="230"/>
      <c r="E147" s="16"/>
      <c r="F147" s="16"/>
      <c r="G147" s="16"/>
      <c r="H147" s="429"/>
      <c r="I147" s="279"/>
      <c r="J147" s="25"/>
      <c r="K147" s="279"/>
      <c r="L147" s="279"/>
      <c r="M147" s="24"/>
      <c r="N147" s="131"/>
      <c r="O147" s="15"/>
      <c r="P147" s="19"/>
      <c r="Q147" s="15"/>
      <c r="R147" s="24"/>
      <c r="S147" s="222"/>
      <c r="T147" s="15"/>
      <c r="U147" s="131"/>
      <c r="V147" s="131"/>
      <c r="W147" s="15"/>
      <c r="X147" s="131"/>
      <c r="Y147" s="131"/>
      <c r="Z147" s="18"/>
    </row>
    <row r="148" spans="1:26" ht="14.25" customHeight="1">
      <c r="A148" s="15">
        <f t="shared" si="31"/>
        <v>143</v>
      </c>
      <c r="B148" s="25"/>
      <c r="C148" s="15"/>
      <c r="D148" s="230"/>
      <c r="E148" s="16"/>
      <c r="F148" s="16"/>
      <c r="G148" s="16"/>
      <c r="H148" s="429"/>
      <c r="I148" s="279"/>
      <c r="J148" s="25"/>
      <c r="K148" s="279"/>
      <c r="L148" s="279"/>
      <c r="M148" s="24"/>
      <c r="N148" s="131"/>
      <c r="O148" s="15"/>
      <c r="P148" s="24"/>
      <c r="Q148" s="25"/>
      <c r="R148" s="24"/>
      <c r="S148" s="222"/>
      <c r="T148" s="15"/>
      <c r="U148" s="131"/>
      <c r="V148" s="131"/>
      <c r="W148" s="15"/>
      <c r="X148" s="131"/>
      <c r="Y148" s="131"/>
      <c r="Z148" s="18"/>
    </row>
    <row r="149" spans="1:26" ht="14.25" customHeight="1">
      <c r="A149" s="15">
        <f t="shared" si="31"/>
        <v>144</v>
      </c>
      <c r="B149" s="25"/>
      <c r="C149" s="15"/>
      <c r="D149" s="230"/>
      <c r="E149" s="16"/>
      <c r="F149" s="16"/>
      <c r="G149" s="16"/>
      <c r="H149" s="429"/>
      <c r="I149" s="279"/>
      <c r="J149" s="16"/>
      <c r="K149" s="279"/>
      <c r="L149" s="279"/>
      <c r="M149" s="24"/>
      <c r="N149" s="131"/>
      <c r="O149" s="15"/>
      <c r="P149" s="24"/>
      <c r="Q149" s="25"/>
      <c r="R149" s="24"/>
      <c r="S149" s="222"/>
      <c r="T149" s="15"/>
      <c r="U149" s="131"/>
      <c r="V149" s="131"/>
      <c r="W149" s="15"/>
      <c r="X149" s="131"/>
      <c r="Y149" s="131"/>
      <c r="Z149" s="18"/>
    </row>
    <row r="150" spans="1:26" ht="14.25" customHeight="1">
      <c r="A150" s="15">
        <f t="shared" si="31"/>
        <v>145</v>
      </c>
      <c r="B150" s="25"/>
      <c r="C150" s="15"/>
      <c r="D150" s="230"/>
      <c r="E150" s="16"/>
      <c r="F150" s="16"/>
      <c r="G150" s="16"/>
      <c r="H150" s="429"/>
      <c r="I150" s="279"/>
      <c r="J150" s="16"/>
      <c r="K150" s="279"/>
      <c r="L150" s="279"/>
      <c r="M150" s="24"/>
      <c r="N150" s="131"/>
      <c r="O150" s="15"/>
      <c r="P150" s="24"/>
      <c r="Q150" s="25"/>
      <c r="R150" s="24"/>
      <c r="S150" s="222"/>
      <c r="T150" s="15"/>
      <c r="U150" s="131"/>
      <c r="V150" s="131"/>
      <c r="W150" s="15"/>
      <c r="X150" s="131"/>
      <c r="Y150" s="131"/>
      <c r="Z150" s="18"/>
    </row>
    <row r="151" spans="1:26" ht="14.25" customHeight="1">
      <c r="A151" s="15">
        <f t="shared" si="31"/>
        <v>146</v>
      </c>
      <c r="B151" s="25"/>
      <c r="C151" s="15"/>
      <c r="D151" s="230"/>
      <c r="E151" s="16"/>
      <c r="F151" s="16"/>
      <c r="G151" s="16"/>
      <c r="H151" s="429"/>
      <c r="I151" s="279"/>
      <c r="J151" s="16"/>
      <c r="K151" s="279"/>
      <c r="L151" s="279"/>
      <c r="M151" s="24"/>
      <c r="N151" s="131"/>
      <c r="O151" s="15"/>
      <c r="P151" s="24"/>
      <c r="Q151" s="25"/>
      <c r="R151" s="24"/>
      <c r="S151" s="222"/>
      <c r="T151" s="15"/>
      <c r="U151" s="131"/>
      <c r="V151" s="131"/>
      <c r="W151" s="15"/>
      <c r="X151" s="131"/>
      <c r="Y151" s="131"/>
      <c r="Z151" s="18"/>
    </row>
    <row r="152" spans="1:26" ht="14.25" customHeight="1">
      <c r="A152" s="15">
        <f t="shared" si="31"/>
        <v>147</v>
      </c>
      <c r="B152" s="25"/>
      <c r="C152" s="15"/>
      <c r="D152" s="230"/>
      <c r="E152" s="16"/>
      <c r="F152" s="16"/>
      <c r="G152" s="16"/>
      <c r="H152" s="429"/>
      <c r="I152" s="279"/>
      <c r="J152" s="16"/>
      <c r="K152" s="279"/>
      <c r="L152" s="279"/>
      <c r="M152" s="15"/>
      <c r="N152" s="131"/>
      <c r="O152" s="15"/>
      <c r="P152" s="24"/>
      <c r="Q152" s="25"/>
      <c r="R152" s="24"/>
      <c r="S152" s="222"/>
      <c r="T152" s="15"/>
      <c r="U152" s="131"/>
      <c r="V152" s="131"/>
      <c r="W152" s="15"/>
      <c r="X152" s="131"/>
      <c r="Y152" s="131"/>
      <c r="Z152" s="18"/>
    </row>
    <row r="153" spans="1:26" ht="14.25" customHeight="1">
      <c r="A153" s="15">
        <f t="shared" si="31"/>
        <v>148</v>
      </c>
      <c r="B153" s="25"/>
      <c r="C153" s="15"/>
      <c r="D153" s="230"/>
      <c r="E153" s="16"/>
      <c r="F153" s="16"/>
      <c r="G153" s="16"/>
      <c r="H153" s="429"/>
      <c r="I153" s="279"/>
      <c r="J153" s="16"/>
      <c r="K153" s="279"/>
      <c r="L153" s="279"/>
      <c r="M153" s="24"/>
      <c r="N153" s="15"/>
      <c r="O153" s="15"/>
      <c r="P153" s="24"/>
      <c r="Q153" s="25"/>
      <c r="R153" s="24"/>
      <c r="S153" s="222"/>
      <c r="T153" s="15"/>
      <c r="U153" s="131"/>
      <c r="V153" s="131"/>
      <c r="W153" s="15"/>
      <c r="X153" s="131"/>
      <c r="Y153" s="131"/>
      <c r="Z153" s="18"/>
    </row>
    <row r="154" spans="1:26" ht="14.25" customHeight="1">
      <c r="A154" s="15">
        <f t="shared" si="31"/>
        <v>149</v>
      </c>
      <c r="B154" s="25"/>
      <c r="C154" s="15"/>
      <c r="D154" s="230"/>
      <c r="E154" s="16"/>
      <c r="F154" s="16"/>
      <c r="G154" s="16"/>
      <c r="H154" s="429"/>
      <c r="I154" s="279"/>
      <c r="J154" s="16"/>
      <c r="K154" s="279"/>
      <c r="L154" s="279"/>
      <c r="M154" s="24"/>
      <c r="N154" s="131"/>
      <c r="O154" s="15"/>
      <c r="P154" s="24"/>
      <c r="Q154" s="25"/>
      <c r="R154" s="24"/>
      <c r="S154" s="222"/>
      <c r="T154" s="15"/>
      <c r="U154" s="131"/>
      <c r="V154" s="131"/>
      <c r="W154" s="15"/>
      <c r="X154" s="131"/>
      <c r="Y154" s="131"/>
      <c r="Z154" s="18"/>
    </row>
    <row r="155" spans="1:26" ht="14.25" customHeight="1">
      <c r="A155" s="15">
        <f t="shared" si="31"/>
        <v>150</v>
      </c>
      <c r="B155" s="25"/>
      <c r="C155" s="15"/>
      <c r="D155" s="230"/>
      <c r="E155" s="16"/>
      <c r="F155" s="16"/>
      <c r="G155" s="16"/>
      <c r="H155" s="429"/>
      <c r="I155" s="279"/>
      <c r="J155" s="25"/>
      <c r="K155" s="279"/>
      <c r="L155" s="279"/>
      <c r="M155" s="24"/>
      <c r="N155" s="15"/>
      <c r="O155" s="15"/>
      <c r="P155" s="24"/>
      <c r="Q155" s="25"/>
      <c r="R155" s="24"/>
      <c r="S155" s="222"/>
      <c r="T155" s="15"/>
      <c r="U155" s="131"/>
      <c r="V155" s="131"/>
      <c r="W155" s="15"/>
      <c r="X155" s="131"/>
      <c r="Y155" s="131"/>
      <c r="Z155" s="18"/>
    </row>
    <row r="156" spans="1:26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9"/>
      <c r="I156" s="279"/>
      <c r="J156" s="25"/>
      <c r="K156" s="279"/>
      <c r="L156" s="279"/>
      <c r="M156" s="24"/>
      <c r="N156" s="131"/>
      <c r="O156" s="15"/>
      <c r="P156" s="19"/>
      <c r="Q156" s="15"/>
      <c r="R156" s="15"/>
      <c r="S156" s="226"/>
      <c r="T156" s="15"/>
      <c r="U156" s="131"/>
      <c r="V156" s="131"/>
      <c r="W156" s="15"/>
      <c r="X156" s="131"/>
      <c r="Y156" s="131"/>
      <c r="Z156" s="18"/>
    </row>
    <row r="157" spans="1:26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9"/>
      <c r="I157" s="279"/>
      <c r="J157" s="25"/>
      <c r="K157" s="279"/>
      <c r="L157" s="279"/>
      <c r="M157" s="24"/>
      <c r="N157" s="131"/>
      <c r="O157" s="15"/>
      <c r="P157" s="19"/>
      <c r="Q157" s="15"/>
      <c r="R157" s="15"/>
      <c r="S157" s="226"/>
      <c r="T157" s="15"/>
      <c r="U157" s="131"/>
      <c r="V157" s="131"/>
      <c r="W157" s="15"/>
      <c r="X157" s="131"/>
      <c r="Y157" s="131"/>
      <c r="Z157" s="18"/>
    </row>
    <row r="158" spans="1:26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9"/>
      <c r="I158" s="279"/>
      <c r="J158" s="25"/>
      <c r="K158" s="279"/>
      <c r="L158" s="279"/>
      <c r="M158" s="24"/>
      <c r="N158" s="131"/>
      <c r="O158" s="131"/>
      <c r="P158" s="19"/>
      <c r="Q158" s="15"/>
      <c r="R158" s="15"/>
      <c r="S158" s="226"/>
      <c r="T158" s="15"/>
      <c r="U158" s="131"/>
      <c r="V158" s="131"/>
      <c r="W158" s="15"/>
      <c r="X158" s="131"/>
      <c r="Y158" s="131"/>
      <c r="Z158" s="18"/>
    </row>
    <row r="159" spans="1:26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9"/>
      <c r="I159" s="279"/>
      <c r="J159" s="25"/>
      <c r="K159" s="279"/>
      <c r="L159" s="279"/>
      <c r="M159" s="15"/>
      <c r="N159" s="131"/>
      <c r="O159" s="15"/>
      <c r="P159" s="19"/>
      <c r="Q159" s="25"/>
      <c r="R159" s="24"/>
      <c r="S159" s="222"/>
      <c r="T159" s="15"/>
      <c r="U159" s="131"/>
      <c r="V159" s="131"/>
      <c r="W159" s="15"/>
      <c r="X159" s="131"/>
      <c r="Y159" s="131"/>
      <c r="Z159" s="18"/>
    </row>
    <row r="160" spans="1:26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9"/>
      <c r="I160" s="279"/>
      <c r="J160" s="25"/>
      <c r="K160" s="279"/>
      <c r="L160" s="279"/>
      <c r="M160" s="24"/>
      <c r="N160" s="131"/>
      <c r="O160" s="15"/>
      <c r="P160" s="19"/>
      <c r="Q160" s="15"/>
      <c r="R160" s="24"/>
      <c r="S160" s="222"/>
      <c r="T160" s="15"/>
      <c r="U160" s="131"/>
      <c r="V160" s="131"/>
      <c r="W160" s="15"/>
      <c r="X160" s="131"/>
      <c r="Y160" s="131"/>
      <c r="Z160" s="18"/>
    </row>
    <row r="161" spans="1:26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9"/>
      <c r="I161" s="279"/>
      <c r="J161" s="25"/>
      <c r="K161" s="279"/>
      <c r="L161" s="279"/>
      <c r="M161" s="24"/>
      <c r="N161" s="131"/>
      <c r="O161" s="15"/>
      <c r="P161" s="19"/>
      <c r="Q161" s="15"/>
      <c r="R161" s="24"/>
      <c r="S161" s="222"/>
      <c r="T161" s="15"/>
      <c r="U161" s="131"/>
      <c r="V161" s="131"/>
      <c r="W161" s="15"/>
      <c r="X161" s="131"/>
      <c r="Y161" s="131"/>
      <c r="Z161" s="18"/>
    </row>
    <row r="162" spans="1:26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9"/>
      <c r="I162" s="279"/>
      <c r="J162" s="25"/>
      <c r="K162" s="279"/>
      <c r="L162" s="279"/>
      <c r="M162" s="24"/>
      <c r="N162" s="131"/>
      <c r="O162" s="15"/>
      <c r="P162" s="19"/>
      <c r="Q162" s="15"/>
      <c r="R162" s="24"/>
      <c r="S162" s="222"/>
      <c r="T162" s="15"/>
      <c r="U162" s="131"/>
      <c r="V162" s="131"/>
      <c r="W162" s="15"/>
      <c r="X162" s="131"/>
      <c r="Y162" s="131"/>
      <c r="Z162" s="18"/>
    </row>
    <row r="163" spans="1:26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9"/>
      <c r="I163" s="279"/>
      <c r="J163" s="25"/>
      <c r="K163" s="279"/>
      <c r="L163" s="279"/>
      <c r="M163" s="24"/>
      <c r="N163" s="131"/>
      <c r="O163" s="15"/>
      <c r="P163" s="19"/>
      <c r="Q163" s="15"/>
      <c r="R163" s="24"/>
      <c r="S163" s="222"/>
      <c r="T163" s="15"/>
      <c r="U163" s="131"/>
      <c r="V163" s="131"/>
      <c r="W163" s="15"/>
      <c r="X163" s="131"/>
      <c r="Y163" s="131"/>
      <c r="Z163" s="18"/>
    </row>
    <row r="164" spans="1:26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9"/>
      <c r="I164" s="279"/>
      <c r="J164" s="25"/>
      <c r="K164" s="279"/>
      <c r="L164" s="279"/>
      <c r="M164" s="24"/>
      <c r="N164" s="131"/>
      <c r="O164" s="15"/>
      <c r="P164" s="24"/>
      <c r="Q164" s="25"/>
      <c r="R164" s="24"/>
      <c r="S164" s="222"/>
      <c r="T164" s="15"/>
      <c r="U164" s="131"/>
      <c r="V164" s="131"/>
      <c r="W164" s="15"/>
      <c r="X164" s="131"/>
      <c r="Y164" s="131"/>
      <c r="Z164" s="18"/>
    </row>
    <row r="165" spans="1:26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9"/>
      <c r="I165" s="279"/>
      <c r="J165" s="25"/>
      <c r="K165" s="279"/>
      <c r="L165" s="279"/>
      <c r="M165" s="24"/>
      <c r="N165" s="131"/>
      <c r="O165" s="15"/>
      <c r="P165" s="24"/>
      <c r="Q165" s="25"/>
      <c r="R165" s="24"/>
      <c r="S165" s="222"/>
      <c r="T165" s="15"/>
      <c r="U165" s="131"/>
      <c r="V165" s="131"/>
      <c r="W165" s="15"/>
      <c r="X165" s="131"/>
      <c r="Y165" s="131"/>
      <c r="Z165" s="18"/>
    </row>
    <row r="166" spans="1:26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9"/>
      <c r="I166" s="279"/>
      <c r="J166" s="25"/>
      <c r="K166" s="279"/>
      <c r="L166" s="279"/>
      <c r="M166" s="24"/>
      <c r="N166" s="131"/>
      <c r="O166" s="15"/>
      <c r="P166" s="24"/>
      <c r="Q166" s="25"/>
      <c r="R166" s="24"/>
      <c r="S166" s="222"/>
      <c r="T166" s="15"/>
      <c r="U166" s="131"/>
      <c r="V166" s="131"/>
      <c r="W166" s="15"/>
      <c r="X166" s="131"/>
      <c r="Y166" s="131"/>
      <c r="Z166" s="18"/>
    </row>
    <row r="167" spans="1:26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9"/>
      <c r="I167" s="279"/>
      <c r="J167" s="25"/>
      <c r="K167" s="279"/>
      <c r="L167" s="279"/>
      <c r="M167" s="24"/>
      <c r="N167" s="131"/>
      <c r="O167" s="15"/>
      <c r="P167" s="24"/>
      <c r="Q167" s="25"/>
      <c r="R167" s="24"/>
      <c r="S167" s="222"/>
      <c r="T167" s="15"/>
      <c r="U167" s="131"/>
      <c r="V167" s="131"/>
      <c r="W167" s="15"/>
      <c r="X167" s="131"/>
      <c r="Y167" s="131"/>
      <c r="Z167" s="18"/>
    </row>
    <row r="168" spans="1:26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9"/>
      <c r="I168" s="279"/>
      <c r="J168" s="25"/>
      <c r="K168" s="279"/>
      <c r="L168" s="279"/>
      <c r="M168" s="24"/>
      <c r="N168" s="131"/>
      <c r="O168" s="15"/>
      <c r="P168" s="24"/>
      <c r="Q168" s="25"/>
      <c r="R168" s="24"/>
      <c r="S168" s="222"/>
      <c r="T168" s="15"/>
      <c r="U168" s="131"/>
      <c r="V168" s="131"/>
      <c r="W168" s="15"/>
      <c r="X168" s="131"/>
      <c r="Y168" s="131"/>
      <c r="Z168" s="18"/>
    </row>
    <row r="169" spans="1:26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9"/>
      <c r="I169" s="279"/>
      <c r="J169" s="15"/>
      <c r="K169" s="279"/>
      <c r="L169" s="279"/>
      <c r="M169" s="24"/>
      <c r="N169" s="131"/>
      <c r="O169" s="15"/>
      <c r="P169" s="24"/>
      <c r="Q169" s="25"/>
      <c r="R169" s="24"/>
      <c r="S169" s="222"/>
      <c r="T169" s="15"/>
      <c r="U169" s="131"/>
      <c r="V169" s="131"/>
      <c r="W169" s="15"/>
      <c r="X169" s="131"/>
      <c r="Y169" s="131"/>
      <c r="Z169" s="18"/>
    </row>
    <row r="170" spans="1:26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9"/>
      <c r="I170" s="279"/>
      <c r="J170" s="15"/>
      <c r="K170" s="279"/>
      <c r="L170" s="279"/>
      <c r="M170" s="24"/>
      <c r="N170" s="131"/>
      <c r="O170" s="15"/>
      <c r="P170" s="24"/>
      <c r="Q170" s="25"/>
      <c r="R170" s="24"/>
      <c r="S170" s="222"/>
      <c r="T170" s="15"/>
      <c r="U170" s="131"/>
      <c r="V170" s="131"/>
      <c r="W170" s="15"/>
      <c r="X170" s="131"/>
      <c r="Y170" s="131"/>
      <c r="Z170" s="18"/>
    </row>
    <row r="171" spans="1:26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9"/>
      <c r="I171" s="279"/>
      <c r="J171" s="15"/>
      <c r="K171" s="279"/>
      <c r="L171" s="279"/>
      <c r="M171" s="24"/>
      <c r="N171" s="131"/>
      <c r="O171" s="15"/>
      <c r="P171" s="24"/>
      <c r="Q171" s="25"/>
      <c r="R171" s="24"/>
      <c r="S171" s="222"/>
      <c r="T171" s="15"/>
      <c r="U171" s="131"/>
      <c r="V171" s="131"/>
      <c r="W171" s="15"/>
      <c r="X171" s="131"/>
      <c r="Y171" s="131"/>
      <c r="Z171" s="18"/>
    </row>
    <row r="172" spans="1:26" ht="14.25" customHeight="1">
      <c r="A172" s="15">
        <v>178</v>
      </c>
      <c r="B172" s="25"/>
      <c r="C172" s="15"/>
      <c r="D172" s="16"/>
      <c r="E172" s="16"/>
      <c r="F172" s="16"/>
      <c r="G172" s="16"/>
      <c r="H172" s="429"/>
      <c r="I172" s="279"/>
      <c r="J172" s="16"/>
      <c r="K172" s="279"/>
      <c r="L172" s="279"/>
      <c r="M172" s="24"/>
      <c r="N172" s="15"/>
      <c r="O172" s="15"/>
      <c r="P172" s="182"/>
      <c r="Q172" s="15"/>
      <c r="R172" s="24"/>
      <c r="S172" s="222"/>
      <c r="T172" s="15"/>
      <c r="U172" s="131"/>
      <c r="V172" s="131"/>
      <c r="W172" s="15"/>
      <c r="X172" s="131"/>
      <c r="Y172" s="131"/>
      <c r="Z172" s="18"/>
    </row>
    <row r="173" spans="1:26" ht="14.25" customHeight="1">
      <c r="A173" s="15">
        <v>179</v>
      </c>
      <c r="B173" s="25"/>
      <c r="C173" s="15"/>
      <c r="D173" s="16"/>
      <c r="E173" s="16"/>
      <c r="F173" s="16"/>
      <c r="G173" s="16"/>
      <c r="H173" s="429"/>
      <c r="I173" s="279"/>
      <c r="J173" s="16"/>
      <c r="K173" s="279"/>
      <c r="L173" s="279"/>
      <c r="M173" s="15"/>
      <c r="N173" s="131"/>
      <c r="O173" s="15"/>
      <c r="P173" s="24"/>
      <c r="Q173" s="15"/>
      <c r="R173" s="24"/>
      <c r="S173" s="222"/>
      <c r="T173" s="15"/>
      <c r="U173" s="131"/>
      <c r="V173" s="131"/>
      <c r="W173" s="15"/>
      <c r="X173" s="131"/>
      <c r="Y173" s="131"/>
      <c r="Z173" s="18"/>
    </row>
    <row r="174" spans="1:26" ht="14.25" customHeight="1">
      <c r="A174" s="15">
        <v>180</v>
      </c>
      <c r="B174" s="25"/>
      <c r="C174" s="15"/>
      <c r="D174" s="16"/>
      <c r="E174" s="16"/>
      <c r="F174" s="16"/>
      <c r="G174" s="16"/>
      <c r="H174" s="429"/>
      <c r="I174" s="279"/>
      <c r="J174" s="16"/>
      <c r="K174" s="279"/>
      <c r="L174" s="279"/>
      <c r="M174" s="24"/>
      <c r="N174" s="131"/>
      <c r="O174" s="15"/>
      <c r="P174" s="24"/>
      <c r="Q174" s="15"/>
      <c r="R174" s="24"/>
      <c r="S174" s="222"/>
      <c r="T174" s="15"/>
      <c r="U174" s="131"/>
      <c r="V174" s="131"/>
      <c r="W174" s="15"/>
      <c r="X174" s="131"/>
      <c r="Y174" s="131"/>
      <c r="Z174" s="18"/>
    </row>
    <row r="175" spans="1:26" ht="14.25" customHeight="1">
      <c r="A175" s="15">
        <v>181</v>
      </c>
      <c r="B175" s="25"/>
      <c r="C175" s="15"/>
      <c r="D175" s="16"/>
      <c r="E175" s="16"/>
      <c r="F175" s="16"/>
      <c r="G175" s="16"/>
      <c r="H175" s="429"/>
      <c r="I175" s="279"/>
      <c r="J175" s="16"/>
      <c r="K175" s="279"/>
      <c r="L175" s="279"/>
      <c r="M175" s="24"/>
      <c r="N175" s="131"/>
      <c r="O175" s="15"/>
      <c r="P175" s="24"/>
      <c r="Q175" s="15"/>
      <c r="R175" s="24"/>
      <c r="S175" s="222"/>
      <c r="T175" s="15"/>
      <c r="U175" s="131"/>
      <c r="V175" s="131"/>
      <c r="W175" s="15"/>
      <c r="X175" s="131"/>
      <c r="Y175" s="131"/>
      <c r="Z175" s="18"/>
    </row>
    <row r="176" spans="1:26" ht="14.25" customHeight="1">
      <c r="A176" s="15">
        <v>182</v>
      </c>
      <c r="B176" s="25"/>
      <c r="C176" s="15"/>
      <c r="D176" s="16"/>
      <c r="E176" s="16"/>
      <c r="F176" s="16"/>
      <c r="G176" s="16"/>
      <c r="H176" s="429"/>
      <c r="I176" s="279"/>
      <c r="J176" s="16"/>
      <c r="K176" s="279"/>
      <c r="L176" s="279"/>
      <c r="M176" s="24"/>
      <c r="N176" s="131"/>
      <c r="O176" s="15"/>
      <c r="P176" s="24"/>
      <c r="Q176" s="15"/>
      <c r="R176" s="24"/>
      <c r="S176" s="222"/>
      <c r="T176" s="15"/>
      <c r="U176" s="131"/>
      <c r="V176" s="131"/>
      <c r="W176" s="15"/>
      <c r="X176" s="131"/>
      <c r="Y176" s="131"/>
      <c r="Z176" s="18"/>
    </row>
    <row r="177" spans="1:26" ht="14.25" customHeight="1">
      <c r="A177" s="15">
        <v>183</v>
      </c>
      <c r="B177" s="25"/>
      <c r="C177" s="15"/>
      <c r="D177" s="16"/>
      <c r="E177" s="16"/>
      <c r="F177" s="16"/>
      <c r="G177" s="16"/>
      <c r="H177" s="429"/>
      <c r="I177" s="279"/>
      <c r="J177" s="16"/>
      <c r="K177" s="279"/>
      <c r="L177" s="279"/>
      <c r="M177" s="24"/>
      <c r="N177" s="131"/>
      <c r="O177" s="15"/>
      <c r="P177" s="24"/>
      <c r="Q177" s="15"/>
      <c r="R177" s="24"/>
      <c r="S177" s="222"/>
      <c r="T177" s="15"/>
      <c r="U177" s="131"/>
      <c r="V177" s="131"/>
      <c r="W177" s="15"/>
      <c r="X177" s="131"/>
      <c r="Y177" s="131"/>
      <c r="Z177" s="18"/>
    </row>
    <row r="178" spans="1:26" ht="14.25" customHeight="1">
      <c r="A178" s="15">
        <v>184</v>
      </c>
      <c r="B178" s="25"/>
      <c r="C178" s="15"/>
      <c r="D178" s="16"/>
      <c r="E178" s="16"/>
      <c r="F178" s="16"/>
      <c r="G178" s="16"/>
      <c r="H178" s="429"/>
      <c r="I178" s="279"/>
      <c r="J178" s="16"/>
      <c r="K178" s="279"/>
      <c r="L178" s="279"/>
      <c r="M178" s="24"/>
      <c r="N178" s="131"/>
      <c r="O178" s="15"/>
      <c r="P178" s="24"/>
      <c r="Q178" s="15"/>
      <c r="R178" s="24"/>
      <c r="S178" s="222"/>
      <c r="T178" s="15"/>
      <c r="U178" s="131"/>
      <c r="V178" s="131"/>
      <c r="W178" s="15"/>
      <c r="X178" s="131"/>
      <c r="Y178" s="131"/>
      <c r="Z178" s="18"/>
    </row>
    <row r="179" spans="1:26" ht="14.25" customHeight="1">
      <c r="A179" s="15">
        <v>185</v>
      </c>
      <c r="B179" s="25"/>
      <c r="C179" s="15"/>
      <c r="D179" s="16"/>
      <c r="E179" s="16"/>
      <c r="F179" s="16"/>
      <c r="G179" s="16"/>
      <c r="H179" s="429"/>
      <c r="I179" s="279"/>
      <c r="J179" s="16"/>
      <c r="K179" s="279"/>
      <c r="L179" s="279"/>
      <c r="M179" s="24"/>
      <c r="N179" s="131"/>
      <c r="O179" s="15"/>
      <c r="P179" s="24"/>
      <c r="Q179" s="15"/>
      <c r="R179" s="24"/>
      <c r="S179" s="222"/>
      <c r="T179" s="15"/>
      <c r="U179" s="131"/>
      <c r="V179" s="131"/>
      <c r="W179" s="15"/>
      <c r="X179" s="131"/>
      <c r="Y179" s="131"/>
      <c r="Z179" s="18"/>
    </row>
    <row r="180" spans="1:26" ht="14.25" customHeight="1">
      <c r="A180" s="15">
        <v>186</v>
      </c>
      <c r="B180" s="25"/>
      <c r="C180" s="15"/>
      <c r="D180" s="16"/>
      <c r="E180" s="16"/>
      <c r="F180" s="16"/>
      <c r="G180" s="16"/>
      <c r="H180" s="429"/>
      <c r="I180" s="279"/>
      <c r="J180" s="16"/>
      <c r="K180" s="279"/>
      <c r="L180" s="279"/>
      <c r="M180" s="24"/>
      <c r="N180" s="131"/>
      <c r="O180" s="15"/>
      <c r="P180" s="24"/>
      <c r="Q180" s="15"/>
      <c r="R180" s="24"/>
      <c r="S180" s="222"/>
      <c r="T180" s="15"/>
      <c r="U180" s="131"/>
      <c r="V180" s="131"/>
      <c r="W180" s="15"/>
      <c r="X180" s="131"/>
      <c r="Y180" s="131"/>
      <c r="Z180" s="18"/>
    </row>
    <row r="181" spans="1:26" ht="14.25" customHeight="1">
      <c r="A181" s="15">
        <v>187</v>
      </c>
      <c r="B181" s="25"/>
      <c r="C181" s="15"/>
      <c r="D181" s="16"/>
      <c r="E181" s="16"/>
      <c r="F181" s="16"/>
      <c r="G181" s="16"/>
      <c r="H181" s="429"/>
      <c r="I181" s="279"/>
      <c r="J181" s="16"/>
      <c r="K181" s="279"/>
      <c r="L181" s="279"/>
      <c r="M181" s="24"/>
      <c r="N181" s="131"/>
      <c r="O181" s="15"/>
      <c r="P181" s="24"/>
      <c r="Q181" s="15"/>
      <c r="R181" s="24"/>
      <c r="S181" s="222"/>
      <c r="T181" s="15"/>
      <c r="U181" s="131"/>
      <c r="V181" s="131"/>
      <c r="W181" s="15"/>
      <c r="X181" s="131"/>
      <c r="Y181" s="131"/>
      <c r="Z181" s="18"/>
    </row>
    <row r="182" spans="1:26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9"/>
      <c r="L182" s="279"/>
      <c r="M182" s="24"/>
      <c r="N182" s="15"/>
      <c r="O182" s="15"/>
      <c r="P182" s="24"/>
      <c r="Q182" s="15"/>
      <c r="R182" s="24"/>
      <c r="S182" s="222"/>
      <c r="T182" s="15"/>
      <c r="U182" s="131"/>
      <c r="V182" s="131"/>
      <c r="W182" s="15"/>
      <c r="X182" s="131"/>
      <c r="Y182" s="131"/>
      <c r="Z182" s="18"/>
    </row>
    <row r="183" spans="1:26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9"/>
      <c r="L183" s="279"/>
      <c r="M183" s="15"/>
      <c r="N183" s="15"/>
      <c r="O183" s="15"/>
      <c r="P183" s="24"/>
      <c r="Q183" s="15"/>
      <c r="R183" s="24"/>
      <c r="S183" s="222"/>
      <c r="T183" s="15"/>
      <c r="U183" s="131"/>
      <c r="V183" s="131"/>
      <c r="W183" s="15"/>
      <c r="X183" s="131"/>
      <c r="Y183" s="131"/>
      <c r="Z183" s="18"/>
    </row>
    <row r="184" spans="1:26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9"/>
      <c r="L184" s="279"/>
      <c r="M184" s="24"/>
      <c r="N184" s="131"/>
      <c r="O184" s="15"/>
      <c r="P184" s="24"/>
      <c r="Q184" s="15"/>
      <c r="R184" s="24"/>
      <c r="S184" s="222"/>
      <c r="T184" s="15"/>
      <c r="U184" s="131"/>
      <c r="V184" s="131"/>
      <c r="W184" s="15"/>
      <c r="X184" s="131"/>
      <c r="Y184" s="131"/>
      <c r="Z184" s="18"/>
    </row>
    <row r="185" spans="1:26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9"/>
      <c r="L185" s="279"/>
      <c r="M185" s="24"/>
      <c r="N185" s="131"/>
      <c r="O185" s="15"/>
      <c r="P185" s="24"/>
      <c r="Q185" s="15"/>
      <c r="R185" s="24"/>
      <c r="S185" s="222"/>
      <c r="T185" s="15"/>
      <c r="U185" s="131"/>
      <c r="V185" s="131"/>
      <c r="W185" s="15"/>
      <c r="X185" s="131"/>
      <c r="Y185" s="131"/>
      <c r="Z185" s="18"/>
    </row>
    <row r="186" spans="1:26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9"/>
      <c r="L186" s="279"/>
      <c r="M186" s="24"/>
      <c r="N186" s="15"/>
      <c r="O186" s="15"/>
      <c r="P186" s="24"/>
      <c r="Q186" s="15"/>
      <c r="R186" s="24"/>
      <c r="S186" s="222"/>
      <c r="T186" s="15"/>
      <c r="U186" s="131"/>
      <c r="V186" s="131"/>
      <c r="W186" s="15"/>
      <c r="X186" s="131"/>
      <c r="Y186" s="131"/>
      <c r="Z186" s="18"/>
    </row>
    <row r="187" spans="1:26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9"/>
      <c r="L187" s="279"/>
      <c r="M187" s="15"/>
      <c r="N187" s="131"/>
      <c r="O187" s="15"/>
      <c r="P187" s="24"/>
      <c r="Q187" s="15"/>
      <c r="R187" s="24"/>
      <c r="S187" s="222"/>
      <c r="T187" s="15"/>
      <c r="U187" s="131"/>
      <c r="V187" s="131"/>
      <c r="W187" s="15"/>
      <c r="X187" s="131"/>
      <c r="Y187" s="131"/>
      <c r="Z187" s="18"/>
    </row>
    <row r="188" spans="1:26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9"/>
      <c r="L188" s="279"/>
      <c r="M188" s="15"/>
      <c r="N188" s="15"/>
      <c r="O188" s="15"/>
      <c r="P188" s="100"/>
      <c r="Q188" s="35"/>
      <c r="R188" s="24"/>
      <c r="S188" s="222"/>
      <c r="T188" s="15"/>
      <c r="U188" s="131"/>
      <c r="V188" s="131"/>
      <c r="W188" s="15"/>
      <c r="X188" s="131"/>
      <c r="Y188" s="131"/>
      <c r="Z188" s="18"/>
    </row>
    <row r="189" spans="1:26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5"/>
      <c r="P189" s="100"/>
      <c r="Q189" s="35"/>
      <c r="R189" s="24"/>
      <c r="S189" s="222"/>
      <c r="T189" s="15"/>
      <c r="U189" s="131"/>
      <c r="V189" s="131"/>
      <c r="W189" s="15"/>
      <c r="X189" s="131"/>
      <c r="Y189" s="131"/>
      <c r="Z189" s="18"/>
    </row>
    <row r="190" spans="1:26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5"/>
      <c r="P190" s="100"/>
      <c r="Q190" s="35"/>
      <c r="R190" s="24"/>
      <c r="S190" s="222"/>
      <c r="T190" s="15"/>
      <c r="U190" s="131"/>
      <c r="V190" s="131"/>
      <c r="W190" s="15"/>
      <c r="X190" s="131"/>
      <c r="Y190" s="131"/>
      <c r="Z190" s="18"/>
    </row>
    <row r="191" spans="1:26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5"/>
      <c r="P191" s="100"/>
      <c r="Q191" s="35"/>
      <c r="R191" s="35"/>
      <c r="S191" s="223"/>
      <c r="T191" s="15"/>
      <c r="U191" s="131"/>
      <c r="V191" s="131"/>
      <c r="W191" s="15"/>
      <c r="X191" s="131"/>
      <c r="Y191" s="131"/>
      <c r="Z191" s="24"/>
    </row>
    <row r="192" spans="1:26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15"/>
      <c r="O192" s="24"/>
      <c r="P192" s="100"/>
      <c r="Q192" s="35"/>
      <c r="R192" s="24"/>
      <c r="S192" s="222"/>
      <c r="T192" s="15"/>
      <c r="U192" s="131"/>
      <c r="V192" s="131"/>
      <c r="W192" s="15"/>
      <c r="X192" s="131"/>
      <c r="Y192" s="131"/>
      <c r="Z192" s="24"/>
    </row>
    <row r="193" spans="1:26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131"/>
      <c r="O193" s="24"/>
      <c r="P193" s="24"/>
      <c r="Q193" s="25"/>
      <c r="R193" s="24"/>
      <c r="S193" s="222"/>
      <c r="T193" s="15"/>
      <c r="U193" s="131"/>
      <c r="V193" s="131"/>
      <c r="W193" s="15"/>
      <c r="X193" s="131"/>
      <c r="Y193" s="131"/>
      <c r="Z193" s="24"/>
    </row>
    <row r="194" spans="1:26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24"/>
      <c r="Q194" s="15"/>
      <c r="R194" s="24"/>
      <c r="S194" s="222"/>
      <c r="T194" s="15"/>
      <c r="U194" s="131"/>
      <c r="V194" s="131"/>
      <c r="W194" s="15"/>
      <c r="X194" s="131"/>
      <c r="Y194" s="131"/>
      <c r="Z194" s="24"/>
    </row>
    <row r="195" spans="1:26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24"/>
      <c r="Q195" s="15"/>
      <c r="R195" s="24"/>
      <c r="S195" s="222"/>
      <c r="T195" s="15"/>
      <c r="U195" s="131"/>
      <c r="V195" s="131"/>
      <c r="W195" s="15"/>
      <c r="X195" s="131"/>
      <c r="Y195" s="131"/>
      <c r="Z195" s="24"/>
    </row>
    <row r="196" spans="1:26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131"/>
      <c r="O196" s="24"/>
      <c r="P196" s="24"/>
      <c r="Q196" s="25"/>
      <c r="R196" s="24"/>
      <c r="S196" s="222"/>
      <c r="T196" s="15"/>
      <c r="U196" s="131"/>
      <c r="V196" s="131"/>
      <c r="W196" s="15"/>
      <c r="X196" s="131"/>
      <c r="Y196" s="131"/>
      <c r="Z196" s="18"/>
    </row>
    <row r="197" spans="1:26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15"/>
      <c r="P197" s="24"/>
      <c r="Q197" s="25"/>
      <c r="R197" s="24"/>
      <c r="S197" s="222"/>
      <c r="T197" s="15"/>
      <c r="U197" s="131"/>
      <c r="V197" s="131"/>
      <c r="W197" s="15"/>
      <c r="X197" s="131"/>
      <c r="Y197" s="131"/>
      <c r="Z197" s="18"/>
    </row>
    <row r="198" spans="1:26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31"/>
      <c r="O198" s="15"/>
      <c r="P198" s="182"/>
      <c r="Q198" s="15"/>
      <c r="R198" s="24"/>
      <c r="S198" s="222"/>
      <c r="T198" s="15"/>
      <c r="U198" s="131"/>
      <c r="V198" s="131"/>
      <c r="W198" s="15"/>
      <c r="X198" s="131"/>
      <c r="Y198" s="131"/>
      <c r="Z198" s="18"/>
    </row>
    <row r="199" spans="1:26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31"/>
      <c r="O199" s="15"/>
      <c r="P199" s="182"/>
      <c r="Q199" s="15"/>
      <c r="R199" s="24"/>
      <c r="S199" s="222"/>
      <c r="T199" s="15"/>
      <c r="U199" s="131"/>
      <c r="V199" s="131"/>
      <c r="W199" s="15"/>
      <c r="X199" s="131"/>
      <c r="Y199" s="131"/>
      <c r="Z199" s="18"/>
    </row>
    <row r="200" spans="1:26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5"/>
      <c r="P200" s="182"/>
      <c r="Q200" s="15"/>
      <c r="R200" s="24"/>
      <c r="S200" s="222"/>
      <c r="T200" s="15"/>
      <c r="U200" s="131"/>
      <c r="V200" s="131"/>
      <c r="W200" s="15"/>
      <c r="X200" s="131"/>
      <c r="Y200" s="131"/>
      <c r="Z200" s="18"/>
    </row>
    <row r="201" spans="1:26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31"/>
      <c r="O201" s="15"/>
      <c r="P201" s="182"/>
      <c r="Q201" s="15"/>
      <c r="R201" s="24"/>
      <c r="S201" s="222"/>
      <c r="T201" s="15"/>
      <c r="U201" s="131"/>
      <c r="V201" s="131"/>
      <c r="W201" s="15"/>
      <c r="X201" s="131"/>
      <c r="Y201" s="131"/>
      <c r="Z201" s="18"/>
    </row>
    <row r="202" spans="1:26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31"/>
      <c r="O202" s="15"/>
      <c r="P202" s="182"/>
      <c r="Q202" s="15"/>
      <c r="R202" s="24"/>
      <c r="S202" s="222"/>
      <c r="T202" s="15"/>
      <c r="U202" s="131"/>
      <c r="V202" s="131"/>
      <c r="W202" s="15"/>
      <c r="X202" s="131"/>
      <c r="Y202" s="131"/>
      <c r="Z202" s="18"/>
    </row>
    <row r="203" spans="1:26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15"/>
      <c r="P203" s="24"/>
      <c r="Q203" s="15"/>
      <c r="R203" s="24"/>
      <c r="S203" s="222"/>
      <c r="T203" s="15"/>
      <c r="U203" s="131"/>
      <c r="V203" s="131"/>
      <c r="W203" s="15"/>
      <c r="X203" s="131"/>
      <c r="Y203" s="131"/>
      <c r="Z203" s="18"/>
    </row>
    <row r="204" spans="1:26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15"/>
      <c r="P204" s="24"/>
      <c r="Q204" s="15"/>
      <c r="R204" s="24"/>
      <c r="S204" s="222"/>
      <c r="T204" s="15"/>
      <c r="U204" s="131"/>
      <c r="V204" s="131"/>
      <c r="W204" s="15"/>
      <c r="X204" s="131"/>
      <c r="Y204" s="131"/>
      <c r="Z204" s="18"/>
    </row>
    <row r="205" spans="1:26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15"/>
      <c r="P205" s="24"/>
      <c r="Q205" s="15"/>
      <c r="R205" s="24"/>
      <c r="S205" s="222"/>
      <c r="T205" s="15"/>
      <c r="U205" s="131"/>
      <c r="V205" s="131"/>
      <c r="W205" s="15"/>
      <c r="X205" s="131"/>
      <c r="Y205" s="131"/>
      <c r="Z205" s="18"/>
    </row>
    <row r="206" spans="1:26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15"/>
      <c r="P206" s="24"/>
      <c r="Q206" s="15"/>
      <c r="R206" s="24"/>
      <c r="S206" s="222"/>
      <c r="T206" s="15"/>
      <c r="U206" s="131"/>
      <c r="V206" s="131"/>
      <c r="W206" s="15"/>
      <c r="X206" s="131"/>
      <c r="Y206" s="131"/>
      <c r="Z206" s="18"/>
    </row>
    <row r="207" spans="1:26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15"/>
      <c r="P207" s="24"/>
      <c r="Q207" s="15"/>
      <c r="R207" s="24"/>
      <c r="S207" s="222"/>
      <c r="T207" s="15"/>
      <c r="U207" s="131"/>
      <c r="V207" s="131"/>
      <c r="W207" s="15"/>
      <c r="X207" s="131"/>
      <c r="Y207" s="131"/>
      <c r="Z207" s="18"/>
    </row>
    <row r="208" spans="1:26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15"/>
      <c r="P208" s="24"/>
      <c r="Q208" s="25"/>
      <c r="R208" s="24"/>
      <c r="S208" s="222"/>
      <c r="T208" s="15"/>
      <c r="U208" s="131"/>
      <c r="V208" s="131"/>
      <c r="W208" s="15"/>
      <c r="X208" s="131"/>
      <c r="Y208" s="131"/>
      <c r="Z208" s="18"/>
    </row>
    <row r="209" spans="1:26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31"/>
      <c r="O209" s="15"/>
      <c r="P209" s="24"/>
      <c r="Q209" s="15"/>
      <c r="R209" s="24"/>
      <c r="S209" s="222"/>
      <c r="T209" s="15"/>
      <c r="U209" s="131"/>
      <c r="V209" s="131"/>
      <c r="W209" s="15"/>
      <c r="X209" s="131"/>
      <c r="Y209" s="131"/>
      <c r="Z209" s="18"/>
    </row>
    <row r="210" spans="1:26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31"/>
      <c r="O210" s="15"/>
      <c r="P210" s="24"/>
      <c r="Q210" s="15"/>
      <c r="R210" s="24"/>
      <c r="S210" s="222"/>
      <c r="T210" s="15"/>
      <c r="U210" s="131"/>
      <c r="V210" s="131"/>
      <c r="W210" s="15"/>
      <c r="X210" s="131"/>
      <c r="Y210" s="131"/>
      <c r="Z210" s="18"/>
    </row>
    <row r="211" spans="1:26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31"/>
      <c r="O211" s="15"/>
      <c r="P211" s="24"/>
      <c r="Q211" s="15"/>
      <c r="R211" s="24"/>
      <c r="S211" s="222"/>
      <c r="T211" s="15"/>
      <c r="U211" s="131"/>
      <c r="V211" s="131"/>
      <c r="W211" s="15"/>
      <c r="X211" s="131"/>
      <c r="Y211" s="131"/>
      <c r="Z211" s="18"/>
    </row>
    <row r="212" spans="1:26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15"/>
      <c r="P212" s="24"/>
      <c r="Q212" s="15"/>
      <c r="R212" s="24"/>
      <c r="S212" s="222"/>
      <c r="T212" s="15"/>
      <c r="U212" s="131"/>
      <c r="V212" s="131"/>
      <c r="W212" s="15"/>
      <c r="X212" s="131"/>
      <c r="Y212" s="131"/>
      <c r="Z212" s="18"/>
    </row>
    <row r="213" spans="1:26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15"/>
      <c r="P213" s="24"/>
      <c r="Q213" s="15"/>
      <c r="R213" s="24"/>
      <c r="S213" s="222"/>
      <c r="T213" s="15"/>
      <c r="U213" s="131"/>
      <c r="V213" s="131"/>
      <c r="W213" s="15"/>
      <c r="X213" s="131"/>
      <c r="Y213" s="131"/>
      <c r="Z213" s="18"/>
    </row>
    <row r="214" spans="1:26" ht="14.25" customHeight="1">
      <c r="A214" s="15">
        <v>220</v>
      </c>
      <c r="B214" s="25"/>
      <c r="C214" s="25"/>
      <c r="D214" s="231"/>
      <c r="E214" s="232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22"/>
      <c r="T214" s="24"/>
      <c r="U214" s="24"/>
      <c r="V214" s="24"/>
      <c r="W214" s="24"/>
      <c r="X214" s="24"/>
      <c r="Y214" s="24"/>
      <c r="Z214" s="24"/>
    </row>
    <row r="215" spans="1:26" ht="14.25" customHeight="1">
      <c r="S215" s="233"/>
    </row>
    <row r="216" spans="1:26" ht="14.25" customHeight="1">
      <c r="S216" s="233"/>
    </row>
    <row r="217" spans="1:26" ht="14.25" customHeight="1">
      <c r="S217" s="233"/>
    </row>
    <row r="218" spans="1:26" ht="14.25" customHeight="1">
      <c r="S218" s="233"/>
    </row>
    <row r="219" spans="1:26" ht="14.25" customHeight="1">
      <c r="H219" s="430">
        <v>4</v>
      </c>
      <c r="N219" s="105"/>
      <c r="O219" s="43"/>
      <c r="P219" s="105"/>
      <c r="S219" s="233"/>
    </row>
    <row r="220" spans="1:26" ht="14.25" customHeight="1">
      <c r="H220" s="430">
        <v>16</v>
      </c>
      <c r="L220" s="234">
        <f>I3-L3</f>
        <v>1.1032500000000027</v>
      </c>
      <c r="S220" s="233"/>
    </row>
    <row r="221" spans="1:26" ht="14.25" customHeight="1">
      <c r="H221" s="430">
        <v>7</v>
      </c>
      <c r="S221" s="233"/>
    </row>
    <row r="222" spans="1:26" ht="14.25" customHeight="1">
      <c r="G222" s="16">
        <v>952</v>
      </c>
      <c r="H222" s="430">
        <f t="shared" ref="H222:H231" si="32">G222/1000</f>
        <v>0.95199999999999996</v>
      </c>
      <c r="S222" s="233"/>
    </row>
    <row r="223" spans="1:26" ht="14.25" customHeight="1">
      <c r="G223" s="16">
        <v>173.57</v>
      </c>
      <c r="H223" s="430">
        <f t="shared" si="32"/>
        <v>0.17357</v>
      </c>
      <c r="S223" s="233"/>
    </row>
    <row r="224" spans="1:26" ht="14.25" customHeight="1">
      <c r="G224" s="16">
        <v>336.5</v>
      </c>
      <c r="H224" s="430">
        <f t="shared" si="32"/>
        <v>0.33650000000000002</v>
      </c>
      <c r="S224" s="233"/>
    </row>
    <row r="225" spans="7:19" ht="14.25" customHeight="1">
      <c r="G225" s="16">
        <v>900.14</v>
      </c>
      <c r="H225" s="430">
        <f t="shared" si="32"/>
        <v>0.90013999999999994</v>
      </c>
      <c r="S225" s="233"/>
    </row>
    <row r="226" spans="7:19" ht="14.25" customHeight="1">
      <c r="G226" s="16">
        <v>1697.24</v>
      </c>
      <c r="H226" s="430">
        <f t="shared" si="32"/>
        <v>1.6972400000000001</v>
      </c>
    </row>
    <row r="227" spans="7:19" ht="14.25" customHeight="1">
      <c r="G227" s="16">
        <v>1600.078</v>
      </c>
      <c r="H227" s="430">
        <f t="shared" si="32"/>
        <v>1.6000779999999999</v>
      </c>
    </row>
    <row r="228" spans="7:19" ht="14.25" customHeight="1">
      <c r="G228" s="16">
        <v>525.89</v>
      </c>
      <c r="H228" s="430">
        <f t="shared" si="32"/>
        <v>0.52588999999999997</v>
      </c>
    </row>
    <row r="229" spans="7:19" ht="14.25" customHeight="1">
      <c r="G229" s="16">
        <v>356.279</v>
      </c>
      <c r="H229" s="430">
        <f t="shared" si="32"/>
        <v>0.35627900000000001</v>
      </c>
    </row>
    <row r="230" spans="7:19" ht="14.25" customHeight="1">
      <c r="G230" s="16">
        <v>190.524</v>
      </c>
      <c r="H230" s="430">
        <f t="shared" si="32"/>
        <v>0.190524</v>
      </c>
    </row>
    <row r="231" spans="7:19" ht="14.25" customHeight="1">
      <c r="G231" s="16">
        <v>142.38399999999999</v>
      </c>
      <c r="H231" s="430">
        <f t="shared" si="32"/>
        <v>0.14238399999999998</v>
      </c>
    </row>
  </sheetData>
  <autoFilter ref="A5:Z214" xr:uid="{00000000-0009-0000-0000-000008000000}"/>
  <mergeCells count="10">
    <mergeCell ref="J4:L4"/>
    <mergeCell ref="T4:V4"/>
    <mergeCell ref="A1:Z1"/>
    <mergeCell ref="A2:D2"/>
    <mergeCell ref="F2:R2"/>
    <mergeCell ref="T2:Z2"/>
    <mergeCell ref="A3:C3"/>
    <mergeCell ref="B4:C4"/>
    <mergeCell ref="G4:I4"/>
    <mergeCell ref="W4:Y4"/>
  </mergeCells>
  <conditionalFormatting sqref="E6:G41">
    <cfRule type="containsText" dxfId="1555" priority="37" operator="containsText" text="C">
      <formula>NOT(ISERROR(SEARCH(("C"),(E6))))</formula>
    </cfRule>
  </conditionalFormatting>
  <conditionalFormatting sqref="E101:G101">
    <cfRule type="containsText" dxfId="1554" priority="68" operator="containsText" text="WIP">
      <formula>NOT(ISERROR(SEARCH(("WIP"),(E101))))</formula>
    </cfRule>
  </conditionalFormatting>
  <conditionalFormatting sqref="F13:F18">
    <cfRule type="containsText" dxfId="1553" priority="69" operator="containsText" text="WIP">
      <formula>NOT(ISERROR(SEARCH(("WIP"),(F13))))</formula>
    </cfRule>
  </conditionalFormatting>
  <conditionalFormatting sqref="F50 E85:E101">
    <cfRule type="containsText" dxfId="1552" priority="59" operator="containsText" text="C">
      <formula>NOT(ISERROR(SEARCH(("C"),(E95))))</formula>
    </cfRule>
  </conditionalFormatting>
  <conditionalFormatting sqref="F51">
    <cfRule type="containsText" dxfId="1551" priority="35" operator="containsText" text="C">
      <formula>NOT(ISERROR(SEARCH(("C"),(F51))))</formula>
    </cfRule>
  </conditionalFormatting>
  <conditionalFormatting sqref="F131">
    <cfRule type="containsText" dxfId="1550" priority="71" operator="containsText" text="WIP">
      <formula>NOT(ISERROR(SEARCH(("WIP"),(F131))))</formula>
    </cfRule>
  </conditionalFormatting>
  <conditionalFormatting sqref="F132:F161">
    <cfRule type="containsText" dxfId="1549" priority="72" operator="containsText" text="C">
      <formula>NOT(ISERROR(SEARCH(("C"),(F132))))</formula>
    </cfRule>
  </conditionalFormatting>
  <conditionalFormatting sqref="F176:F187">
    <cfRule type="containsText" dxfId="1548" priority="73" operator="containsText" text="C">
      <formula>NOT(ISERROR(SEARCH(("C"),(F176))))</formula>
    </cfRule>
  </conditionalFormatting>
  <conditionalFormatting sqref="F30:G32">
    <cfRule type="containsText" dxfId="1547" priority="74" operator="containsText" text="WIP">
      <formula>NOT(ISERROR(SEARCH(("WIP"),(F30))))</formula>
    </cfRule>
  </conditionalFormatting>
  <conditionalFormatting sqref="F42:G50 E42:E60 E64:E84">
    <cfRule type="containsText" dxfId="1546" priority="58" operator="containsText" text="C">
      <formula>NOT(ISERROR(SEARCH(("C"),(E42))))</formula>
    </cfRule>
  </conditionalFormatting>
  <conditionalFormatting sqref="F64:G101 F52:G60 E61:G63">
    <cfRule type="containsText" dxfId="1545" priority="76" operator="containsText" text="C">
      <formula>NOT(ISERROR(SEARCH(("C"),(E52))))</formula>
    </cfRule>
  </conditionalFormatting>
  <conditionalFormatting sqref="F102:G114 E102:E214 F193:F194">
    <cfRule type="containsText" dxfId="1544" priority="60" operator="containsText" text="C">
      <formula>NOT(ISERROR(SEARCH(("C"),(E102))))</formula>
    </cfRule>
  </conditionalFormatting>
  <conditionalFormatting sqref="F115:G131">
    <cfRule type="containsText" dxfId="1543" priority="79" operator="containsText" text="C">
      <formula>NOT(ISERROR(SEARCH(("C"),(F115))))</formula>
    </cfRule>
  </conditionalFormatting>
  <conditionalFormatting sqref="F162:G175">
    <cfRule type="containsText" dxfId="1542" priority="80" operator="containsText" text="C">
      <formula>NOT(ISERROR(SEARCH(("C"),(F162))))</formula>
    </cfRule>
  </conditionalFormatting>
  <conditionalFormatting sqref="F188:G192 G193:G194">
    <cfRule type="containsText" dxfId="1541" priority="90" operator="containsText" text="C">
      <formula>NOT(ISERROR(SEARCH(("C"),(F336))))</formula>
    </cfRule>
  </conditionalFormatting>
  <conditionalFormatting sqref="F195:G213">
    <cfRule type="containsText" dxfId="1540" priority="82" operator="containsText" text="C">
      <formula>NOT(ISERROR(SEARCH(("C"),(F195))))</formula>
    </cfRule>
  </conditionalFormatting>
  <conditionalFormatting sqref="G7:G22">
    <cfRule type="containsText" dxfId="1539" priority="85" operator="containsText" text="WIP">
      <formula>NOT(ISERROR(SEARCH(("WIP"),(G7))))</formula>
    </cfRule>
  </conditionalFormatting>
  <conditionalFormatting sqref="G50:G51">
    <cfRule type="containsText" dxfId="1538" priority="34" operator="containsText" text="C">
      <formula>NOT(ISERROR(SEARCH(("C"),(G50))))</formula>
    </cfRule>
  </conditionalFormatting>
  <conditionalFormatting sqref="G69:G70 E132:E133 H70">
    <cfRule type="containsText" dxfId="1537" priority="113" operator="containsText" text="WIP">
      <formula>NOT(ISERROR(SEARCH(("WIP"),(E132))))</formula>
    </cfRule>
  </conditionalFormatting>
  <conditionalFormatting sqref="G87:G88">
    <cfRule type="containsText" dxfId="1536" priority="93" operator="containsText" text="WIP">
      <formula>NOT(ISERROR(SEARCH(("WIP"),(G87))))</formula>
    </cfRule>
  </conditionalFormatting>
  <conditionalFormatting sqref="G93:G98">
    <cfRule type="containsText" dxfId="1535" priority="94" operator="containsText" text="WIP">
      <formula>NOT(ISERROR(SEARCH(("WIP"),(G93))))</formula>
    </cfRule>
  </conditionalFormatting>
  <conditionalFormatting sqref="G100 G102:G110">
    <cfRule type="containsText" dxfId="1534" priority="95" operator="containsText" text="WIP">
      <formula>NOT(ISERROR(SEARCH(("WIP"),(G100))))</formula>
    </cfRule>
  </conditionalFormatting>
  <conditionalFormatting sqref="G115 G112">
    <cfRule type="containsText" dxfId="1533" priority="96" operator="containsText" text="WIP">
      <formula>NOT(ISERROR(SEARCH(("WIP"),(G112))))</formula>
    </cfRule>
  </conditionalFormatting>
  <conditionalFormatting sqref="G119:G121">
    <cfRule type="containsText" dxfId="1532" priority="97" operator="containsText" text="WIP">
      <formula>NOT(ISERROR(SEARCH(("WIP"),(G119))))</formula>
    </cfRule>
  </conditionalFormatting>
  <conditionalFormatting sqref="G132:G134">
    <cfRule type="containsText" dxfId="1531" priority="98" operator="containsText" text="C">
      <formula>NOT(ISERROR(SEARCH(("C"),(G132))))</formula>
    </cfRule>
  </conditionalFormatting>
  <conditionalFormatting sqref="G135:G146">
    <cfRule type="containsText" dxfId="1530" priority="99" operator="containsText" text="WIP">
      <formula>NOT(ISERROR(SEARCH(("WIP"),(G135))))</formula>
    </cfRule>
  </conditionalFormatting>
  <conditionalFormatting sqref="G135:G161">
    <cfRule type="containsText" dxfId="1529" priority="100" operator="containsText" text="C">
      <formula>NOT(ISERROR(SEARCH(("C"),(G135))))</formula>
    </cfRule>
  </conditionalFormatting>
  <conditionalFormatting sqref="G151 G153">
    <cfRule type="containsText" dxfId="1528" priority="101" operator="containsText" text="WIP">
      <formula>NOT(ISERROR(SEARCH(("WIP"),(G151))))</formula>
    </cfRule>
  </conditionalFormatting>
  <conditionalFormatting sqref="G155:G160">
    <cfRule type="containsText" dxfId="1527" priority="102" operator="containsText" text="WIP">
      <formula>NOT(ISERROR(SEARCH(("WIP"),(G155))))</formula>
    </cfRule>
  </conditionalFormatting>
  <conditionalFormatting sqref="G164:G171">
    <cfRule type="containsText" dxfId="1526" priority="103" operator="containsText" text="WIP">
      <formula>NOT(ISERROR(SEARCH(("WIP"),(G164))))</formula>
    </cfRule>
  </conditionalFormatting>
  <conditionalFormatting sqref="G171">
    <cfRule type="containsText" dxfId="1525" priority="104" operator="containsText" text="C">
      <formula>NOT(ISERROR(SEARCH(("C"),(G171))))</formula>
    </cfRule>
  </conditionalFormatting>
  <conditionalFormatting sqref="G173:G180">
    <cfRule type="containsText" dxfId="1524" priority="105" operator="containsText" text="WIP">
      <formula>NOT(ISERROR(SEARCH(("WIP"),(G173))))</formula>
    </cfRule>
  </conditionalFormatting>
  <conditionalFormatting sqref="G174:G187">
    <cfRule type="containsText" dxfId="1523" priority="106" operator="containsText" text="C">
      <formula>NOT(ISERROR(SEARCH(("C"),(G174))))</formula>
    </cfRule>
  </conditionalFormatting>
  <conditionalFormatting sqref="G176:G180">
    <cfRule type="containsText" dxfId="1522" priority="81" operator="containsText" text="C">
      <formula>NOT(ISERROR(SEARCH(("C"),(G176))))</formula>
    </cfRule>
  </conditionalFormatting>
  <conditionalFormatting sqref="G183:G186">
    <cfRule type="containsText" dxfId="1521" priority="107" operator="containsText" text="WIP">
      <formula>NOT(ISERROR(SEARCH(("WIP"),(G183))))</formula>
    </cfRule>
  </conditionalFormatting>
  <conditionalFormatting sqref="G188:G194">
    <cfRule type="containsText" dxfId="1520" priority="108" operator="containsText" text="WIP">
      <formula>NOT(ISERROR(SEARCH(("WIP"),(G188))))</formula>
    </cfRule>
  </conditionalFormatting>
  <conditionalFormatting sqref="G192:G194">
    <cfRule type="containsText" dxfId="1519" priority="110" operator="containsText" text="C">
      <formula>NOT(ISERROR(SEARCH(("C"),(G192))))</formula>
    </cfRule>
  </conditionalFormatting>
  <conditionalFormatting sqref="G196:G202">
    <cfRule type="containsText" dxfId="1518" priority="111" operator="containsText" text="WIP">
      <formula>NOT(ISERROR(SEARCH(("WIP"),(G196))))</formula>
    </cfRule>
  </conditionalFormatting>
  <conditionalFormatting sqref="G206:G207">
    <cfRule type="containsText" dxfId="1517" priority="112" operator="containsText" text="WIP">
      <formula>NOT(ISERROR(SEARCH(("WIP"),(G206))))</formula>
    </cfRule>
  </conditionalFormatting>
  <conditionalFormatting sqref="H70">
    <cfRule type="containsText" dxfId="1516" priority="114" operator="containsText" text="C">
      <formula>NOT(ISERROR(SEARCH(("C"),(H70))))</formula>
    </cfRule>
  </conditionalFormatting>
  <conditionalFormatting sqref="J6:J10">
    <cfRule type="containsText" dxfId="1515" priority="38" operator="containsText" text="C">
      <formula>NOT(ISERROR(SEARCH(("C"),(J6))))</formula>
    </cfRule>
  </conditionalFormatting>
  <conditionalFormatting sqref="J7:J21">
    <cfRule type="containsText" dxfId="1514" priority="116" operator="containsText" text="WIP">
      <formula>NOT(ISERROR(SEARCH(("WIP"),(J7))))</formula>
    </cfRule>
  </conditionalFormatting>
  <conditionalFormatting sqref="J7:J33">
    <cfRule type="containsText" dxfId="1513" priority="117" operator="containsText" text="C">
      <formula>NOT(ISERROR(SEARCH(("C"),(J7))))</formula>
    </cfRule>
  </conditionalFormatting>
  <conditionalFormatting sqref="J30:J33">
    <cfRule type="containsText" dxfId="1512" priority="121" operator="containsText" text="WIP">
      <formula>NOT(ISERROR(SEARCH(("WIP"),(J30))))</formula>
    </cfRule>
  </conditionalFormatting>
  <conditionalFormatting sqref="J34:J44">
    <cfRule type="containsText" dxfId="1511" priority="14" operator="containsText" text="C">
      <formula>NOT(ISERROR(SEARCH(("C"),(J34))))</formula>
    </cfRule>
  </conditionalFormatting>
  <conditionalFormatting sqref="J39">
    <cfRule type="containsText" dxfId="1510" priority="123" operator="containsText" text="WIP">
      <formula>NOT(ISERROR(SEARCH(("WIP"),(J39))))</formula>
    </cfRule>
  </conditionalFormatting>
  <conditionalFormatting sqref="J45 J47:J83 J39">
    <cfRule type="containsText" dxfId="1509" priority="125" operator="containsText" text="C">
      <formula>NOT(ISERROR(SEARCH(("C"),(J39))))</formula>
    </cfRule>
  </conditionalFormatting>
  <conditionalFormatting sqref="J45 J50:J51">
    <cfRule type="containsText" dxfId="1508" priority="124" operator="containsText" text="WIP">
      <formula>NOT(ISERROR(SEARCH(("WIP"),(J45))))</formula>
    </cfRule>
  </conditionalFormatting>
  <conditionalFormatting sqref="J46">
    <cfRule type="containsText" dxfId="1507" priority="10" operator="containsText" text="C">
      <formula>NOT(ISERROR(SEARCH(("C"),(J46))))</formula>
    </cfRule>
  </conditionalFormatting>
  <conditionalFormatting sqref="J61:J64 J69:J71 J74:J79 J82 G58:G59 G62:G64 E204 J84:J85">
    <cfRule type="containsText" dxfId="1506" priority="126" operator="containsText" text="WIP">
      <formula>NOT(ISERROR(SEARCH(("WIP"),(G58))))</formula>
    </cfRule>
  </conditionalFormatting>
  <conditionalFormatting sqref="J84:J101">
    <cfRule type="containsText" dxfId="1505" priority="127" operator="containsText" text="C">
      <formula>NOT(ISERROR(SEARCH(("C"),(J84))))</formula>
    </cfRule>
  </conditionalFormatting>
  <conditionalFormatting sqref="J88:J98">
    <cfRule type="containsText" dxfId="1504" priority="129" operator="containsText" text="WIP">
      <formula>NOT(ISERROR(SEARCH(("WIP"),(J88))))</formula>
    </cfRule>
  </conditionalFormatting>
  <conditionalFormatting sqref="J100:J122">
    <cfRule type="containsText" dxfId="1503" priority="128" operator="containsText" text="WIP">
      <formula>NOT(ISERROR(SEARCH(("WIP"),(J100))))</formula>
    </cfRule>
  </conditionalFormatting>
  <conditionalFormatting sqref="J102:J133">
    <cfRule type="containsText" dxfId="1502" priority="130" operator="containsText" text="C">
      <formula>NOT(ISERROR(SEARCH(("C"),(J102))))</formula>
    </cfRule>
  </conditionalFormatting>
  <conditionalFormatting sqref="J113:J117">
    <cfRule type="containsText" dxfId="1501" priority="132" operator="containsText" text="WIP">
      <formula>NOT(ISERROR(SEARCH(("WIP"),(J113))))</formula>
    </cfRule>
  </conditionalFormatting>
  <conditionalFormatting sqref="J132:J151">
    <cfRule type="containsText" dxfId="1500" priority="133" operator="containsText" text="WIP">
      <formula>NOT(ISERROR(SEARCH(("WIP"),(J132))))</formula>
    </cfRule>
  </conditionalFormatting>
  <conditionalFormatting sqref="J133:J154">
    <cfRule type="containsText" dxfId="1499" priority="134" operator="containsText" text="C">
      <formula>NOT(ISERROR(SEARCH(("C"),(J133))))</formula>
    </cfRule>
  </conditionalFormatting>
  <conditionalFormatting sqref="J154:J171">
    <cfRule type="containsText" dxfId="1498" priority="135" operator="containsText" text="WIP">
      <formula>NOT(ISERROR(SEARCH(("WIP"),(J154))))</formula>
    </cfRule>
  </conditionalFormatting>
  <conditionalFormatting sqref="J155:J213">
    <cfRule type="containsText" dxfId="1497" priority="136" operator="containsText" text="C">
      <formula>NOT(ISERROR(SEARCH(("C"),(J155))))</formula>
    </cfRule>
  </conditionalFormatting>
  <conditionalFormatting sqref="J173:J180">
    <cfRule type="containsText" dxfId="1496" priority="138" operator="containsText" text="WIP">
      <formula>NOT(ISERROR(SEARCH(("WIP"),(J173))))</formula>
    </cfRule>
  </conditionalFormatting>
  <conditionalFormatting sqref="J186:J209">
    <cfRule type="containsText" dxfId="1495" priority="140" operator="containsText" text="WIP">
      <formula>NOT(ISERROR(SEARCH(("WIP"),(J186))))</formula>
    </cfRule>
  </conditionalFormatting>
  <conditionalFormatting sqref="J7:K8">
    <cfRule type="containsText" dxfId="1494" priority="141" operator="containsText" text="C">
      <formula>NOT(ISERROR(SEARCH(("C"),(J7))))</formula>
    </cfRule>
  </conditionalFormatting>
  <conditionalFormatting sqref="K7:K8">
    <cfRule type="containsText" dxfId="1493" priority="142" operator="containsText" text="WIP">
      <formula>NOT(ISERROR(SEARCH(("WIP"),(K7))))</formula>
    </cfRule>
  </conditionalFormatting>
  <conditionalFormatting sqref="M22:N32">
    <cfRule type="containsText" dxfId="1492" priority="23" operator="containsText" text="C">
      <formula>NOT(ISERROR(SEARCH(("C"),(M22))))</formula>
    </cfRule>
  </conditionalFormatting>
  <conditionalFormatting sqref="M30:N30">
    <cfRule type="containsText" dxfId="1491" priority="22" operator="containsText" text="WIP">
      <formula>NOT(ISERROR(SEARCH(("WIP"),(M30))))</formula>
    </cfRule>
    <cfRule type="containsText" dxfId="1490" priority="21" operator="containsText" text="C">
      <formula>NOT(ISERROR(SEARCH(("C"),(M30))))</formula>
    </cfRule>
  </conditionalFormatting>
  <conditionalFormatting sqref="M31:N32">
    <cfRule type="containsText" dxfId="1489" priority="25" operator="containsText" text="WIP">
      <formula>NOT(ISERROR(SEARCH(("WIP"),(M31))))</formula>
    </cfRule>
  </conditionalFormatting>
  <conditionalFormatting sqref="M33:N34">
    <cfRule type="containsText" dxfId="1488" priority="18" operator="containsText" text="C">
      <formula>NOT(ISERROR(SEARCH(("C"),(M33))))</formula>
    </cfRule>
    <cfRule type="containsText" dxfId="1487" priority="19" operator="containsText" text="WIP">
      <formula>NOT(ISERROR(SEARCH(("WIP"),(M33))))</formula>
    </cfRule>
    <cfRule type="containsText" dxfId="1486" priority="20" operator="containsText" text="C">
      <formula>NOT(ISERROR(SEARCH(("C"),(M33))))</formula>
    </cfRule>
  </conditionalFormatting>
  <conditionalFormatting sqref="M39:N43">
    <cfRule type="containsText" dxfId="1485" priority="13" operator="containsText" text="C">
      <formula>NOT(ISERROR(SEARCH(("C"),(M39))))</formula>
    </cfRule>
  </conditionalFormatting>
  <conditionalFormatting sqref="M40:N41">
    <cfRule type="containsText" dxfId="1484" priority="12" operator="containsText" text="WIP">
      <formula>NOT(ISERROR(SEARCH(("WIP"),(M40))))</formula>
    </cfRule>
  </conditionalFormatting>
  <conditionalFormatting sqref="M42:N43">
    <cfRule type="containsText" dxfId="1483" priority="17" operator="containsText" text="C">
      <formula>NOT(ISERROR(SEARCH(("C"),(M42))))</formula>
    </cfRule>
    <cfRule type="containsText" dxfId="1482" priority="16" operator="containsText" text="WIP">
      <formula>NOT(ISERROR(SEARCH(("WIP"),(M42))))</formula>
    </cfRule>
  </conditionalFormatting>
  <conditionalFormatting sqref="M88:N88">
    <cfRule type="containsText" dxfId="1481" priority="147" operator="containsText" text="C">
      <formula>NOT(ISERROR(SEARCH(("C"),(M88))))</formula>
    </cfRule>
    <cfRule type="containsText" dxfId="1480" priority="146" operator="containsText" text="WIP">
      <formula>NOT(ISERROR(SEARCH(("WIP"),(M88))))</formula>
    </cfRule>
  </conditionalFormatting>
  <conditionalFormatting sqref="M6:O6">
    <cfRule type="containsText" dxfId="1479" priority="41" operator="containsText" text="C">
      <formula>NOT(ISERROR(SEARCH(("C"),(M6))))</formula>
    </cfRule>
    <cfRule type="containsText" dxfId="1478" priority="42" operator="containsText" text="WIP">
      <formula>NOT(ISERROR(SEARCH(("WIP"),(M6))))</formula>
    </cfRule>
  </conditionalFormatting>
  <conditionalFormatting sqref="M6:O10">
    <cfRule type="containsText" dxfId="1477" priority="43" operator="containsText" text="C">
      <formula>NOT(ISERROR(SEARCH(("C"),(M6))))</formula>
    </cfRule>
  </conditionalFormatting>
  <conditionalFormatting sqref="M7:O10">
    <cfRule type="containsText" dxfId="1476" priority="150" operator="containsText" text="C">
      <formula>NOT(ISERROR(SEARCH(("C"),(M7))))</formula>
    </cfRule>
    <cfRule type="containsText" dxfId="1475" priority="149" operator="containsText" text="WIP">
      <formula>NOT(ISERROR(SEARCH(("WIP"),(M7))))</formula>
    </cfRule>
  </conditionalFormatting>
  <conditionalFormatting sqref="M17:O17">
    <cfRule type="containsText" dxfId="1474" priority="151" operator="containsText" text="WIP">
      <formula>NOT(ISERROR(SEARCH(("WIP"),(M17))))</formula>
    </cfRule>
  </conditionalFormatting>
  <conditionalFormatting sqref="M17:O18">
    <cfRule type="containsText" dxfId="1473" priority="152" operator="containsText" text="C">
      <formula>NOT(ISERROR(SEARCH(("C"),(M17))))</formula>
    </cfRule>
  </conditionalFormatting>
  <conditionalFormatting sqref="M18:O18 M22:N29">
    <cfRule type="containsText" dxfId="1472" priority="155" operator="containsText" text="WIP">
      <formula>NOT(ISERROR(SEARCH(("WIP"),(M18))))</formula>
    </cfRule>
  </conditionalFormatting>
  <conditionalFormatting sqref="M31:O32">
    <cfRule type="containsText" dxfId="1471" priority="26" operator="containsText" text="C">
      <formula>NOT(ISERROR(SEARCH(("C"),(M31))))</formula>
    </cfRule>
  </conditionalFormatting>
  <conditionalFormatting sqref="M40:O41">
    <cfRule type="containsText" dxfId="1470" priority="3" operator="containsText" text="C">
      <formula>NOT(ISERROR(SEARCH(("C"),(M40))))</formula>
    </cfRule>
  </conditionalFormatting>
  <conditionalFormatting sqref="M46:O46">
    <cfRule type="containsText" dxfId="1469" priority="7" operator="containsText" text="C">
      <formula>NOT(ISERROR(SEARCH(("C"),(M46))))</formula>
    </cfRule>
  </conditionalFormatting>
  <conditionalFormatting sqref="M47:O51">
    <cfRule type="containsText" dxfId="1468" priority="32" operator="containsText" text="C">
      <formula>NOT(ISERROR(SEARCH(("C"),(M47))))</formula>
    </cfRule>
  </conditionalFormatting>
  <conditionalFormatting sqref="M51:O51">
    <cfRule type="containsText" dxfId="1467" priority="31" operator="containsText" text="WIP">
      <formula>NOT(ISERROR(SEARCH(("WIP"),(M51))))</formula>
    </cfRule>
    <cfRule type="containsText" dxfId="1466" priority="30" operator="containsText" text="C">
      <formula>NOT(ISERROR(SEARCH(("C"),(M51))))</formula>
    </cfRule>
  </conditionalFormatting>
  <conditionalFormatting sqref="M52:O76">
    <cfRule type="containsText" dxfId="1465" priority="50" operator="containsText" text="C">
      <formula>NOT(ISERROR(SEARCH(("C"),(M52))))</formula>
    </cfRule>
  </conditionalFormatting>
  <conditionalFormatting sqref="M61:O64">
    <cfRule type="containsText" dxfId="1464" priority="49" operator="containsText" text="WIP">
      <formula>NOT(ISERROR(SEARCH(("WIP"),(M61))))</formula>
    </cfRule>
    <cfRule type="containsText" dxfId="1463" priority="48" operator="containsText" text="C">
      <formula>NOT(ISERROR(SEARCH(("C"),(M61))))</formula>
    </cfRule>
  </conditionalFormatting>
  <conditionalFormatting sqref="M77:O79">
    <cfRule type="containsText" dxfId="1462" priority="47" operator="containsText" text="C">
      <formula>NOT(ISERROR(SEARCH(("C"),(M77))))</formula>
    </cfRule>
    <cfRule type="containsText" dxfId="1461" priority="46" operator="containsText" text="WIP">
      <formula>NOT(ISERROR(SEARCH(("WIP"),(M77))))</formula>
    </cfRule>
    <cfRule type="containsText" dxfId="1460" priority="45" operator="containsText" text="C">
      <formula>NOT(ISERROR(SEARCH(("C"),(M77))))</formula>
    </cfRule>
  </conditionalFormatting>
  <conditionalFormatting sqref="O13 M13:N14 O17 O22:O28 M35:O38 M47:O50 M52:O60 M65:O76 O80:O82 M80:N83">
    <cfRule type="containsText" dxfId="1459" priority="145" operator="containsText" text="C">
      <formula>NOT(ISERROR(SEARCH(("C"),(M13))))</formula>
    </cfRule>
  </conditionalFormatting>
  <conditionalFormatting sqref="O13 M13:N14 O17 O22:O28 M35:O38 O80:O82 M80:N83 M52:O60 M65:O76 M47:O50">
    <cfRule type="containsText" dxfId="1458" priority="144" operator="containsText" text="WIP">
      <formula>NOT(ISERROR(SEARCH(("WIP"),(M13))))</formula>
    </cfRule>
  </conditionalFormatting>
  <conditionalFormatting sqref="O13 M13:N14 O17 O22:O28 M35:O38 O80:O82 M80:N83">
    <cfRule type="containsText" dxfId="1457" priority="143" operator="containsText" text="C">
      <formula>NOT(ISERROR(SEARCH(("C"),(M13))))</formula>
    </cfRule>
  </conditionalFormatting>
  <conditionalFormatting sqref="O31:O32">
    <cfRule type="containsText" dxfId="1456" priority="28" operator="containsText" text="WIP">
      <formula>NOT(ISERROR(SEARCH(("WIP"),(O31))))</formula>
    </cfRule>
    <cfRule type="containsText" dxfId="1455" priority="29" operator="containsText" text="C">
      <formula>NOT(ISERROR(SEARCH(("C"),(O31))))</formula>
    </cfRule>
  </conditionalFormatting>
  <conditionalFormatting sqref="O40">
    <cfRule type="containsText" dxfId="1454" priority="1" operator="containsText" text="C">
      <formula>NOT(ISERROR(SEARCH(("C"),(O40))))</formula>
    </cfRule>
    <cfRule type="containsText" dxfId="1453" priority="2" operator="containsText" text="WIP">
      <formula>NOT(ISERROR(SEARCH(("WIP"),(O40))))</formula>
    </cfRule>
  </conditionalFormatting>
  <conditionalFormatting sqref="O41">
    <cfRule type="containsText" dxfId="1452" priority="5" operator="containsText" text="WIP">
      <formula>NOT(ISERROR(SEARCH(("WIP"),(O41))))</formula>
    </cfRule>
    <cfRule type="containsText" dxfId="1451" priority="6" operator="containsText" text="C">
      <formula>NOT(ISERROR(SEARCH(("C"),(O41))))</formula>
    </cfRule>
  </conditionalFormatting>
  <conditionalFormatting sqref="T47:T64">
    <cfRule type="containsText" dxfId="1450" priority="156" operator="containsText" text="WIP">
      <formula>NOT(ISERROR(SEARCH(("WIP"),(T47))))</formula>
    </cfRule>
  </conditionalFormatting>
  <conditionalFormatting sqref="T47:T70">
    <cfRule type="containsText" dxfId="1449" priority="157" operator="containsText" text="C">
      <formula>NOT(ISERROR(SEARCH(("C"),(T47))))</formula>
    </cfRule>
  </conditionalFormatting>
  <conditionalFormatting sqref="T86:T93 W86:W93">
    <cfRule type="containsText" dxfId="1448" priority="159" operator="containsText" text="WIP">
      <formula>NOT(ISERROR(SEARCH(("WIP"),(T86))))</formula>
    </cfRule>
    <cfRule type="containsText" dxfId="1447" priority="160" operator="containsText" text="C">
      <formula>NOT(ISERROR(SEARCH(("C"),(T86))))</formula>
    </cfRule>
  </conditionalFormatting>
  <conditionalFormatting sqref="T103:T213">
    <cfRule type="containsText" dxfId="1446" priority="161" operator="containsText" text="WIP">
      <formula>NOT(ISERROR(SEARCH(("WIP"),(T103))))</formula>
    </cfRule>
    <cfRule type="containsText" dxfId="1445" priority="162" operator="containsText" text="C">
      <formula>NOT(ISERROR(SEARCH(("C"),(T103))))</formula>
    </cfRule>
  </conditionalFormatting>
  <conditionalFormatting sqref="W47:W64">
    <cfRule type="containsText" dxfId="1444" priority="51" operator="containsText" text="WIP">
      <formula>NOT(ISERROR(SEARCH(("WIP"),(W47))))</formula>
    </cfRule>
  </conditionalFormatting>
  <conditionalFormatting sqref="W47:W70">
    <cfRule type="containsText" dxfId="1443" priority="52" operator="containsText" text="C">
      <formula>NOT(ISERROR(SEARCH(("C"),(W47))))</formula>
    </cfRule>
  </conditionalFormatting>
  <conditionalFormatting sqref="W103:W213">
    <cfRule type="containsText" dxfId="1442" priority="166" operator="containsText" text="WIP">
      <formula>NOT(ISERROR(SEARCH(("WIP"),(W103))))</formula>
    </cfRule>
    <cfRule type="containsText" dxfId="1441" priority="167" operator="containsText" text="C">
      <formula>NOT(ISERROR(SEARCH(("C"),(W103))))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34" activePane="bottomRight" state="frozen"/>
      <selection pane="topRight" activeCell="E1" sqref="E1"/>
      <selection pane="bottomLeft" activeCell="A6" sqref="A6"/>
      <selection pane="bottomRight" activeCell="N44" activeCellId="1" sqref="M44:M47 N44:N47"/>
    </sheetView>
  </sheetViews>
  <sheetFormatPr defaultColWidth="14.453125" defaultRowHeight="15" customHeight="1"/>
  <cols>
    <col min="1" max="1" width="8.7265625" style="361" customWidth="1"/>
    <col min="2" max="2" width="17.26953125" style="361" customWidth="1"/>
    <col min="3" max="3" width="16.1796875" style="361" customWidth="1"/>
    <col min="4" max="4" width="12.453125" style="361" customWidth="1"/>
    <col min="5" max="5" width="11.08984375" style="361" customWidth="1"/>
    <col min="6" max="6" width="9.453125" style="387" customWidth="1"/>
    <col min="7" max="7" width="8.7265625" style="387" customWidth="1"/>
    <col min="8" max="8" width="11.26953125" style="387" customWidth="1"/>
    <col min="9" max="9" width="11.26953125" style="361" customWidth="1"/>
    <col min="10" max="10" width="12.08984375" style="361" customWidth="1"/>
    <col min="11" max="12" width="11.26953125" style="361" customWidth="1"/>
    <col min="13" max="13" width="12.08984375" style="361" customWidth="1"/>
    <col min="14" max="15" width="11.26953125" style="361" customWidth="1"/>
    <col min="16" max="16" width="21.453125" style="361" customWidth="1"/>
    <col min="17" max="17" width="5.08984375" style="361" customWidth="1"/>
    <col min="18" max="18" width="19.26953125" style="361" customWidth="1"/>
    <col min="19" max="19" width="3" style="361" customWidth="1"/>
    <col min="20" max="20" width="8.7265625" style="361" customWidth="1"/>
    <col min="21" max="22" width="11.26953125" style="361" customWidth="1"/>
    <col min="23" max="23" width="8.7265625" style="361" customWidth="1"/>
    <col min="24" max="25" width="11.26953125" style="361" customWidth="1"/>
    <col min="26" max="26" width="22" style="361" customWidth="1"/>
    <col min="27" max="16384" width="14.453125" style="361"/>
  </cols>
  <sheetData>
    <row r="1" spans="1:26" ht="14.25" customHeight="1">
      <c r="A1" s="610" t="str">
        <f>+Summary!A2</f>
        <v>Name of the Line: 220KV DC AL59 line from Neemuch - Chanderiya + 132KV DC ACSS Line from Chanderiya to Hindustan Zinc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2"/>
    </row>
    <row r="2" spans="1:26" ht="14.25" customHeight="1">
      <c r="A2" s="613" t="str">
        <f>+Summary!A5</f>
        <v>Progress of 220kV Line</v>
      </c>
      <c r="B2" s="614"/>
      <c r="C2" s="614"/>
      <c r="D2" s="614"/>
      <c r="E2" s="470"/>
      <c r="F2" s="613" t="s">
        <v>603</v>
      </c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478"/>
      <c r="T2" s="613" t="s">
        <v>604</v>
      </c>
      <c r="U2" s="614"/>
      <c r="V2" s="614"/>
      <c r="W2" s="614"/>
      <c r="X2" s="614"/>
      <c r="Y2" s="614"/>
      <c r="Z2" s="614"/>
    </row>
    <row r="3" spans="1:26" ht="14.25" customHeight="1">
      <c r="A3" s="613" t="s">
        <v>605</v>
      </c>
      <c r="B3" s="614"/>
      <c r="C3" s="614"/>
      <c r="D3" s="477">
        <f>Summary!R5</f>
        <v>46092</v>
      </c>
      <c r="E3" s="464">
        <f>SUMIF(E6:E52,"C",$D$6:$D$52)/1000</f>
        <v>1.398406</v>
      </c>
      <c r="F3" s="470"/>
      <c r="G3" s="470"/>
      <c r="H3" s="465">
        <f>SUMIF(G7:G45,"WIP",$D$7:$D$45)/1000</f>
        <v>0</v>
      </c>
      <c r="I3" s="464">
        <f>SUMIF(G6:G52,"C",$D$6:$D$52)/1000</f>
        <v>1.398406</v>
      </c>
      <c r="J3" s="470"/>
      <c r="K3" s="465">
        <f>SUMIF(J7:J45,"WIP",$D$7:$D$45)/1000</f>
        <v>0</v>
      </c>
      <c r="L3" s="464">
        <f>SUMIF(J6:J52,"C",$D$6:$D$52)/1000</f>
        <v>1.398406</v>
      </c>
      <c r="M3" s="470"/>
      <c r="N3" s="470"/>
      <c r="O3" s="470"/>
      <c r="P3" s="470"/>
      <c r="Q3" s="470"/>
      <c r="R3" s="470"/>
      <c r="S3" s="478"/>
      <c r="T3" s="470"/>
      <c r="U3" s="465">
        <f>SUMIF(T7:T45,"WIP",$D$7:$D$45)/1000</f>
        <v>0</v>
      </c>
      <c r="V3" s="465">
        <f>SUMIF(T7:T45,"C",$D$7:$D$45)/1000</f>
        <v>0</v>
      </c>
      <c r="W3" s="465"/>
      <c r="X3" s="465">
        <f>SUMIF(W7:W45,"WIP",$D$7:$D$45)/1000</f>
        <v>0</v>
      </c>
      <c r="Y3" s="465">
        <f>SUMIF(W7:W45,"C",$D$7:$D$45)/1000</f>
        <v>0</v>
      </c>
      <c r="Z3" s="470"/>
    </row>
    <row r="4" spans="1:26" ht="14.25" customHeight="1">
      <c r="A4" s="466" t="s">
        <v>2</v>
      </c>
      <c r="B4" s="615" t="s">
        <v>459</v>
      </c>
      <c r="C4" s="614"/>
      <c r="D4" s="466" t="s">
        <v>606</v>
      </c>
      <c r="E4" s="466" t="s">
        <v>607</v>
      </c>
      <c r="F4" s="468" t="s">
        <v>608</v>
      </c>
      <c r="G4" s="616" t="s">
        <v>609</v>
      </c>
      <c r="H4" s="614"/>
      <c r="I4" s="614"/>
      <c r="J4" s="616" t="s">
        <v>388</v>
      </c>
      <c r="K4" s="614"/>
      <c r="L4" s="614"/>
      <c r="M4" s="468" t="s">
        <v>610</v>
      </c>
      <c r="N4" s="468" t="s">
        <v>611</v>
      </c>
      <c r="O4" s="470" t="s">
        <v>612</v>
      </c>
      <c r="P4" s="468" t="s">
        <v>489</v>
      </c>
      <c r="Q4" s="468" t="s">
        <v>569</v>
      </c>
      <c r="R4" s="468" t="s">
        <v>15</v>
      </c>
      <c r="S4" s="469"/>
      <c r="T4" s="613" t="s">
        <v>613</v>
      </c>
      <c r="U4" s="614"/>
      <c r="V4" s="614"/>
      <c r="W4" s="613" t="s">
        <v>614</v>
      </c>
      <c r="X4" s="614"/>
      <c r="Y4" s="614"/>
      <c r="Z4" s="468" t="s">
        <v>489</v>
      </c>
    </row>
    <row r="5" spans="1:26" ht="14.25" customHeight="1">
      <c r="A5" s="466"/>
      <c r="B5" s="467" t="s">
        <v>615</v>
      </c>
      <c r="C5" s="467" t="s">
        <v>616</v>
      </c>
      <c r="D5" s="466"/>
      <c r="E5" s="466"/>
      <c r="F5" s="468"/>
      <c r="G5" s="470" t="s">
        <v>617</v>
      </c>
      <c r="H5" s="470" t="s">
        <v>492</v>
      </c>
      <c r="I5" s="470" t="s">
        <v>23</v>
      </c>
      <c r="J5" s="470" t="s">
        <v>617</v>
      </c>
      <c r="K5" s="470" t="s">
        <v>492</v>
      </c>
      <c r="L5" s="470" t="s">
        <v>23</v>
      </c>
      <c r="M5" s="470" t="s">
        <v>617</v>
      </c>
      <c r="N5" s="470" t="s">
        <v>617</v>
      </c>
      <c r="O5" s="470" t="s">
        <v>617</v>
      </c>
      <c r="P5" s="468"/>
      <c r="Q5" s="468"/>
      <c r="R5" s="468"/>
      <c r="S5" s="469"/>
      <c r="T5" s="470" t="s">
        <v>617</v>
      </c>
      <c r="U5" s="470" t="s">
        <v>492</v>
      </c>
      <c r="V5" s="470" t="s">
        <v>23</v>
      </c>
      <c r="W5" s="470" t="s">
        <v>617</v>
      </c>
      <c r="X5" s="470" t="s">
        <v>492</v>
      </c>
      <c r="Y5" s="470" t="s">
        <v>23</v>
      </c>
      <c r="Z5" s="468"/>
    </row>
    <row r="6" spans="1:26" ht="14.25" customHeight="1">
      <c r="A6" s="460">
        <v>1</v>
      </c>
      <c r="B6" s="471" t="s">
        <v>736</v>
      </c>
      <c r="C6" s="460" t="s">
        <v>737</v>
      </c>
      <c r="D6" s="461">
        <v>58.79</v>
      </c>
      <c r="E6" s="461"/>
      <c r="F6" s="461"/>
      <c r="G6" s="461"/>
      <c r="H6" s="472"/>
      <c r="I6" s="472"/>
      <c r="J6" s="461"/>
      <c r="K6" s="472"/>
      <c r="L6" s="472"/>
      <c r="M6" s="461"/>
      <c r="N6" s="461"/>
      <c r="O6" s="461"/>
      <c r="P6" s="460"/>
      <c r="Q6" s="460"/>
      <c r="R6" s="460"/>
      <c r="S6" s="479"/>
      <c r="T6" s="460"/>
      <c r="U6" s="472"/>
      <c r="V6" s="472"/>
      <c r="W6" s="460"/>
      <c r="X6" s="472"/>
      <c r="Y6" s="472"/>
      <c r="Z6" s="460"/>
    </row>
    <row r="7" spans="1:26" ht="14.25" customHeight="1">
      <c r="A7" s="460">
        <f>A6+1</f>
        <v>2</v>
      </c>
      <c r="B7" s="471" t="s">
        <v>737</v>
      </c>
      <c r="C7" s="460" t="s">
        <v>738</v>
      </c>
      <c r="D7" s="461">
        <v>149.12</v>
      </c>
      <c r="E7" s="461"/>
      <c r="F7" s="461"/>
      <c r="G7" s="461"/>
      <c r="H7" s="472"/>
      <c r="I7" s="472"/>
      <c r="J7" s="461"/>
      <c r="K7" s="472"/>
      <c r="L7" s="472"/>
      <c r="M7" s="461"/>
      <c r="N7" s="461"/>
      <c r="O7" s="461"/>
      <c r="P7" s="460"/>
      <c r="Q7" s="460"/>
      <c r="R7" s="460"/>
      <c r="S7" s="479"/>
      <c r="T7" s="460"/>
      <c r="U7" s="472"/>
      <c r="V7" s="472"/>
      <c r="W7" s="460"/>
      <c r="X7" s="472"/>
      <c r="Y7" s="472"/>
      <c r="Z7" s="460"/>
    </row>
    <row r="8" spans="1:26" ht="14.25" customHeight="1">
      <c r="A8" s="460">
        <f t="shared" ref="A8:A52" si="0">A7+1</f>
        <v>3</v>
      </c>
      <c r="B8" s="460" t="s">
        <v>738</v>
      </c>
      <c r="C8" s="460" t="s">
        <v>739</v>
      </c>
      <c r="D8" s="461">
        <v>128.1</v>
      </c>
      <c r="E8" s="461"/>
      <c r="F8" s="461"/>
      <c r="G8" s="461"/>
      <c r="H8" s="472"/>
      <c r="I8" s="472"/>
      <c r="J8" s="461"/>
      <c r="K8" s="472"/>
      <c r="L8" s="472"/>
      <c r="M8" s="461"/>
      <c r="N8" s="461"/>
      <c r="O8" s="461"/>
      <c r="P8" s="460"/>
      <c r="Q8" s="460"/>
      <c r="R8" s="460"/>
      <c r="S8" s="479"/>
      <c r="T8" s="460"/>
      <c r="U8" s="472"/>
      <c r="V8" s="472"/>
      <c r="W8" s="460"/>
      <c r="X8" s="472"/>
      <c r="Y8" s="472"/>
      <c r="Z8" s="460"/>
    </row>
    <row r="9" spans="1:26" ht="14.25" customHeight="1">
      <c r="A9" s="460">
        <f t="shared" si="0"/>
        <v>4</v>
      </c>
      <c r="B9" s="460" t="s">
        <v>739</v>
      </c>
      <c r="C9" s="460" t="s">
        <v>740</v>
      </c>
      <c r="D9" s="461">
        <v>252.72</v>
      </c>
      <c r="E9" s="461"/>
      <c r="F9" s="461"/>
      <c r="G9" s="461"/>
      <c r="H9" s="472"/>
      <c r="I9" s="472"/>
      <c r="J9" s="461"/>
      <c r="K9" s="472"/>
      <c r="L9" s="472"/>
      <c r="M9" s="461"/>
      <c r="N9" s="461"/>
      <c r="O9" s="461"/>
      <c r="P9" s="460"/>
      <c r="Q9" s="460"/>
      <c r="R9" s="460"/>
      <c r="S9" s="479"/>
      <c r="T9" s="460"/>
      <c r="U9" s="472"/>
      <c r="V9" s="472"/>
      <c r="W9" s="460"/>
      <c r="X9" s="472"/>
      <c r="Y9" s="472"/>
      <c r="Z9" s="460"/>
    </row>
    <row r="10" spans="1:26" ht="14.25" customHeight="1">
      <c r="A10" s="460">
        <f t="shared" si="0"/>
        <v>5</v>
      </c>
      <c r="B10" s="460" t="s">
        <v>740</v>
      </c>
      <c r="C10" s="460" t="s">
        <v>741</v>
      </c>
      <c r="D10" s="461">
        <v>146.74</v>
      </c>
      <c r="E10" s="461"/>
      <c r="F10" s="461"/>
      <c r="G10" s="461"/>
      <c r="H10" s="472"/>
      <c r="I10" s="472"/>
      <c r="J10" s="461"/>
      <c r="K10" s="472"/>
      <c r="L10" s="472"/>
      <c r="M10" s="461"/>
      <c r="N10" s="461"/>
      <c r="O10" s="461"/>
      <c r="P10" s="460"/>
      <c r="Q10" s="460"/>
      <c r="R10" s="460"/>
      <c r="S10" s="479"/>
      <c r="T10" s="460"/>
      <c r="U10" s="472"/>
      <c r="V10" s="472"/>
      <c r="W10" s="460"/>
      <c r="X10" s="472"/>
      <c r="Y10" s="472"/>
      <c r="Z10" s="460"/>
    </row>
    <row r="11" spans="1:26" ht="14.25" customHeight="1">
      <c r="A11" s="460">
        <f t="shared" si="0"/>
        <v>6</v>
      </c>
      <c r="B11" s="460" t="s">
        <v>741</v>
      </c>
      <c r="C11" s="460" t="s">
        <v>742</v>
      </c>
      <c r="D11" s="461">
        <v>190.05</v>
      </c>
      <c r="E11" s="461"/>
      <c r="F11" s="460"/>
      <c r="G11" s="460"/>
      <c r="H11" s="472"/>
      <c r="I11" s="472"/>
      <c r="J11" s="460"/>
      <c r="K11" s="472"/>
      <c r="L11" s="472"/>
      <c r="M11" s="460"/>
      <c r="N11" s="460"/>
      <c r="O11" s="460"/>
      <c r="P11" s="460"/>
      <c r="Q11" s="460"/>
      <c r="R11" s="460"/>
      <c r="S11" s="479"/>
      <c r="T11" s="460"/>
      <c r="U11" s="472"/>
      <c r="V11" s="472"/>
      <c r="W11" s="460"/>
      <c r="X11" s="472"/>
      <c r="Y11" s="472"/>
      <c r="Z11" s="460"/>
    </row>
    <row r="12" spans="1:26" ht="14.25" customHeight="1">
      <c r="A12" s="460">
        <f t="shared" si="0"/>
        <v>7</v>
      </c>
      <c r="B12" s="460" t="s">
        <v>742</v>
      </c>
      <c r="C12" s="460" t="s">
        <v>743</v>
      </c>
      <c r="D12" s="461">
        <v>83.39</v>
      </c>
      <c r="E12" s="461"/>
      <c r="F12" s="460"/>
      <c r="G12" s="460"/>
      <c r="H12" s="472"/>
      <c r="I12" s="472"/>
      <c r="J12" s="460"/>
      <c r="K12" s="472"/>
      <c r="L12" s="472"/>
      <c r="M12" s="460"/>
      <c r="N12" s="460"/>
      <c r="O12" s="460"/>
      <c r="P12" s="460"/>
      <c r="Q12" s="460"/>
      <c r="R12" s="460"/>
      <c r="S12" s="479"/>
      <c r="T12" s="460"/>
      <c r="U12" s="472"/>
      <c r="V12" s="472"/>
      <c r="W12" s="460"/>
      <c r="X12" s="472"/>
      <c r="Y12" s="472"/>
      <c r="Z12" s="460"/>
    </row>
    <row r="13" spans="1:26" ht="14.25" customHeight="1">
      <c r="A13" s="460">
        <f t="shared" si="0"/>
        <v>8</v>
      </c>
      <c r="B13" s="460" t="s">
        <v>743</v>
      </c>
      <c r="C13" s="460" t="s">
        <v>744</v>
      </c>
      <c r="D13" s="461">
        <v>120.53</v>
      </c>
      <c r="E13" s="461"/>
      <c r="F13" s="461"/>
      <c r="G13" s="461"/>
      <c r="H13" s="472"/>
      <c r="I13" s="472"/>
      <c r="J13" s="461"/>
      <c r="K13" s="472"/>
      <c r="L13" s="472"/>
      <c r="M13" s="461"/>
      <c r="N13" s="461"/>
      <c r="O13" s="461"/>
      <c r="P13" s="460"/>
      <c r="Q13" s="460"/>
      <c r="R13" s="460"/>
      <c r="S13" s="479"/>
      <c r="T13" s="460"/>
      <c r="U13" s="472"/>
      <c r="V13" s="472"/>
      <c r="W13" s="460"/>
      <c r="X13" s="472"/>
      <c r="Y13" s="472"/>
      <c r="Z13" s="460"/>
    </row>
    <row r="14" spans="1:26" ht="14.25" customHeight="1">
      <c r="A14" s="460">
        <f t="shared" si="0"/>
        <v>9</v>
      </c>
      <c r="B14" s="460" t="s">
        <v>744</v>
      </c>
      <c r="C14" s="460" t="s">
        <v>718</v>
      </c>
      <c r="D14" s="461">
        <v>259.51</v>
      </c>
      <c r="E14" s="461"/>
      <c r="F14" s="461"/>
      <c r="G14" s="461"/>
      <c r="H14" s="472"/>
      <c r="I14" s="472"/>
      <c r="J14" s="461"/>
      <c r="K14" s="472"/>
      <c r="L14" s="472"/>
      <c r="M14" s="461"/>
      <c r="N14" s="461"/>
      <c r="O14" s="460"/>
      <c r="P14" s="460"/>
      <c r="Q14" s="460"/>
      <c r="R14" s="460"/>
      <c r="S14" s="479"/>
      <c r="T14" s="460"/>
      <c r="U14" s="472"/>
      <c r="V14" s="472"/>
      <c r="W14" s="460"/>
      <c r="X14" s="472"/>
      <c r="Y14" s="472"/>
      <c r="Z14" s="460"/>
    </row>
    <row r="15" spans="1:26" ht="14.25" customHeight="1">
      <c r="A15" s="460">
        <f t="shared" si="0"/>
        <v>10</v>
      </c>
      <c r="B15" s="460" t="s">
        <v>718</v>
      </c>
      <c r="C15" s="460" t="s">
        <v>720</v>
      </c>
      <c r="D15" s="461">
        <v>256.61</v>
      </c>
      <c r="E15" s="461"/>
      <c r="F15" s="461"/>
      <c r="G15" s="460"/>
      <c r="H15" s="472"/>
      <c r="I15" s="472"/>
      <c r="J15" s="460"/>
      <c r="K15" s="472"/>
      <c r="L15" s="472"/>
      <c r="M15" s="460"/>
      <c r="N15" s="460"/>
      <c r="O15" s="460"/>
      <c r="P15" s="460"/>
      <c r="Q15" s="460"/>
      <c r="R15" s="460"/>
      <c r="S15" s="479"/>
      <c r="T15" s="460"/>
      <c r="U15" s="472"/>
      <c r="V15" s="472"/>
      <c r="W15" s="460"/>
      <c r="X15" s="472"/>
      <c r="Y15" s="472"/>
      <c r="Z15" s="460"/>
    </row>
    <row r="16" spans="1:26" ht="14.25" customHeight="1">
      <c r="A16" s="460">
        <f t="shared" si="0"/>
        <v>11</v>
      </c>
      <c r="B16" s="460" t="s">
        <v>720</v>
      </c>
      <c r="C16" s="460" t="s">
        <v>722</v>
      </c>
      <c r="D16" s="461">
        <v>277.95</v>
      </c>
      <c r="E16" s="461"/>
      <c r="F16" s="461"/>
      <c r="G16" s="460"/>
      <c r="H16" s="472"/>
      <c r="I16" s="472"/>
      <c r="J16" s="460"/>
      <c r="K16" s="472"/>
      <c r="L16" s="472"/>
      <c r="M16" s="460"/>
      <c r="N16" s="460"/>
      <c r="O16" s="460"/>
      <c r="P16" s="460"/>
      <c r="Q16" s="460"/>
      <c r="R16" s="460"/>
      <c r="S16" s="479"/>
      <c r="T16" s="460"/>
      <c r="U16" s="472"/>
      <c r="V16" s="472"/>
      <c r="W16" s="460"/>
      <c r="X16" s="472"/>
      <c r="Y16" s="472"/>
      <c r="Z16" s="460"/>
    </row>
    <row r="17" spans="1:26" ht="14.25" customHeight="1">
      <c r="A17" s="460">
        <f t="shared" si="0"/>
        <v>12</v>
      </c>
      <c r="B17" s="460" t="s">
        <v>722</v>
      </c>
      <c r="C17" s="460" t="s">
        <v>723</v>
      </c>
      <c r="D17" s="461">
        <v>202.25</v>
      </c>
      <c r="E17" s="461"/>
      <c r="F17" s="461"/>
      <c r="G17" s="461"/>
      <c r="H17" s="472"/>
      <c r="I17" s="472"/>
      <c r="J17" s="461"/>
      <c r="K17" s="472"/>
      <c r="L17" s="472"/>
      <c r="M17" s="461"/>
      <c r="N17" s="461"/>
      <c r="O17" s="461"/>
      <c r="P17" s="460"/>
      <c r="Q17" s="460"/>
      <c r="R17" s="460"/>
      <c r="S17" s="479"/>
      <c r="T17" s="460"/>
      <c r="U17" s="472"/>
      <c r="V17" s="472"/>
      <c r="W17" s="460"/>
      <c r="X17" s="472"/>
      <c r="Y17" s="472"/>
      <c r="Z17" s="460"/>
    </row>
    <row r="18" spans="1:26" ht="14.25" customHeight="1">
      <c r="A18" s="460">
        <f t="shared" si="0"/>
        <v>13</v>
      </c>
      <c r="B18" s="460" t="s">
        <v>723</v>
      </c>
      <c r="C18" s="460" t="s">
        <v>38</v>
      </c>
      <c r="D18" s="461">
        <v>62.76</v>
      </c>
      <c r="E18" s="461"/>
      <c r="F18" s="461"/>
      <c r="G18" s="461"/>
      <c r="H18" s="472"/>
      <c r="I18" s="472"/>
      <c r="J18" s="461"/>
      <c r="K18" s="472"/>
      <c r="L18" s="472"/>
      <c r="M18" s="461"/>
      <c r="N18" s="461"/>
      <c r="O18" s="461"/>
      <c r="P18" s="460"/>
      <c r="Q18" s="460"/>
      <c r="R18" s="460"/>
      <c r="S18" s="479"/>
      <c r="T18" s="460"/>
      <c r="U18" s="472"/>
      <c r="V18" s="472"/>
      <c r="W18" s="460"/>
      <c r="X18" s="472"/>
      <c r="Y18" s="472"/>
      <c r="Z18" s="460"/>
    </row>
    <row r="19" spans="1:26" ht="14.25" customHeight="1">
      <c r="A19" s="460">
        <f t="shared" si="0"/>
        <v>14</v>
      </c>
      <c r="B19" s="460" t="s">
        <v>38</v>
      </c>
      <c r="C19" s="460" t="s">
        <v>64</v>
      </c>
      <c r="D19" s="461">
        <v>278.14999999999998</v>
      </c>
      <c r="E19" s="461"/>
      <c r="F19" s="460"/>
      <c r="G19" s="460"/>
      <c r="H19" s="472"/>
      <c r="I19" s="472"/>
      <c r="J19" s="460"/>
      <c r="K19" s="472"/>
      <c r="L19" s="472"/>
      <c r="M19" s="460"/>
      <c r="N19" s="460"/>
      <c r="O19" s="460"/>
      <c r="P19" s="460"/>
      <c r="Q19" s="460"/>
      <c r="R19" s="460"/>
      <c r="S19" s="479"/>
      <c r="T19" s="460"/>
      <c r="U19" s="472"/>
      <c r="V19" s="472"/>
      <c r="W19" s="460"/>
      <c r="X19" s="472"/>
      <c r="Y19" s="472"/>
      <c r="Z19" s="460"/>
    </row>
    <row r="20" spans="1:26" ht="14.25" customHeight="1">
      <c r="A20" s="460">
        <f t="shared" si="0"/>
        <v>15</v>
      </c>
      <c r="B20" s="460" t="s">
        <v>64</v>
      </c>
      <c r="C20" s="460" t="s">
        <v>344</v>
      </c>
      <c r="D20" s="461">
        <v>234.56</v>
      </c>
      <c r="E20" s="461"/>
      <c r="F20" s="460"/>
      <c r="G20" s="460"/>
      <c r="H20" s="472"/>
      <c r="I20" s="472"/>
      <c r="J20" s="460"/>
      <c r="K20" s="472"/>
      <c r="L20" s="472"/>
      <c r="M20" s="460"/>
      <c r="N20" s="460"/>
      <c r="O20" s="460"/>
      <c r="P20" s="460"/>
      <c r="Q20" s="460"/>
      <c r="R20" s="460"/>
      <c r="S20" s="479"/>
      <c r="T20" s="460"/>
      <c r="U20" s="472"/>
      <c r="V20" s="472"/>
      <c r="W20" s="460"/>
      <c r="X20" s="472"/>
      <c r="Y20" s="472"/>
      <c r="Z20" s="460"/>
    </row>
    <row r="21" spans="1:26" ht="14.25" customHeight="1">
      <c r="A21" s="460">
        <f t="shared" si="0"/>
        <v>16</v>
      </c>
      <c r="B21" s="460" t="s">
        <v>344</v>
      </c>
      <c r="C21" s="460" t="s">
        <v>67</v>
      </c>
      <c r="D21" s="461">
        <v>249.04</v>
      </c>
      <c r="E21" s="461"/>
      <c r="F21" s="460"/>
      <c r="G21" s="460"/>
      <c r="H21" s="472"/>
      <c r="I21" s="472"/>
      <c r="J21" s="460"/>
      <c r="K21" s="472"/>
      <c r="L21" s="472"/>
      <c r="M21" s="460"/>
      <c r="N21" s="460"/>
      <c r="O21" s="460"/>
      <c r="P21" s="460"/>
      <c r="Q21" s="460"/>
      <c r="R21" s="460"/>
      <c r="S21" s="479"/>
      <c r="T21" s="460"/>
      <c r="U21" s="472"/>
      <c r="V21" s="472"/>
      <c r="W21" s="460"/>
      <c r="X21" s="472"/>
      <c r="Y21" s="472"/>
      <c r="Z21" s="460"/>
    </row>
    <row r="22" spans="1:26" ht="14.25" customHeight="1">
      <c r="A22" s="460">
        <f t="shared" si="0"/>
        <v>17</v>
      </c>
      <c r="B22" s="460" t="s">
        <v>67</v>
      </c>
      <c r="C22" s="460" t="s">
        <v>310</v>
      </c>
      <c r="D22" s="461">
        <v>256</v>
      </c>
      <c r="E22" s="461"/>
      <c r="F22" s="461"/>
      <c r="G22" s="461"/>
      <c r="H22" s="472"/>
      <c r="I22" s="472"/>
      <c r="J22" s="461"/>
      <c r="K22" s="472"/>
      <c r="L22" s="472"/>
      <c r="M22" s="461"/>
      <c r="N22" s="461"/>
      <c r="O22" s="461"/>
      <c r="P22" s="460"/>
      <c r="Q22" s="460"/>
      <c r="R22" s="460"/>
      <c r="S22" s="479"/>
      <c r="T22" s="460"/>
      <c r="U22" s="472"/>
      <c r="V22" s="472"/>
      <c r="W22" s="460"/>
      <c r="X22" s="472"/>
      <c r="Y22" s="472"/>
      <c r="Z22" s="460"/>
    </row>
    <row r="23" spans="1:26" ht="14.25" customHeight="1">
      <c r="A23" s="460">
        <f t="shared" si="0"/>
        <v>18</v>
      </c>
      <c r="B23" s="460" t="s">
        <v>310</v>
      </c>
      <c r="C23" s="460" t="s">
        <v>69</v>
      </c>
      <c r="D23" s="461">
        <v>226.52</v>
      </c>
      <c r="E23" s="461"/>
      <c r="F23" s="461"/>
      <c r="G23" s="461"/>
      <c r="H23" s="472"/>
      <c r="I23" s="472"/>
      <c r="J23" s="461"/>
      <c r="K23" s="472"/>
      <c r="L23" s="472"/>
      <c r="M23" s="461"/>
      <c r="N23" s="461"/>
      <c r="O23" s="461"/>
      <c r="P23" s="460"/>
      <c r="Q23" s="460"/>
      <c r="R23" s="460"/>
      <c r="S23" s="479"/>
      <c r="T23" s="460"/>
      <c r="U23" s="472"/>
      <c r="V23" s="472"/>
      <c r="W23" s="460"/>
      <c r="X23" s="472"/>
      <c r="Y23" s="472"/>
      <c r="Z23" s="460"/>
    </row>
    <row r="24" spans="1:26" ht="14.25" customHeight="1">
      <c r="A24" s="460">
        <f t="shared" si="0"/>
        <v>19</v>
      </c>
      <c r="B24" s="460" t="s">
        <v>69</v>
      </c>
      <c r="C24" s="460" t="s">
        <v>71</v>
      </c>
      <c r="D24" s="461">
        <v>43.62</v>
      </c>
      <c r="E24" s="461"/>
      <c r="F24" s="461"/>
      <c r="G24" s="461"/>
      <c r="H24" s="472"/>
      <c r="I24" s="472"/>
      <c r="J24" s="461"/>
      <c r="K24" s="472"/>
      <c r="L24" s="472"/>
      <c r="M24" s="461"/>
      <c r="N24" s="461"/>
      <c r="O24" s="461"/>
      <c r="P24" s="460"/>
      <c r="Q24" s="460"/>
      <c r="R24" s="460"/>
      <c r="S24" s="479"/>
      <c r="T24" s="460"/>
      <c r="U24" s="472"/>
      <c r="V24" s="472"/>
      <c r="W24" s="460"/>
      <c r="X24" s="472"/>
      <c r="Y24" s="472"/>
      <c r="Z24" s="460"/>
    </row>
    <row r="25" spans="1:26" ht="14.25" customHeight="1">
      <c r="A25" s="460">
        <f t="shared" si="0"/>
        <v>20</v>
      </c>
      <c r="B25" s="460" t="s">
        <v>71</v>
      </c>
      <c r="C25" s="460" t="s">
        <v>72</v>
      </c>
      <c r="D25" s="461">
        <v>52</v>
      </c>
      <c r="E25" s="461"/>
      <c r="F25" s="461"/>
      <c r="G25" s="461"/>
      <c r="H25" s="472"/>
      <c r="I25" s="472"/>
      <c r="J25" s="461"/>
      <c r="K25" s="472"/>
      <c r="L25" s="472"/>
      <c r="M25" s="461"/>
      <c r="N25" s="461"/>
      <c r="O25" s="461"/>
      <c r="P25" s="460"/>
      <c r="Q25" s="460"/>
      <c r="R25" s="460"/>
      <c r="S25" s="479"/>
      <c r="T25" s="460"/>
      <c r="U25" s="472"/>
      <c r="V25" s="472"/>
      <c r="W25" s="460"/>
      <c r="X25" s="472"/>
      <c r="Y25" s="472"/>
      <c r="Z25" s="460"/>
    </row>
    <row r="26" spans="1:26" ht="14.25" customHeight="1">
      <c r="A26" s="460">
        <f t="shared" si="0"/>
        <v>21</v>
      </c>
      <c r="B26" s="460" t="s">
        <v>72</v>
      </c>
      <c r="C26" s="460" t="s">
        <v>93</v>
      </c>
      <c r="D26" s="461">
        <v>47.06</v>
      </c>
      <c r="E26" s="461"/>
      <c r="F26" s="461"/>
      <c r="G26" s="461"/>
      <c r="H26" s="472"/>
      <c r="I26" s="472"/>
      <c r="J26" s="461"/>
      <c r="K26" s="472"/>
      <c r="L26" s="472"/>
      <c r="M26" s="461"/>
      <c r="N26" s="461"/>
      <c r="O26" s="461"/>
      <c r="P26" s="460"/>
      <c r="Q26" s="460"/>
      <c r="R26" s="460"/>
      <c r="S26" s="479"/>
      <c r="T26" s="460"/>
      <c r="U26" s="472"/>
      <c r="V26" s="472"/>
      <c r="W26" s="460"/>
      <c r="X26" s="472"/>
      <c r="Y26" s="472"/>
      <c r="Z26" s="460"/>
    </row>
    <row r="27" spans="1:26" ht="14.25" customHeight="1">
      <c r="A27" s="460">
        <f t="shared" si="0"/>
        <v>22</v>
      </c>
      <c r="B27" s="460" t="s">
        <v>93</v>
      </c>
      <c r="C27" s="460" t="s">
        <v>104</v>
      </c>
      <c r="D27" s="461">
        <v>286.44</v>
      </c>
      <c r="E27" s="461"/>
      <c r="F27" s="461"/>
      <c r="G27" s="461"/>
      <c r="H27" s="472"/>
      <c r="I27" s="472"/>
      <c r="J27" s="461"/>
      <c r="K27" s="472"/>
      <c r="L27" s="472"/>
      <c r="M27" s="461"/>
      <c r="N27" s="461"/>
      <c r="O27" s="461"/>
      <c r="P27" s="460"/>
      <c r="Q27" s="460"/>
      <c r="R27" s="460"/>
      <c r="S27" s="479"/>
      <c r="T27" s="460"/>
      <c r="U27" s="472"/>
      <c r="V27" s="472"/>
      <c r="W27" s="460"/>
      <c r="X27" s="472"/>
      <c r="Y27" s="472"/>
      <c r="Z27" s="460"/>
    </row>
    <row r="28" spans="1:26" ht="14.25" customHeight="1">
      <c r="A28" s="460">
        <f t="shared" si="0"/>
        <v>23</v>
      </c>
      <c r="B28" s="460" t="s">
        <v>104</v>
      </c>
      <c r="C28" s="460" t="s">
        <v>702</v>
      </c>
      <c r="D28" s="461">
        <v>317</v>
      </c>
      <c r="E28" s="461"/>
      <c r="F28" s="461"/>
      <c r="G28" s="461"/>
      <c r="H28" s="472"/>
      <c r="I28" s="472"/>
      <c r="J28" s="461"/>
      <c r="K28" s="472"/>
      <c r="L28" s="472"/>
      <c r="M28" s="461"/>
      <c r="N28" s="461"/>
      <c r="O28" s="461"/>
      <c r="P28" s="460"/>
      <c r="Q28" s="460"/>
      <c r="R28" s="460"/>
      <c r="S28" s="479"/>
      <c r="T28" s="460"/>
      <c r="U28" s="472"/>
      <c r="V28" s="472"/>
      <c r="W28" s="460"/>
      <c r="X28" s="472"/>
      <c r="Y28" s="472"/>
      <c r="Z28" s="460"/>
    </row>
    <row r="29" spans="1:26" ht="14.25" customHeight="1">
      <c r="A29" s="460">
        <f t="shared" si="0"/>
        <v>24</v>
      </c>
      <c r="B29" s="460" t="s">
        <v>702</v>
      </c>
      <c r="C29" s="460" t="s">
        <v>703</v>
      </c>
      <c r="D29" s="461">
        <v>328</v>
      </c>
      <c r="E29" s="461"/>
      <c r="F29" s="461"/>
      <c r="G29" s="461"/>
      <c r="H29" s="472"/>
      <c r="I29" s="472"/>
      <c r="J29" s="461"/>
      <c r="K29" s="472"/>
      <c r="L29" s="472"/>
      <c r="M29" s="461"/>
      <c r="N29" s="461"/>
      <c r="O29" s="460"/>
      <c r="P29" s="460"/>
      <c r="Q29" s="460"/>
      <c r="R29" s="460"/>
      <c r="S29" s="479"/>
      <c r="T29" s="460"/>
      <c r="U29" s="472"/>
      <c r="V29" s="472"/>
      <c r="W29" s="460"/>
      <c r="X29" s="472"/>
      <c r="Y29" s="472"/>
      <c r="Z29" s="460"/>
    </row>
    <row r="30" spans="1:26" ht="14.25" customHeight="1">
      <c r="A30" s="460">
        <f t="shared" si="0"/>
        <v>25</v>
      </c>
      <c r="B30" s="460" t="s">
        <v>703</v>
      </c>
      <c r="C30" s="460" t="s">
        <v>704</v>
      </c>
      <c r="D30" s="461">
        <v>297</v>
      </c>
      <c r="E30" s="461"/>
      <c r="F30" s="461"/>
      <c r="G30" s="461"/>
      <c r="H30" s="472"/>
      <c r="I30" s="472"/>
      <c r="J30" s="461"/>
      <c r="K30" s="472"/>
      <c r="L30" s="472"/>
      <c r="M30" s="460"/>
      <c r="N30" s="460"/>
      <c r="O30" s="460"/>
      <c r="P30" s="460"/>
      <c r="Q30" s="460"/>
      <c r="R30" s="460"/>
      <c r="S30" s="479"/>
      <c r="T30" s="460"/>
      <c r="U30" s="472"/>
      <c r="V30" s="472"/>
      <c r="W30" s="460"/>
      <c r="X30" s="472"/>
      <c r="Y30" s="472"/>
      <c r="Z30" s="460"/>
    </row>
    <row r="31" spans="1:26" ht="14.25" customHeight="1">
      <c r="A31" s="460">
        <f t="shared" si="0"/>
        <v>26</v>
      </c>
      <c r="B31" s="460" t="s">
        <v>704</v>
      </c>
      <c r="C31" s="460" t="s">
        <v>705</v>
      </c>
      <c r="D31" s="461">
        <v>251</v>
      </c>
      <c r="E31" s="461"/>
      <c r="F31" s="461"/>
      <c r="G31" s="461"/>
      <c r="H31" s="472"/>
      <c r="I31" s="472"/>
      <c r="J31" s="461"/>
      <c r="K31" s="472"/>
      <c r="L31" s="472"/>
      <c r="M31" s="460"/>
      <c r="N31" s="460"/>
      <c r="O31" s="460"/>
      <c r="P31" s="460"/>
      <c r="Q31" s="460"/>
      <c r="R31" s="460"/>
      <c r="S31" s="479"/>
      <c r="T31" s="460"/>
      <c r="U31" s="472"/>
      <c r="V31" s="472"/>
      <c r="W31" s="460"/>
      <c r="X31" s="472"/>
      <c r="Y31" s="472"/>
      <c r="Z31" s="460"/>
    </row>
    <row r="32" spans="1:26" ht="14.25" customHeight="1">
      <c r="A32" s="460">
        <f t="shared" si="0"/>
        <v>27</v>
      </c>
      <c r="B32" s="460" t="s">
        <v>705</v>
      </c>
      <c r="C32" s="460" t="s">
        <v>106</v>
      </c>
      <c r="D32" s="461">
        <v>308.23</v>
      </c>
      <c r="E32" s="461"/>
      <c r="F32" s="461"/>
      <c r="G32" s="461"/>
      <c r="H32" s="472"/>
      <c r="I32" s="472"/>
      <c r="J32" s="461"/>
      <c r="K32" s="472"/>
      <c r="L32" s="472"/>
      <c r="M32" s="460"/>
      <c r="N32" s="460"/>
      <c r="O32" s="460"/>
      <c r="P32" s="460"/>
      <c r="Q32" s="460"/>
      <c r="R32" s="460"/>
      <c r="S32" s="479"/>
      <c r="T32" s="460"/>
      <c r="U32" s="472"/>
      <c r="V32" s="472"/>
      <c r="W32" s="460"/>
      <c r="X32" s="472"/>
      <c r="Y32" s="472"/>
      <c r="Z32" s="460"/>
    </row>
    <row r="33" spans="1:26" ht="14.25" customHeight="1">
      <c r="A33" s="460">
        <f t="shared" si="0"/>
        <v>28</v>
      </c>
      <c r="B33" s="460" t="s">
        <v>106</v>
      </c>
      <c r="C33" s="460" t="s">
        <v>111</v>
      </c>
      <c r="D33" s="461">
        <v>278.12</v>
      </c>
      <c r="E33" s="461"/>
      <c r="F33" s="461"/>
      <c r="G33" s="461"/>
      <c r="H33" s="472"/>
      <c r="I33" s="472"/>
      <c r="J33" s="461"/>
      <c r="K33" s="472"/>
      <c r="L33" s="472"/>
      <c r="M33" s="460"/>
      <c r="N33" s="460"/>
      <c r="O33" s="460"/>
      <c r="P33" s="460"/>
      <c r="Q33" s="460"/>
      <c r="R33" s="460"/>
      <c r="S33" s="479"/>
      <c r="T33" s="460"/>
      <c r="U33" s="472"/>
      <c r="V33" s="472"/>
      <c r="W33" s="460"/>
      <c r="X33" s="472"/>
      <c r="Y33" s="472"/>
      <c r="Z33" s="460"/>
    </row>
    <row r="34" spans="1:26" ht="14.25" customHeight="1">
      <c r="A34" s="460">
        <f t="shared" si="0"/>
        <v>29</v>
      </c>
      <c r="B34" s="460" t="s">
        <v>111</v>
      </c>
      <c r="C34" s="460" t="s">
        <v>320</v>
      </c>
      <c r="D34" s="461">
        <v>385.96</v>
      </c>
      <c r="E34" s="461"/>
      <c r="F34" s="461"/>
      <c r="G34" s="461"/>
      <c r="H34" s="472"/>
      <c r="I34" s="472"/>
      <c r="J34" s="461"/>
      <c r="K34" s="472"/>
      <c r="L34" s="472"/>
      <c r="M34" s="460"/>
      <c r="N34" s="460"/>
      <c r="O34" s="460"/>
      <c r="P34" s="460"/>
      <c r="Q34" s="460"/>
      <c r="R34" s="460"/>
      <c r="S34" s="479"/>
      <c r="T34" s="460"/>
      <c r="U34" s="472"/>
      <c r="V34" s="472"/>
      <c r="W34" s="460"/>
      <c r="X34" s="472"/>
      <c r="Y34" s="472"/>
      <c r="Z34" s="460"/>
    </row>
    <row r="35" spans="1:26" ht="14.25" customHeight="1">
      <c r="A35" s="460">
        <f t="shared" si="0"/>
        <v>30</v>
      </c>
      <c r="B35" s="460" t="s">
        <v>320</v>
      </c>
      <c r="C35" s="460" t="s">
        <v>322</v>
      </c>
      <c r="D35" s="461">
        <v>259.92</v>
      </c>
      <c r="E35" s="461"/>
      <c r="F35" s="461"/>
      <c r="G35" s="461"/>
      <c r="H35" s="472"/>
      <c r="I35" s="472"/>
      <c r="J35" s="461"/>
      <c r="K35" s="472"/>
      <c r="L35" s="472"/>
      <c r="M35" s="461"/>
      <c r="N35" s="461"/>
      <c r="O35" s="461"/>
      <c r="P35" s="460"/>
      <c r="Q35" s="460"/>
      <c r="R35" s="460"/>
      <c r="S35" s="479"/>
      <c r="T35" s="460"/>
      <c r="U35" s="472"/>
      <c r="V35" s="472"/>
      <c r="W35" s="460"/>
      <c r="X35" s="472"/>
      <c r="Y35" s="472"/>
      <c r="Z35" s="460"/>
    </row>
    <row r="36" spans="1:26" ht="14.25" customHeight="1">
      <c r="A36" s="460">
        <f t="shared" si="0"/>
        <v>31</v>
      </c>
      <c r="B36" s="460" t="s">
        <v>322</v>
      </c>
      <c r="C36" s="460" t="s">
        <v>324</v>
      </c>
      <c r="D36" s="461">
        <v>215.13</v>
      </c>
      <c r="E36" s="461"/>
      <c r="F36" s="461"/>
      <c r="G36" s="461"/>
      <c r="H36" s="472"/>
      <c r="I36" s="472"/>
      <c r="J36" s="461"/>
      <c r="K36" s="472"/>
      <c r="L36" s="472"/>
      <c r="M36" s="461"/>
      <c r="N36" s="461"/>
      <c r="O36" s="461"/>
      <c r="P36" s="460"/>
      <c r="Q36" s="460"/>
      <c r="R36" s="460"/>
      <c r="S36" s="479"/>
      <c r="T36" s="460"/>
      <c r="U36" s="472"/>
      <c r="V36" s="472"/>
      <c r="W36" s="460"/>
      <c r="X36" s="472"/>
      <c r="Y36" s="472"/>
      <c r="Z36" s="460"/>
    </row>
    <row r="37" spans="1:26" ht="14.25" customHeight="1">
      <c r="A37" s="460">
        <f t="shared" si="0"/>
        <v>32</v>
      </c>
      <c r="B37" s="460" t="s">
        <v>324</v>
      </c>
      <c r="C37" s="460" t="s">
        <v>326</v>
      </c>
      <c r="D37" s="461">
        <v>316.14999999999998</v>
      </c>
      <c r="E37" s="461"/>
      <c r="F37" s="461"/>
      <c r="G37" s="461"/>
      <c r="H37" s="472"/>
      <c r="I37" s="472"/>
      <c r="J37" s="461"/>
      <c r="K37" s="472"/>
      <c r="L37" s="472"/>
      <c r="M37" s="461"/>
      <c r="N37" s="461"/>
      <c r="O37" s="461"/>
      <c r="P37" s="460"/>
      <c r="Q37" s="460"/>
      <c r="R37" s="460"/>
      <c r="S37" s="479"/>
      <c r="T37" s="460"/>
      <c r="U37" s="472"/>
      <c r="V37" s="472"/>
      <c r="W37" s="460"/>
      <c r="X37" s="472"/>
      <c r="Y37" s="472"/>
      <c r="Z37" s="460"/>
    </row>
    <row r="38" spans="1:26" ht="14.25" customHeight="1">
      <c r="A38" s="460">
        <f t="shared" si="0"/>
        <v>33</v>
      </c>
      <c r="B38" s="460" t="s">
        <v>326</v>
      </c>
      <c r="C38" s="460" t="s">
        <v>328</v>
      </c>
      <c r="D38" s="461">
        <v>274</v>
      </c>
      <c r="E38" s="461"/>
      <c r="F38" s="461"/>
      <c r="G38" s="461"/>
      <c r="H38" s="472"/>
      <c r="I38" s="472"/>
      <c r="J38" s="461"/>
      <c r="K38" s="472"/>
      <c r="L38" s="472"/>
      <c r="M38" s="461"/>
      <c r="N38" s="461"/>
      <c r="O38" s="461"/>
      <c r="P38" s="460"/>
      <c r="Q38" s="460"/>
      <c r="R38" s="460"/>
      <c r="S38" s="479"/>
      <c r="T38" s="460"/>
      <c r="U38" s="472"/>
      <c r="V38" s="472"/>
      <c r="W38" s="460"/>
      <c r="X38" s="472"/>
      <c r="Y38" s="472"/>
      <c r="Z38" s="460"/>
    </row>
    <row r="39" spans="1:26" ht="14.25" customHeight="1">
      <c r="A39" s="460">
        <f t="shared" si="0"/>
        <v>34</v>
      </c>
      <c r="B39" s="460" t="s">
        <v>328</v>
      </c>
      <c r="C39" s="460" t="s">
        <v>329</v>
      </c>
      <c r="D39" s="461">
        <v>293.27999999999997</v>
      </c>
      <c r="E39" s="461"/>
      <c r="F39" s="461"/>
      <c r="G39" s="461"/>
      <c r="H39" s="472"/>
      <c r="I39" s="472"/>
      <c r="J39" s="461"/>
      <c r="K39" s="472"/>
      <c r="L39" s="472"/>
      <c r="M39" s="461"/>
      <c r="N39" s="461"/>
      <c r="O39" s="460"/>
      <c r="P39" s="348"/>
      <c r="Q39" s="460"/>
      <c r="R39" s="460"/>
      <c r="S39" s="479"/>
      <c r="T39" s="460"/>
      <c r="U39" s="472"/>
      <c r="V39" s="472"/>
      <c r="W39" s="460"/>
      <c r="X39" s="472"/>
      <c r="Y39" s="472"/>
      <c r="Z39" s="460"/>
    </row>
    <row r="40" spans="1:26" ht="14.25" customHeight="1">
      <c r="A40" s="460">
        <f t="shared" si="0"/>
        <v>35</v>
      </c>
      <c r="B40" s="460" t="s">
        <v>329</v>
      </c>
      <c r="C40" s="460" t="s">
        <v>167</v>
      </c>
      <c r="D40" s="461">
        <v>48.42</v>
      </c>
      <c r="E40" s="461"/>
      <c r="F40" s="460"/>
      <c r="G40" s="460"/>
      <c r="H40" s="472"/>
      <c r="I40" s="472"/>
      <c r="J40" s="460"/>
      <c r="K40" s="472"/>
      <c r="L40" s="472"/>
      <c r="M40" s="460"/>
      <c r="N40" s="460"/>
      <c r="O40" s="460"/>
      <c r="P40" s="460"/>
      <c r="Q40" s="460"/>
      <c r="R40" s="460"/>
      <c r="S40" s="479"/>
      <c r="T40" s="460"/>
      <c r="U40" s="472"/>
      <c r="V40" s="472"/>
      <c r="W40" s="460"/>
      <c r="X40" s="472"/>
      <c r="Y40" s="472"/>
      <c r="Z40" s="460"/>
    </row>
    <row r="41" spans="1:26" ht="14.25" customHeight="1">
      <c r="A41" s="460">
        <f t="shared" si="0"/>
        <v>36</v>
      </c>
      <c r="B41" s="460" t="s">
        <v>167</v>
      </c>
      <c r="C41" s="460" t="s">
        <v>331</v>
      </c>
      <c r="D41" s="461">
        <v>58.24</v>
      </c>
      <c r="E41" s="461"/>
      <c r="F41" s="461"/>
      <c r="G41" s="460"/>
      <c r="H41" s="472"/>
      <c r="I41" s="472"/>
      <c r="J41" s="460"/>
      <c r="K41" s="472"/>
      <c r="L41" s="472"/>
      <c r="M41" s="460"/>
      <c r="N41" s="460"/>
      <c r="O41" s="460"/>
      <c r="P41" s="348"/>
      <c r="Q41" s="460"/>
      <c r="R41" s="460"/>
      <c r="S41" s="479"/>
      <c r="T41" s="460"/>
      <c r="U41" s="472"/>
      <c r="V41" s="472"/>
      <c r="W41" s="460"/>
      <c r="X41" s="472"/>
      <c r="Y41" s="472"/>
      <c r="Z41" s="460"/>
    </row>
    <row r="42" spans="1:26" ht="14.25" customHeight="1">
      <c r="A42" s="460">
        <f t="shared" si="0"/>
        <v>37</v>
      </c>
      <c r="B42" s="460" t="s">
        <v>331</v>
      </c>
      <c r="C42" s="460" t="s">
        <v>332</v>
      </c>
      <c r="D42" s="461">
        <v>70.13</v>
      </c>
      <c r="E42" s="461"/>
      <c r="F42" s="461"/>
      <c r="G42" s="461"/>
      <c r="H42" s="472"/>
      <c r="I42" s="472"/>
      <c r="J42" s="460"/>
      <c r="K42" s="472"/>
      <c r="L42" s="472"/>
      <c r="M42" s="460"/>
      <c r="N42" s="474"/>
      <c r="O42" s="460"/>
      <c r="P42" s="348"/>
      <c r="Q42" s="460"/>
      <c r="R42" s="460"/>
      <c r="S42" s="479"/>
      <c r="T42" s="460"/>
      <c r="U42" s="472"/>
      <c r="V42" s="472"/>
      <c r="W42" s="460"/>
      <c r="X42" s="472"/>
      <c r="Y42" s="472"/>
      <c r="Z42" s="460"/>
    </row>
    <row r="43" spans="1:26" ht="14.25" customHeight="1">
      <c r="A43" s="460">
        <f t="shared" si="0"/>
        <v>38</v>
      </c>
      <c r="B43" s="460" t="s">
        <v>332</v>
      </c>
      <c r="C43" s="460" t="s">
        <v>334</v>
      </c>
      <c r="D43" s="461">
        <v>220.7</v>
      </c>
      <c r="E43" s="461"/>
      <c r="F43" s="461"/>
      <c r="G43" s="461"/>
      <c r="H43" s="472"/>
      <c r="I43" s="472"/>
      <c r="J43" s="460"/>
      <c r="K43" s="472"/>
      <c r="L43" s="472"/>
      <c r="M43" s="460"/>
      <c r="N43" s="474"/>
      <c r="O43" s="460"/>
      <c r="P43" s="348"/>
      <c r="Q43" s="348"/>
      <c r="R43" s="348"/>
      <c r="S43" s="473"/>
      <c r="T43" s="460"/>
      <c r="U43" s="472"/>
      <c r="V43" s="472"/>
      <c r="W43" s="460"/>
      <c r="X43" s="472"/>
      <c r="Y43" s="472"/>
      <c r="Z43" s="460"/>
    </row>
    <row r="44" spans="1:26" ht="14.25" customHeight="1">
      <c r="A44" s="460">
        <f t="shared" si="0"/>
        <v>39</v>
      </c>
      <c r="B44" s="460" t="s">
        <v>334</v>
      </c>
      <c r="C44" s="460" t="s">
        <v>181</v>
      </c>
      <c r="D44" s="461">
        <v>262.95</v>
      </c>
      <c r="E44" s="484" t="s">
        <v>20</v>
      </c>
      <c r="F44" s="484" t="s">
        <v>20</v>
      </c>
      <c r="G44" s="484" t="s">
        <v>20</v>
      </c>
      <c r="H44" s="429">
        <v>46088</v>
      </c>
      <c r="I44" s="429">
        <v>46090</v>
      </c>
      <c r="J44" s="484" t="s">
        <v>20</v>
      </c>
      <c r="K44" s="429">
        <v>46089</v>
      </c>
      <c r="L44" s="429">
        <v>46090</v>
      </c>
      <c r="M44" s="484" t="s">
        <v>20</v>
      </c>
      <c r="N44" s="484" t="s">
        <v>20</v>
      </c>
      <c r="O44" s="460"/>
      <c r="P44" s="348"/>
      <c r="Q44" s="348"/>
      <c r="R44" s="460"/>
      <c r="S44" s="479"/>
      <c r="T44" s="460"/>
      <c r="U44" s="472"/>
      <c r="V44" s="472"/>
      <c r="W44" s="460"/>
      <c r="X44" s="472"/>
      <c r="Y44" s="472"/>
      <c r="Z44" s="460"/>
    </row>
    <row r="45" spans="1:26" ht="14.25" customHeight="1">
      <c r="A45" s="460">
        <f t="shared" si="0"/>
        <v>40</v>
      </c>
      <c r="B45" s="460" t="s">
        <v>181</v>
      </c>
      <c r="C45" s="460" t="s">
        <v>182</v>
      </c>
      <c r="D45" s="461">
        <v>251.57</v>
      </c>
      <c r="E45" s="484" t="s">
        <v>20</v>
      </c>
      <c r="F45" s="484" t="s">
        <v>20</v>
      </c>
      <c r="G45" s="484" t="s">
        <v>20</v>
      </c>
      <c r="H45" s="429">
        <v>46088</v>
      </c>
      <c r="I45" s="429">
        <v>46090</v>
      </c>
      <c r="J45" s="484" t="s">
        <v>20</v>
      </c>
      <c r="K45" s="429">
        <v>46089</v>
      </c>
      <c r="L45" s="429">
        <v>46090</v>
      </c>
      <c r="M45" s="484" t="s">
        <v>20</v>
      </c>
      <c r="N45" s="484" t="s">
        <v>20</v>
      </c>
      <c r="O45" s="460"/>
      <c r="P45" s="348"/>
      <c r="Q45" s="348"/>
      <c r="R45" s="460"/>
      <c r="S45" s="479"/>
      <c r="T45" s="460"/>
      <c r="U45" s="472"/>
      <c r="V45" s="472"/>
      <c r="W45" s="460"/>
      <c r="X45" s="472"/>
      <c r="Y45" s="472"/>
      <c r="Z45" s="460"/>
    </row>
    <row r="46" spans="1:26" ht="14.25" customHeight="1">
      <c r="A46" s="460">
        <f t="shared" si="0"/>
        <v>41</v>
      </c>
      <c r="B46" s="475" t="s">
        <v>182</v>
      </c>
      <c r="C46" s="475" t="s">
        <v>183</v>
      </c>
      <c r="D46" s="475">
        <v>271.76</v>
      </c>
      <c r="E46" s="484" t="s">
        <v>20</v>
      </c>
      <c r="F46" s="484" t="s">
        <v>20</v>
      </c>
      <c r="G46" s="484" t="s">
        <v>20</v>
      </c>
      <c r="H46" s="429">
        <v>46088</v>
      </c>
      <c r="I46" s="429">
        <v>46090</v>
      </c>
      <c r="J46" s="484" t="s">
        <v>20</v>
      </c>
      <c r="K46" s="429">
        <v>46089</v>
      </c>
      <c r="L46" s="429">
        <v>46090</v>
      </c>
      <c r="M46" s="484" t="s">
        <v>20</v>
      </c>
      <c r="N46" s="484" t="s">
        <v>20</v>
      </c>
      <c r="O46" s="475"/>
      <c r="P46" s="475"/>
      <c r="Q46" s="475"/>
      <c r="R46" s="475"/>
      <c r="S46" s="479"/>
      <c r="T46" s="475"/>
      <c r="U46" s="475"/>
      <c r="V46" s="475"/>
      <c r="W46" s="475"/>
      <c r="X46" s="475"/>
      <c r="Y46" s="475"/>
      <c r="Z46" s="475"/>
    </row>
    <row r="47" spans="1:26" ht="14.25" customHeight="1">
      <c r="A47" s="460">
        <f t="shared" si="0"/>
        <v>42</v>
      </c>
      <c r="B47" s="475" t="s">
        <v>183</v>
      </c>
      <c r="C47" s="475" t="s">
        <v>336</v>
      </c>
      <c r="D47" s="475">
        <v>261.04000000000002</v>
      </c>
      <c r="E47" s="484" t="s">
        <v>20</v>
      </c>
      <c r="F47" s="484" t="s">
        <v>20</v>
      </c>
      <c r="G47" s="484" t="s">
        <v>20</v>
      </c>
      <c r="H47" s="429">
        <v>46088</v>
      </c>
      <c r="I47" s="429">
        <v>46090</v>
      </c>
      <c r="J47" s="484" t="s">
        <v>20</v>
      </c>
      <c r="K47" s="429">
        <v>46089</v>
      </c>
      <c r="L47" s="429">
        <v>46090</v>
      </c>
      <c r="M47" s="484" t="s">
        <v>20</v>
      </c>
      <c r="N47" s="484" t="s">
        <v>20</v>
      </c>
      <c r="O47" s="475"/>
      <c r="P47" s="475"/>
      <c r="Q47" s="475"/>
      <c r="R47" s="475"/>
      <c r="S47" s="479"/>
      <c r="T47" s="475"/>
      <c r="U47" s="475"/>
      <c r="V47" s="475"/>
      <c r="W47" s="475"/>
      <c r="X47" s="475"/>
      <c r="Y47" s="475"/>
      <c r="Z47" s="475"/>
    </row>
    <row r="48" spans="1:26" ht="14.25" customHeight="1">
      <c r="A48" s="460">
        <f t="shared" si="0"/>
        <v>43</v>
      </c>
      <c r="B48" s="475" t="s">
        <v>336</v>
      </c>
      <c r="C48" s="475" t="s">
        <v>192</v>
      </c>
      <c r="D48" s="475">
        <v>37.42</v>
      </c>
      <c r="E48" s="484" t="s">
        <v>20</v>
      </c>
      <c r="F48" s="484" t="s">
        <v>20</v>
      </c>
      <c r="G48" s="484" t="s">
        <v>20</v>
      </c>
      <c r="H48" s="429">
        <v>46086</v>
      </c>
      <c r="I48" s="429">
        <v>46087</v>
      </c>
      <c r="J48" s="484" t="s">
        <v>20</v>
      </c>
      <c r="K48" s="429">
        <v>46086</v>
      </c>
      <c r="L48" s="429">
        <v>46087</v>
      </c>
      <c r="M48" s="475"/>
      <c r="N48" s="475"/>
      <c r="O48" s="475"/>
      <c r="P48" s="475"/>
      <c r="Q48" s="475"/>
      <c r="R48" s="475"/>
      <c r="S48" s="479"/>
      <c r="T48" s="475"/>
      <c r="U48" s="475"/>
      <c r="V48" s="475"/>
      <c r="W48" s="475"/>
      <c r="X48" s="475"/>
      <c r="Y48" s="475"/>
      <c r="Z48" s="475"/>
    </row>
    <row r="49" spans="1:26" ht="14.25" customHeight="1">
      <c r="A49" s="460">
        <f t="shared" si="0"/>
        <v>44</v>
      </c>
      <c r="B49" s="475" t="s">
        <v>192</v>
      </c>
      <c r="C49" s="475" t="s">
        <v>193</v>
      </c>
      <c r="D49" s="475">
        <v>71</v>
      </c>
      <c r="E49" s="484" t="s">
        <v>20</v>
      </c>
      <c r="F49" s="484" t="s">
        <v>20</v>
      </c>
      <c r="G49" s="484" t="s">
        <v>20</v>
      </c>
      <c r="H49" s="429">
        <v>46084</v>
      </c>
      <c r="I49" s="429">
        <v>46084</v>
      </c>
      <c r="J49" s="484" t="s">
        <v>20</v>
      </c>
      <c r="K49" s="429">
        <v>46084</v>
      </c>
      <c r="L49" s="429">
        <v>46084</v>
      </c>
      <c r="M49" s="475"/>
      <c r="N49" s="475"/>
      <c r="O49" s="475"/>
      <c r="P49" s="475"/>
      <c r="Q49" s="475"/>
      <c r="R49" s="475"/>
      <c r="S49" s="479"/>
      <c r="T49" s="475"/>
      <c r="U49" s="475"/>
      <c r="V49" s="475"/>
      <c r="W49" s="475"/>
      <c r="X49" s="475"/>
      <c r="Y49" s="475"/>
      <c r="Z49" s="475"/>
    </row>
    <row r="50" spans="1:26" ht="14.25" customHeight="1">
      <c r="A50" s="460">
        <f t="shared" si="0"/>
        <v>45</v>
      </c>
      <c r="B50" s="475" t="s">
        <v>193</v>
      </c>
      <c r="C50" s="475" t="s">
        <v>338</v>
      </c>
      <c r="D50" s="475">
        <v>37.520000000000003</v>
      </c>
      <c r="E50" s="484" t="s">
        <v>20</v>
      </c>
      <c r="F50" s="484" t="s">
        <v>20</v>
      </c>
      <c r="G50" s="484" t="s">
        <v>20</v>
      </c>
      <c r="H50" s="429">
        <v>46076</v>
      </c>
      <c r="I50" s="429">
        <v>46076</v>
      </c>
      <c r="J50" s="484" t="s">
        <v>20</v>
      </c>
      <c r="K50" s="429">
        <v>46076</v>
      </c>
      <c r="L50" s="429">
        <v>46076</v>
      </c>
      <c r="M50" s="475"/>
      <c r="N50" s="474"/>
      <c r="O50" s="460"/>
      <c r="P50" s="474" t="s">
        <v>745</v>
      </c>
      <c r="Q50" s="475"/>
      <c r="R50" s="475"/>
      <c r="S50" s="479"/>
      <c r="T50" s="475"/>
      <c r="U50" s="475"/>
      <c r="V50" s="475"/>
      <c r="W50" s="475"/>
      <c r="X50" s="475"/>
      <c r="Y50" s="475"/>
      <c r="Z50" s="475"/>
    </row>
    <row r="51" spans="1:26" ht="14.25" customHeight="1">
      <c r="A51" s="460">
        <f t="shared" si="0"/>
        <v>46</v>
      </c>
      <c r="B51" s="475" t="s">
        <v>338</v>
      </c>
      <c r="C51" s="475" t="s">
        <v>340</v>
      </c>
      <c r="D51" s="475">
        <v>165.14699999999999</v>
      </c>
      <c r="E51" s="484" t="s">
        <v>20</v>
      </c>
      <c r="F51" s="484" t="s">
        <v>20</v>
      </c>
      <c r="G51" s="484" t="s">
        <v>20</v>
      </c>
      <c r="H51" s="429">
        <v>46083</v>
      </c>
      <c r="I51" s="429">
        <v>46084</v>
      </c>
      <c r="J51" s="484" t="s">
        <v>20</v>
      </c>
      <c r="K51" s="429">
        <v>46083</v>
      </c>
      <c r="L51" s="429">
        <v>46084</v>
      </c>
      <c r="M51" s="475"/>
      <c r="N51" s="475"/>
      <c r="O51" s="475"/>
      <c r="P51" s="475"/>
      <c r="Q51" s="475"/>
      <c r="R51" s="475"/>
      <c r="S51" s="479"/>
      <c r="T51" s="475"/>
      <c r="U51" s="475"/>
      <c r="V51" s="475"/>
      <c r="W51" s="475"/>
      <c r="X51" s="475"/>
      <c r="Y51" s="475"/>
      <c r="Z51" s="475"/>
    </row>
    <row r="52" spans="1:26" ht="14.25" customHeight="1">
      <c r="A52" s="460">
        <f t="shared" si="0"/>
        <v>47</v>
      </c>
      <c r="B52" s="475" t="s">
        <v>340</v>
      </c>
      <c r="C52" s="480" t="s">
        <v>629</v>
      </c>
      <c r="D52" s="475">
        <v>39.999000000000002</v>
      </c>
      <c r="E52" s="484" t="s">
        <v>20</v>
      </c>
      <c r="F52" s="484" t="s">
        <v>20</v>
      </c>
      <c r="G52" s="484" t="s">
        <v>20</v>
      </c>
      <c r="H52" s="429">
        <v>46073</v>
      </c>
      <c r="I52" s="429">
        <v>46074</v>
      </c>
      <c r="J52" s="484" t="s">
        <v>20</v>
      </c>
      <c r="K52" s="429">
        <v>46073</v>
      </c>
      <c r="L52" s="429">
        <v>46074</v>
      </c>
      <c r="M52" s="475"/>
      <c r="N52" s="475"/>
      <c r="O52" s="475"/>
      <c r="P52" s="474" t="s">
        <v>745</v>
      </c>
      <c r="Q52" s="475"/>
      <c r="R52" s="475"/>
      <c r="S52" s="479"/>
      <c r="T52" s="475"/>
      <c r="U52" s="475"/>
      <c r="V52" s="475"/>
      <c r="W52" s="475"/>
      <c r="X52" s="475"/>
      <c r="Y52" s="475"/>
      <c r="Z52" s="475"/>
    </row>
    <row r="53" spans="1:26" ht="14.25" customHeight="1">
      <c r="A53" s="387"/>
      <c r="B53" s="387"/>
      <c r="C53" s="387"/>
      <c r="D53" s="387"/>
      <c r="E53" s="387"/>
      <c r="G53" s="483"/>
      <c r="H53" s="476"/>
      <c r="I53" s="387"/>
      <c r="J53" s="387"/>
      <c r="K53" s="387"/>
      <c r="L53" s="387"/>
      <c r="M53" s="387"/>
      <c r="N53" s="387"/>
      <c r="O53" s="387"/>
      <c r="P53" s="387"/>
      <c r="Q53" s="387"/>
      <c r="R53" s="387"/>
      <c r="S53" s="481"/>
      <c r="T53" s="387"/>
      <c r="U53" s="387"/>
      <c r="V53" s="387"/>
      <c r="W53" s="387"/>
      <c r="X53" s="387"/>
      <c r="Y53" s="387"/>
      <c r="Z53" s="387"/>
    </row>
    <row r="54" spans="1:26" ht="14.25" customHeight="1">
      <c r="G54" s="483"/>
      <c r="H54" s="476"/>
      <c r="S54" s="482"/>
    </row>
    <row r="55" spans="1:26" ht="14.25" customHeight="1">
      <c r="G55" s="483"/>
      <c r="H55" s="476"/>
      <c r="S55" s="482"/>
    </row>
    <row r="56" spans="1:26" ht="14.25" customHeight="1">
      <c r="G56" s="483"/>
      <c r="H56" s="476"/>
      <c r="S56" s="482"/>
    </row>
    <row r="57" spans="1:26" ht="14.25" customHeight="1">
      <c r="G57" s="483"/>
      <c r="H57" s="476"/>
    </row>
    <row r="58" spans="1:26" ht="14.25" customHeight="1">
      <c r="G58" s="483"/>
      <c r="H58" s="476"/>
    </row>
    <row r="59" spans="1:26" ht="14.25" customHeight="1">
      <c r="G59" s="483"/>
      <c r="H59" s="476"/>
    </row>
    <row r="60" spans="1:26" ht="14.25" customHeight="1">
      <c r="G60" s="483"/>
      <c r="H60" s="476"/>
    </row>
    <row r="61" spans="1:26" ht="14.25" customHeight="1">
      <c r="G61" s="483"/>
      <c r="H61" s="476"/>
    </row>
    <row r="62" spans="1:26" ht="14.25" customHeight="1">
      <c r="G62" s="483"/>
      <c r="H62" s="476"/>
    </row>
  </sheetData>
  <autoFilter ref="A5:Z45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35">
    <cfRule type="containsText" dxfId="1440" priority="4" operator="containsText" text="C">
      <formula>NOT(ISERROR(SEARCH(("C"),(E6))))</formula>
    </cfRule>
  </conditionalFormatting>
  <conditionalFormatting sqref="F13:F18">
    <cfRule type="containsText" dxfId="1439" priority="21" operator="containsText" text="WIP">
      <formula>NOT(ISERROR(SEARCH(("WIP"),(F13))))</formula>
    </cfRule>
  </conditionalFormatting>
  <conditionalFormatting sqref="F40">
    <cfRule type="containsText" dxfId="1438" priority="22" operator="containsText" text="WIP">
      <formula>NOT(ISERROR(SEARCH(("WIP"),(F40))))</formula>
    </cfRule>
  </conditionalFormatting>
  <conditionalFormatting sqref="F30:G32">
    <cfRule type="containsText" dxfId="1437" priority="26" operator="containsText" text="WIP">
      <formula>NOT(ISERROR(SEARCH(("WIP"),(F30))))</formula>
    </cfRule>
  </conditionalFormatting>
  <conditionalFormatting sqref="F36:G39 E36:E43 M39:N39 F42:G43">
    <cfRule type="containsText" dxfId="1436" priority="17" operator="containsText" text="C">
      <formula>NOT(ISERROR(SEARCH(("C"),(E36))))</formula>
    </cfRule>
  </conditionalFormatting>
  <conditionalFormatting sqref="F40:G41">
    <cfRule type="containsText" dxfId="1435" priority="1397" operator="containsText" text="C">
      <formula>NOT(ISERROR(SEARCH(("C"),(#REF!))))</formula>
    </cfRule>
  </conditionalFormatting>
  <conditionalFormatting sqref="G7:G22">
    <cfRule type="containsText" dxfId="1434" priority="32" operator="containsText" text="WIP">
      <formula>NOT(ISERROR(SEARCH(("WIP"),(G7))))</formula>
    </cfRule>
  </conditionalFormatting>
  <conditionalFormatting sqref="G40:G41">
    <cfRule type="containsText" dxfId="1433" priority="33" operator="containsText" text="WIP">
      <formula>NOT(ISERROR(SEARCH(("WIP"),(G40))))</formula>
    </cfRule>
  </conditionalFormatting>
  <conditionalFormatting sqref="J6:J10">
    <cfRule type="containsText" dxfId="1432" priority="5" operator="containsText" text="C">
      <formula>NOT(ISERROR(SEARCH(("C"),(J6))))</formula>
    </cfRule>
  </conditionalFormatting>
  <conditionalFormatting sqref="J7:J21">
    <cfRule type="containsText" dxfId="1431" priority="56" operator="containsText" text="WIP">
      <formula>NOT(ISERROR(SEARCH(("WIP"),(J7))))</formula>
    </cfRule>
  </conditionalFormatting>
  <conditionalFormatting sqref="J7:J33">
    <cfRule type="containsText" dxfId="1430" priority="57" operator="containsText" text="C">
      <formula>NOT(ISERROR(SEARCH(("C"),(J7))))</formula>
    </cfRule>
  </conditionalFormatting>
  <conditionalFormatting sqref="J30:J33">
    <cfRule type="containsText" dxfId="1429" priority="58" operator="containsText" text="WIP">
      <formula>NOT(ISERROR(SEARCH(("WIP"),(J30))))</formula>
    </cfRule>
  </conditionalFormatting>
  <conditionalFormatting sqref="J34:J39">
    <cfRule type="containsText" dxfId="1428" priority="3" operator="containsText" text="C">
      <formula>NOT(ISERROR(SEARCH(("C"),(J34))))</formula>
    </cfRule>
  </conditionalFormatting>
  <conditionalFormatting sqref="J39:J41">
    <cfRule type="containsText" dxfId="1427" priority="59" operator="containsText" text="WIP">
      <formula>NOT(ISERROR(SEARCH(("WIP"),(J39))))</formula>
    </cfRule>
  </conditionalFormatting>
  <conditionalFormatting sqref="J39:J43">
    <cfRule type="containsText" dxfId="1426" priority="61" operator="containsText" text="C">
      <formula>NOT(ISERROR(SEARCH(("C"),(J39))))</formula>
    </cfRule>
  </conditionalFormatting>
  <conditionalFormatting sqref="J7:K8">
    <cfRule type="containsText" dxfId="1425" priority="74" operator="containsText" text="C">
      <formula>NOT(ISERROR(SEARCH(("C"),(J7))))</formula>
    </cfRule>
  </conditionalFormatting>
  <conditionalFormatting sqref="K7:K8">
    <cfRule type="containsText" dxfId="1424" priority="75" operator="containsText" text="WIP">
      <formula>NOT(ISERROR(SEARCH(("WIP"),(K7))))</formula>
    </cfRule>
  </conditionalFormatting>
  <conditionalFormatting sqref="M22:N29 M18:O18">
    <cfRule type="containsText" dxfId="1423" priority="86" operator="containsText" text="WIP">
      <formula>NOT(ISERROR(SEARCH(("WIP"),(M18))))</formula>
    </cfRule>
  </conditionalFormatting>
  <conditionalFormatting sqref="M22:N29">
    <cfRule type="containsText" dxfId="1422" priority="85" operator="containsText" text="C">
      <formula>NOT(ISERROR(SEARCH(("C"),(M22))))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8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18" activePane="bottomLeft" state="frozen"/>
      <selection sqref="A1:H1"/>
      <selection pane="bottomLeft" activeCell="AN36" sqref="AK36:AN36"/>
    </sheetView>
  </sheetViews>
  <sheetFormatPr defaultRowHeight="14.5"/>
  <cols>
    <col min="1" max="1" width="3.1796875" style="285" customWidth="1"/>
    <col min="2" max="3" width="4" style="285" customWidth="1"/>
    <col min="4" max="4" width="5.453125" style="286" customWidth="1"/>
    <col min="5" max="6" width="4" style="285" customWidth="1"/>
    <col min="7" max="7" width="4.1796875" style="286" customWidth="1"/>
    <col min="8" max="9" width="4" style="285" customWidth="1"/>
    <col min="10" max="10" width="5.54296875" style="286" customWidth="1"/>
    <col min="11" max="12" width="4" style="285" customWidth="1"/>
    <col min="13" max="13" width="5.54296875" style="286" customWidth="1"/>
    <col min="14" max="15" width="4" style="285" customWidth="1"/>
    <col min="16" max="16" width="5" style="286" customWidth="1"/>
    <col min="17" max="18" width="4" style="285" customWidth="1"/>
    <col min="19" max="19" width="4.54296875" style="286" customWidth="1"/>
    <col min="20" max="21" width="4" style="285" customWidth="1"/>
    <col min="22" max="22" width="5.1796875" style="286" customWidth="1"/>
    <col min="23" max="24" width="4" style="285" customWidth="1"/>
    <col min="25" max="25" width="5" style="286" customWidth="1"/>
    <col min="26" max="27" width="4" style="285" customWidth="1"/>
    <col min="28" max="28" width="5.26953125" style="286" customWidth="1"/>
    <col min="29" max="29" width="3.81640625" style="285" customWidth="1"/>
    <col min="30" max="30" width="3.7265625" style="285" customWidth="1"/>
    <col min="31" max="31" width="5.1796875" style="286" customWidth="1"/>
    <col min="32" max="32" width="4" style="285" customWidth="1"/>
    <col min="33" max="33" width="3.7265625" style="285" customWidth="1"/>
    <col min="34" max="34" width="5.1796875" style="286" customWidth="1"/>
    <col min="35" max="35" width="4" style="285" customWidth="1"/>
    <col min="36" max="36" width="3.81640625" style="285" customWidth="1"/>
    <col min="37" max="37" width="6.453125" style="286" customWidth="1"/>
    <col min="38" max="38" width="4" style="285" customWidth="1"/>
    <col min="39" max="39" width="3.54296875" style="285" customWidth="1"/>
    <col min="40" max="40" width="5.453125" style="286" customWidth="1"/>
    <col min="41" max="41" width="4" style="285" customWidth="1"/>
    <col min="42" max="42" width="3.453125" style="285" customWidth="1"/>
    <col min="43" max="43" width="6.26953125" style="286" customWidth="1"/>
    <col min="44" max="44" width="3.54296875" style="286" customWidth="1"/>
    <col min="45" max="45" width="3.453125" style="286" customWidth="1"/>
    <col min="46" max="46" width="5" style="286" customWidth="1"/>
    <col min="47" max="47" width="9.7265625" style="515" customWidth="1"/>
    <col min="48" max="48" width="2.54296875" style="285" customWidth="1"/>
    <col min="49" max="49" width="6.1796875" style="285" customWidth="1"/>
    <col min="50" max="50" width="6" style="285" customWidth="1"/>
    <col min="51" max="52" width="5.7265625" style="285" customWidth="1"/>
    <col min="53" max="53" width="7.1796875" style="285" customWidth="1"/>
    <col min="54" max="54" width="8.7265625" style="285" customWidth="1"/>
    <col min="55" max="16384" width="8.7265625" style="285"/>
  </cols>
  <sheetData>
    <row r="1" spans="1:55" ht="15.75" customHeight="1" thickBot="1">
      <c r="A1" s="675" t="str">
        <f>+[1]Summary!A2</f>
        <v>Name of the Line: 220KV DC AL59 line from Neemuch - Chanderiya + 132KV DC ACSS Line from Chanderiya to Hindustan Zinc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676"/>
      <c r="V1" s="676"/>
      <c r="W1" s="676"/>
      <c r="X1" s="676"/>
      <c r="Y1" s="676"/>
      <c r="Z1" s="676"/>
      <c r="AA1" s="676"/>
      <c r="AB1" s="676"/>
      <c r="AC1" s="676"/>
      <c r="AD1" s="676"/>
      <c r="AE1" s="676"/>
      <c r="AF1" s="676"/>
      <c r="AG1" s="676"/>
      <c r="AH1" s="676"/>
      <c r="AI1" s="676"/>
      <c r="AJ1" s="676"/>
      <c r="AK1" s="676"/>
      <c r="AL1" s="676"/>
      <c r="AM1" s="676"/>
      <c r="AN1" s="676"/>
      <c r="AO1" s="676"/>
      <c r="AP1" s="676"/>
      <c r="AQ1" s="676"/>
      <c r="AR1" s="676"/>
      <c r="AS1" s="676"/>
      <c r="AT1" s="676"/>
      <c r="AU1" s="677"/>
      <c r="AW1" s="678">
        <f>Summary!R5</f>
        <v>46092</v>
      </c>
      <c r="AX1" s="678"/>
      <c r="AY1" s="678"/>
      <c r="AZ1" s="678"/>
      <c r="BA1" s="678"/>
    </row>
    <row r="2" spans="1:55" ht="18.5">
      <c r="A2" s="298"/>
      <c r="T2" s="672" t="s">
        <v>668</v>
      </c>
      <c r="U2" s="672"/>
      <c r="V2" s="672"/>
      <c r="W2" s="672"/>
      <c r="X2" s="672"/>
      <c r="Y2" s="672"/>
      <c r="Z2" s="672"/>
      <c r="AA2" s="672"/>
      <c r="AB2" s="672"/>
      <c r="AC2" s="672"/>
      <c r="AD2" s="672"/>
      <c r="AK2" s="683" t="s">
        <v>26</v>
      </c>
      <c r="AL2" s="683"/>
      <c r="AM2" s="683"/>
      <c r="AN2" s="684">
        <f>AW1</f>
        <v>46092</v>
      </c>
      <c r="AO2" s="684"/>
      <c r="AP2" s="684"/>
      <c r="AW2" s="301" t="s">
        <v>623</v>
      </c>
      <c r="AX2" s="301" t="s">
        <v>624</v>
      </c>
      <c r="AY2" s="301" t="s">
        <v>625</v>
      </c>
      <c r="AZ2" s="317" t="s">
        <v>626</v>
      </c>
      <c r="BA2" s="681" t="s">
        <v>627</v>
      </c>
      <c r="BB2" s="682"/>
      <c r="BC2" s="346" t="s">
        <v>390</v>
      </c>
    </row>
    <row r="3" spans="1:55">
      <c r="A3" s="298"/>
      <c r="C3" s="286"/>
      <c r="F3" s="286"/>
      <c r="G3" s="285"/>
      <c r="AW3" s="307"/>
      <c r="AX3" s="307"/>
      <c r="AY3" s="307"/>
      <c r="AZ3" s="307"/>
      <c r="BA3" s="307" t="s">
        <v>686</v>
      </c>
      <c r="BB3" s="346" t="s">
        <v>687</v>
      </c>
    </row>
    <row r="4" spans="1:55">
      <c r="A4" s="298"/>
      <c r="B4" s="659"/>
      <c r="C4" s="659"/>
      <c r="E4" s="659"/>
      <c r="F4" s="659"/>
      <c r="H4" s="658"/>
      <c r="I4" s="658"/>
      <c r="K4" s="659"/>
      <c r="L4" s="659"/>
      <c r="N4" s="659"/>
      <c r="O4" s="659"/>
      <c r="Q4" s="658"/>
      <c r="R4" s="658"/>
      <c r="T4" s="658"/>
      <c r="U4" s="658"/>
      <c r="W4" s="621"/>
      <c r="X4" s="621"/>
      <c r="Z4" s="621"/>
      <c r="AA4" s="621"/>
      <c r="AC4" s="658"/>
      <c r="AD4" s="659"/>
      <c r="AF4" s="658"/>
      <c r="AG4" s="659"/>
      <c r="AI4" s="658"/>
      <c r="AJ4" s="659"/>
      <c r="AL4" s="658"/>
      <c r="AM4" s="659"/>
      <c r="AO4" s="658"/>
      <c r="AP4" s="659"/>
    </row>
    <row r="5" spans="1:55">
      <c r="A5" s="298"/>
      <c r="B5" s="302"/>
      <c r="C5" s="304"/>
      <c r="D5" s="293"/>
      <c r="E5" s="302"/>
      <c r="F5" s="304"/>
      <c r="G5" s="293"/>
      <c r="H5" s="302"/>
      <c r="I5" s="304"/>
      <c r="J5" s="303"/>
      <c r="K5" s="302"/>
      <c r="L5" s="304"/>
      <c r="M5" s="293"/>
      <c r="N5" s="302"/>
      <c r="O5" s="304"/>
      <c r="P5" s="318"/>
      <c r="Q5" s="302"/>
      <c r="R5" s="304"/>
      <c r="S5" s="318"/>
      <c r="T5" s="302"/>
      <c r="U5" s="304"/>
      <c r="V5" s="318"/>
      <c r="W5" s="302"/>
      <c r="X5" s="304"/>
      <c r="Y5" s="318"/>
      <c r="Z5" s="302"/>
      <c r="AA5" s="304"/>
      <c r="AB5" s="318"/>
      <c r="AC5" s="302"/>
      <c r="AD5" s="336"/>
      <c r="AE5" s="318"/>
      <c r="AF5" s="302"/>
      <c r="AG5" s="304"/>
      <c r="AH5" s="318"/>
      <c r="AI5" s="302"/>
      <c r="AJ5" s="304"/>
      <c r="AK5" s="318"/>
      <c r="AL5" s="302"/>
      <c r="AM5" s="304"/>
      <c r="AN5" s="318"/>
      <c r="AO5" s="302"/>
      <c r="AP5" s="304"/>
      <c r="AQ5" s="318"/>
      <c r="AR5" s="318"/>
      <c r="AS5" s="318"/>
      <c r="AT5" s="318"/>
      <c r="AU5" s="517"/>
    </row>
    <row r="6" spans="1:55">
      <c r="A6" s="298"/>
      <c r="B6" s="302"/>
      <c r="C6" s="302"/>
      <c r="D6" s="311"/>
      <c r="E6" s="302"/>
      <c r="F6" s="302"/>
      <c r="G6" s="311"/>
      <c r="H6" s="302"/>
      <c r="I6" s="302"/>
      <c r="J6" s="316"/>
      <c r="K6" s="302"/>
      <c r="L6" s="302"/>
      <c r="M6" s="311"/>
      <c r="N6" s="302"/>
      <c r="O6" s="302"/>
      <c r="P6" s="311"/>
      <c r="Q6" s="302"/>
      <c r="R6" s="302"/>
      <c r="S6" s="311"/>
      <c r="T6" s="302"/>
      <c r="U6" s="302"/>
      <c r="V6" s="311"/>
      <c r="W6" s="302"/>
      <c r="X6" s="302"/>
      <c r="Y6" s="311"/>
      <c r="Z6" s="302"/>
      <c r="AA6" s="302"/>
      <c r="AB6" s="311"/>
      <c r="AC6" s="302"/>
      <c r="AD6" s="302"/>
      <c r="AF6" s="302"/>
      <c r="AG6" s="302"/>
      <c r="AH6" s="311"/>
      <c r="AI6" s="302"/>
      <c r="AJ6" s="302"/>
      <c r="AK6" s="311"/>
      <c r="AL6" s="302"/>
      <c r="AM6" s="302"/>
      <c r="AN6" s="311"/>
      <c r="AO6" s="302"/>
      <c r="AP6" s="302"/>
      <c r="AQ6" s="311"/>
      <c r="AR6" s="311"/>
      <c r="AS6" s="311"/>
      <c r="AT6" s="311"/>
      <c r="AU6" s="311"/>
      <c r="AW6" s="292">
        <v>14</v>
      </c>
      <c r="AX6" s="292">
        <v>14</v>
      </c>
      <c r="AY6" s="292">
        <v>13</v>
      </c>
      <c r="AZ6" s="292">
        <v>13</v>
      </c>
      <c r="BA6" s="348">
        <f>((SUM(D9:Y9)+(SUM(AK9:AQ9)))/1000)</f>
        <v>3.3276999999999997</v>
      </c>
      <c r="BB6" s="348">
        <f>BA6</f>
        <v>3.3276999999999997</v>
      </c>
      <c r="BC6" s="329"/>
    </row>
    <row r="7" spans="1:55">
      <c r="A7" s="298"/>
      <c r="B7" s="666" t="s">
        <v>33</v>
      </c>
      <c r="C7" s="666"/>
      <c r="D7" s="311"/>
      <c r="E7" s="666" t="s">
        <v>36</v>
      </c>
      <c r="F7" s="666"/>
      <c r="G7" s="311"/>
      <c r="H7" s="666" t="s">
        <v>38</v>
      </c>
      <c r="I7" s="666"/>
      <c r="J7" s="311"/>
      <c r="K7" s="674" t="s">
        <v>41</v>
      </c>
      <c r="L7" s="666"/>
      <c r="M7" s="311"/>
      <c r="N7" s="674" t="s">
        <v>43</v>
      </c>
      <c r="O7" s="666"/>
      <c r="P7" s="311"/>
      <c r="Q7" s="679" t="s">
        <v>45</v>
      </c>
      <c r="R7" s="680"/>
      <c r="S7" s="311"/>
      <c r="T7" s="671" t="s">
        <v>47</v>
      </c>
      <c r="U7" s="666"/>
      <c r="V7" s="311"/>
      <c r="W7" s="673" t="s">
        <v>48</v>
      </c>
      <c r="X7" s="617"/>
      <c r="Y7" s="311"/>
      <c r="Z7" s="673" t="s">
        <v>50</v>
      </c>
      <c r="AA7" s="617"/>
      <c r="AB7" s="311"/>
      <c r="AC7" s="665" t="s">
        <v>53</v>
      </c>
      <c r="AD7" s="666"/>
      <c r="AF7" s="665" t="s">
        <v>55</v>
      </c>
      <c r="AG7" s="666"/>
      <c r="AH7" s="311"/>
      <c r="AI7" s="666" t="s">
        <v>58</v>
      </c>
      <c r="AJ7" s="666"/>
      <c r="AK7" s="311"/>
      <c r="AL7" s="665" t="s">
        <v>59</v>
      </c>
      <c r="AM7" s="666"/>
      <c r="AN7" s="311"/>
      <c r="AO7" s="665" t="s">
        <v>61</v>
      </c>
      <c r="AP7" s="666"/>
      <c r="AQ7" s="311"/>
      <c r="AR7" s="311"/>
      <c r="AS7" s="311"/>
      <c r="AT7" s="311"/>
      <c r="AU7" s="311"/>
      <c r="BA7" s="347"/>
      <c r="BB7" s="347"/>
    </row>
    <row r="8" spans="1:55">
      <c r="A8" s="298"/>
      <c r="B8" s="617" t="s">
        <v>34</v>
      </c>
      <c r="C8" s="617"/>
      <c r="D8" s="310"/>
      <c r="E8" s="617" t="s">
        <v>37</v>
      </c>
      <c r="F8" s="617"/>
      <c r="G8" s="310"/>
      <c r="H8" s="617" t="s">
        <v>39</v>
      </c>
      <c r="I8" s="617"/>
      <c r="J8" s="310"/>
      <c r="K8" s="618" t="s">
        <v>42</v>
      </c>
      <c r="L8" s="617"/>
      <c r="M8" s="310"/>
      <c r="N8" s="618" t="s">
        <v>37</v>
      </c>
      <c r="O8" s="617"/>
      <c r="P8" s="310"/>
      <c r="Q8" s="619" t="s">
        <v>46</v>
      </c>
      <c r="R8" s="619"/>
      <c r="S8" s="310"/>
      <c r="T8" s="619" t="s">
        <v>37</v>
      </c>
      <c r="U8" s="619"/>
      <c r="V8" s="310"/>
      <c r="W8" s="617" t="s">
        <v>39</v>
      </c>
      <c r="X8" s="617"/>
      <c r="Y8" s="310"/>
      <c r="Z8" s="617" t="s">
        <v>51</v>
      </c>
      <c r="AA8" s="617"/>
      <c r="AB8" s="310"/>
      <c r="AC8" s="617" t="s">
        <v>54</v>
      </c>
      <c r="AD8" s="617"/>
      <c r="AE8" s="311"/>
      <c r="AF8" s="617" t="s">
        <v>56</v>
      </c>
      <c r="AG8" s="617"/>
      <c r="AH8" s="310"/>
      <c r="AI8" s="617" t="s">
        <v>39</v>
      </c>
      <c r="AJ8" s="617"/>
      <c r="AK8" s="310"/>
      <c r="AL8" s="617" t="s">
        <v>42</v>
      </c>
      <c r="AM8" s="617"/>
      <c r="AN8" s="310"/>
      <c r="AO8" s="617" t="s">
        <v>62</v>
      </c>
      <c r="AP8" s="617"/>
      <c r="BA8" s="347"/>
      <c r="BB8" s="347"/>
    </row>
    <row r="9" spans="1:55">
      <c r="B9" s="345"/>
      <c r="C9" s="345"/>
      <c r="D9" s="344">
        <v>196</v>
      </c>
      <c r="E9" s="345"/>
      <c r="F9" s="345"/>
      <c r="G9" s="344">
        <v>196.7</v>
      </c>
      <c r="H9" s="345"/>
      <c r="I9" s="345"/>
      <c r="J9" s="344">
        <v>334</v>
      </c>
      <c r="K9" s="345"/>
      <c r="L9" s="345"/>
      <c r="M9" s="344">
        <v>319</v>
      </c>
      <c r="N9" s="345"/>
      <c r="O9" s="345"/>
      <c r="P9" s="344">
        <v>384.3</v>
      </c>
      <c r="Q9" s="345"/>
      <c r="R9" s="345"/>
      <c r="S9" s="344">
        <v>329</v>
      </c>
      <c r="T9" s="345"/>
      <c r="U9" s="345"/>
      <c r="V9" s="344">
        <v>280</v>
      </c>
      <c r="W9" s="345"/>
      <c r="X9" s="345"/>
      <c r="Y9" s="344">
        <v>232.1</v>
      </c>
      <c r="Z9" s="345"/>
      <c r="AA9" s="345"/>
      <c r="AB9" s="344">
        <v>237.8</v>
      </c>
      <c r="AC9" s="345"/>
      <c r="AD9" s="345"/>
      <c r="AE9" s="344">
        <v>334</v>
      </c>
      <c r="AF9" s="345"/>
      <c r="AG9" s="345"/>
      <c r="AH9" s="344">
        <v>341.2</v>
      </c>
      <c r="AI9" s="345"/>
      <c r="AJ9" s="345"/>
      <c r="AK9" s="344">
        <v>306</v>
      </c>
      <c r="AL9" s="345"/>
      <c r="AM9" s="345"/>
      <c r="AN9" s="344">
        <v>393.9</v>
      </c>
      <c r="AO9" s="345"/>
      <c r="AP9" s="345"/>
      <c r="AQ9" s="344">
        <v>356.7</v>
      </c>
      <c r="AU9" s="515">
        <f>SUM(A9:AR9)</f>
        <v>4240.7</v>
      </c>
      <c r="BA9" s="345"/>
      <c r="BB9" s="345"/>
    </row>
    <row r="10" spans="1:55">
      <c r="A10" s="298"/>
      <c r="B10" s="309"/>
      <c r="C10" s="309"/>
      <c r="D10" s="310"/>
      <c r="E10" s="333" t="s">
        <v>536</v>
      </c>
      <c r="F10" s="333"/>
      <c r="G10" s="332"/>
      <c r="H10" s="333" t="s">
        <v>536</v>
      </c>
      <c r="I10" s="333"/>
      <c r="J10" s="332"/>
      <c r="K10" s="333" t="s">
        <v>536</v>
      </c>
      <c r="L10" s="333"/>
      <c r="M10" s="332"/>
      <c r="N10" s="333" t="s">
        <v>536</v>
      </c>
      <c r="O10" s="333"/>
      <c r="P10" s="332"/>
      <c r="Q10" s="333" t="s">
        <v>536</v>
      </c>
      <c r="R10" s="335"/>
      <c r="S10" s="332"/>
      <c r="T10" s="333" t="s">
        <v>536</v>
      </c>
      <c r="U10" s="335"/>
      <c r="V10" s="332"/>
      <c r="W10" s="333" t="s">
        <v>536</v>
      </c>
      <c r="X10" s="333"/>
      <c r="Y10" s="332"/>
      <c r="Z10" s="333" t="s">
        <v>536</v>
      </c>
      <c r="AA10" s="333"/>
      <c r="AB10" s="332"/>
      <c r="AC10" s="333" t="s">
        <v>536</v>
      </c>
      <c r="AD10" s="333"/>
      <c r="AE10" s="342"/>
      <c r="AF10" s="333" t="s">
        <v>536</v>
      </c>
      <c r="AG10" s="333"/>
      <c r="AH10" s="332"/>
      <c r="AI10" s="333" t="s">
        <v>536</v>
      </c>
      <c r="AJ10" s="333"/>
      <c r="AK10" s="332"/>
      <c r="AL10" s="333" t="s">
        <v>536</v>
      </c>
      <c r="AM10" s="333"/>
      <c r="AN10" s="332"/>
      <c r="AO10" s="333" t="s">
        <v>536</v>
      </c>
      <c r="AP10" s="333"/>
      <c r="AQ10" s="341"/>
      <c r="AR10" s="341"/>
      <c r="AS10" s="341"/>
      <c r="AT10" s="341"/>
      <c r="BA10" s="347"/>
      <c r="BB10" s="347"/>
    </row>
    <row r="11" spans="1:55">
      <c r="A11" s="298"/>
      <c r="K11" s="286"/>
      <c r="L11" s="286"/>
      <c r="Z11" s="286"/>
      <c r="AY11" s="285" t="s">
        <v>0</v>
      </c>
      <c r="BA11" s="347"/>
      <c r="BB11" s="347"/>
    </row>
    <row r="12" spans="1:55">
      <c r="A12" s="298"/>
      <c r="M12" s="310"/>
      <c r="Q12" s="286"/>
      <c r="BA12" s="347"/>
      <c r="BB12" s="347"/>
    </row>
    <row r="13" spans="1:55">
      <c r="A13" s="298"/>
      <c r="B13" s="621"/>
      <c r="C13" s="621"/>
      <c r="E13" s="658"/>
      <c r="F13" s="659"/>
      <c r="H13" s="658"/>
      <c r="I13" s="659"/>
      <c r="K13" s="659"/>
      <c r="L13" s="659"/>
      <c r="N13" s="658"/>
      <c r="O13" s="659"/>
      <c r="Q13" s="658"/>
      <c r="R13" s="659"/>
      <c r="T13" s="658"/>
      <c r="U13" s="659"/>
      <c r="W13" s="658"/>
      <c r="X13" s="659"/>
      <c r="Z13" s="658"/>
      <c r="AA13" s="659"/>
      <c r="AC13" s="659"/>
      <c r="AD13" s="659"/>
      <c r="AF13" s="658"/>
      <c r="AG13" s="659"/>
      <c r="AI13" s="659"/>
      <c r="AJ13" s="659"/>
      <c r="AL13" s="659"/>
      <c r="AM13" s="659"/>
      <c r="AO13" s="658"/>
      <c r="AP13" s="659"/>
      <c r="BA13" s="347"/>
      <c r="BB13" s="347"/>
    </row>
    <row r="14" spans="1:55">
      <c r="A14" s="298"/>
      <c r="B14" s="302"/>
      <c r="C14" s="304"/>
      <c r="D14" s="318"/>
      <c r="E14" s="302"/>
      <c r="F14" s="304"/>
      <c r="G14" s="318"/>
      <c r="H14" s="302"/>
      <c r="I14" s="304"/>
      <c r="J14" s="318"/>
      <c r="K14" s="302"/>
      <c r="L14" s="304"/>
      <c r="M14" s="318"/>
      <c r="N14" s="302"/>
      <c r="O14" s="304"/>
      <c r="P14" s="318"/>
      <c r="Q14" s="302"/>
      <c r="R14" s="304"/>
      <c r="S14" s="318"/>
      <c r="T14" s="302"/>
      <c r="U14" s="304"/>
      <c r="V14" s="318"/>
      <c r="W14" s="302"/>
      <c r="X14" s="304"/>
      <c r="Y14" s="318"/>
      <c r="Z14" s="302"/>
      <c r="AA14" s="304"/>
      <c r="AB14" s="318"/>
      <c r="AC14" s="302"/>
      <c r="AD14" s="304"/>
      <c r="AE14" s="318"/>
      <c r="AF14" s="302"/>
      <c r="AG14" s="336"/>
      <c r="AH14" s="318"/>
      <c r="AI14" s="302"/>
      <c r="AJ14" s="304"/>
      <c r="AK14" s="299"/>
      <c r="AL14" s="302"/>
      <c r="AM14" s="304"/>
      <c r="AN14" s="318"/>
      <c r="AO14" s="302"/>
      <c r="AP14" s="304"/>
      <c r="AQ14" s="318"/>
      <c r="AR14" s="318"/>
      <c r="AS14" s="318"/>
      <c r="AT14" s="318"/>
      <c r="AU14" s="517"/>
      <c r="BA14" s="347"/>
      <c r="BB14" s="347"/>
    </row>
    <row r="15" spans="1:55">
      <c r="A15" s="298"/>
      <c r="B15" s="302"/>
      <c r="C15" s="302"/>
      <c r="D15" s="311"/>
      <c r="E15" s="302"/>
      <c r="F15" s="302"/>
      <c r="G15" s="311"/>
      <c r="H15" s="302"/>
      <c r="I15" s="302"/>
      <c r="J15" s="310"/>
      <c r="K15" s="302"/>
      <c r="L15" s="302"/>
      <c r="M15" s="311"/>
      <c r="N15" s="302"/>
      <c r="O15" s="302"/>
      <c r="P15" s="311"/>
      <c r="Q15" s="302"/>
      <c r="R15" s="302"/>
      <c r="S15" s="311"/>
      <c r="T15" s="302"/>
      <c r="U15" s="302"/>
      <c r="V15" s="311"/>
      <c r="W15" s="302"/>
      <c r="X15" s="302"/>
      <c r="Y15" s="311"/>
      <c r="Z15" s="302"/>
      <c r="AA15" s="302"/>
      <c r="AB15" s="310"/>
      <c r="AC15" s="302"/>
      <c r="AD15" s="302"/>
      <c r="AE15" s="311"/>
      <c r="AF15" s="302"/>
      <c r="AG15" s="336"/>
      <c r="AH15" s="311"/>
      <c r="AI15" s="302"/>
      <c r="AJ15" s="302"/>
      <c r="AK15" s="311"/>
      <c r="AL15" s="302"/>
      <c r="AM15" s="302"/>
      <c r="AN15" s="311"/>
      <c r="AO15" s="302"/>
      <c r="AP15" s="302"/>
      <c r="AQ15" s="310"/>
      <c r="AR15" s="310"/>
      <c r="AS15" s="310"/>
      <c r="AT15" s="310"/>
      <c r="AU15" s="310"/>
      <c r="AW15" s="292">
        <v>14</v>
      </c>
      <c r="AX15" s="292">
        <v>14</v>
      </c>
      <c r="AY15" s="292">
        <v>14</v>
      </c>
      <c r="AZ15" s="292">
        <v>12</v>
      </c>
      <c r="BA15" s="348">
        <f>((SUM(H18:Y18)+(SUM(AK18:AQ18)))/1000)</f>
        <v>3.2103999999999999</v>
      </c>
      <c r="BB15" s="348">
        <f>BA15</f>
        <v>3.2103999999999999</v>
      </c>
      <c r="BC15" s="329"/>
    </row>
    <row r="16" spans="1:55">
      <c r="A16" s="298"/>
      <c r="B16" s="617" t="s">
        <v>64</v>
      </c>
      <c r="C16" s="617"/>
      <c r="D16" s="311"/>
      <c r="E16" s="666" t="s">
        <v>67</v>
      </c>
      <c r="F16" s="666"/>
      <c r="G16" s="340"/>
      <c r="H16" s="674" t="s">
        <v>69</v>
      </c>
      <c r="I16" s="666"/>
      <c r="J16" s="310"/>
      <c r="K16" s="665" t="s">
        <v>71</v>
      </c>
      <c r="L16" s="666"/>
      <c r="M16" s="311"/>
      <c r="N16" s="665" t="s">
        <v>72</v>
      </c>
      <c r="O16" s="666"/>
      <c r="P16" s="311"/>
      <c r="Q16" s="679" t="s">
        <v>73</v>
      </c>
      <c r="R16" s="680"/>
      <c r="S16" s="311"/>
      <c r="T16" s="671" t="s">
        <v>74</v>
      </c>
      <c r="U16" s="666"/>
      <c r="V16" s="311"/>
      <c r="W16" s="673" t="s">
        <v>75</v>
      </c>
      <c r="X16" s="617"/>
      <c r="Y16" s="311"/>
      <c r="Z16" s="671" t="s">
        <v>77</v>
      </c>
      <c r="AA16" s="666"/>
      <c r="AB16" s="311"/>
      <c r="AC16" s="665" t="s">
        <v>78</v>
      </c>
      <c r="AD16" s="666"/>
      <c r="AE16" s="311"/>
      <c r="AF16" s="665" t="s">
        <v>79</v>
      </c>
      <c r="AG16" s="666"/>
      <c r="AH16" s="311"/>
      <c r="AI16" s="665" t="s">
        <v>80</v>
      </c>
      <c r="AJ16" s="666"/>
      <c r="AK16" s="311"/>
      <c r="AL16" s="665" t="s">
        <v>82</v>
      </c>
      <c r="AM16" s="666"/>
      <c r="AN16" s="311"/>
      <c r="AO16" s="665" t="s">
        <v>83</v>
      </c>
      <c r="AP16" s="666"/>
      <c r="AQ16" s="310"/>
      <c r="AR16" s="310"/>
      <c r="AS16" s="310"/>
      <c r="AT16" s="310"/>
      <c r="AU16" s="310"/>
      <c r="BA16" s="347"/>
      <c r="BB16" s="347"/>
    </row>
    <row r="17" spans="1:55">
      <c r="A17" s="298"/>
      <c r="B17" s="617" t="s">
        <v>65</v>
      </c>
      <c r="C17" s="617"/>
      <c r="D17" s="310"/>
      <c r="E17" s="617" t="s">
        <v>51</v>
      </c>
      <c r="F17" s="617"/>
      <c r="G17" s="310"/>
      <c r="H17" s="617" t="s">
        <v>70</v>
      </c>
      <c r="I17" s="617"/>
      <c r="J17" s="310"/>
      <c r="K17" s="617" t="s">
        <v>56</v>
      </c>
      <c r="L17" s="617"/>
      <c r="M17" s="310"/>
      <c r="N17" s="618" t="s">
        <v>37</v>
      </c>
      <c r="O17" s="617"/>
      <c r="P17" s="310"/>
      <c r="Q17" s="618" t="s">
        <v>56</v>
      </c>
      <c r="R17" s="617"/>
      <c r="S17" s="310"/>
      <c r="T17" s="619" t="s">
        <v>37</v>
      </c>
      <c r="U17" s="619"/>
      <c r="V17" s="310"/>
      <c r="W17" s="617" t="s">
        <v>76</v>
      </c>
      <c r="X17" s="617"/>
      <c r="Y17" s="310"/>
      <c r="Z17" s="619" t="s">
        <v>70</v>
      </c>
      <c r="AA17" s="619"/>
      <c r="AB17" s="310"/>
      <c r="AC17" s="617" t="s">
        <v>70</v>
      </c>
      <c r="AD17" s="617"/>
      <c r="AE17" s="310"/>
      <c r="AF17" s="617" t="s">
        <v>70</v>
      </c>
      <c r="AG17" s="617"/>
      <c r="AH17" s="310"/>
      <c r="AI17" s="617" t="s">
        <v>81</v>
      </c>
      <c r="AJ17" s="617"/>
      <c r="AK17" s="310"/>
      <c r="AL17" s="617" t="s">
        <v>81</v>
      </c>
      <c r="AM17" s="617"/>
      <c r="AN17" s="310"/>
      <c r="AO17" s="617" t="s">
        <v>76</v>
      </c>
      <c r="AP17" s="617"/>
      <c r="BA17" s="347"/>
      <c r="BB17" s="347"/>
    </row>
    <row r="18" spans="1:55">
      <c r="B18" s="309"/>
      <c r="C18" s="309"/>
      <c r="D18" s="344">
        <v>174.2</v>
      </c>
      <c r="E18" s="345"/>
      <c r="F18" s="345"/>
      <c r="G18" s="344">
        <v>229.7</v>
      </c>
      <c r="H18" s="345"/>
      <c r="I18" s="345"/>
      <c r="J18" s="344">
        <v>391</v>
      </c>
      <c r="K18" s="345"/>
      <c r="L18" s="345"/>
      <c r="M18" s="344">
        <v>328</v>
      </c>
      <c r="N18" s="345"/>
      <c r="O18" s="345"/>
      <c r="P18" s="344">
        <v>333</v>
      </c>
      <c r="Q18" s="345"/>
      <c r="R18" s="345"/>
      <c r="S18" s="344">
        <v>350</v>
      </c>
      <c r="T18" s="345"/>
      <c r="U18" s="345"/>
      <c r="V18" s="344">
        <v>331</v>
      </c>
      <c r="W18" s="345"/>
      <c r="X18" s="345"/>
      <c r="Y18" s="344">
        <v>349</v>
      </c>
      <c r="Z18" s="345"/>
      <c r="AA18" s="345"/>
      <c r="AB18" s="344">
        <v>360</v>
      </c>
      <c r="AC18" s="345"/>
      <c r="AD18" s="345"/>
      <c r="AE18" s="344">
        <v>460</v>
      </c>
      <c r="AF18" s="345"/>
      <c r="AG18" s="345"/>
      <c r="AH18" s="344">
        <v>230</v>
      </c>
      <c r="AI18" s="345"/>
      <c r="AJ18" s="345"/>
      <c r="AK18" s="344">
        <v>371.5</v>
      </c>
      <c r="AL18" s="345"/>
      <c r="AM18" s="345"/>
      <c r="AN18" s="344">
        <v>332.5</v>
      </c>
      <c r="AO18" s="345"/>
      <c r="AP18" s="345"/>
      <c r="AQ18" s="344">
        <v>424.4</v>
      </c>
      <c r="AU18" s="515">
        <f>SUM(D18:AQ18)</f>
        <v>4664.2999999999993</v>
      </c>
      <c r="BA18" s="345"/>
      <c r="BB18" s="345"/>
    </row>
    <row r="19" spans="1:55">
      <c r="A19" s="298"/>
      <c r="B19" s="333" t="s">
        <v>536</v>
      </c>
      <c r="C19" s="333"/>
      <c r="D19" s="332"/>
      <c r="E19" s="333" t="s">
        <v>536</v>
      </c>
      <c r="F19" s="335"/>
      <c r="G19" s="332"/>
      <c r="H19" s="333" t="s">
        <v>536</v>
      </c>
      <c r="I19" s="335"/>
      <c r="J19" s="332"/>
      <c r="K19" s="333" t="s">
        <v>536</v>
      </c>
      <c r="L19" s="335"/>
      <c r="M19" s="332"/>
      <c r="N19" s="333" t="s">
        <v>536</v>
      </c>
      <c r="O19" s="333"/>
      <c r="P19" s="332"/>
      <c r="Q19" s="333" t="s">
        <v>536</v>
      </c>
      <c r="R19" s="333"/>
      <c r="S19" s="332"/>
      <c r="T19" s="333" t="s">
        <v>536</v>
      </c>
      <c r="U19" s="333"/>
      <c r="V19" s="332"/>
      <c r="W19" s="333" t="s">
        <v>536</v>
      </c>
      <c r="X19" s="333"/>
      <c r="Y19" s="332"/>
      <c r="Z19" s="333" t="s">
        <v>536</v>
      </c>
      <c r="AA19" s="333"/>
      <c r="AB19" s="327"/>
      <c r="AC19" s="325" t="s">
        <v>536</v>
      </c>
      <c r="AD19" s="325"/>
      <c r="AE19" s="327"/>
      <c r="AF19" s="325" t="s">
        <v>536</v>
      </c>
      <c r="AG19" s="325"/>
      <c r="AH19" s="332"/>
      <c r="AI19" s="333" t="s">
        <v>536</v>
      </c>
      <c r="AJ19" s="333"/>
      <c r="AK19" s="332"/>
      <c r="AL19" s="333" t="s">
        <v>536</v>
      </c>
      <c r="AM19" s="333"/>
      <c r="AN19" s="332"/>
      <c r="AO19" s="333" t="s">
        <v>536</v>
      </c>
      <c r="AP19" s="332"/>
      <c r="BA19" s="347"/>
      <c r="BB19" s="347"/>
    </row>
    <row r="20" spans="1:55">
      <c r="A20" s="298"/>
      <c r="BA20" s="347"/>
      <c r="BB20" s="347"/>
    </row>
    <row r="21" spans="1:55">
      <c r="A21" s="298"/>
      <c r="BA21" s="347"/>
      <c r="BB21" s="347"/>
    </row>
    <row r="22" spans="1:55">
      <c r="A22" s="298"/>
      <c r="B22" s="693"/>
      <c r="C22" s="621"/>
      <c r="E22" s="659"/>
      <c r="F22" s="659"/>
      <c r="H22" s="658"/>
      <c r="I22" s="659"/>
      <c r="K22" s="659"/>
      <c r="L22" s="659"/>
      <c r="N22" s="659"/>
      <c r="O22" s="659"/>
      <c r="Q22" s="658"/>
      <c r="R22" s="659"/>
      <c r="T22" s="658"/>
      <c r="U22" s="659"/>
      <c r="W22" s="658"/>
      <c r="X22" s="659"/>
      <c r="Z22" s="658"/>
      <c r="AA22" s="659"/>
      <c r="AC22" s="658"/>
      <c r="AD22" s="659"/>
      <c r="AF22" s="658"/>
      <c r="AG22" s="659"/>
      <c r="AI22" s="658"/>
      <c r="AJ22" s="659"/>
      <c r="AL22" s="658"/>
      <c r="AM22" s="659"/>
      <c r="AO22" s="658"/>
      <c r="AP22" s="659"/>
      <c r="BA22" s="347"/>
      <c r="BB22" s="347"/>
    </row>
    <row r="23" spans="1:55">
      <c r="A23" s="298"/>
      <c r="B23" s="302"/>
      <c r="C23" s="304"/>
      <c r="D23" s="318"/>
      <c r="E23" s="302"/>
      <c r="F23" s="304"/>
      <c r="G23" s="318"/>
      <c r="H23" s="302"/>
      <c r="I23" s="304"/>
      <c r="J23" s="318"/>
      <c r="K23" s="302"/>
      <c r="L23" s="304"/>
      <c r="M23" s="318"/>
      <c r="N23" s="302"/>
      <c r="O23" s="304"/>
      <c r="P23" s="318"/>
      <c r="Q23" s="302"/>
      <c r="R23" s="304"/>
      <c r="S23" s="318"/>
      <c r="T23" s="302"/>
      <c r="U23" s="304"/>
      <c r="V23" s="318"/>
      <c r="W23" s="302"/>
      <c r="X23" s="304"/>
      <c r="Y23" s="318"/>
      <c r="Z23" s="302"/>
      <c r="AA23" s="304"/>
      <c r="AB23" s="318"/>
      <c r="AC23" s="302"/>
      <c r="AD23" s="304"/>
      <c r="AE23" s="318"/>
      <c r="AF23" s="302"/>
      <c r="AG23" s="304"/>
      <c r="AH23" s="318"/>
      <c r="AI23" s="302"/>
      <c r="AJ23" s="304"/>
      <c r="AK23" s="318"/>
      <c r="AL23" s="302"/>
      <c r="AM23" s="304"/>
      <c r="AN23" s="318"/>
      <c r="AO23" s="302"/>
      <c r="AP23" s="304"/>
      <c r="AQ23" s="318"/>
      <c r="AR23" s="318"/>
      <c r="AS23" s="318"/>
      <c r="AT23" s="318"/>
      <c r="AU23" s="517"/>
      <c r="BA23" s="347"/>
      <c r="BB23" s="347"/>
    </row>
    <row r="24" spans="1:55">
      <c r="A24" s="298"/>
      <c r="B24" s="302"/>
      <c r="C24" s="302"/>
      <c r="D24" s="310"/>
      <c r="E24" s="302"/>
      <c r="F24" s="302"/>
      <c r="G24" s="310"/>
      <c r="H24" s="302"/>
      <c r="I24" s="302"/>
      <c r="J24" s="311"/>
      <c r="K24" s="302"/>
      <c r="L24" s="302"/>
      <c r="M24" s="311"/>
      <c r="N24" s="302"/>
      <c r="O24" s="302"/>
      <c r="P24" s="311"/>
      <c r="Q24" s="302"/>
      <c r="R24" s="302"/>
      <c r="S24" s="311"/>
      <c r="T24" s="302"/>
      <c r="U24" s="302"/>
      <c r="V24" s="311"/>
      <c r="W24" s="302"/>
      <c r="X24" s="302"/>
      <c r="Y24" s="310"/>
      <c r="Z24" s="302"/>
      <c r="AA24" s="302"/>
      <c r="AB24" s="311"/>
      <c r="AC24" s="302"/>
      <c r="AD24" s="302"/>
      <c r="AE24" s="311"/>
      <c r="AF24" s="302"/>
      <c r="AG24" s="302"/>
      <c r="AH24" s="311"/>
      <c r="AI24" s="302"/>
      <c r="AJ24" s="302"/>
      <c r="AK24" s="311"/>
      <c r="AL24" s="302"/>
      <c r="AM24" s="302"/>
      <c r="AN24" s="311"/>
      <c r="AO24" s="302"/>
      <c r="AP24" s="302"/>
      <c r="AQ24" s="311"/>
      <c r="AR24" s="311"/>
      <c r="AS24" s="311"/>
      <c r="AT24" s="311"/>
      <c r="AU24" s="311"/>
      <c r="AW24" s="292">
        <v>14</v>
      </c>
      <c r="AX24" s="292">
        <v>14</v>
      </c>
      <c r="AY24" s="292">
        <v>14</v>
      </c>
      <c r="AZ24" s="292">
        <v>14</v>
      </c>
      <c r="BA24" s="348">
        <f>(SUM(D27:AQ27)/1000)</f>
        <v>4.4368999999999996</v>
      </c>
      <c r="BB24" s="348">
        <f>BA24</f>
        <v>4.4368999999999996</v>
      </c>
      <c r="BC24" s="329"/>
    </row>
    <row r="25" spans="1:55">
      <c r="A25" s="298"/>
      <c r="B25" s="673" t="s">
        <v>84</v>
      </c>
      <c r="C25" s="617"/>
      <c r="D25" s="310"/>
      <c r="E25" s="665" t="s">
        <v>86</v>
      </c>
      <c r="F25" s="666"/>
      <c r="G25" s="310"/>
      <c r="H25" s="674" t="s">
        <v>87</v>
      </c>
      <c r="I25" s="666"/>
      <c r="J25" s="311"/>
      <c r="K25" s="665" t="s">
        <v>88</v>
      </c>
      <c r="L25" s="666"/>
      <c r="M25" s="311"/>
      <c r="N25" s="665" t="s">
        <v>90</v>
      </c>
      <c r="O25" s="666"/>
      <c r="P25" s="311"/>
      <c r="Q25" s="679" t="s">
        <v>91</v>
      </c>
      <c r="R25" s="680"/>
      <c r="S25" s="311"/>
      <c r="T25" s="671" t="s">
        <v>93</v>
      </c>
      <c r="U25" s="666"/>
      <c r="V25" s="311"/>
      <c r="W25" s="673" t="s">
        <v>94</v>
      </c>
      <c r="X25" s="617"/>
      <c r="Y25" s="311"/>
      <c r="Z25" s="673" t="s">
        <v>95</v>
      </c>
      <c r="AA25" s="617"/>
      <c r="AB25" s="311"/>
      <c r="AC25" s="692" t="s">
        <v>96</v>
      </c>
      <c r="AD25" s="692"/>
      <c r="AE25" s="311"/>
      <c r="AF25" s="692" t="s">
        <v>98</v>
      </c>
      <c r="AG25" s="692"/>
      <c r="AH25" s="310"/>
      <c r="AI25" s="692" t="s">
        <v>99</v>
      </c>
      <c r="AJ25" s="692"/>
      <c r="AK25" s="338"/>
      <c r="AL25" s="692" t="s">
        <v>100</v>
      </c>
      <c r="AM25" s="692"/>
      <c r="AN25" s="310"/>
      <c r="AO25" s="692" t="s">
        <v>102</v>
      </c>
      <c r="AP25" s="692"/>
      <c r="BA25" s="347"/>
      <c r="BB25" s="347"/>
    </row>
    <row r="26" spans="1:55">
      <c r="A26" s="298"/>
      <c r="B26" s="617" t="s">
        <v>85</v>
      </c>
      <c r="C26" s="617"/>
      <c r="D26" s="310"/>
      <c r="E26" s="617" t="s">
        <v>56</v>
      </c>
      <c r="F26" s="617"/>
      <c r="G26" s="310"/>
      <c r="H26" s="617" t="s">
        <v>42</v>
      </c>
      <c r="I26" s="617"/>
      <c r="J26" s="310"/>
      <c r="K26" s="617" t="s">
        <v>89</v>
      </c>
      <c r="L26" s="617"/>
      <c r="M26" s="310"/>
      <c r="N26" s="618" t="s">
        <v>76</v>
      </c>
      <c r="O26" s="617"/>
      <c r="P26" s="310"/>
      <c r="Q26" s="618" t="s">
        <v>76</v>
      </c>
      <c r="R26" s="617"/>
      <c r="S26" s="310"/>
      <c r="T26" s="618" t="s">
        <v>81</v>
      </c>
      <c r="U26" s="617"/>
      <c r="V26" s="310"/>
      <c r="W26" s="617" t="s">
        <v>89</v>
      </c>
      <c r="X26" s="617"/>
      <c r="Y26" s="310"/>
      <c r="Z26" s="617" t="s">
        <v>56</v>
      </c>
      <c r="AA26" s="617"/>
      <c r="AB26" s="310"/>
      <c r="AC26" s="683" t="s">
        <v>37</v>
      </c>
      <c r="AD26" s="683"/>
      <c r="AE26" s="339"/>
      <c r="AF26" s="691" t="s">
        <v>39</v>
      </c>
      <c r="AG26" s="691"/>
      <c r="AH26" s="339"/>
      <c r="AI26" s="691" t="s">
        <v>76</v>
      </c>
      <c r="AJ26" s="691"/>
      <c r="AK26" s="339"/>
      <c r="AL26" s="691" t="s">
        <v>76</v>
      </c>
      <c r="AM26" s="691"/>
      <c r="AN26" s="339"/>
      <c r="AO26" s="691" t="s">
        <v>89</v>
      </c>
      <c r="AP26" s="691"/>
      <c r="BA26" s="347"/>
      <c r="BB26" s="347"/>
    </row>
    <row r="27" spans="1:55">
      <c r="B27" s="309"/>
      <c r="C27" s="309"/>
      <c r="D27" s="344">
        <v>326.7</v>
      </c>
      <c r="E27" s="345"/>
      <c r="F27" s="345"/>
      <c r="G27" s="344">
        <v>291.89999999999998</v>
      </c>
      <c r="H27" s="345"/>
      <c r="I27" s="345"/>
      <c r="J27" s="344">
        <v>292</v>
      </c>
      <c r="K27" s="345"/>
      <c r="L27" s="345"/>
      <c r="M27" s="344">
        <v>415</v>
      </c>
      <c r="N27" s="345"/>
      <c r="O27" s="345"/>
      <c r="P27" s="344">
        <v>237</v>
      </c>
      <c r="Q27" s="345"/>
      <c r="R27" s="345"/>
      <c r="S27" s="344">
        <v>188.5</v>
      </c>
      <c r="T27" s="345"/>
      <c r="U27" s="345"/>
      <c r="V27" s="344">
        <v>383</v>
      </c>
      <c r="W27" s="345"/>
      <c r="X27" s="345"/>
      <c r="Y27" s="344">
        <v>311</v>
      </c>
      <c r="Z27" s="345"/>
      <c r="AA27" s="345"/>
      <c r="AB27" s="344">
        <v>350</v>
      </c>
      <c r="AC27" s="345"/>
      <c r="AD27" s="345"/>
      <c r="AE27" s="344">
        <v>291</v>
      </c>
      <c r="AF27" s="345"/>
      <c r="AG27" s="345"/>
      <c r="AH27" s="344">
        <v>342</v>
      </c>
      <c r="AI27" s="345"/>
      <c r="AJ27" s="345"/>
      <c r="AK27" s="344">
        <v>264</v>
      </c>
      <c r="AL27" s="345"/>
      <c r="AM27" s="345"/>
      <c r="AN27" s="344">
        <v>282.7</v>
      </c>
      <c r="AO27" s="345"/>
      <c r="AP27" s="345"/>
      <c r="AQ27" s="344">
        <v>462.1</v>
      </c>
      <c r="AU27" s="515">
        <f>SUM(D27:AQ27)</f>
        <v>4436.8999999999996</v>
      </c>
      <c r="BA27" s="345"/>
      <c r="BB27" s="345"/>
    </row>
    <row r="28" spans="1:55">
      <c r="A28" s="298"/>
      <c r="B28" s="333" t="s">
        <v>536</v>
      </c>
      <c r="C28" s="333"/>
      <c r="D28" s="332"/>
      <c r="E28" s="333" t="s">
        <v>536</v>
      </c>
      <c r="F28" s="335"/>
      <c r="G28" s="332"/>
      <c r="H28" s="333" t="s">
        <v>536</v>
      </c>
      <c r="I28" s="335"/>
      <c r="J28" s="332"/>
      <c r="K28" s="333" t="s">
        <v>536</v>
      </c>
      <c r="L28" s="335"/>
      <c r="M28" s="332"/>
      <c r="N28" s="333" t="s">
        <v>536</v>
      </c>
      <c r="O28" s="333"/>
      <c r="P28" s="332"/>
      <c r="Q28" s="333" t="s">
        <v>536</v>
      </c>
      <c r="R28" s="333"/>
      <c r="S28" s="332"/>
      <c r="T28" s="333" t="s">
        <v>536</v>
      </c>
      <c r="U28" s="333"/>
      <c r="V28" s="332"/>
      <c r="W28" s="333" t="s">
        <v>536</v>
      </c>
      <c r="X28" s="333"/>
      <c r="Y28" s="332"/>
      <c r="Z28" s="333" t="s">
        <v>536</v>
      </c>
      <c r="AA28" s="333"/>
      <c r="AB28" s="332"/>
      <c r="AC28" s="333" t="s">
        <v>536</v>
      </c>
      <c r="AD28" s="333"/>
      <c r="AE28" s="332"/>
      <c r="AF28" s="333" t="s">
        <v>536</v>
      </c>
      <c r="AG28" s="333"/>
      <c r="AH28" s="327"/>
      <c r="AI28" s="325" t="s">
        <v>536</v>
      </c>
      <c r="AJ28" s="325"/>
      <c r="AK28" s="327"/>
      <c r="AL28" s="325" t="s">
        <v>536</v>
      </c>
      <c r="AM28" s="325"/>
      <c r="AN28" s="327"/>
      <c r="AO28" s="325" t="s">
        <v>536</v>
      </c>
      <c r="AP28" s="327"/>
      <c r="AQ28" s="326"/>
      <c r="BA28" s="347"/>
      <c r="BB28" s="347"/>
    </row>
    <row r="29" spans="1:55">
      <c r="A29" s="298"/>
      <c r="BA29" s="347"/>
      <c r="BB29" s="347"/>
    </row>
    <row r="30" spans="1:55">
      <c r="A30" s="298"/>
      <c r="BA30" s="347"/>
      <c r="BB30" s="347"/>
    </row>
    <row r="31" spans="1:55">
      <c r="A31" s="298"/>
      <c r="B31" s="693"/>
      <c r="C31" s="621"/>
      <c r="E31" s="659"/>
      <c r="F31" s="659"/>
      <c r="H31" s="659"/>
      <c r="I31" s="659"/>
      <c r="K31" s="659"/>
      <c r="L31" s="659"/>
      <c r="N31" s="659"/>
      <c r="O31" s="659"/>
      <c r="Q31" s="659"/>
      <c r="R31" s="659"/>
      <c r="T31" s="659"/>
      <c r="U31" s="659"/>
      <c r="W31" s="659"/>
      <c r="X31" s="659"/>
      <c r="Z31" s="659"/>
      <c r="AA31" s="659"/>
      <c r="AC31" s="659"/>
      <c r="AD31" s="659"/>
      <c r="AF31" s="659"/>
      <c r="AG31" s="659"/>
      <c r="AI31" s="659"/>
      <c r="AJ31" s="659"/>
      <c r="AL31" s="659"/>
      <c r="AM31" s="659"/>
      <c r="AO31" s="659"/>
      <c r="AP31" s="659"/>
      <c r="AR31" s="659"/>
      <c r="AS31" s="659"/>
      <c r="AT31" s="295"/>
      <c r="BA31" s="347"/>
      <c r="BB31" s="347"/>
    </row>
    <row r="32" spans="1:55">
      <c r="A32" s="298"/>
      <c r="B32" s="302"/>
      <c r="C32" s="304"/>
      <c r="D32" s="318"/>
      <c r="E32" s="302"/>
      <c r="F32" s="304"/>
      <c r="G32" s="318"/>
      <c r="H32" s="302"/>
      <c r="I32" s="304"/>
      <c r="J32" s="318"/>
      <c r="K32" s="302"/>
      <c r="L32" s="304"/>
      <c r="M32" s="318"/>
      <c r="N32" s="302"/>
      <c r="O32" s="304"/>
      <c r="P32" s="318"/>
      <c r="Q32" s="302"/>
      <c r="R32" s="304"/>
      <c r="S32" s="318"/>
      <c r="T32" s="302"/>
      <c r="U32" s="304"/>
      <c r="V32" s="318"/>
      <c r="W32" s="302"/>
      <c r="X32" s="304"/>
      <c r="Y32" s="318"/>
      <c r="Z32" s="302"/>
      <c r="AA32" s="304"/>
      <c r="AB32" s="318"/>
      <c r="AC32" s="302"/>
      <c r="AD32" s="304"/>
      <c r="AE32" s="318"/>
      <c r="AF32" s="302"/>
      <c r="AG32" s="304"/>
      <c r="AH32" s="318"/>
      <c r="AI32" s="302"/>
      <c r="AJ32" s="304"/>
      <c r="AK32" s="318"/>
      <c r="AL32" s="302"/>
      <c r="AM32" s="304"/>
      <c r="AN32" s="318"/>
      <c r="AO32" s="302"/>
      <c r="AP32" s="304"/>
      <c r="AQ32" s="318"/>
      <c r="AR32" s="302"/>
      <c r="AS32" s="304"/>
      <c r="AT32" s="516"/>
      <c r="AU32" s="517"/>
      <c r="BA32" s="347"/>
      <c r="BB32" s="347"/>
    </row>
    <row r="33" spans="1:55">
      <c r="A33" s="298"/>
      <c r="B33" s="302"/>
      <c r="C33" s="302"/>
      <c r="D33" s="311"/>
      <c r="E33" s="302"/>
      <c r="F33" s="302"/>
      <c r="G33" s="311"/>
      <c r="H33" s="302"/>
      <c r="I33" s="302"/>
      <c r="J33" s="311"/>
      <c r="K33" s="302"/>
      <c r="L33" s="302"/>
      <c r="M33" s="311"/>
      <c r="N33" s="302"/>
      <c r="O33" s="302"/>
      <c r="P33" s="311"/>
      <c r="Q33" s="302"/>
      <c r="R33" s="302"/>
      <c r="S33" s="311"/>
      <c r="T33" s="302"/>
      <c r="U33" s="302"/>
      <c r="V33" s="311"/>
      <c r="W33" s="302"/>
      <c r="X33" s="302"/>
      <c r="Y33" s="310"/>
      <c r="Z33" s="302"/>
      <c r="AA33" s="302"/>
      <c r="AB33" s="311"/>
      <c r="AC33" s="302"/>
      <c r="AD33" s="302"/>
      <c r="AE33" s="311"/>
      <c r="AF33" s="302"/>
      <c r="AG33" s="302"/>
      <c r="AH33" s="310"/>
      <c r="AI33" s="302"/>
      <c r="AJ33" s="302"/>
      <c r="AK33" s="311"/>
      <c r="AL33" s="302"/>
      <c r="AM33" s="302"/>
      <c r="AN33" s="310"/>
      <c r="AO33" s="302"/>
      <c r="AP33" s="302"/>
      <c r="AQ33" s="311"/>
      <c r="AR33" s="302"/>
      <c r="AS33" s="302"/>
      <c r="AT33" s="307"/>
      <c r="AU33" s="311"/>
      <c r="AW33" s="292">
        <v>15</v>
      </c>
      <c r="AX33" s="292">
        <v>15</v>
      </c>
      <c r="AY33" s="292">
        <v>15</v>
      </c>
      <c r="AZ33" s="292">
        <v>15</v>
      </c>
      <c r="BA33" s="348">
        <f>(SUM(D36:AR36)-AH36)/1000</f>
        <v>3.5783</v>
      </c>
      <c r="BB33" s="348">
        <f>BA33</f>
        <v>3.5783</v>
      </c>
      <c r="BC33" s="329"/>
    </row>
    <row r="34" spans="1:55">
      <c r="A34" s="298"/>
      <c r="B34" s="673" t="s">
        <v>104</v>
      </c>
      <c r="C34" s="617"/>
      <c r="D34" s="311"/>
      <c r="E34" s="665" t="s">
        <v>106</v>
      </c>
      <c r="F34" s="666"/>
      <c r="G34" s="311"/>
      <c r="H34" s="665" t="s">
        <v>107</v>
      </c>
      <c r="I34" s="666"/>
      <c r="J34" s="311"/>
      <c r="K34" s="665" t="s">
        <v>108</v>
      </c>
      <c r="L34" s="666"/>
      <c r="M34" s="311"/>
      <c r="N34" s="665" t="s">
        <v>109</v>
      </c>
      <c r="O34" s="666"/>
      <c r="P34" s="311"/>
      <c r="Q34" s="665" t="s">
        <v>111</v>
      </c>
      <c r="R34" s="666"/>
      <c r="S34" s="311"/>
      <c r="T34" s="665" t="s">
        <v>113</v>
      </c>
      <c r="U34" s="666"/>
      <c r="V34" s="311"/>
      <c r="W34" s="665" t="s">
        <v>115</v>
      </c>
      <c r="X34" s="666"/>
      <c r="Y34" s="310"/>
      <c r="Z34" s="665" t="s">
        <v>117</v>
      </c>
      <c r="AA34" s="666"/>
      <c r="AB34" s="311"/>
      <c r="AC34" s="665" t="s">
        <v>118</v>
      </c>
      <c r="AD34" s="666"/>
      <c r="AE34" s="311"/>
      <c r="AF34" s="665" t="s">
        <v>120</v>
      </c>
      <c r="AG34" s="666"/>
      <c r="AH34" s="310"/>
      <c r="AI34" s="665" t="s">
        <v>122</v>
      </c>
      <c r="AJ34" s="666"/>
      <c r="AK34" s="311"/>
      <c r="AL34" s="665" t="s">
        <v>568</v>
      </c>
      <c r="AM34" s="666"/>
      <c r="AN34" s="310"/>
      <c r="AO34" s="665" t="s">
        <v>123</v>
      </c>
      <c r="AP34" s="666"/>
      <c r="AQ34" s="311"/>
      <c r="AR34" s="729" t="s">
        <v>124</v>
      </c>
      <c r="AS34" s="729"/>
      <c r="AT34" s="311"/>
      <c r="AU34" s="311"/>
      <c r="BA34" s="347"/>
      <c r="BB34" s="347"/>
    </row>
    <row r="35" spans="1:55">
      <c r="A35" s="298"/>
      <c r="B35" s="617" t="s">
        <v>39</v>
      </c>
      <c r="C35" s="617"/>
      <c r="D35" s="310"/>
      <c r="E35" s="617" t="s">
        <v>70</v>
      </c>
      <c r="F35" s="617"/>
      <c r="G35" s="310"/>
      <c r="H35" s="617" t="s">
        <v>42</v>
      </c>
      <c r="I35" s="617"/>
      <c r="J35" s="310"/>
      <c r="K35" s="617" t="s">
        <v>42</v>
      </c>
      <c r="L35" s="617"/>
      <c r="M35" s="310"/>
      <c r="N35" s="617" t="s">
        <v>42</v>
      </c>
      <c r="O35" s="617"/>
      <c r="P35" s="310"/>
      <c r="Q35" s="617" t="s">
        <v>34</v>
      </c>
      <c r="R35" s="617"/>
      <c r="S35" s="310"/>
      <c r="T35" s="617" t="s">
        <v>34</v>
      </c>
      <c r="U35" s="617"/>
      <c r="V35" s="310"/>
      <c r="W35" s="617" t="s">
        <v>116</v>
      </c>
      <c r="X35" s="617"/>
      <c r="Y35" s="310"/>
      <c r="Z35" s="617" t="s">
        <v>42</v>
      </c>
      <c r="AA35" s="617"/>
      <c r="AB35" s="310"/>
      <c r="AC35" s="617" t="s">
        <v>42</v>
      </c>
      <c r="AD35" s="617"/>
      <c r="AE35" s="310"/>
      <c r="AF35" s="617" t="s">
        <v>34</v>
      </c>
      <c r="AG35" s="617"/>
      <c r="AH35" s="310"/>
      <c r="AI35" s="617" t="s">
        <v>34</v>
      </c>
      <c r="AJ35" s="617"/>
      <c r="AK35" s="310"/>
      <c r="AL35" s="617" t="s">
        <v>37</v>
      </c>
      <c r="AM35" s="617"/>
      <c r="AN35" s="310"/>
      <c r="AO35" s="617" t="s">
        <v>62</v>
      </c>
      <c r="AP35" s="617"/>
      <c r="AR35" s="515" t="s">
        <v>56</v>
      </c>
      <c r="BA35" s="347"/>
      <c r="BB35" s="347"/>
    </row>
    <row r="36" spans="1:55">
      <c r="A36" s="298"/>
      <c r="B36" s="309"/>
      <c r="C36" s="309"/>
      <c r="D36" s="310">
        <v>318</v>
      </c>
      <c r="E36" s="309"/>
      <c r="F36" s="309"/>
      <c r="G36" s="310">
        <v>364</v>
      </c>
      <c r="H36" s="309"/>
      <c r="I36" s="309"/>
      <c r="J36" s="310">
        <v>279</v>
      </c>
      <c r="K36" s="309"/>
      <c r="L36" s="309"/>
      <c r="M36" s="310">
        <v>252</v>
      </c>
      <c r="N36" s="309"/>
      <c r="O36" s="309"/>
      <c r="P36" s="310">
        <v>257.10000000000002</v>
      </c>
      <c r="Q36" s="309"/>
      <c r="R36" s="309"/>
      <c r="S36" s="310">
        <v>170.7</v>
      </c>
      <c r="T36" s="309"/>
      <c r="U36" s="309"/>
      <c r="V36" s="310">
        <v>336.5</v>
      </c>
      <c r="W36" s="309"/>
      <c r="X36" s="309"/>
      <c r="Y36" s="310">
        <v>365</v>
      </c>
      <c r="Z36" s="309"/>
      <c r="AA36" s="309"/>
      <c r="AB36" s="310">
        <v>280</v>
      </c>
      <c r="AC36" s="309"/>
      <c r="AD36" s="309"/>
      <c r="AE36" s="310">
        <v>255.1</v>
      </c>
      <c r="AF36" s="309"/>
      <c r="AG36" s="309"/>
      <c r="AH36" s="310">
        <v>318.8</v>
      </c>
      <c r="AI36" s="309"/>
      <c r="AJ36" s="309"/>
      <c r="AK36" s="310">
        <v>311.60000000000002</v>
      </c>
      <c r="AL36" s="309"/>
      <c r="AM36" s="309"/>
      <c r="AN36" s="310">
        <v>124.5</v>
      </c>
      <c r="AO36" s="309"/>
      <c r="AP36" s="309"/>
      <c r="AQ36" s="286">
        <v>264.8</v>
      </c>
      <c r="AT36" s="286">
        <v>393</v>
      </c>
      <c r="AU36" s="515">
        <f>SUM(D36:AT36)</f>
        <v>4290.1000000000004</v>
      </c>
      <c r="AV36" s="488">
        <v>393393</v>
      </c>
      <c r="BA36" s="345"/>
      <c r="BB36" s="345"/>
    </row>
    <row r="37" spans="1:55">
      <c r="A37" s="298"/>
      <c r="B37" s="333" t="s">
        <v>536</v>
      </c>
      <c r="C37" s="333"/>
      <c r="D37" s="332"/>
      <c r="E37" s="333" t="s">
        <v>536</v>
      </c>
      <c r="F37" s="335"/>
      <c r="G37" s="332"/>
      <c r="H37" s="333" t="s">
        <v>536</v>
      </c>
      <c r="I37" s="335"/>
      <c r="J37" s="332"/>
      <c r="K37" s="333" t="s">
        <v>536</v>
      </c>
      <c r="L37" s="335"/>
      <c r="M37" s="332"/>
      <c r="N37" s="333" t="s">
        <v>536</v>
      </c>
      <c r="O37" s="333"/>
      <c r="P37" s="332"/>
      <c r="Q37" s="333" t="s">
        <v>536</v>
      </c>
      <c r="R37" s="333"/>
      <c r="S37" s="332"/>
      <c r="T37" s="333" t="s">
        <v>536</v>
      </c>
      <c r="U37" s="333"/>
      <c r="V37" s="332"/>
      <c r="W37" s="333" t="s">
        <v>536</v>
      </c>
      <c r="X37" s="333"/>
      <c r="Y37" s="332"/>
      <c r="Z37" s="333" t="s">
        <v>536</v>
      </c>
      <c r="AA37" s="333"/>
      <c r="AB37" s="332"/>
      <c r="AC37" s="333" t="s">
        <v>536</v>
      </c>
      <c r="AD37" s="333"/>
      <c r="AE37" s="332"/>
      <c r="AF37" s="333" t="s">
        <v>536</v>
      </c>
      <c r="AG37" s="333"/>
      <c r="AH37" s="332"/>
      <c r="AI37" s="333" t="s">
        <v>536</v>
      </c>
      <c r="AJ37" s="333"/>
      <c r="AK37" s="332"/>
      <c r="AL37" s="333" t="s">
        <v>536</v>
      </c>
      <c r="AM37" s="333"/>
      <c r="AN37" s="332"/>
      <c r="AO37" s="333" t="s">
        <v>536</v>
      </c>
      <c r="AP37" s="332"/>
      <c r="AQ37" s="332"/>
      <c r="AR37" s="333" t="s">
        <v>536</v>
      </c>
      <c r="AS37" s="332"/>
      <c r="AT37" s="332"/>
      <c r="AU37" s="310"/>
      <c r="BA37" s="347"/>
      <c r="BB37" s="347"/>
    </row>
    <row r="38" spans="1:55">
      <c r="A38" s="298"/>
      <c r="AE38" s="285"/>
      <c r="AF38" s="286"/>
      <c r="AI38" s="286"/>
      <c r="BA38" s="347"/>
      <c r="BB38" s="347"/>
    </row>
    <row r="39" spans="1:55">
      <c r="A39" s="298"/>
      <c r="BA39" s="347"/>
      <c r="BB39" s="347"/>
    </row>
    <row r="40" spans="1:55">
      <c r="A40" s="298"/>
      <c r="B40" s="621"/>
      <c r="C40" s="621"/>
      <c r="E40" s="659"/>
      <c r="F40" s="659"/>
      <c r="H40" s="659"/>
      <c r="I40" s="659"/>
      <c r="K40" s="659"/>
      <c r="L40" s="659"/>
      <c r="N40" s="659"/>
      <c r="O40" s="659"/>
      <c r="Q40" s="659"/>
      <c r="R40" s="659"/>
      <c r="T40" s="659"/>
      <c r="U40" s="659"/>
      <c r="W40" s="659"/>
      <c r="X40" s="659"/>
      <c r="Z40" s="659"/>
      <c r="AA40" s="659"/>
      <c r="AC40" s="659"/>
      <c r="AD40" s="659"/>
      <c r="AF40" s="659"/>
      <c r="AG40" s="659"/>
      <c r="AI40" s="659"/>
      <c r="AJ40" s="659"/>
      <c r="AL40" s="659"/>
      <c r="AM40" s="659"/>
      <c r="AO40" s="659"/>
      <c r="AP40" s="659"/>
      <c r="BA40" s="347"/>
      <c r="BB40" s="347"/>
    </row>
    <row r="41" spans="1:55">
      <c r="A41" s="298"/>
      <c r="B41" s="304"/>
      <c r="C41" s="304"/>
      <c r="D41" s="318"/>
      <c r="E41" s="302"/>
      <c r="F41" s="304"/>
      <c r="G41" s="318"/>
      <c r="H41" s="302"/>
      <c r="I41" s="304"/>
      <c r="J41" s="299"/>
      <c r="K41" s="302"/>
      <c r="L41" s="304"/>
      <c r="M41" s="318"/>
      <c r="N41" s="302"/>
      <c r="O41" s="304"/>
      <c r="P41" s="318"/>
      <c r="Q41" s="302"/>
      <c r="R41" s="336"/>
      <c r="S41" s="318"/>
      <c r="T41" s="302"/>
      <c r="U41" s="304"/>
      <c r="V41" s="318"/>
      <c r="W41" s="302"/>
      <c r="X41" s="304"/>
      <c r="Y41" s="318"/>
      <c r="Z41" s="302"/>
      <c r="AA41" s="304"/>
      <c r="AB41" s="318"/>
      <c r="AC41" s="302"/>
      <c r="AD41" s="304"/>
      <c r="AE41" s="318"/>
      <c r="AF41" s="302"/>
      <c r="AG41" s="304"/>
      <c r="AH41" s="318"/>
      <c r="AI41" s="302"/>
      <c r="AJ41" s="304"/>
      <c r="AK41" s="318"/>
      <c r="AL41" s="302"/>
      <c r="AM41" s="304"/>
      <c r="AN41" s="318"/>
      <c r="AO41" s="302"/>
      <c r="AP41" s="304"/>
      <c r="AQ41" s="318"/>
      <c r="AR41" s="318"/>
      <c r="AS41" s="318"/>
      <c r="AT41" s="318"/>
      <c r="AU41" s="517"/>
      <c r="BA41" s="347"/>
      <c r="BB41" s="347"/>
    </row>
    <row r="42" spans="1:55">
      <c r="A42" s="298"/>
      <c r="B42" s="302"/>
      <c r="C42" s="302"/>
      <c r="D42" s="310"/>
      <c r="E42" s="302"/>
      <c r="F42" s="302"/>
      <c r="G42" s="311"/>
      <c r="H42" s="302"/>
      <c r="I42" s="302"/>
      <c r="J42" s="310"/>
      <c r="K42" s="302"/>
      <c r="L42" s="302"/>
      <c r="M42" s="311"/>
      <c r="N42" s="302"/>
      <c r="O42" s="302"/>
      <c r="P42" s="310"/>
      <c r="Q42" s="302"/>
      <c r="R42" s="302"/>
      <c r="S42" s="311"/>
      <c r="T42" s="302"/>
      <c r="U42" s="302"/>
      <c r="V42" s="310"/>
      <c r="W42" s="302"/>
      <c r="X42" s="302"/>
      <c r="Y42" s="310"/>
      <c r="Z42" s="302"/>
      <c r="AA42" s="302"/>
      <c r="AB42" s="310"/>
      <c r="AC42" s="302"/>
      <c r="AD42" s="302"/>
      <c r="AE42" s="310"/>
      <c r="AF42" s="302"/>
      <c r="AG42" s="302"/>
      <c r="AH42" s="310"/>
      <c r="AI42" s="302"/>
      <c r="AJ42" s="302"/>
      <c r="AK42" s="310"/>
      <c r="AL42" s="302"/>
      <c r="AM42" s="302"/>
      <c r="AO42" s="302"/>
      <c r="AP42" s="302"/>
      <c r="AQ42" s="310"/>
      <c r="AR42" s="310"/>
      <c r="AS42" s="310"/>
      <c r="AT42" s="310"/>
      <c r="AU42" s="310"/>
      <c r="AW42" s="292">
        <v>14</v>
      </c>
      <c r="AX42" s="292">
        <v>14</v>
      </c>
      <c r="AY42" s="292">
        <v>14</v>
      </c>
      <c r="AZ42" s="292">
        <v>13</v>
      </c>
      <c r="BA42" s="348">
        <f>SUM(D45:AQ45)/1000</f>
        <v>4.9741999999999997</v>
      </c>
      <c r="BB42" s="348">
        <f>(SUM(D45:J45)+SUM(S45:AQ45))/1000</f>
        <v>4.1660000000000004</v>
      </c>
      <c r="BC42" s="329"/>
    </row>
    <row r="43" spans="1:55">
      <c r="A43" s="298"/>
      <c r="B43" s="673" t="s">
        <v>125</v>
      </c>
      <c r="C43" s="617"/>
      <c r="D43" s="310"/>
      <c r="E43" s="665" t="s">
        <v>126</v>
      </c>
      <c r="F43" s="666"/>
      <c r="G43" s="310"/>
      <c r="H43" s="665" t="s">
        <v>127</v>
      </c>
      <c r="I43" s="666"/>
      <c r="J43" s="310"/>
      <c r="K43" s="665" t="s">
        <v>128</v>
      </c>
      <c r="L43" s="666"/>
      <c r="M43" s="310"/>
      <c r="N43" s="665" t="s">
        <v>130</v>
      </c>
      <c r="O43" s="666"/>
      <c r="P43" s="310"/>
      <c r="Q43" s="665" t="s">
        <v>131</v>
      </c>
      <c r="R43" s="666"/>
      <c r="S43" s="310"/>
      <c r="T43" s="665" t="s">
        <v>132</v>
      </c>
      <c r="U43" s="666"/>
      <c r="V43" s="310"/>
      <c r="W43" s="665" t="s">
        <v>133</v>
      </c>
      <c r="X43" s="666"/>
      <c r="Y43" s="310"/>
      <c r="Z43" s="665" t="s">
        <v>134</v>
      </c>
      <c r="AA43" s="666"/>
      <c r="AB43" s="310"/>
      <c r="AC43" s="665" t="s">
        <v>135</v>
      </c>
      <c r="AD43" s="666"/>
      <c r="AE43" s="310"/>
      <c r="AF43" s="665" t="s">
        <v>136</v>
      </c>
      <c r="AG43" s="666"/>
      <c r="AH43" s="310"/>
      <c r="AI43" s="665" t="s">
        <v>137</v>
      </c>
      <c r="AJ43" s="666"/>
      <c r="AK43" s="338"/>
      <c r="AL43" s="665" t="s">
        <v>138</v>
      </c>
      <c r="AM43" s="666"/>
      <c r="AN43" s="310"/>
      <c r="AO43" s="665" t="s">
        <v>139</v>
      </c>
      <c r="AP43" s="666"/>
      <c r="BA43" s="347"/>
      <c r="BB43" s="347"/>
    </row>
    <row r="44" spans="1:55">
      <c r="A44" s="298"/>
      <c r="B44" s="617" t="s">
        <v>76</v>
      </c>
      <c r="C44" s="617"/>
      <c r="D44" s="310"/>
      <c r="E44" s="617" t="s">
        <v>89</v>
      </c>
      <c r="F44" s="617"/>
      <c r="G44" s="310"/>
      <c r="H44" s="617" t="s">
        <v>76</v>
      </c>
      <c r="I44" s="617"/>
      <c r="J44" s="310"/>
      <c r="K44" s="617" t="s">
        <v>76</v>
      </c>
      <c r="L44" s="617"/>
      <c r="M44" s="310"/>
      <c r="N44" s="617" t="s">
        <v>39</v>
      </c>
      <c r="O44" s="617"/>
      <c r="P44" s="310"/>
      <c r="Q44" s="617" t="s">
        <v>89</v>
      </c>
      <c r="R44" s="617"/>
      <c r="S44" s="310"/>
      <c r="T44" s="617" t="s">
        <v>70</v>
      </c>
      <c r="U44" s="617"/>
      <c r="V44" s="310"/>
      <c r="W44" s="617" t="s">
        <v>37</v>
      </c>
      <c r="X44" s="617"/>
      <c r="Y44" s="310"/>
      <c r="Z44" s="617" t="s">
        <v>42</v>
      </c>
      <c r="AA44" s="617"/>
      <c r="AB44" s="310"/>
      <c r="AC44" s="617" t="s">
        <v>70</v>
      </c>
      <c r="AD44" s="617"/>
      <c r="AE44" s="310"/>
      <c r="AF44" s="617" t="s">
        <v>70</v>
      </c>
      <c r="AG44" s="617"/>
      <c r="AH44" s="310"/>
      <c r="AI44" s="617" t="s">
        <v>89</v>
      </c>
      <c r="AJ44" s="617"/>
      <c r="AK44" s="310"/>
      <c r="AL44" s="617" t="s">
        <v>70</v>
      </c>
      <c r="AM44" s="617"/>
      <c r="AN44" s="310"/>
      <c r="AO44" s="617" t="s">
        <v>42</v>
      </c>
      <c r="AP44" s="617"/>
      <c r="BA44" s="347"/>
      <c r="BB44" s="347"/>
    </row>
    <row r="45" spans="1:55">
      <c r="A45" s="298"/>
      <c r="B45" s="309"/>
      <c r="C45" s="309"/>
      <c r="D45" s="310">
        <v>459</v>
      </c>
      <c r="E45" s="309"/>
      <c r="F45" s="309"/>
      <c r="G45" s="310">
        <v>195</v>
      </c>
      <c r="H45" s="309"/>
      <c r="I45" s="309"/>
      <c r="J45" s="310">
        <v>295</v>
      </c>
      <c r="K45" s="309"/>
      <c r="L45" s="309"/>
      <c r="M45" s="310">
        <v>380.2</v>
      </c>
      <c r="N45" s="309"/>
      <c r="O45" s="309"/>
      <c r="P45" s="310">
        <v>428</v>
      </c>
      <c r="Q45" s="309"/>
      <c r="R45" s="309"/>
      <c r="S45" s="310">
        <v>419</v>
      </c>
      <c r="T45" s="309"/>
      <c r="U45" s="309"/>
      <c r="V45" s="310">
        <v>345</v>
      </c>
      <c r="W45" s="309"/>
      <c r="X45" s="309"/>
      <c r="Y45" s="310">
        <v>296</v>
      </c>
      <c r="Z45" s="309"/>
      <c r="AA45" s="309"/>
      <c r="AB45" s="310">
        <v>259</v>
      </c>
      <c r="AC45" s="309"/>
      <c r="AD45" s="309"/>
      <c r="AE45" s="310">
        <v>343.9</v>
      </c>
      <c r="AF45" s="309"/>
      <c r="AG45" s="309"/>
      <c r="AH45" s="310">
        <v>499.1</v>
      </c>
      <c r="AI45" s="309"/>
      <c r="AJ45" s="309"/>
      <c r="AK45" s="310">
        <v>434</v>
      </c>
      <c r="AL45" s="309"/>
      <c r="AM45" s="309"/>
      <c r="AN45" s="310">
        <v>295</v>
      </c>
      <c r="AO45" s="309"/>
      <c r="AP45" s="309"/>
      <c r="AQ45" s="286">
        <v>326</v>
      </c>
      <c r="BA45" s="345"/>
      <c r="BB45" s="345"/>
    </row>
    <row r="46" spans="1:55">
      <c r="A46" s="298"/>
      <c r="B46" s="325" t="s">
        <v>536</v>
      </c>
      <c r="C46" s="325"/>
      <c r="D46" s="327"/>
      <c r="E46" s="325" t="s">
        <v>536</v>
      </c>
      <c r="F46" s="331"/>
      <c r="G46" s="327"/>
      <c r="H46" s="325" t="s">
        <v>536</v>
      </c>
      <c r="I46" s="325"/>
      <c r="J46" s="327"/>
      <c r="K46" s="325" t="s">
        <v>536</v>
      </c>
      <c r="L46" s="325"/>
      <c r="M46" s="327"/>
      <c r="N46" s="325" t="s">
        <v>536</v>
      </c>
      <c r="O46" s="325"/>
      <c r="P46" s="327"/>
      <c r="Q46" s="325" t="s">
        <v>569</v>
      </c>
      <c r="R46" s="325"/>
      <c r="S46" s="327"/>
      <c r="T46" s="369" t="s">
        <v>569</v>
      </c>
      <c r="U46" s="369"/>
      <c r="V46" s="368"/>
      <c r="W46" s="369" t="s">
        <v>569</v>
      </c>
      <c r="X46" s="369"/>
      <c r="Y46" s="327"/>
      <c r="Z46" s="325" t="s">
        <v>569</v>
      </c>
      <c r="AA46" s="325"/>
      <c r="AB46" s="327"/>
      <c r="AC46" s="325" t="s">
        <v>569</v>
      </c>
      <c r="AD46" s="325"/>
      <c r="AE46" s="327"/>
      <c r="AF46" s="325" t="s">
        <v>569</v>
      </c>
      <c r="AG46" s="325"/>
      <c r="AH46" s="327"/>
      <c r="AI46" s="325" t="s">
        <v>569</v>
      </c>
      <c r="AJ46" s="325"/>
      <c r="AK46" s="327"/>
      <c r="AL46" s="325" t="s">
        <v>569</v>
      </c>
      <c r="AM46" s="325"/>
      <c r="AN46" s="327"/>
      <c r="AO46" s="325" t="s">
        <v>569</v>
      </c>
      <c r="AP46" s="325"/>
      <c r="AQ46" s="326"/>
      <c r="BA46" s="347"/>
      <c r="BB46" s="347"/>
    </row>
    <row r="47" spans="1:55">
      <c r="A47" s="298"/>
      <c r="W47" s="312"/>
      <c r="Z47" s="312"/>
      <c r="AC47" s="312"/>
      <c r="AL47" s="312"/>
      <c r="AU47" s="515">
        <f>SUM(D45:AQ45)</f>
        <v>4974.2</v>
      </c>
      <c r="BA47" s="347"/>
      <c r="BB47" s="347"/>
    </row>
    <row r="48" spans="1:55">
      <c r="A48" s="298"/>
      <c r="AK48" s="285"/>
      <c r="BA48" s="347"/>
      <c r="BB48" s="347"/>
    </row>
    <row r="49" spans="1:55">
      <c r="A49" s="298"/>
      <c r="B49" s="621"/>
      <c r="C49" s="621"/>
      <c r="E49" s="659"/>
      <c r="F49" s="659"/>
      <c r="H49" s="659"/>
      <c r="I49" s="659"/>
      <c r="K49" s="659"/>
      <c r="L49" s="659"/>
      <c r="N49" s="659"/>
      <c r="O49" s="659"/>
      <c r="Q49" s="659"/>
      <c r="R49" s="659"/>
      <c r="T49" s="659"/>
      <c r="U49" s="659"/>
      <c r="W49" s="659"/>
      <c r="X49" s="659"/>
      <c r="Z49" s="659"/>
      <c r="AA49" s="659"/>
      <c r="AC49" s="659"/>
      <c r="AD49" s="659"/>
      <c r="AF49" s="659"/>
      <c r="AG49" s="659"/>
      <c r="AI49" s="659"/>
      <c r="AJ49" s="659"/>
      <c r="AL49" s="659"/>
      <c r="AM49" s="659"/>
      <c r="AO49" s="659"/>
      <c r="AP49" s="659"/>
      <c r="BA49" s="347"/>
      <c r="BB49" s="347"/>
    </row>
    <row r="50" spans="1:55">
      <c r="A50" s="298"/>
      <c r="B50" s="302"/>
      <c r="C50" s="336"/>
      <c r="D50" s="318"/>
      <c r="E50" s="302"/>
      <c r="F50" s="336"/>
      <c r="G50" s="318"/>
      <c r="H50" s="302"/>
      <c r="I50" s="336"/>
      <c r="J50" s="318"/>
      <c r="K50" s="302"/>
      <c r="L50" s="336"/>
      <c r="M50" s="318"/>
      <c r="N50" s="302"/>
      <c r="O50" s="336"/>
      <c r="P50" s="318"/>
      <c r="Q50" s="302"/>
      <c r="R50" s="336"/>
      <c r="S50" s="318"/>
      <c r="T50" s="302"/>
      <c r="U50" s="336"/>
      <c r="V50" s="318"/>
      <c r="W50" s="302"/>
      <c r="X50" s="336"/>
      <c r="Y50" s="318"/>
      <c r="Z50" s="302"/>
      <c r="AA50" s="304"/>
      <c r="AB50" s="318"/>
      <c r="AC50" s="302"/>
      <c r="AD50" s="304"/>
      <c r="AE50" s="318"/>
      <c r="AF50" s="302"/>
      <c r="AG50" s="302"/>
      <c r="AH50" s="318"/>
      <c r="AI50" s="304"/>
      <c r="AJ50" s="304"/>
      <c r="AK50" s="318"/>
      <c r="AL50" s="304"/>
      <c r="AM50" s="304"/>
      <c r="AN50" s="318"/>
      <c r="AO50" s="304"/>
      <c r="AP50" s="304"/>
      <c r="AQ50" s="318"/>
      <c r="AR50" s="318"/>
      <c r="AS50" s="318"/>
      <c r="AT50" s="318"/>
      <c r="AU50" s="517"/>
      <c r="BA50" s="347"/>
      <c r="BB50" s="347"/>
    </row>
    <row r="51" spans="1:55">
      <c r="A51" s="298"/>
      <c r="B51" s="302"/>
      <c r="C51" s="302"/>
      <c r="D51" s="311"/>
      <c r="E51" s="302"/>
      <c r="F51" s="302"/>
      <c r="G51" s="311"/>
      <c r="H51" s="302"/>
      <c r="I51" s="302"/>
      <c r="J51" s="318"/>
      <c r="K51" s="302"/>
      <c r="L51" s="336"/>
      <c r="M51" s="311"/>
      <c r="N51" s="302"/>
      <c r="O51" s="302"/>
      <c r="P51" s="311"/>
      <c r="Q51" s="302"/>
      <c r="R51" s="302"/>
      <c r="S51" s="311"/>
      <c r="T51" s="302"/>
      <c r="U51" s="302"/>
      <c r="V51" s="311"/>
      <c r="W51" s="302"/>
      <c r="X51" s="302"/>
      <c r="Y51" s="311"/>
      <c r="Z51" s="302"/>
      <c r="AA51" s="302"/>
      <c r="AB51" s="311"/>
      <c r="AC51" s="302"/>
      <c r="AD51" s="302"/>
      <c r="AE51" s="311"/>
      <c r="AF51" s="302"/>
      <c r="AG51" s="302"/>
      <c r="AH51" s="311"/>
      <c r="AI51" s="302"/>
      <c r="AJ51" s="302"/>
      <c r="AK51" s="311"/>
      <c r="AL51" s="304"/>
      <c r="AM51" s="304"/>
      <c r="AN51" s="311"/>
      <c r="AO51" s="304"/>
      <c r="AP51" s="304"/>
      <c r="AQ51" s="311"/>
      <c r="AR51" s="311"/>
      <c r="AS51" s="311"/>
      <c r="AT51" s="311"/>
      <c r="AU51" s="311"/>
      <c r="AW51" s="292">
        <v>14</v>
      </c>
      <c r="AX51" s="292">
        <v>14</v>
      </c>
      <c r="AY51" s="292">
        <v>14</v>
      </c>
      <c r="AZ51" s="292">
        <v>14</v>
      </c>
      <c r="BA51" s="348">
        <f>SUM(D54:AQ54)/1000</f>
        <v>4.5814000000000004</v>
      </c>
      <c r="BB51" s="348">
        <f>BA51</f>
        <v>4.5814000000000004</v>
      </c>
      <c r="BC51" s="329"/>
    </row>
    <row r="52" spans="1:55">
      <c r="A52" s="298"/>
      <c r="B52" s="673" t="s">
        <v>140</v>
      </c>
      <c r="C52" s="617"/>
      <c r="D52" s="310"/>
      <c r="E52" s="665" t="s">
        <v>141</v>
      </c>
      <c r="F52" s="666"/>
      <c r="G52" s="310"/>
      <c r="H52" s="674" t="s">
        <v>142</v>
      </c>
      <c r="I52" s="666"/>
      <c r="J52" s="311"/>
      <c r="K52" s="665" t="s">
        <v>144</v>
      </c>
      <c r="L52" s="666"/>
      <c r="M52" s="328"/>
      <c r="N52" s="665" t="s">
        <v>145</v>
      </c>
      <c r="O52" s="666"/>
      <c r="P52" s="310"/>
      <c r="Q52" s="679" t="s">
        <v>146</v>
      </c>
      <c r="R52" s="680"/>
      <c r="S52" s="310"/>
      <c r="T52" s="671" t="s">
        <v>147</v>
      </c>
      <c r="U52" s="666"/>
      <c r="V52" s="310"/>
      <c r="W52" s="673" t="s">
        <v>148</v>
      </c>
      <c r="X52" s="617"/>
      <c r="Y52" s="310"/>
      <c r="Z52" s="673" t="s">
        <v>149</v>
      </c>
      <c r="AA52" s="617"/>
      <c r="AB52" s="310"/>
      <c r="AC52" s="665" t="s">
        <v>150</v>
      </c>
      <c r="AD52" s="666"/>
      <c r="AE52" s="310"/>
      <c r="AF52" s="665" t="s">
        <v>151</v>
      </c>
      <c r="AG52" s="666"/>
      <c r="AH52" s="338"/>
      <c r="AI52" s="665" t="s">
        <v>152</v>
      </c>
      <c r="AJ52" s="666"/>
      <c r="AK52" s="338"/>
      <c r="AL52" s="665" t="s">
        <v>153</v>
      </c>
      <c r="AM52" s="666"/>
      <c r="AN52" s="310"/>
      <c r="AO52" s="665" t="s">
        <v>155</v>
      </c>
      <c r="AP52" s="666"/>
      <c r="BA52" s="347"/>
      <c r="BB52" s="347"/>
    </row>
    <row r="53" spans="1:55">
      <c r="A53" s="298"/>
      <c r="B53" s="617" t="s">
        <v>56</v>
      </c>
      <c r="C53" s="617"/>
      <c r="D53" s="310"/>
      <c r="E53" s="617" t="s">
        <v>89</v>
      </c>
      <c r="F53" s="617"/>
      <c r="G53" s="310"/>
      <c r="H53" s="617" t="s">
        <v>76</v>
      </c>
      <c r="I53" s="617"/>
      <c r="J53" s="310"/>
      <c r="K53" s="617" t="s">
        <v>116</v>
      </c>
      <c r="L53" s="617"/>
      <c r="M53" s="310"/>
      <c r="N53" s="617" t="s">
        <v>42</v>
      </c>
      <c r="O53" s="617"/>
      <c r="P53" s="310"/>
      <c r="Q53" s="618" t="s">
        <v>37</v>
      </c>
      <c r="R53" s="618"/>
      <c r="S53" s="310"/>
      <c r="T53" s="618" t="s">
        <v>42</v>
      </c>
      <c r="U53" s="618"/>
      <c r="V53" s="310"/>
      <c r="W53" s="617" t="s">
        <v>76</v>
      </c>
      <c r="X53" s="617"/>
      <c r="Y53" s="310"/>
      <c r="Z53" s="617" t="s">
        <v>81</v>
      </c>
      <c r="AA53" s="617"/>
      <c r="AB53" s="310"/>
      <c r="AC53" s="617" t="s">
        <v>85</v>
      </c>
      <c r="AD53" s="617"/>
      <c r="AE53" s="310"/>
      <c r="AF53" s="617" t="s">
        <v>42</v>
      </c>
      <c r="AG53" s="617"/>
      <c r="AH53" s="310"/>
      <c r="AI53" s="617" t="s">
        <v>42</v>
      </c>
      <c r="AJ53" s="617"/>
      <c r="AK53" s="310"/>
      <c r="AL53" s="617" t="s">
        <v>37</v>
      </c>
      <c r="AM53" s="617"/>
      <c r="AN53" s="310"/>
      <c r="AO53" s="617" t="s">
        <v>34</v>
      </c>
      <c r="AP53" s="617"/>
      <c r="BA53" s="347"/>
      <c r="BB53" s="347"/>
    </row>
    <row r="54" spans="1:55">
      <c r="A54" s="298"/>
      <c r="B54" s="309"/>
      <c r="C54" s="309"/>
      <c r="D54" s="310">
        <v>298</v>
      </c>
      <c r="E54" s="309"/>
      <c r="F54" s="309"/>
      <c r="G54" s="310">
        <v>489</v>
      </c>
      <c r="H54" s="309"/>
      <c r="I54" s="309"/>
      <c r="J54" s="310">
        <v>382.5</v>
      </c>
      <c r="K54" s="309"/>
      <c r="L54" s="309"/>
      <c r="M54" s="310">
        <v>372.4</v>
      </c>
      <c r="N54" s="309"/>
      <c r="O54" s="309"/>
      <c r="P54" s="310">
        <v>350</v>
      </c>
      <c r="Q54" s="343"/>
      <c r="R54" s="343"/>
      <c r="S54" s="310">
        <v>303.60000000000002</v>
      </c>
      <c r="T54" s="343"/>
      <c r="U54" s="343"/>
      <c r="V54" s="310">
        <v>224.3</v>
      </c>
      <c r="W54" s="309"/>
      <c r="X54" s="309"/>
      <c r="Y54" s="310">
        <v>246.8</v>
      </c>
      <c r="Z54" s="309"/>
      <c r="AA54" s="309"/>
      <c r="AB54" s="310">
        <v>418.2</v>
      </c>
      <c r="AC54" s="309"/>
      <c r="AD54" s="309"/>
      <c r="AE54" s="310">
        <v>298.7</v>
      </c>
      <c r="AF54" s="309"/>
      <c r="AG54" s="309"/>
      <c r="AH54" s="310">
        <v>358.7</v>
      </c>
      <c r="AI54" s="309"/>
      <c r="AJ54" s="309"/>
      <c r="AK54" s="310">
        <v>366.1</v>
      </c>
      <c r="AL54" s="309"/>
      <c r="AM54" s="309"/>
      <c r="AN54" s="310">
        <v>255.6</v>
      </c>
      <c r="AO54" s="309"/>
      <c r="AP54" s="309"/>
      <c r="AQ54" s="286">
        <v>217.5</v>
      </c>
      <c r="AU54" s="515">
        <f>SUM(D54:AQ54)</f>
        <v>4581.4000000000005</v>
      </c>
      <c r="BA54" s="345"/>
      <c r="BB54" s="345"/>
    </row>
    <row r="55" spans="1:55">
      <c r="A55" s="298"/>
      <c r="B55" s="325" t="s">
        <v>569</v>
      </c>
      <c r="C55" s="325"/>
      <c r="D55" s="327"/>
      <c r="E55" s="325" t="s">
        <v>569</v>
      </c>
      <c r="F55" s="325"/>
      <c r="G55" s="327"/>
      <c r="H55" s="325" t="s">
        <v>569</v>
      </c>
      <c r="I55" s="331"/>
      <c r="J55" s="327"/>
      <c r="K55" s="325" t="s">
        <v>569</v>
      </c>
      <c r="L55" s="331"/>
      <c r="M55" s="327"/>
      <c r="N55" s="325" t="s">
        <v>569</v>
      </c>
      <c r="O55" s="325"/>
      <c r="P55" s="327"/>
      <c r="Q55" s="325" t="s">
        <v>569</v>
      </c>
      <c r="R55" s="325"/>
      <c r="S55" s="327"/>
      <c r="T55" s="325" t="s">
        <v>569</v>
      </c>
      <c r="U55" s="325"/>
      <c r="V55" s="327"/>
      <c r="W55" s="325" t="s">
        <v>569</v>
      </c>
      <c r="X55" s="325"/>
      <c r="Y55" s="327"/>
      <c r="Z55" s="325" t="s">
        <v>569</v>
      </c>
      <c r="AA55" s="325"/>
      <c r="AB55" s="327"/>
      <c r="AC55" s="325" t="s">
        <v>569</v>
      </c>
      <c r="AD55" s="325"/>
      <c r="AE55" s="327"/>
      <c r="AF55" s="325" t="s">
        <v>569</v>
      </c>
      <c r="AG55" s="325"/>
      <c r="AH55" s="368"/>
      <c r="AI55" s="369" t="s">
        <v>569</v>
      </c>
      <c r="AJ55" s="369"/>
      <c r="AK55" s="368"/>
      <c r="AL55" s="369" t="s">
        <v>569</v>
      </c>
      <c r="AM55" s="369"/>
      <c r="AN55" s="368"/>
      <c r="AO55" s="369" t="s">
        <v>569</v>
      </c>
      <c r="AP55" s="369"/>
      <c r="BA55" s="347"/>
      <c r="BB55" s="347"/>
    </row>
    <row r="56" spans="1:55">
      <c r="A56" s="298"/>
      <c r="V56" s="285"/>
      <c r="BA56" s="347"/>
      <c r="BB56" s="347"/>
    </row>
    <row r="57" spans="1:55">
      <c r="A57" s="298"/>
      <c r="BA57" s="347"/>
      <c r="BB57" s="347"/>
    </row>
    <row r="58" spans="1:55">
      <c r="A58" s="298"/>
      <c r="B58" s="621"/>
      <c r="C58" s="621"/>
      <c r="E58" s="659"/>
      <c r="F58" s="659"/>
      <c r="H58" s="659"/>
      <c r="I58" s="659"/>
      <c r="K58" s="659"/>
      <c r="L58" s="659"/>
      <c r="N58" s="659"/>
      <c r="O58" s="659"/>
      <c r="Q58" s="659"/>
      <c r="R58" s="659"/>
      <c r="T58" s="659"/>
      <c r="U58" s="659"/>
      <c r="W58" s="659"/>
      <c r="X58" s="659"/>
      <c r="Z58" s="659"/>
      <c r="AA58" s="659"/>
      <c r="AC58" s="659"/>
      <c r="AD58" s="659"/>
      <c r="AF58" s="659"/>
      <c r="AG58" s="659"/>
      <c r="AI58" s="659"/>
      <c r="AJ58" s="659"/>
      <c r="AL58" s="659"/>
      <c r="AM58" s="659"/>
      <c r="AO58" s="659"/>
      <c r="AP58" s="659"/>
      <c r="BA58" s="347"/>
      <c r="BB58" s="347"/>
    </row>
    <row r="59" spans="1:55">
      <c r="A59" s="298"/>
      <c r="B59" s="304"/>
      <c r="C59" s="304"/>
      <c r="D59" s="318"/>
      <c r="E59" s="302"/>
      <c r="F59" s="304"/>
      <c r="G59" s="318"/>
      <c r="H59" s="302"/>
      <c r="I59" s="304"/>
      <c r="J59" s="318"/>
      <c r="K59" s="302"/>
      <c r="L59" s="304"/>
      <c r="M59" s="318"/>
      <c r="N59" s="302"/>
      <c r="O59" s="304"/>
      <c r="P59" s="318"/>
      <c r="Q59" s="302"/>
      <c r="R59" s="304"/>
      <c r="S59" s="318"/>
      <c r="T59" s="302"/>
      <c r="U59" s="304"/>
      <c r="V59" s="318"/>
      <c r="W59" s="302"/>
      <c r="X59" s="304"/>
      <c r="Y59" s="318"/>
      <c r="Z59" s="302"/>
      <c r="AA59" s="304"/>
      <c r="AB59" s="318"/>
      <c r="AC59" s="302"/>
      <c r="AD59" s="304"/>
      <c r="AE59" s="318"/>
      <c r="AF59" s="302"/>
      <c r="AG59" s="304"/>
      <c r="AH59" s="318"/>
      <c r="AI59" s="302"/>
      <c r="AJ59" s="304"/>
      <c r="AK59" s="318"/>
      <c r="AL59" s="302"/>
      <c r="AM59" s="304"/>
      <c r="AN59" s="318"/>
      <c r="AO59" s="302"/>
      <c r="AP59" s="304"/>
      <c r="AQ59" s="318"/>
      <c r="AR59" s="318"/>
      <c r="AS59" s="318"/>
      <c r="AT59" s="318"/>
      <c r="AU59" s="517"/>
      <c r="BA59" s="347"/>
      <c r="BB59" s="347"/>
    </row>
    <row r="60" spans="1:55">
      <c r="A60" s="298"/>
      <c r="B60" s="302"/>
      <c r="C60" s="302"/>
      <c r="D60" s="311"/>
      <c r="E60" s="302"/>
      <c r="F60" s="302"/>
      <c r="G60" s="311"/>
      <c r="H60" s="302"/>
      <c r="I60" s="302"/>
      <c r="J60" s="311"/>
      <c r="K60" s="302"/>
      <c r="L60" s="302"/>
      <c r="M60" s="311"/>
      <c r="N60" s="302"/>
      <c r="O60" s="302"/>
      <c r="P60" s="311"/>
      <c r="Q60" s="302"/>
      <c r="R60" s="302"/>
      <c r="S60" s="311"/>
      <c r="T60" s="302"/>
      <c r="U60" s="302"/>
      <c r="V60" s="311"/>
      <c r="W60" s="302"/>
      <c r="X60" s="302"/>
      <c r="Y60" s="311"/>
      <c r="Z60" s="302"/>
      <c r="AA60" s="302"/>
      <c r="AB60" s="311"/>
      <c r="AC60" s="302"/>
      <c r="AD60" s="302"/>
      <c r="AE60" s="311"/>
      <c r="AF60" s="302"/>
      <c r="AG60" s="302"/>
      <c r="AH60" s="311"/>
      <c r="AI60" s="302"/>
      <c r="AJ60" s="302"/>
      <c r="AK60" s="310"/>
      <c r="AL60" s="302"/>
      <c r="AM60" s="302"/>
      <c r="AN60" s="311"/>
      <c r="AO60" s="302"/>
      <c r="AP60" s="302"/>
      <c r="AQ60" s="311"/>
      <c r="AR60" s="311"/>
      <c r="AS60" s="311"/>
      <c r="AT60" s="311"/>
      <c r="AU60" s="311"/>
      <c r="AW60" s="292">
        <v>14</v>
      </c>
      <c r="AX60" s="292">
        <v>14</v>
      </c>
      <c r="AY60" s="292">
        <v>14</v>
      </c>
      <c r="AZ60" s="292">
        <v>12</v>
      </c>
      <c r="BA60" s="348">
        <f>SUM(D63:AQ63)/1000</f>
        <v>4.7963999999999993</v>
      </c>
      <c r="BB60" s="348">
        <f>BA60</f>
        <v>4.7963999999999993</v>
      </c>
      <c r="BC60" s="329"/>
    </row>
    <row r="61" spans="1:55">
      <c r="A61" s="298"/>
      <c r="B61" s="673" t="s">
        <v>156</v>
      </c>
      <c r="C61" s="617"/>
      <c r="D61" s="311"/>
      <c r="E61" s="665" t="s">
        <v>157</v>
      </c>
      <c r="F61" s="666"/>
      <c r="G61" s="311"/>
      <c r="H61" s="665" t="s">
        <v>158</v>
      </c>
      <c r="I61" s="666"/>
      <c r="J61" s="311"/>
      <c r="K61" s="665" t="s">
        <v>159</v>
      </c>
      <c r="L61" s="666"/>
      <c r="M61" s="311"/>
      <c r="N61" s="666" t="s">
        <v>161</v>
      </c>
      <c r="O61" s="666"/>
      <c r="P61" s="311"/>
      <c r="Q61" s="665" t="s">
        <v>162</v>
      </c>
      <c r="R61" s="666"/>
      <c r="S61" s="311"/>
      <c r="T61" s="666" t="s">
        <v>164</v>
      </c>
      <c r="U61" s="666"/>
      <c r="V61" s="311"/>
      <c r="W61" s="666" t="s">
        <v>166</v>
      </c>
      <c r="X61" s="666"/>
      <c r="Y61" s="311"/>
      <c r="Z61" s="665" t="s">
        <v>167</v>
      </c>
      <c r="AA61" s="666"/>
      <c r="AB61" s="311"/>
      <c r="AC61" s="666" t="s">
        <v>169</v>
      </c>
      <c r="AD61" s="666"/>
      <c r="AE61" s="311"/>
      <c r="AF61" s="665" t="s">
        <v>170</v>
      </c>
      <c r="AG61" s="666"/>
      <c r="AH61" s="311"/>
      <c r="AI61" s="671" t="s">
        <v>171</v>
      </c>
      <c r="AJ61" s="666"/>
      <c r="AK61" s="310"/>
      <c r="AL61" s="671" t="s">
        <v>172</v>
      </c>
      <c r="AM61" s="666"/>
      <c r="AN61" s="311"/>
      <c r="AO61" s="671" t="s">
        <v>173</v>
      </c>
      <c r="AP61" s="666"/>
      <c r="AQ61" s="311"/>
      <c r="AR61" s="311"/>
      <c r="AS61" s="311"/>
      <c r="AT61" s="311"/>
      <c r="AU61" s="311"/>
      <c r="BA61" s="347"/>
      <c r="BB61" s="347"/>
    </row>
    <row r="62" spans="1:55">
      <c r="A62" s="298"/>
      <c r="B62" s="617" t="s">
        <v>37</v>
      </c>
      <c r="C62" s="617"/>
      <c r="D62" s="310"/>
      <c r="E62" s="617" t="s">
        <v>85</v>
      </c>
      <c r="F62" s="617"/>
      <c r="G62" s="310"/>
      <c r="H62" s="617" t="s">
        <v>42</v>
      </c>
      <c r="I62" s="617"/>
      <c r="J62" s="310"/>
      <c r="K62" s="617" t="s">
        <v>37</v>
      </c>
      <c r="L62" s="617"/>
      <c r="M62" s="310"/>
      <c r="N62" s="617" t="s">
        <v>39</v>
      </c>
      <c r="O62" s="617"/>
      <c r="P62" s="310"/>
      <c r="Q62" s="617" t="s">
        <v>42</v>
      </c>
      <c r="R62" s="617"/>
      <c r="S62" s="310"/>
      <c r="T62" s="617" t="s">
        <v>34</v>
      </c>
      <c r="U62" s="617"/>
      <c r="V62" s="310"/>
      <c r="W62" s="617" t="s">
        <v>46</v>
      </c>
      <c r="X62" s="617"/>
      <c r="Y62" s="310"/>
      <c r="Z62" s="617" t="s">
        <v>37</v>
      </c>
      <c r="AA62" s="617"/>
      <c r="AB62" s="310"/>
      <c r="AC62" s="617" t="s">
        <v>46</v>
      </c>
      <c r="AD62" s="617"/>
      <c r="AE62" s="310"/>
      <c r="AF62" s="617" t="s">
        <v>76</v>
      </c>
      <c r="AG62" s="617"/>
      <c r="AH62" s="310"/>
      <c r="AI62" s="619" t="s">
        <v>56</v>
      </c>
      <c r="AJ62" s="617"/>
      <c r="AK62" s="310"/>
      <c r="AL62" s="619" t="s">
        <v>76</v>
      </c>
      <c r="AM62" s="617"/>
      <c r="AN62" s="310"/>
      <c r="AO62" s="619" t="s">
        <v>56</v>
      </c>
      <c r="AP62" s="617"/>
      <c r="BA62" s="347"/>
      <c r="BB62" s="347"/>
    </row>
    <row r="63" spans="1:55">
      <c r="A63" s="298"/>
      <c r="B63" s="309"/>
      <c r="C63" s="309"/>
      <c r="D63" s="310">
        <v>371.6</v>
      </c>
      <c r="E63" s="309"/>
      <c r="F63" s="309"/>
      <c r="G63" s="310">
        <v>365.9</v>
      </c>
      <c r="H63" s="309"/>
      <c r="I63" s="309"/>
      <c r="J63" s="310">
        <v>345.8</v>
      </c>
      <c r="K63" s="309"/>
      <c r="L63" s="309"/>
      <c r="M63" s="310">
        <v>299.3</v>
      </c>
      <c r="N63" s="309"/>
      <c r="O63" s="309"/>
      <c r="P63" s="310">
        <v>296</v>
      </c>
      <c r="Q63" s="309"/>
      <c r="R63" s="309"/>
      <c r="S63" s="310">
        <v>229.9</v>
      </c>
      <c r="T63" s="309"/>
      <c r="U63" s="309"/>
      <c r="V63" s="310">
        <v>356.3</v>
      </c>
      <c r="W63" s="309"/>
      <c r="X63" s="309"/>
      <c r="Y63" s="310">
        <v>314</v>
      </c>
      <c r="Z63" s="309"/>
      <c r="AA63" s="309"/>
      <c r="AB63" s="310">
        <v>353.6</v>
      </c>
      <c r="AC63" s="309"/>
      <c r="AD63" s="309"/>
      <c r="AE63" s="310">
        <v>362</v>
      </c>
      <c r="AF63" s="309"/>
      <c r="AG63" s="309"/>
      <c r="AH63" s="310">
        <v>387</v>
      </c>
      <c r="AI63" s="321"/>
      <c r="AJ63" s="309"/>
      <c r="AK63" s="310">
        <v>365</v>
      </c>
      <c r="AL63" s="321"/>
      <c r="AM63" s="309"/>
      <c r="AN63" s="310">
        <v>419</v>
      </c>
      <c r="AO63" s="321"/>
      <c r="AP63" s="309"/>
      <c r="AQ63" s="286">
        <v>331</v>
      </c>
      <c r="AU63" s="515">
        <f>SUM(D63:AQ63)</f>
        <v>4796.3999999999996</v>
      </c>
      <c r="BA63" s="345"/>
      <c r="BB63" s="345"/>
    </row>
    <row r="64" spans="1:55">
      <c r="A64" s="298"/>
      <c r="B64" s="369" t="s">
        <v>569</v>
      </c>
      <c r="C64" s="369"/>
      <c r="D64" s="368"/>
      <c r="E64" s="369" t="s">
        <v>569</v>
      </c>
      <c r="F64" s="369"/>
      <c r="G64" s="368"/>
      <c r="H64" s="369" t="s">
        <v>569</v>
      </c>
      <c r="I64" s="370"/>
      <c r="J64" s="368"/>
      <c r="K64" s="369" t="s">
        <v>569</v>
      </c>
      <c r="L64" s="370"/>
      <c r="M64" s="368"/>
      <c r="N64" s="369" t="s">
        <v>569</v>
      </c>
      <c r="O64" s="369"/>
      <c r="P64" s="368"/>
      <c r="Q64" s="333" t="s">
        <v>536</v>
      </c>
      <c r="R64" s="333"/>
      <c r="S64" s="332"/>
      <c r="T64" s="333" t="s">
        <v>536</v>
      </c>
      <c r="U64" s="333"/>
      <c r="V64" s="332"/>
      <c r="W64" s="333" t="s">
        <v>536</v>
      </c>
      <c r="X64" s="333"/>
      <c r="Y64" s="332"/>
      <c r="Z64" s="333" t="s">
        <v>536</v>
      </c>
      <c r="AA64" s="333"/>
      <c r="AB64" s="332"/>
      <c r="AC64" s="333" t="s">
        <v>536</v>
      </c>
      <c r="AD64" s="333"/>
      <c r="AE64" s="332"/>
      <c r="AF64" s="325" t="s">
        <v>536</v>
      </c>
      <c r="AG64" s="325"/>
      <c r="AH64" s="327"/>
      <c r="AI64" s="325" t="s">
        <v>536</v>
      </c>
      <c r="AJ64" s="325"/>
      <c r="AK64" s="327"/>
      <c r="AL64" s="325" t="s">
        <v>536</v>
      </c>
      <c r="AM64" s="325"/>
      <c r="AN64" s="327"/>
      <c r="AO64" s="325" t="s">
        <v>536</v>
      </c>
      <c r="AP64" s="325"/>
      <c r="AQ64" s="326"/>
      <c r="BA64" s="347"/>
      <c r="BB64" s="347"/>
    </row>
    <row r="65" spans="1:55">
      <c r="A65" s="298"/>
      <c r="BA65" s="347"/>
      <c r="BB65" s="347"/>
    </row>
    <row r="66" spans="1:55">
      <c r="A66" s="298"/>
      <c r="BA66" s="347"/>
      <c r="BB66" s="347"/>
    </row>
    <row r="67" spans="1:55">
      <c r="A67" s="298"/>
      <c r="B67" s="621"/>
      <c r="C67" s="621"/>
      <c r="E67" s="659"/>
      <c r="F67" s="659"/>
      <c r="H67" s="659"/>
      <c r="I67" s="659"/>
      <c r="K67" s="659"/>
      <c r="L67" s="659"/>
      <c r="N67" s="659"/>
      <c r="O67" s="659"/>
      <c r="Q67" s="659"/>
      <c r="R67" s="659"/>
      <c r="T67" s="659"/>
      <c r="U67" s="659"/>
      <c r="W67" s="659"/>
      <c r="X67" s="659"/>
      <c r="Z67" s="659"/>
      <c r="AA67" s="659"/>
      <c r="AC67" s="659"/>
      <c r="AD67" s="659"/>
      <c r="AF67" s="659"/>
      <c r="AG67" s="659"/>
      <c r="AI67" s="659"/>
      <c r="AJ67" s="659"/>
      <c r="AL67" s="659"/>
      <c r="AM67" s="659"/>
      <c r="AO67" s="659"/>
      <c r="AP67" s="659"/>
      <c r="BA67" s="347"/>
      <c r="BB67" s="347"/>
    </row>
    <row r="68" spans="1:55">
      <c r="A68" s="298"/>
      <c r="B68" s="302"/>
      <c r="C68" s="304"/>
      <c r="D68" s="318"/>
      <c r="E68" s="302"/>
      <c r="F68" s="304"/>
      <c r="G68" s="318"/>
      <c r="H68" s="302"/>
      <c r="I68" s="304"/>
      <c r="J68" s="318"/>
      <c r="K68" s="302"/>
      <c r="L68" s="304"/>
      <c r="M68" s="318"/>
      <c r="N68" s="302"/>
      <c r="O68" s="304"/>
      <c r="P68" s="318"/>
      <c r="Q68" s="302"/>
      <c r="R68" s="336"/>
      <c r="S68" s="318"/>
      <c r="T68" s="302"/>
      <c r="U68" s="336"/>
      <c r="V68" s="318"/>
      <c r="W68" s="302"/>
      <c r="X68" s="336"/>
      <c r="Y68" s="318"/>
      <c r="Z68" s="302"/>
      <c r="AA68" s="304"/>
      <c r="AB68" s="318"/>
      <c r="AC68" s="302"/>
      <c r="AD68" s="304"/>
      <c r="AE68" s="318"/>
      <c r="AF68" s="302"/>
      <c r="AG68" s="304"/>
      <c r="AH68" s="318"/>
      <c r="AI68" s="302"/>
      <c r="AJ68" s="304"/>
      <c r="AK68" s="318"/>
      <c r="AL68" s="302"/>
      <c r="AM68" s="336"/>
      <c r="AN68" s="318"/>
      <c r="AO68" s="302"/>
      <c r="AP68" s="336"/>
      <c r="AQ68" s="318"/>
      <c r="AR68" s="318"/>
      <c r="AS68" s="318"/>
      <c r="AT68" s="318"/>
      <c r="AU68" s="517"/>
      <c r="BA68" s="347"/>
      <c r="BB68" s="347"/>
    </row>
    <row r="69" spans="1:55">
      <c r="A69" s="298"/>
      <c r="B69" s="302"/>
      <c r="C69" s="302"/>
      <c r="D69" s="311"/>
      <c r="E69" s="302"/>
      <c r="F69" s="302"/>
      <c r="G69" s="311"/>
      <c r="H69" s="302"/>
      <c r="I69" s="302"/>
      <c r="J69" s="311"/>
      <c r="K69" s="302"/>
      <c r="L69" s="302"/>
      <c r="M69" s="311"/>
      <c r="N69" s="302"/>
      <c r="O69" s="302"/>
      <c r="P69" s="311"/>
      <c r="Q69" s="302"/>
      <c r="R69" s="302"/>
      <c r="S69" s="311"/>
      <c r="T69" s="302"/>
      <c r="U69" s="302"/>
      <c r="V69" s="311"/>
      <c r="W69" s="302"/>
      <c r="X69" s="302"/>
      <c r="Y69" s="310"/>
      <c r="Z69" s="302"/>
      <c r="AA69" s="302"/>
      <c r="AB69" s="310"/>
      <c r="AC69" s="302"/>
      <c r="AD69" s="302"/>
      <c r="AE69" s="311"/>
      <c r="AF69" s="302"/>
      <c r="AG69" s="302"/>
      <c r="AH69" s="311"/>
      <c r="AI69" s="302"/>
      <c r="AJ69" s="302"/>
      <c r="AK69" s="311"/>
      <c r="AL69" s="302"/>
      <c r="AM69" s="302"/>
      <c r="AO69" s="302"/>
      <c r="AP69" s="302"/>
      <c r="AW69" s="292">
        <v>14</v>
      </c>
      <c r="AX69" s="292">
        <v>14</v>
      </c>
      <c r="AY69" s="292">
        <v>14</v>
      </c>
      <c r="AZ69" s="292">
        <v>11</v>
      </c>
      <c r="BA69" s="348">
        <f>SUM(D72:AQ72)/1000</f>
        <v>4.9181999999999997</v>
      </c>
      <c r="BB69" s="348">
        <f>BA69</f>
        <v>4.9181999999999997</v>
      </c>
      <c r="BC69" s="329"/>
    </row>
    <row r="70" spans="1:55">
      <c r="A70" s="298"/>
      <c r="B70" s="696" t="s">
        <v>174</v>
      </c>
      <c r="C70" s="617"/>
      <c r="D70" s="311"/>
      <c r="E70" s="696" t="s">
        <v>175</v>
      </c>
      <c r="F70" s="617"/>
      <c r="G70" s="311"/>
      <c r="H70" s="671" t="s">
        <v>176</v>
      </c>
      <c r="I70" s="697"/>
      <c r="J70" s="311"/>
      <c r="K70" s="671" t="s">
        <v>177</v>
      </c>
      <c r="L70" s="697"/>
      <c r="M70" s="311"/>
      <c r="N70" s="665" t="s">
        <v>178</v>
      </c>
      <c r="O70" s="666"/>
      <c r="P70" s="311"/>
      <c r="Q70" s="666" t="s">
        <v>180</v>
      </c>
      <c r="R70" s="666"/>
      <c r="S70" s="311"/>
      <c r="T70" s="665" t="s">
        <v>181</v>
      </c>
      <c r="U70" s="666"/>
      <c r="V70" s="311"/>
      <c r="W70" s="671" t="s">
        <v>182</v>
      </c>
      <c r="X70" s="697"/>
      <c r="Y70" s="310"/>
      <c r="Z70" s="665" t="s">
        <v>183</v>
      </c>
      <c r="AA70" s="666"/>
      <c r="AB70" s="310"/>
      <c r="AC70" s="665" t="s">
        <v>184</v>
      </c>
      <c r="AD70" s="666"/>
      <c r="AE70" s="311"/>
      <c r="AF70" s="665" t="s">
        <v>185</v>
      </c>
      <c r="AG70" s="666"/>
      <c r="AH70" s="311"/>
      <c r="AI70" s="665" t="s">
        <v>186</v>
      </c>
      <c r="AJ70" s="666"/>
      <c r="AK70" s="311"/>
      <c r="AL70" s="665" t="s">
        <v>187</v>
      </c>
      <c r="AM70" s="666"/>
      <c r="AO70" s="694" t="s">
        <v>188</v>
      </c>
      <c r="AP70" s="695"/>
      <c r="BA70" s="347"/>
      <c r="BB70" s="347"/>
    </row>
    <row r="71" spans="1:55">
      <c r="A71" s="298"/>
      <c r="B71" s="619" t="s">
        <v>42</v>
      </c>
      <c r="C71" s="617"/>
      <c r="D71" s="310"/>
      <c r="E71" s="619" t="s">
        <v>37</v>
      </c>
      <c r="F71" s="617"/>
      <c r="G71" s="310"/>
      <c r="H71" s="619" t="s">
        <v>42</v>
      </c>
      <c r="I71" s="619"/>
      <c r="J71" s="310"/>
      <c r="K71" s="619" t="s">
        <v>37</v>
      </c>
      <c r="L71" s="619"/>
      <c r="M71" s="310"/>
      <c r="N71" s="617" t="s">
        <v>42</v>
      </c>
      <c r="O71" s="617"/>
      <c r="P71" s="310"/>
      <c r="Q71" s="617" t="s">
        <v>34</v>
      </c>
      <c r="R71" s="617"/>
      <c r="S71" s="310"/>
      <c r="T71" s="617" t="s">
        <v>37</v>
      </c>
      <c r="U71" s="617"/>
      <c r="V71" s="310"/>
      <c r="W71" s="619" t="s">
        <v>42</v>
      </c>
      <c r="X71" s="619"/>
      <c r="Y71" s="310"/>
      <c r="Z71" s="617" t="s">
        <v>42</v>
      </c>
      <c r="AA71" s="617"/>
      <c r="AB71" s="310"/>
      <c r="AC71" s="617" t="s">
        <v>56</v>
      </c>
      <c r="AD71" s="617"/>
      <c r="AE71" s="311"/>
      <c r="AF71" s="617" t="s">
        <v>37</v>
      </c>
      <c r="AG71" s="617"/>
      <c r="AH71" s="311"/>
      <c r="AI71" s="617" t="s">
        <v>42</v>
      </c>
      <c r="AJ71" s="617"/>
      <c r="AL71" s="683" t="s">
        <v>37</v>
      </c>
      <c r="AM71" s="683"/>
      <c r="AN71" s="310"/>
      <c r="AO71" s="683" t="s">
        <v>42</v>
      </c>
      <c r="AP71" s="683"/>
      <c r="AQ71" s="312"/>
      <c r="AR71" s="312"/>
      <c r="AS71" s="312"/>
      <c r="AT71" s="312"/>
      <c r="AU71" s="310"/>
      <c r="BA71" s="347"/>
      <c r="BB71" s="347"/>
    </row>
    <row r="72" spans="1:55">
      <c r="A72" s="298"/>
      <c r="B72" s="321"/>
      <c r="C72" s="309"/>
      <c r="D72" s="310">
        <v>390</v>
      </c>
      <c r="E72" s="321"/>
      <c r="F72" s="309"/>
      <c r="G72" s="310">
        <v>349</v>
      </c>
      <c r="H72" s="321"/>
      <c r="I72" s="321"/>
      <c r="J72" s="310">
        <v>324</v>
      </c>
      <c r="K72" s="321"/>
      <c r="L72" s="321"/>
      <c r="M72" s="310">
        <v>413</v>
      </c>
      <c r="N72" s="309"/>
      <c r="O72" s="309"/>
      <c r="P72" s="310">
        <v>310.2</v>
      </c>
      <c r="Q72" s="309"/>
      <c r="R72" s="309"/>
      <c r="S72" s="310">
        <v>379</v>
      </c>
      <c r="T72" s="309"/>
      <c r="U72" s="309"/>
      <c r="V72" s="310">
        <v>304</v>
      </c>
      <c r="W72" s="321"/>
      <c r="X72" s="321"/>
      <c r="Y72" s="310">
        <v>333</v>
      </c>
      <c r="Z72" s="309"/>
      <c r="AA72" s="309"/>
      <c r="AB72" s="310">
        <v>363</v>
      </c>
      <c r="AC72" s="309"/>
      <c r="AD72" s="309"/>
      <c r="AE72" s="311">
        <v>384</v>
      </c>
      <c r="AF72" s="309"/>
      <c r="AG72" s="309"/>
      <c r="AH72" s="311">
        <v>361</v>
      </c>
      <c r="AI72" s="309"/>
      <c r="AJ72" s="309"/>
      <c r="AK72" s="286">
        <v>311</v>
      </c>
      <c r="AL72" s="310"/>
      <c r="AM72" s="310"/>
      <c r="AN72" s="310">
        <v>381</v>
      </c>
      <c r="AO72" s="310"/>
      <c r="AP72" s="310"/>
      <c r="AQ72" s="312">
        <v>316</v>
      </c>
      <c r="AR72" s="312"/>
      <c r="AS72" s="312"/>
      <c r="AT72" s="312"/>
      <c r="AU72" s="310">
        <f>SUM(D72:AQ72)</f>
        <v>4918.2</v>
      </c>
      <c r="BA72" s="345"/>
      <c r="BB72" s="345"/>
    </row>
    <row r="73" spans="1:55">
      <c r="A73" s="298"/>
      <c r="B73" s="325" t="s">
        <v>536</v>
      </c>
      <c r="C73" s="325"/>
      <c r="D73" s="327"/>
      <c r="E73" s="325" t="s">
        <v>536</v>
      </c>
      <c r="F73" s="331"/>
      <c r="G73" s="327"/>
      <c r="H73" s="333" t="s">
        <v>536</v>
      </c>
      <c r="I73" s="335"/>
      <c r="J73" s="332"/>
      <c r="K73" s="333" t="s">
        <v>536</v>
      </c>
      <c r="L73" s="335"/>
      <c r="M73" s="332"/>
      <c r="N73" s="333" t="s">
        <v>536</v>
      </c>
      <c r="O73" s="333"/>
      <c r="P73" s="332"/>
      <c r="Q73" s="333" t="s">
        <v>536</v>
      </c>
      <c r="R73" s="333"/>
      <c r="S73" s="332"/>
      <c r="T73" s="333" t="s">
        <v>536</v>
      </c>
      <c r="U73" s="333"/>
      <c r="V73" s="332"/>
      <c r="W73" s="333" t="s">
        <v>536</v>
      </c>
      <c r="X73" s="333"/>
      <c r="Y73" s="332"/>
      <c r="Z73" s="333" t="s">
        <v>536</v>
      </c>
      <c r="AA73" s="333"/>
      <c r="AB73" s="332"/>
      <c r="AC73" s="333" t="s">
        <v>536</v>
      </c>
      <c r="AD73" s="333"/>
      <c r="AE73" s="332"/>
      <c r="AF73" s="333" t="s">
        <v>536</v>
      </c>
      <c r="AG73" s="333"/>
      <c r="AH73" s="332"/>
      <c r="AI73" s="333" t="s">
        <v>536</v>
      </c>
      <c r="AJ73" s="333"/>
      <c r="AK73" s="332"/>
      <c r="AL73" s="333" t="s">
        <v>536</v>
      </c>
      <c r="AM73" s="333"/>
      <c r="AN73" s="332"/>
      <c r="AO73" s="333" t="s">
        <v>536</v>
      </c>
      <c r="AP73" s="332"/>
      <c r="AQ73" s="312"/>
      <c r="AR73" s="312"/>
      <c r="AS73" s="312"/>
      <c r="AT73" s="312"/>
      <c r="AU73" s="310"/>
      <c r="BA73" s="347"/>
      <c r="BB73" s="347"/>
    </row>
    <row r="74" spans="1:55">
      <c r="A74" s="298"/>
      <c r="BA74" s="347"/>
      <c r="BB74" s="347"/>
    </row>
    <row r="75" spans="1:55">
      <c r="A75" s="298"/>
      <c r="BA75" s="347"/>
      <c r="BB75" s="347"/>
    </row>
    <row r="76" spans="1:55">
      <c r="A76" s="298"/>
      <c r="B76" s="621"/>
      <c r="C76" s="621"/>
      <c r="E76" s="659"/>
      <c r="F76" s="659"/>
      <c r="H76" s="659"/>
      <c r="I76" s="659"/>
      <c r="K76" s="659"/>
      <c r="L76" s="659"/>
      <c r="N76" s="659"/>
      <c r="O76" s="659"/>
      <c r="Q76" s="659"/>
      <c r="R76" s="659"/>
      <c r="T76" s="659"/>
      <c r="U76" s="659"/>
      <c r="W76" s="659"/>
      <c r="X76" s="659"/>
      <c r="Z76" s="659"/>
      <c r="AA76" s="659"/>
      <c r="AC76" s="659"/>
      <c r="AD76" s="659"/>
      <c r="AF76" s="659"/>
      <c r="AG76" s="659"/>
      <c r="AI76" s="659"/>
      <c r="AJ76" s="659"/>
      <c r="AL76" s="659"/>
      <c r="AM76" s="659"/>
      <c r="AO76" s="659"/>
      <c r="AP76" s="659"/>
      <c r="BA76" s="347"/>
      <c r="BB76" s="347"/>
    </row>
    <row r="77" spans="1:55">
      <c r="A77" s="298"/>
      <c r="B77" s="302"/>
      <c r="C77" s="336"/>
      <c r="D77" s="318"/>
      <c r="E77" s="302"/>
      <c r="F77" s="336"/>
      <c r="G77" s="318"/>
      <c r="H77" s="302"/>
      <c r="I77" s="336"/>
      <c r="J77" s="299"/>
      <c r="K77" s="336"/>
      <c r="L77" s="336"/>
      <c r="M77" s="318"/>
      <c r="N77" s="336"/>
      <c r="O77" s="336"/>
      <c r="P77" s="299"/>
      <c r="Q77" s="336"/>
      <c r="R77" s="336"/>
      <c r="S77" s="318"/>
      <c r="T77" s="336"/>
      <c r="U77" s="336"/>
      <c r="V77" s="318"/>
      <c r="W77" s="302"/>
      <c r="X77" s="336"/>
      <c r="Y77" s="318"/>
      <c r="Z77" s="302"/>
      <c r="AA77" s="302"/>
      <c r="AB77" s="318"/>
      <c r="AC77" s="336"/>
      <c r="AD77" s="336"/>
      <c r="AE77" s="318"/>
      <c r="AF77" s="302"/>
      <c r="AG77" s="336"/>
      <c r="AH77" s="318"/>
      <c r="AI77" s="302"/>
      <c r="AJ77" s="336"/>
      <c r="AK77" s="318"/>
      <c r="AL77" s="302"/>
      <c r="AM77" s="336"/>
      <c r="AN77" s="318"/>
      <c r="AO77" s="302"/>
      <c r="AP77" s="336"/>
      <c r="AQ77" s="318"/>
      <c r="AR77" s="318"/>
      <c r="AS77" s="318"/>
      <c r="AT77" s="318"/>
      <c r="AU77" s="517"/>
      <c r="BA77" s="347"/>
      <c r="BB77" s="347"/>
    </row>
    <row r="78" spans="1:55">
      <c r="A78" s="298"/>
      <c r="B78" s="336"/>
      <c r="C78" s="336"/>
      <c r="D78" s="311"/>
      <c r="E78" s="336"/>
      <c r="F78" s="336"/>
      <c r="G78" s="311"/>
      <c r="H78" s="336"/>
      <c r="I78" s="336"/>
      <c r="J78" s="310"/>
      <c r="K78" s="336"/>
      <c r="L78" s="336"/>
      <c r="M78" s="310"/>
      <c r="N78" s="336"/>
      <c r="O78" s="336"/>
      <c r="P78" s="311"/>
      <c r="Q78" s="336"/>
      <c r="R78" s="336"/>
      <c r="S78" s="311"/>
      <c r="T78" s="302"/>
      <c r="U78" s="302"/>
      <c r="V78" s="311"/>
      <c r="W78" s="302"/>
      <c r="X78" s="302"/>
      <c r="Y78" s="310"/>
      <c r="Z78" s="302"/>
      <c r="AA78" s="302"/>
      <c r="AB78" s="310"/>
      <c r="AC78" s="302"/>
      <c r="AD78" s="336"/>
      <c r="AE78" s="311"/>
      <c r="AF78" s="302"/>
      <c r="AG78" s="302"/>
      <c r="AH78" s="310"/>
      <c r="AI78" s="302"/>
      <c r="AJ78" s="302"/>
      <c r="AK78" s="311"/>
      <c r="AL78" s="302"/>
      <c r="AM78" s="302"/>
      <c r="AN78" s="311"/>
      <c r="AO78" s="302"/>
      <c r="AP78" s="302"/>
      <c r="AQ78" s="311"/>
      <c r="AR78" s="311"/>
      <c r="AS78" s="311"/>
      <c r="AT78" s="311"/>
      <c r="AU78" s="311"/>
      <c r="AW78" s="292">
        <v>14</v>
      </c>
      <c r="AX78" s="292">
        <v>14</v>
      </c>
      <c r="AY78" s="292">
        <v>14</v>
      </c>
      <c r="AZ78" s="292">
        <v>14</v>
      </c>
      <c r="BA78" s="348">
        <f>SUM(D81:AQ81)/1000</f>
        <v>4.8324999999999996</v>
      </c>
      <c r="BB78" s="348">
        <v>4.8324999999999996</v>
      </c>
      <c r="BC78" s="329"/>
    </row>
    <row r="79" spans="1:55">
      <c r="A79" s="298"/>
      <c r="B79" s="665" t="s">
        <v>189</v>
      </c>
      <c r="C79" s="666"/>
      <c r="D79" s="311"/>
      <c r="E79" s="666" t="s">
        <v>191</v>
      </c>
      <c r="F79" s="666"/>
      <c r="G79" s="311"/>
      <c r="H79" s="665" t="s">
        <v>192</v>
      </c>
      <c r="I79" s="666"/>
      <c r="J79" s="310"/>
      <c r="K79" s="665" t="s">
        <v>193</v>
      </c>
      <c r="L79" s="666"/>
      <c r="M79" s="310"/>
      <c r="N79" s="665" t="s">
        <v>194</v>
      </c>
      <c r="O79" s="666"/>
      <c r="P79" s="311"/>
      <c r="Q79" s="666" t="s">
        <v>196</v>
      </c>
      <c r="R79" s="666"/>
      <c r="S79" s="311"/>
      <c r="T79" s="665" t="s">
        <v>197</v>
      </c>
      <c r="U79" s="666"/>
      <c r="V79" s="311"/>
      <c r="W79" s="665" t="s">
        <v>198</v>
      </c>
      <c r="X79" s="666"/>
      <c r="Y79" s="310"/>
      <c r="Z79" s="665" t="s">
        <v>199</v>
      </c>
      <c r="AA79" s="666"/>
      <c r="AB79" s="310"/>
      <c r="AC79" s="666" t="s">
        <v>201</v>
      </c>
      <c r="AD79" s="666"/>
      <c r="AE79" s="311"/>
      <c r="AF79" s="665" t="s">
        <v>202</v>
      </c>
      <c r="AG79" s="666"/>
      <c r="AH79" s="310"/>
      <c r="AI79" s="665" t="s">
        <v>203</v>
      </c>
      <c r="AJ79" s="666"/>
      <c r="AK79" s="311"/>
      <c r="AL79" s="665" t="s">
        <v>204</v>
      </c>
      <c r="AM79" s="666"/>
      <c r="AN79" s="311"/>
      <c r="AO79" s="665" t="s">
        <v>205</v>
      </c>
      <c r="AP79" s="666"/>
      <c r="AQ79" s="311"/>
      <c r="AR79" s="311"/>
      <c r="AS79" s="311"/>
      <c r="AT79" s="311"/>
      <c r="AU79" s="311"/>
      <c r="BA79" s="347"/>
      <c r="BB79" s="347"/>
    </row>
    <row r="80" spans="1:55">
      <c r="A80" s="298"/>
      <c r="B80" s="617" t="s">
        <v>42</v>
      </c>
      <c r="C80" s="617"/>
      <c r="E80" s="617" t="s">
        <v>39</v>
      </c>
      <c r="F80" s="617"/>
      <c r="G80" s="310"/>
      <c r="H80" s="617" t="s">
        <v>37</v>
      </c>
      <c r="I80" s="617"/>
      <c r="J80" s="310"/>
      <c r="K80" s="617" t="s">
        <v>37</v>
      </c>
      <c r="L80" s="617"/>
      <c r="M80" s="310"/>
      <c r="N80" s="617" t="s">
        <v>37</v>
      </c>
      <c r="O80" s="617"/>
      <c r="P80" s="310"/>
      <c r="Q80" s="617" t="s">
        <v>46</v>
      </c>
      <c r="R80" s="617"/>
      <c r="S80" s="310"/>
      <c r="T80" s="617" t="s">
        <v>56</v>
      </c>
      <c r="U80" s="617"/>
      <c r="V80" s="310"/>
      <c r="W80" s="617" t="s">
        <v>37</v>
      </c>
      <c r="X80" s="617"/>
      <c r="Y80" s="310"/>
      <c r="Z80" s="617" t="s">
        <v>56</v>
      </c>
      <c r="AA80" s="617"/>
      <c r="AB80" s="310"/>
      <c r="AC80" s="617" t="s">
        <v>39</v>
      </c>
      <c r="AD80" s="617"/>
      <c r="AE80" s="310"/>
      <c r="AF80" s="617" t="s">
        <v>42</v>
      </c>
      <c r="AG80" s="617"/>
      <c r="AH80" s="310"/>
      <c r="AI80" s="617" t="s">
        <v>37</v>
      </c>
      <c r="AJ80" s="617"/>
      <c r="AK80" s="310"/>
      <c r="AL80" s="617" t="s">
        <v>42</v>
      </c>
      <c r="AM80" s="617"/>
      <c r="AN80" s="310"/>
      <c r="AO80" s="617" t="s">
        <v>42</v>
      </c>
      <c r="AP80" s="617"/>
      <c r="BA80" s="347"/>
      <c r="BB80" s="347"/>
    </row>
    <row r="81" spans="1:55">
      <c r="A81" s="298"/>
      <c r="B81" s="309"/>
      <c r="C81" s="309"/>
      <c r="D81" s="286">
        <v>290.5</v>
      </c>
      <c r="E81" s="309"/>
      <c r="F81" s="309"/>
      <c r="G81" s="310">
        <v>306</v>
      </c>
      <c r="H81" s="309"/>
      <c r="I81" s="309"/>
      <c r="J81" s="310">
        <v>336</v>
      </c>
      <c r="K81" s="309"/>
      <c r="L81" s="309"/>
      <c r="M81" s="310">
        <v>337</v>
      </c>
      <c r="N81" s="309"/>
      <c r="O81" s="309"/>
      <c r="P81" s="310">
        <v>328.6</v>
      </c>
      <c r="Q81" s="309"/>
      <c r="R81" s="309"/>
      <c r="S81" s="310">
        <v>362</v>
      </c>
      <c r="T81" s="309"/>
      <c r="U81" s="309"/>
      <c r="V81" s="310">
        <v>364</v>
      </c>
      <c r="W81" s="309"/>
      <c r="X81" s="309"/>
      <c r="Y81" s="310">
        <v>388</v>
      </c>
      <c r="Z81" s="309"/>
      <c r="AA81" s="309"/>
      <c r="AB81" s="310">
        <v>322</v>
      </c>
      <c r="AC81" s="309"/>
      <c r="AD81" s="309"/>
      <c r="AE81" s="310">
        <v>365.5</v>
      </c>
      <c r="AF81" s="309"/>
      <c r="AG81" s="309"/>
      <c r="AH81" s="310">
        <v>374</v>
      </c>
      <c r="AI81" s="309"/>
      <c r="AJ81" s="309"/>
      <c r="AK81" s="310">
        <v>356.1</v>
      </c>
      <c r="AL81" s="309"/>
      <c r="AM81" s="309"/>
      <c r="AN81" s="310">
        <v>349.7</v>
      </c>
      <c r="AO81" s="309"/>
      <c r="AP81" s="309"/>
      <c r="AQ81" s="286">
        <v>353.1</v>
      </c>
      <c r="AU81" s="515">
        <f>SUM(D81:AQ81)</f>
        <v>4832.5</v>
      </c>
      <c r="BA81" s="345"/>
      <c r="BB81" s="345"/>
    </row>
    <row r="82" spans="1:55">
      <c r="A82" s="298"/>
      <c r="B82" s="333" t="s">
        <v>536</v>
      </c>
      <c r="C82" s="333"/>
      <c r="D82" s="332"/>
      <c r="E82" s="333" t="s">
        <v>536</v>
      </c>
      <c r="F82" s="335"/>
      <c r="G82" s="332"/>
      <c r="H82" s="333" t="s">
        <v>536</v>
      </c>
      <c r="I82" s="335"/>
      <c r="J82" s="332"/>
      <c r="K82" s="333" t="s">
        <v>536</v>
      </c>
      <c r="L82" s="335"/>
      <c r="M82" s="332"/>
      <c r="N82" s="333" t="s">
        <v>536</v>
      </c>
      <c r="O82" s="333"/>
      <c r="P82" s="332"/>
      <c r="Q82" s="333" t="s">
        <v>536</v>
      </c>
      <c r="R82" s="333"/>
      <c r="S82" s="332"/>
      <c r="T82" s="333" t="s">
        <v>536</v>
      </c>
      <c r="U82" s="333"/>
      <c r="V82" s="332"/>
      <c r="W82" s="333" t="s">
        <v>536</v>
      </c>
      <c r="X82" s="333"/>
      <c r="Y82" s="332"/>
      <c r="Z82" s="333" t="s">
        <v>536</v>
      </c>
      <c r="AA82" s="333"/>
      <c r="AB82" s="332"/>
      <c r="AC82" s="333" t="s">
        <v>536</v>
      </c>
      <c r="AD82" s="333"/>
      <c r="AE82" s="332"/>
      <c r="AF82" s="333" t="s">
        <v>536</v>
      </c>
      <c r="AG82" s="333"/>
      <c r="AH82" s="332"/>
      <c r="AI82" s="333" t="s">
        <v>536</v>
      </c>
      <c r="AJ82" s="333"/>
      <c r="AK82" s="332"/>
      <c r="AL82" s="333" t="s">
        <v>536</v>
      </c>
      <c r="AM82" s="333"/>
      <c r="AN82" s="332"/>
      <c r="AO82" s="333" t="s">
        <v>536</v>
      </c>
      <c r="AP82" s="333"/>
      <c r="BA82" s="347"/>
      <c r="BB82" s="347"/>
    </row>
    <row r="83" spans="1:55">
      <c r="A83" s="298"/>
      <c r="B83" s="286"/>
      <c r="BA83" s="347"/>
      <c r="BB83" s="347"/>
    </row>
    <row r="84" spans="1:55">
      <c r="A84" s="298"/>
      <c r="H84" s="286"/>
      <c r="BA84" s="347"/>
      <c r="BB84" s="347"/>
    </row>
    <row r="85" spans="1:55">
      <c r="A85" s="298"/>
      <c r="B85" s="621"/>
      <c r="C85" s="621"/>
      <c r="E85" s="659"/>
      <c r="F85" s="659"/>
      <c r="H85" s="659"/>
      <c r="I85" s="659"/>
      <c r="K85" s="699"/>
      <c r="L85" s="659"/>
      <c r="N85" s="699"/>
      <c r="O85" s="659"/>
      <c r="Q85" s="699"/>
      <c r="R85" s="659"/>
      <c r="T85" s="699"/>
      <c r="U85" s="659"/>
      <c r="W85" s="659"/>
      <c r="X85" s="659"/>
      <c r="Z85" s="659"/>
      <c r="AA85" s="659"/>
      <c r="AC85" s="659"/>
      <c r="AD85" s="659"/>
      <c r="AF85" s="659"/>
      <c r="AG85" s="659"/>
      <c r="AI85" s="659"/>
      <c r="AJ85" s="659"/>
      <c r="AL85" s="659"/>
      <c r="AM85" s="659"/>
      <c r="AO85" s="659"/>
      <c r="AP85" s="659"/>
      <c r="BA85" s="347"/>
      <c r="BB85" s="347"/>
    </row>
    <row r="86" spans="1:55">
      <c r="A86" s="298"/>
      <c r="B86" s="336"/>
      <c r="C86" s="336"/>
      <c r="D86" s="318"/>
      <c r="E86" s="336"/>
      <c r="F86" s="336"/>
      <c r="G86" s="318"/>
      <c r="H86" s="336"/>
      <c r="I86" s="336"/>
      <c r="J86" s="318"/>
      <c r="K86" s="302"/>
      <c r="L86" s="304"/>
      <c r="M86" s="318"/>
      <c r="N86" s="336"/>
      <c r="O86" s="336"/>
      <c r="P86" s="318"/>
      <c r="Q86" s="302"/>
      <c r="R86" s="302"/>
      <c r="S86" s="318"/>
      <c r="T86" s="302"/>
      <c r="U86" s="304"/>
      <c r="V86" s="318"/>
      <c r="W86" s="302"/>
      <c r="X86" s="302"/>
      <c r="Y86" s="318"/>
      <c r="Z86" s="302"/>
      <c r="AA86" s="302"/>
      <c r="AB86" s="318"/>
      <c r="AC86" s="302"/>
      <c r="AD86" s="304"/>
      <c r="AE86" s="318"/>
      <c r="AF86" s="302"/>
      <c r="AG86" s="304"/>
      <c r="AH86" s="318"/>
      <c r="AI86" s="302"/>
      <c r="AJ86" s="304"/>
      <c r="AK86" s="318"/>
      <c r="AL86" s="302"/>
      <c r="AM86" s="304"/>
      <c r="AN86" s="318"/>
      <c r="AO86" s="302"/>
      <c r="AP86" s="336"/>
      <c r="AQ86" s="318"/>
      <c r="AR86" s="318"/>
      <c r="AS86" s="318"/>
      <c r="AT86" s="318"/>
      <c r="AU86" s="517"/>
      <c r="BA86" s="347"/>
      <c r="BB86" s="347"/>
    </row>
    <row r="87" spans="1:55">
      <c r="A87" s="298"/>
      <c r="B87" s="336"/>
      <c r="C87" s="302"/>
      <c r="D87" s="311"/>
      <c r="E87" s="336"/>
      <c r="F87" s="302"/>
      <c r="G87" s="311"/>
      <c r="H87" s="336"/>
      <c r="I87" s="302"/>
      <c r="J87" s="310"/>
      <c r="K87" s="302"/>
      <c r="L87" s="302"/>
      <c r="M87" s="310"/>
      <c r="N87" s="336"/>
      <c r="O87" s="302"/>
      <c r="P87" s="311"/>
      <c r="Q87" s="302"/>
      <c r="R87" s="302"/>
      <c r="S87" s="310"/>
      <c r="T87" s="302"/>
      <c r="U87" s="302"/>
      <c r="V87" s="311"/>
      <c r="W87" s="302"/>
      <c r="X87" s="302"/>
      <c r="Y87" s="311"/>
      <c r="Z87" s="302"/>
      <c r="AA87" s="302"/>
      <c r="AB87" s="311"/>
      <c r="AC87" s="302"/>
      <c r="AD87" s="302"/>
      <c r="AE87" s="311"/>
      <c r="AF87" s="302"/>
      <c r="AG87" s="302"/>
      <c r="AH87" s="311"/>
      <c r="AI87" s="302"/>
      <c r="AJ87" s="302"/>
      <c r="AK87" s="311"/>
      <c r="AL87" s="302"/>
      <c r="AM87" s="302"/>
      <c r="AN87" s="310"/>
      <c r="AO87" s="302"/>
      <c r="AP87" s="302"/>
      <c r="AQ87" s="311"/>
      <c r="AR87" s="311"/>
      <c r="AS87" s="311"/>
      <c r="AT87" s="311"/>
      <c r="AU87" s="311"/>
      <c r="AW87" s="292">
        <v>14</v>
      </c>
      <c r="AX87" s="292">
        <v>14</v>
      </c>
      <c r="AY87" s="292">
        <v>14</v>
      </c>
      <c r="AZ87" s="292">
        <v>14</v>
      </c>
      <c r="BA87" s="348">
        <f>SUM(D90:AQ90)/1000</f>
        <v>4.6801999999999992</v>
      </c>
      <c r="BB87" s="348">
        <v>4.6802000000000001</v>
      </c>
      <c r="BC87" s="329"/>
    </row>
    <row r="88" spans="1:55">
      <c r="A88" s="298"/>
      <c r="B88" s="673" t="s">
        <v>206</v>
      </c>
      <c r="C88" s="617"/>
      <c r="D88" s="311"/>
      <c r="E88" s="665" t="s">
        <v>207</v>
      </c>
      <c r="F88" s="666"/>
      <c r="G88" s="311"/>
      <c r="H88" s="665" t="s">
        <v>208</v>
      </c>
      <c r="I88" s="666"/>
      <c r="J88" s="310"/>
      <c r="K88" s="665" t="s">
        <v>209</v>
      </c>
      <c r="L88" s="666"/>
      <c r="M88" s="310"/>
      <c r="N88" s="665" t="s">
        <v>210</v>
      </c>
      <c r="O88" s="666"/>
      <c r="P88" s="311"/>
      <c r="Q88" s="665" t="s">
        <v>211</v>
      </c>
      <c r="R88" s="666"/>
      <c r="S88" s="310"/>
      <c r="T88" s="665" t="s">
        <v>212</v>
      </c>
      <c r="U88" s="666"/>
      <c r="V88" s="311"/>
      <c r="W88" s="666" t="s">
        <v>214</v>
      </c>
      <c r="X88" s="666"/>
      <c r="Y88" s="311"/>
      <c r="Z88" s="665" t="s">
        <v>215</v>
      </c>
      <c r="AA88" s="666"/>
      <c r="AB88" s="311"/>
      <c r="AC88" s="665" t="s">
        <v>216</v>
      </c>
      <c r="AD88" s="666"/>
      <c r="AE88" s="311"/>
      <c r="AF88" s="665" t="s">
        <v>217</v>
      </c>
      <c r="AG88" s="666"/>
      <c r="AH88" s="311"/>
      <c r="AI88" s="665" t="s">
        <v>218</v>
      </c>
      <c r="AJ88" s="666"/>
      <c r="AK88" s="311"/>
      <c r="AL88" s="665" t="s">
        <v>219</v>
      </c>
      <c r="AM88" s="666"/>
      <c r="AN88" s="310"/>
      <c r="AO88" s="666" t="s">
        <v>221</v>
      </c>
      <c r="AP88" s="666"/>
      <c r="AQ88" s="311"/>
      <c r="AR88" s="311"/>
      <c r="AS88" s="311"/>
      <c r="AT88" s="311"/>
      <c r="AU88" s="311"/>
      <c r="BA88" s="347"/>
      <c r="BB88" s="347"/>
    </row>
    <row r="89" spans="1:55">
      <c r="A89" s="298"/>
      <c r="B89" s="617" t="s">
        <v>37</v>
      </c>
      <c r="C89" s="617"/>
      <c r="D89" s="310"/>
      <c r="E89" s="617" t="s">
        <v>37</v>
      </c>
      <c r="F89" s="617"/>
      <c r="G89" s="311"/>
      <c r="H89" s="617" t="s">
        <v>56</v>
      </c>
      <c r="I89" s="617"/>
      <c r="J89" s="310"/>
      <c r="K89" s="617" t="s">
        <v>37</v>
      </c>
      <c r="L89" s="617"/>
      <c r="M89" s="310"/>
      <c r="N89" s="617" t="s">
        <v>37</v>
      </c>
      <c r="O89" s="617"/>
      <c r="P89" s="337"/>
      <c r="Q89" s="617" t="s">
        <v>37</v>
      </c>
      <c r="R89" s="617"/>
      <c r="S89" s="310"/>
      <c r="T89" s="617" t="s">
        <v>37</v>
      </c>
      <c r="U89" s="617"/>
      <c r="V89" s="310"/>
      <c r="W89" s="617" t="s">
        <v>89</v>
      </c>
      <c r="X89" s="617"/>
      <c r="Y89" s="310"/>
      <c r="Z89" s="617" t="s">
        <v>42</v>
      </c>
      <c r="AA89" s="617"/>
      <c r="AB89" s="310"/>
      <c r="AC89" s="617" t="s">
        <v>37</v>
      </c>
      <c r="AD89" s="617"/>
      <c r="AE89" s="311"/>
      <c r="AF89" s="617" t="s">
        <v>37</v>
      </c>
      <c r="AG89" s="617"/>
      <c r="AH89" s="310"/>
      <c r="AI89" s="617" t="s">
        <v>42</v>
      </c>
      <c r="AJ89" s="617"/>
      <c r="AK89" s="310"/>
      <c r="AL89" s="617" t="s">
        <v>42</v>
      </c>
      <c r="AM89" s="617"/>
      <c r="AN89" s="310"/>
      <c r="AO89" s="617" t="s">
        <v>76</v>
      </c>
      <c r="AP89" s="617"/>
      <c r="BA89" s="347"/>
      <c r="BB89" s="347"/>
    </row>
    <row r="90" spans="1:55">
      <c r="A90" s="298"/>
      <c r="B90" s="309"/>
      <c r="C90" s="309"/>
      <c r="D90" s="310">
        <v>374.2</v>
      </c>
      <c r="E90" s="309"/>
      <c r="F90" s="309"/>
      <c r="G90" s="311">
        <v>341.3</v>
      </c>
      <c r="H90" s="309"/>
      <c r="I90" s="309"/>
      <c r="J90" s="310">
        <v>348</v>
      </c>
      <c r="K90" s="309"/>
      <c r="L90" s="309"/>
      <c r="M90" s="310">
        <v>384</v>
      </c>
      <c r="N90" s="309"/>
      <c r="O90" s="309"/>
      <c r="P90" s="337">
        <v>269.7</v>
      </c>
      <c r="Q90" s="309"/>
      <c r="R90" s="309"/>
      <c r="S90" s="310">
        <v>394</v>
      </c>
      <c r="T90" s="309"/>
      <c r="U90" s="309"/>
      <c r="V90" s="310">
        <v>300.60000000000002</v>
      </c>
      <c r="W90" s="309"/>
      <c r="X90" s="309"/>
      <c r="Y90" s="310">
        <v>315.39999999999998</v>
      </c>
      <c r="Z90" s="309"/>
      <c r="AA90" s="309"/>
      <c r="AB90" s="310">
        <v>329.6</v>
      </c>
      <c r="AC90" s="309"/>
      <c r="AD90" s="309"/>
      <c r="AE90" s="311">
        <v>383</v>
      </c>
      <c r="AF90" s="309"/>
      <c r="AG90" s="309"/>
      <c r="AH90" s="310">
        <v>323.7</v>
      </c>
      <c r="AI90" s="309"/>
      <c r="AJ90" s="309"/>
      <c r="AK90" s="310">
        <v>328.8</v>
      </c>
      <c r="AL90" s="309"/>
      <c r="AM90" s="309"/>
      <c r="AN90" s="310">
        <v>266</v>
      </c>
      <c r="AO90" s="309"/>
      <c r="AP90" s="309"/>
      <c r="AQ90" s="286">
        <v>321.89999999999998</v>
      </c>
      <c r="AU90" s="515">
        <f>SUM(D90:AQ90)</f>
        <v>4680.1999999999989</v>
      </c>
      <c r="BA90" s="345"/>
      <c r="BB90" s="345"/>
    </row>
    <row r="91" spans="1:55">
      <c r="A91" s="298"/>
      <c r="B91" s="333" t="s">
        <v>536</v>
      </c>
      <c r="C91" s="333"/>
      <c r="D91" s="332"/>
      <c r="E91" s="333" t="s">
        <v>536</v>
      </c>
      <c r="F91" s="335"/>
      <c r="G91" s="332"/>
      <c r="H91" s="333" t="s">
        <v>536</v>
      </c>
      <c r="I91" s="335"/>
      <c r="J91" s="332"/>
      <c r="K91" s="333" t="s">
        <v>536</v>
      </c>
      <c r="L91" s="335"/>
      <c r="M91" s="332"/>
      <c r="N91" s="333" t="s">
        <v>536</v>
      </c>
      <c r="O91" s="333"/>
      <c r="P91" s="332"/>
      <c r="Q91" s="333" t="s">
        <v>536</v>
      </c>
      <c r="R91" s="333"/>
      <c r="S91" s="332"/>
      <c r="T91" s="333" t="s">
        <v>536</v>
      </c>
      <c r="U91" s="333"/>
      <c r="V91" s="332"/>
      <c r="W91" s="333" t="s">
        <v>536</v>
      </c>
      <c r="X91" s="333"/>
      <c r="Y91" s="332"/>
      <c r="Z91" s="333" t="s">
        <v>536</v>
      </c>
      <c r="AA91" s="333"/>
      <c r="AB91" s="332"/>
      <c r="AC91" s="333" t="s">
        <v>536</v>
      </c>
      <c r="AD91" s="333"/>
      <c r="AE91" s="332"/>
      <c r="AF91" s="333" t="s">
        <v>536</v>
      </c>
      <c r="AG91" s="333"/>
      <c r="AH91" s="332"/>
      <c r="AI91" s="333" t="s">
        <v>536</v>
      </c>
      <c r="AJ91" s="333"/>
      <c r="AK91" s="332"/>
      <c r="AL91" s="333" t="s">
        <v>536</v>
      </c>
      <c r="AM91" s="333"/>
      <c r="AN91" s="332"/>
      <c r="AO91" s="333" t="s">
        <v>536</v>
      </c>
      <c r="AP91" s="333"/>
      <c r="BA91" s="347"/>
      <c r="BB91" s="347"/>
    </row>
    <row r="92" spans="1:55">
      <c r="A92" s="298"/>
      <c r="BA92" s="347"/>
      <c r="BB92" s="347"/>
    </row>
    <row r="93" spans="1:55">
      <c r="A93" s="298"/>
      <c r="M93" s="285"/>
      <c r="Y93" s="285"/>
      <c r="BA93" s="347"/>
      <c r="BB93" s="347"/>
    </row>
    <row r="94" spans="1:55">
      <c r="A94" s="298"/>
      <c r="B94" s="621"/>
      <c r="C94" s="621"/>
      <c r="E94" s="659"/>
      <c r="F94" s="659"/>
      <c r="H94" s="659"/>
      <c r="I94" s="659"/>
      <c r="K94" s="659"/>
      <c r="L94" s="659"/>
      <c r="N94" s="659"/>
      <c r="O94" s="659"/>
      <c r="Q94" s="698"/>
      <c r="R94" s="659"/>
      <c r="T94" s="659"/>
      <c r="U94" s="659"/>
      <c r="W94" s="659"/>
      <c r="X94" s="659"/>
      <c r="Z94" s="659"/>
      <c r="AA94" s="659"/>
      <c r="AC94" s="659"/>
      <c r="AD94" s="659"/>
      <c r="AF94" s="659"/>
      <c r="AG94" s="659"/>
      <c r="AI94" s="659"/>
      <c r="AJ94" s="659"/>
      <c r="AL94" s="659"/>
      <c r="AM94" s="659"/>
      <c r="AO94" s="659"/>
      <c r="AP94" s="659"/>
      <c r="BA94" s="347"/>
      <c r="BB94" s="347"/>
    </row>
    <row r="95" spans="1:55">
      <c r="A95" s="298"/>
      <c r="B95" s="336"/>
      <c r="C95" s="336"/>
      <c r="D95" s="318"/>
      <c r="E95" s="336"/>
      <c r="F95" s="336"/>
      <c r="G95" s="318"/>
      <c r="H95" s="336"/>
      <c r="I95" s="336"/>
      <c r="J95" s="318"/>
      <c r="K95" s="302"/>
      <c r="L95" s="336"/>
      <c r="M95" s="318"/>
      <c r="N95" s="302"/>
      <c r="O95" s="336"/>
      <c r="P95" s="318"/>
      <c r="Q95" s="302"/>
      <c r="R95" s="336"/>
      <c r="S95" s="318"/>
      <c r="T95" s="302"/>
      <c r="U95" s="336"/>
      <c r="V95" s="299"/>
      <c r="W95" s="302"/>
      <c r="X95" s="336"/>
      <c r="Y95" s="318"/>
      <c r="Z95" s="302"/>
      <c r="AA95" s="336"/>
      <c r="AB95" s="318"/>
      <c r="AC95" s="302"/>
      <c r="AD95" s="304"/>
      <c r="AE95" s="318"/>
      <c r="AF95" s="302"/>
      <c r="AG95" s="304"/>
      <c r="AH95" s="318"/>
      <c r="AI95" s="302"/>
      <c r="AJ95" s="304"/>
      <c r="AK95" s="318"/>
      <c r="AL95" s="302"/>
      <c r="AM95" s="304"/>
      <c r="AN95" s="318"/>
      <c r="AO95" s="302"/>
      <c r="AP95" s="304"/>
      <c r="AQ95" s="318"/>
      <c r="AR95" s="318"/>
      <c r="AS95" s="318"/>
      <c r="AT95" s="318"/>
      <c r="AU95" s="517"/>
      <c r="BA95" s="347"/>
      <c r="BB95" s="347"/>
    </row>
    <row r="96" spans="1:55">
      <c r="A96" s="298"/>
      <c r="B96" s="302"/>
      <c r="C96" s="336"/>
      <c r="D96" s="311"/>
      <c r="E96" s="302"/>
      <c r="F96" s="336"/>
      <c r="G96" s="311"/>
      <c r="H96" s="302"/>
      <c r="I96" s="336"/>
      <c r="J96" s="311"/>
      <c r="K96" s="302"/>
      <c r="L96" s="302"/>
      <c r="M96" s="311"/>
      <c r="N96" s="302"/>
      <c r="O96" s="302"/>
      <c r="P96" s="311"/>
      <c r="Q96" s="302"/>
      <c r="R96" s="302"/>
      <c r="S96" s="311"/>
      <c r="T96" s="302"/>
      <c r="U96" s="302"/>
      <c r="V96" s="311"/>
      <c r="W96" s="302"/>
      <c r="X96" s="302"/>
      <c r="Y96" s="311"/>
      <c r="Z96" s="302"/>
      <c r="AA96" s="302"/>
      <c r="AB96" s="311"/>
      <c r="AC96" s="302"/>
      <c r="AD96" s="304"/>
      <c r="AE96" s="311"/>
      <c r="AF96" s="302"/>
      <c r="AG96" s="302"/>
      <c r="AH96" s="311"/>
      <c r="AI96" s="302"/>
      <c r="AJ96" s="302"/>
      <c r="AK96" s="311"/>
      <c r="AL96" s="302"/>
      <c r="AM96" s="302"/>
      <c r="AN96" s="311"/>
      <c r="AO96" s="302"/>
      <c r="AP96" s="302"/>
      <c r="AQ96" s="311"/>
      <c r="AR96" s="311"/>
      <c r="AS96" s="311"/>
      <c r="AT96" s="311"/>
      <c r="AU96" s="311"/>
      <c r="AW96" s="292">
        <v>14</v>
      </c>
      <c r="AX96" s="292">
        <v>14</v>
      </c>
      <c r="AY96" s="292">
        <v>14</v>
      </c>
      <c r="AZ96" s="292">
        <v>13</v>
      </c>
      <c r="BA96" s="348">
        <f>SUM(D99:AQ99)/1000</f>
        <v>4.7541000000000002</v>
      </c>
      <c r="BB96" s="348">
        <v>4.7541000000000002</v>
      </c>
      <c r="BC96" s="329"/>
    </row>
    <row r="97" spans="1:55">
      <c r="A97" s="298"/>
      <c r="B97" s="673" t="s">
        <v>222</v>
      </c>
      <c r="C97" s="617"/>
      <c r="D97" s="311"/>
      <c r="E97" s="665" t="s">
        <v>223</v>
      </c>
      <c r="F97" s="666"/>
      <c r="G97" s="311"/>
      <c r="H97" s="665" t="s">
        <v>224</v>
      </c>
      <c r="I97" s="666"/>
      <c r="J97" s="311"/>
      <c r="K97" s="665" t="s">
        <v>225</v>
      </c>
      <c r="L97" s="666"/>
      <c r="M97" s="311"/>
      <c r="N97" s="665" t="s">
        <v>226</v>
      </c>
      <c r="O97" s="666"/>
      <c r="P97" s="311"/>
      <c r="Q97" s="665" t="s">
        <v>227</v>
      </c>
      <c r="R97" s="666"/>
      <c r="S97" s="311"/>
      <c r="T97" s="665" t="s">
        <v>228</v>
      </c>
      <c r="U97" s="666"/>
      <c r="V97" s="311"/>
      <c r="W97" s="665" t="s">
        <v>229</v>
      </c>
      <c r="X97" s="666"/>
      <c r="Y97" s="311"/>
      <c r="Z97" s="666" t="s">
        <v>231</v>
      </c>
      <c r="AA97" s="666"/>
      <c r="AB97" s="311"/>
      <c r="AC97" s="665" t="s">
        <v>232</v>
      </c>
      <c r="AD97" s="666"/>
      <c r="AE97" s="311"/>
      <c r="AF97" s="665" t="s">
        <v>233</v>
      </c>
      <c r="AG97" s="666"/>
      <c r="AH97" s="311"/>
      <c r="AI97" s="665" t="s">
        <v>234</v>
      </c>
      <c r="AJ97" s="666"/>
      <c r="AK97" s="311"/>
      <c r="AL97" s="665" t="s">
        <v>235</v>
      </c>
      <c r="AM97" s="666"/>
      <c r="AN97" s="311"/>
      <c r="AO97" s="665" t="s">
        <v>236</v>
      </c>
      <c r="AP97" s="666"/>
      <c r="AQ97" s="311"/>
      <c r="AR97" s="311"/>
      <c r="AS97" s="311"/>
      <c r="AT97" s="311"/>
      <c r="AU97" s="311"/>
      <c r="BA97" s="347"/>
      <c r="BB97" s="347"/>
    </row>
    <row r="98" spans="1:55">
      <c r="A98" s="298"/>
      <c r="B98" s="617" t="s">
        <v>42</v>
      </c>
      <c r="C98" s="617"/>
      <c r="D98" s="310"/>
      <c r="E98" s="617" t="s">
        <v>37</v>
      </c>
      <c r="F98" s="617"/>
      <c r="G98" s="310"/>
      <c r="H98" s="617" t="s">
        <v>42</v>
      </c>
      <c r="I98" s="617"/>
      <c r="J98" s="310"/>
      <c r="K98" s="617" t="s">
        <v>42</v>
      </c>
      <c r="L98" s="617"/>
      <c r="M98" s="311"/>
      <c r="N98" s="617" t="s">
        <v>42</v>
      </c>
      <c r="O98" s="617"/>
      <c r="P98" s="310"/>
      <c r="Q98" s="617" t="s">
        <v>37</v>
      </c>
      <c r="R98" s="617"/>
      <c r="S98" s="310"/>
      <c r="T98" s="617" t="s">
        <v>37</v>
      </c>
      <c r="U98" s="617"/>
      <c r="V98" s="310"/>
      <c r="W98" s="617" t="s">
        <v>37</v>
      </c>
      <c r="X98" s="617"/>
      <c r="Y98" s="310"/>
      <c r="Z98" s="617" t="s">
        <v>76</v>
      </c>
      <c r="AA98" s="617"/>
      <c r="AB98" s="310"/>
      <c r="AC98" s="617" t="s">
        <v>37</v>
      </c>
      <c r="AD98" s="617"/>
      <c r="AE98" s="310"/>
      <c r="AF98" s="617" t="s">
        <v>37</v>
      </c>
      <c r="AG98" s="617"/>
      <c r="AH98" s="310"/>
      <c r="AI98" s="617" t="s">
        <v>37</v>
      </c>
      <c r="AJ98" s="617"/>
      <c r="AK98" s="310"/>
      <c r="AL98" s="617" t="s">
        <v>42</v>
      </c>
      <c r="AM98" s="617"/>
      <c r="AN98" s="310"/>
      <c r="AO98" s="617" t="s">
        <v>37</v>
      </c>
      <c r="AP98" s="617"/>
      <c r="BA98" s="347"/>
      <c r="BB98" s="347"/>
    </row>
    <row r="99" spans="1:55">
      <c r="A99" s="298"/>
      <c r="B99" s="309"/>
      <c r="C99" s="309"/>
      <c r="D99" s="310">
        <v>352.1</v>
      </c>
      <c r="E99" s="309"/>
      <c r="F99" s="309"/>
      <c r="G99" s="310">
        <v>347.3</v>
      </c>
      <c r="H99" s="309"/>
      <c r="I99" s="309"/>
      <c r="J99" s="310">
        <v>339.4</v>
      </c>
      <c r="K99" s="309"/>
      <c r="L99" s="309"/>
      <c r="M99" s="311">
        <v>330.9</v>
      </c>
      <c r="N99" s="309"/>
      <c r="O99" s="309"/>
      <c r="P99" s="310">
        <v>280</v>
      </c>
      <c r="Q99" s="309"/>
      <c r="R99" s="309"/>
      <c r="S99" s="310">
        <v>369.5</v>
      </c>
      <c r="T99" s="309"/>
      <c r="U99" s="309"/>
      <c r="V99" s="310">
        <v>360.6</v>
      </c>
      <c r="W99" s="309"/>
      <c r="X99" s="309"/>
      <c r="Y99" s="310">
        <v>293</v>
      </c>
      <c r="Z99" s="309"/>
      <c r="AA99" s="309"/>
      <c r="AB99" s="310">
        <v>345.9</v>
      </c>
      <c r="AC99" s="309"/>
      <c r="AD99" s="309"/>
      <c r="AE99" s="310">
        <v>310.89999999999998</v>
      </c>
      <c r="AF99" s="309"/>
      <c r="AG99" s="309"/>
      <c r="AH99" s="310">
        <v>380</v>
      </c>
      <c r="AI99" s="309"/>
      <c r="AJ99" s="309"/>
      <c r="AK99" s="310">
        <v>358.2</v>
      </c>
      <c r="AL99" s="309"/>
      <c r="AM99" s="309"/>
      <c r="AN99" s="310">
        <v>311.10000000000002</v>
      </c>
      <c r="AO99" s="309"/>
      <c r="AP99" s="309"/>
      <c r="AQ99" s="286">
        <v>375.2</v>
      </c>
      <c r="AU99" s="515">
        <f>SUM(D99:AQ99)</f>
        <v>4754.1000000000004</v>
      </c>
      <c r="BA99" s="345"/>
      <c r="BB99" s="345"/>
    </row>
    <row r="100" spans="1:55">
      <c r="A100" s="298"/>
      <c r="B100" s="333" t="s">
        <v>536</v>
      </c>
      <c r="C100" s="333"/>
      <c r="D100" s="332"/>
      <c r="E100" s="333" t="s">
        <v>536</v>
      </c>
      <c r="F100" s="335"/>
      <c r="G100" s="332"/>
      <c r="H100" s="333" t="s">
        <v>536</v>
      </c>
      <c r="I100" s="335"/>
      <c r="J100" s="332"/>
      <c r="K100" s="333" t="s">
        <v>536</v>
      </c>
      <c r="L100" s="335"/>
      <c r="M100" s="332"/>
      <c r="N100" s="333" t="s">
        <v>536</v>
      </c>
      <c r="O100" s="333"/>
      <c r="P100" s="332"/>
      <c r="Q100" s="333" t="s">
        <v>536</v>
      </c>
      <c r="R100" s="333"/>
      <c r="S100" s="332"/>
      <c r="T100" s="333" t="s">
        <v>536</v>
      </c>
      <c r="U100" s="333"/>
      <c r="V100" s="332"/>
      <c r="W100" s="333" t="s">
        <v>536</v>
      </c>
      <c r="X100" s="333"/>
      <c r="Y100" s="332"/>
      <c r="Z100" s="333" t="s">
        <v>536</v>
      </c>
      <c r="AA100" s="333"/>
      <c r="AB100" s="332"/>
      <c r="AC100" s="333" t="s">
        <v>536</v>
      </c>
      <c r="AD100" s="333"/>
      <c r="AE100" s="332"/>
      <c r="AF100" s="333" t="s">
        <v>536</v>
      </c>
      <c r="AG100" s="333"/>
      <c r="AH100" s="332"/>
      <c r="AI100" s="333" t="s">
        <v>536</v>
      </c>
      <c r="AJ100" s="333"/>
      <c r="AK100" s="332"/>
      <c r="AL100" s="333" t="s">
        <v>536</v>
      </c>
      <c r="AM100" s="333"/>
      <c r="AN100" s="332"/>
      <c r="AO100" s="333" t="s">
        <v>536</v>
      </c>
      <c r="AP100" s="333"/>
      <c r="BA100" s="347"/>
      <c r="BB100" s="347"/>
    </row>
    <row r="101" spans="1:55">
      <c r="A101" s="298"/>
      <c r="BA101" s="347"/>
      <c r="BB101" s="347"/>
    </row>
    <row r="102" spans="1:55">
      <c r="A102" s="298"/>
      <c r="BA102" s="347"/>
      <c r="BB102" s="347"/>
    </row>
    <row r="103" spans="1:55">
      <c r="A103" s="298"/>
      <c r="B103" s="659"/>
      <c r="C103" s="659"/>
      <c r="E103" s="659"/>
      <c r="F103" s="659"/>
      <c r="H103" s="659"/>
      <c r="I103" s="659"/>
      <c r="K103" s="659"/>
      <c r="L103" s="659"/>
      <c r="N103" s="659"/>
      <c r="O103" s="659"/>
      <c r="Q103" s="659"/>
      <c r="R103" s="659"/>
      <c r="T103" s="659"/>
      <c r="U103" s="659"/>
      <c r="W103" s="659"/>
      <c r="X103" s="659"/>
      <c r="Z103" s="659"/>
      <c r="AA103" s="659"/>
      <c r="AC103" s="659"/>
      <c r="AD103" s="659"/>
      <c r="AF103" s="659"/>
      <c r="AG103" s="659"/>
      <c r="AI103" s="659"/>
      <c r="AJ103" s="659"/>
      <c r="AL103" s="659"/>
      <c r="AM103" s="659"/>
      <c r="AN103" s="318"/>
      <c r="AO103" s="659"/>
      <c r="AP103" s="659"/>
      <c r="BA103" s="347"/>
      <c r="BB103" s="347"/>
    </row>
    <row r="104" spans="1:55">
      <c r="A104" s="298"/>
      <c r="B104" s="304"/>
      <c r="C104" s="304"/>
      <c r="D104" s="318"/>
      <c r="E104" s="302"/>
      <c r="F104" s="304"/>
      <c r="G104" s="318"/>
      <c r="H104" s="302"/>
      <c r="I104" s="304"/>
      <c r="J104" s="318"/>
      <c r="K104" s="302"/>
      <c r="L104" s="304"/>
      <c r="M104" s="318"/>
      <c r="N104" s="302"/>
      <c r="O104" s="304"/>
      <c r="P104" s="318"/>
      <c r="Q104" s="302"/>
      <c r="R104" s="304"/>
      <c r="S104" s="318"/>
      <c r="T104" s="302"/>
      <c r="U104" s="304"/>
      <c r="V104" s="318"/>
      <c r="W104" s="302"/>
      <c r="X104" s="304"/>
      <c r="Y104" s="318"/>
      <c r="Z104" s="302"/>
      <c r="AA104" s="304"/>
      <c r="AB104" s="318"/>
      <c r="AC104" s="302"/>
      <c r="AD104" s="336"/>
      <c r="AE104" s="318"/>
      <c r="AF104" s="302"/>
      <c r="AG104" s="304"/>
      <c r="AH104" s="318"/>
      <c r="AI104" s="302"/>
      <c r="AJ104" s="304"/>
      <c r="AK104" s="318"/>
      <c r="AL104" s="302"/>
      <c r="AM104" s="304"/>
      <c r="AO104" s="302"/>
      <c r="AP104" s="304"/>
      <c r="AQ104" s="318"/>
      <c r="AR104" s="318"/>
      <c r="AS104" s="318"/>
      <c r="AT104" s="318"/>
      <c r="AU104" s="517"/>
      <c r="BA104" s="347"/>
      <c r="BB104" s="347"/>
    </row>
    <row r="105" spans="1:55">
      <c r="A105" s="298"/>
      <c r="B105" s="330"/>
      <c r="C105" s="330"/>
      <c r="D105" s="311"/>
      <c r="E105" s="330"/>
      <c r="F105" s="330"/>
      <c r="G105" s="310"/>
      <c r="H105" s="330"/>
      <c r="I105" s="330"/>
      <c r="J105" s="311"/>
      <c r="K105" s="330"/>
      <c r="L105" s="330"/>
      <c r="M105" s="311"/>
      <c r="N105" s="330"/>
      <c r="O105" s="330"/>
      <c r="P105" s="311"/>
      <c r="Q105" s="330"/>
      <c r="R105" s="330"/>
      <c r="S105" s="310"/>
      <c r="T105" s="330"/>
      <c r="U105" s="330"/>
      <c r="V105" s="311"/>
      <c r="W105" s="330"/>
      <c r="X105" s="330"/>
      <c r="Y105" s="311"/>
      <c r="Z105" s="330"/>
      <c r="AA105" s="330"/>
      <c r="AB105" s="311"/>
      <c r="AC105" s="302"/>
      <c r="AD105" s="302"/>
      <c r="AE105" s="311"/>
      <c r="AF105" s="330"/>
      <c r="AG105" s="304"/>
      <c r="AH105" s="311"/>
      <c r="AI105" s="330"/>
      <c r="AJ105" s="304"/>
      <c r="AK105" s="311"/>
      <c r="AL105" s="330"/>
      <c r="AM105" s="304"/>
      <c r="AN105" s="311"/>
      <c r="AO105" s="330"/>
      <c r="AP105" s="304"/>
      <c r="AQ105" s="311"/>
      <c r="AR105" s="311"/>
      <c r="AS105" s="311"/>
      <c r="AT105" s="311"/>
      <c r="AU105" s="311"/>
      <c r="AW105" s="292">
        <v>14</v>
      </c>
      <c r="AX105" s="292">
        <v>14</v>
      </c>
      <c r="AY105" s="292">
        <v>14</v>
      </c>
      <c r="AZ105" s="292">
        <v>14</v>
      </c>
      <c r="BA105" s="348">
        <f>SUM(D108:AQ108)/1000</f>
        <v>4.7088000000000001</v>
      </c>
      <c r="BB105" s="348">
        <f>BA105</f>
        <v>4.7088000000000001</v>
      </c>
      <c r="BC105" s="329"/>
    </row>
    <row r="106" spans="1:55">
      <c r="A106" s="298"/>
      <c r="B106" s="665" t="s">
        <v>237</v>
      </c>
      <c r="C106" s="666"/>
      <c r="D106" s="311"/>
      <c r="E106" s="665" t="s">
        <v>238</v>
      </c>
      <c r="F106" s="666"/>
      <c r="G106" s="310"/>
      <c r="H106" s="665" t="s">
        <v>239</v>
      </c>
      <c r="I106" s="666"/>
      <c r="J106" s="311"/>
      <c r="K106" s="665" t="s">
        <v>240</v>
      </c>
      <c r="L106" s="666"/>
      <c r="M106" s="311"/>
      <c r="N106" s="665" t="s">
        <v>241</v>
      </c>
      <c r="O106" s="666"/>
      <c r="P106" s="311"/>
      <c r="Q106" s="665" t="s">
        <v>242</v>
      </c>
      <c r="R106" s="666"/>
      <c r="S106" s="310"/>
      <c r="T106" s="665" t="s">
        <v>243</v>
      </c>
      <c r="U106" s="666"/>
      <c r="V106" s="311"/>
      <c r="W106" s="666" t="s">
        <v>244</v>
      </c>
      <c r="X106" s="666"/>
      <c r="Y106" s="311"/>
      <c r="Z106" s="666" t="s">
        <v>246</v>
      </c>
      <c r="AA106" s="666"/>
      <c r="AB106" s="311"/>
      <c r="AC106" s="665" t="s">
        <v>247</v>
      </c>
      <c r="AD106" s="666"/>
      <c r="AE106" s="311"/>
      <c r="AF106" s="665" t="s">
        <v>248</v>
      </c>
      <c r="AG106" s="666"/>
      <c r="AH106" s="311"/>
      <c r="AI106" s="666" t="s">
        <v>250</v>
      </c>
      <c r="AJ106" s="666"/>
      <c r="AK106" s="311" t="s">
        <v>0</v>
      </c>
      <c r="AL106" s="665" t="s">
        <v>251</v>
      </c>
      <c r="AM106" s="666"/>
      <c r="AN106" s="311" t="s">
        <v>0</v>
      </c>
      <c r="AO106" s="665" t="s">
        <v>252</v>
      </c>
      <c r="AP106" s="666"/>
      <c r="AQ106" s="311" t="s">
        <v>0</v>
      </c>
      <c r="AR106" s="311"/>
      <c r="AS106" s="311"/>
      <c r="AT106" s="311"/>
      <c r="AU106" s="311"/>
      <c r="BA106" s="347"/>
      <c r="BB106" s="347"/>
    </row>
    <row r="107" spans="1:55">
      <c r="A107" s="298"/>
      <c r="B107" s="617" t="s">
        <v>37</v>
      </c>
      <c r="C107" s="617"/>
      <c r="D107" s="310"/>
      <c r="E107" s="617" t="s">
        <v>37</v>
      </c>
      <c r="F107" s="617"/>
      <c r="G107" s="310"/>
      <c r="H107" s="617" t="s">
        <v>37</v>
      </c>
      <c r="I107" s="617"/>
      <c r="J107" s="310"/>
      <c r="K107" s="617" t="s">
        <v>42</v>
      </c>
      <c r="L107" s="617"/>
      <c r="M107" s="310"/>
      <c r="N107" s="617" t="s">
        <v>37</v>
      </c>
      <c r="O107" s="617"/>
      <c r="P107" s="310"/>
      <c r="Q107" s="617" t="s">
        <v>42</v>
      </c>
      <c r="R107" s="617"/>
      <c r="S107" s="310"/>
      <c r="T107" s="617" t="s">
        <v>37</v>
      </c>
      <c r="U107" s="617"/>
      <c r="V107" s="310"/>
      <c r="W107" s="617" t="s">
        <v>37</v>
      </c>
      <c r="X107" s="617"/>
      <c r="Y107" s="310"/>
      <c r="Z107" s="617" t="s">
        <v>46</v>
      </c>
      <c r="AA107" s="617"/>
      <c r="AB107" s="310"/>
      <c r="AC107" s="617" t="s">
        <v>37</v>
      </c>
      <c r="AD107" s="617"/>
      <c r="AE107" s="310"/>
      <c r="AF107" s="617" t="s">
        <v>37</v>
      </c>
      <c r="AG107" s="617"/>
      <c r="AH107" s="310"/>
      <c r="AI107" s="617" t="s">
        <v>39</v>
      </c>
      <c r="AJ107" s="617"/>
      <c r="AK107" s="310"/>
      <c r="AL107" s="617" t="s">
        <v>42</v>
      </c>
      <c r="AM107" s="617"/>
      <c r="AN107" s="310"/>
      <c r="AO107" s="617" t="s">
        <v>42</v>
      </c>
      <c r="AP107" s="617"/>
      <c r="AQ107" s="310"/>
      <c r="AR107" s="310"/>
      <c r="AS107" s="310"/>
      <c r="AT107" s="310"/>
      <c r="AU107" s="310"/>
      <c r="BA107" s="347"/>
      <c r="BB107" s="347"/>
    </row>
    <row r="108" spans="1:55">
      <c r="A108" s="298"/>
      <c r="B108" s="309"/>
      <c r="C108" s="309"/>
      <c r="D108" s="310">
        <v>369.1</v>
      </c>
      <c r="E108" s="309"/>
      <c r="F108" s="309"/>
      <c r="G108" s="310">
        <v>371</v>
      </c>
      <c r="H108" s="309"/>
      <c r="I108" s="309"/>
      <c r="J108" s="310">
        <v>356.5</v>
      </c>
      <c r="K108" s="309"/>
      <c r="L108" s="309"/>
      <c r="M108" s="310">
        <v>363.3</v>
      </c>
      <c r="N108" s="309"/>
      <c r="O108" s="309"/>
      <c r="P108" s="310">
        <v>370.3</v>
      </c>
      <c r="Q108" s="309"/>
      <c r="R108" s="309"/>
      <c r="S108" s="310">
        <v>330</v>
      </c>
      <c r="T108" s="309"/>
      <c r="U108" s="309"/>
      <c r="V108" s="310">
        <v>390.1</v>
      </c>
      <c r="W108" s="309"/>
      <c r="X108" s="309"/>
      <c r="Y108" s="310">
        <v>343.4</v>
      </c>
      <c r="Z108" s="309"/>
      <c r="AA108" s="309"/>
      <c r="AB108" s="310">
        <v>326.5</v>
      </c>
      <c r="AC108" s="309"/>
      <c r="AD108" s="309"/>
      <c r="AE108" s="310">
        <v>302.5</v>
      </c>
      <c r="AF108" s="309"/>
      <c r="AG108" s="309"/>
      <c r="AH108" s="310">
        <v>318.2</v>
      </c>
      <c r="AI108" s="309"/>
      <c r="AJ108" s="309"/>
      <c r="AK108" s="310">
        <v>315.5</v>
      </c>
      <c r="AL108" s="309"/>
      <c r="AM108" s="309"/>
      <c r="AN108" s="310">
        <v>249.3</v>
      </c>
      <c r="AO108" s="309"/>
      <c r="AP108" s="309"/>
      <c r="AQ108" s="310">
        <v>303.10000000000002</v>
      </c>
      <c r="AR108" s="310"/>
      <c r="AS108" s="310"/>
      <c r="AT108" s="310"/>
      <c r="AU108" s="310">
        <f>SUM(B108:AQ108)</f>
        <v>4708.8</v>
      </c>
      <c r="BA108" s="345"/>
      <c r="BB108" s="345"/>
    </row>
    <row r="109" spans="1:55">
      <c r="A109" s="298"/>
      <c r="B109" s="333" t="s">
        <v>536</v>
      </c>
      <c r="C109" s="333"/>
      <c r="D109" s="332"/>
      <c r="E109" s="333" t="s">
        <v>536</v>
      </c>
      <c r="F109" s="335"/>
      <c r="G109" s="332"/>
      <c r="H109" s="333" t="s">
        <v>536</v>
      </c>
      <c r="I109" s="335"/>
      <c r="J109" s="332"/>
      <c r="K109" s="333" t="s">
        <v>536</v>
      </c>
      <c r="L109" s="335"/>
      <c r="M109" s="332"/>
      <c r="N109" s="333" t="s">
        <v>536</v>
      </c>
      <c r="O109" s="333"/>
      <c r="P109" s="332"/>
      <c r="Q109" s="333" t="s">
        <v>536</v>
      </c>
      <c r="R109" s="333"/>
      <c r="S109" s="332"/>
      <c r="T109" s="333" t="s">
        <v>536</v>
      </c>
      <c r="U109" s="333"/>
      <c r="V109" s="332"/>
      <c r="W109" s="333" t="s">
        <v>536</v>
      </c>
      <c r="X109" s="333"/>
      <c r="Y109" s="332"/>
      <c r="Z109" s="333" t="s">
        <v>536</v>
      </c>
      <c r="AA109" s="333"/>
      <c r="AB109" s="332"/>
      <c r="AC109" s="333" t="s">
        <v>536</v>
      </c>
      <c r="AD109" s="333"/>
      <c r="AE109" s="332"/>
      <c r="AF109" s="333" t="s">
        <v>536</v>
      </c>
      <c r="AG109" s="333"/>
      <c r="AH109" s="332"/>
      <c r="AI109" s="333" t="s">
        <v>536</v>
      </c>
      <c r="AJ109" s="333"/>
      <c r="AK109" s="332"/>
      <c r="AL109" s="333" t="s">
        <v>536</v>
      </c>
      <c r="AM109" s="333"/>
      <c r="AN109" s="332"/>
      <c r="AO109" s="333" t="s">
        <v>536</v>
      </c>
      <c r="AP109" s="333"/>
      <c r="AQ109" s="310"/>
      <c r="AR109" s="310"/>
      <c r="AS109" s="310"/>
      <c r="AT109" s="310"/>
      <c r="AU109" s="310"/>
      <c r="BA109" s="347"/>
      <c r="BB109" s="347"/>
    </row>
    <row r="110" spans="1:55">
      <c r="A110" s="298"/>
      <c r="B110" s="312"/>
      <c r="C110" s="312"/>
      <c r="D110" s="310"/>
      <c r="E110" s="312"/>
      <c r="F110" s="312"/>
      <c r="G110" s="310"/>
      <c r="H110" s="312"/>
      <c r="I110" s="312"/>
      <c r="J110" s="310"/>
      <c r="K110" s="312"/>
      <c r="L110" s="312"/>
      <c r="M110" s="310"/>
      <c r="N110" s="312"/>
      <c r="O110" s="312"/>
      <c r="P110" s="310"/>
      <c r="Q110" s="312"/>
      <c r="R110" s="312"/>
      <c r="S110" s="310"/>
      <c r="T110" s="312"/>
      <c r="U110" s="312"/>
      <c r="V110" s="310"/>
      <c r="W110" s="312"/>
      <c r="X110" s="312"/>
      <c r="Y110" s="310"/>
      <c r="Z110" s="312"/>
      <c r="AA110" s="312"/>
      <c r="AB110" s="310"/>
      <c r="AC110" s="312"/>
      <c r="AD110" s="312"/>
      <c r="AE110" s="310"/>
      <c r="AF110" s="312"/>
      <c r="AG110" s="312"/>
      <c r="AH110" s="310"/>
      <c r="AI110" s="312"/>
      <c r="AJ110" s="312"/>
      <c r="AK110" s="310"/>
      <c r="AL110" s="312"/>
      <c r="AM110" s="312"/>
      <c r="AN110" s="310"/>
      <c r="AO110" s="312"/>
      <c r="AP110" s="312"/>
      <c r="AQ110" s="310"/>
      <c r="AR110" s="310"/>
      <c r="AS110" s="310"/>
      <c r="AT110" s="310"/>
      <c r="AU110" s="310"/>
      <c r="BA110" s="347"/>
      <c r="BB110" s="347"/>
    </row>
    <row r="111" spans="1:55">
      <c r="A111" s="298"/>
      <c r="B111" s="312"/>
      <c r="C111" s="312"/>
      <c r="D111" s="310"/>
      <c r="E111" s="312"/>
      <c r="F111" s="312"/>
      <c r="G111" s="310"/>
      <c r="H111" s="312"/>
      <c r="I111" s="312"/>
      <c r="J111" s="310"/>
      <c r="K111" s="312"/>
      <c r="L111" s="312"/>
      <c r="M111" s="310"/>
      <c r="N111" s="312"/>
      <c r="O111" s="312"/>
      <c r="P111" s="310"/>
      <c r="Q111" s="312"/>
      <c r="R111" s="312"/>
      <c r="S111" s="310"/>
      <c r="T111" s="312"/>
      <c r="U111" s="312"/>
      <c r="V111" s="310"/>
      <c r="W111" s="312"/>
      <c r="X111" s="312"/>
      <c r="Y111" s="310"/>
      <c r="Z111" s="312"/>
      <c r="AA111" s="312"/>
      <c r="AB111" s="310"/>
      <c r="AC111" s="312"/>
      <c r="AD111" s="312"/>
      <c r="AE111" s="310"/>
      <c r="AF111" s="312"/>
      <c r="AG111" s="312"/>
      <c r="AH111" s="310"/>
      <c r="AI111" s="312"/>
      <c r="AJ111" s="312"/>
      <c r="AK111" s="310"/>
      <c r="AL111" s="312"/>
      <c r="AM111" s="312"/>
      <c r="AN111" s="310"/>
      <c r="AO111" s="312"/>
      <c r="AP111" s="312"/>
      <c r="AQ111" s="310"/>
      <c r="AR111" s="310"/>
      <c r="AS111" s="310"/>
      <c r="AT111" s="310"/>
      <c r="AU111" s="310"/>
      <c r="BA111" s="347"/>
      <c r="BB111" s="347"/>
    </row>
    <row r="112" spans="1:55">
      <c r="A112" s="298"/>
      <c r="B112" s="700"/>
      <c r="C112" s="700"/>
      <c r="D112" s="310"/>
      <c r="E112" s="700"/>
      <c r="F112" s="700"/>
      <c r="G112" s="310"/>
      <c r="H112" s="700"/>
      <c r="I112" s="700"/>
      <c r="J112" s="310"/>
      <c r="K112" s="700"/>
      <c r="L112" s="700"/>
      <c r="M112" s="310"/>
      <c r="N112" s="700"/>
      <c r="O112" s="700"/>
      <c r="P112" s="310"/>
      <c r="Q112" s="700"/>
      <c r="R112" s="700"/>
      <c r="S112" s="310"/>
      <c r="T112" s="700"/>
      <c r="U112" s="700"/>
      <c r="V112" s="310"/>
      <c r="W112" s="700"/>
      <c r="X112" s="700"/>
      <c r="Y112" s="310"/>
      <c r="Z112" s="700"/>
      <c r="AA112" s="700"/>
      <c r="AB112" s="310"/>
      <c r="AC112" s="700"/>
      <c r="AD112" s="700"/>
      <c r="AE112" s="310"/>
      <c r="AF112" s="700"/>
      <c r="AG112" s="700"/>
      <c r="AH112" s="310"/>
      <c r="AI112" s="700"/>
      <c r="AJ112" s="700"/>
      <c r="AK112" s="310"/>
      <c r="AL112" s="700"/>
      <c r="AM112" s="700"/>
      <c r="AN112" s="310"/>
      <c r="AO112" s="700"/>
      <c r="AP112" s="700"/>
      <c r="AQ112" s="310"/>
      <c r="AR112" s="310"/>
      <c r="AS112" s="310"/>
      <c r="AT112" s="310"/>
      <c r="AU112" s="310"/>
      <c r="BA112" s="347"/>
      <c r="BB112" s="347"/>
    </row>
    <row r="113" spans="1:55">
      <c r="A113" s="298"/>
      <c r="B113" s="302"/>
      <c r="C113" s="304"/>
      <c r="D113" s="311"/>
      <c r="E113" s="302"/>
      <c r="F113" s="304"/>
      <c r="G113" s="311"/>
      <c r="H113" s="302"/>
      <c r="I113" s="304"/>
      <c r="J113" s="311"/>
      <c r="K113" s="302"/>
      <c r="L113" s="304"/>
      <c r="M113" s="311"/>
      <c r="N113" s="330"/>
      <c r="O113" s="314"/>
      <c r="P113" s="311"/>
      <c r="Q113" s="302"/>
      <c r="R113" s="304"/>
      <c r="S113" s="311"/>
      <c r="T113" s="330"/>
      <c r="U113" s="334"/>
      <c r="V113" s="311"/>
      <c r="W113" s="330"/>
      <c r="X113" s="334"/>
      <c r="Y113" s="311"/>
      <c r="Z113" s="330"/>
      <c r="AA113" s="334"/>
      <c r="AB113" s="311"/>
      <c r="AC113" s="330"/>
      <c r="AD113" s="334"/>
      <c r="AE113" s="311"/>
      <c r="AF113" s="330"/>
      <c r="AG113" s="314"/>
      <c r="AH113" s="311"/>
      <c r="AI113" s="330"/>
      <c r="AJ113" s="314"/>
      <c r="AK113" s="311"/>
      <c r="AL113" s="302"/>
      <c r="AM113" s="304"/>
      <c r="AN113" s="311"/>
      <c r="AO113" s="302"/>
      <c r="AP113" s="304"/>
      <c r="AQ113" s="311"/>
      <c r="AR113" s="311"/>
      <c r="AS113" s="311"/>
      <c r="AT113" s="311"/>
      <c r="AU113" s="311"/>
      <c r="BA113" s="347"/>
      <c r="BB113" s="347"/>
    </row>
    <row r="114" spans="1:55">
      <c r="A114" s="298"/>
      <c r="B114" s="330"/>
      <c r="C114" s="304"/>
      <c r="D114" s="311"/>
      <c r="E114" s="330"/>
      <c r="F114" s="330"/>
      <c r="G114" s="311"/>
      <c r="H114" s="330"/>
      <c r="I114" s="330"/>
      <c r="J114" s="311"/>
      <c r="K114" s="330"/>
      <c r="L114" s="330"/>
      <c r="M114" s="310"/>
      <c r="N114" s="302"/>
      <c r="O114" s="330"/>
      <c r="P114" s="310"/>
      <c r="Q114" s="330"/>
      <c r="R114" s="330"/>
      <c r="S114" s="310"/>
      <c r="T114" s="330"/>
      <c r="U114" s="330"/>
      <c r="V114" s="310"/>
      <c r="W114" s="330"/>
      <c r="X114" s="330"/>
      <c r="Y114" s="310"/>
      <c r="Z114" s="330"/>
      <c r="AA114" s="330"/>
      <c r="AB114" s="311"/>
      <c r="AC114" s="330"/>
      <c r="AD114" s="330"/>
      <c r="AE114" s="310"/>
      <c r="AF114" s="330"/>
      <c r="AG114" s="330"/>
      <c r="AH114" s="311"/>
      <c r="AI114" s="330"/>
      <c r="AJ114" s="330"/>
      <c r="AK114" s="311"/>
      <c r="AL114" s="330"/>
      <c r="AM114" s="330"/>
      <c r="AN114" s="311"/>
      <c r="AO114" s="330"/>
      <c r="AP114" s="330"/>
      <c r="AQ114" s="311"/>
      <c r="AR114" s="311"/>
      <c r="AS114" s="311"/>
      <c r="AT114" s="311"/>
      <c r="AU114" s="311"/>
      <c r="AW114" s="292">
        <v>14</v>
      </c>
      <c r="AX114" s="292">
        <v>14</v>
      </c>
      <c r="AY114" s="292">
        <v>14</v>
      </c>
      <c r="AZ114" s="292">
        <v>13</v>
      </c>
      <c r="BA114" s="348">
        <f>SUM(D117:AQ117)/1000</f>
        <v>3.2596999999999996</v>
      </c>
      <c r="BB114" s="348">
        <f>BA114</f>
        <v>3.2596999999999996</v>
      </c>
      <c r="BC114" s="329"/>
    </row>
    <row r="115" spans="1:55">
      <c r="A115" s="298"/>
      <c r="B115" s="665" t="s">
        <v>253</v>
      </c>
      <c r="C115" s="666"/>
      <c r="D115" s="311" t="s">
        <v>0</v>
      </c>
      <c r="E115" s="665" t="s">
        <v>254</v>
      </c>
      <c r="F115" s="666"/>
      <c r="G115" s="311" t="s">
        <v>0</v>
      </c>
      <c r="H115" s="665" t="s">
        <v>255</v>
      </c>
      <c r="I115" s="666"/>
      <c r="J115" s="311" t="s">
        <v>0</v>
      </c>
      <c r="K115" s="697" t="s">
        <v>257</v>
      </c>
      <c r="L115" s="697"/>
      <c r="M115" s="311" t="s">
        <v>0</v>
      </c>
      <c r="N115" s="697" t="s">
        <v>259</v>
      </c>
      <c r="O115" s="697"/>
      <c r="P115" s="311" t="s">
        <v>0</v>
      </c>
      <c r="Q115" s="666" t="s">
        <v>262</v>
      </c>
      <c r="R115" s="666"/>
      <c r="S115" s="311" t="s">
        <v>0</v>
      </c>
      <c r="T115" s="666" t="s">
        <v>264</v>
      </c>
      <c r="U115" s="666"/>
      <c r="V115" s="311" t="s">
        <v>0</v>
      </c>
      <c r="W115" s="666" t="s">
        <v>266</v>
      </c>
      <c r="X115" s="666"/>
      <c r="Y115" s="310" t="s">
        <v>0</v>
      </c>
      <c r="Z115" s="665" t="s">
        <v>267</v>
      </c>
      <c r="AA115" s="666"/>
      <c r="AB115" s="310" t="s">
        <v>0</v>
      </c>
      <c r="AC115" s="665" t="s">
        <v>269</v>
      </c>
      <c r="AD115" s="666"/>
      <c r="AE115" s="311" t="s">
        <v>0</v>
      </c>
      <c r="AF115" s="666" t="s">
        <v>271</v>
      </c>
      <c r="AG115" s="666"/>
      <c r="AH115" s="310" t="s">
        <v>0</v>
      </c>
      <c r="AI115" s="665" t="s">
        <v>273</v>
      </c>
      <c r="AJ115" s="666"/>
      <c r="AK115" s="310" t="s">
        <v>0</v>
      </c>
      <c r="AL115" s="665" t="s">
        <v>274</v>
      </c>
      <c r="AM115" s="666"/>
      <c r="AN115" s="310" t="s">
        <v>0</v>
      </c>
      <c r="AO115" s="665" t="s">
        <v>275</v>
      </c>
      <c r="AP115" s="666"/>
      <c r="AQ115" s="310" t="s">
        <v>0</v>
      </c>
      <c r="AR115" s="310"/>
      <c r="AS115" s="310"/>
      <c r="AT115" s="310"/>
      <c r="AU115" s="310"/>
      <c r="BA115" s="347"/>
      <c r="BB115" s="347"/>
    </row>
    <row r="116" spans="1:55">
      <c r="A116" s="298"/>
      <c r="B116" s="617" t="s">
        <v>42</v>
      </c>
      <c r="C116" s="617"/>
      <c r="D116" s="310"/>
      <c r="E116" s="617" t="s">
        <v>37</v>
      </c>
      <c r="F116" s="617"/>
      <c r="G116" s="310"/>
      <c r="H116" s="617" t="s">
        <v>42</v>
      </c>
      <c r="I116" s="617"/>
      <c r="J116" s="310"/>
      <c r="K116" s="619" t="s">
        <v>54</v>
      </c>
      <c r="L116" s="619"/>
      <c r="M116" s="310"/>
      <c r="N116" s="619" t="s">
        <v>260</v>
      </c>
      <c r="O116" s="619"/>
      <c r="P116" s="310"/>
      <c r="Q116" s="617" t="s">
        <v>260</v>
      </c>
      <c r="R116" s="617"/>
      <c r="S116" s="310"/>
      <c r="T116" s="617" t="s">
        <v>260</v>
      </c>
      <c r="U116" s="617"/>
      <c r="V116" s="310"/>
      <c r="W116" s="617" t="s">
        <v>34</v>
      </c>
      <c r="X116" s="617"/>
      <c r="Y116" s="310"/>
      <c r="Z116" s="617" t="s">
        <v>629</v>
      </c>
      <c r="AA116" s="617"/>
      <c r="AB116" s="310"/>
      <c r="AC116" s="617" t="s">
        <v>629</v>
      </c>
      <c r="AD116" s="617"/>
      <c r="AE116" s="310"/>
      <c r="AF116" s="617" t="s">
        <v>51</v>
      </c>
      <c r="AG116" s="617"/>
      <c r="AH116" s="310"/>
      <c r="AI116" s="617" t="s">
        <v>65</v>
      </c>
      <c r="AJ116" s="617"/>
      <c r="AK116" s="310"/>
      <c r="AL116" s="617" t="s">
        <v>42</v>
      </c>
      <c r="AM116" s="617"/>
      <c r="AN116" s="310"/>
      <c r="AO116" s="617" t="s">
        <v>56</v>
      </c>
      <c r="AP116" s="617"/>
      <c r="AQ116" s="310"/>
      <c r="AR116" s="310"/>
      <c r="AS116" s="310"/>
      <c r="AT116" s="310"/>
      <c r="AU116" s="310"/>
      <c r="BA116" s="347"/>
      <c r="BB116" s="347"/>
    </row>
    <row r="117" spans="1:55">
      <c r="A117" s="298"/>
      <c r="B117" s="309"/>
      <c r="C117" s="309"/>
      <c r="D117" s="310">
        <v>354.9</v>
      </c>
      <c r="E117" s="309"/>
      <c r="F117" s="309"/>
      <c r="G117" s="310">
        <v>320.2</v>
      </c>
      <c r="H117" s="309"/>
      <c r="I117" s="309"/>
      <c r="J117" s="310">
        <v>383.9</v>
      </c>
      <c r="K117" s="321"/>
      <c r="L117" s="321"/>
      <c r="M117" s="310">
        <v>190.5</v>
      </c>
      <c r="N117" s="321"/>
      <c r="O117" s="321"/>
      <c r="P117" s="310">
        <v>178.3</v>
      </c>
      <c r="Q117" s="309"/>
      <c r="R117" s="309"/>
      <c r="S117" s="310">
        <v>148.4</v>
      </c>
      <c r="T117" s="309"/>
      <c r="U117" s="309"/>
      <c r="V117" s="310">
        <v>61.2</v>
      </c>
      <c r="W117" s="309"/>
      <c r="X117" s="309"/>
      <c r="Y117" s="310">
        <v>42.3</v>
      </c>
      <c r="Z117" s="309"/>
      <c r="AA117" s="309"/>
      <c r="AB117" s="310">
        <v>54.6</v>
      </c>
      <c r="AC117" s="309"/>
      <c r="AD117" s="309"/>
      <c r="AE117" s="310">
        <v>41.9</v>
      </c>
      <c r="AF117" s="309"/>
      <c r="AG117" s="309"/>
      <c r="AH117" s="310">
        <v>344.5</v>
      </c>
      <c r="AI117" s="309"/>
      <c r="AJ117" s="309"/>
      <c r="AK117" s="310">
        <v>393</v>
      </c>
      <c r="AL117" s="309"/>
      <c r="AM117" s="309"/>
      <c r="AN117" s="310">
        <v>359</v>
      </c>
      <c r="AO117" s="309"/>
      <c r="AP117" s="309"/>
      <c r="AQ117" s="310">
        <v>387</v>
      </c>
      <c r="AR117" s="310"/>
      <c r="AS117" s="310"/>
      <c r="AT117" s="310"/>
      <c r="AU117" s="310">
        <f>SUM(B117:AQ117)</f>
        <v>3259.7</v>
      </c>
      <c r="BA117" s="345"/>
      <c r="BB117" s="345"/>
    </row>
    <row r="118" spans="1:55">
      <c r="A118" s="298"/>
      <c r="B118" s="333" t="s">
        <v>536</v>
      </c>
      <c r="C118" s="333"/>
      <c r="D118" s="332"/>
      <c r="E118" s="369" t="s">
        <v>569</v>
      </c>
      <c r="F118" s="369"/>
      <c r="G118" s="368"/>
      <c r="H118" s="369" t="s">
        <v>569</v>
      </c>
      <c r="I118" s="369"/>
      <c r="J118" s="368"/>
      <c r="K118" s="369" t="s">
        <v>569</v>
      </c>
      <c r="L118" s="370"/>
      <c r="M118" s="368"/>
      <c r="N118" s="369" t="s">
        <v>569</v>
      </c>
      <c r="O118" s="370"/>
      <c r="P118" s="368"/>
      <c r="Q118" s="369" t="s">
        <v>569</v>
      </c>
      <c r="R118" s="369"/>
      <c r="S118" s="368"/>
      <c r="T118" s="369" t="s">
        <v>569</v>
      </c>
      <c r="U118" s="369"/>
      <c r="V118" s="368"/>
      <c r="W118" s="369" t="s">
        <v>569</v>
      </c>
      <c r="X118" s="369"/>
      <c r="Y118" s="368"/>
      <c r="Z118" s="369" t="s">
        <v>569</v>
      </c>
      <c r="AA118" s="369"/>
      <c r="AB118" s="368"/>
      <c r="AC118" s="369" t="s">
        <v>569</v>
      </c>
      <c r="AD118" s="369"/>
      <c r="AE118" s="368"/>
      <c r="AF118" s="369" t="s">
        <v>569</v>
      </c>
      <c r="AG118" s="369"/>
      <c r="AH118" s="368"/>
      <c r="AI118" s="369" t="s">
        <v>569</v>
      </c>
      <c r="AJ118" s="369"/>
      <c r="AK118" s="368"/>
      <c r="AL118" s="369" t="s">
        <v>569</v>
      </c>
      <c r="AM118" s="369"/>
      <c r="AN118" s="368"/>
      <c r="AO118" s="369" t="s">
        <v>569</v>
      </c>
      <c r="AP118" s="369"/>
      <c r="AQ118" s="310"/>
      <c r="AR118" s="310"/>
      <c r="AS118" s="310"/>
      <c r="AT118" s="310"/>
      <c r="AU118" s="310"/>
      <c r="BA118" s="347"/>
      <c r="BB118" s="347"/>
    </row>
    <row r="119" spans="1:55">
      <c r="A119" s="298"/>
      <c r="B119" s="312"/>
      <c r="C119" s="312"/>
      <c r="D119" s="310"/>
      <c r="E119" s="312"/>
      <c r="F119" s="312"/>
      <c r="G119" s="310"/>
      <c r="H119" s="312"/>
      <c r="I119" s="312"/>
      <c r="J119" s="310"/>
      <c r="K119" s="312"/>
      <c r="L119" s="312"/>
      <c r="M119" s="310"/>
      <c r="N119" s="312"/>
      <c r="O119" s="312"/>
      <c r="P119" s="310"/>
      <c r="Q119" s="312"/>
      <c r="R119" s="312"/>
      <c r="S119" s="310"/>
      <c r="T119" s="312"/>
      <c r="U119" s="312"/>
      <c r="V119" s="310"/>
      <c r="W119" s="312"/>
      <c r="X119" s="312"/>
      <c r="Y119" s="310"/>
      <c r="Z119" s="312"/>
      <c r="AA119" s="312"/>
      <c r="AB119" s="310"/>
      <c r="AC119" s="312"/>
      <c r="AD119" s="312"/>
      <c r="AE119" s="310"/>
      <c r="AF119" s="312"/>
      <c r="AG119" s="312"/>
      <c r="AI119" s="312"/>
      <c r="AL119" s="487"/>
      <c r="AM119" s="487"/>
      <c r="AN119" s="486"/>
      <c r="AO119" s="487"/>
      <c r="AP119" s="487"/>
      <c r="BA119" s="347"/>
      <c r="BB119" s="347"/>
    </row>
    <row r="120" spans="1:55">
      <c r="A120" s="298"/>
      <c r="B120" s="312"/>
      <c r="C120" s="312"/>
      <c r="D120" s="310"/>
      <c r="E120" s="312"/>
      <c r="F120" s="312"/>
      <c r="G120" s="310"/>
      <c r="H120" s="312"/>
      <c r="I120" s="312"/>
      <c r="J120" s="310"/>
      <c r="K120" s="312"/>
      <c r="L120" s="312"/>
      <c r="M120" s="310"/>
      <c r="N120" s="312"/>
      <c r="O120" s="312"/>
      <c r="P120" s="310"/>
      <c r="Q120" s="312"/>
      <c r="R120" s="312"/>
      <c r="S120" s="310"/>
      <c r="T120" s="312"/>
      <c r="U120" s="312"/>
      <c r="V120" s="310"/>
      <c r="W120" s="312"/>
      <c r="X120" s="312"/>
      <c r="Y120" s="310"/>
      <c r="Z120" s="312"/>
      <c r="AA120" s="312"/>
      <c r="AC120" s="312"/>
      <c r="AD120" s="312"/>
      <c r="AE120" s="310"/>
      <c r="AF120" s="312"/>
      <c r="AG120" s="312"/>
      <c r="BA120" s="347"/>
      <c r="BB120" s="347"/>
    </row>
    <row r="121" spans="1:55">
      <c r="A121" s="298"/>
      <c r="B121" s="617"/>
      <c r="C121" s="617"/>
      <c r="D121" s="310"/>
      <c r="E121" s="700"/>
      <c r="F121" s="700"/>
      <c r="G121" s="310"/>
      <c r="H121" s="700"/>
      <c r="I121" s="700"/>
      <c r="J121" s="310"/>
      <c r="K121" s="700"/>
      <c r="L121" s="700"/>
      <c r="M121" s="310"/>
      <c r="N121" s="700"/>
      <c r="O121" s="700"/>
      <c r="P121" s="310"/>
      <c r="Q121" s="700"/>
      <c r="R121" s="700"/>
      <c r="S121" s="310"/>
      <c r="T121" s="700"/>
      <c r="U121" s="700"/>
      <c r="V121" s="310"/>
      <c r="W121" s="700"/>
      <c r="X121" s="700"/>
      <c r="Y121" s="310"/>
      <c r="Z121" s="617"/>
      <c r="AA121" s="617"/>
      <c r="AB121" s="310"/>
      <c r="AC121" s="617"/>
      <c r="AD121" s="617"/>
      <c r="AE121" s="683"/>
      <c r="AF121" s="683"/>
      <c r="AG121" s="683"/>
      <c r="AH121" s="683"/>
      <c r="AI121" s="621"/>
      <c r="AJ121" s="621"/>
      <c r="AL121" s="621"/>
      <c r="AM121" s="621"/>
      <c r="AO121" s="621"/>
      <c r="AP121" s="621"/>
      <c r="BA121" s="347"/>
      <c r="BB121" s="347"/>
    </row>
    <row r="122" spans="1:55">
      <c r="A122" s="298"/>
      <c r="B122" s="302"/>
      <c r="C122" s="304"/>
      <c r="D122" s="311"/>
      <c r="E122" s="302"/>
      <c r="F122" s="304"/>
      <c r="G122" s="311"/>
      <c r="H122" s="302"/>
      <c r="I122" s="304"/>
      <c r="J122" s="311"/>
      <c r="K122" s="302"/>
      <c r="L122" s="304"/>
      <c r="M122" s="311"/>
      <c r="N122" s="302"/>
      <c r="O122" s="304"/>
      <c r="P122" s="311"/>
      <c r="Q122" s="302"/>
      <c r="R122" s="304"/>
      <c r="S122" s="311"/>
      <c r="T122" s="302"/>
      <c r="U122" s="304"/>
      <c r="V122" s="311"/>
      <c r="W122" s="302"/>
      <c r="X122" s="304"/>
      <c r="Y122" s="311"/>
      <c r="Z122" s="302"/>
      <c r="AA122" s="304"/>
      <c r="AB122" s="312"/>
      <c r="AC122" s="302"/>
      <c r="AD122" s="304"/>
      <c r="AE122" s="311"/>
      <c r="AF122" s="302"/>
      <c r="AG122" s="304"/>
      <c r="AH122" s="318"/>
      <c r="AI122" s="302"/>
      <c r="AJ122" s="304"/>
      <c r="AK122" s="318"/>
      <c r="AL122" s="302"/>
      <c r="AM122" s="304"/>
      <c r="AN122" s="318"/>
      <c r="AO122" s="302"/>
      <c r="AP122" s="304"/>
      <c r="AQ122" s="318"/>
      <c r="AR122" s="318"/>
      <c r="AS122" s="318"/>
      <c r="AT122" s="318"/>
      <c r="AU122" s="517"/>
      <c r="BA122" s="347"/>
      <c r="BB122" s="347"/>
    </row>
    <row r="123" spans="1:55">
      <c r="A123" s="298"/>
      <c r="B123" s="330"/>
      <c r="C123" s="330"/>
      <c r="D123" s="311"/>
      <c r="E123" s="330"/>
      <c r="F123" s="330"/>
      <c r="G123" s="311"/>
      <c r="H123" s="330"/>
      <c r="I123" s="330"/>
      <c r="J123" s="311"/>
      <c r="K123" s="330"/>
      <c r="L123" s="330"/>
      <c r="M123" s="311"/>
      <c r="N123" s="330"/>
      <c r="O123" s="330"/>
      <c r="P123" s="311"/>
      <c r="Q123" s="330"/>
      <c r="R123" s="330"/>
      <c r="S123" s="311"/>
      <c r="T123" s="330"/>
      <c r="U123" s="330"/>
      <c r="V123" s="311"/>
      <c r="W123" s="330"/>
      <c r="X123" s="330"/>
      <c r="Y123" s="310"/>
      <c r="Z123" s="330"/>
      <c r="AA123" s="330"/>
      <c r="AB123" s="328"/>
      <c r="AC123" s="330"/>
      <c r="AD123" s="330"/>
      <c r="AE123" s="310"/>
      <c r="AF123" s="330"/>
      <c r="AG123" s="330"/>
      <c r="AH123" s="318"/>
      <c r="AI123" s="330"/>
      <c r="AJ123" s="330"/>
      <c r="AL123" s="330"/>
      <c r="AM123" s="330"/>
      <c r="AO123" s="330"/>
      <c r="AP123" s="330"/>
      <c r="AQ123" s="318"/>
      <c r="AR123" s="318"/>
      <c r="AS123" s="318"/>
      <c r="AT123" s="318"/>
      <c r="AU123" s="517"/>
      <c r="AW123" s="292">
        <v>12</v>
      </c>
      <c r="AX123" s="292">
        <v>12</v>
      </c>
      <c r="AY123" s="292">
        <v>12</v>
      </c>
      <c r="AZ123" s="292">
        <v>10</v>
      </c>
      <c r="BA123" s="348">
        <f>SUM(D126:AB126)/1000</f>
        <v>3.0545</v>
      </c>
      <c r="BB123" s="348">
        <f>BA123</f>
        <v>3.0545</v>
      </c>
      <c r="BC123" s="329"/>
    </row>
    <row r="124" spans="1:55">
      <c r="A124" s="298"/>
      <c r="B124" s="673" t="s">
        <v>276</v>
      </c>
      <c r="C124" s="617"/>
      <c r="D124" s="311"/>
      <c r="E124" s="665" t="s">
        <v>277</v>
      </c>
      <c r="F124" s="666"/>
      <c r="G124" s="311"/>
      <c r="H124" s="666" t="s">
        <v>279</v>
      </c>
      <c r="I124" s="666"/>
      <c r="J124" s="311"/>
      <c r="K124" s="665" t="s">
        <v>280</v>
      </c>
      <c r="L124" s="666"/>
      <c r="M124" s="311"/>
      <c r="N124" s="665" t="s">
        <v>281</v>
      </c>
      <c r="O124" s="666"/>
      <c r="P124" s="311"/>
      <c r="Q124" s="665" t="s">
        <v>282</v>
      </c>
      <c r="R124" s="666"/>
      <c r="S124" s="311"/>
      <c r="T124" s="671" t="s">
        <v>283</v>
      </c>
      <c r="U124" s="666"/>
      <c r="V124" s="311"/>
      <c r="W124" s="671" t="s">
        <v>284</v>
      </c>
      <c r="X124" s="666"/>
      <c r="Y124" s="310"/>
      <c r="Z124" s="673" t="s">
        <v>285</v>
      </c>
      <c r="AA124" s="617"/>
      <c r="AB124" s="328"/>
      <c r="AC124" s="673" t="s">
        <v>669</v>
      </c>
      <c r="AD124" s="673"/>
      <c r="AE124" s="310"/>
      <c r="AF124" s="673" t="s">
        <v>288</v>
      </c>
      <c r="AG124" s="617"/>
      <c r="AH124" s="318"/>
      <c r="AI124" s="728" t="s">
        <v>290</v>
      </c>
      <c r="AJ124" s="621"/>
      <c r="AL124" s="621" t="s">
        <v>291</v>
      </c>
      <c r="AM124" s="621"/>
      <c r="AO124" s="621" t="s">
        <v>292</v>
      </c>
      <c r="AP124" s="621"/>
      <c r="AQ124" s="318"/>
      <c r="AR124" s="318"/>
      <c r="AS124" s="318"/>
      <c r="AT124" s="318"/>
      <c r="AU124" s="517"/>
      <c r="BA124" s="347"/>
      <c r="BB124" s="347"/>
    </row>
    <row r="125" spans="1:55">
      <c r="A125" s="298"/>
      <c r="B125" s="617" t="s">
        <v>56</v>
      </c>
      <c r="C125" s="617"/>
      <c r="D125" s="310"/>
      <c r="E125" s="617" t="s">
        <v>37</v>
      </c>
      <c r="F125" s="617"/>
      <c r="G125" s="310"/>
      <c r="H125" s="617" t="s">
        <v>76</v>
      </c>
      <c r="I125" s="617"/>
      <c r="J125" s="310"/>
      <c r="K125" s="617" t="s">
        <v>42</v>
      </c>
      <c r="L125" s="617"/>
      <c r="M125" s="310"/>
      <c r="N125" s="617" t="s">
        <v>42</v>
      </c>
      <c r="O125" s="617"/>
      <c r="P125" s="310"/>
      <c r="Q125" s="617" t="s">
        <v>42</v>
      </c>
      <c r="R125" s="617"/>
      <c r="S125" s="310"/>
      <c r="T125" s="617" t="s">
        <v>42</v>
      </c>
      <c r="U125" s="617"/>
      <c r="V125" s="310"/>
      <c r="W125" s="619" t="s">
        <v>42</v>
      </c>
      <c r="X125" s="617"/>
      <c r="Y125" s="310"/>
      <c r="Z125" s="617" t="s">
        <v>42</v>
      </c>
      <c r="AA125" s="617"/>
      <c r="AB125" s="310"/>
      <c r="AC125" s="617" t="s">
        <v>76</v>
      </c>
      <c r="AD125" s="617"/>
      <c r="AE125" s="310"/>
      <c r="AF125" s="617" t="s">
        <v>56</v>
      </c>
      <c r="AG125" s="617"/>
      <c r="AI125" s="728" t="s">
        <v>39</v>
      </c>
      <c r="AJ125" s="621"/>
      <c r="AL125" s="621" t="s">
        <v>42</v>
      </c>
      <c r="AM125" s="621"/>
      <c r="AO125" s="621" t="s">
        <v>42</v>
      </c>
      <c r="AP125" s="621"/>
      <c r="BA125" s="347"/>
      <c r="BB125" s="347"/>
    </row>
    <row r="126" spans="1:55">
      <c r="B126" s="309"/>
      <c r="C126" s="309"/>
      <c r="D126" s="310">
        <v>346</v>
      </c>
      <c r="E126" s="309"/>
      <c r="F126" s="309"/>
      <c r="G126" s="310">
        <v>375.6</v>
      </c>
      <c r="H126" s="309"/>
      <c r="I126" s="309"/>
      <c r="J126" s="310">
        <v>341.7</v>
      </c>
      <c r="K126" s="309"/>
      <c r="L126" s="309"/>
      <c r="M126" s="310">
        <v>321.5</v>
      </c>
      <c r="N126" s="309"/>
      <c r="O126" s="309"/>
      <c r="P126" s="310">
        <v>312.39999999999998</v>
      </c>
      <c r="Q126" s="309"/>
      <c r="R126" s="309"/>
      <c r="S126" s="310">
        <v>358.4</v>
      </c>
      <c r="T126" s="309"/>
      <c r="U126" s="309"/>
      <c r="V126" s="310">
        <v>319.2</v>
      </c>
      <c r="W126" s="321"/>
      <c r="X126" s="309"/>
      <c r="Y126" s="310">
        <v>342.4</v>
      </c>
      <c r="Z126" s="309"/>
      <c r="AA126" s="309"/>
      <c r="AB126" s="310">
        <v>337.3</v>
      </c>
      <c r="AC126" s="309"/>
      <c r="AD126" s="309"/>
      <c r="AE126" s="310">
        <v>371.8</v>
      </c>
      <c r="AF126" s="309"/>
      <c r="AG126" s="309"/>
      <c r="AH126" s="286">
        <v>371.5</v>
      </c>
      <c r="AI126" s="320"/>
      <c r="AJ126" s="295"/>
      <c r="AK126" s="286">
        <v>280</v>
      </c>
      <c r="AL126" s="485"/>
      <c r="AM126" s="485"/>
      <c r="AN126" s="486"/>
      <c r="AO126" s="485"/>
      <c r="AP126" s="485"/>
      <c r="AU126" s="515">
        <f>SUM(B126:AK126)</f>
        <v>4077.8</v>
      </c>
      <c r="BA126" s="345"/>
      <c r="BB126" s="345"/>
    </row>
    <row r="127" spans="1:55">
      <c r="B127" s="369" t="s">
        <v>569</v>
      </c>
      <c r="C127" s="369"/>
      <c r="D127" s="368"/>
      <c r="E127" s="369" t="s">
        <v>569</v>
      </c>
      <c r="F127" s="369"/>
      <c r="G127" s="368"/>
      <c r="H127" s="369" t="s">
        <v>569</v>
      </c>
      <c r="I127" s="369"/>
      <c r="J127" s="368"/>
      <c r="K127" s="369" t="s">
        <v>569</v>
      </c>
      <c r="L127" s="369"/>
      <c r="M127" s="368"/>
      <c r="N127" s="369" t="s">
        <v>569</v>
      </c>
      <c r="O127" s="369"/>
      <c r="P127" s="368"/>
      <c r="Q127" s="369" t="s">
        <v>569</v>
      </c>
      <c r="R127" s="369"/>
      <c r="S127" s="368"/>
      <c r="T127" s="369" t="s">
        <v>569</v>
      </c>
      <c r="U127" s="369"/>
      <c r="V127" s="368"/>
      <c r="W127" s="369" t="s">
        <v>569</v>
      </c>
      <c r="X127" s="369"/>
      <c r="Y127" s="368"/>
      <c r="Z127" s="369" t="s">
        <v>569</v>
      </c>
      <c r="AA127" s="369"/>
      <c r="AB127" s="368"/>
      <c r="AC127" s="369" t="s">
        <v>569</v>
      </c>
      <c r="AD127" s="369"/>
      <c r="AE127" s="368"/>
      <c r="AF127" s="369" t="s">
        <v>569</v>
      </c>
      <c r="AG127" s="369"/>
      <c r="AH127" s="371"/>
      <c r="AI127" s="369" t="s">
        <v>569</v>
      </c>
      <c r="AJ127" s="372"/>
      <c r="AK127" s="371"/>
      <c r="AL127" s="369" t="s">
        <v>569</v>
      </c>
      <c r="AM127" s="372"/>
      <c r="AN127" s="371"/>
      <c r="AO127" s="369" t="s">
        <v>569</v>
      </c>
      <c r="AP127" s="372"/>
      <c r="BA127" s="347"/>
      <c r="BB127" s="347"/>
    </row>
    <row r="128" spans="1:55">
      <c r="B128" s="312"/>
      <c r="C128" s="312"/>
      <c r="D128" s="310"/>
      <c r="E128" s="312"/>
      <c r="F128" s="312"/>
      <c r="G128" s="310"/>
      <c r="H128" s="312"/>
      <c r="I128" s="312"/>
      <c r="J128" s="310"/>
      <c r="K128" s="312"/>
      <c r="L128" s="312"/>
      <c r="M128" s="310"/>
      <c r="N128" s="312"/>
      <c r="O128" s="312"/>
      <c r="P128" s="310"/>
      <c r="Q128" s="312"/>
      <c r="R128" s="312"/>
      <c r="S128" s="310"/>
      <c r="T128" s="312"/>
      <c r="U128" s="312"/>
      <c r="V128" s="310"/>
      <c r="W128" s="312"/>
      <c r="X128" s="312"/>
      <c r="Y128" s="310"/>
      <c r="Z128" s="312"/>
      <c r="AA128" s="312"/>
      <c r="AB128" s="310"/>
      <c r="AC128" s="312"/>
      <c r="AD128" s="312"/>
      <c r="AE128" s="310"/>
      <c r="AF128" s="312"/>
      <c r="AG128" s="312"/>
      <c r="AH128" s="310"/>
      <c r="BA128" s="347"/>
      <c r="BB128" s="347"/>
    </row>
    <row r="129" spans="2:55">
      <c r="B129" s="312"/>
      <c r="C129" s="312"/>
      <c r="D129" s="310"/>
      <c r="E129" s="312"/>
      <c r="F129" s="312"/>
      <c r="G129" s="310"/>
      <c r="H129" s="312"/>
      <c r="I129" s="312"/>
      <c r="J129" s="310"/>
      <c r="K129" s="312"/>
      <c r="L129" s="312"/>
      <c r="M129" s="310"/>
      <c r="N129" s="312"/>
      <c r="O129" s="312"/>
      <c r="P129" s="310"/>
      <c r="Q129" s="312"/>
      <c r="R129" s="312"/>
      <c r="S129" s="310"/>
      <c r="T129" s="312"/>
      <c r="U129" s="312"/>
      <c r="V129" s="310"/>
      <c r="W129" s="312"/>
      <c r="X129" s="312"/>
      <c r="Y129" s="310"/>
      <c r="Z129" s="312"/>
      <c r="AA129" s="312"/>
      <c r="AC129" s="312"/>
      <c r="AD129" s="312"/>
      <c r="AE129" s="310"/>
      <c r="AF129" s="312"/>
      <c r="AG129" s="312"/>
      <c r="BA129" s="347"/>
      <c r="BB129" s="347"/>
    </row>
    <row r="130" spans="2:55">
      <c r="B130" s="617"/>
      <c r="C130" s="617"/>
      <c r="D130" s="310"/>
      <c r="E130" s="617"/>
      <c r="F130" s="617"/>
      <c r="G130" s="310"/>
      <c r="H130" s="617"/>
      <c r="I130" s="617"/>
      <c r="J130" s="310"/>
      <c r="K130" s="617"/>
      <c r="L130" s="617"/>
      <c r="M130" s="310"/>
      <c r="N130" s="617"/>
      <c r="O130" s="617"/>
      <c r="P130" s="310"/>
      <c r="Q130" s="617"/>
      <c r="R130" s="617"/>
      <c r="S130" s="310"/>
      <c r="T130" s="617"/>
      <c r="U130" s="617"/>
      <c r="V130" s="310"/>
      <c r="W130" s="617"/>
      <c r="X130" s="617"/>
      <c r="Y130" s="310"/>
      <c r="Z130" s="617"/>
      <c r="AA130" s="617"/>
      <c r="AB130" s="310"/>
      <c r="AC130" s="617"/>
      <c r="AD130" s="617"/>
      <c r="AE130" s="683"/>
      <c r="AF130" s="683"/>
      <c r="AG130" s="683"/>
      <c r="AH130" s="683"/>
      <c r="AI130" s="621"/>
      <c r="AJ130" s="621"/>
      <c r="AL130" s="621"/>
      <c r="AM130" s="621"/>
      <c r="AO130" s="621"/>
      <c r="AP130" s="621"/>
      <c r="BA130" s="347"/>
      <c r="BB130" s="347"/>
    </row>
    <row r="131" spans="2:55">
      <c r="B131" s="315"/>
      <c r="C131" s="315"/>
      <c r="D131" s="311"/>
      <c r="E131" s="375"/>
      <c r="F131" s="315"/>
      <c r="G131" s="312"/>
      <c r="H131" s="375"/>
      <c r="I131" s="315"/>
      <c r="J131" s="311"/>
      <c r="K131" s="375"/>
      <c r="L131" s="315"/>
      <c r="M131" s="311"/>
      <c r="N131" s="312"/>
      <c r="O131" s="312"/>
      <c r="P131" s="311"/>
      <c r="Q131" s="313"/>
      <c r="R131" s="312"/>
      <c r="S131" s="311"/>
      <c r="T131" s="312"/>
      <c r="U131" s="312"/>
      <c r="V131" s="311"/>
      <c r="W131" s="312"/>
      <c r="X131" s="312"/>
      <c r="Y131" s="311"/>
      <c r="Z131" s="312"/>
      <c r="AA131" s="312"/>
      <c r="AB131" s="312"/>
      <c r="AC131" s="312"/>
      <c r="AD131" s="312"/>
      <c r="AE131" s="311"/>
      <c r="AF131" s="312"/>
      <c r="AG131" s="312"/>
      <c r="AH131" s="318"/>
      <c r="AI131" s="312"/>
      <c r="AJ131" s="312"/>
      <c r="AK131" s="318"/>
      <c r="AL131" s="312"/>
      <c r="AM131" s="312"/>
      <c r="AN131" s="318"/>
      <c r="AO131" s="312"/>
      <c r="AP131" s="312"/>
      <c r="AQ131" s="318"/>
      <c r="AR131" s="318"/>
      <c r="AS131" s="318"/>
      <c r="AT131" s="318"/>
      <c r="AU131" s="517"/>
      <c r="BA131" s="347"/>
      <c r="BB131" s="347"/>
    </row>
    <row r="132" spans="2:55">
      <c r="B132" s="315"/>
      <c r="C132" s="315"/>
      <c r="D132" s="311"/>
      <c r="E132" s="375"/>
      <c r="F132" s="315"/>
      <c r="G132" s="312"/>
      <c r="H132" s="375"/>
      <c r="I132" s="315"/>
      <c r="J132" s="311"/>
      <c r="K132" s="375"/>
      <c r="L132" s="315"/>
      <c r="M132" s="311"/>
      <c r="N132" s="324"/>
      <c r="O132" s="323"/>
      <c r="P132" s="311"/>
      <c r="Q132" s="324"/>
      <c r="R132" s="323"/>
      <c r="S132" s="311"/>
      <c r="T132" s="324"/>
      <c r="U132" s="323"/>
      <c r="V132" s="311"/>
      <c r="W132" s="313"/>
      <c r="X132" s="312"/>
      <c r="Y132" s="310"/>
      <c r="Z132" s="313"/>
      <c r="AA132" s="312"/>
      <c r="AB132" s="312"/>
      <c r="AC132" s="313"/>
      <c r="AD132" s="312"/>
      <c r="AE132" s="310"/>
      <c r="AF132" s="313"/>
      <c r="AG132" s="312"/>
      <c r="AI132" s="313"/>
      <c r="AJ132" s="312"/>
      <c r="AL132" s="313"/>
      <c r="AM132" s="312"/>
      <c r="AO132" s="313"/>
      <c r="AP132" s="312"/>
      <c r="AW132" s="292"/>
      <c r="AX132" s="292"/>
      <c r="AY132" s="292"/>
      <c r="AZ132" s="292"/>
      <c r="BA132" s="349"/>
      <c r="BB132" s="349"/>
    </row>
    <row r="133" spans="2:55">
      <c r="B133" s="666" t="s">
        <v>294</v>
      </c>
      <c r="C133" s="666"/>
      <c r="D133" s="311"/>
      <c r="E133" s="725" t="s">
        <v>700</v>
      </c>
      <c r="F133" s="725"/>
      <c r="G133" s="376"/>
      <c r="H133" s="725" t="s">
        <v>295</v>
      </c>
      <c r="I133" s="725"/>
      <c r="J133" s="311"/>
      <c r="K133" s="726" t="s">
        <v>701</v>
      </c>
      <c r="L133" s="726"/>
      <c r="M133" s="311"/>
      <c r="N133" s="324"/>
      <c r="O133" s="323"/>
      <c r="P133" s="311"/>
      <c r="Q133" s="324"/>
      <c r="R133" s="323"/>
      <c r="S133" s="311"/>
      <c r="T133" s="324"/>
      <c r="U133" s="323"/>
      <c r="V133" s="311"/>
      <c r="W133" s="313"/>
      <c r="X133" s="312"/>
      <c r="Y133" s="310"/>
      <c r="Z133" s="313"/>
      <c r="AA133" s="312"/>
      <c r="AB133" s="312"/>
      <c r="AC133" s="313"/>
      <c r="AD133" s="312"/>
      <c r="AE133" s="310"/>
      <c r="AF133" s="313"/>
      <c r="AG133" s="312"/>
      <c r="AI133" s="313"/>
      <c r="AJ133" s="312"/>
      <c r="AL133" s="313"/>
      <c r="AM133" s="312"/>
      <c r="AO133" s="313"/>
      <c r="AP133" s="312"/>
      <c r="AW133" s="286"/>
      <c r="AX133" s="286"/>
      <c r="AY133" s="286"/>
      <c r="AZ133" s="286"/>
      <c r="BA133" s="286"/>
    </row>
    <row r="134" spans="2:55">
      <c r="B134" s="617" t="s">
        <v>81</v>
      </c>
      <c r="C134" s="617"/>
      <c r="D134" s="311"/>
      <c r="E134" s="727" t="s">
        <v>260</v>
      </c>
      <c r="F134" s="727"/>
      <c r="G134" s="312"/>
      <c r="H134" s="727" t="s">
        <v>260</v>
      </c>
      <c r="I134" s="727"/>
      <c r="J134" s="311"/>
      <c r="K134" s="727" t="s">
        <v>260</v>
      </c>
      <c r="L134" s="727"/>
      <c r="M134" s="311"/>
      <c r="N134" s="324"/>
      <c r="O134" s="323"/>
      <c r="P134" s="311"/>
      <c r="Q134" s="324"/>
      <c r="R134" s="323"/>
      <c r="S134" s="311"/>
      <c r="T134" s="324"/>
      <c r="U134" s="323"/>
      <c r="V134" s="311"/>
      <c r="W134" s="313"/>
      <c r="X134" s="312"/>
      <c r="Y134" s="310"/>
      <c r="Z134" s="313"/>
      <c r="AA134" s="312"/>
      <c r="AB134" s="312"/>
      <c r="AC134" s="313"/>
      <c r="AD134" s="312"/>
      <c r="AE134" s="310"/>
      <c r="AF134" s="313"/>
      <c r="AG134" s="312"/>
      <c r="AI134" s="313"/>
      <c r="AJ134" s="312"/>
      <c r="AL134" s="313"/>
      <c r="AM134" s="312"/>
      <c r="AO134" s="313"/>
      <c r="AP134" s="312"/>
      <c r="AW134" s="286"/>
      <c r="AX134" s="286"/>
      <c r="AY134" s="286"/>
      <c r="AZ134" s="286"/>
      <c r="BA134" s="286"/>
    </row>
    <row r="135" spans="2:55">
      <c r="B135" s="309"/>
      <c r="C135" s="309"/>
      <c r="D135" s="310">
        <v>373.16</v>
      </c>
      <c r="E135" s="309"/>
      <c r="F135" s="309">
        <v>159.04</v>
      </c>
      <c r="G135" s="310"/>
      <c r="H135" s="309">
        <v>236.01</v>
      </c>
      <c r="I135" s="309"/>
      <c r="J135" s="310">
        <v>49.95</v>
      </c>
      <c r="K135" s="309"/>
      <c r="L135" s="309"/>
      <c r="M135" s="310"/>
      <c r="N135" s="324"/>
      <c r="O135" s="323"/>
      <c r="P135" s="311"/>
      <c r="Q135" s="324"/>
      <c r="R135" s="323"/>
      <c r="S135" s="311"/>
      <c r="T135" s="324"/>
      <c r="U135" s="323"/>
      <c r="V135" s="311"/>
      <c r="W135" s="313"/>
      <c r="X135" s="312"/>
      <c r="Y135" s="310"/>
      <c r="Z135" s="313"/>
      <c r="AA135" s="312"/>
      <c r="AB135" s="312"/>
      <c r="AC135" s="313"/>
      <c r="AD135" s="312"/>
      <c r="AE135" s="310"/>
      <c r="AF135" s="313"/>
      <c r="AG135" s="312"/>
      <c r="AI135" s="313"/>
      <c r="AJ135" s="312"/>
      <c r="AL135" s="313"/>
      <c r="AM135" s="312"/>
      <c r="AO135" s="313"/>
      <c r="AP135" s="312"/>
      <c r="AU135" s="515">
        <f>SUM(B135:L135)</f>
        <v>818.16000000000008</v>
      </c>
      <c r="AW135" s="286"/>
      <c r="AX135" s="286"/>
      <c r="AY135" s="286"/>
      <c r="AZ135" s="286"/>
      <c r="BA135" s="286"/>
    </row>
    <row r="136" spans="2:55" ht="16" thickBot="1">
      <c r="B136" s="373" t="s">
        <v>569</v>
      </c>
      <c r="C136" s="373"/>
      <c r="D136" s="374"/>
      <c r="E136" s="373" t="s">
        <v>569</v>
      </c>
      <c r="F136" s="377"/>
      <c r="G136" s="374"/>
      <c r="H136" s="373" t="s">
        <v>569</v>
      </c>
      <c r="I136" s="373"/>
      <c r="J136" s="374"/>
      <c r="K136" s="373" t="s">
        <v>569</v>
      </c>
      <c r="L136" s="377"/>
      <c r="M136" s="310"/>
      <c r="N136" s="319"/>
      <c r="O136" s="319"/>
      <c r="P136" s="322"/>
      <c r="Q136" s="319"/>
      <c r="R136" s="319"/>
      <c r="S136" s="322"/>
      <c r="T136" s="319"/>
      <c r="U136" s="319"/>
      <c r="V136" s="322"/>
      <c r="W136" s="321"/>
      <c r="X136" s="309"/>
      <c r="Y136" s="310"/>
      <c r="Z136" s="309"/>
      <c r="AA136" s="309"/>
      <c r="AB136" s="310"/>
      <c r="AC136" s="309"/>
      <c r="AD136" s="309"/>
      <c r="AE136" s="310"/>
      <c r="AF136" s="309"/>
      <c r="AG136" s="309"/>
      <c r="AI136" s="320"/>
      <c r="AJ136" s="295"/>
      <c r="AL136" s="295"/>
      <c r="AM136" s="295"/>
      <c r="AO136" s="295"/>
      <c r="AP136" s="295"/>
      <c r="AU136" s="489">
        <f>SUM(AU3:AU135)/1000</f>
        <v>64.033460000000005</v>
      </c>
    </row>
    <row r="137" spans="2:55" ht="15" customHeight="1" thickBot="1">
      <c r="B137" s="706" t="s">
        <v>632</v>
      </c>
      <c r="C137" s="707"/>
      <c r="D137" s="704"/>
      <c r="E137" s="704"/>
      <c r="F137" s="704"/>
      <c r="G137" s="704"/>
      <c r="H137" s="704"/>
      <c r="I137" s="704"/>
      <c r="J137" s="704"/>
      <c r="K137" s="704"/>
      <c r="L137" s="705"/>
      <c r="M137" s="308"/>
      <c r="N137" s="703" t="s">
        <v>633</v>
      </c>
      <c r="O137" s="704"/>
      <c r="P137" s="704"/>
      <c r="Q137" s="704"/>
      <c r="R137" s="704"/>
      <c r="S137" s="704"/>
      <c r="T137" s="704"/>
      <c r="U137" s="704"/>
      <c r="V137" s="705"/>
      <c r="W137" s="643" t="s">
        <v>670</v>
      </c>
      <c r="X137" s="644"/>
      <c r="Y137" s="644"/>
      <c r="Z137" s="644"/>
      <c r="AA137" s="644"/>
      <c r="AB137" s="644"/>
      <c r="AC137" s="644"/>
      <c r="AD137" s="644"/>
      <c r="AE137" s="644"/>
      <c r="AF137" s="644"/>
      <c r="AG137" s="644"/>
      <c r="AH137" s="644"/>
      <c r="AI137" s="644"/>
      <c r="AJ137" s="644"/>
      <c r="AK137" s="644"/>
      <c r="AL137" s="644"/>
      <c r="AM137" s="644"/>
      <c r="AN137" s="685"/>
      <c r="AO137" s="685"/>
      <c r="AP137" s="685"/>
      <c r="AQ137" s="686"/>
      <c r="AR137" s="686"/>
      <c r="AS137" s="686"/>
      <c r="AT137" s="686"/>
      <c r="AU137" s="687"/>
      <c r="AW137" s="292">
        <f t="shared" ref="AW137:BA137" si="0">SUM(AW4:AW132)</f>
        <v>195</v>
      </c>
      <c r="AX137" s="292">
        <f t="shared" si="0"/>
        <v>195</v>
      </c>
      <c r="AY137" s="292">
        <f t="shared" si="0"/>
        <v>194</v>
      </c>
      <c r="AZ137" s="292">
        <f t="shared" si="0"/>
        <v>182</v>
      </c>
      <c r="BA137" s="292">
        <f t="shared" si="0"/>
        <v>59.113299999999995</v>
      </c>
      <c r="BB137" s="292">
        <f>SUM(BB4:BB132)</f>
        <v>58.305099999999996</v>
      </c>
      <c r="BC137" s="292">
        <v>39</v>
      </c>
    </row>
    <row r="138" spans="2:55" ht="15" customHeight="1">
      <c r="B138" s="298"/>
      <c r="O138" s="307"/>
      <c r="P138" s="306"/>
      <c r="V138" s="291"/>
      <c r="W138" s="645"/>
      <c r="X138" s="646"/>
      <c r="Y138" s="646"/>
      <c r="Z138" s="646"/>
      <c r="AA138" s="646"/>
      <c r="AB138" s="646"/>
      <c r="AC138" s="646"/>
      <c r="AD138" s="646"/>
      <c r="AE138" s="646"/>
      <c r="AF138" s="646"/>
      <c r="AG138" s="646"/>
      <c r="AH138" s="646"/>
      <c r="AI138" s="646"/>
      <c r="AJ138" s="646"/>
      <c r="AK138" s="646"/>
      <c r="AL138" s="646"/>
      <c r="AM138" s="646"/>
      <c r="AN138" s="688"/>
      <c r="AO138" s="688"/>
      <c r="AP138" s="688"/>
      <c r="AQ138" s="689"/>
      <c r="AR138" s="689"/>
      <c r="AS138" s="689"/>
      <c r="AT138" s="689"/>
      <c r="AU138" s="690"/>
    </row>
    <row r="139" spans="2:55">
      <c r="B139" s="710" t="s">
        <v>471</v>
      </c>
      <c r="C139" s="711"/>
      <c r="D139" s="712"/>
      <c r="F139" s="653" t="s">
        <v>635</v>
      </c>
      <c r="G139" s="653"/>
      <c r="I139" s="654" t="s">
        <v>636</v>
      </c>
      <c r="J139" s="654"/>
      <c r="N139" s="656" t="s">
        <v>637</v>
      </c>
      <c r="O139" s="656"/>
      <c r="P139" s="629"/>
      <c r="R139" s="631" t="s">
        <v>638</v>
      </c>
      <c r="S139" s="632"/>
      <c r="T139" s="637"/>
      <c r="U139" s="638"/>
      <c r="V139" s="291"/>
      <c r="W139" s="669" t="s">
        <v>2</v>
      </c>
      <c r="X139" s="670"/>
      <c r="Y139" s="660" t="s">
        <v>356</v>
      </c>
      <c r="Z139" s="660"/>
      <c r="AA139" s="660"/>
      <c r="AB139" s="660"/>
      <c r="AC139" s="660" t="s">
        <v>639</v>
      </c>
      <c r="AD139" s="660"/>
      <c r="AE139" s="660" t="s">
        <v>640</v>
      </c>
      <c r="AF139" s="660"/>
      <c r="AG139" s="660"/>
      <c r="AH139" s="660" t="s">
        <v>32</v>
      </c>
      <c r="AI139" s="660"/>
      <c r="AJ139" s="660"/>
      <c r="AK139" s="660" t="s">
        <v>372</v>
      </c>
      <c r="AL139" s="660"/>
      <c r="AM139" s="660"/>
      <c r="AN139" s="660" t="s">
        <v>15</v>
      </c>
      <c r="AO139" s="660"/>
      <c r="AP139" s="660"/>
      <c r="AQ139" s="667"/>
      <c r="AR139" s="667"/>
      <c r="AS139" s="667"/>
      <c r="AT139" s="667"/>
      <c r="AU139" s="668"/>
    </row>
    <row r="140" spans="2:55">
      <c r="B140" s="298"/>
      <c r="N140" s="656"/>
      <c r="O140" s="656"/>
      <c r="P140" s="629"/>
      <c r="R140" s="633"/>
      <c r="S140" s="634"/>
      <c r="T140" s="639"/>
      <c r="U140" s="640"/>
      <c r="V140" s="291"/>
      <c r="W140" s="663">
        <v>1</v>
      </c>
      <c r="X140" s="664"/>
      <c r="Y140" s="647" t="s">
        <v>376</v>
      </c>
      <c r="Z140" s="647"/>
      <c r="AA140" s="647"/>
      <c r="AB140" s="647"/>
      <c r="AC140" s="627" t="s">
        <v>377</v>
      </c>
      <c r="AD140" s="627"/>
      <c r="AE140" s="626">
        <f>AU136</f>
        <v>64.033460000000005</v>
      </c>
      <c r="AF140" s="627"/>
      <c r="AG140" s="627"/>
      <c r="AH140" s="626">
        <f>AU136</f>
        <v>64.033460000000005</v>
      </c>
      <c r="AI140" s="627"/>
      <c r="AJ140" s="627"/>
      <c r="AK140" s="626">
        <f>AE140-AH140</f>
        <v>0</v>
      </c>
      <c r="AL140" s="626"/>
      <c r="AM140" s="626"/>
      <c r="AN140" s="627"/>
      <c r="AO140" s="627"/>
      <c r="AP140" s="627"/>
      <c r="AQ140" s="661"/>
      <c r="AR140" s="661"/>
      <c r="AS140" s="661"/>
      <c r="AT140" s="661"/>
      <c r="AU140" s="662"/>
    </row>
    <row r="141" spans="2:55">
      <c r="B141" s="713" t="s">
        <v>469</v>
      </c>
      <c r="C141" s="714"/>
      <c r="D141" s="715"/>
      <c r="N141" s="656" t="s">
        <v>641</v>
      </c>
      <c r="O141" s="656"/>
      <c r="P141" s="629"/>
      <c r="R141" s="633"/>
      <c r="S141" s="634"/>
      <c r="T141" s="639"/>
      <c r="U141" s="640"/>
      <c r="V141" s="291"/>
      <c r="W141" s="663">
        <v>2</v>
      </c>
      <c r="X141" s="664"/>
      <c r="Y141" s="647" t="s">
        <v>378</v>
      </c>
      <c r="Z141" s="647"/>
      <c r="AA141" s="647"/>
      <c r="AB141" s="647"/>
      <c r="AC141" s="627" t="s">
        <v>377</v>
      </c>
      <c r="AD141" s="627"/>
      <c r="AE141" s="626">
        <f>AU136</f>
        <v>64.033460000000005</v>
      </c>
      <c r="AF141" s="627"/>
      <c r="AG141" s="627"/>
      <c r="AH141" s="626">
        <f>AU136</f>
        <v>64.033460000000005</v>
      </c>
      <c r="AI141" s="627"/>
      <c r="AJ141" s="627"/>
      <c r="AK141" s="626">
        <f t="shared" ref="AK141:AK148" si="1">AE141-AH141</f>
        <v>0</v>
      </c>
      <c r="AL141" s="626"/>
      <c r="AM141" s="626"/>
      <c r="AN141" s="627"/>
      <c r="AO141" s="627"/>
      <c r="AP141" s="627"/>
      <c r="AQ141" s="661"/>
      <c r="AR141" s="661"/>
      <c r="AS141" s="661"/>
      <c r="AT141" s="661"/>
      <c r="AU141" s="662"/>
    </row>
    <row r="142" spans="2:55">
      <c r="B142" s="298"/>
      <c r="F142" s="286"/>
      <c r="G142" s="285"/>
      <c r="N142" s="656"/>
      <c r="O142" s="656"/>
      <c r="P142" s="629"/>
      <c r="R142" s="635"/>
      <c r="S142" s="636"/>
      <c r="T142" s="641"/>
      <c r="U142" s="642"/>
      <c r="V142" s="291"/>
      <c r="W142" s="663">
        <v>3</v>
      </c>
      <c r="X142" s="664"/>
      <c r="Y142" s="647" t="s">
        <v>379</v>
      </c>
      <c r="Z142" s="647"/>
      <c r="AA142" s="647"/>
      <c r="AB142" s="647"/>
      <c r="AC142" s="627" t="s">
        <v>642</v>
      </c>
      <c r="AD142" s="627"/>
      <c r="AE142" s="627">
        <v>199</v>
      </c>
      <c r="AF142" s="627"/>
      <c r="AG142" s="627"/>
      <c r="AH142" s="627">
        <f>+AW137</f>
        <v>195</v>
      </c>
      <c r="AI142" s="627"/>
      <c r="AJ142" s="627"/>
      <c r="AK142" s="626">
        <f t="shared" si="1"/>
        <v>4</v>
      </c>
      <c r="AL142" s="626"/>
      <c r="AM142" s="626"/>
      <c r="AN142" s="627"/>
      <c r="AO142" s="627"/>
      <c r="AP142" s="627"/>
      <c r="AQ142" s="661"/>
      <c r="AR142" s="661"/>
      <c r="AS142" s="661"/>
      <c r="AT142" s="661"/>
      <c r="AU142" s="662"/>
    </row>
    <row r="143" spans="2:55">
      <c r="B143" s="298"/>
      <c r="E143" s="659"/>
      <c r="F143" s="659"/>
      <c r="H143" s="658"/>
      <c r="I143" s="658"/>
      <c r="K143" s="659"/>
      <c r="L143" s="659"/>
      <c r="N143" s="656" t="s">
        <v>643</v>
      </c>
      <c r="O143" s="656"/>
      <c r="P143" s="629"/>
      <c r="R143" s="631" t="s">
        <v>452</v>
      </c>
      <c r="S143" s="632"/>
      <c r="T143" s="637"/>
      <c r="U143" s="638"/>
      <c r="V143" s="291"/>
      <c r="W143" s="663">
        <v>4</v>
      </c>
      <c r="X143" s="664"/>
      <c r="Y143" s="647" t="s">
        <v>381</v>
      </c>
      <c r="Z143" s="647"/>
      <c r="AA143" s="647"/>
      <c r="AB143" s="647"/>
      <c r="AC143" s="627" t="s">
        <v>642</v>
      </c>
      <c r="AD143" s="627"/>
      <c r="AE143" s="627">
        <v>199</v>
      </c>
      <c r="AF143" s="627"/>
      <c r="AG143" s="627"/>
      <c r="AH143" s="627">
        <f>AX137</f>
        <v>195</v>
      </c>
      <c r="AI143" s="627"/>
      <c r="AJ143" s="627"/>
      <c r="AK143" s="626">
        <f t="shared" si="1"/>
        <v>4</v>
      </c>
      <c r="AL143" s="626"/>
      <c r="AM143" s="626"/>
      <c r="AN143" s="627"/>
      <c r="AO143" s="627"/>
      <c r="AP143" s="627"/>
      <c r="AQ143" s="661"/>
      <c r="AR143" s="661"/>
      <c r="AS143" s="661"/>
      <c r="AT143" s="661"/>
      <c r="AU143" s="662"/>
    </row>
    <row r="144" spans="2:55">
      <c r="B144" s="297"/>
      <c r="C144" s="296"/>
      <c r="D144" s="305"/>
      <c r="E144" s="302"/>
      <c r="F144" s="304"/>
      <c r="G144" s="293"/>
      <c r="H144" s="300"/>
      <c r="I144" s="300"/>
      <c r="J144" s="303"/>
      <c r="K144" s="301"/>
      <c r="L144" s="300"/>
      <c r="M144" s="293"/>
      <c r="N144" s="656"/>
      <c r="O144" s="656"/>
      <c r="P144" s="629"/>
      <c r="R144" s="633"/>
      <c r="S144" s="634"/>
      <c r="T144" s="639"/>
      <c r="U144" s="640"/>
      <c r="V144" s="291"/>
      <c r="W144" s="663">
        <v>5</v>
      </c>
      <c r="X144" s="664"/>
      <c r="Y144" s="647" t="s">
        <v>469</v>
      </c>
      <c r="Z144" s="647"/>
      <c r="AA144" s="647"/>
      <c r="AB144" s="647"/>
      <c r="AC144" s="627" t="s">
        <v>642</v>
      </c>
      <c r="AD144" s="627"/>
      <c r="AE144" s="627">
        <v>199</v>
      </c>
      <c r="AF144" s="627"/>
      <c r="AG144" s="627"/>
      <c r="AH144" s="626">
        <f>AY137</f>
        <v>194</v>
      </c>
      <c r="AI144" s="627"/>
      <c r="AJ144" s="627"/>
      <c r="AK144" s="626">
        <f t="shared" si="1"/>
        <v>5</v>
      </c>
      <c r="AL144" s="626"/>
      <c r="AM144" s="626"/>
      <c r="AN144" s="627"/>
      <c r="AO144" s="627"/>
      <c r="AP144" s="627"/>
      <c r="AQ144" s="661"/>
      <c r="AR144" s="661"/>
      <c r="AS144" s="661"/>
      <c r="AT144" s="661"/>
      <c r="AU144" s="662"/>
    </row>
    <row r="145" spans="2:47">
      <c r="B145" s="716" t="s">
        <v>379</v>
      </c>
      <c r="C145" s="717"/>
      <c r="D145" s="718"/>
      <c r="E145" s="302"/>
      <c r="F145" s="302"/>
      <c r="G145" s="293"/>
      <c r="H145" s="300"/>
      <c r="I145" s="300"/>
      <c r="K145" s="301"/>
      <c r="L145" s="300"/>
      <c r="M145" s="293"/>
      <c r="N145" s="656" t="s">
        <v>644</v>
      </c>
      <c r="O145" s="656"/>
      <c r="P145" s="629"/>
      <c r="R145" s="633"/>
      <c r="S145" s="634"/>
      <c r="T145" s="639"/>
      <c r="U145" s="640"/>
      <c r="V145" s="291"/>
      <c r="W145" s="663">
        <v>6</v>
      </c>
      <c r="X145" s="664"/>
      <c r="Y145" s="647" t="s">
        <v>645</v>
      </c>
      <c r="Z145" s="647"/>
      <c r="AA145" s="647"/>
      <c r="AB145" s="647"/>
      <c r="AC145" s="627" t="s">
        <v>642</v>
      </c>
      <c r="AD145" s="627"/>
      <c r="AE145" s="627">
        <v>199</v>
      </c>
      <c r="AF145" s="627"/>
      <c r="AG145" s="627"/>
      <c r="AH145" s="626">
        <f>AZ137</f>
        <v>182</v>
      </c>
      <c r="AI145" s="627"/>
      <c r="AJ145" s="627"/>
      <c r="AK145" s="626">
        <f t="shared" si="1"/>
        <v>17</v>
      </c>
      <c r="AL145" s="626"/>
      <c r="AM145" s="626"/>
      <c r="AN145" s="627"/>
      <c r="AO145" s="627"/>
      <c r="AP145" s="627"/>
      <c r="AQ145" s="661"/>
      <c r="AR145" s="661"/>
      <c r="AS145" s="661"/>
      <c r="AT145" s="661"/>
      <c r="AU145" s="662"/>
    </row>
    <row r="146" spans="2:47">
      <c r="B146" s="297" t="s">
        <v>646</v>
      </c>
      <c r="C146" s="296"/>
      <c r="E146" s="695" t="s">
        <v>38</v>
      </c>
      <c r="F146" s="695"/>
      <c r="G146" s="299">
        <v>293</v>
      </c>
      <c r="H146" s="722" t="s">
        <v>41</v>
      </c>
      <c r="I146" s="695"/>
      <c r="J146" s="294">
        <v>391</v>
      </c>
      <c r="K146" s="723" t="s">
        <v>45</v>
      </c>
      <c r="L146" s="724"/>
      <c r="M146" s="293"/>
      <c r="N146" s="656"/>
      <c r="O146" s="656"/>
      <c r="P146" s="629"/>
      <c r="R146" s="635"/>
      <c r="S146" s="636"/>
      <c r="T146" s="641"/>
      <c r="U146" s="642"/>
      <c r="V146" s="291"/>
      <c r="W146" s="663">
        <v>7</v>
      </c>
      <c r="X146" s="664"/>
      <c r="Y146" s="647" t="s">
        <v>647</v>
      </c>
      <c r="Z146" s="647"/>
      <c r="AA146" s="647"/>
      <c r="AB146" s="647"/>
      <c r="AC146" s="627" t="s">
        <v>377</v>
      </c>
      <c r="AD146" s="627"/>
      <c r="AE146" s="626">
        <f>AU136</f>
        <v>64.033460000000005</v>
      </c>
      <c r="AF146" s="627"/>
      <c r="AG146" s="627"/>
      <c r="AH146" s="648">
        <f>BA137</f>
        <v>59.113299999999995</v>
      </c>
      <c r="AI146" s="648"/>
      <c r="AJ146" s="648"/>
      <c r="AK146" s="648">
        <f t="shared" si="1"/>
        <v>4.9201600000000099</v>
      </c>
      <c r="AL146" s="648"/>
      <c r="AM146" s="648"/>
      <c r="AN146" s="647"/>
      <c r="AO146" s="647"/>
      <c r="AP146" s="647"/>
      <c r="AQ146" s="651"/>
      <c r="AR146" s="651"/>
      <c r="AS146" s="651"/>
      <c r="AT146" s="651"/>
      <c r="AU146" s="652"/>
    </row>
    <row r="147" spans="2:47">
      <c r="B147" s="297" t="s">
        <v>399</v>
      </c>
      <c r="C147" s="296"/>
      <c r="E147" s="621" t="s">
        <v>39</v>
      </c>
      <c r="F147" s="621"/>
      <c r="H147" s="621" t="s">
        <v>37</v>
      </c>
      <c r="I147" s="621"/>
      <c r="J147" s="294"/>
      <c r="K147" s="720" t="s">
        <v>46</v>
      </c>
      <c r="L147" s="721"/>
      <c r="M147" s="293"/>
      <c r="N147" s="656" t="s">
        <v>671</v>
      </c>
      <c r="O147" s="656"/>
      <c r="P147" s="629"/>
      <c r="R147" s="701" t="s">
        <v>672</v>
      </c>
      <c r="S147" s="701"/>
      <c r="T147" s="708"/>
      <c r="U147" s="708"/>
      <c r="V147" s="291"/>
      <c r="W147" s="663">
        <v>8</v>
      </c>
      <c r="X147" s="664"/>
      <c r="Y147" s="647" t="s">
        <v>673</v>
      </c>
      <c r="Z147" s="647"/>
      <c r="AA147" s="647"/>
      <c r="AB147" s="647"/>
      <c r="AC147" s="627" t="s">
        <v>377</v>
      </c>
      <c r="AD147" s="627"/>
      <c r="AE147" s="626">
        <f>AU136</f>
        <v>64.033460000000005</v>
      </c>
      <c r="AF147" s="627"/>
      <c r="AG147" s="627"/>
      <c r="AH147" s="648">
        <f>BB137</f>
        <v>58.305099999999996</v>
      </c>
      <c r="AI147" s="648"/>
      <c r="AJ147" s="648"/>
      <c r="AK147" s="648">
        <f t="shared" si="1"/>
        <v>5.7283600000000092</v>
      </c>
      <c r="AL147" s="648"/>
      <c r="AM147" s="648"/>
      <c r="AN147" s="627"/>
      <c r="AO147" s="627"/>
      <c r="AP147" s="627"/>
      <c r="AQ147" s="661"/>
      <c r="AR147" s="661"/>
      <c r="AS147" s="661"/>
      <c r="AT147" s="661"/>
      <c r="AU147" s="662"/>
    </row>
    <row r="148" spans="2:47" ht="15" thickBot="1">
      <c r="B148" s="290"/>
      <c r="C148" s="289"/>
      <c r="D148" s="288"/>
      <c r="E148" s="289"/>
      <c r="F148" s="719" t="s">
        <v>381</v>
      </c>
      <c r="G148" s="719"/>
      <c r="H148" s="289"/>
      <c r="I148" s="289"/>
      <c r="J148" s="655" t="s">
        <v>650</v>
      </c>
      <c r="K148" s="655"/>
      <c r="L148" s="655"/>
      <c r="M148" s="288"/>
      <c r="N148" s="657"/>
      <c r="O148" s="657"/>
      <c r="P148" s="630"/>
      <c r="Q148" s="288"/>
      <c r="R148" s="702"/>
      <c r="S148" s="702"/>
      <c r="T148" s="709"/>
      <c r="U148" s="709"/>
      <c r="V148" s="287"/>
      <c r="W148" s="622">
        <v>9</v>
      </c>
      <c r="X148" s="623"/>
      <c r="Y148" s="624" t="s">
        <v>390</v>
      </c>
      <c r="Z148" s="624"/>
      <c r="AA148" s="624"/>
      <c r="AB148" s="624"/>
      <c r="AC148" s="625" t="s">
        <v>377</v>
      </c>
      <c r="AD148" s="625"/>
      <c r="AE148" s="626">
        <f>AU136</f>
        <v>64.033460000000005</v>
      </c>
      <c r="AF148" s="627"/>
      <c r="AG148" s="627"/>
      <c r="AH148" s="628">
        <f>BC137</f>
        <v>39</v>
      </c>
      <c r="AI148" s="625"/>
      <c r="AJ148" s="625"/>
      <c r="AK148" s="626">
        <f t="shared" si="1"/>
        <v>25.033460000000005</v>
      </c>
      <c r="AL148" s="626"/>
      <c r="AM148" s="626"/>
      <c r="AN148" s="625"/>
      <c r="AO148" s="625"/>
      <c r="AP148" s="625"/>
      <c r="AQ148" s="649"/>
      <c r="AR148" s="649"/>
      <c r="AS148" s="649"/>
      <c r="AT148" s="649"/>
      <c r="AU148" s="650"/>
    </row>
    <row r="151" spans="2:47">
      <c r="AH151" s="620"/>
      <c r="AI151" s="620"/>
    </row>
    <row r="153" spans="2:47">
      <c r="AH153" s="318"/>
    </row>
    <row r="155" spans="2:47">
      <c r="AH155" s="621"/>
      <c r="AI155" s="621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80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W33" sqref="AW33"/>
    </sheetView>
  </sheetViews>
  <sheetFormatPr defaultRowHeight="14.5"/>
  <cols>
    <col min="1" max="1" width="1.453125" style="286" customWidth="1"/>
    <col min="2" max="3" width="4" style="286" customWidth="1"/>
    <col min="4" max="4" width="6.1796875" style="390" customWidth="1"/>
    <col min="5" max="6" width="4" style="286" customWidth="1"/>
    <col min="7" max="7" width="6.1796875" style="390" customWidth="1"/>
    <col min="8" max="9" width="4" style="286" customWidth="1"/>
    <col min="10" max="10" width="6.1796875" style="390" customWidth="1"/>
    <col min="11" max="12" width="4" style="286" customWidth="1"/>
    <col min="13" max="13" width="6.1796875" style="390" customWidth="1"/>
    <col min="14" max="15" width="4" style="286" customWidth="1"/>
    <col min="16" max="16" width="6.1796875" style="390" customWidth="1"/>
    <col min="17" max="18" width="4" style="286" customWidth="1"/>
    <col min="19" max="19" width="6.1796875" style="390" customWidth="1"/>
    <col min="20" max="21" width="4" style="286" customWidth="1"/>
    <col min="22" max="22" width="6.1796875" style="390" customWidth="1"/>
    <col min="23" max="24" width="4" style="286" customWidth="1"/>
    <col min="25" max="25" width="6.1796875" style="390" customWidth="1"/>
    <col min="26" max="27" width="4" style="286" customWidth="1"/>
    <col min="28" max="28" width="6.1796875" style="390" customWidth="1"/>
    <col min="29" max="30" width="4" style="286" customWidth="1"/>
    <col min="31" max="31" width="6.26953125" style="286" customWidth="1"/>
    <col min="32" max="33" width="4" style="286" customWidth="1"/>
    <col min="34" max="34" width="6.1796875" style="390" customWidth="1"/>
    <col min="35" max="36" width="4" style="286" customWidth="1"/>
    <col min="37" max="37" width="6.1796875" style="390" customWidth="1"/>
    <col min="38" max="39" width="4" style="286" customWidth="1"/>
    <col min="40" max="40" width="6.1796875" style="390" customWidth="1"/>
    <col min="41" max="41" width="4" style="286" customWidth="1"/>
    <col min="42" max="42" width="3.453125" style="286" customWidth="1"/>
    <col min="43" max="43" width="6.1796875" style="390" customWidth="1"/>
    <col min="44" max="44" width="6" style="286" customWidth="1"/>
    <col min="45" max="45" width="6.1796875" style="286" customWidth="1"/>
    <col min="46" max="46" width="6" style="286" customWidth="1"/>
    <col min="47" max="48" width="5.7265625" style="286" customWidth="1"/>
    <col min="49" max="50" width="7.1796875" style="286" customWidth="1"/>
    <col min="51" max="16384" width="8.7265625" style="286"/>
  </cols>
  <sheetData>
    <row r="1" spans="1:60" ht="15.75" customHeight="1" thickBot="1">
      <c r="A1" s="734" t="str">
        <f>+[1]Summary!A2</f>
        <v>Name of the Line: 220KV DC AL59 line from Neemuch - Chanderiya + 132KV DC ACSS Line from Chanderiya to Hindustan Zinc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6"/>
      <c r="AS1" s="678">
        <f>Summary!R5</f>
        <v>46092</v>
      </c>
      <c r="AT1" s="678"/>
      <c r="AU1" s="678"/>
      <c r="AV1" s="678"/>
      <c r="AW1" s="678"/>
      <c r="AX1" s="678"/>
    </row>
    <row r="2" spans="1:60" ht="18.5">
      <c r="A2" s="380"/>
      <c r="B2" s="308"/>
      <c r="C2" s="308"/>
      <c r="D2" s="490"/>
      <c r="E2" s="308"/>
      <c r="F2" s="308"/>
      <c r="G2" s="490"/>
      <c r="H2" s="308"/>
      <c r="I2" s="308"/>
      <c r="J2" s="490"/>
      <c r="K2" s="308"/>
      <c r="L2" s="308"/>
      <c r="M2" s="490"/>
      <c r="N2" s="308"/>
      <c r="O2" s="308"/>
      <c r="P2" s="490"/>
      <c r="Q2" s="737" t="s">
        <v>622</v>
      </c>
      <c r="R2" s="737"/>
      <c r="S2" s="737"/>
      <c r="T2" s="737"/>
      <c r="U2" s="737"/>
      <c r="V2" s="737"/>
      <c r="W2" s="737"/>
      <c r="X2" s="737"/>
      <c r="Y2" s="737"/>
      <c r="Z2" s="737"/>
      <c r="AA2" s="737"/>
      <c r="AB2" s="490"/>
      <c r="AC2" s="308"/>
      <c r="AD2" s="308"/>
      <c r="AE2" s="308"/>
      <c r="AF2" s="308"/>
      <c r="AG2" s="308"/>
      <c r="AH2" s="490"/>
      <c r="AI2" s="308"/>
      <c r="AJ2" s="308"/>
      <c r="AK2" s="738" t="s">
        <v>26</v>
      </c>
      <c r="AL2" s="738"/>
      <c r="AM2" s="738"/>
      <c r="AN2" s="730">
        <f>AS1</f>
        <v>46092</v>
      </c>
      <c r="AO2" s="730"/>
      <c r="AP2" s="730"/>
      <c r="AQ2" s="731"/>
      <c r="AS2" s="381" t="s">
        <v>623</v>
      </c>
      <c r="AT2" s="381" t="s">
        <v>624</v>
      </c>
      <c r="AU2" s="381" t="s">
        <v>625</v>
      </c>
      <c r="AV2" s="317" t="s">
        <v>626</v>
      </c>
      <c r="AW2" s="382" t="s">
        <v>627</v>
      </c>
      <c r="AX2" s="382" t="s">
        <v>627</v>
      </c>
    </row>
    <row r="3" spans="1:60">
      <c r="A3" s="383"/>
      <c r="B3" s="310"/>
      <c r="C3" s="310"/>
      <c r="D3" s="491"/>
      <c r="E3" s="310"/>
      <c r="F3" s="310"/>
      <c r="G3" s="491"/>
      <c r="H3" s="310"/>
      <c r="I3" s="310"/>
      <c r="J3" s="491"/>
      <c r="K3" s="310"/>
      <c r="L3" s="310"/>
      <c r="M3" s="491"/>
      <c r="N3" s="310"/>
      <c r="O3" s="310"/>
      <c r="P3" s="491"/>
      <c r="Q3" s="310"/>
      <c r="R3" s="310"/>
      <c r="S3" s="491"/>
      <c r="T3" s="310"/>
      <c r="U3" s="310"/>
      <c r="V3" s="491"/>
      <c r="W3" s="310"/>
      <c r="X3" s="310"/>
      <c r="Y3" s="491"/>
      <c r="Z3" s="310"/>
      <c r="AA3" s="310"/>
      <c r="AB3" s="491"/>
      <c r="AC3" s="310"/>
      <c r="AD3" s="310"/>
      <c r="AE3" s="310"/>
      <c r="AF3" s="310"/>
      <c r="AG3" s="310"/>
      <c r="AQ3" s="501"/>
    </row>
    <row r="4" spans="1:60">
      <c r="A4" s="383"/>
      <c r="M4" s="491"/>
      <c r="AQ4" s="501"/>
    </row>
    <row r="5" spans="1:60">
      <c r="A5" s="384"/>
      <c r="B5" s="776" t="s">
        <v>706</v>
      </c>
      <c r="C5" s="776"/>
      <c r="D5" s="776"/>
      <c r="E5" s="683"/>
      <c r="F5" s="683"/>
      <c r="G5" s="491"/>
      <c r="H5" s="732"/>
      <c r="I5" s="732"/>
      <c r="J5" s="491"/>
      <c r="K5" s="732"/>
      <c r="L5" s="732"/>
      <c r="M5" s="491"/>
      <c r="N5" s="732"/>
      <c r="O5" s="732"/>
      <c r="P5" s="491"/>
      <c r="Q5" s="732"/>
      <c r="R5" s="732"/>
      <c r="S5" s="491"/>
      <c r="T5" s="732"/>
      <c r="U5" s="732"/>
      <c r="V5" s="491"/>
      <c r="W5" s="732"/>
      <c r="X5" s="732"/>
      <c r="Y5" s="491"/>
      <c r="Z5" s="683"/>
      <c r="AA5" s="683"/>
      <c r="AB5" s="491"/>
      <c r="AC5" s="732"/>
      <c r="AD5" s="732"/>
      <c r="AE5" s="310"/>
      <c r="AF5" s="732"/>
      <c r="AG5" s="732"/>
      <c r="AH5" s="491"/>
      <c r="AI5" s="732"/>
      <c r="AJ5" s="732"/>
      <c r="AK5" s="491"/>
      <c r="AL5" s="732"/>
      <c r="AM5" s="732"/>
      <c r="AN5" s="491"/>
      <c r="AO5" s="732"/>
      <c r="AP5" s="732"/>
      <c r="AQ5" s="504"/>
    </row>
    <row r="6" spans="1:60" ht="15.75" customHeight="1">
      <c r="A6" s="384"/>
      <c r="B6" s="776"/>
      <c r="C6" s="776"/>
      <c r="D6" s="776"/>
      <c r="E6" s="656" t="s">
        <v>303</v>
      </c>
      <c r="F6" s="656"/>
      <c r="G6" s="492"/>
      <c r="H6" s="365"/>
      <c r="I6" s="365"/>
      <c r="J6" s="492"/>
      <c r="K6" s="385"/>
      <c r="L6" s="385"/>
      <c r="M6" s="492"/>
      <c r="N6" s="385"/>
      <c r="O6" s="385"/>
      <c r="P6" s="492"/>
      <c r="Q6" s="365"/>
      <c r="R6" s="365"/>
      <c r="S6" s="492"/>
      <c r="T6" s="365"/>
      <c r="U6" s="365"/>
      <c r="V6" s="492"/>
      <c r="W6" s="385"/>
      <c r="X6" s="385"/>
      <c r="Y6" s="492"/>
      <c r="Z6" s="365"/>
      <c r="AA6" s="365"/>
      <c r="AB6" s="492"/>
      <c r="AC6" s="365"/>
      <c r="AD6" s="365"/>
      <c r="AE6" s="311"/>
      <c r="AF6" s="385"/>
      <c r="AG6" s="385"/>
      <c r="AH6" s="492"/>
      <c r="AI6" s="385"/>
      <c r="AJ6" s="385"/>
      <c r="AK6" s="492"/>
      <c r="AL6" s="385"/>
      <c r="AM6" s="385"/>
      <c r="AN6" s="492"/>
      <c r="AO6" s="385"/>
      <c r="AP6" s="385"/>
      <c r="AQ6" s="505"/>
    </row>
    <row r="7" spans="1:60">
      <c r="A7" s="384"/>
      <c r="B7" s="776"/>
      <c r="C7" s="776"/>
      <c r="D7" s="776"/>
      <c r="E7" s="656"/>
      <c r="F7" s="656"/>
      <c r="G7" s="492"/>
      <c r="H7" s="365"/>
      <c r="I7" s="365"/>
      <c r="J7" s="492"/>
      <c r="K7" s="385"/>
      <c r="L7" s="385"/>
      <c r="M7" s="492"/>
      <c r="N7" s="385"/>
      <c r="O7" s="385"/>
      <c r="P7" s="492"/>
      <c r="Q7" s="365"/>
      <c r="R7" s="365"/>
      <c r="S7" s="492"/>
      <c r="T7" s="365"/>
      <c r="U7" s="365"/>
      <c r="V7" s="492"/>
      <c r="W7" s="385"/>
      <c r="X7" s="385"/>
      <c r="Y7" s="492"/>
      <c r="Z7" s="365"/>
      <c r="AA7" s="365"/>
      <c r="AB7" s="492"/>
      <c r="AC7" s="365"/>
      <c r="AD7" s="365"/>
      <c r="AE7" s="311"/>
      <c r="AF7" s="385"/>
      <c r="AG7" s="385"/>
      <c r="AH7" s="492"/>
      <c r="AI7" s="385"/>
      <c r="AJ7" s="385"/>
      <c r="AK7" s="492"/>
      <c r="AL7" s="385"/>
      <c r="AM7" s="385"/>
      <c r="AN7" s="492"/>
      <c r="AO7" s="385"/>
      <c r="AP7" s="385"/>
      <c r="AQ7" s="504"/>
      <c r="AS7" s="292">
        <v>7</v>
      </c>
      <c r="AT7" s="292">
        <v>4</v>
      </c>
      <c r="AU7" s="292">
        <v>2</v>
      </c>
      <c r="AV7" s="292"/>
      <c r="AW7" s="292"/>
      <c r="AX7" s="292"/>
    </row>
    <row r="8" spans="1:60" s="310" customFormat="1">
      <c r="A8" s="384"/>
      <c r="B8" s="683"/>
      <c r="C8" s="683"/>
      <c r="D8" s="492"/>
      <c r="E8" s="683" t="s">
        <v>628</v>
      </c>
      <c r="F8" s="683"/>
      <c r="G8" s="492">
        <v>26</v>
      </c>
      <c r="H8" s="691" t="s">
        <v>38</v>
      </c>
      <c r="I8" s="691"/>
      <c r="J8" s="493">
        <v>230.15</v>
      </c>
      <c r="K8" s="683" t="s">
        <v>64</v>
      </c>
      <c r="L8" s="683"/>
      <c r="M8" s="493">
        <v>234.56</v>
      </c>
      <c r="N8" s="733" t="s">
        <v>344</v>
      </c>
      <c r="O8" s="733"/>
      <c r="P8" s="493">
        <v>249.04</v>
      </c>
      <c r="Q8" s="683" t="s">
        <v>67</v>
      </c>
      <c r="R8" s="683"/>
      <c r="S8" s="493">
        <v>256</v>
      </c>
      <c r="T8" s="691" t="s">
        <v>310</v>
      </c>
      <c r="U8" s="691"/>
      <c r="V8" s="493">
        <v>226.52</v>
      </c>
      <c r="W8" s="683" t="s">
        <v>69</v>
      </c>
      <c r="X8" s="683"/>
      <c r="Y8" s="493">
        <v>43.62</v>
      </c>
      <c r="Z8" s="733" t="s">
        <v>71</v>
      </c>
      <c r="AA8" s="691"/>
      <c r="AB8" s="493">
        <v>52</v>
      </c>
      <c r="AC8" s="733" t="s">
        <v>72</v>
      </c>
      <c r="AD8" s="691"/>
      <c r="AE8" s="379">
        <v>47.06</v>
      </c>
      <c r="AF8" s="733" t="s">
        <v>93</v>
      </c>
      <c r="AG8" s="683"/>
      <c r="AH8" s="493">
        <v>286.44</v>
      </c>
      <c r="AI8" s="691" t="s">
        <v>104</v>
      </c>
      <c r="AJ8" s="683"/>
      <c r="AK8" s="493">
        <v>317</v>
      </c>
      <c r="AL8" s="733" t="s">
        <v>702</v>
      </c>
      <c r="AM8" s="683"/>
      <c r="AN8" s="493">
        <v>328</v>
      </c>
      <c r="AO8" s="691" t="s">
        <v>703</v>
      </c>
      <c r="AP8" s="683"/>
      <c r="AQ8" s="506">
        <v>297</v>
      </c>
    </row>
    <row r="9" spans="1:60">
      <c r="A9" s="384"/>
      <c r="B9" s="683"/>
      <c r="C9" s="683"/>
      <c r="D9" s="491"/>
      <c r="E9" s="683" t="s">
        <v>34</v>
      </c>
      <c r="F9" s="683"/>
      <c r="G9" s="491"/>
      <c r="H9" s="683" t="s">
        <v>34</v>
      </c>
      <c r="I9" s="683"/>
      <c r="J9" s="491"/>
      <c r="K9" s="683" t="s">
        <v>34</v>
      </c>
      <c r="L9" s="683"/>
      <c r="M9" s="491"/>
      <c r="N9" s="683" t="s">
        <v>62</v>
      </c>
      <c r="O9" s="683"/>
      <c r="P9" s="491"/>
      <c r="Q9" s="683" t="s">
        <v>34</v>
      </c>
      <c r="R9" s="683"/>
      <c r="S9" s="491"/>
      <c r="T9" s="683" t="s">
        <v>37</v>
      </c>
      <c r="U9" s="683"/>
      <c r="V9" s="491"/>
      <c r="W9" s="683" t="s">
        <v>34</v>
      </c>
      <c r="X9" s="683"/>
      <c r="Y9" s="521"/>
      <c r="Z9" s="683" t="s">
        <v>629</v>
      </c>
      <c r="AA9" s="683"/>
      <c r="AB9" s="491"/>
      <c r="AC9" s="683" t="s">
        <v>629</v>
      </c>
      <c r="AD9" s="683"/>
      <c r="AE9" s="310"/>
      <c r="AF9" s="683" t="s">
        <v>34</v>
      </c>
      <c r="AG9" s="683"/>
      <c r="AH9" s="491"/>
      <c r="AI9" s="683" t="s">
        <v>51</v>
      </c>
      <c r="AJ9" s="683"/>
      <c r="AK9" s="491"/>
      <c r="AL9" s="683" t="s">
        <v>56</v>
      </c>
      <c r="AM9" s="683"/>
      <c r="AN9" s="491"/>
      <c r="AO9" s="683" t="s">
        <v>56</v>
      </c>
      <c r="AP9" s="683"/>
      <c r="AQ9" s="504"/>
    </row>
    <row r="10" spans="1:60">
      <c r="A10" s="384"/>
      <c r="B10" s="310"/>
      <c r="C10" s="310"/>
      <c r="E10" s="378"/>
      <c r="G10" s="496"/>
      <c r="I10" s="378"/>
      <c r="K10" s="378"/>
      <c r="M10" s="496"/>
      <c r="O10" s="378"/>
      <c r="Q10" s="378"/>
      <c r="S10" s="496"/>
      <c r="U10" s="378"/>
      <c r="W10" s="378"/>
      <c r="Y10" s="496"/>
      <c r="AA10" s="378"/>
      <c r="AC10" s="378"/>
      <c r="AE10" s="378"/>
      <c r="AG10" s="378"/>
      <c r="AI10" s="378"/>
      <c r="AK10" s="496"/>
      <c r="AM10" s="378"/>
      <c r="AO10" s="378"/>
      <c r="AQ10" s="507"/>
      <c r="AS10" s="378"/>
      <c r="AU10" s="378"/>
      <c r="AW10" s="378"/>
      <c r="AX10" s="378"/>
      <c r="AZ10" s="378"/>
      <c r="BB10" s="378"/>
      <c r="BD10" s="378"/>
      <c r="BF10" s="378"/>
      <c r="BH10" s="378"/>
    </row>
    <row r="11" spans="1:60">
      <c r="A11" s="384"/>
      <c r="B11" s="310"/>
      <c r="C11" s="310"/>
      <c r="D11" s="491"/>
      <c r="E11" s="310"/>
      <c r="F11" s="310"/>
      <c r="G11" s="491"/>
      <c r="H11" s="310"/>
      <c r="I11" s="310"/>
      <c r="J11" s="491"/>
      <c r="K11" s="310"/>
      <c r="L11" s="310"/>
      <c r="M11" s="491"/>
      <c r="N11" s="310"/>
      <c r="O11" s="310"/>
      <c r="P11" s="491"/>
      <c r="Q11" s="310"/>
      <c r="R11" s="310"/>
      <c r="S11" s="491"/>
      <c r="T11" s="310"/>
      <c r="U11" s="310"/>
      <c r="V11" s="491"/>
      <c r="W11" s="310"/>
      <c r="X11" s="310"/>
      <c r="Y11" s="491"/>
      <c r="Z11" s="310"/>
      <c r="AA11" s="310"/>
      <c r="AC11" s="310"/>
      <c r="AD11" s="310"/>
      <c r="AF11" s="310"/>
      <c r="AG11" s="310"/>
      <c r="AH11" s="491"/>
      <c r="AI11" s="310"/>
      <c r="AJ11" s="310"/>
      <c r="AK11" s="491"/>
      <c r="AL11" s="310"/>
      <c r="AM11" s="310"/>
      <c r="AN11" s="491"/>
      <c r="AO11" s="310"/>
      <c r="AP11" s="310"/>
      <c r="AQ11" s="504"/>
    </row>
    <row r="12" spans="1:60">
      <c r="A12" s="384"/>
      <c r="B12" s="732"/>
      <c r="C12" s="732"/>
      <c r="D12" s="491"/>
      <c r="E12" s="732"/>
      <c r="F12" s="732"/>
      <c r="G12" s="491"/>
      <c r="H12" s="732"/>
      <c r="I12" s="732"/>
      <c r="J12" s="491"/>
      <c r="K12" s="732"/>
      <c r="L12" s="732"/>
      <c r="M12" s="491"/>
      <c r="N12" s="732"/>
      <c r="O12" s="732"/>
      <c r="P12" s="491"/>
      <c r="Q12" s="732"/>
      <c r="R12" s="732"/>
      <c r="S12" s="491"/>
      <c r="T12" s="732"/>
      <c r="U12" s="732"/>
      <c r="V12" s="491"/>
      <c r="W12" s="732"/>
      <c r="X12" s="732"/>
      <c r="Y12" s="491"/>
      <c r="Z12" s="732"/>
      <c r="AA12" s="732"/>
      <c r="AB12" s="491"/>
      <c r="AC12" s="683"/>
      <c r="AD12" s="683"/>
      <c r="AE12" s="310"/>
      <c r="AF12" s="732"/>
      <c r="AG12" s="732"/>
      <c r="AH12" s="491"/>
      <c r="AI12" s="732"/>
      <c r="AJ12" s="732"/>
      <c r="AK12" s="491"/>
      <c r="AL12" s="732"/>
      <c r="AM12" s="732"/>
      <c r="AN12" s="491"/>
      <c r="AO12" s="732"/>
      <c r="AP12" s="732"/>
      <c r="AQ12" s="504"/>
    </row>
    <row r="13" spans="1:60">
      <c r="A13" s="384"/>
      <c r="B13" s="385"/>
      <c r="C13" s="385"/>
      <c r="D13" s="492"/>
      <c r="E13" s="365"/>
      <c r="F13" s="365"/>
      <c r="G13" s="492"/>
      <c r="H13" s="385"/>
      <c r="I13" s="385"/>
      <c r="J13" s="492"/>
      <c r="K13" s="385"/>
      <c r="L13" s="385"/>
      <c r="M13" s="492"/>
      <c r="N13" s="385"/>
      <c r="O13" s="385"/>
      <c r="P13" s="492"/>
      <c r="Q13" s="385"/>
      <c r="R13" s="385"/>
      <c r="S13" s="492"/>
      <c r="T13" s="385"/>
      <c r="U13" s="385"/>
      <c r="V13" s="492"/>
      <c r="W13" s="385"/>
      <c r="X13" s="385"/>
      <c r="Y13" s="492"/>
      <c r="Z13" s="385"/>
      <c r="AA13" s="385"/>
      <c r="AB13" s="492"/>
      <c r="AC13" s="385"/>
      <c r="AD13" s="385"/>
      <c r="AE13" s="311"/>
      <c r="AF13" s="385"/>
      <c r="AG13" s="385"/>
      <c r="AH13" s="492"/>
      <c r="AI13" s="385"/>
      <c r="AJ13" s="385"/>
      <c r="AK13" s="492"/>
      <c r="AL13" s="385"/>
      <c r="AM13" s="385"/>
      <c r="AN13" s="492"/>
      <c r="AO13" s="385"/>
      <c r="AP13" s="385"/>
      <c r="AQ13" s="505"/>
    </row>
    <row r="14" spans="1:60">
      <c r="A14" s="384"/>
      <c r="B14" s="385"/>
      <c r="C14" s="385"/>
      <c r="D14" s="491"/>
      <c r="E14" s="365"/>
      <c r="F14" s="365"/>
      <c r="G14" s="492"/>
      <c r="H14" s="385"/>
      <c r="I14" s="385"/>
      <c r="J14" s="492"/>
      <c r="K14" s="385"/>
      <c r="L14" s="385"/>
      <c r="M14" s="491"/>
      <c r="N14" s="385"/>
      <c r="O14" s="385"/>
      <c r="P14" s="492"/>
      <c r="Q14" s="385"/>
      <c r="R14" s="385"/>
      <c r="S14" s="492"/>
      <c r="T14" s="385"/>
      <c r="U14" s="385"/>
      <c r="V14" s="492"/>
      <c r="W14" s="394"/>
      <c r="X14" s="394"/>
      <c r="Y14" s="492"/>
      <c r="Z14" s="385"/>
      <c r="AA14" s="385"/>
      <c r="AB14" s="492"/>
      <c r="AC14" s="385"/>
      <c r="AD14" s="385"/>
      <c r="AE14" s="311"/>
      <c r="AF14" s="385"/>
      <c r="AG14" s="385"/>
      <c r="AH14" s="492"/>
      <c r="AI14" s="385"/>
      <c r="AJ14" s="385"/>
      <c r="AK14" s="491"/>
      <c r="AL14" s="385"/>
      <c r="AM14" s="385"/>
      <c r="AN14" s="492"/>
      <c r="AO14" s="385"/>
      <c r="AP14" s="385"/>
      <c r="AQ14" s="504"/>
      <c r="AS14" s="292">
        <v>13</v>
      </c>
      <c r="AT14" s="292">
        <v>13</v>
      </c>
      <c r="AU14" s="292">
        <v>13</v>
      </c>
      <c r="AV14" s="292">
        <v>5</v>
      </c>
      <c r="AW14" s="292">
        <f>AQ15/1000</f>
        <v>0.26294999999999996</v>
      </c>
      <c r="AX14" s="292">
        <f>AQ15/1000</f>
        <v>0.26294999999999996</v>
      </c>
      <c r="BE14" s="432"/>
    </row>
    <row r="15" spans="1:60" s="310" customFormat="1">
      <c r="A15" s="384"/>
      <c r="B15" s="691" t="s">
        <v>704</v>
      </c>
      <c r="C15" s="683"/>
      <c r="D15" s="493">
        <v>251</v>
      </c>
      <c r="E15" s="691" t="s">
        <v>705</v>
      </c>
      <c r="F15" s="683"/>
      <c r="G15" s="493">
        <v>308.23</v>
      </c>
      <c r="H15" s="691" t="s">
        <v>106</v>
      </c>
      <c r="I15" s="683"/>
      <c r="J15" s="493">
        <v>278.12</v>
      </c>
      <c r="K15" s="739" t="s">
        <v>111</v>
      </c>
      <c r="L15" s="683"/>
      <c r="M15" s="493">
        <v>385.96</v>
      </c>
      <c r="N15" s="691" t="s">
        <v>320</v>
      </c>
      <c r="O15" s="683"/>
      <c r="P15" s="493">
        <v>259.92</v>
      </c>
      <c r="Q15" s="683" t="s">
        <v>322</v>
      </c>
      <c r="R15" s="683"/>
      <c r="S15" s="493">
        <v>215.13</v>
      </c>
      <c r="T15" s="310" t="s">
        <v>324</v>
      </c>
      <c r="V15" s="493">
        <v>316.14999999999998</v>
      </c>
      <c r="W15" s="691" t="s">
        <v>326</v>
      </c>
      <c r="X15" s="691"/>
      <c r="Y15" s="493">
        <v>274</v>
      </c>
      <c r="Z15" s="691" t="s">
        <v>328</v>
      </c>
      <c r="AA15" s="691"/>
      <c r="AB15" s="493">
        <v>293.27999999999997</v>
      </c>
      <c r="AC15" s="683" t="s">
        <v>329</v>
      </c>
      <c r="AD15" s="683"/>
      <c r="AE15" s="379">
        <v>48.42</v>
      </c>
      <c r="AF15" s="691" t="s">
        <v>167</v>
      </c>
      <c r="AG15" s="691"/>
      <c r="AH15" s="493">
        <v>58.24</v>
      </c>
      <c r="AI15" s="691" t="s">
        <v>331</v>
      </c>
      <c r="AJ15" s="691"/>
      <c r="AK15" s="493">
        <v>70.13</v>
      </c>
      <c r="AL15" s="683" t="s">
        <v>332</v>
      </c>
      <c r="AM15" s="683"/>
      <c r="AN15" s="493">
        <v>220.7</v>
      </c>
      <c r="AO15" s="683" t="s">
        <v>334</v>
      </c>
      <c r="AP15" s="683"/>
      <c r="AQ15" s="506">
        <v>262.95</v>
      </c>
    </row>
    <row r="16" spans="1:60">
      <c r="A16" s="384"/>
      <c r="B16" s="683" t="s">
        <v>37</v>
      </c>
      <c r="C16" s="683"/>
      <c r="D16" s="491"/>
      <c r="E16" s="683" t="s">
        <v>42</v>
      </c>
      <c r="F16" s="683"/>
      <c r="G16" s="491"/>
      <c r="H16" s="683" t="s">
        <v>34</v>
      </c>
      <c r="I16" s="683"/>
      <c r="J16" s="491"/>
      <c r="K16" s="683" t="s">
        <v>51</v>
      </c>
      <c r="L16" s="683"/>
      <c r="M16" s="491"/>
      <c r="N16" s="683" t="s">
        <v>51</v>
      </c>
      <c r="O16" s="683"/>
      <c r="P16" s="491"/>
      <c r="Q16" s="683" t="s">
        <v>62</v>
      </c>
      <c r="R16" s="683"/>
      <c r="S16" s="491"/>
      <c r="T16" s="683" t="s">
        <v>62</v>
      </c>
      <c r="U16" s="683"/>
      <c r="V16" s="491"/>
      <c r="W16" s="683" t="s">
        <v>34</v>
      </c>
      <c r="X16" s="683"/>
      <c r="Y16" s="491"/>
      <c r="Z16" s="683" t="s">
        <v>37</v>
      </c>
      <c r="AA16" s="683"/>
      <c r="AB16" s="491"/>
      <c r="AC16" s="683" t="s">
        <v>34</v>
      </c>
      <c r="AD16" s="683"/>
      <c r="AE16" s="310"/>
      <c r="AF16" s="683" t="s">
        <v>629</v>
      </c>
      <c r="AG16" s="683"/>
      <c r="AH16" s="491"/>
      <c r="AI16" s="683" t="s">
        <v>629</v>
      </c>
      <c r="AJ16" s="683"/>
      <c r="AK16" s="491"/>
      <c r="AL16" s="683" t="s">
        <v>62</v>
      </c>
      <c r="AM16" s="683"/>
      <c r="AN16" s="491"/>
      <c r="AO16" s="683" t="s">
        <v>51</v>
      </c>
      <c r="AP16" s="683"/>
      <c r="AQ16" s="504"/>
    </row>
    <row r="17" spans="1:50">
      <c r="A17" s="384"/>
      <c r="B17" s="310"/>
      <c r="C17" s="310"/>
      <c r="D17" s="491"/>
      <c r="E17" s="310"/>
      <c r="F17" s="310"/>
      <c r="G17" s="491"/>
      <c r="H17" s="310"/>
      <c r="I17" s="310"/>
      <c r="J17" s="491"/>
      <c r="K17" s="310"/>
      <c r="L17" s="310"/>
      <c r="M17" s="491"/>
      <c r="N17" s="310"/>
      <c r="O17" s="310"/>
      <c r="P17" s="491"/>
      <c r="Q17" s="310"/>
      <c r="R17" s="310"/>
      <c r="S17" s="491"/>
      <c r="T17" s="310"/>
      <c r="U17" s="310"/>
      <c r="V17" s="491"/>
      <c r="W17" s="310"/>
      <c r="X17" s="310" t="s">
        <v>630</v>
      </c>
      <c r="Y17" s="491"/>
      <c r="Z17" s="310" t="s">
        <v>630</v>
      </c>
      <c r="AA17" s="310"/>
      <c r="AB17" s="491"/>
      <c r="AC17" s="310"/>
      <c r="AD17" s="310"/>
      <c r="AE17" s="310"/>
      <c r="AF17" s="310"/>
      <c r="AG17" s="310"/>
      <c r="AH17" s="491"/>
      <c r="AI17" s="310"/>
      <c r="AJ17" s="310"/>
      <c r="AK17" s="491"/>
      <c r="AL17" s="310"/>
      <c r="AM17" s="310"/>
      <c r="AN17" s="491"/>
      <c r="AO17" s="310"/>
      <c r="AP17" s="310"/>
      <c r="AQ17" s="504"/>
    </row>
    <row r="18" spans="1:50">
      <c r="A18" s="384"/>
      <c r="B18" s="310"/>
      <c r="C18" s="310"/>
      <c r="D18" s="491"/>
      <c r="E18" s="310"/>
      <c r="F18" s="310"/>
      <c r="G18" s="491"/>
      <c r="H18" s="310"/>
      <c r="I18" s="310"/>
      <c r="J18" s="491"/>
      <c r="K18" s="310"/>
      <c r="L18" s="310"/>
      <c r="M18" s="491"/>
      <c r="N18" s="310"/>
      <c r="O18" s="310"/>
      <c r="P18" s="491"/>
      <c r="Q18" s="310"/>
      <c r="R18" s="310"/>
      <c r="S18" s="491"/>
      <c r="T18" s="310"/>
      <c r="U18" s="310"/>
      <c r="V18" s="491"/>
      <c r="W18" s="310"/>
      <c r="X18" s="310"/>
      <c r="Y18" s="491"/>
      <c r="Z18" s="310"/>
      <c r="AA18" s="310"/>
      <c r="AB18" s="491"/>
      <c r="AC18" s="310"/>
      <c r="AD18" s="310"/>
      <c r="AE18" s="310"/>
      <c r="AF18" s="310"/>
      <c r="AG18" s="310"/>
      <c r="AI18" s="310"/>
      <c r="AJ18" s="310"/>
      <c r="AK18" s="491"/>
      <c r="AL18" s="310"/>
      <c r="AM18" s="310"/>
      <c r="AN18" s="491"/>
      <c r="AO18" s="310"/>
      <c r="AP18" s="310"/>
      <c r="AQ18" s="504"/>
    </row>
    <row r="19" spans="1:50" ht="15" thickBot="1">
      <c r="A19" s="384"/>
      <c r="B19" s="732"/>
      <c r="C19" s="732"/>
      <c r="D19" s="491"/>
      <c r="E19" s="732"/>
      <c r="F19" s="732"/>
      <c r="G19" s="491"/>
      <c r="H19" s="732"/>
      <c r="I19" s="732"/>
      <c r="J19" s="491"/>
      <c r="K19" s="732"/>
      <c r="L19" s="732"/>
      <c r="M19" s="491"/>
      <c r="N19" s="732"/>
      <c r="O19" s="732"/>
      <c r="P19" s="491"/>
      <c r="Q19" s="732"/>
      <c r="R19" s="732"/>
      <c r="S19" s="491"/>
      <c r="T19" s="732"/>
      <c r="U19" s="732"/>
      <c r="V19" s="491"/>
      <c r="W19" s="732"/>
      <c r="X19" s="732"/>
      <c r="Y19" s="491"/>
      <c r="Z19" s="683"/>
      <c r="AA19" s="683"/>
      <c r="AB19" s="491"/>
      <c r="AC19" s="683"/>
      <c r="AD19" s="683"/>
      <c r="AE19" s="310"/>
      <c r="AF19" s="683"/>
      <c r="AG19" s="683"/>
      <c r="AH19" s="491"/>
      <c r="AI19" s="683"/>
      <c r="AJ19" s="683"/>
      <c r="AK19" s="491"/>
      <c r="AL19" s="683"/>
      <c r="AM19" s="683"/>
      <c r="AN19" s="491"/>
      <c r="AO19" s="683"/>
      <c r="AP19" s="683"/>
      <c r="AQ19" s="504"/>
    </row>
    <row r="20" spans="1:50">
      <c r="A20" s="384"/>
      <c r="B20" s="385"/>
      <c r="C20" s="385"/>
      <c r="D20" s="492"/>
      <c r="E20" s="386"/>
      <c r="F20" s="386"/>
      <c r="G20" s="492"/>
      <c r="H20" s="385"/>
      <c r="I20" s="385"/>
      <c r="J20" s="492"/>
      <c r="K20" s="386"/>
      <c r="L20" s="386"/>
      <c r="M20" s="492"/>
      <c r="N20" s="385"/>
      <c r="O20" s="385"/>
      <c r="P20" s="492"/>
      <c r="Q20" s="385"/>
      <c r="R20" s="385"/>
      <c r="S20" s="492"/>
      <c r="T20" s="385"/>
      <c r="U20" s="385"/>
      <c r="V20" s="492"/>
      <c r="W20" s="385"/>
      <c r="X20" s="385"/>
      <c r="Y20" s="492"/>
      <c r="Z20" s="774" t="s">
        <v>629</v>
      </c>
      <c r="AA20" s="775"/>
      <c r="AB20" s="492"/>
      <c r="AC20" s="310"/>
      <c r="AD20" s="310"/>
      <c r="AE20" s="311"/>
      <c r="AF20" s="310"/>
      <c r="AG20" s="310"/>
      <c r="AH20" s="492"/>
      <c r="AI20" s="310"/>
      <c r="AJ20" s="310"/>
      <c r="AK20" s="492"/>
      <c r="AL20" s="310"/>
      <c r="AM20" s="310"/>
      <c r="AN20" s="492"/>
      <c r="AO20" s="310"/>
      <c r="AP20" s="310"/>
      <c r="AQ20" s="505"/>
    </row>
    <row r="21" spans="1:50" ht="15" thickBot="1">
      <c r="A21" s="384"/>
      <c r="B21" s="385"/>
      <c r="C21" s="385"/>
      <c r="D21" s="492"/>
      <c r="E21" s="386"/>
      <c r="F21" s="386"/>
      <c r="G21" s="492"/>
      <c r="H21" s="385"/>
      <c r="I21" s="385"/>
      <c r="J21" s="492"/>
      <c r="K21" s="386"/>
      <c r="L21" s="386"/>
      <c r="M21" s="492"/>
      <c r="N21" s="385"/>
      <c r="O21" s="385"/>
      <c r="P21" s="491"/>
      <c r="Q21" s="385"/>
      <c r="R21" s="385"/>
      <c r="S21" s="491"/>
      <c r="T21" s="385"/>
      <c r="U21" s="385"/>
      <c r="V21" s="492"/>
      <c r="W21" s="385"/>
      <c r="X21" s="385"/>
      <c r="Y21" s="492"/>
      <c r="Z21" s="749"/>
      <c r="AA21" s="750"/>
      <c r="AB21" s="492"/>
      <c r="AC21" s="310"/>
      <c r="AD21" s="310"/>
      <c r="AE21" s="311"/>
      <c r="AF21" s="310"/>
      <c r="AG21" s="310"/>
      <c r="AH21" s="491"/>
      <c r="AI21" s="310"/>
      <c r="AJ21" s="310"/>
      <c r="AK21" s="492"/>
      <c r="AL21" s="310"/>
      <c r="AM21" s="310"/>
      <c r="AN21" s="492"/>
      <c r="AO21" s="395"/>
      <c r="AP21" s="310"/>
      <c r="AQ21" s="505"/>
      <c r="AS21" s="292">
        <v>8</v>
      </c>
      <c r="AT21" s="292">
        <v>8</v>
      </c>
      <c r="AU21" s="292">
        <v>8</v>
      </c>
      <c r="AV21" s="292">
        <v>6</v>
      </c>
      <c r="AW21" s="511">
        <f>(D22+G22+J22+M22+P22+S22+V22+Y22)/1000</f>
        <v>1.1354559999999998</v>
      </c>
      <c r="AX21" s="511">
        <f>(D22+G22+J22+M22+P22+S22+V22+Y22)/1000</f>
        <v>1.1354559999999998</v>
      </c>
    </row>
    <row r="22" spans="1:50" s="310" customFormat="1">
      <c r="A22" s="384"/>
      <c r="B22" s="740" t="s">
        <v>181</v>
      </c>
      <c r="C22" s="740"/>
      <c r="D22" s="493">
        <v>251.57</v>
      </c>
      <c r="E22" s="692" t="s">
        <v>182</v>
      </c>
      <c r="F22" s="692"/>
      <c r="G22" s="493">
        <v>271.76</v>
      </c>
      <c r="H22" s="692" t="s">
        <v>183</v>
      </c>
      <c r="I22" s="692"/>
      <c r="J22" s="493">
        <v>261.04000000000002</v>
      </c>
      <c r="K22" s="692" t="s">
        <v>336</v>
      </c>
      <c r="L22" s="692"/>
      <c r="M22" s="493">
        <v>37.42</v>
      </c>
      <c r="N22" s="692" t="s">
        <v>192</v>
      </c>
      <c r="O22" s="692"/>
      <c r="P22" s="499">
        <v>71</v>
      </c>
      <c r="Q22" s="692" t="s">
        <v>193</v>
      </c>
      <c r="R22" s="692"/>
      <c r="S22" s="499">
        <v>37.520000000000003</v>
      </c>
      <c r="T22" s="741" t="s">
        <v>338</v>
      </c>
      <c r="U22" s="741"/>
      <c r="V22" s="499">
        <v>165.14699999999999</v>
      </c>
      <c r="W22" s="683" t="s">
        <v>340</v>
      </c>
      <c r="X22" s="683"/>
      <c r="Y22" s="503">
        <v>39.999000000000002</v>
      </c>
      <c r="AB22" s="491"/>
      <c r="AC22" s="683"/>
      <c r="AD22" s="683"/>
      <c r="AF22" s="683"/>
      <c r="AG22" s="683"/>
      <c r="AH22" s="491"/>
      <c r="AI22" s="683"/>
      <c r="AJ22" s="683"/>
      <c r="AK22" s="491"/>
      <c r="AL22" s="683"/>
      <c r="AM22" s="683"/>
      <c r="AN22" s="491"/>
      <c r="AO22" s="683"/>
      <c r="AP22" s="683"/>
      <c r="AQ22" s="504"/>
    </row>
    <row r="23" spans="1:50">
      <c r="A23" s="384"/>
      <c r="B23" s="683" t="s">
        <v>42</v>
      </c>
      <c r="C23" s="683"/>
      <c r="D23" s="491"/>
      <c r="E23" s="683" t="s">
        <v>42</v>
      </c>
      <c r="F23" s="683"/>
      <c r="G23" s="491"/>
      <c r="H23" s="310" t="s">
        <v>42</v>
      </c>
      <c r="I23" s="310"/>
      <c r="J23" s="491"/>
      <c r="K23" s="683" t="s">
        <v>34</v>
      </c>
      <c r="L23" s="683"/>
      <c r="M23" s="491"/>
      <c r="N23" s="683" t="s">
        <v>629</v>
      </c>
      <c r="O23" s="683"/>
      <c r="P23" s="491"/>
      <c r="Q23" s="683" t="s">
        <v>629</v>
      </c>
      <c r="R23" s="683"/>
      <c r="S23" s="491"/>
      <c r="T23" s="683" t="s">
        <v>34</v>
      </c>
      <c r="U23" s="683"/>
      <c r="V23" s="491"/>
      <c r="W23" s="683" t="s">
        <v>631</v>
      </c>
      <c r="X23" s="683"/>
      <c r="Y23" s="491"/>
      <c r="Z23" s="683"/>
      <c r="AA23" s="683"/>
      <c r="AB23" s="491"/>
      <c r="AC23" s="683"/>
      <c r="AD23" s="683"/>
      <c r="AE23" s="310"/>
      <c r="AF23" s="683"/>
      <c r="AG23" s="683"/>
      <c r="AH23" s="491"/>
      <c r="AI23" s="683"/>
      <c r="AJ23" s="683"/>
      <c r="AK23" s="491"/>
      <c r="AL23" s="683"/>
      <c r="AM23" s="683"/>
      <c r="AN23" s="491"/>
      <c r="AO23" s="683"/>
      <c r="AP23" s="683"/>
      <c r="AQ23" s="504"/>
    </row>
    <row r="24" spans="1:50">
      <c r="A24" s="384"/>
      <c r="B24" s="310"/>
      <c r="C24" s="310"/>
      <c r="D24" s="491"/>
      <c r="E24" s="310"/>
      <c r="F24" s="310"/>
      <c r="G24" s="491"/>
      <c r="H24" s="310"/>
      <c r="I24" s="310"/>
      <c r="K24" s="378"/>
      <c r="M24" s="496"/>
      <c r="O24" s="387"/>
      <c r="Q24" s="387"/>
      <c r="S24" s="500"/>
      <c r="U24" s="310"/>
      <c r="W24" s="310"/>
      <c r="X24" s="310"/>
      <c r="Y24" s="491"/>
      <c r="Z24" s="310"/>
      <c r="AA24" s="310"/>
      <c r="AB24" s="491"/>
      <c r="AC24" s="310"/>
      <c r="AD24" s="310"/>
      <c r="AE24" s="310"/>
      <c r="AF24" s="310"/>
      <c r="AG24" s="310"/>
      <c r="AH24" s="491"/>
      <c r="AI24" s="310"/>
      <c r="AJ24" s="310"/>
      <c r="AK24" s="491"/>
      <c r="AL24" s="310"/>
      <c r="AM24" s="310"/>
      <c r="AN24" s="491"/>
      <c r="AO24" s="310"/>
      <c r="AP24" s="310"/>
      <c r="AQ24" s="504"/>
    </row>
    <row r="25" spans="1:50" ht="15" thickBot="1">
      <c r="A25" s="393"/>
      <c r="B25" s="742"/>
      <c r="C25" s="742"/>
      <c r="D25" s="494"/>
      <c r="E25" s="742"/>
      <c r="F25" s="742"/>
      <c r="G25" s="494"/>
      <c r="H25" s="742"/>
      <c r="I25" s="742"/>
      <c r="J25" s="494"/>
      <c r="K25" s="742"/>
      <c r="L25" s="742"/>
      <c r="M25" s="494"/>
      <c r="N25" s="742"/>
      <c r="O25" s="742"/>
      <c r="P25" s="494"/>
      <c r="Q25" s="742"/>
      <c r="R25" s="742"/>
      <c r="S25" s="495"/>
      <c r="T25" s="288"/>
      <c r="U25" s="288"/>
      <c r="V25" s="495"/>
      <c r="W25" s="288"/>
      <c r="X25" s="288"/>
      <c r="Y25" s="495"/>
      <c r="Z25" s="288"/>
      <c r="AA25" s="288"/>
      <c r="AB25" s="495"/>
      <c r="AC25" s="288"/>
      <c r="AD25" s="288"/>
      <c r="AE25" s="288"/>
      <c r="AF25" s="288"/>
      <c r="AG25" s="288"/>
      <c r="AH25" s="495"/>
      <c r="AI25" s="288"/>
      <c r="AJ25" s="288"/>
      <c r="AK25" s="495"/>
      <c r="AL25" s="288"/>
      <c r="AM25" s="288"/>
      <c r="AN25" s="495"/>
      <c r="AO25" s="288"/>
      <c r="AP25" s="288"/>
      <c r="AQ25" s="502"/>
      <c r="AS25" s="292">
        <f t="shared" ref="AS25:AX25" si="0">+AS7+AS14+AS21</f>
        <v>28</v>
      </c>
      <c r="AT25" s="292">
        <f t="shared" si="0"/>
        <v>25</v>
      </c>
      <c r="AU25" s="292">
        <f t="shared" si="0"/>
        <v>23</v>
      </c>
      <c r="AV25" s="292">
        <f t="shared" si="0"/>
        <v>11</v>
      </c>
      <c r="AW25" s="511">
        <f t="shared" si="0"/>
        <v>1.3984059999999998</v>
      </c>
      <c r="AX25" s="511">
        <f t="shared" si="0"/>
        <v>1.3984059999999998</v>
      </c>
    </row>
    <row r="26" spans="1:50" ht="15.75" customHeight="1" thickBot="1">
      <c r="A26" s="383"/>
      <c r="B26" s="749" t="s">
        <v>632</v>
      </c>
      <c r="C26" s="742"/>
      <c r="D26" s="742"/>
      <c r="E26" s="742"/>
      <c r="F26" s="742"/>
      <c r="G26" s="742"/>
      <c r="H26" s="742"/>
      <c r="I26" s="742"/>
      <c r="J26" s="742"/>
      <c r="K26" s="742"/>
      <c r="L26" s="750"/>
      <c r="N26" s="749" t="s">
        <v>633</v>
      </c>
      <c r="O26" s="742"/>
      <c r="P26" s="742"/>
      <c r="Q26" s="742"/>
      <c r="R26" s="742"/>
      <c r="S26" s="742"/>
      <c r="T26" s="742"/>
      <c r="U26" s="742"/>
      <c r="V26" s="750"/>
      <c r="W26" s="754" t="s">
        <v>634</v>
      </c>
      <c r="X26" s="755"/>
      <c r="Y26" s="755"/>
      <c r="Z26" s="755"/>
      <c r="AA26" s="755"/>
      <c r="AB26" s="755"/>
      <c r="AC26" s="755"/>
      <c r="AD26" s="755"/>
      <c r="AE26" s="755"/>
      <c r="AF26" s="755"/>
      <c r="AG26" s="755"/>
      <c r="AH26" s="755"/>
      <c r="AI26" s="755"/>
      <c r="AJ26" s="755"/>
      <c r="AK26" s="755"/>
      <c r="AL26" s="755"/>
      <c r="AM26" s="755"/>
      <c r="AN26" s="758" t="s">
        <v>354</v>
      </c>
      <c r="AO26" s="758"/>
      <c r="AP26" s="758"/>
      <c r="AQ26" s="759"/>
    </row>
    <row r="27" spans="1:50" ht="15" customHeight="1">
      <c r="A27" s="383"/>
      <c r="B27" s="383"/>
      <c r="O27" s="388"/>
      <c r="V27" s="501"/>
      <c r="W27" s="756"/>
      <c r="X27" s="757"/>
      <c r="Y27" s="757"/>
      <c r="Z27" s="757"/>
      <c r="AA27" s="757"/>
      <c r="AB27" s="757"/>
      <c r="AC27" s="757"/>
      <c r="AD27" s="757"/>
      <c r="AE27" s="757"/>
      <c r="AF27" s="757"/>
      <c r="AG27" s="757"/>
      <c r="AH27" s="757"/>
      <c r="AI27" s="757"/>
      <c r="AJ27" s="757"/>
      <c r="AK27" s="757"/>
      <c r="AL27" s="757"/>
      <c r="AM27" s="757"/>
      <c r="AN27" s="760">
        <f>AS1</f>
        <v>46092</v>
      </c>
      <c r="AO27" s="760"/>
      <c r="AP27" s="760"/>
      <c r="AQ27" s="761"/>
    </row>
    <row r="28" spans="1:50">
      <c r="A28" s="383"/>
      <c r="B28" s="751" t="s">
        <v>471</v>
      </c>
      <c r="C28" s="752"/>
      <c r="D28" s="753"/>
      <c r="F28" s="654" t="s">
        <v>635</v>
      </c>
      <c r="G28" s="654"/>
      <c r="I28" s="654" t="s">
        <v>636</v>
      </c>
      <c r="J28" s="654"/>
      <c r="N28" s="656" t="s">
        <v>637</v>
      </c>
      <c r="O28" s="656"/>
      <c r="P28" s="747"/>
      <c r="R28" s="631" t="s">
        <v>638</v>
      </c>
      <c r="S28" s="632"/>
      <c r="T28" s="631"/>
      <c r="U28" s="632"/>
      <c r="V28" s="501"/>
      <c r="W28" s="762" t="s">
        <v>2</v>
      </c>
      <c r="X28" s="660"/>
      <c r="Y28" s="660" t="s">
        <v>356</v>
      </c>
      <c r="Z28" s="660"/>
      <c r="AA28" s="660"/>
      <c r="AB28" s="660"/>
      <c r="AC28" s="660" t="s">
        <v>639</v>
      </c>
      <c r="AD28" s="660"/>
      <c r="AE28" s="660" t="s">
        <v>640</v>
      </c>
      <c r="AF28" s="660"/>
      <c r="AG28" s="660"/>
      <c r="AH28" s="660" t="s">
        <v>32</v>
      </c>
      <c r="AI28" s="660"/>
      <c r="AJ28" s="660"/>
      <c r="AK28" s="660" t="s">
        <v>372</v>
      </c>
      <c r="AL28" s="660"/>
      <c r="AM28" s="660"/>
      <c r="AN28" s="660" t="s">
        <v>15</v>
      </c>
      <c r="AO28" s="660"/>
      <c r="AP28" s="660"/>
      <c r="AQ28" s="668"/>
    </row>
    <row r="29" spans="1:50">
      <c r="A29" s="383"/>
      <c r="B29" s="383"/>
      <c r="N29" s="656"/>
      <c r="O29" s="656"/>
      <c r="P29" s="747"/>
      <c r="R29" s="633"/>
      <c r="S29" s="634"/>
      <c r="T29" s="633"/>
      <c r="U29" s="634"/>
      <c r="V29" s="501"/>
      <c r="W29" s="746">
        <v>1</v>
      </c>
      <c r="X29" s="627"/>
      <c r="Y29" s="627" t="s">
        <v>376</v>
      </c>
      <c r="Z29" s="627"/>
      <c r="AA29" s="627"/>
      <c r="AB29" s="627"/>
      <c r="AC29" s="627" t="s">
        <v>377</v>
      </c>
      <c r="AD29" s="627"/>
      <c r="AE29" s="763">
        <v>9.23</v>
      </c>
      <c r="AF29" s="764"/>
      <c r="AG29" s="765"/>
      <c r="AH29" s="763">
        <v>9.23</v>
      </c>
      <c r="AI29" s="764"/>
      <c r="AJ29" s="765"/>
      <c r="AK29" s="627">
        <f t="shared" ref="AK29:AK37" si="1">AE29-AH29</f>
        <v>0</v>
      </c>
      <c r="AL29" s="627"/>
      <c r="AM29" s="627"/>
      <c r="AN29" s="627"/>
      <c r="AO29" s="627"/>
      <c r="AP29" s="627"/>
      <c r="AQ29" s="662"/>
    </row>
    <row r="30" spans="1:50">
      <c r="A30" s="383"/>
      <c r="B30" s="782" t="s">
        <v>469</v>
      </c>
      <c r="C30" s="783"/>
      <c r="D30" s="784"/>
      <c r="N30" s="656" t="s">
        <v>641</v>
      </c>
      <c r="O30" s="656"/>
      <c r="P30" s="747"/>
      <c r="R30" s="633"/>
      <c r="S30" s="634"/>
      <c r="T30" s="633"/>
      <c r="U30" s="634"/>
      <c r="V30" s="501"/>
      <c r="W30" s="746">
        <v>2</v>
      </c>
      <c r="X30" s="627"/>
      <c r="Y30" s="627" t="s">
        <v>378</v>
      </c>
      <c r="Z30" s="627"/>
      <c r="AA30" s="627"/>
      <c r="AB30" s="627"/>
      <c r="AC30" s="627" t="s">
        <v>377</v>
      </c>
      <c r="AD30" s="627"/>
      <c r="AE30" s="763">
        <v>9.23</v>
      </c>
      <c r="AF30" s="764"/>
      <c r="AG30" s="765"/>
      <c r="AH30" s="763">
        <v>9.23</v>
      </c>
      <c r="AI30" s="764"/>
      <c r="AJ30" s="765"/>
      <c r="AK30" s="627">
        <f t="shared" si="1"/>
        <v>0</v>
      </c>
      <c r="AL30" s="627"/>
      <c r="AM30" s="627"/>
      <c r="AN30" s="627"/>
      <c r="AO30" s="627"/>
      <c r="AP30" s="627"/>
      <c r="AQ30" s="662"/>
    </row>
    <row r="31" spans="1:50">
      <c r="A31" s="383"/>
      <c r="B31" s="383"/>
      <c r="N31" s="656"/>
      <c r="O31" s="656"/>
      <c r="P31" s="747"/>
      <c r="R31" s="635"/>
      <c r="S31" s="636"/>
      <c r="T31" s="635"/>
      <c r="U31" s="636"/>
      <c r="V31" s="501"/>
      <c r="W31" s="746">
        <v>3</v>
      </c>
      <c r="X31" s="627"/>
      <c r="Y31" s="627" t="s">
        <v>379</v>
      </c>
      <c r="Z31" s="627"/>
      <c r="AA31" s="627"/>
      <c r="AB31" s="627"/>
      <c r="AC31" s="627" t="s">
        <v>642</v>
      </c>
      <c r="AD31" s="627"/>
      <c r="AE31" s="627">
        <v>39</v>
      </c>
      <c r="AF31" s="627"/>
      <c r="AG31" s="627"/>
      <c r="AH31" s="627">
        <f>+AS25</f>
        <v>28</v>
      </c>
      <c r="AI31" s="627"/>
      <c r="AJ31" s="627"/>
      <c r="AK31" s="627">
        <f t="shared" si="1"/>
        <v>11</v>
      </c>
      <c r="AL31" s="627"/>
      <c r="AM31" s="627"/>
      <c r="AN31" s="627"/>
      <c r="AO31" s="627"/>
      <c r="AP31" s="627"/>
      <c r="AQ31" s="662"/>
    </row>
    <row r="32" spans="1:50">
      <c r="A32" s="383"/>
      <c r="B32" s="383"/>
      <c r="E32" s="748"/>
      <c r="F32" s="748"/>
      <c r="H32" s="785"/>
      <c r="I32" s="785"/>
      <c r="K32" s="748"/>
      <c r="L32" s="748"/>
      <c r="N32" s="656" t="s">
        <v>643</v>
      </c>
      <c r="O32" s="656"/>
      <c r="P32" s="747"/>
      <c r="R32" s="631" t="s">
        <v>452</v>
      </c>
      <c r="S32" s="632"/>
      <c r="T32" s="631"/>
      <c r="U32" s="632"/>
      <c r="V32" s="501"/>
      <c r="W32" s="746">
        <v>4</v>
      </c>
      <c r="X32" s="627"/>
      <c r="Y32" s="627" t="s">
        <v>381</v>
      </c>
      <c r="Z32" s="627"/>
      <c r="AA32" s="627"/>
      <c r="AB32" s="627"/>
      <c r="AC32" s="627" t="s">
        <v>642</v>
      </c>
      <c r="AD32" s="627"/>
      <c r="AE32" s="627">
        <v>39</v>
      </c>
      <c r="AF32" s="627"/>
      <c r="AG32" s="627"/>
      <c r="AH32" s="627">
        <f>+AT25</f>
        <v>25</v>
      </c>
      <c r="AI32" s="627"/>
      <c r="AJ32" s="627"/>
      <c r="AK32" s="627">
        <f t="shared" si="1"/>
        <v>14</v>
      </c>
      <c r="AL32" s="627"/>
      <c r="AM32" s="627"/>
      <c r="AN32" s="627"/>
      <c r="AO32" s="627"/>
      <c r="AP32" s="627"/>
      <c r="AQ32" s="662"/>
    </row>
    <row r="33" spans="1:43">
      <c r="A33" s="383"/>
      <c r="B33" s="389"/>
      <c r="C33" s="390"/>
      <c r="D33" s="391"/>
      <c r="E33" s="392"/>
      <c r="F33" s="304"/>
      <c r="G33" s="497"/>
      <c r="H33" s="292"/>
      <c r="I33" s="292"/>
      <c r="J33" s="497"/>
      <c r="K33" s="381"/>
      <c r="L33" s="292"/>
      <c r="M33" s="497"/>
      <c r="N33" s="656"/>
      <c r="O33" s="656"/>
      <c r="P33" s="747"/>
      <c r="R33" s="633"/>
      <c r="S33" s="634"/>
      <c r="T33" s="633"/>
      <c r="U33" s="634"/>
      <c r="V33" s="501"/>
      <c r="W33" s="746">
        <v>5</v>
      </c>
      <c r="X33" s="627"/>
      <c r="Y33" s="627" t="s">
        <v>469</v>
      </c>
      <c r="Z33" s="627"/>
      <c r="AA33" s="627"/>
      <c r="AB33" s="627"/>
      <c r="AC33" s="627" t="s">
        <v>642</v>
      </c>
      <c r="AD33" s="627"/>
      <c r="AE33" s="627">
        <v>39</v>
      </c>
      <c r="AF33" s="627"/>
      <c r="AG33" s="627"/>
      <c r="AH33" s="627">
        <f>+AU25</f>
        <v>23</v>
      </c>
      <c r="AI33" s="627"/>
      <c r="AJ33" s="627"/>
      <c r="AK33" s="627">
        <f t="shared" si="1"/>
        <v>16</v>
      </c>
      <c r="AL33" s="627"/>
      <c r="AM33" s="627"/>
      <c r="AN33" s="627"/>
      <c r="AO33" s="627"/>
      <c r="AP33" s="627"/>
      <c r="AQ33" s="662"/>
    </row>
    <row r="34" spans="1:43">
      <c r="A34" s="383"/>
      <c r="B34" s="743" t="s">
        <v>379</v>
      </c>
      <c r="C34" s="744"/>
      <c r="D34" s="745"/>
      <c r="E34" s="392"/>
      <c r="F34" s="392"/>
      <c r="G34" s="497"/>
      <c r="H34" s="292"/>
      <c r="I34" s="292"/>
      <c r="K34" s="381"/>
      <c r="L34" s="292"/>
      <c r="M34" s="497"/>
      <c r="N34" s="656" t="s">
        <v>644</v>
      </c>
      <c r="O34" s="656"/>
      <c r="P34" s="747"/>
      <c r="R34" s="633"/>
      <c r="S34" s="634"/>
      <c r="T34" s="633"/>
      <c r="U34" s="634"/>
      <c r="V34" s="501"/>
      <c r="W34" s="746">
        <v>6</v>
      </c>
      <c r="X34" s="627"/>
      <c r="Y34" s="627" t="s">
        <v>645</v>
      </c>
      <c r="Z34" s="627"/>
      <c r="AA34" s="627"/>
      <c r="AB34" s="627"/>
      <c r="AC34" s="627" t="s">
        <v>642</v>
      </c>
      <c r="AD34" s="627"/>
      <c r="AE34" s="627">
        <v>39</v>
      </c>
      <c r="AF34" s="627"/>
      <c r="AG34" s="627"/>
      <c r="AH34" s="627">
        <f>+AV25</f>
        <v>11</v>
      </c>
      <c r="AI34" s="627"/>
      <c r="AJ34" s="627"/>
      <c r="AK34" s="627">
        <f t="shared" si="1"/>
        <v>28</v>
      </c>
      <c r="AL34" s="627"/>
      <c r="AM34" s="627"/>
      <c r="AN34" s="661"/>
      <c r="AO34" s="770"/>
      <c r="AP34" s="770"/>
      <c r="AQ34" s="771"/>
    </row>
    <row r="35" spans="1:43">
      <c r="A35" s="383"/>
      <c r="B35" s="389" t="s">
        <v>646</v>
      </c>
      <c r="C35" s="390"/>
      <c r="E35" s="766" t="s">
        <v>38</v>
      </c>
      <c r="F35" s="766"/>
      <c r="G35" s="498">
        <v>293</v>
      </c>
      <c r="H35" s="767" t="s">
        <v>41</v>
      </c>
      <c r="I35" s="766"/>
      <c r="J35" s="508">
        <v>391</v>
      </c>
      <c r="K35" s="768" t="s">
        <v>45</v>
      </c>
      <c r="L35" s="769"/>
      <c r="M35" s="497"/>
      <c r="N35" s="656"/>
      <c r="O35" s="656"/>
      <c r="P35" s="747"/>
      <c r="R35" s="635"/>
      <c r="S35" s="636"/>
      <c r="T35" s="635"/>
      <c r="U35" s="636"/>
      <c r="V35" s="501"/>
      <c r="W35" s="746">
        <v>7</v>
      </c>
      <c r="X35" s="627"/>
      <c r="Y35" s="627" t="s">
        <v>647</v>
      </c>
      <c r="Z35" s="627"/>
      <c r="AA35" s="627"/>
      <c r="AB35" s="627"/>
      <c r="AC35" s="627" t="s">
        <v>377</v>
      </c>
      <c r="AD35" s="627"/>
      <c r="AE35" s="763">
        <v>9.23</v>
      </c>
      <c r="AF35" s="764"/>
      <c r="AG35" s="765"/>
      <c r="AH35" s="772">
        <f>+AX25</f>
        <v>1.3984059999999998</v>
      </c>
      <c r="AI35" s="772"/>
      <c r="AJ35" s="772"/>
      <c r="AK35" s="626">
        <f t="shared" si="1"/>
        <v>7.8315940000000008</v>
      </c>
      <c r="AL35" s="626"/>
      <c r="AM35" s="626"/>
      <c r="AN35" s="627"/>
      <c r="AO35" s="627"/>
      <c r="AP35" s="627"/>
      <c r="AQ35" s="662"/>
    </row>
    <row r="36" spans="1:43">
      <c r="A36" s="383"/>
      <c r="B36" s="389" t="s">
        <v>399</v>
      </c>
      <c r="C36" s="390"/>
      <c r="E36" s="778" t="s">
        <v>39</v>
      </c>
      <c r="F36" s="778"/>
      <c r="H36" s="778" t="s">
        <v>37</v>
      </c>
      <c r="I36" s="778"/>
      <c r="J36" s="508"/>
      <c r="K36" s="779" t="s">
        <v>46</v>
      </c>
      <c r="L36" s="780"/>
      <c r="M36" s="497"/>
      <c r="N36" s="656" t="s">
        <v>648</v>
      </c>
      <c r="O36" s="656"/>
      <c r="P36" s="747"/>
      <c r="R36" s="701" t="s">
        <v>438</v>
      </c>
      <c r="S36" s="701"/>
      <c r="T36" s="629"/>
      <c r="U36" s="629"/>
      <c r="V36" s="501"/>
      <c r="W36" s="746">
        <v>8</v>
      </c>
      <c r="X36" s="627"/>
      <c r="Y36" s="627" t="s">
        <v>649</v>
      </c>
      <c r="Z36" s="627"/>
      <c r="AA36" s="627"/>
      <c r="AB36" s="627"/>
      <c r="AC36" s="627" t="s">
        <v>377</v>
      </c>
      <c r="AD36" s="627"/>
      <c r="AE36" s="763">
        <v>9.23</v>
      </c>
      <c r="AF36" s="764"/>
      <c r="AG36" s="765"/>
      <c r="AH36" s="626">
        <f>+[1]Summary!M30</f>
        <v>0</v>
      </c>
      <c r="AI36" s="627"/>
      <c r="AJ36" s="627"/>
      <c r="AK36" s="627">
        <f t="shared" si="1"/>
        <v>9.23</v>
      </c>
      <c r="AL36" s="627"/>
      <c r="AM36" s="627"/>
      <c r="AN36" s="627"/>
      <c r="AO36" s="627"/>
      <c r="AP36" s="627"/>
      <c r="AQ36" s="662"/>
    </row>
    <row r="37" spans="1:43" ht="15" thickBot="1">
      <c r="A37" s="393"/>
      <c r="B37" s="393"/>
      <c r="C37" s="288"/>
      <c r="D37" s="495"/>
      <c r="E37" s="288"/>
      <c r="F37" s="655" t="s">
        <v>381</v>
      </c>
      <c r="G37" s="655"/>
      <c r="H37" s="288"/>
      <c r="I37" s="288"/>
      <c r="J37" s="655" t="s">
        <v>650</v>
      </c>
      <c r="K37" s="655"/>
      <c r="L37" s="655"/>
      <c r="M37" s="495"/>
      <c r="N37" s="657"/>
      <c r="O37" s="657"/>
      <c r="P37" s="781"/>
      <c r="Q37" s="288"/>
      <c r="R37" s="702"/>
      <c r="S37" s="702"/>
      <c r="T37" s="630"/>
      <c r="U37" s="630"/>
      <c r="V37" s="502"/>
      <c r="W37" s="777">
        <v>9</v>
      </c>
      <c r="X37" s="625"/>
      <c r="Y37" s="625" t="s">
        <v>390</v>
      </c>
      <c r="Z37" s="625"/>
      <c r="AA37" s="625"/>
      <c r="AB37" s="625"/>
      <c r="AC37" s="625" t="s">
        <v>377</v>
      </c>
      <c r="AD37" s="625"/>
      <c r="AE37" s="763">
        <v>9.23</v>
      </c>
      <c r="AF37" s="764"/>
      <c r="AG37" s="765"/>
      <c r="AH37" s="628">
        <f>+[1]Summary!M31</f>
        <v>0</v>
      </c>
      <c r="AI37" s="625"/>
      <c r="AJ37" s="625"/>
      <c r="AK37" s="625">
        <f t="shared" si="1"/>
        <v>9.23</v>
      </c>
      <c r="AL37" s="625"/>
      <c r="AM37" s="625"/>
      <c r="AN37" s="625"/>
      <c r="AO37" s="625"/>
      <c r="AP37" s="625"/>
      <c r="AQ37" s="650"/>
    </row>
    <row r="41" spans="1:43">
      <c r="AH41" s="773"/>
      <c r="AI41" s="773"/>
    </row>
  </sheetData>
  <mergeCells count="244"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3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0" t="str">
        <f>+Summary!A2</f>
        <v>Name of the Line: 220KV DC AL59 line from Neemuch - Chanderiya + 132KV DC ACSS Line from Chanderiya to Hindustan Zinc</v>
      </c>
      <c r="B1" s="791"/>
      <c r="C1" s="791"/>
      <c r="D1" s="791"/>
      <c r="E1" s="791"/>
      <c r="F1" s="791"/>
      <c r="G1" s="791"/>
      <c r="H1" s="792"/>
    </row>
    <row r="2" spans="1:8" ht="14.25" customHeight="1">
      <c r="A2" s="793" t="s">
        <v>651</v>
      </c>
      <c r="B2" s="794"/>
      <c r="C2" s="794"/>
      <c r="D2" s="794"/>
      <c r="E2" s="794"/>
      <c r="F2" s="794"/>
      <c r="G2" s="795"/>
      <c r="H2" s="235">
        <f>+Summary!R5</f>
        <v>46092</v>
      </c>
    </row>
    <row r="3" spans="1:8" ht="14.25" customHeight="1">
      <c r="A3" s="236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7" t="s">
        <v>15</v>
      </c>
    </row>
    <row r="4" spans="1:8" ht="14.25" customHeight="1">
      <c r="A4" s="238">
        <v>1</v>
      </c>
      <c r="B4" s="215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89"/>
    </row>
    <row r="5" spans="1:8" ht="14.25" customHeight="1">
      <c r="A5" s="238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87"/>
    </row>
    <row r="6" spans="1:8" ht="14.25" customHeight="1">
      <c r="A6" s="238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87"/>
    </row>
    <row r="7" spans="1:8" ht="14.25" customHeight="1">
      <c r="A7" s="238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87"/>
    </row>
    <row r="8" spans="1:8" ht="14.25" customHeight="1">
      <c r="A8" s="238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87"/>
    </row>
    <row r="9" spans="1:8" ht="14.25" customHeight="1">
      <c r="A9" s="238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87"/>
    </row>
    <row r="10" spans="1:8" ht="14.25" customHeight="1">
      <c r="A10" s="238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88"/>
    </row>
    <row r="11" spans="1:8" ht="14.25" customHeight="1">
      <c r="A11" s="238">
        <v>2</v>
      </c>
      <c r="B11" s="215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89"/>
    </row>
    <row r="12" spans="1:8" ht="14.25" customHeight="1">
      <c r="A12" s="238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87"/>
    </row>
    <row r="13" spans="1:8" ht="14.25" customHeight="1">
      <c r="A13" s="238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87"/>
    </row>
    <row r="14" spans="1:8" ht="14.25" customHeight="1">
      <c r="A14" s="238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87"/>
    </row>
    <row r="15" spans="1:8" ht="14.25" customHeight="1">
      <c r="A15" s="239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88"/>
    </row>
    <row r="16" spans="1:8" ht="14.25" customHeight="1">
      <c r="A16" s="239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9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40"/>
    </row>
    <row r="18" spans="1:8" ht="14.25" customHeight="1">
      <c r="A18" s="238">
        <v>3</v>
      </c>
      <c r="B18" s="215" t="s">
        <v>663</v>
      </c>
      <c r="C18" s="5" t="s">
        <v>664</v>
      </c>
      <c r="D18" s="241">
        <v>1</v>
      </c>
      <c r="E18" s="241"/>
      <c r="F18" s="241">
        <v>1</v>
      </c>
      <c r="G18" s="241">
        <f>+D18-F18</f>
        <v>0</v>
      </c>
      <c r="H18" s="242"/>
    </row>
    <row r="19" spans="1:8" ht="14.25" customHeight="1">
      <c r="A19" s="243">
        <v>4</v>
      </c>
      <c r="B19" s="215" t="s">
        <v>665</v>
      </c>
      <c r="C19" s="5" t="s">
        <v>664</v>
      </c>
      <c r="D19" s="241">
        <v>1</v>
      </c>
      <c r="E19" s="241"/>
      <c r="F19" s="241">
        <v>1</v>
      </c>
      <c r="G19" s="241">
        <f t="shared" ref="G19:G20" si="1">+D19-F19</f>
        <v>0</v>
      </c>
      <c r="H19" s="242"/>
    </row>
    <row r="20" spans="1:8" ht="14.25" customHeight="1">
      <c r="A20" s="244">
        <v>5</v>
      </c>
      <c r="B20" s="245" t="s">
        <v>390</v>
      </c>
      <c r="C20" s="246" t="s">
        <v>664</v>
      </c>
      <c r="D20" s="247">
        <v>1</v>
      </c>
      <c r="E20" s="247"/>
      <c r="F20" s="247">
        <v>1</v>
      </c>
      <c r="G20" s="247">
        <f t="shared" si="1"/>
        <v>0</v>
      </c>
      <c r="H20" s="248"/>
    </row>
    <row r="21" spans="1:8" ht="14.25" customHeight="1"/>
    <row r="22" spans="1:8" ht="14.25" customHeight="1">
      <c r="A22" s="793" t="s">
        <v>666</v>
      </c>
      <c r="B22" s="794"/>
      <c r="C22" s="794"/>
      <c r="D22" s="794"/>
      <c r="E22" s="794"/>
      <c r="F22" s="794"/>
      <c r="G22" s="795"/>
      <c r="H22" s="235">
        <f>+Summary!R5</f>
        <v>46092</v>
      </c>
    </row>
    <row r="23" spans="1:8" ht="14.25" customHeight="1">
      <c r="A23" s="236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7" t="s">
        <v>15</v>
      </c>
    </row>
    <row r="24" spans="1:8" ht="14.25" customHeight="1">
      <c r="A24" s="238">
        <v>1</v>
      </c>
      <c r="B24" s="215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6"/>
    </row>
    <row r="25" spans="1:8" ht="14.25" customHeight="1">
      <c r="A25" s="238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87"/>
    </row>
    <row r="26" spans="1:8" ht="14.25" customHeight="1">
      <c r="A26" s="238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88"/>
    </row>
    <row r="27" spans="1:8" ht="14.25" customHeight="1">
      <c r="A27" s="238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9"/>
    </row>
    <row r="28" spans="1:8" ht="14.25" customHeight="1">
      <c r="A28" s="238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9"/>
    </row>
    <row r="29" spans="1:8" ht="14.25" customHeight="1">
      <c r="A29" s="238"/>
      <c r="B29" s="5" t="s">
        <v>716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9"/>
    </row>
    <row r="30" spans="1:8" ht="14.25" customHeight="1">
      <c r="A30" s="238">
        <v>2</v>
      </c>
      <c r="B30" s="215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89"/>
    </row>
    <row r="31" spans="1:8" ht="14.25" customHeight="1">
      <c r="A31" s="238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87"/>
    </row>
    <row r="32" spans="1:8" ht="14.25" customHeight="1">
      <c r="A32" s="239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88"/>
    </row>
    <row r="33" spans="1:8" ht="14.25" customHeight="1">
      <c r="A33" s="239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2"/>
    </row>
    <row r="34" spans="1:8" ht="14.25" customHeight="1">
      <c r="A34" s="239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50"/>
    </row>
    <row r="35" spans="1:8" ht="14.25" customHeight="1">
      <c r="A35" s="239"/>
      <c r="B35" s="5" t="s">
        <v>716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50"/>
    </row>
    <row r="36" spans="1:8" ht="14.25" customHeight="1">
      <c r="A36" s="238">
        <v>3</v>
      </c>
      <c r="B36" s="215" t="s">
        <v>663</v>
      </c>
      <c r="C36" s="5" t="s">
        <v>664</v>
      </c>
      <c r="D36" s="241">
        <v>1</v>
      </c>
      <c r="E36" s="241"/>
      <c r="F36" s="241">
        <v>1</v>
      </c>
      <c r="G36" s="241">
        <f t="shared" ref="G36:G38" si="4">+D36-F36</f>
        <v>0</v>
      </c>
      <c r="H36" s="242"/>
    </row>
    <row r="37" spans="1:8" ht="14.25" customHeight="1">
      <c r="A37" s="243">
        <v>4</v>
      </c>
      <c r="B37" s="215" t="s">
        <v>665</v>
      </c>
      <c r="C37" s="5" t="s">
        <v>664</v>
      </c>
      <c r="D37" s="241">
        <v>1</v>
      </c>
      <c r="E37" s="241"/>
      <c r="F37" s="241">
        <v>1</v>
      </c>
      <c r="G37" s="241">
        <f t="shared" si="4"/>
        <v>0</v>
      </c>
      <c r="H37" s="242"/>
    </row>
    <row r="38" spans="1:8" ht="14.25" customHeight="1">
      <c r="A38" s="244">
        <v>5</v>
      </c>
      <c r="B38" s="245" t="s">
        <v>390</v>
      </c>
      <c r="C38" s="246" t="s">
        <v>664</v>
      </c>
      <c r="D38" s="247">
        <v>1</v>
      </c>
      <c r="E38" s="247"/>
      <c r="F38" s="247">
        <v>1</v>
      </c>
      <c r="G38" s="247">
        <f t="shared" si="4"/>
        <v>0</v>
      </c>
      <c r="H38" s="248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D10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6" customWidth="1"/>
    <col min="17" max="26" width="9.08984375" customWidth="1"/>
  </cols>
  <sheetData>
    <row r="1" spans="1:18" ht="20.25" customHeight="1">
      <c r="A1" s="796" t="str">
        <f>+Summary!A5</f>
        <v>Progress of 220kV Line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251" t="s">
        <v>674</v>
      </c>
      <c r="P1" s="252">
        <f>+Summary!R5</f>
        <v>46092</v>
      </c>
      <c r="Q1" s="253"/>
      <c r="R1" s="253" t="s">
        <v>0</v>
      </c>
    </row>
    <row r="2" spans="1:18" ht="29.25" customHeight="1">
      <c r="A2" s="797" t="s">
        <v>355</v>
      </c>
      <c r="B2" s="799" t="s">
        <v>675</v>
      </c>
      <c r="C2" s="799" t="s">
        <v>357</v>
      </c>
      <c r="D2" s="800" t="s">
        <v>676</v>
      </c>
      <c r="E2" s="801" t="s">
        <v>677</v>
      </c>
      <c r="F2" s="795"/>
      <c r="G2" s="801" t="str">
        <f>+Summary!I6</f>
        <v>Progress of Current Month (March'26)</v>
      </c>
      <c r="H2" s="794"/>
      <c r="I2" s="795"/>
      <c r="J2" s="801" t="s">
        <v>361</v>
      </c>
      <c r="K2" s="794"/>
      <c r="L2" s="795"/>
      <c r="M2" s="801" t="str">
        <f>+Summary!O6</f>
        <v>Resources Status</v>
      </c>
      <c r="N2" s="794"/>
      <c r="O2" s="795"/>
      <c r="P2" s="802" t="s">
        <v>15</v>
      </c>
      <c r="Q2" s="253"/>
      <c r="R2" s="253"/>
    </row>
    <row r="3" spans="1:18" ht="12.75" customHeight="1">
      <c r="A3" s="798"/>
      <c r="B3" s="541"/>
      <c r="C3" s="541"/>
      <c r="D3" s="541"/>
      <c r="E3" s="254" t="s">
        <v>678</v>
      </c>
      <c r="F3" s="254" t="s">
        <v>679</v>
      </c>
      <c r="G3" s="254" t="s">
        <v>680</v>
      </c>
      <c r="H3" s="254" t="s">
        <v>681</v>
      </c>
      <c r="I3" s="254" t="s">
        <v>682</v>
      </c>
      <c r="J3" s="254" t="s">
        <v>680</v>
      </c>
      <c r="K3" s="254" t="s">
        <v>32</v>
      </c>
      <c r="L3" s="254" t="s">
        <v>372</v>
      </c>
      <c r="M3" s="255" t="str">
        <f>+Summary!O7</f>
        <v>Targeted Gang</v>
      </c>
      <c r="N3" s="255" t="str">
        <f>+Summary!P7</f>
        <v>Available Gang</v>
      </c>
      <c r="O3" s="255" t="str">
        <f>+Summary!Q7</f>
        <v>Shortfall
Gang</v>
      </c>
      <c r="P3" s="803"/>
      <c r="Q3" s="253"/>
      <c r="R3" s="253"/>
    </row>
    <row r="4" spans="1:18" ht="12.75" customHeight="1">
      <c r="A4" s="256">
        <v>1</v>
      </c>
      <c r="B4" s="257" t="s">
        <v>376</v>
      </c>
      <c r="C4" s="258" t="s">
        <v>683</v>
      </c>
      <c r="D4" s="259">
        <f>+Summary!D8</f>
        <v>64</v>
      </c>
      <c r="E4" s="259">
        <f>+Summary!G8</f>
        <v>64</v>
      </c>
      <c r="F4" s="259">
        <v>64.177999999999997</v>
      </c>
      <c r="G4" s="260">
        <f>+Summary!I8</f>
        <v>0</v>
      </c>
      <c r="H4" s="261">
        <f>+Summary!J8</f>
        <v>0</v>
      </c>
      <c r="I4" s="260" t="s">
        <v>416</v>
      </c>
      <c r="J4" s="260">
        <f>+Summary!L8</f>
        <v>64</v>
      </c>
      <c r="K4" s="260">
        <v>64.177999999999997</v>
      </c>
      <c r="L4" s="260">
        <f>+Summary!N8</f>
        <v>-0.17799999999999727</v>
      </c>
      <c r="M4" s="262" t="s">
        <v>416</v>
      </c>
      <c r="N4" s="262" t="s">
        <v>416</v>
      </c>
      <c r="O4" s="262">
        <f>+Summary!Q8</f>
        <v>0</v>
      </c>
      <c r="P4" s="410"/>
      <c r="Q4" s="253"/>
      <c r="R4" s="253"/>
    </row>
    <row r="5" spans="1:18" ht="32.25" customHeight="1">
      <c r="A5" s="256">
        <v>2</v>
      </c>
      <c r="B5" s="257" t="s">
        <v>378</v>
      </c>
      <c r="C5" s="258" t="s">
        <v>683</v>
      </c>
      <c r="D5" s="259">
        <f>+Summary!D9</f>
        <v>64</v>
      </c>
      <c r="E5" s="259">
        <f>+Summary!G9</f>
        <v>64</v>
      </c>
      <c r="F5" s="259">
        <v>62.39</v>
      </c>
      <c r="G5" s="259">
        <f>+Summary!I9</f>
        <v>0</v>
      </c>
      <c r="H5" s="261">
        <f>+Summary!J9</f>
        <v>0</v>
      </c>
      <c r="I5" s="259">
        <v>0</v>
      </c>
      <c r="J5" s="260">
        <f>+Summary!L9</f>
        <v>64</v>
      </c>
      <c r="K5" s="259">
        <f t="shared" ref="K5:K7" si="0">+F5+I5</f>
        <v>62.39</v>
      </c>
      <c r="L5" s="259">
        <f>+Summary!N9</f>
        <v>-0.17799999999999727</v>
      </c>
      <c r="M5" s="262">
        <f>+Summary!O9</f>
        <v>0</v>
      </c>
      <c r="N5" s="262">
        <f>+Summary!P9</f>
        <v>0</v>
      </c>
      <c r="O5" s="262">
        <f>+Summary!Q9</f>
        <v>0</v>
      </c>
      <c r="P5" s="410"/>
      <c r="Q5" s="253"/>
      <c r="R5" s="253"/>
    </row>
    <row r="6" spans="1:18" ht="12.75" customHeight="1">
      <c r="A6" s="256">
        <v>3</v>
      </c>
      <c r="B6" s="263" t="s">
        <v>379</v>
      </c>
      <c r="C6" s="258" t="s">
        <v>642</v>
      </c>
      <c r="D6" s="264">
        <f>+Summary!D10</f>
        <v>199</v>
      </c>
      <c r="E6" s="264">
        <f>+Summary!G10</f>
        <v>199</v>
      </c>
      <c r="F6" s="259">
        <f>+Summary!H10</f>
        <v>195</v>
      </c>
      <c r="G6" s="259">
        <f>+Summary!I10</f>
        <v>4</v>
      </c>
      <c r="H6" s="261">
        <f>+Summary!J10</f>
        <v>1</v>
      </c>
      <c r="I6" s="259">
        <f>+Summary!K10</f>
        <v>0</v>
      </c>
      <c r="J6" s="260">
        <f>+Summary!L10</f>
        <v>199</v>
      </c>
      <c r="K6" s="259">
        <f t="shared" si="0"/>
        <v>195</v>
      </c>
      <c r="L6" s="259">
        <f>+Summary!N10</f>
        <v>4</v>
      </c>
      <c r="M6" s="804">
        <f>Summary!O10</f>
        <v>0</v>
      </c>
      <c r="N6" s="804">
        <f>Summary!P10</f>
        <v>0</v>
      </c>
      <c r="O6" s="804">
        <f>Summary!Q10</f>
        <v>0</v>
      </c>
      <c r="P6" s="805">
        <f>+Summary!R10</f>
        <v>0</v>
      </c>
      <c r="Q6" s="253"/>
      <c r="R6" s="253"/>
    </row>
    <row r="7" spans="1:18" ht="12.75" customHeight="1">
      <c r="A7" s="256">
        <v>4</v>
      </c>
      <c r="B7" s="263" t="s">
        <v>381</v>
      </c>
      <c r="C7" s="258" t="s">
        <v>642</v>
      </c>
      <c r="D7" s="264">
        <f>+Summary!D11</f>
        <v>199</v>
      </c>
      <c r="E7" s="264">
        <f>+Summary!G11</f>
        <v>199</v>
      </c>
      <c r="F7" s="259">
        <f>+Summary!H11</f>
        <v>195</v>
      </c>
      <c r="G7" s="259">
        <f>+Summary!I11</f>
        <v>4</v>
      </c>
      <c r="H7" s="261">
        <f>+Summary!J11</f>
        <v>0</v>
      </c>
      <c r="I7" s="259">
        <f>+Summary!K11</f>
        <v>0</v>
      </c>
      <c r="J7" s="260">
        <f>+Summary!L11</f>
        <v>199</v>
      </c>
      <c r="K7" s="259">
        <f t="shared" si="0"/>
        <v>195</v>
      </c>
      <c r="L7" s="259">
        <f>+Summary!N11</f>
        <v>4</v>
      </c>
      <c r="M7" s="541"/>
      <c r="N7" s="541"/>
      <c r="O7" s="541"/>
      <c r="P7" s="803"/>
      <c r="Q7" s="253"/>
      <c r="R7" s="265"/>
    </row>
    <row r="8" spans="1:18" ht="12.75" customHeight="1">
      <c r="A8" s="256">
        <v>5</v>
      </c>
      <c r="B8" s="263" t="s">
        <v>382</v>
      </c>
      <c r="C8" s="258" t="s">
        <v>642</v>
      </c>
      <c r="D8" s="264">
        <f>+Summary!D12</f>
        <v>199</v>
      </c>
      <c r="E8" s="259">
        <f>Summary!G12</f>
        <v>199</v>
      </c>
      <c r="F8" s="259">
        <f>Summary!H12</f>
        <v>194</v>
      </c>
      <c r="G8" s="260">
        <f>Summary!I12</f>
        <v>5</v>
      </c>
      <c r="H8" s="261">
        <f>+Summary!J12</f>
        <v>0</v>
      </c>
      <c r="I8" s="260">
        <f>Summary!K12</f>
        <v>0</v>
      </c>
      <c r="J8" s="260">
        <f>+Summary!L12</f>
        <v>199</v>
      </c>
      <c r="K8" s="260">
        <f>+Summary!M12</f>
        <v>194</v>
      </c>
      <c r="L8" s="260">
        <f>+Summary!N12</f>
        <v>5</v>
      </c>
      <c r="M8" s="258">
        <f>+Summary!O12</f>
        <v>0</v>
      </c>
      <c r="N8" s="258">
        <f>+Summary!P12</f>
        <v>0</v>
      </c>
      <c r="O8" s="258">
        <f>+Summary!Q12</f>
        <v>0</v>
      </c>
      <c r="P8" s="266">
        <f>+Summary!R12</f>
        <v>0</v>
      </c>
      <c r="Q8" s="253"/>
      <c r="R8" s="253"/>
    </row>
    <row r="9" spans="1:18" ht="12.75" customHeight="1">
      <c r="A9" s="256">
        <v>6</v>
      </c>
      <c r="B9" s="263" t="s">
        <v>471</v>
      </c>
      <c r="C9" s="258" t="s">
        <v>642</v>
      </c>
      <c r="D9" s="264">
        <f>Summary!D13</f>
        <v>199</v>
      </c>
      <c r="E9" s="259">
        <f>Summary!G13</f>
        <v>199</v>
      </c>
      <c r="F9" s="259">
        <f>Summary!H13</f>
        <v>182</v>
      </c>
      <c r="G9" s="260">
        <f>Summary!I13</f>
        <v>27</v>
      </c>
      <c r="H9" s="261">
        <f>+Summary!J13</f>
        <v>0</v>
      </c>
      <c r="I9" s="260">
        <f>+Summary!K13</f>
        <v>0</v>
      </c>
      <c r="J9" s="260">
        <f>+Summary!L13</f>
        <v>199</v>
      </c>
      <c r="K9" s="260">
        <f>+Summary!M13</f>
        <v>182</v>
      </c>
      <c r="L9" s="260">
        <f>+Summary!N13</f>
        <v>17</v>
      </c>
      <c r="M9" s="258">
        <f>+Summary!O13</f>
        <v>1</v>
      </c>
      <c r="N9" s="258">
        <f>+Summary!P13</f>
        <v>0</v>
      </c>
      <c r="O9" s="258">
        <f>+Summary!Q13</f>
        <v>1</v>
      </c>
      <c r="P9" s="266">
        <f>+Summary!R13</f>
        <v>0</v>
      </c>
      <c r="Q9" s="253"/>
      <c r="R9" s="253"/>
    </row>
    <row r="10" spans="1:18" ht="12.75" customHeight="1">
      <c r="A10" s="256">
        <v>7</v>
      </c>
      <c r="B10" s="263" t="s">
        <v>384</v>
      </c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8"/>
      <c r="N10" s="258"/>
      <c r="O10" s="258"/>
      <c r="P10" s="806" t="str">
        <f>Summary!R14</f>
        <v>Conductor Paying out insection AP8D/0 to 8C/0 (33KV Shutdown)</v>
      </c>
      <c r="Q10" s="253"/>
      <c r="R10" s="253"/>
    </row>
    <row r="11" spans="1:18" ht="29.5" customHeight="1">
      <c r="A11" s="256" t="s">
        <v>385</v>
      </c>
      <c r="B11" s="267" t="s">
        <v>386</v>
      </c>
      <c r="C11" s="258" t="s">
        <v>684</v>
      </c>
      <c r="D11" s="259">
        <f>+Summary!D14</f>
        <v>0</v>
      </c>
      <c r="E11" s="259">
        <f>+Summary!G15</f>
        <v>64</v>
      </c>
      <c r="F11" s="512">
        <f>+Summary!H15</f>
        <v>58.5</v>
      </c>
      <c r="G11" s="259">
        <f>+Summary!I15</f>
        <v>5.5</v>
      </c>
      <c r="H11" s="261">
        <f>+Summary!J15</f>
        <v>0</v>
      </c>
      <c r="I11" s="259">
        <f>+Summary!K15</f>
        <v>1.0635750000000002</v>
      </c>
      <c r="J11" s="259">
        <f t="shared" ref="J11:J12" si="1">J10</f>
        <v>0</v>
      </c>
      <c r="K11" s="259">
        <f>+Summary!M15</f>
        <v>59.563575</v>
      </c>
      <c r="L11" s="512">
        <f>+Summary!N15</f>
        <v>4.4364249999999998</v>
      </c>
      <c r="M11" s="262">
        <f>+Summary!O15</f>
        <v>2</v>
      </c>
      <c r="N11" s="262">
        <f>+Summary!P15</f>
        <v>1</v>
      </c>
      <c r="O11" s="262">
        <f>+Summary!Q15</f>
        <v>1</v>
      </c>
      <c r="P11" s="808"/>
      <c r="Q11" s="253"/>
      <c r="R11" s="253"/>
    </row>
    <row r="12" spans="1:18" ht="12.75" customHeight="1">
      <c r="A12" s="256" t="s">
        <v>387</v>
      </c>
      <c r="B12" s="267" t="s">
        <v>388</v>
      </c>
      <c r="C12" s="258" t="s">
        <v>684</v>
      </c>
      <c r="D12" s="259">
        <f>+Summary!D16</f>
        <v>64</v>
      </c>
      <c r="E12" s="259">
        <f>+Summary!G16</f>
        <v>64</v>
      </c>
      <c r="F12" s="512">
        <f>+Summary!H16</f>
        <v>57.4</v>
      </c>
      <c r="G12" s="259">
        <f>+Summary!I16</f>
        <v>7</v>
      </c>
      <c r="H12" s="261">
        <f>+Summary!J16</f>
        <v>0</v>
      </c>
      <c r="I12" s="259">
        <f>+Summary!K16</f>
        <v>1.0603249999999989</v>
      </c>
      <c r="J12" s="259">
        <f t="shared" si="1"/>
        <v>0</v>
      </c>
      <c r="K12" s="259">
        <f>+Summary!M16</f>
        <v>58.460324999999997</v>
      </c>
      <c r="L12" s="512">
        <f>+Summary!N16</f>
        <v>5.5396750000000026</v>
      </c>
      <c r="M12" s="262">
        <f>+Summary!O16</f>
        <v>0</v>
      </c>
      <c r="N12" s="262">
        <f>+Summary!P16</f>
        <v>0</v>
      </c>
      <c r="O12" s="262">
        <f>+Summary!Q16</f>
        <v>0</v>
      </c>
      <c r="P12" s="807"/>
      <c r="Q12" s="253"/>
      <c r="R12" s="253"/>
    </row>
    <row r="13" spans="1:18" ht="12.75" customHeight="1">
      <c r="A13" s="268" t="s">
        <v>389</v>
      </c>
      <c r="B13" s="269" t="s">
        <v>390</v>
      </c>
      <c r="C13" s="270" t="s">
        <v>684</v>
      </c>
      <c r="D13" s="271">
        <f>Summary!D17</f>
        <v>64</v>
      </c>
      <c r="E13" s="271">
        <f>+Summary!G17</f>
        <v>64</v>
      </c>
      <c r="F13" s="271">
        <f>+Summary!H17</f>
        <v>39.299999999999997</v>
      </c>
      <c r="G13" s="271">
        <f>+Summary!I17</f>
        <v>25</v>
      </c>
      <c r="H13" s="271">
        <f>+Summary!J17</f>
        <v>0</v>
      </c>
      <c r="I13" s="271">
        <f>+Summary!K17</f>
        <v>1.0409999999936304E-3</v>
      </c>
      <c r="J13" s="271">
        <f>+Summary!L17</f>
        <v>64</v>
      </c>
      <c r="K13" s="271">
        <f>+Summary!M17</f>
        <v>39.301040999999991</v>
      </c>
      <c r="L13" s="271">
        <f>+Summary!N17</f>
        <v>24.698959000000009</v>
      </c>
      <c r="M13" s="271">
        <f>+Summary!O17</f>
        <v>1</v>
      </c>
      <c r="N13" s="271">
        <f>+Summary!P17</f>
        <v>0</v>
      </c>
      <c r="O13" s="271">
        <f>+Summary!Q17</f>
        <v>1</v>
      </c>
      <c r="P13" s="411">
        <f>+Summary!R17</f>
        <v>0</v>
      </c>
      <c r="Q13" s="253"/>
      <c r="R13" s="253"/>
    </row>
    <row r="14" spans="1:18" ht="12.75" customHeight="1">
      <c r="A14" s="253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412"/>
      <c r="Q14" s="253"/>
      <c r="R14" s="253"/>
    </row>
    <row r="15" spans="1:18" ht="12.75" customHeight="1">
      <c r="A15" s="796" t="str">
        <f>+Summary!A19</f>
        <v>Progress of 132kV Line</v>
      </c>
      <c r="B15" s="791"/>
      <c r="C15" s="791"/>
      <c r="D15" s="791"/>
      <c r="E15" s="791"/>
      <c r="F15" s="791"/>
      <c r="G15" s="791"/>
      <c r="H15" s="791"/>
      <c r="I15" s="791"/>
      <c r="J15" s="791"/>
      <c r="K15" s="791"/>
      <c r="L15" s="791"/>
      <c r="M15" s="791"/>
      <c r="N15" s="791"/>
      <c r="O15" s="251" t="s">
        <v>674</v>
      </c>
      <c r="P15" s="252">
        <f>+Summary!R19</f>
        <v>46092</v>
      </c>
      <c r="Q15" s="253"/>
      <c r="R15" s="253"/>
    </row>
    <row r="16" spans="1:18" ht="28.5" customHeight="1">
      <c r="A16" s="797" t="s">
        <v>355</v>
      </c>
      <c r="B16" s="799" t="s">
        <v>675</v>
      </c>
      <c r="C16" s="799" t="s">
        <v>357</v>
      </c>
      <c r="D16" s="800" t="s">
        <v>676</v>
      </c>
      <c r="E16" s="801" t="s">
        <v>677</v>
      </c>
      <c r="F16" s="795"/>
      <c r="G16" s="801" t="str">
        <f>+Summary!I20</f>
        <v>Progress of Current Month (March'26)</v>
      </c>
      <c r="H16" s="794"/>
      <c r="I16" s="795"/>
      <c r="J16" s="801" t="s">
        <v>361</v>
      </c>
      <c r="K16" s="794"/>
      <c r="L16" s="795"/>
      <c r="M16" s="801" t="str">
        <f>+Summary!O20</f>
        <v>Resources Status</v>
      </c>
      <c r="N16" s="794"/>
      <c r="O16" s="795"/>
      <c r="P16" s="802" t="s">
        <v>15</v>
      </c>
      <c r="Q16" s="253"/>
      <c r="R16" s="253"/>
    </row>
    <row r="17" spans="1:16" ht="12.75" customHeight="1">
      <c r="A17" s="798"/>
      <c r="B17" s="541"/>
      <c r="C17" s="541"/>
      <c r="D17" s="541"/>
      <c r="E17" s="254" t="s">
        <v>678</v>
      </c>
      <c r="F17" s="254" t="s">
        <v>679</v>
      </c>
      <c r="G17" s="254" t="s">
        <v>680</v>
      </c>
      <c r="H17" s="254" t="s">
        <v>681</v>
      </c>
      <c r="I17" s="254" t="s">
        <v>682</v>
      </c>
      <c r="J17" s="254" t="s">
        <v>680</v>
      </c>
      <c r="K17" s="254" t="s">
        <v>32</v>
      </c>
      <c r="L17" s="254" t="s">
        <v>372</v>
      </c>
      <c r="M17" s="255" t="str">
        <f>+Summary!O21</f>
        <v>Targeted Gang</v>
      </c>
      <c r="N17" s="255" t="str">
        <f>+Summary!P21</f>
        <v>Available Gang</v>
      </c>
      <c r="O17" s="255" t="str">
        <f>+Summary!Q21</f>
        <v>Shortfall
Gang</v>
      </c>
      <c r="P17" s="803"/>
    </row>
    <row r="18" spans="1:16" ht="12.75" customHeight="1">
      <c r="A18" s="256">
        <v>1</v>
      </c>
      <c r="B18" s="257" t="s">
        <v>376</v>
      </c>
      <c r="C18" s="258" t="s">
        <v>683</v>
      </c>
      <c r="D18" s="259">
        <f>+Summary!D22</f>
        <v>9</v>
      </c>
      <c r="E18" s="259">
        <f>+Summary!G22</f>
        <v>9</v>
      </c>
      <c r="F18" s="259">
        <f>+Summary!H22</f>
        <v>9</v>
      </c>
      <c r="G18" s="259">
        <f>+Summary!I22</f>
        <v>0</v>
      </c>
      <c r="H18" s="261">
        <f>+Summary!J22</f>
        <v>0</v>
      </c>
      <c r="I18" s="272">
        <f>+Summary!K22</f>
        <v>0</v>
      </c>
      <c r="J18" s="260">
        <f>+Summary!L22</f>
        <v>9</v>
      </c>
      <c r="K18" s="260">
        <f>+Summary!M22</f>
        <v>9</v>
      </c>
      <c r="L18" s="260">
        <f>+Summary!N22</f>
        <v>0</v>
      </c>
      <c r="M18" s="262">
        <f>+Summary!O22</f>
        <v>0</v>
      </c>
      <c r="N18" s="262">
        <f>+Summary!P22</f>
        <v>0</v>
      </c>
      <c r="O18" s="262">
        <f>+Summary!Q22</f>
        <v>0</v>
      </c>
      <c r="P18" s="273">
        <f>+Summary!R22</f>
        <v>0</v>
      </c>
    </row>
    <row r="19" spans="1:16" ht="12.75" customHeight="1">
      <c r="A19" s="256">
        <v>2</v>
      </c>
      <c r="B19" s="257" t="s">
        <v>378</v>
      </c>
      <c r="C19" s="258" t="s">
        <v>683</v>
      </c>
      <c r="D19" s="259">
        <f>+Summary!D23</f>
        <v>9</v>
      </c>
      <c r="E19" s="259">
        <f>+Summary!G23</f>
        <v>9</v>
      </c>
      <c r="F19" s="259">
        <f>+Summary!H23</f>
        <v>9</v>
      </c>
      <c r="G19" s="259">
        <f>+Summary!I23</f>
        <v>0</v>
      </c>
      <c r="H19" s="261">
        <f>+Summary!J23</f>
        <v>0</v>
      </c>
      <c r="I19" s="274">
        <f>+Summary!K23</f>
        <v>0</v>
      </c>
      <c r="J19" s="260">
        <f>+Summary!L23</f>
        <v>9</v>
      </c>
      <c r="K19" s="259">
        <f t="shared" ref="K19:K21" si="2">+F19+I19</f>
        <v>9</v>
      </c>
      <c r="L19" s="259">
        <f>+Summary!N23</f>
        <v>0</v>
      </c>
      <c r="M19" s="262">
        <f>+Summary!O23</f>
        <v>0</v>
      </c>
      <c r="N19" s="262">
        <f>+Summary!P23</f>
        <v>0</v>
      </c>
      <c r="O19" s="262">
        <f>+Summary!Q23</f>
        <v>0</v>
      </c>
      <c r="P19" s="266">
        <f>+Summary!R23</f>
        <v>0</v>
      </c>
    </row>
    <row r="20" spans="1:16" ht="39.5" customHeight="1">
      <c r="A20" s="256">
        <v>3</v>
      </c>
      <c r="B20" s="263" t="s">
        <v>379</v>
      </c>
      <c r="C20" s="258" t="s">
        <v>642</v>
      </c>
      <c r="D20" s="264">
        <f>+Summary!D24</f>
        <v>39</v>
      </c>
      <c r="E20" s="264">
        <f>+Summary!G24</f>
        <v>39</v>
      </c>
      <c r="F20" s="259">
        <f>+Summary!H24</f>
        <v>27</v>
      </c>
      <c r="G20" s="259">
        <f>+Summary!I24</f>
        <v>12</v>
      </c>
      <c r="H20" s="261">
        <f>+Summary!J24</f>
        <v>0</v>
      </c>
      <c r="I20" s="275">
        <f>+Summary!K24</f>
        <v>1</v>
      </c>
      <c r="J20" s="260">
        <f>+Summary!L24</f>
        <v>39</v>
      </c>
      <c r="K20" s="259">
        <f t="shared" si="2"/>
        <v>28</v>
      </c>
      <c r="L20" s="259">
        <f>+Summary!N24</f>
        <v>11</v>
      </c>
      <c r="M20" s="809">
        <f>Summary!O24</f>
        <v>2</v>
      </c>
      <c r="N20" s="809">
        <f>Summary!P24</f>
        <v>2</v>
      </c>
      <c r="O20" s="809">
        <f>Summary!Q24</f>
        <v>0</v>
      </c>
      <c r="P20" s="805" t="str">
        <f>+Summary!R24</f>
        <v xml:space="preserve">
1/0 Excavation U/P
4/1  RCC U/P 
4/2 RCC U/P 
6/4 Excavation Completed
</v>
      </c>
    </row>
    <row r="21" spans="1:16" ht="39.5" customHeight="1">
      <c r="A21" s="256">
        <v>4</v>
      </c>
      <c r="B21" s="263" t="s">
        <v>381</v>
      </c>
      <c r="C21" s="258" t="s">
        <v>642</v>
      </c>
      <c r="D21" s="264">
        <f>+Summary!D25</f>
        <v>39</v>
      </c>
      <c r="E21" s="264">
        <f>+Summary!G25</f>
        <v>39</v>
      </c>
      <c r="F21" s="259">
        <f>+Summary!H25</f>
        <v>25</v>
      </c>
      <c r="G21" s="259">
        <f>+Summary!I25</f>
        <v>12</v>
      </c>
      <c r="H21" s="261">
        <f>+Summary!J25</f>
        <v>0</v>
      </c>
      <c r="I21" s="275">
        <f>+Summary!K25</f>
        <v>0</v>
      </c>
      <c r="J21" s="260">
        <f>+Summary!L25</f>
        <v>39</v>
      </c>
      <c r="K21" s="259">
        <f t="shared" si="2"/>
        <v>25</v>
      </c>
      <c r="L21" s="259">
        <f>+Summary!N25</f>
        <v>14</v>
      </c>
      <c r="M21" s="541"/>
      <c r="N21" s="541"/>
      <c r="O21" s="541"/>
      <c r="P21" s="803"/>
    </row>
    <row r="22" spans="1:16" ht="12.75" customHeight="1">
      <c r="A22" s="256">
        <v>5</v>
      </c>
      <c r="B22" s="263" t="s">
        <v>382</v>
      </c>
      <c r="C22" s="258" t="s">
        <v>642</v>
      </c>
      <c r="D22" s="264">
        <f>+Summary!D26</f>
        <v>39</v>
      </c>
      <c r="E22" s="259">
        <f>Summary!G26</f>
        <v>39</v>
      </c>
      <c r="F22" s="259">
        <f>Summary!H26</f>
        <v>23</v>
      </c>
      <c r="G22" s="259">
        <f>Summary!I26</f>
        <v>12</v>
      </c>
      <c r="H22" s="261">
        <f>Summary!J26</f>
        <v>0</v>
      </c>
      <c r="I22" s="259">
        <f>Summary!K26</f>
        <v>0</v>
      </c>
      <c r="J22" s="260">
        <f>+Summary!L26</f>
        <v>39</v>
      </c>
      <c r="K22" s="260">
        <f>+Summary!M26</f>
        <v>23</v>
      </c>
      <c r="L22" s="260">
        <f>+Summary!N26</f>
        <v>16</v>
      </c>
      <c r="M22" s="258">
        <f>+Summary!O26</f>
        <v>1</v>
      </c>
      <c r="N22" s="258">
        <f>+Summary!P26</f>
        <v>0</v>
      </c>
      <c r="O22" s="258">
        <f>+Summary!Q26</f>
        <v>1</v>
      </c>
      <c r="P22" s="364">
        <f>Summary!R26</f>
        <v>0</v>
      </c>
    </row>
    <row r="23" spans="1:16" ht="12.75" customHeight="1">
      <c r="A23" s="256">
        <v>6</v>
      </c>
      <c r="B23" s="263" t="s">
        <v>471</v>
      </c>
      <c r="C23" s="258" t="s">
        <v>642</v>
      </c>
      <c r="D23" s="264">
        <f>Summary!D27</f>
        <v>39</v>
      </c>
      <c r="E23" s="259">
        <f>Summary!G27</f>
        <v>39</v>
      </c>
      <c r="F23" s="259">
        <f>Summary!H27</f>
        <v>9</v>
      </c>
      <c r="G23" s="259">
        <f>Summary!I27</f>
        <v>16</v>
      </c>
      <c r="H23" s="261">
        <f>+Summary!J27</f>
        <v>0</v>
      </c>
      <c r="I23" s="259">
        <f>+Summary!K27</f>
        <v>0</v>
      </c>
      <c r="J23" s="260">
        <f>+Summary!L27</f>
        <v>39</v>
      </c>
      <c r="K23" s="260">
        <f>+Summary!M27</f>
        <v>11</v>
      </c>
      <c r="L23" s="260">
        <f>+Summary!N27</f>
        <v>28</v>
      </c>
      <c r="M23" s="258">
        <f>+Summary!O27</f>
        <v>1</v>
      </c>
      <c r="N23" s="258">
        <f>+Summary!P27</f>
        <v>0</v>
      </c>
      <c r="O23" s="258">
        <f>+Summary!Q27</f>
        <v>1</v>
      </c>
      <c r="P23" s="266">
        <f>+Summary!R27</f>
        <v>0</v>
      </c>
    </row>
    <row r="24" spans="1:16" ht="12.75" customHeight="1">
      <c r="A24" s="256">
        <v>7</v>
      </c>
      <c r="B24" s="263" t="s">
        <v>384</v>
      </c>
      <c r="C24" s="258"/>
      <c r="D24" s="259"/>
      <c r="E24" s="259"/>
      <c r="F24" s="259"/>
      <c r="G24" s="259"/>
      <c r="H24" s="259"/>
      <c r="I24" s="259"/>
      <c r="J24" s="259"/>
      <c r="K24" s="259"/>
      <c r="L24" s="259"/>
      <c r="M24" s="258"/>
      <c r="N24" s="258"/>
      <c r="O24" s="258"/>
      <c r="P24" s="266">
        <f>+Summary!R28</f>
        <v>0</v>
      </c>
    </row>
    <row r="25" spans="1:16" ht="20" customHeight="1">
      <c r="A25" s="256" t="s">
        <v>385</v>
      </c>
      <c r="B25" s="267" t="s">
        <v>386</v>
      </c>
      <c r="C25" s="258" t="s">
        <v>684</v>
      </c>
      <c r="D25" s="259">
        <v>9</v>
      </c>
      <c r="E25" s="259">
        <f>+Summary!G29</f>
        <v>9</v>
      </c>
      <c r="F25" s="259">
        <f>+Summary!H29</f>
        <v>0</v>
      </c>
      <c r="G25" s="259">
        <f>+Summary!I29</f>
        <v>9</v>
      </c>
      <c r="H25" s="261">
        <f>+Summary!J29</f>
        <v>0</v>
      </c>
      <c r="I25" s="259">
        <f>+Summary!K29</f>
        <v>1.398406</v>
      </c>
      <c r="J25" s="512">
        <f>E25</f>
        <v>9</v>
      </c>
      <c r="K25" s="512">
        <f>+Summary!M29</f>
        <v>1.398406</v>
      </c>
      <c r="L25" s="259">
        <f>+Summary!N29</f>
        <v>7.6015940000000004</v>
      </c>
      <c r="M25" s="258">
        <f>+Summary!O29</f>
        <v>1</v>
      </c>
      <c r="N25" s="258">
        <f>+Summary!P29</f>
        <v>1</v>
      </c>
      <c r="O25" s="258">
        <f>+Summary!Q29</f>
        <v>0</v>
      </c>
      <c r="P25" s="806" t="str">
        <f>+Summary!R29</f>
        <v xml:space="preserve">13/1 to 13/0 and 13/0 to 12/0 Paying out arrangement
</v>
      </c>
    </row>
    <row r="26" spans="1:16" ht="20" customHeight="1">
      <c r="A26" s="256" t="s">
        <v>387</v>
      </c>
      <c r="B26" s="267" t="s">
        <v>388</v>
      </c>
      <c r="C26" s="258" t="s">
        <v>684</v>
      </c>
      <c r="D26" s="259">
        <f>+Summary!D30</f>
        <v>9</v>
      </c>
      <c r="E26" s="259">
        <f>+Summary!G30</f>
        <v>9</v>
      </c>
      <c r="F26" s="259">
        <f>+Summary!H30</f>
        <v>0</v>
      </c>
      <c r="G26" s="259">
        <f>+Summary!I30</f>
        <v>9</v>
      </c>
      <c r="H26" s="261">
        <f>+Summary!J30</f>
        <v>0</v>
      </c>
      <c r="I26" s="259">
        <f>+Summary!K30</f>
        <v>1.398406</v>
      </c>
      <c r="J26" s="512">
        <f>E26</f>
        <v>9</v>
      </c>
      <c r="K26" s="512">
        <f>+Summary!M30</f>
        <v>1.398406</v>
      </c>
      <c r="L26" s="259">
        <f>+Summary!N30</f>
        <v>7.6015940000000004</v>
      </c>
      <c r="M26" s="258">
        <f>+Summary!O30</f>
        <v>1</v>
      </c>
      <c r="N26" s="258">
        <f>+Summary!P30</f>
        <v>1</v>
      </c>
      <c r="O26" s="258">
        <f>+Summary!Q30</f>
        <v>0</v>
      </c>
      <c r="P26" s="807"/>
    </row>
    <row r="27" spans="1:16" ht="12.75" customHeight="1">
      <c r="A27" s="268" t="s">
        <v>389</v>
      </c>
      <c r="B27" s="269" t="s">
        <v>390</v>
      </c>
      <c r="C27" s="270" t="s">
        <v>684</v>
      </c>
      <c r="D27" s="271">
        <f>Summary!D31</f>
        <v>9</v>
      </c>
      <c r="E27" s="271">
        <f>+Summary!G31</f>
        <v>9</v>
      </c>
      <c r="F27" s="271">
        <f>+Summary!H31</f>
        <v>0</v>
      </c>
      <c r="G27" s="271">
        <f>+Summary!I31</f>
        <v>9</v>
      </c>
      <c r="H27" s="276">
        <f>+Summary!J31</f>
        <v>0</v>
      </c>
      <c r="I27" s="271">
        <f>+Summary!K31</f>
        <v>0</v>
      </c>
      <c r="J27" s="513">
        <f>+Summary!L31</f>
        <v>9</v>
      </c>
      <c r="K27" s="513">
        <f>+Summary!M31</f>
        <v>0</v>
      </c>
      <c r="L27" s="271">
        <f>+Summary!N31</f>
        <v>9</v>
      </c>
      <c r="M27" s="271">
        <f>+Summary!O31</f>
        <v>0</v>
      </c>
      <c r="N27" s="271">
        <f>+Summary!P31</f>
        <v>0</v>
      </c>
      <c r="O27" s="271">
        <f>+Summary!Q31</f>
        <v>0</v>
      </c>
      <c r="P27" s="411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2026-01-07T07:33:23Z</cp:lastPrinted>
  <dcterms:created xsi:type="dcterms:W3CDTF">2024-04-23T13:04:27Z</dcterms:created>
  <dcterms:modified xsi:type="dcterms:W3CDTF">2026-03-12T03:38:33Z</dcterms:modified>
</cp:coreProperties>
</file>