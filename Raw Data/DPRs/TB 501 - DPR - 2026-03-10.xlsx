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SS/March 2026/Neemuch/"/>
    </mc:Choice>
  </mc:AlternateContent>
  <xr:revisionPtr revIDLastSave="140" documentId="13_ncr:1_{5BD7E3F1-30F5-4414-A131-C19D08208CC2}" xr6:coauthVersionLast="47" xr6:coauthVersionMax="47" xr10:uidLastSave="{A6A799E0-AF42-4023-8434-E41B689321CE}"/>
  <bookViews>
    <workbookView xWindow="-110" yWindow="-110" windowWidth="19420" windowHeight="11500" xr2:uid="{81ECB75F-4D73-4800-8891-69E4973FC13D}"/>
  </bookViews>
  <sheets>
    <sheet name="DPR " sheetId="6" r:id="rId1"/>
    <sheet name="Steel Cement" sheetId="5" state="hidden" r:id="rId2"/>
  </sheets>
  <externalReferences>
    <externalReference r:id="rId3"/>
    <externalReference r:id="rId4"/>
  </externalReferences>
  <definedNames>
    <definedName name="_xlnm.Print_Area" localSheetId="0">'DPR '!$A$1:$K$39</definedName>
    <definedName name="_xlnm.Print_Titles" localSheetId="0">'DPR 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6" l="1"/>
  <c r="J29" i="6" s="1"/>
  <c r="G30" i="6"/>
  <c r="J30" i="6" s="1"/>
  <c r="G31" i="6"/>
  <c r="G32" i="6"/>
  <c r="J32" i="6" s="1"/>
  <c r="G33" i="6"/>
  <c r="G28" i="6"/>
  <c r="F29" i="6"/>
  <c r="F30" i="6"/>
  <c r="F31" i="6"/>
  <c r="F32" i="6"/>
  <c r="F33" i="6"/>
  <c r="F28" i="6"/>
  <c r="F35" i="6"/>
  <c r="J33" i="6"/>
  <c r="J31" i="6"/>
  <c r="J28" i="6"/>
  <c r="F22" i="6"/>
  <c r="F21" i="6"/>
  <c r="F20" i="6"/>
  <c r="F19" i="6"/>
  <c r="F18" i="6"/>
  <c r="F16" i="6"/>
  <c r="J15" i="6"/>
  <c r="F15" i="6"/>
  <c r="J14" i="6"/>
  <c r="F14" i="6"/>
  <c r="F13" i="6"/>
  <c r="F12" i="6"/>
  <c r="A12" i="6"/>
  <c r="H10" i="6"/>
  <c r="F10" i="6"/>
  <c r="F9" i="6"/>
  <c r="F8" i="6"/>
  <c r="F7" i="6"/>
  <c r="A7" i="6"/>
  <c r="A8" i="6" s="1"/>
  <c r="A9" i="6" s="1"/>
  <c r="A10" i="6" s="1"/>
  <c r="I12" i="5" l="1"/>
  <c r="G12" i="5"/>
  <c r="J12" i="5" s="1"/>
  <c r="E12" i="5"/>
  <c r="D12" i="5"/>
  <c r="I11" i="5"/>
  <c r="G11" i="5"/>
  <c r="K11" i="5" s="1"/>
  <c r="E11" i="5"/>
  <c r="D11" i="5"/>
  <c r="F11" i="5" s="1"/>
  <c r="I10" i="5"/>
  <c r="G10" i="5"/>
  <c r="K10" i="5" s="1"/>
  <c r="E10" i="5"/>
  <c r="D10" i="5"/>
  <c r="F10" i="5" s="1"/>
  <c r="I9" i="5"/>
  <c r="G9" i="5"/>
  <c r="K9" i="5" s="1"/>
  <c r="E9" i="5"/>
  <c r="D9" i="5"/>
  <c r="I8" i="5"/>
  <c r="G8" i="5"/>
  <c r="J8" i="5" s="1"/>
  <c r="E8" i="5"/>
  <c r="D8" i="5"/>
  <c r="F8" i="5" s="1"/>
  <c r="L8" i="5" s="1"/>
  <c r="I7" i="5"/>
  <c r="G7" i="5"/>
  <c r="J7" i="5" s="1"/>
  <c r="E7" i="5"/>
  <c r="D7" i="5"/>
  <c r="F7" i="5" s="1"/>
  <c r="L7" i="5" s="1"/>
  <c r="J6" i="5"/>
  <c r="E6" i="5"/>
  <c r="F6" i="5" s="1"/>
  <c r="L6" i="5" s="1"/>
  <c r="J5" i="5"/>
  <c r="K5" i="5" s="1"/>
  <c r="E5" i="5"/>
  <c r="F5" i="5" s="1"/>
  <c r="F9" i="5" l="1"/>
  <c r="L9" i="5" s="1"/>
  <c r="L10" i="5"/>
  <c r="J11" i="5"/>
  <c r="L11" i="5"/>
  <c r="J10" i="5"/>
  <c r="J9" i="5"/>
  <c r="F12" i="5"/>
  <c r="L12" i="5" s="1"/>
  <c r="L5" i="5"/>
  <c r="S52" i="5" l="1"/>
  <c r="R51" i="5"/>
  <c r="R53" i="5" s="1"/>
  <c r="Q51" i="5"/>
  <c r="Q53" i="5" s="1"/>
  <c r="P51" i="5"/>
  <c r="P53" i="5" s="1"/>
  <c r="O51" i="5"/>
  <c r="O53" i="5" s="1"/>
  <c r="N51" i="5"/>
  <c r="N53" i="5" s="1"/>
  <c r="M51" i="5"/>
  <c r="M53" i="5" s="1"/>
  <c r="L51" i="5"/>
  <c r="L53" i="5" s="1"/>
  <c r="K51" i="5"/>
  <c r="K53" i="5" s="1"/>
  <c r="G51" i="5"/>
  <c r="G53" i="5" s="1"/>
  <c r="R50" i="5"/>
  <c r="Q50" i="5"/>
  <c r="Q54" i="5" s="1"/>
  <c r="P50" i="5"/>
  <c r="P54" i="5" s="1"/>
  <c r="O50" i="5"/>
  <c r="N50" i="5"/>
  <c r="M50" i="5"/>
  <c r="L50" i="5"/>
  <c r="K50" i="5"/>
  <c r="G50" i="5"/>
  <c r="G54" i="5" l="1"/>
  <c r="K54" i="5"/>
  <c r="R54" i="5"/>
  <c r="S50" i="5"/>
  <c r="N54" i="5"/>
  <c r="L54" i="5"/>
  <c r="O54" i="5"/>
  <c r="M54" i="5"/>
  <c r="S53" i="5"/>
  <c r="S51" i="5"/>
  <c r="S54" i="5" l="1"/>
</calcChain>
</file>

<file path=xl/sharedStrings.xml><?xml version="1.0" encoding="utf-8"?>
<sst xmlns="http://schemas.openxmlformats.org/spreadsheetml/2006/main" count="181" uniqueCount="98">
  <si>
    <t>Unit</t>
  </si>
  <si>
    <t>Balance</t>
  </si>
  <si>
    <t>NOS</t>
  </si>
  <si>
    <t>PCC</t>
  </si>
  <si>
    <t>Raft Casting</t>
  </si>
  <si>
    <t>RMT</t>
  </si>
  <si>
    <t>Plaster</t>
  </si>
  <si>
    <t>LS</t>
  </si>
  <si>
    <t>RM</t>
  </si>
  <si>
    <t>MT</t>
  </si>
  <si>
    <t>Excavation</t>
  </si>
  <si>
    <t>Column</t>
  </si>
  <si>
    <t>Wall RCC</t>
  </si>
  <si>
    <t>Nos</t>
  </si>
  <si>
    <t>Remarks</t>
  </si>
  <si>
    <t>Total</t>
  </si>
  <si>
    <t>UOM</t>
  </si>
  <si>
    <t>-</t>
  </si>
  <si>
    <t>Sl.No.</t>
  </si>
  <si>
    <t xml:space="preserve">Material Description </t>
  </si>
  <si>
    <t>Received Qty.</t>
  </si>
  <si>
    <t>Issue Qty. to  Site</t>
  </si>
  <si>
    <t>Total Issue</t>
  </si>
  <si>
    <t>Total Consumed</t>
  </si>
  <si>
    <t xml:space="preserve">Other Store </t>
  </si>
  <si>
    <t>Received From Supplier</t>
  </si>
  <si>
    <t>220/132KV SS</t>
  </si>
  <si>
    <t>Cement</t>
  </si>
  <si>
    <t>Bag</t>
  </si>
  <si>
    <t>8mm Steel</t>
  </si>
  <si>
    <t>10mm Steel</t>
  </si>
  <si>
    <t>12mm Steel</t>
  </si>
  <si>
    <t>16mm Steel</t>
  </si>
  <si>
    <t>20mm Steel</t>
  </si>
  <si>
    <t>25mmSteel</t>
  </si>
  <si>
    <t>KEC International Ltd.</t>
  </si>
  <si>
    <t>TB-501 220/132Kv Sub-Station Chandriya</t>
  </si>
  <si>
    <t>Abstract</t>
  </si>
  <si>
    <t>Month</t>
  </si>
  <si>
    <t>8MM</t>
  </si>
  <si>
    <t>10MM</t>
  </si>
  <si>
    <t>12MM</t>
  </si>
  <si>
    <t>16MM</t>
  </si>
  <si>
    <t>20MM</t>
  </si>
  <si>
    <t>25MM</t>
  </si>
  <si>
    <t>28MM</t>
  </si>
  <si>
    <t>32MM</t>
  </si>
  <si>
    <t>All dia Mix</t>
  </si>
  <si>
    <t>CUM TOTAL</t>
  </si>
  <si>
    <t>Total Received Qty</t>
  </si>
  <si>
    <t>Issue to Site</t>
  </si>
  <si>
    <t>Issue to Other Store</t>
  </si>
  <si>
    <t>Total Consumption Qty in MT</t>
  </si>
  <si>
    <t>JAN -16  consumed</t>
  </si>
  <si>
    <t>Balance Stock  Qty in MT</t>
  </si>
  <si>
    <t>RMC</t>
  </si>
  <si>
    <t>other Store</t>
  </si>
  <si>
    <t>*</t>
  </si>
  <si>
    <t xml:space="preserve">Description </t>
  </si>
  <si>
    <t>WORK PLAN- CIVIL WORK</t>
  </si>
  <si>
    <t>Materials reconcilation statement for the month of May-2025</t>
  </si>
  <si>
    <t>Date.17.06.2025</t>
  </si>
  <si>
    <t>WIP</t>
  </si>
  <si>
    <t>nos</t>
  </si>
  <si>
    <t>Sl No</t>
  </si>
  <si>
    <t>Qty</t>
  </si>
  <si>
    <t>Internal Cable Trench</t>
  </si>
  <si>
    <t>Completed</t>
  </si>
  <si>
    <t>Brickwork</t>
  </si>
  <si>
    <t>cum</t>
  </si>
  <si>
    <t>Internal Plaster</t>
  </si>
  <si>
    <t>sqm</t>
  </si>
  <si>
    <t>External Plaster</t>
  </si>
  <si>
    <t>Water Proofing</t>
  </si>
  <si>
    <t>Plinth Protection</t>
  </si>
  <si>
    <t>Paint</t>
  </si>
  <si>
    <t>Door</t>
  </si>
  <si>
    <t>Window</t>
  </si>
  <si>
    <t>220kV SPR Building</t>
  </si>
  <si>
    <t>220kV Equipment</t>
  </si>
  <si>
    <t>132kV Equipment</t>
  </si>
  <si>
    <t>OUTDOOR CABLE TRENCH</t>
  </si>
  <si>
    <t xml:space="preserve">Planned
</t>
  </si>
  <si>
    <t xml:space="preserve">Completed </t>
  </si>
  <si>
    <t>Progress on Today</t>
  </si>
  <si>
    <t>LOA No.: -  LOI/EPC/Serentica/Neemuch_Bay Ext/KEC/01 , 26th March 2025                                                   CLIENT- STERLITE POWER</t>
  </si>
  <si>
    <t xml:space="preserve"> 220 kV Neemuch Bay Extension Substation</t>
  </si>
  <si>
    <t>Raft</t>
  </si>
  <si>
    <t>Column up to plinth Beam</t>
  </si>
  <si>
    <t>Plinth Beam</t>
  </si>
  <si>
    <t>Column above to plinth Beam</t>
  </si>
  <si>
    <t>Roof slab &amp; Beam</t>
  </si>
  <si>
    <t>rmt</t>
  </si>
  <si>
    <t>Column Casting</t>
  </si>
  <si>
    <t>Completed 
till Feb 26</t>
  </si>
  <si>
    <t>Current Month (March 2026)</t>
  </si>
  <si>
    <t>Balance
for March 26</t>
  </si>
  <si>
    <t>Date:-10-03-2026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</si>
</sst>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0.000"/>
    <numFmt numFmtId="166" formatCode="[$-409]mmmm\ d\,\ yyyy;@"/>
    <numFmt numFmtId="167" formatCode="_ * #,##0_ ;_ * \-#,##0_ ;_ * &quot;-&quot;??_ ;_ @_ "/>
    <numFmt numFmtId="168" formatCode="_ * #,##0.0_ ;_ * \-#,##0.0_ ;_ * &quot;-&quot;??_ ;_ @_ 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8"/>
      <color theme="1"/>
      <name val="Aptos Narrow"/>
      <family val="2"/>
      <scheme val="minor"/>
    </font>
    <font>
      <b/>
      <sz val="10"/>
      <name val="Arial"/>
      <family val="2"/>
    </font>
    <font>
      <u/>
      <sz val="11"/>
      <color theme="10"/>
      <name val="Aptos Narrow"/>
      <family val="2"/>
      <scheme val="minor"/>
    </font>
    <font>
      <sz val="12"/>
      <name val="Times New Roman"/>
      <family val="1"/>
    </font>
    <font>
      <b/>
      <sz val="18"/>
      <color theme="8" tint="-0.499984740745262"/>
      <name val="Times New Roman"/>
      <family val="1"/>
    </font>
    <font>
      <b/>
      <sz val="18"/>
      <name val="Aptos Narrow"/>
      <family val="2"/>
      <scheme val="minor"/>
    </font>
    <font>
      <sz val="10"/>
      <color theme="1"/>
      <name val="GE Inspira Sans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1" fillId="0" borderId="0"/>
    <xf numFmtId="0" fontId="6" fillId="0" borderId="0" applyNumberFormat="0" applyFont="0" applyFill="0" applyBorder="0" applyAlignment="0" applyProtection="0">
      <alignment vertical="top"/>
    </xf>
    <xf numFmtId="0" fontId="6" fillId="0" borderId="0"/>
    <xf numFmtId="0" fontId="12" fillId="0" borderId="0" applyNumberFormat="0" applyFill="0" applyBorder="0" applyAlignment="0" applyProtection="0"/>
    <xf numFmtId="0" fontId="13" fillId="0" borderId="0"/>
    <xf numFmtId="43" fontId="16" fillId="0" borderId="0" applyFont="0" applyFill="0" applyBorder="0" applyAlignment="0" applyProtection="0"/>
    <xf numFmtId="0" fontId="9" fillId="0" borderId="0"/>
    <xf numFmtId="0" fontId="6" fillId="0" borderId="0"/>
  </cellStyleXfs>
  <cellXfs count="99">
    <xf numFmtId="0" fontId="0" fillId="0" borderId="0" xfId="0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0" fillId="4" borderId="1" xfId="0" applyFill="1" applyBorder="1"/>
    <xf numFmtId="0" fontId="0" fillId="4" borderId="2" xfId="0" applyFill="1" applyBorder="1" applyAlignment="1">
      <alignment horizontal="center" wrapText="1"/>
    </xf>
    <xf numFmtId="165" fontId="0" fillId="4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5" fillId="4" borderId="0" xfId="0" applyFont="1" applyFill="1" applyAlignment="1">
      <alignment horizontal="center" vertical="center" wrapText="1"/>
    </xf>
    <xf numFmtId="165" fontId="0" fillId="4" borderId="0" xfId="0" applyNumberForma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vertical="center"/>
    </xf>
    <xf numFmtId="0" fontId="0" fillId="6" borderId="1" xfId="0" applyFill="1" applyBorder="1"/>
    <xf numFmtId="164" fontId="0" fillId="4" borderId="1" xfId="0" applyNumberFormat="1" applyFill="1" applyBorder="1" applyAlignment="1">
      <alignment horizontal="center" vertical="center"/>
    </xf>
    <xf numFmtId="0" fontId="8" fillId="4" borderId="4" xfId="5" applyFont="1" applyFill="1" applyBorder="1" applyAlignment="1">
      <alignment horizontal="center" vertical="center"/>
    </xf>
    <xf numFmtId="0" fontId="8" fillId="4" borderId="0" xfId="5" applyFont="1" applyFill="1" applyAlignment="1">
      <alignment horizontal="left" vertical="center"/>
    </xf>
    <xf numFmtId="0" fontId="8" fillId="4" borderId="0" xfId="5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68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7" fontId="0" fillId="0" borderId="1" xfId="0" applyNumberFormat="1" applyBorder="1" applyAlignment="1">
      <alignment horizontal="center" vertical="top"/>
    </xf>
    <xf numFmtId="1" fontId="0" fillId="4" borderId="1" xfId="0" applyNumberFormat="1" applyFill="1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167" fontId="0" fillId="4" borderId="1" xfId="0" applyNumberFormat="1" applyFill="1" applyBorder="1" applyAlignment="1">
      <alignment horizontal="center" vertical="top"/>
    </xf>
    <xf numFmtId="0" fontId="4" fillId="4" borderId="0" xfId="0" applyFont="1" applyFill="1" applyAlignment="1">
      <alignment vertical="center"/>
    </xf>
    <xf numFmtId="0" fontId="2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top"/>
    </xf>
    <xf numFmtId="168" fontId="0" fillId="0" borderId="1" xfId="0" applyNumberFormat="1" applyBorder="1" applyAlignment="1">
      <alignment vertical="top"/>
    </xf>
    <xf numFmtId="167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167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center" wrapText="1"/>
    </xf>
    <xf numFmtId="166" fontId="14" fillId="4" borderId="10" xfId="4" applyNumberFormat="1" applyFont="1" applyFill="1" applyBorder="1" applyAlignment="1">
      <alignment horizontal="center" vertical="center"/>
    </xf>
    <xf numFmtId="166" fontId="14" fillId="4" borderId="11" xfId="4" applyNumberFormat="1" applyFont="1" applyFill="1" applyBorder="1" applyAlignment="1">
      <alignment horizontal="center" vertical="center"/>
    </xf>
    <xf numFmtId="166" fontId="14" fillId="4" borderId="9" xfId="4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9">
    <cellStyle name="Comma 4 2" xfId="6" xr:uid="{D0412DC5-52F0-46B7-8012-A51FB0E7D614}"/>
    <cellStyle name="Hyperlink" xfId="4" builtinId="8"/>
    <cellStyle name="Normal" xfId="0" builtinId="0"/>
    <cellStyle name="Normal 118" xfId="7" xr:uid="{D637A034-8454-4705-BE62-DDA766D20933}"/>
    <cellStyle name="Normal 2" xfId="1" xr:uid="{5EB6A0A1-7F98-4509-AE60-E5EBBBB3A47A}"/>
    <cellStyle name="Normal 3 2" xfId="2" xr:uid="{435A264B-A031-4B27-8161-9D6350EB09BD}"/>
    <cellStyle name="Normal 3 3" xfId="3" xr:uid="{1C9FA802-F4E4-4845-87D9-23D8A8E61971}"/>
    <cellStyle name="Normal 4 2 2" xfId="8" xr:uid="{2D54DE92-A980-4018-9D55-F668C9B74BC2}"/>
    <cellStyle name="Normal_const est_2445_rev-02" xfId="5" xr:uid="{A1D22347-2E34-482E-B215-2AF0D335F9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rkark1\AppData\Local\Microsoft\Windows\INetCache\Content.Outlook\R1LHZEJV\Steel%20%20Cement%20%20Received%20and%20Issue%20Details%20as%20on%20date%2005.05.2025.xlsx" TargetMode="External"/><Relationship Id="rId1" Type="http://schemas.openxmlformats.org/officeDocument/2006/relationships/externalLinkPath" Target="/Users/Sarkark1/AppData/Local/Microsoft/Windows/INetCache/Content.Outlook/R1LHZEJV/Steel%20%20Cement%20%20Received%20and%20Issue%20Details%20as%20on%20date%2005.05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sarkark1_kecrpg_com/Documents/Steel%20%20Cement%20%20Received%20and%20Issue%20Details%20as%20on%20date%2005.05.2025.xlsx" TargetMode="External"/><Relationship Id="rId1" Type="http://schemas.openxmlformats.org/officeDocument/2006/relationships/externalLinkPath" Target="/personal/sarkark1_kecrpg_com/Documents/Steel%20%20Cement%20%20Received%20and%20Issue%20Details%20as%20on%20date%2005.05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ment Steel Statment"/>
      <sheetName val="Cement Received"/>
      <sheetName val="Cement Reced Other Store"/>
      <sheetName val="Cement Issue SS"/>
      <sheetName val="Steel Issue"/>
      <sheetName val="Steel Received"/>
      <sheetName val="Foundation Bolts Issue"/>
      <sheetName val="Foundation Bolts Reced"/>
      <sheetName val="steel Received Other Store"/>
      <sheetName val="Earthing Materials"/>
      <sheetName val="RMC Issue"/>
      <sheetName val="Sheet1"/>
      <sheetName val="Steel issue to TL "/>
      <sheetName val="Sheet2"/>
    </sheetNames>
    <sheetDataSet>
      <sheetData sheetId="0"/>
      <sheetData sheetId="1">
        <row r="32">
          <cell r="K32">
            <v>16713</v>
          </cell>
        </row>
      </sheetData>
      <sheetData sheetId="2"/>
      <sheetData sheetId="3"/>
      <sheetData sheetId="4">
        <row r="38">
          <cell r="E38">
            <v>21.774000000000004</v>
          </cell>
          <cell r="F38">
            <v>23.461000000000002</v>
          </cell>
          <cell r="G38">
            <v>37.259999999999991</v>
          </cell>
          <cell r="H38">
            <v>62.35799999999999</v>
          </cell>
          <cell r="I38">
            <v>13.244</v>
          </cell>
          <cell r="J38">
            <v>17.539000000000001</v>
          </cell>
        </row>
      </sheetData>
      <sheetData sheetId="5">
        <row r="23">
          <cell r="I23">
            <v>49.625</v>
          </cell>
          <cell r="J23">
            <v>83.240000000000009</v>
          </cell>
          <cell r="K23">
            <v>57.136000000000003</v>
          </cell>
          <cell r="L23">
            <v>65.641000000000005</v>
          </cell>
          <cell r="M23">
            <v>40.690000000000005</v>
          </cell>
          <cell r="N23">
            <v>21.050000000000004</v>
          </cell>
        </row>
      </sheetData>
      <sheetData sheetId="6"/>
      <sheetData sheetId="7"/>
      <sheetData sheetId="8">
        <row r="22">
          <cell r="J22">
            <v>3.8029999999999999</v>
          </cell>
          <cell r="K22">
            <v>2.1190000000000002</v>
          </cell>
          <cell r="L22">
            <v>0</v>
          </cell>
          <cell r="M22">
            <v>20.923999999999999</v>
          </cell>
          <cell r="N22">
            <v>0</v>
          </cell>
          <cell r="O22">
            <v>0.75100000000000011</v>
          </cell>
        </row>
      </sheetData>
      <sheetData sheetId="9"/>
      <sheetData sheetId="10"/>
      <sheetData sheetId="11"/>
      <sheetData sheetId="12">
        <row r="38">
          <cell r="E38">
            <v>0.76000000000000012</v>
          </cell>
          <cell r="F38">
            <v>4.6480000000000006</v>
          </cell>
          <cell r="G38">
            <v>6.0650000000000004</v>
          </cell>
          <cell r="H38">
            <v>3.7949999999999999</v>
          </cell>
          <cell r="I38">
            <v>5.1455000000000002</v>
          </cell>
          <cell r="J38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ment Steel Statment"/>
      <sheetName val="Cement Received"/>
      <sheetName val="Cement Reced Other Store"/>
      <sheetName val="Cement Issue SS"/>
      <sheetName val="Steel Issue"/>
      <sheetName val="Steel Received"/>
      <sheetName val="Foundation Bolts Issue"/>
      <sheetName val="Foundation Bolts Reced"/>
      <sheetName val="steel Received Other Store"/>
      <sheetName val="Earthing Materials"/>
      <sheetName val="RMC Issue"/>
      <sheetName val="Sheet1"/>
      <sheetName val="Steel issue to TL "/>
      <sheetName val="Sheet2"/>
    </sheetNames>
    <sheetDataSet>
      <sheetData sheetId="0"/>
      <sheetData sheetId="1"/>
      <sheetData sheetId="2"/>
      <sheetData sheetId="3"/>
      <sheetData sheetId="4">
        <row r="38">
          <cell r="E38">
            <v>24.144000000000005</v>
          </cell>
          <cell r="F38">
            <v>26.905000000000001</v>
          </cell>
          <cell r="G38">
            <v>40.459999999999994</v>
          </cell>
          <cell r="H38">
            <v>68.045999999999992</v>
          </cell>
          <cell r="I38">
            <v>16.206</v>
          </cell>
          <cell r="J38">
            <v>17.539000000000001</v>
          </cell>
        </row>
      </sheetData>
      <sheetData sheetId="5">
        <row r="23">
          <cell r="I23">
            <v>49.625</v>
          </cell>
          <cell r="J23">
            <v>83.240000000000009</v>
          </cell>
          <cell r="K23">
            <v>57.136000000000003</v>
          </cell>
          <cell r="L23">
            <v>65.641000000000005</v>
          </cell>
          <cell r="M23">
            <v>40.690000000000005</v>
          </cell>
          <cell r="N23">
            <v>21.050000000000004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8A9A-8E30-45A5-9026-C31674865D33}">
  <sheetPr>
    <pageSetUpPr fitToPage="1"/>
  </sheetPr>
  <dimension ref="A1:K39"/>
  <sheetViews>
    <sheetView tabSelected="1" view="pageBreakPreview" zoomScaleNormal="100" zoomScaleSheetLayoutView="100" workbookViewId="0">
      <pane ySplit="6" topLeftCell="A11" activePane="bottomLeft" state="frozen"/>
      <selection pane="bottomLeft" activeCell="K11" sqref="K11"/>
    </sheetView>
  </sheetViews>
  <sheetFormatPr defaultRowHeight="14.5"/>
  <cols>
    <col min="1" max="1" width="5.453125" style="37" customWidth="1"/>
    <col min="2" max="2" width="31.54296875" style="47" customWidth="1"/>
    <col min="3" max="3" width="4.453125" style="37" bestFit="1" customWidth="1"/>
    <col min="4" max="4" width="6.81640625" style="37" customWidth="1"/>
    <col min="5" max="5" width="11" style="48" customWidth="1"/>
    <col min="6" max="6" width="8.1796875" style="37" bestFit="1" customWidth="1"/>
    <col min="7" max="7" width="8.1796875" style="37" customWidth="1"/>
    <col min="8" max="8" width="12" style="37" customWidth="1"/>
    <col min="9" max="9" width="10.81640625" style="37" customWidth="1"/>
    <col min="10" max="10" width="8.1796875" style="28" customWidth="1"/>
    <col min="11" max="11" width="30.81640625" style="37" customWidth="1"/>
    <col min="15" max="15" width="8.81640625" customWidth="1"/>
  </cols>
  <sheetData>
    <row r="1" spans="1:11" s="28" customFormat="1" ht="22.5">
      <c r="A1" s="73" t="s">
        <v>86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11" s="28" customFormat="1" ht="23.25" customHeight="1">
      <c r="A2" s="76" t="s">
        <v>59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 spans="1:11" s="28" customFormat="1">
      <c r="A3" s="79" t="s">
        <v>85</v>
      </c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11" s="36" customFormat="1" ht="21" customHeight="1">
      <c r="A4" s="31"/>
      <c r="B4" s="32"/>
      <c r="C4" s="33"/>
      <c r="D4" s="34"/>
      <c r="E4" s="35"/>
      <c r="F4" s="35"/>
      <c r="G4" s="35"/>
      <c r="H4" s="35"/>
      <c r="I4" s="35"/>
      <c r="J4" s="64"/>
      <c r="K4" s="49" t="s">
        <v>97</v>
      </c>
    </row>
    <row r="5" spans="1:11" s="36" customFormat="1" ht="21" customHeight="1">
      <c r="A5" s="82" t="s">
        <v>64</v>
      </c>
      <c r="B5" s="82" t="s">
        <v>58</v>
      </c>
      <c r="C5" s="82" t="s">
        <v>0</v>
      </c>
      <c r="D5" s="82" t="s">
        <v>65</v>
      </c>
      <c r="E5" s="83" t="s">
        <v>94</v>
      </c>
      <c r="F5" s="84" t="s">
        <v>96</v>
      </c>
      <c r="G5" s="85" t="s">
        <v>95</v>
      </c>
      <c r="H5" s="85"/>
      <c r="I5" s="85"/>
      <c r="J5" s="85"/>
      <c r="K5" s="50"/>
    </row>
    <row r="6" spans="1:11" s="37" customFormat="1" ht="29.5" customHeight="1">
      <c r="A6" s="82"/>
      <c r="B6" s="82"/>
      <c r="C6" s="82"/>
      <c r="D6" s="82"/>
      <c r="E6" s="83"/>
      <c r="F6" s="84"/>
      <c r="G6" s="72" t="s">
        <v>82</v>
      </c>
      <c r="H6" s="11" t="s">
        <v>83</v>
      </c>
      <c r="I6" s="11" t="s">
        <v>84</v>
      </c>
      <c r="J6" s="65" t="s">
        <v>1</v>
      </c>
      <c r="K6" s="9" t="s">
        <v>14</v>
      </c>
    </row>
    <row r="7" spans="1:11" hidden="1">
      <c r="A7" s="4" t="e">
        <f>#REF!+0.1</f>
        <v>#REF!</v>
      </c>
      <c r="B7" s="39" t="s">
        <v>66</v>
      </c>
      <c r="C7" s="4" t="s">
        <v>8</v>
      </c>
      <c r="D7" s="4">
        <v>70</v>
      </c>
      <c r="E7" s="2">
        <v>70</v>
      </c>
      <c r="F7" s="40">
        <f>D7-E7</f>
        <v>0</v>
      </c>
      <c r="G7" s="40" t="s">
        <v>17</v>
      </c>
      <c r="H7" s="40" t="s">
        <v>17</v>
      </c>
      <c r="I7" s="40" t="s">
        <v>17</v>
      </c>
      <c r="J7" s="66" t="s">
        <v>17</v>
      </c>
      <c r="K7" s="41" t="s">
        <v>67</v>
      </c>
    </row>
    <row r="8" spans="1:11" hidden="1">
      <c r="A8" s="4" t="e">
        <f t="shared" ref="A8:A10" si="0">A7+0.1</f>
        <v>#REF!</v>
      </c>
      <c r="B8" s="39" t="s">
        <v>68</v>
      </c>
      <c r="C8" s="4" t="s">
        <v>69</v>
      </c>
      <c r="D8" s="4">
        <v>186</v>
      </c>
      <c r="E8" s="2">
        <v>186</v>
      </c>
      <c r="F8" s="42">
        <f t="shared" ref="F8:F10" si="1">D8-E8</f>
        <v>0</v>
      </c>
      <c r="G8" s="40" t="s">
        <v>17</v>
      </c>
      <c r="H8" s="40" t="s">
        <v>17</v>
      </c>
      <c r="I8" s="40" t="s">
        <v>17</v>
      </c>
      <c r="J8" s="66" t="s">
        <v>17</v>
      </c>
      <c r="K8" s="41" t="s">
        <v>67</v>
      </c>
    </row>
    <row r="9" spans="1:11" hidden="1">
      <c r="A9" s="4" t="e">
        <f t="shared" si="0"/>
        <v>#REF!</v>
      </c>
      <c r="B9" s="39" t="s">
        <v>70</v>
      </c>
      <c r="C9" s="4" t="s">
        <v>71</v>
      </c>
      <c r="D9" s="4">
        <v>1017</v>
      </c>
      <c r="E9" s="4">
        <v>1017</v>
      </c>
      <c r="F9" s="42">
        <f t="shared" si="1"/>
        <v>0</v>
      </c>
      <c r="G9" s="40" t="s">
        <v>17</v>
      </c>
      <c r="H9" s="40" t="s">
        <v>17</v>
      </c>
      <c r="I9" s="40" t="s">
        <v>17</v>
      </c>
      <c r="J9" s="66" t="s">
        <v>17</v>
      </c>
      <c r="K9" s="41" t="s">
        <v>67</v>
      </c>
    </row>
    <row r="10" spans="1:11" hidden="1">
      <c r="A10" s="4" t="e">
        <f t="shared" si="0"/>
        <v>#REF!</v>
      </c>
      <c r="B10" s="39" t="s">
        <v>72</v>
      </c>
      <c r="C10" s="4" t="s">
        <v>71</v>
      </c>
      <c r="D10" s="4">
        <v>4851</v>
      </c>
      <c r="E10" s="30">
        <v>4821</v>
      </c>
      <c r="F10" s="42">
        <f t="shared" si="1"/>
        <v>30</v>
      </c>
      <c r="G10" s="42">
        <v>30</v>
      </c>
      <c r="H10" s="42">
        <f>G10</f>
        <v>30</v>
      </c>
      <c r="I10" s="40" t="s">
        <v>17</v>
      </c>
      <c r="J10" s="66" t="s">
        <v>17</v>
      </c>
      <c r="K10" s="3"/>
    </row>
    <row r="11" spans="1:11">
      <c r="A11" s="38">
        <v>1</v>
      </c>
      <c r="B11" s="43" t="s">
        <v>78</v>
      </c>
      <c r="C11" s="4"/>
      <c r="D11" s="53"/>
      <c r="E11" s="54"/>
      <c r="F11" s="53"/>
      <c r="G11" s="53"/>
      <c r="H11" s="53"/>
      <c r="I11" s="53"/>
      <c r="J11" s="67"/>
      <c r="K11" s="4"/>
    </row>
    <row r="12" spans="1:11" hidden="1">
      <c r="A12" s="4">
        <f>A11+0.1</f>
        <v>1.1000000000000001</v>
      </c>
      <c r="B12" s="39" t="s">
        <v>66</v>
      </c>
      <c r="C12" s="4" t="s">
        <v>7</v>
      </c>
      <c r="D12" s="53">
        <v>1</v>
      </c>
      <c r="E12" s="54">
        <v>1</v>
      </c>
      <c r="F12" s="55">
        <f t="shared" ref="F12:F21" si="2">D12-E12</f>
        <v>0</v>
      </c>
      <c r="G12" s="55"/>
      <c r="H12" s="55"/>
      <c r="I12" s="55"/>
      <c r="J12" s="68"/>
      <c r="K12" s="41" t="s">
        <v>67</v>
      </c>
    </row>
    <row r="13" spans="1:11">
      <c r="A13" s="4">
        <v>1.1000000000000001</v>
      </c>
      <c r="B13" s="51" t="s">
        <v>10</v>
      </c>
      <c r="C13" s="4" t="s">
        <v>69</v>
      </c>
      <c r="D13" s="56">
        <v>60</v>
      </c>
      <c r="E13" s="57">
        <v>60</v>
      </c>
      <c r="F13" s="58">
        <f t="shared" si="2"/>
        <v>0</v>
      </c>
      <c r="G13" s="58"/>
      <c r="H13" s="58"/>
      <c r="I13" s="58"/>
      <c r="J13" s="68"/>
      <c r="K13" s="41" t="s">
        <v>67</v>
      </c>
    </row>
    <row r="14" spans="1:11">
      <c r="A14" s="4">
        <v>1.2</v>
      </c>
      <c r="B14" s="51" t="s">
        <v>3</v>
      </c>
      <c r="C14" s="4" t="s">
        <v>69</v>
      </c>
      <c r="D14" s="56">
        <v>6</v>
      </c>
      <c r="E14" s="57">
        <v>6</v>
      </c>
      <c r="F14" s="58">
        <f t="shared" si="2"/>
        <v>0</v>
      </c>
      <c r="G14" s="60">
        <v>0</v>
      </c>
      <c r="H14" s="60">
        <v>0</v>
      </c>
      <c r="I14" s="60" t="s">
        <v>17</v>
      </c>
      <c r="J14" s="69">
        <f>G14-H14</f>
        <v>0</v>
      </c>
      <c r="K14" s="41" t="s">
        <v>67</v>
      </c>
    </row>
    <row r="15" spans="1:11">
      <c r="A15" s="4">
        <v>1.3</v>
      </c>
      <c r="B15" s="51" t="s">
        <v>87</v>
      </c>
      <c r="C15" s="4" t="s">
        <v>63</v>
      </c>
      <c r="D15" s="56">
        <v>6</v>
      </c>
      <c r="E15" s="57">
        <v>6</v>
      </c>
      <c r="F15" s="58">
        <f t="shared" si="2"/>
        <v>0</v>
      </c>
      <c r="G15" s="60">
        <v>0</v>
      </c>
      <c r="H15" s="60">
        <v>0</v>
      </c>
      <c r="I15" s="60" t="s">
        <v>17</v>
      </c>
      <c r="J15" s="69">
        <f>G15-H15</f>
        <v>0</v>
      </c>
      <c r="K15" s="41" t="s">
        <v>67</v>
      </c>
    </row>
    <row r="16" spans="1:11">
      <c r="A16" s="4">
        <v>1.4</v>
      </c>
      <c r="B16" s="52" t="s">
        <v>88</v>
      </c>
      <c r="C16" s="4" t="s">
        <v>63</v>
      </c>
      <c r="D16" s="56">
        <v>6</v>
      </c>
      <c r="E16" s="57">
        <v>6</v>
      </c>
      <c r="F16" s="58">
        <f t="shared" si="2"/>
        <v>0</v>
      </c>
      <c r="G16" s="59" t="s">
        <v>17</v>
      </c>
      <c r="H16" s="59" t="s">
        <v>17</v>
      </c>
      <c r="I16" s="59" t="s">
        <v>17</v>
      </c>
      <c r="J16" s="70" t="s">
        <v>17</v>
      </c>
      <c r="K16" s="41" t="s">
        <v>67</v>
      </c>
    </row>
    <row r="17" spans="1:11" ht="14.5" customHeight="1">
      <c r="A17" s="4">
        <v>1.5</v>
      </c>
      <c r="B17" s="52" t="s">
        <v>89</v>
      </c>
      <c r="C17" s="4" t="s">
        <v>92</v>
      </c>
      <c r="D17" s="56">
        <v>22</v>
      </c>
      <c r="E17" s="57">
        <v>22</v>
      </c>
      <c r="F17" s="58">
        <v>0</v>
      </c>
      <c r="G17" s="60"/>
      <c r="H17" s="60"/>
      <c r="I17" s="60"/>
      <c r="J17" s="69"/>
      <c r="K17" s="41" t="s">
        <v>67</v>
      </c>
    </row>
    <row r="18" spans="1:11">
      <c r="A18" s="4">
        <v>1.6</v>
      </c>
      <c r="B18" s="52" t="s">
        <v>90</v>
      </c>
      <c r="C18" s="4" t="s">
        <v>63</v>
      </c>
      <c r="D18" s="56">
        <v>6</v>
      </c>
      <c r="E18" s="57">
        <v>6</v>
      </c>
      <c r="F18" s="58">
        <f t="shared" si="2"/>
        <v>0</v>
      </c>
      <c r="G18" s="60"/>
      <c r="H18" s="60"/>
      <c r="I18" s="60"/>
      <c r="J18" s="69"/>
      <c r="K18" s="41" t="s">
        <v>67</v>
      </c>
    </row>
    <row r="19" spans="1:11">
      <c r="A19" s="4">
        <v>1.7</v>
      </c>
      <c r="B19" s="52" t="s">
        <v>91</v>
      </c>
      <c r="C19" s="4" t="s">
        <v>13</v>
      </c>
      <c r="D19" s="56">
        <v>1</v>
      </c>
      <c r="E19" s="57">
        <v>1</v>
      </c>
      <c r="F19" s="58">
        <f t="shared" si="2"/>
        <v>0</v>
      </c>
      <c r="G19" s="60"/>
      <c r="H19" s="60"/>
      <c r="I19" s="60"/>
      <c r="J19" s="69"/>
      <c r="K19" s="41" t="s">
        <v>67</v>
      </c>
    </row>
    <row r="20" spans="1:11">
      <c r="A20" s="4">
        <v>18</v>
      </c>
      <c r="B20" s="39" t="s">
        <v>68</v>
      </c>
      <c r="C20" s="4" t="s">
        <v>69</v>
      </c>
      <c r="D20" s="56">
        <v>23.5</v>
      </c>
      <c r="E20" s="57">
        <v>23.5</v>
      </c>
      <c r="F20" s="58">
        <f t="shared" si="2"/>
        <v>0</v>
      </c>
      <c r="G20" s="60"/>
      <c r="H20" s="60"/>
      <c r="I20" s="60"/>
      <c r="J20" s="69"/>
      <c r="K20" s="41" t="s">
        <v>67</v>
      </c>
    </row>
    <row r="21" spans="1:11">
      <c r="A21" s="4">
        <v>1.9</v>
      </c>
      <c r="B21" s="39" t="s">
        <v>6</v>
      </c>
      <c r="C21" s="4" t="s">
        <v>71</v>
      </c>
      <c r="D21" s="56">
        <v>180</v>
      </c>
      <c r="E21" s="57">
        <v>0</v>
      </c>
      <c r="F21" s="58">
        <f t="shared" si="2"/>
        <v>180</v>
      </c>
      <c r="G21" s="60">
        <v>180</v>
      </c>
      <c r="H21" s="60">
        <v>0</v>
      </c>
      <c r="I21" s="60" t="s">
        <v>17</v>
      </c>
      <c r="J21" s="69">
        <v>180</v>
      </c>
      <c r="K21" s="4"/>
    </row>
    <row r="22" spans="1:11">
      <c r="A22" s="4">
        <v>1.1000000000000001</v>
      </c>
      <c r="B22" s="39" t="s">
        <v>75</v>
      </c>
      <c r="C22" s="4" t="s">
        <v>71</v>
      </c>
      <c r="D22" s="56">
        <v>180</v>
      </c>
      <c r="E22" s="57">
        <v>0</v>
      </c>
      <c r="F22" s="59">
        <f>D22-E22</f>
        <v>180</v>
      </c>
      <c r="G22" s="59"/>
      <c r="H22" s="59" t="s">
        <v>17</v>
      </c>
      <c r="I22" s="59" t="s">
        <v>17</v>
      </c>
      <c r="J22" s="70"/>
      <c r="K22" s="4"/>
    </row>
    <row r="23" spans="1:11">
      <c r="A23" s="4">
        <v>1.1100000000000001</v>
      </c>
      <c r="B23" s="39" t="s">
        <v>76</v>
      </c>
      <c r="C23" s="4" t="s">
        <v>2</v>
      </c>
      <c r="D23" s="56">
        <v>2</v>
      </c>
      <c r="E23" s="57">
        <v>0</v>
      </c>
      <c r="F23" s="60">
        <v>2</v>
      </c>
      <c r="G23" s="59">
        <v>2</v>
      </c>
      <c r="H23" s="59" t="s">
        <v>17</v>
      </c>
      <c r="I23" s="59" t="s">
        <v>17</v>
      </c>
      <c r="J23" s="70">
        <v>2</v>
      </c>
      <c r="K23" s="4"/>
    </row>
    <row r="24" spans="1:11">
      <c r="A24" s="4">
        <v>1.1200000000000001</v>
      </c>
      <c r="B24" s="39" t="s">
        <v>77</v>
      </c>
      <c r="C24" s="4" t="s">
        <v>2</v>
      </c>
      <c r="D24" s="56">
        <v>2</v>
      </c>
      <c r="E24" s="57"/>
      <c r="F24" s="60">
        <v>2</v>
      </c>
      <c r="G24" s="59">
        <v>2</v>
      </c>
      <c r="H24" s="59" t="s">
        <v>17</v>
      </c>
      <c r="I24" s="59" t="s">
        <v>17</v>
      </c>
      <c r="J24" s="70">
        <v>2</v>
      </c>
      <c r="K24" s="4"/>
    </row>
    <row r="25" spans="1:11">
      <c r="A25" s="4">
        <v>1.1299999999999999</v>
      </c>
      <c r="B25" s="39" t="s">
        <v>73</v>
      </c>
      <c r="C25" s="4" t="s">
        <v>71</v>
      </c>
      <c r="D25" s="56">
        <v>48</v>
      </c>
      <c r="E25" s="57">
        <v>0</v>
      </c>
      <c r="F25" s="60">
        <v>48</v>
      </c>
      <c r="G25" s="59"/>
      <c r="H25" s="59"/>
      <c r="I25" s="59"/>
      <c r="J25" s="70"/>
      <c r="K25" s="4"/>
    </row>
    <row r="26" spans="1:11">
      <c r="A26" s="4">
        <v>1.1399999999999999</v>
      </c>
      <c r="B26" s="39" t="s">
        <v>74</v>
      </c>
      <c r="C26" s="4" t="s">
        <v>92</v>
      </c>
      <c r="D26" s="56">
        <v>16</v>
      </c>
      <c r="E26" s="56">
        <v>0</v>
      </c>
      <c r="F26" s="60">
        <v>16</v>
      </c>
      <c r="G26" s="59"/>
      <c r="H26" s="59"/>
      <c r="I26" s="59"/>
      <c r="J26" s="70"/>
      <c r="K26" s="4"/>
    </row>
    <row r="27" spans="1:11">
      <c r="A27" s="9">
        <v>2</v>
      </c>
      <c r="B27" s="43" t="s">
        <v>79</v>
      </c>
      <c r="C27" s="4"/>
      <c r="D27" s="56"/>
      <c r="E27" s="56"/>
      <c r="F27" s="60">
        <v>0</v>
      </c>
      <c r="G27" s="60">
        <v>0</v>
      </c>
      <c r="H27" s="69" t="s">
        <v>17</v>
      </c>
      <c r="I27" s="60" t="s">
        <v>17</v>
      </c>
      <c r="J27" s="69"/>
      <c r="K27" s="4"/>
    </row>
    <row r="28" spans="1:11">
      <c r="A28" s="4">
        <v>2.1</v>
      </c>
      <c r="B28" s="39" t="s">
        <v>10</v>
      </c>
      <c r="C28" s="4" t="s">
        <v>13</v>
      </c>
      <c r="D28" s="56">
        <v>98</v>
      </c>
      <c r="E28" s="56">
        <v>76</v>
      </c>
      <c r="F28" s="60">
        <f>D28-E28</f>
        <v>22</v>
      </c>
      <c r="G28" s="60">
        <f>F28</f>
        <v>22</v>
      </c>
      <c r="H28" s="69">
        <v>5</v>
      </c>
      <c r="I28" s="60">
        <v>3</v>
      </c>
      <c r="J28" s="69">
        <f>G28-H28</f>
        <v>17</v>
      </c>
      <c r="K28" s="4" t="s">
        <v>62</v>
      </c>
    </row>
    <row r="29" spans="1:11">
      <c r="A29" s="4">
        <v>2.2000000000000002</v>
      </c>
      <c r="B29" s="39" t="s">
        <v>3</v>
      </c>
      <c r="C29" s="4" t="s">
        <v>13</v>
      </c>
      <c r="D29" s="56">
        <v>98</v>
      </c>
      <c r="E29" s="56">
        <v>71</v>
      </c>
      <c r="F29" s="60">
        <f t="shared" ref="F29:F33" si="3">D29-E29</f>
        <v>27</v>
      </c>
      <c r="G29" s="60">
        <f t="shared" ref="G29:G33" si="4">F29</f>
        <v>27</v>
      </c>
      <c r="H29" s="42">
        <v>2</v>
      </c>
      <c r="I29" s="60"/>
      <c r="J29" s="69">
        <f>G29-H29</f>
        <v>25</v>
      </c>
      <c r="K29" s="4" t="s">
        <v>62</v>
      </c>
    </row>
    <row r="30" spans="1:11">
      <c r="A30" s="4">
        <v>2.2999999999999998</v>
      </c>
      <c r="B30" s="39" t="s">
        <v>4</v>
      </c>
      <c r="C30" s="4" t="s">
        <v>13</v>
      </c>
      <c r="D30" s="56">
        <v>98</v>
      </c>
      <c r="E30" s="56">
        <v>64</v>
      </c>
      <c r="F30" s="60">
        <f t="shared" si="3"/>
        <v>34</v>
      </c>
      <c r="G30" s="60">
        <f t="shared" si="4"/>
        <v>34</v>
      </c>
      <c r="H30" s="69">
        <v>7</v>
      </c>
      <c r="I30" s="71">
        <v>3</v>
      </c>
      <c r="J30" s="69">
        <f t="shared" ref="J30:J33" si="5">G30-H30</f>
        <v>27</v>
      </c>
      <c r="K30" s="4" t="s">
        <v>62</v>
      </c>
    </row>
    <row r="31" spans="1:11" hidden="1">
      <c r="A31" s="4">
        <v>5.0999999999999996</v>
      </c>
      <c r="B31" s="39" t="s">
        <v>11</v>
      </c>
      <c r="C31" s="3" t="s">
        <v>2</v>
      </c>
      <c r="D31" s="56">
        <v>1</v>
      </c>
      <c r="E31" s="57">
        <v>1</v>
      </c>
      <c r="F31" s="60">
        <f t="shared" si="3"/>
        <v>0</v>
      </c>
      <c r="G31" s="60">
        <f t="shared" si="4"/>
        <v>0</v>
      </c>
      <c r="H31" s="69"/>
      <c r="I31" s="60"/>
      <c r="J31" s="69">
        <f t="shared" si="5"/>
        <v>0</v>
      </c>
      <c r="K31" s="4" t="s">
        <v>67</v>
      </c>
    </row>
    <row r="32" spans="1:11" hidden="1">
      <c r="A32" s="4">
        <v>6.1</v>
      </c>
      <c r="B32" s="43" t="s">
        <v>80</v>
      </c>
      <c r="C32" s="3" t="s">
        <v>2</v>
      </c>
      <c r="D32" s="56">
        <v>1</v>
      </c>
      <c r="E32" s="57">
        <v>0</v>
      </c>
      <c r="F32" s="60">
        <f t="shared" si="3"/>
        <v>1</v>
      </c>
      <c r="G32" s="60">
        <f t="shared" si="4"/>
        <v>1</v>
      </c>
      <c r="H32" s="69"/>
      <c r="I32" s="60"/>
      <c r="J32" s="69">
        <f t="shared" si="5"/>
        <v>1</v>
      </c>
      <c r="K32" s="4"/>
    </row>
    <row r="33" spans="1:11">
      <c r="A33" s="4">
        <v>2.4</v>
      </c>
      <c r="B33" s="39" t="s">
        <v>93</v>
      </c>
      <c r="C33" s="1" t="s">
        <v>13</v>
      </c>
      <c r="D33" s="61">
        <v>102</v>
      </c>
      <c r="E33" s="61">
        <v>55</v>
      </c>
      <c r="F33" s="60">
        <f t="shared" si="3"/>
        <v>47</v>
      </c>
      <c r="G33" s="60">
        <f t="shared" si="4"/>
        <v>47</v>
      </c>
      <c r="H33" s="69">
        <v>7</v>
      </c>
      <c r="I33" s="60">
        <v>3</v>
      </c>
      <c r="J33" s="69">
        <f t="shared" si="5"/>
        <v>40</v>
      </c>
      <c r="K33" s="4" t="s">
        <v>62</v>
      </c>
    </row>
    <row r="34" spans="1:11">
      <c r="A34" s="9">
        <v>3</v>
      </c>
      <c r="B34" s="44" t="s">
        <v>81</v>
      </c>
      <c r="C34" s="3"/>
      <c r="D34" s="56"/>
      <c r="E34" s="57"/>
      <c r="F34" s="56"/>
      <c r="G34" s="56"/>
      <c r="H34" s="67"/>
      <c r="I34" s="56"/>
      <c r="J34" s="67"/>
      <c r="K34" s="4"/>
    </row>
    <row r="35" spans="1:11">
      <c r="A35" s="4">
        <v>3.1</v>
      </c>
      <c r="B35" s="46" t="s">
        <v>10</v>
      </c>
      <c r="C35" s="3" t="s">
        <v>5</v>
      </c>
      <c r="D35" s="62">
        <v>75</v>
      </c>
      <c r="E35" s="57">
        <v>0</v>
      </c>
      <c r="F35" s="60">
        <f t="shared" ref="F35" si="6">D35-E35</f>
        <v>75</v>
      </c>
      <c r="G35" s="42">
        <v>75</v>
      </c>
      <c r="H35" s="69">
        <v>0</v>
      </c>
      <c r="I35" s="60" t="s">
        <v>17</v>
      </c>
      <c r="J35" s="69">
        <v>75</v>
      </c>
      <c r="K35" s="4"/>
    </row>
    <row r="36" spans="1:11">
      <c r="A36" s="4">
        <v>3.2</v>
      </c>
      <c r="B36" s="46" t="s">
        <v>3</v>
      </c>
      <c r="C36" s="3" t="s">
        <v>5</v>
      </c>
      <c r="D36" s="62">
        <v>75</v>
      </c>
      <c r="E36" s="57">
        <v>0</v>
      </c>
      <c r="F36" s="60">
        <v>75</v>
      </c>
      <c r="G36" s="42">
        <v>75</v>
      </c>
      <c r="H36" s="69">
        <v>0</v>
      </c>
      <c r="I36" s="60" t="s">
        <v>17</v>
      </c>
      <c r="J36" s="69">
        <v>75</v>
      </c>
      <c r="K36" s="4"/>
    </row>
    <row r="37" spans="1:11">
      <c r="A37" s="4">
        <v>3.3</v>
      </c>
      <c r="B37" s="46" t="s">
        <v>4</v>
      </c>
      <c r="C37" s="3" t="s">
        <v>5</v>
      </c>
      <c r="D37" s="62">
        <v>75</v>
      </c>
      <c r="E37" s="57">
        <v>0</v>
      </c>
      <c r="F37" s="60">
        <v>75</v>
      </c>
      <c r="G37" s="42">
        <v>75</v>
      </c>
      <c r="H37" s="69">
        <v>0</v>
      </c>
      <c r="I37" s="60" t="s">
        <v>17</v>
      </c>
      <c r="J37" s="69">
        <v>75</v>
      </c>
      <c r="K37" s="4"/>
    </row>
    <row r="38" spans="1:11">
      <c r="A38" s="4">
        <v>3.4</v>
      </c>
      <c r="B38" s="39" t="s">
        <v>12</v>
      </c>
      <c r="C38" s="3" t="s">
        <v>5</v>
      </c>
      <c r="D38" s="62">
        <v>150</v>
      </c>
      <c r="E38" s="57">
        <v>0</v>
      </c>
      <c r="F38" s="56">
        <v>150</v>
      </c>
      <c r="G38" s="4">
        <v>150</v>
      </c>
      <c r="H38" s="67"/>
      <c r="I38" s="56"/>
      <c r="J38" s="67">
        <v>150</v>
      </c>
      <c r="K38" s="4"/>
    </row>
    <row r="39" spans="1:11">
      <c r="A39" s="4"/>
      <c r="B39" s="45"/>
      <c r="C39" s="3"/>
      <c r="D39" s="62"/>
      <c r="E39" s="63"/>
      <c r="F39" s="60"/>
      <c r="G39" s="60"/>
      <c r="H39" s="69"/>
      <c r="I39" s="60"/>
      <c r="J39" s="69"/>
      <c r="K39" s="4"/>
    </row>
  </sheetData>
  <mergeCells count="10">
    <mergeCell ref="A1:K1"/>
    <mergeCell ref="A2:K2"/>
    <mergeCell ref="A3:K3"/>
    <mergeCell ref="A5:A6"/>
    <mergeCell ref="B5:B6"/>
    <mergeCell ref="C5:C6"/>
    <mergeCell ref="D5:D6"/>
    <mergeCell ref="E5:E6"/>
    <mergeCell ref="F5:F6"/>
    <mergeCell ref="G5:J5"/>
  </mergeCells>
  <pageMargins left="0.70866141732283472" right="0.70866141732283472" top="0.74803149606299213" bottom="0.74803149606299213" header="0.31496062992125984" footer="0.31496062992125984"/>
  <pageSetup paperSize="8" scale="95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7A43-AC5D-48DC-A15D-00BA308B1801}">
  <dimension ref="A1:U62"/>
  <sheetViews>
    <sheetView workbookViewId="0">
      <selection activeCell="D2" sqref="D2:L2"/>
    </sheetView>
  </sheetViews>
  <sheetFormatPr defaultRowHeight="14.5"/>
  <cols>
    <col min="1" max="1" width="6" customWidth="1"/>
    <col min="2" max="2" width="18.81640625" bestFit="1" customWidth="1"/>
    <col min="3" max="3" width="5.453125" bestFit="1" customWidth="1"/>
    <col min="4" max="4" width="11.1796875" bestFit="1" customWidth="1"/>
    <col min="5" max="5" width="9.81640625" bestFit="1" customWidth="1"/>
    <col min="6" max="6" width="6.453125" customWidth="1"/>
    <col min="7" max="9" width="8.1796875" customWidth="1"/>
    <col min="10" max="10" width="9.81640625" bestFit="1" customWidth="1"/>
    <col min="11" max="11" width="10.1796875" customWidth="1"/>
    <col min="12" max="16" width="8.54296875" customWidth="1"/>
    <col min="17" max="17" width="7.81640625" customWidth="1"/>
    <col min="18" max="18" width="7.1796875" customWidth="1"/>
    <col min="19" max="19" width="13.81640625" customWidth="1"/>
    <col min="20" max="20" width="16.81640625" customWidth="1"/>
    <col min="21" max="21" width="13.81640625" customWidth="1"/>
  </cols>
  <sheetData>
    <row r="1" spans="1:21">
      <c r="A1" t="s">
        <v>35</v>
      </c>
      <c r="K1" t="s">
        <v>61</v>
      </c>
    </row>
    <row r="2" spans="1:21">
      <c r="A2" t="s">
        <v>36</v>
      </c>
      <c r="D2" s="88" t="s">
        <v>60</v>
      </c>
      <c r="E2" s="88"/>
      <c r="F2" s="88"/>
      <c r="G2" s="88"/>
      <c r="H2" s="88"/>
      <c r="I2" s="88"/>
      <c r="J2" s="88"/>
      <c r="K2" s="88"/>
      <c r="L2" s="88"/>
    </row>
    <row r="3" spans="1:21" ht="14.5" customHeight="1">
      <c r="A3" s="90" t="s">
        <v>18</v>
      </c>
      <c r="B3" s="90" t="s">
        <v>19</v>
      </c>
      <c r="C3" s="90" t="s">
        <v>16</v>
      </c>
      <c r="D3" s="91" t="s">
        <v>20</v>
      </c>
      <c r="E3" s="92"/>
      <c r="F3" s="93"/>
      <c r="G3" s="89" t="s">
        <v>21</v>
      </c>
      <c r="H3" s="89"/>
      <c r="I3" s="89"/>
      <c r="J3" s="86" t="s">
        <v>22</v>
      </c>
      <c r="K3" s="86" t="s">
        <v>23</v>
      </c>
      <c r="L3" s="90" t="s">
        <v>1</v>
      </c>
    </row>
    <row r="4" spans="1:21" ht="33" customHeight="1">
      <c r="A4" s="90"/>
      <c r="B4" s="90"/>
      <c r="C4" s="90"/>
      <c r="D4" s="13" t="s">
        <v>24</v>
      </c>
      <c r="E4" s="12" t="s">
        <v>25</v>
      </c>
      <c r="F4" s="12" t="s">
        <v>15</v>
      </c>
      <c r="G4" s="14" t="s">
        <v>26</v>
      </c>
      <c r="H4" s="14" t="s">
        <v>55</v>
      </c>
      <c r="I4" s="15" t="s">
        <v>56</v>
      </c>
      <c r="J4" s="87"/>
      <c r="K4" s="87"/>
      <c r="L4" s="90"/>
    </row>
    <row r="5" spans="1:21">
      <c r="A5" s="2">
        <v>1</v>
      </c>
      <c r="B5" s="16" t="s">
        <v>27</v>
      </c>
      <c r="C5" s="8" t="s">
        <v>28</v>
      </c>
      <c r="D5" s="8">
        <v>1431</v>
      </c>
      <c r="E5" s="8">
        <f>'[1]Cement Received'!K32</f>
        <v>16713</v>
      </c>
      <c r="F5" s="8">
        <f>D5+E5</f>
        <v>18144</v>
      </c>
      <c r="G5" s="8">
        <v>14820</v>
      </c>
      <c r="H5" s="5">
        <v>0</v>
      </c>
      <c r="I5" s="5">
        <v>2512</v>
      </c>
      <c r="J5" s="5">
        <f>G5+I5+H5</f>
        <v>17332</v>
      </c>
      <c r="K5" s="17">
        <f>+J5</f>
        <v>17332</v>
      </c>
      <c r="L5" s="6">
        <f>F5-K5</f>
        <v>812</v>
      </c>
    </row>
    <row r="6" spans="1:21">
      <c r="A6" s="2">
        <v>2</v>
      </c>
      <c r="B6" s="16" t="s">
        <v>27</v>
      </c>
      <c r="C6" s="8" t="s">
        <v>9</v>
      </c>
      <c r="D6" s="8">
        <v>0</v>
      </c>
      <c r="E6" s="8">
        <f>95.16+40</f>
        <v>135.16</v>
      </c>
      <c r="F6" s="8">
        <f>D6+E6</f>
        <v>135.16</v>
      </c>
      <c r="G6" s="8">
        <v>0</v>
      </c>
      <c r="H6" s="5">
        <v>135</v>
      </c>
      <c r="I6" s="5">
        <v>0</v>
      </c>
      <c r="J6" s="5">
        <f>G6+I6</f>
        <v>0</v>
      </c>
      <c r="K6" s="17">
        <v>135.16</v>
      </c>
      <c r="L6" s="6">
        <f t="shared" ref="L6:L12" si="0">F6-K6</f>
        <v>0</v>
      </c>
    </row>
    <row r="7" spans="1:21">
      <c r="A7" s="2">
        <v>2</v>
      </c>
      <c r="B7" s="29" t="s">
        <v>29</v>
      </c>
      <c r="C7" s="8" t="s">
        <v>9</v>
      </c>
      <c r="D7" s="8">
        <f>'[1]steel Received Other Store'!J22</f>
        <v>3.8029999999999999</v>
      </c>
      <c r="E7" s="8">
        <f>'[1]Steel Received'!I23</f>
        <v>49.625</v>
      </c>
      <c r="F7" s="8">
        <f t="shared" ref="F7:F12" si="1">D7+E7</f>
        <v>53.427999999999997</v>
      </c>
      <c r="G7" s="8">
        <f>'[1]Steel Issue'!E38</f>
        <v>21.774000000000004</v>
      </c>
      <c r="H7" s="5">
        <v>0</v>
      </c>
      <c r="I7" s="5">
        <f>'[1]Steel issue to TL '!E38</f>
        <v>0.76000000000000012</v>
      </c>
      <c r="J7" s="5">
        <f>G7+I7</f>
        <v>22.534000000000006</v>
      </c>
      <c r="K7" s="17">
        <v>24.486999999999998</v>
      </c>
      <c r="L7" s="18">
        <f t="shared" si="0"/>
        <v>28.940999999999999</v>
      </c>
      <c r="M7" s="27"/>
      <c r="N7" s="27"/>
    </row>
    <row r="8" spans="1:21">
      <c r="A8" s="2">
        <v>3</v>
      </c>
      <c r="B8" s="19" t="s">
        <v>30</v>
      </c>
      <c r="C8" s="8" t="s">
        <v>9</v>
      </c>
      <c r="D8" s="8">
        <f>'[1]steel Received Other Store'!K22</f>
        <v>2.1190000000000002</v>
      </c>
      <c r="E8" s="8">
        <f>'[1]Steel Received'!J23</f>
        <v>83.240000000000009</v>
      </c>
      <c r="F8" s="8">
        <f t="shared" si="1"/>
        <v>85.359000000000009</v>
      </c>
      <c r="G8" s="8">
        <f>'[1]Steel Issue'!F38</f>
        <v>23.461000000000002</v>
      </c>
      <c r="H8" s="5">
        <v>0</v>
      </c>
      <c r="I8" s="5">
        <f>'[1]Steel issue to TL '!F38</f>
        <v>4.6480000000000006</v>
      </c>
      <c r="J8" s="5">
        <f t="shared" ref="J8:J12" si="2">G8+I8</f>
        <v>28.109000000000002</v>
      </c>
      <c r="K8" s="17">
        <v>24.335999999999999</v>
      </c>
      <c r="L8" s="2">
        <f t="shared" si="0"/>
        <v>61.02300000000001</v>
      </c>
      <c r="M8" s="27"/>
      <c r="N8" s="27"/>
      <c r="U8" t="s">
        <v>57</v>
      </c>
    </row>
    <row r="9" spans="1:21">
      <c r="A9" s="2">
        <v>4</v>
      </c>
      <c r="B9" s="19" t="s">
        <v>31</v>
      </c>
      <c r="C9" s="8" t="s">
        <v>9</v>
      </c>
      <c r="D9" s="8">
        <f>'[1]steel Received Other Store'!L22</f>
        <v>0</v>
      </c>
      <c r="E9" s="8">
        <f>'[1]Steel Received'!K23</f>
        <v>57.136000000000003</v>
      </c>
      <c r="F9" s="8">
        <f t="shared" si="1"/>
        <v>57.136000000000003</v>
      </c>
      <c r="G9" s="8">
        <f>'[1]Steel Issue'!G38</f>
        <v>37.259999999999991</v>
      </c>
      <c r="H9" s="5">
        <v>0</v>
      </c>
      <c r="I9" s="5">
        <f>'[1]Steel issue to TL '!G38</f>
        <v>6.0650000000000004</v>
      </c>
      <c r="J9" s="5">
        <f t="shared" si="2"/>
        <v>43.324999999999989</v>
      </c>
      <c r="K9" s="17">
        <f t="shared" ref="K9:K11" si="3">G9</f>
        <v>37.259999999999991</v>
      </c>
      <c r="L9" s="2">
        <f t="shared" si="0"/>
        <v>19.876000000000012</v>
      </c>
      <c r="M9" s="27"/>
      <c r="N9" s="27"/>
    </row>
    <row r="10" spans="1:21">
      <c r="A10" s="2">
        <v>5</v>
      </c>
      <c r="B10" s="19" t="s">
        <v>32</v>
      </c>
      <c r="C10" s="8" t="s">
        <v>9</v>
      </c>
      <c r="D10" s="8">
        <f>'[1]steel Received Other Store'!M22</f>
        <v>20.923999999999999</v>
      </c>
      <c r="E10" s="8">
        <f>'[1]Steel Received'!L23</f>
        <v>65.641000000000005</v>
      </c>
      <c r="F10" s="8">
        <f t="shared" si="1"/>
        <v>86.564999999999998</v>
      </c>
      <c r="G10" s="8">
        <f>'[1]Steel Issue'!H38</f>
        <v>62.35799999999999</v>
      </c>
      <c r="H10" s="5">
        <v>0</v>
      </c>
      <c r="I10" s="5">
        <f>'[1]Steel issue to TL '!H38</f>
        <v>3.7949999999999999</v>
      </c>
      <c r="J10" s="5">
        <f t="shared" si="2"/>
        <v>66.152999999999992</v>
      </c>
      <c r="K10" s="17">
        <f t="shared" si="3"/>
        <v>62.35799999999999</v>
      </c>
      <c r="L10" s="2">
        <f t="shared" si="0"/>
        <v>24.207000000000008</v>
      </c>
      <c r="M10" s="27"/>
      <c r="N10" s="27"/>
    </row>
    <row r="11" spans="1:21">
      <c r="A11" s="2">
        <v>6</v>
      </c>
      <c r="B11" s="7" t="s">
        <v>33</v>
      </c>
      <c r="C11" s="8" t="s">
        <v>9</v>
      </c>
      <c r="D11" s="8">
        <f>'[1]steel Received Other Store'!N22</f>
        <v>0</v>
      </c>
      <c r="E11" s="8">
        <f>'[1]Steel Received'!M23</f>
        <v>40.690000000000005</v>
      </c>
      <c r="F11" s="8">
        <f t="shared" si="1"/>
        <v>40.690000000000005</v>
      </c>
      <c r="G11" s="8">
        <f>'[1]Steel Issue'!I38</f>
        <v>13.244</v>
      </c>
      <c r="H11" s="5">
        <v>0</v>
      </c>
      <c r="I11" s="5">
        <f>'[1]Steel issue to TL '!I38</f>
        <v>5.1455000000000002</v>
      </c>
      <c r="J11" s="5">
        <f t="shared" si="2"/>
        <v>18.389499999999998</v>
      </c>
      <c r="K11" s="17">
        <f t="shared" si="3"/>
        <v>13.244</v>
      </c>
      <c r="L11" s="2">
        <f t="shared" si="0"/>
        <v>27.446000000000005</v>
      </c>
      <c r="M11" s="27"/>
      <c r="N11" s="27"/>
    </row>
    <row r="12" spans="1:21">
      <c r="A12" s="2">
        <v>7</v>
      </c>
      <c r="B12" s="19" t="s">
        <v>34</v>
      </c>
      <c r="C12" s="8" t="s">
        <v>9</v>
      </c>
      <c r="D12" s="8">
        <f>'[1]steel Received Other Store'!O22</f>
        <v>0.75100000000000011</v>
      </c>
      <c r="E12" s="8">
        <f>'[1]Steel Received'!N23</f>
        <v>21.050000000000004</v>
      </c>
      <c r="F12" s="8">
        <f t="shared" si="1"/>
        <v>21.801000000000005</v>
      </c>
      <c r="G12" s="8">
        <f>'[1]Steel Issue'!J38</f>
        <v>17.539000000000001</v>
      </c>
      <c r="H12" s="5">
        <v>0</v>
      </c>
      <c r="I12" s="5">
        <f>'[1]Steel issue to TL '!J38</f>
        <v>0</v>
      </c>
      <c r="J12" s="5">
        <f t="shared" si="2"/>
        <v>17.539000000000001</v>
      </c>
      <c r="K12" s="17">
        <v>17.539000000000001</v>
      </c>
      <c r="L12" s="2">
        <f t="shared" si="0"/>
        <v>4.262000000000004</v>
      </c>
      <c r="M12" s="27"/>
      <c r="N12" s="27"/>
    </row>
    <row r="13" spans="1:21" ht="21.75" customHeight="1"/>
    <row r="14" spans="1:21" ht="21.75" customHeight="1"/>
    <row r="15" spans="1:21" ht="21.75" customHeight="1"/>
    <row r="16" spans="1:2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spans="1:20" ht="21.75" customHeight="1"/>
    <row r="34" spans="1:20" ht="21.75" customHeight="1"/>
    <row r="35" spans="1:20" ht="21.75" customHeight="1"/>
    <row r="36" spans="1:20" ht="21.75" customHeight="1"/>
    <row r="37" spans="1:20" ht="21.75" customHeight="1"/>
    <row r="38" spans="1:20" ht="21.75" customHeight="1"/>
    <row r="39" spans="1:20" ht="21.75" customHeight="1"/>
    <row r="40" spans="1:20" ht="21.75" customHeight="1"/>
    <row r="41" spans="1:20" ht="21.75" customHeight="1"/>
    <row r="42" spans="1:20" ht="22.5" customHeight="1"/>
    <row r="46" spans="1:20">
      <c r="A46" s="20"/>
      <c r="B46" s="20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20">
      <c r="A47" s="20"/>
      <c r="B47" s="20"/>
      <c r="C47" s="20"/>
      <c r="D47" s="20"/>
      <c r="E47" s="10"/>
      <c r="F47" s="20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20" ht="23.5">
      <c r="E48" s="96" t="s">
        <v>37</v>
      </c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</row>
    <row r="49" spans="5:20" ht="26">
      <c r="E49" s="90" t="s">
        <v>38</v>
      </c>
      <c r="F49" s="90"/>
      <c r="G49" s="22" t="s">
        <v>39</v>
      </c>
      <c r="H49" s="22"/>
      <c r="I49" s="22"/>
      <c r="J49" s="22"/>
      <c r="K49" s="22" t="s">
        <v>40</v>
      </c>
      <c r="L49" s="22" t="s">
        <v>41</v>
      </c>
      <c r="M49" s="22" t="s">
        <v>42</v>
      </c>
      <c r="N49" s="22" t="s">
        <v>43</v>
      </c>
      <c r="O49" s="22" t="s">
        <v>44</v>
      </c>
      <c r="P49" s="22" t="s">
        <v>45</v>
      </c>
      <c r="Q49" s="22" t="s">
        <v>46</v>
      </c>
      <c r="R49" s="23" t="s">
        <v>47</v>
      </c>
      <c r="S49" s="23" t="s">
        <v>48</v>
      </c>
      <c r="T49" s="23" t="s">
        <v>14</v>
      </c>
    </row>
    <row r="50" spans="5:20" ht="30.75" customHeight="1">
      <c r="E50" s="82" t="s">
        <v>49</v>
      </c>
      <c r="F50" s="82"/>
      <c r="G50" s="24">
        <f>+'[2]Steel Received'!I23</f>
        <v>49.625</v>
      </c>
      <c r="H50" s="24"/>
      <c r="I50" s="24"/>
      <c r="J50" s="24"/>
      <c r="K50" s="24">
        <f>+'[2]Steel Received'!J23</f>
        <v>83.240000000000009</v>
      </c>
      <c r="L50" s="24">
        <f>+'[2]Steel Received'!K23</f>
        <v>57.136000000000003</v>
      </c>
      <c r="M50" s="24">
        <f>+'[2]Steel Received'!L23</f>
        <v>65.641000000000005</v>
      </c>
      <c r="N50" s="24">
        <f>+'[2]Steel Received'!M23</f>
        <v>40.690000000000005</v>
      </c>
      <c r="O50" s="24">
        <f>+'[2]Steel Received'!N23</f>
        <v>21.050000000000004</v>
      </c>
      <c r="P50" s="24" t="e">
        <f>+'[2]Steel Received'!#REF!</f>
        <v>#REF!</v>
      </c>
      <c r="Q50" s="24" t="e">
        <f>+'[2]Steel Received'!#REF!</f>
        <v>#REF!</v>
      </c>
      <c r="R50" s="24" t="e">
        <f>+'[2]Steel Received'!#REF!</f>
        <v>#REF!</v>
      </c>
      <c r="S50" s="24" t="e">
        <f t="shared" ref="S50:S54" si="4">SUM(G50:R50)</f>
        <v>#REF!</v>
      </c>
      <c r="T50" s="24"/>
    </row>
    <row r="51" spans="5:20" ht="39" customHeight="1">
      <c r="E51" s="97" t="s">
        <v>50</v>
      </c>
      <c r="F51" s="98"/>
      <c r="G51" s="24">
        <f>'[2]Steel Issue'!E38</f>
        <v>24.144000000000005</v>
      </c>
      <c r="H51" s="24"/>
      <c r="I51" s="24"/>
      <c r="J51" s="24"/>
      <c r="K51" s="24">
        <f>'[2]Steel Issue'!F38</f>
        <v>26.905000000000001</v>
      </c>
      <c r="L51" s="24">
        <f>'[2]Steel Issue'!G38</f>
        <v>40.459999999999994</v>
      </c>
      <c r="M51" s="24">
        <f>'[2]Steel Issue'!H38</f>
        <v>68.045999999999992</v>
      </c>
      <c r="N51" s="24">
        <f>'[2]Steel Issue'!I38</f>
        <v>16.206</v>
      </c>
      <c r="O51" s="24">
        <f>'[2]Steel Issue'!J38</f>
        <v>17.539000000000001</v>
      </c>
      <c r="P51" s="24" t="e">
        <f>'[2]Steel Issue'!#REF!</f>
        <v>#REF!</v>
      </c>
      <c r="Q51" s="24" t="e">
        <f>'[2]Steel Issue'!#REF!</f>
        <v>#REF!</v>
      </c>
      <c r="R51" s="24" t="e">
        <f>'[2]Steel Issue'!#REF!</f>
        <v>#REF!</v>
      </c>
      <c r="S51" s="24" t="e">
        <f t="shared" si="4"/>
        <v>#REF!</v>
      </c>
      <c r="T51" s="25"/>
    </row>
    <row r="52" spans="5:20" ht="39" customHeight="1">
      <c r="E52" s="97" t="s">
        <v>51</v>
      </c>
      <c r="F52" s="98"/>
      <c r="G52" s="24">
        <v>0</v>
      </c>
      <c r="H52" s="24"/>
      <c r="I52" s="24"/>
      <c r="J52" s="24"/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f t="shared" si="4"/>
        <v>0</v>
      </c>
      <c r="T52" s="25"/>
    </row>
    <row r="53" spans="5:20" ht="33" customHeight="1">
      <c r="E53" s="94" t="s">
        <v>52</v>
      </c>
      <c r="F53" s="95" t="s">
        <v>53</v>
      </c>
      <c r="G53" s="26">
        <f>G51+G52</f>
        <v>24.144000000000005</v>
      </c>
      <c r="H53" s="26"/>
      <c r="I53" s="26"/>
      <c r="J53" s="26"/>
      <c r="K53" s="26">
        <f t="shared" ref="K53:R53" si="5">K51+K52</f>
        <v>26.905000000000001</v>
      </c>
      <c r="L53" s="26">
        <f t="shared" si="5"/>
        <v>40.459999999999994</v>
      </c>
      <c r="M53" s="26">
        <f t="shared" si="5"/>
        <v>68.045999999999992</v>
      </c>
      <c r="N53" s="26">
        <f t="shared" si="5"/>
        <v>16.206</v>
      </c>
      <c r="O53" s="26">
        <f t="shared" si="5"/>
        <v>17.539000000000001</v>
      </c>
      <c r="P53" s="26" t="e">
        <f t="shared" si="5"/>
        <v>#REF!</v>
      </c>
      <c r="Q53" s="26" t="e">
        <f t="shared" si="5"/>
        <v>#REF!</v>
      </c>
      <c r="R53" s="26" t="e">
        <f t="shared" si="5"/>
        <v>#REF!</v>
      </c>
      <c r="S53" s="24" t="e">
        <f t="shared" si="4"/>
        <v>#REF!</v>
      </c>
      <c r="T53" s="24"/>
    </row>
    <row r="54" spans="5:20" ht="27" customHeight="1">
      <c r="E54" s="94" t="s">
        <v>54</v>
      </c>
      <c r="F54" s="95" t="s">
        <v>53</v>
      </c>
      <c r="G54" s="24">
        <f t="shared" ref="G54:R54" si="6">+G50-G53</f>
        <v>25.480999999999995</v>
      </c>
      <c r="H54" s="24"/>
      <c r="I54" s="24"/>
      <c r="J54" s="24"/>
      <c r="K54" s="24">
        <f t="shared" si="6"/>
        <v>56.335000000000008</v>
      </c>
      <c r="L54" s="24">
        <f t="shared" si="6"/>
        <v>16.676000000000009</v>
      </c>
      <c r="M54" s="24">
        <f t="shared" si="6"/>
        <v>-2.4049999999999869</v>
      </c>
      <c r="N54" s="24">
        <f t="shared" si="6"/>
        <v>24.484000000000005</v>
      </c>
      <c r="O54" s="24">
        <f t="shared" si="6"/>
        <v>3.5110000000000028</v>
      </c>
      <c r="P54" s="24" t="e">
        <f t="shared" si="6"/>
        <v>#REF!</v>
      </c>
      <c r="Q54" s="24" t="e">
        <f t="shared" si="6"/>
        <v>#REF!</v>
      </c>
      <c r="R54" s="24" t="e">
        <f t="shared" si="6"/>
        <v>#REF!</v>
      </c>
      <c r="S54" s="24" t="e">
        <f t="shared" si="4"/>
        <v>#REF!</v>
      </c>
      <c r="T54" s="24"/>
    </row>
    <row r="56" spans="5:20">
      <c r="G56" s="27"/>
      <c r="H56" s="27"/>
      <c r="I56" s="27"/>
      <c r="J56" s="27"/>
      <c r="K56" s="27"/>
      <c r="O56" s="27"/>
    </row>
    <row r="57" spans="5:20">
      <c r="P57" s="27"/>
      <c r="S57" s="27"/>
    </row>
    <row r="59" spans="5:20"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 spans="5:20">
      <c r="K60" s="27"/>
      <c r="L60" s="27"/>
    </row>
    <row r="61" spans="5:20"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</row>
    <row r="62" spans="5:20"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</sheetData>
  <mergeCells count="16">
    <mergeCell ref="E53:F53"/>
    <mergeCell ref="E54:F54"/>
    <mergeCell ref="E48:T48"/>
    <mergeCell ref="E49:F49"/>
    <mergeCell ref="E50:F50"/>
    <mergeCell ref="E51:F51"/>
    <mergeCell ref="E52:F52"/>
    <mergeCell ref="K3:K4"/>
    <mergeCell ref="D2:L2"/>
    <mergeCell ref="G3:I3"/>
    <mergeCell ref="L3:L4"/>
    <mergeCell ref="A3:A4"/>
    <mergeCell ref="B3:B4"/>
    <mergeCell ref="C3:C4"/>
    <mergeCell ref="D3:F3"/>
    <mergeCell ref="J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DPR </vt:lpstr>
      <vt:lpstr>Steel Cement</vt:lpstr>
      <vt:lpstr>'DPR '!Print_Area</vt:lpstr>
      <vt:lpstr>'DPR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Sarkar</dc:creator>
  <cp:lastModifiedBy>Prashun Shukla</cp:lastModifiedBy>
  <cp:lastPrinted>2025-03-28T05:05:01Z</cp:lastPrinted>
  <dcterms:created xsi:type="dcterms:W3CDTF">2025-03-10T02:30:04Z</dcterms:created>
  <dcterms:modified xsi:type="dcterms:W3CDTF">2026-03-10T13:50:52Z</dcterms:modified>
</cp:coreProperties>
</file>