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March 2026/"/>
    </mc:Choice>
  </mc:AlternateContent>
  <xr:revisionPtr revIDLastSave="2247" documentId="8_{16FA9FDA-04F7-4315-B5A3-F2AC902332DB}" xr6:coauthVersionLast="47" xr6:coauthVersionMax="47" xr10:uidLastSave="{2C811FF0-B6D5-4F04-A680-B474DAF6131A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'Stringing-132KV'!$A$5:$Z$45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4" i="14" l="1"/>
  <c r="AW14" i="14"/>
  <c r="AW7" i="14"/>
  <c r="K16" i="5"/>
  <c r="K15" i="5"/>
  <c r="AW21" i="14"/>
  <c r="BB15" i="15"/>
  <c r="BA15" i="15"/>
  <c r="BB42" i="15" l="1"/>
  <c r="AW25" i="14" l="1"/>
  <c r="BA42" i="15"/>
  <c r="AX25" i="14"/>
  <c r="BB33" i="15"/>
  <c r="BA33" i="15"/>
  <c r="AH44" i="7"/>
  <c r="AX21" i="14"/>
  <c r="AW137" i="15"/>
  <c r="AX137" i="15"/>
  <c r="AY137" i="15"/>
  <c r="AZ137" i="15"/>
  <c r="BB123" i="15"/>
  <c r="BA123" i="15"/>
  <c r="BA114" i="15"/>
  <c r="BA105" i="15"/>
  <c r="BA96" i="15"/>
  <c r="BA87" i="15"/>
  <c r="BA78" i="15"/>
  <c r="BA69" i="15"/>
  <c r="BA60" i="15"/>
  <c r="BB51" i="15"/>
  <c r="BA51" i="15"/>
  <c r="BA24" i="15"/>
  <c r="BB6" i="15"/>
  <c r="BA6" i="15"/>
  <c r="AU136" i="15"/>
  <c r="AU36" i="15"/>
  <c r="AU47" i="15"/>
  <c r="AU63" i="15"/>
  <c r="AU72" i="15"/>
  <c r="AU81" i="15"/>
  <c r="AU90" i="15"/>
  <c r="AU99" i="15"/>
  <c r="AU108" i="15"/>
  <c r="AU117" i="15"/>
  <c r="AU126" i="15"/>
  <c r="BB137" i="15" l="1"/>
  <c r="BA137" i="15"/>
  <c r="A46" i="16"/>
  <c r="A47" i="16" s="1"/>
  <c r="A48" i="16" s="1"/>
  <c r="A49" i="16" s="1"/>
  <c r="A50" i="16" s="1"/>
  <c r="A51" i="16" s="1"/>
  <c r="A52" i="16" s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/>
  <c r="AP360" i="8" s="1"/>
  <c r="BE358" i="8"/>
  <c r="AX358" i="8"/>
  <c r="AR358" i="8"/>
  <c r="AQ358" i="8" s="1"/>
  <c r="AP358" i="8" s="1"/>
  <c r="BE356" i="8"/>
  <c r="AX356" i="8"/>
  <c r="AR356" i="8"/>
  <c r="AQ356" i="8"/>
  <c r="AP356" i="8" s="1"/>
  <c r="BK354" i="8"/>
  <c r="BE354" i="8"/>
  <c r="AR354" i="8"/>
  <c r="AQ354" i="8"/>
  <c r="AP354" i="8"/>
  <c r="BK352" i="8"/>
  <c r="BE352" i="8"/>
  <c r="AZ352" i="8"/>
  <c r="AY352" i="8"/>
  <c r="AX352" i="8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/>
  <c r="AP336" i="8"/>
  <c r="BK334" i="8"/>
  <c r="BJ334" i="8" s="1"/>
  <c r="BE334" i="8"/>
  <c r="AX334" i="8"/>
  <c r="AR334" i="8"/>
  <c r="AQ334" i="8"/>
  <c r="AP334" i="8" s="1"/>
  <c r="BJ332" i="8"/>
  <c r="BE332" i="8"/>
  <c r="AN332" i="8"/>
  <c r="BE330" i="8"/>
  <c r="AX330" i="8"/>
  <c r="AR330" i="8"/>
  <c r="AQ330" i="8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7" i="16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15" i="5"/>
  <c r="I3" i="9"/>
  <c r="M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H36" i="14"/>
  <c r="AK36" i="14" s="1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8" i="5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P23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3" i="9"/>
  <c r="H3" i="9"/>
  <c r="D3" i="9"/>
  <c r="A2" i="9"/>
  <c r="A1" i="9"/>
  <c r="BI407" i="8"/>
  <c r="BI5" i="8" s="1"/>
  <c r="M13" i="5" s="1"/>
  <c r="BD407" i="8"/>
  <c r="BB407" i="8"/>
  <c r="M12" i="5" s="1"/>
  <c r="AV407" i="8"/>
  <c r="M11" i="5" s="1"/>
  <c r="AO407" i="8"/>
  <c r="AM407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K13" i="5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27" i="5" l="1"/>
  <c r="I23" i="13" s="1"/>
  <c r="AK140" i="15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<sst xmlns="http://schemas.openxmlformats.org/spreadsheetml/2006/main" count="11265" uniqueCount="753">
  <si>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</si>
  <si>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</si>
  <si>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</si>
  <si>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</si>
  <si>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</si>
  <si>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</si>
  <si>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</si>
  <si>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</si>
  <si>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</si>
  <si>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</si>
  <si>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</si>
  <si>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</si>
  <si>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</si>
  <si>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</si>
  <si>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</si>
  <si>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</si>
  <si>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</si>
  <si>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</si>
  <si>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</si>
  <si>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</si>
  <si>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</si>
  <si>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</si>
  <si>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</si>
  <si>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</si>
  <si>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</si>
  <si>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</si>
  <si>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</si>
  <si>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</si>
  <si>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</si>
  <si>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</si>
  <si>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</si>
  <si>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</si>
  <si>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</si>
  <si>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</si>
  <si>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</si>
  <si>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</si>
  <si>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</si>
  <si>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</si>
  <si>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</si>
  <si>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</si>
  <si>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</si>
  <si>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</si>
  <si>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</si>
  <si>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</si>
  <si>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</si>
  <si>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</si>
  <si>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</si>
  <si>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</si>
  <si>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</si>
  <si>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</si>
  <si>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</si>
  <si>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</si>
  <si>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</si>
  <si>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</si>
  <si>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</si>
  <si>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</si>
  <si>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</si>
  <si>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</si>
  <si>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</si>
  <si>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</si>
  <si>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</si>
  <si>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</si>
  <si>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</si>
  <si>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</si>
  <si>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</si>
  <si>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</si>
  <si>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</si>
  <si>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</si>
  <si>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</si>
  <si>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</si>
  <si>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</si>
  <si>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</si>
  <si>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</si>
  <si>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</si>
  <si>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</si>
  <si>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</si>
  <si>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</si>
  <si>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</si>
  <si>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</si>
  <si>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</si>
  <si>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</si>
  <si>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</si>
  <si>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</si>
  <si>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</si>
  <si>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</si>
  <si>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</si>
  <si>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</si>
  <si>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</si>
  <si>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</si>
  <si>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</si>
  <si>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</si>
  <si>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</si>
  <si>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</si>
  <si>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</si>
  <si>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</si>
  <si>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</si>
  <si>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</si>
  <si>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</si>
  <si>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</si>
  <si>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</si>
  <si>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</si>
  <si>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</si>
  <si>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</si>
  <si>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</si>
  <si>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</si>
  <si>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</si>
  <si>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</si>
  <si>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</si>
  <si>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</si>
  <si>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</si>
  <si>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</si>
  <si>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</si>
  <si>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</si>
  <si>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</si>
  <si>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</si>
  <si>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</si>
  <si>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</si>
  <si>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</si>
  <si>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</si>
  <si>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</si>
  <si>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</si>
  <si>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</si>
  <si>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</si>
  <si>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</si>
  <si>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</si>
  <si>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</si>
  <si>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</si>
  <si>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</si>
  <si>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</si>
  <si>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</si>
  <si>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</si>
  <si>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</si>
  <si>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</si>
  <si>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</si>
  <si>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</si>
  <si>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</si>
  <si>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</si>
  <si>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</si>
  <si>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</si>
  <si>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</si>
  <si>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</si>
  <si>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</si>
  <si>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</si>
  <si>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</si>
  <si>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</si>
  <si>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</si>
  <si>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</si>
  <si>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</si>
  <si>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</si>
  <si>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</si>
  <si>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</si>
  <si>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</si>
  <si>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</si>
  <si>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</si>
  <si>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</si>
  <si>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</si>
  <si>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</si>
  <si>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</si>
  <si>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</si>
  <si>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</si>
  <si>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</si>
  <si>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</si>
  <si>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</si>
  <si>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</si>
  <si>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</si>
  <si>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</si>
  <si>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</si>
  <si>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</si>
  <si>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</si>
  <si>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</si>
  <si>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</si>
  <si>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</si>
  <si>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</si>
  <si>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</si>
  <si>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</si>
  <si>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</si>
  <si>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</si>
  <si>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</si>
  <si>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</si>
  <si>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</si>
  <si>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</si>
  <si>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</si>
  <si>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</si>
  <si>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</si>
  <si>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</si>
  <si>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</si>
  <si>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</si>
  <si>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</si>
  <si>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</si>
  <si>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</si>
  <si>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</si>
  <si>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</si>
  <si>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</si>
  <si>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</si>
  <si>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</si>
  <si>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</si>
  <si>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</si>
  <si>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</si>
  <si>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</si>
  <si>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</si>
  <si>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</si>
  <si>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</si>
  <si>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</si>
  <si>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</si>
  <si>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</si>
  <si>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</si>
  <si>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</si>
  <si>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</si>
  <si>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</si>
  <si>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</si>
  <si>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</si>
  <si>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</si>
  <si>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</si>
  <si>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</si>
  <si>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</si>
  <si>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</si>
  <si>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</si>
  <si>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</si>
  <si>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</si>
  <si>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</si>
  <si>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</si>
  <si>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</si>
  <si>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</si>
  <si>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</si>
  <si>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</si>
  <si>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</si>
  <si>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</si>
  <si>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</si>
  <si>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</si>
  <si>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</si>
  <si>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</si>
  <si>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</si>
  <si>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</si>
  <si>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</si>
  <si>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</si>
  <si>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</si>
  <si>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</si>
  <si>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</si>
  <si>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</si>
  <si>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</si>
  <si>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</si>
  <si>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</si>
  <si>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</si>
  <si>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</si>
  <si>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</si>
  <si>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</si>
  <si>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</si>
  <si>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</si>
  <si>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</si>
  <si>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</si>
  <si>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</si>
  <si>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</si>
  <si>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</si>
  <si>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</si>
  <si>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</si>
  <si>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</si>
  <si>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</si>
  <si>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</si>
  <si>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</si>
  <si>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</si>
  <si>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</si>
  <si>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</si>
  <si>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</si>
  <si>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</si>
  <si>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</si>
  <si>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</si>
  <si>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</si>
  <si>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</si>
  <si>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</si>
  <si>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</si>
  <si>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</si>
  <si>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</si>
  <si>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</si>
  <si>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</si>
  <si>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</si>
  <si>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</si>
  <si>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</si>
  <si>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</si>
  <si>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</si>
  <si>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</si>
  <si>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</si>
  <si>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</si>
  <si>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</si>
  <si>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</si>
  <si>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</si>
  <si>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</si>
  <si>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</si>
  <si>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</si>
  <si>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</si>
  <si>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</si>
  <si>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</si>
  <si>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</si>
  <si>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</si>
  <si>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</si>
  <si>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</si>
  <si>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</si>
  <si>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</si>
  <si>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</si>
  <si>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</si>
  <si>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</si>
  <si>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</si>
  <si>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</si>
  <si>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</si>
  <si>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</si>
  <si>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</si>
  <si>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</si>
  <si>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</si>
  <si>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</si>
  <si>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</si>
  <si>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</si>
  <si>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</si>
  <si>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</si>
  <si>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</si>
  <si>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</si>
  <si>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</si>
  <si>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</si>
  <si>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</si>
  <si>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</si>
  <si>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</si>
  <si>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</si>
  <si>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</si>
  <si>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</si>
  <si>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</si>
  <si>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</si>
  <si>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</si>
  <si>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</si>
  <si>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</si>
  <si>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</si>
  <si>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</si>
  <si>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</si>
  <si>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</si>
  <si>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</si>
  <si>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</si>
  <si>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</si>
  <si>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</si>
  <si>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</si>
  <si>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</si>
  <si>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</si>
  <si>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</si>
  <si>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</si>
  <si>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</si>
  <si>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</si>
  <si>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</si>
  <si>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</si>
  <si>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</si>
  <si>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</si>
  <si>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</si>
  <si>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</si>
  <si>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</si>
  <si>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</si>
  <si>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</si>
  <si>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</si>
  <si>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</si>
  <si>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</si>
  <si>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</si>
  <si>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</si>
  <si>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</si>
  <si>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</si>
  <si>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</si>
  <si>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</si>
  <si>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</si>
  <si>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</si>
  <si>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</si>
  <si>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</si>
  <si>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</si>
  <si>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</si>
  <si>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</si>
  <si>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</si>
  <si>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</si>
  <si>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</si>
  <si>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</si>
  <si>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</si>
  <si>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</si>
  <si>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</si>
  <si>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</si>
  <si>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</si>
  <si>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</si>
  <si>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</si>
  <si>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</si>
  <si>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</si>
  <si>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</si>
  <si>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</si>
  <si>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</si>
  <si>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</si>
  <si>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</si>
  <si>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</si>
  <si>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</si>
  <si>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</si>
  <si>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</si>
  <si>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</si>
  <si>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</si>
  <si>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</si>
  <si>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</si>
  <si>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</si>
  <si>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</si>
  <si>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</si>
  <si>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</si>
  <si>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</si>
  <si>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</si>
  <si>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</si>
  <si>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</si>
  <si>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</si>
  <si>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</si>
  <si>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</si>
  <si>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</si>
  <si>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</si>
  <si>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</si>
  <si>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</si>
  <si>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</si>
  <si>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</si>
  <si>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</si>
  <si>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</si>
  <si>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</si>
  <si>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</si>
  <si>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</si>
  <si>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</si>
  <si>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</si>
  <si>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</si>
  <si>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</si>
  <si>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</si>
  <si>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</si>
  <si>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</si>
  <si>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</si>
  <si>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</si>
  <si>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</si>
  <si>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</si>
  <si>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</si>
  <si>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</si>
  <si>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</si>
  <si>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</si>
  <si>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</si>
  <si>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</si>
  <si>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</si>
  <si>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</si>
  <si>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</si>
  <si>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</si>
  <si>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</si>
  <si>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</si>
  <si>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</si>
  <si>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</si>
  <si>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</si>
  <si>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</si>
  <si>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</si>
  <si>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</si>
  <si>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</si>
  <si>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</si>
  <si>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</si>
  <si>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</si>
  <si>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</si>
  <si>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</si>
  <si>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</si>
  <si>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</si>
  <si>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</si>
  <si>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</si>
  <si>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</si>
  <si>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</si>
  <si>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</si>
  <si>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</si>
  <si>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</si>
  <si>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</si>
  <si>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</si>
  <si>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</si>
  <si>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</si>
  <si>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</si>
  <si>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</si>
  <si>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</si>
  <si>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</si>
  <si>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</si>
  <si>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</si>
  <si>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</si>
  <si>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</si>
  <si>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</si>
  <si>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</si>
  <si>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</si>
  <si>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</si>
  <si>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</si>
  <si>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</si>
  <si>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</si>
  <si>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</si>
  <si>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</si>
  <si>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</si>
  <si>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</si>
  <si>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</si>
  <si>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</si>
  <si>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</si>
  <si>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</si>
  <si>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</si>
  <si>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</si>
  <si>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</si>
  <si>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</si>
  <si>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</si>
  <si>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</si>
  <si>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</si>
  <si>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</si>
  <si>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</si>
  <si>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</si>
  <si>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</si>
  <si>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</si>
  <si>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</si>
  <si>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</si>
  <si>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</si>
  <si>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</si>
  <si>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</si>
  <si>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</si>
  <si>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</si>
  <si>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</si>
  <si>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</si>
  <si>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</si>
  <si>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</si>
  <si>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</si>
  <si>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</si>
  <si>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</si>
  <si>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</si>
  <si>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</si>
  <si>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</si>
  <si>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</si>
  <si>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</si>
  <si>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</si>
  <si>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</si>
  <si>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</si>
  <si>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</si>
  <si>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</si>
  <si>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</si>
  <si>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</si>
  <si>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</si>
  <si>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</si>
  <si>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</si>
  <si>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</si>
  <si>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</si>
  <si>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</si>
  <si>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</si>
  <si>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</si>
  <si>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</si>
  <si>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</si>
  <si>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</si>
  <si>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</si>
  <si>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</si>
  <si>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</si>
  <si>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</si>
  <si>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</si>
  <si>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</si>
  <si>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</si>
  <si>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</si>
  <si>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</si>
  <si>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</si>
  <si>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</si>
  <si>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</si>
  <si>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</si>
  <si>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</si>
  <si>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</si>
  <si>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</si>
  <si>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</si>
  <si>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</si>
  <si>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</si>
  <si>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</si>
  <si>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</si>
  <si>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</si>
  <si>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</si>
  <si>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</si>
  <si>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</si>
  <si>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</si>
  <si>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</si>
  <si>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</si>
  <si>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</si>
  <si>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</si>
  <si>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</si>
  <si>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</si>
  <si>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</si>
  <si>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</si>
  <si>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</si>
  <si>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</si>
  <si>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</si>
  <si>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</si>
  <si>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</si>
  <si>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</si>
  <si>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</si>
  <si>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</si>
  <si>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</si>
  <si>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</si>
  <si>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</si>
  <si>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</si>
  <si>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</si>
  <si>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</si>
  <si>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</si>
  <si>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</si>
  <si>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</si>
  <si>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</si>
  <si>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</si>
  <si>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</si>
  <si>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</si>
  <si>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</si>
  <si>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</si>
  <si>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</si>
  <si>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</si>
  <si>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</si>
  <si>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</si>
  <si>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</si>
  <si>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</si>
  <si>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</si>
  <si>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</si>
  <si>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</si>
  <si>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</si>
  <si>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</si>
  <si>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</si>
  <si>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</si>
  <si>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</si>
  <si>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</si>
  <si>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</si>
  <si>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</si>
  <si>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</si>
  <si>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</si>
  <si>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</si>
  <si>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</si>
  <si>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</si>
  <si>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</si>
  <si>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</si>
  <si>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</si>
  <si>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</si>
  <si>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</si>
  <si>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</si>
  <si>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</si>
  <si>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</si>
  <si>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</si>
  <si>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</si>
  <si>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</si>
  <si>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</si>
  <si>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</si>
  <si>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</si>
  <si>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</si>
  <si>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</si>
  <si>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</si>
  <si>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</si>
  <si>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</si>
  <si>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</si>
  <si>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</si>
  <si>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</si>
  <si>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</si>
  <si>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</si>
  <si>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</si>
  <si>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</si>
  <si>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</si>
  <si>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</si>
  <si>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</si>
  <si>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</si>
  <si>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</si>
  <si>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</si>
  <si>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</si>
  <si>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</si>
  <si>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</si>
  <si>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</si>
  <si>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</si>
  <si>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</si>
  <si>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</si>
  <si>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</si>
  <si>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</si>
  <si>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</si>
  <si>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</si>
  <si>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</si>
  <si>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</si>
  <si>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</si>
  <si>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</si>
  <si>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</si>
  <si>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</si>
  <si>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</si>
  <si>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</si>
  <si>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</si>
  <si>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</si>
  <si>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</si>
  <si>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</si>
  <si>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</si>
  <si>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</si>
  <si>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</si>
  <si>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</si>
  <si>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</si>
  <si>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</si>
  <si>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</si>
  <si>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</si>
  <si>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</si>
  <si>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</si>
  <si>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</si>
  <si>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</si>
  <si>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</si>
  <si>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</si>
  <si>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</si>
  <si>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</si>
  <si>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</si>
  <si>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</si>
  <si>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</si>
  <si>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</si>
  <si>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</si>
  <si>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</si>
  <si>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</si>
  <si>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</si>
  <si>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</si>
  <si>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</si>
  <si>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</si>
  <si>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</si>
  <si>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</si>
  <si>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</si>
  <si>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</si>
  <si>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</si>
  <si>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</si>
  <si>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</si>
  <si>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</si>
  <si>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</si>
  <si>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</si>
  <si>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</si>
  <si>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</si>
  <si>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</si>
  <si>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</si>
  <si>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</si>
  <si>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</si>
  <si>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</si>
  <si>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</si>
  <si>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</si>
  <si>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</si>
  <si>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</si>
  <si>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</si>
  <si>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</si>
  <si>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</si>
  <si>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</si>
  <si>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</si>
  <si>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</si>
  <si>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</si>
  <si>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</si>
  <si>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</si>
  <si>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</si>
  <si>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</si>
  <si>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</si>
  <si>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</si>
  <si>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</si>
  <si>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</si>
  <si>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</si>
  <si>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</si>
  <si>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</si>
  <si>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</si>
  <si>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</si>
  <si>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</si>
  <si>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</si>
  <si>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</si>
  <si>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</si>
  <si>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</si>
  <si>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</si>
  <si>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Progress of Current Month (March'26)</t>
  </si>
  <si>
    <t>Exiting  Tower-7</t>
  </si>
  <si>
    <t>Sawariya seth</t>
  </si>
  <si>
    <t>Jyoti Construction</t>
  </si>
  <si>
    <t>Tokhan Mahto</t>
  </si>
  <si>
    <t xml:space="preserve">
1/0 Excavation U/P
1/0 RCC U/P
</t>
  </si>
  <si>
    <t>OPGW cliping U/P in section 4/11 to 6/0</t>
  </si>
  <si>
    <t xml:space="preserve">
7/0 to 8/0 final sag completed 
</t>
  </si>
  <si>
    <t>National Construction</t>
  </si>
  <si>
    <t>Excavation of 33/0 and 33/1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</si>
</sst>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8" fillId="0" borderId="18"/>
    <xf numFmtId="0" fontId="37" fillId="0" borderId="18"/>
    <xf numFmtId="0" fontId="8" fillId="0" borderId="18"/>
    <xf numFmtId="0" fontId="38" fillId="0" borderId="18"/>
    <xf numFmtId="185" fontId="8" fillId="0" borderId="18"/>
    <xf numFmtId="185" fontId="38" fillId="0" borderId="18"/>
    <xf numFmtId="0" fontId="8" fillId="0" borderId="18"/>
    <xf numFmtId="0" fontId="38" fillId="0" borderId="18"/>
    <xf numFmtId="0" fontId="38" fillId="0" borderId="18"/>
    <xf numFmtId="0" fontId="40" fillId="0" borderId="18"/>
    <xf numFmtId="0" fontId="38" fillId="0" borderId="18"/>
    <xf numFmtId="0" fontId="38" fillId="0" borderId="18"/>
    <xf numFmtId="0" fontId="8" fillId="0" borderId="18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4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49" borderId="18" applyNumberFormat="0" applyBorder="0" applyAlignment="0" applyProtection="0"/>
    <xf numFmtId="0" fontId="43" fillId="50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52" borderId="18" applyNumberFormat="0" applyBorder="0" applyAlignment="0" applyProtection="0"/>
    <xf numFmtId="0" fontId="43" fillId="48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39" borderId="18" applyNumberFormat="0" applyBorder="0" applyAlignment="0" applyProtection="0"/>
    <xf numFmtId="0" fontId="43" fillId="45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40" borderId="18" applyNumberFormat="0" applyBorder="0" applyAlignment="0" applyProtection="0"/>
    <xf numFmtId="0" fontId="43" fillId="54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6" borderId="18" applyNumberFormat="0" applyBorder="0" applyAlignment="0" applyProtection="0"/>
    <xf numFmtId="0" fontId="43" fillId="57" borderId="18" applyNumberFormat="0" applyBorder="0" applyAlignment="0" applyProtection="0"/>
    <xf numFmtId="0" fontId="43" fillId="57" borderId="18" applyNumberFormat="0" applyBorder="0" applyAlignment="0" applyProtection="0"/>
    <xf numFmtId="187" fontId="44" fillId="0" borderId="18" applyFont="0" applyFill="0" applyBorder="0" applyAlignment="0" applyProtection="0"/>
    <xf numFmtId="188" fontId="44" fillId="0" borderId="18" applyFont="0" applyFill="0" applyBorder="0" applyAlignment="0" applyProtection="0"/>
    <xf numFmtId="0" fontId="45" fillId="0" borderId="18"/>
    <xf numFmtId="0" fontId="45" fillId="0" borderId="18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189" fontId="44" fillId="0" borderId="18" applyFont="0" applyFill="0" applyBorder="0" applyAlignment="0" applyProtection="0"/>
    <xf numFmtId="190" fontId="44" fillId="0" borderId="18" applyFont="0" applyFill="0" applyBorder="0" applyAlignment="0" applyProtection="0"/>
    <xf numFmtId="191" fontId="42" fillId="0" borderId="88">
      <protection locked="0"/>
    </xf>
    <xf numFmtId="0" fontId="46" fillId="29" borderId="18" applyNumberFormat="0" applyBorder="0" applyAlignment="0" applyProtection="0"/>
    <xf numFmtId="0" fontId="47" fillId="58" borderId="18" applyNumberFormat="0" applyBorder="0" applyAlignment="0" applyProtection="0"/>
    <xf numFmtId="0" fontId="47" fillId="58" borderId="18" applyNumberFormat="0" applyBorder="0" applyAlignment="0" applyProtection="0"/>
    <xf numFmtId="38" fontId="48" fillId="0" borderId="18" applyFill="0" applyBorder="0" applyAlignment="0" applyProtection="0"/>
    <xf numFmtId="0" fontId="49" fillId="0" borderId="18"/>
    <xf numFmtId="0" fontId="50" fillId="59" borderId="89" applyNumberFormat="0" applyAlignment="0" applyProtection="0"/>
    <xf numFmtId="0" fontId="51" fillId="60" borderId="89" applyNumberFormat="0" applyAlignment="0" applyProtection="0"/>
    <xf numFmtId="0" fontId="51" fillId="60" borderId="89" applyNumberFormat="0" applyAlignment="0" applyProtection="0"/>
    <xf numFmtId="0" fontId="52" fillId="61" borderId="90" applyNumberFormat="0" applyAlignment="0" applyProtection="0"/>
    <xf numFmtId="0" fontId="52" fillId="48" borderId="90" applyNumberFormat="0" applyAlignment="0" applyProtection="0"/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0" fontId="45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1" fontId="53" fillId="0" borderId="91" applyNumberFormat="0" applyBorder="0" applyAlignment="0" applyProtection="0">
      <protection locked="0"/>
    </xf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4" fillId="0" borderId="18" applyNumberFormat="0" applyFill="0" applyBorder="0" applyAlignment="0" applyProtection="0"/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5" fillId="0" borderId="18">
      <protection locked="0"/>
    </xf>
    <xf numFmtId="0" fontId="56" fillId="0" borderId="18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0" fontId="58" fillId="30" borderId="18" applyNumberFormat="0" applyBorder="0" applyAlignment="0" applyProtection="0"/>
    <xf numFmtId="0" fontId="58" fillId="51" borderId="18" applyNumberFormat="0" applyBorder="0" applyAlignment="0" applyProtection="0"/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1" fillId="0" borderId="94" applyNumberFormat="0" applyFill="0" applyAlignment="0" applyProtection="0"/>
    <xf numFmtId="0" fontId="62" fillId="0" borderId="95" applyNumberFormat="0" applyFill="0" applyAlignment="0" applyProtection="0"/>
    <xf numFmtId="0" fontId="62" fillId="0" borderId="95" applyNumberFormat="0" applyFill="0" applyAlignment="0" applyProtection="0"/>
    <xf numFmtId="0" fontId="63" fillId="0" borderId="96" applyNumberFormat="0" applyFill="0" applyAlignment="0" applyProtection="0"/>
    <xf numFmtId="0" fontId="64" fillId="0" borderId="96" applyNumberFormat="0" applyFill="0" applyAlignment="0" applyProtection="0"/>
    <xf numFmtId="0" fontId="64" fillId="0" borderId="96" applyNumberFormat="0" applyFill="0" applyAlignment="0" applyProtection="0"/>
    <xf numFmtId="0" fontId="65" fillId="0" borderId="97" applyNumberFormat="0" applyFill="0" applyAlignment="0" applyProtection="0"/>
    <xf numFmtId="0" fontId="66" fillId="0" borderId="98" applyNumberFormat="0" applyFill="0" applyAlignment="0" applyProtection="0"/>
    <xf numFmtId="0" fontId="66" fillId="0" borderId="98" applyNumberFormat="0" applyFill="0" applyAlignment="0" applyProtection="0"/>
    <xf numFmtId="0" fontId="65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0" fontId="59" fillId="65" borderId="82" applyNumberFormat="0" applyBorder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33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70" fillId="0" borderId="99" applyNumberFormat="0" applyFill="0" applyAlignment="0" applyProtection="0"/>
    <xf numFmtId="0" fontId="71" fillId="0" borderId="99" applyNumberFormat="0" applyFill="0" applyAlignment="0" applyProtection="0"/>
    <xf numFmtId="0" fontId="71" fillId="0" borderId="99" applyNumberFormat="0" applyFill="0" applyAlignment="0" applyProtection="0"/>
    <xf numFmtId="195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190" fontId="38" fillId="0" borderId="18" applyFont="0" applyFill="0" applyBorder="0" applyAlignment="0" applyProtection="0"/>
    <xf numFmtId="197" fontId="38" fillId="0" borderId="18" applyFont="0" applyFill="0" applyBorder="0" applyAlignment="0" applyProtection="0"/>
    <xf numFmtId="188" fontId="38" fillId="0" borderId="18" applyFont="0" applyFill="0" applyBorder="0" applyAlignment="0" applyProtection="0"/>
    <xf numFmtId="198" fontId="38" fillId="0" borderId="18" applyFont="0" applyFill="0" applyBorder="0" applyAlignment="0" applyProtection="0"/>
    <xf numFmtId="0" fontId="72" fillId="66" borderId="18" applyNumberFormat="0" applyBorder="0" applyAlignment="0" applyProtection="0"/>
    <xf numFmtId="0" fontId="72" fillId="67" borderId="18" applyNumberFormat="0" applyBorder="0" applyAlignment="0" applyProtection="0"/>
    <xf numFmtId="0" fontId="72" fillId="67" borderId="18" applyNumberFormat="0" applyBorder="0" applyAlignment="0" applyProtection="0"/>
    <xf numFmtId="37" fontId="73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7" fillId="0" borderId="18"/>
    <xf numFmtId="0" fontId="8" fillId="0" borderId="18"/>
    <xf numFmtId="0" fontId="37" fillId="0" borderId="18"/>
    <xf numFmtId="0" fontId="8" fillId="0" borderId="18"/>
    <xf numFmtId="0" fontId="38" fillId="0" borderId="18"/>
    <xf numFmtId="0" fontId="38" fillId="0" borderId="18"/>
    <xf numFmtId="0" fontId="37" fillId="0" borderId="18"/>
    <xf numFmtId="0" fontId="37" fillId="0" borderId="18"/>
    <xf numFmtId="0" fontId="8" fillId="0" borderId="18"/>
    <xf numFmtId="0" fontId="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7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40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40" fillId="0" borderId="18"/>
    <xf numFmtId="0" fontId="8" fillId="0" borderId="18"/>
    <xf numFmtId="0" fontId="37" fillId="0" borderId="18"/>
    <xf numFmtId="0" fontId="37" fillId="0" borderId="18"/>
    <xf numFmtId="0" fontId="37" fillId="0" borderId="18"/>
    <xf numFmtId="0" fontId="41" fillId="0" borderId="18"/>
    <xf numFmtId="0" fontId="38" fillId="0" borderId="18"/>
    <xf numFmtId="0" fontId="8" fillId="0" borderId="18"/>
    <xf numFmtId="0" fontId="41" fillId="0" borderId="18"/>
    <xf numFmtId="0" fontId="8" fillId="0" borderId="18"/>
    <xf numFmtId="0" fontId="8" fillId="0" borderId="18"/>
    <xf numFmtId="0" fontId="37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38" fillId="0" borderId="18"/>
    <xf numFmtId="0" fontId="8" fillId="0" borderId="18"/>
    <xf numFmtId="0" fontId="41" fillId="0" borderId="18"/>
    <xf numFmtId="0" fontId="38" fillId="0" borderId="18"/>
    <xf numFmtId="0" fontId="37" fillId="0" borderId="18"/>
    <xf numFmtId="0" fontId="8" fillId="0" borderId="18"/>
    <xf numFmtId="0" fontId="37" fillId="0" borderId="18"/>
    <xf numFmtId="0" fontId="41" fillId="0" borderId="18"/>
    <xf numFmtId="0" fontId="38" fillId="0" borderId="18"/>
    <xf numFmtId="0" fontId="37" fillId="0" borderId="18"/>
    <xf numFmtId="0" fontId="38" fillId="0" borderId="18"/>
    <xf numFmtId="0" fontId="37" fillId="0" borderId="18"/>
    <xf numFmtId="0" fontId="38" fillId="0" borderId="18"/>
    <xf numFmtId="0" fontId="8" fillId="0" borderId="18"/>
    <xf numFmtId="0" fontId="38" fillId="0" borderId="18"/>
    <xf numFmtId="0" fontId="38" fillId="0" borderId="18"/>
    <xf numFmtId="0" fontId="75" fillId="0" borderId="18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46" borderId="100" applyNumberFormat="0" applyAlignment="0" applyProtection="0"/>
    <xf numFmtId="0" fontId="41" fillId="46" borderId="100" applyNumberFormat="0" applyAlignment="0" applyProtection="0"/>
    <xf numFmtId="0" fontId="76" fillId="59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0" fontId="78" fillId="0" borderId="18" applyNumberFormat="0" applyFill="0" applyBorder="0" applyAlignment="0" applyProtection="0"/>
    <xf numFmtId="0" fontId="79" fillId="0" borderId="18" applyNumberFormat="0" applyFill="0" applyBorder="0" applyAlignment="0" applyProtection="0">
      <alignment vertical="top"/>
      <protection locked="0"/>
    </xf>
    <xf numFmtId="0" fontId="48" fillId="0" borderId="18"/>
    <xf numFmtId="0" fontId="38" fillId="0" borderId="18"/>
    <xf numFmtId="0" fontId="38" fillId="0" borderId="18"/>
    <xf numFmtId="40" fontId="80" fillId="0" borderId="18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81" fillId="0" borderId="18" applyNumberFormat="0" applyFill="0" applyBorder="0" applyAlignment="0" applyProtection="0"/>
    <xf numFmtId="0" fontId="39" fillId="0" borderId="102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9" fontId="83" fillId="0" borderId="18" applyFont="0" applyFill="0" applyBorder="0" applyAlignment="0" applyProtection="0"/>
    <xf numFmtId="0" fontId="83" fillId="0" borderId="18"/>
    <xf numFmtId="0" fontId="85" fillId="0" borderId="18"/>
    <xf numFmtId="0" fontId="85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8" fillId="23" borderId="18" applyNumberFormat="0" applyBorder="0" applyAlignment="0" applyProtection="0"/>
    <xf numFmtId="0" fontId="41" fillId="28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29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0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2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3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41" fillId="3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8" fillId="25" borderId="18" applyNumberFormat="0" applyBorder="0" applyAlignment="0" applyProtection="0"/>
    <xf numFmtId="0" fontId="41" fillId="36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1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4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1" fillId="37" borderId="18" applyNumberFormat="0" applyBorder="0" applyAlignment="0" applyProtection="0"/>
    <xf numFmtId="0" fontId="43" fillId="38" borderId="18" applyNumberFormat="0" applyBorder="0" applyAlignment="0" applyProtection="0"/>
    <xf numFmtId="0" fontId="43" fillId="35" borderId="18" applyNumberFormat="0" applyBorder="0" applyAlignment="0" applyProtection="0"/>
    <xf numFmtId="0" fontId="43" fillId="36" borderId="18" applyNumberFormat="0" applyBorder="0" applyAlignment="0" applyProtection="0"/>
    <xf numFmtId="0" fontId="43" fillId="39" borderId="18" applyNumberFormat="0" applyBorder="0" applyAlignment="0" applyProtection="0"/>
    <xf numFmtId="0" fontId="43" fillId="40" borderId="18" applyNumberFormat="0" applyBorder="0" applyAlignment="0" applyProtection="0"/>
    <xf numFmtId="0" fontId="43" fillId="41" borderId="18" applyNumberFormat="0" applyBorder="0" applyAlignment="0" applyProtection="0"/>
    <xf numFmtId="9" fontId="44" fillId="0" borderId="18"/>
    <xf numFmtId="9" fontId="44" fillId="0" borderId="18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45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8" borderId="18" applyNumberFormat="0" applyBorder="0" applyAlignment="0" applyProtection="0"/>
    <xf numFmtId="0" fontId="43" fillId="50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1" borderId="18" applyNumberFormat="0" applyBorder="0" applyAlignment="0" applyProtection="0"/>
    <xf numFmtId="0" fontId="41" fillId="51" borderId="18" applyNumberFormat="0" applyBorder="0" applyAlignment="0" applyProtection="0"/>
    <xf numFmtId="0" fontId="43" fillId="47" borderId="18" applyNumberFormat="0" applyBorder="0" applyAlignment="0" applyProtection="0"/>
    <xf numFmtId="0" fontId="43" fillId="48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1" fillId="47" borderId="18" applyNumberFormat="0" applyBorder="0" applyAlignment="0" applyProtection="0"/>
    <xf numFmtId="0" fontId="41" fillId="47" borderId="18" applyNumberFormat="0" applyBorder="0" applyAlignment="0" applyProtection="0"/>
    <xf numFmtId="0" fontId="43" fillId="47" borderId="18" applyNumberFormat="0" applyBorder="0" applyAlignment="0" applyProtection="0"/>
    <xf numFmtId="0" fontId="43" fillId="45" borderId="18" applyNumberFormat="0" applyBorder="0" applyAlignment="0" applyProtection="0"/>
    <xf numFmtId="0" fontId="41" fillId="53" borderId="18" applyNumberFormat="0" applyBorder="0" applyAlignment="0" applyProtection="0"/>
    <xf numFmtId="0" fontId="41" fillId="53" borderId="18" applyNumberFormat="0" applyBorder="0" applyAlignment="0" applyProtection="0"/>
    <xf numFmtId="0" fontId="41" fillId="42" borderId="18" applyNumberFormat="0" applyBorder="0" applyAlignment="0" applyProtection="0"/>
    <xf numFmtId="0" fontId="41" fillId="42" borderId="18" applyNumberFormat="0" applyBorder="0" applyAlignment="0" applyProtection="0"/>
    <xf numFmtId="0" fontId="43" fillId="43" borderId="18" applyNumberFormat="0" applyBorder="0" applyAlignment="0" applyProtection="0"/>
    <xf numFmtId="0" fontId="43" fillId="54" borderId="18" applyNumberFormat="0" applyBorder="0" applyAlignment="0" applyProtection="0"/>
    <xf numFmtId="0" fontId="41" fillId="46" borderId="18" applyNumberFormat="0" applyBorder="0" applyAlignment="0" applyProtection="0"/>
    <xf numFmtId="0" fontId="41" fillId="46" borderId="18" applyNumberFormat="0" applyBorder="0" applyAlignment="0" applyProtection="0"/>
    <xf numFmtId="0" fontId="41" fillId="55" borderId="18" applyNumberFormat="0" applyBorder="0" applyAlignment="0" applyProtection="0"/>
    <xf numFmtId="0" fontId="41" fillId="55" borderId="18" applyNumberFormat="0" applyBorder="0" applyAlignment="0" applyProtection="0"/>
    <xf numFmtId="0" fontId="43" fillId="55" borderId="18" applyNumberFormat="0" applyBorder="0" applyAlignment="0" applyProtection="0"/>
    <xf numFmtId="0" fontId="43" fillId="57" borderId="18" applyNumberFormat="0" applyBorder="0" applyAlignment="0" applyProtection="0"/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38" fillId="0" borderId="18" applyFill="0" applyBorder="0">
      <alignment vertical="center"/>
    </xf>
    <xf numFmtId="0" fontId="86" fillId="69" borderId="105" applyNumberFormat="0"/>
    <xf numFmtId="0" fontId="87" fillId="59" borderId="89" applyNumberFormat="0" applyAlignment="0" applyProtection="0"/>
    <xf numFmtId="0" fontId="51" fillId="60" borderId="89" applyNumberFormat="0" applyAlignment="0" applyProtection="0"/>
    <xf numFmtId="0" fontId="87" fillId="59" borderId="89" applyNumberFormat="0" applyAlignment="0" applyProtection="0"/>
    <xf numFmtId="0" fontId="50" fillId="59" borderId="89" applyNumberFormat="0" applyAlignment="0" applyProtection="0"/>
    <xf numFmtId="0" fontId="87" fillId="59" borderId="89" applyNumberFormat="0" applyAlignment="0" applyProtection="0"/>
    <xf numFmtId="0" fontId="88" fillId="70" borderId="106">
      <alignment horizontal="center"/>
    </xf>
    <xf numFmtId="0" fontId="89" fillId="0" borderId="18"/>
    <xf numFmtId="0" fontId="90" fillId="0" borderId="18">
      <alignment vertical="center"/>
    </xf>
    <xf numFmtId="202" fontId="91" fillId="71" borderId="107">
      <alignment horizontal="center"/>
    </xf>
    <xf numFmtId="0" fontId="52" fillId="48" borderId="90" applyNumberFormat="0" applyAlignment="0" applyProtection="0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203" fontId="92" fillId="0" borderId="18"/>
    <xf numFmtId="192" fontId="38" fillId="0" borderId="18"/>
    <xf numFmtId="204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192" fontId="38" fillId="0" borderId="18"/>
    <xf numFmtId="38" fontId="93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85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43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196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43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43" fontId="38" fillId="0" borderId="18" applyFont="0" applyFill="0" applyBorder="0" applyAlignment="0" applyProtection="0"/>
    <xf numFmtId="0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38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8" fillId="0" borderId="18"/>
    <xf numFmtId="0" fontId="38" fillId="0" borderId="18"/>
    <xf numFmtId="205" fontId="38" fillId="0" borderId="18">
      <protection locked="0"/>
    </xf>
    <xf numFmtId="205" fontId="38" fillId="0" borderId="18">
      <protection locked="0"/>
    </xf>
    <xf numFmtId="205" fontId="38" fillId="0" borderId="18">
      <protection locked="0"/>
    </xf>
    <xf numFmtId="0" fontId="84" fillId="0" borderId="18"/>
    <xf numFmtId="44" fontId="38" fillId="0" borderId="18" applyFont="0" applyFill="0" applyBorder="0" applyAlignment="0" applyProtection="0"/>
    <xf numFmtId="44" fontId="38" fillId="0" borderId="18" applyFont="0" applyFill="0" applyBorder="0" applyAlignment="0" applyProtection="0"/>
    <xf numFmtId="206" fontId="38" fillId="0" borderId="18">
      <protection locked="0"/>
    </xf>
    <xf numFmtId="206" fontId="38" fillId="0" borderId="18">
      <protection locked="0"/>
    </xf>
    <xf numFmtId="206" fontId="38" fillId="0" borderId="18">
      <protection locked="0"/>
    </xf>
    <xf numFmtId="0" fontId="94" fillId="0" borderId="18">
      <protection locked="0"/>
    </xf>
    <xf numFmtId="207" fontId="38" fillId="0" borderId="18" applyFont="0" applyFill="0" applyBorder="0" applyAlignment="0" applyProtection="0"/>
    <xf numFmtId="208" fontId="38" fillId="0" borderId="18" applyFont="0" applyFill="0" applyBorder="0" applyAlignment="0" applyProtection="0"/>
    <xf numFmtId="0" fontId="39" fillId="62" borderId="18" applyNumberFormat="0" applyBorder="0" applyAlignment="0" applyProtection="0"/>
    <xf numFmtId="0" fontId="39" fillId="63" borderId="18" applyNumberFormat="0" applyBorder="0" applyAlignment="0" applyProtection="0"/>
    <xf numFmtId="0" fontId="39" fillId="64" borderId="18" applyNumberFormat="0" applyBorder="0" applyAlignment="0" applyProtection="0"/>
    <xf numFmtId="0" fontId="38" fillId="72" borderId="82" applyNumberFormat="0"/>
    <xf numFmtId="0" fontId="95" fillId="73" borderId="108" applyNumberFormat="0" applyAlignment="0">
      <alignment horizontal="center"/>
    </xf>
    <xf numFmtId="209" fontId="38" fillId="0" borderId="18" applyFont="0" applyFill="0" applyBorder="0" applyAlignment="0" applyProtection="0"/>
    <xf numFmtId="186" fontId="38" fillId="0" borderId="18" applyFont="0" applyFill="0" applyBorder="0" applyAlignment="0" applyProtection="0"/>
    <xf numFmtId="210" fontId="38" fillId="0" borderId="18" applyFont="0" applyFill="0" applyBorder="0" applyAlignment="0" applyProtection="0"/>
    <xf numFmtId="0" fontId="38" fillId="74" borderId="18" applyNumberFormat="0" applyFont="0" applyAlignment="0"/>
    <xf numFmtId="211" fontId="38" fillId="0" borderId="18">
      <protection locked="0"/>
    </xf>
    <xf numFmtId="211" fontId="38" fillId="0" borderId="18">
      <protection locked="0"/>
    </xf>
    <xf numFmtId="211" fontId="38" fillId="0" borderId="18">
      <protection locked="0"/>
    </xf>
    <xf numFmtId="212" fontId="96" fillId="75" borderId="89"/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0" fontId="42" fillId="0" borderId="92" applyNumberFormat="0" applyFill="0" applyBorder="0" applyAlignment="0" applyProtection="0">
      <protection locked="0"/>
    </xf>
    <xf numFmtId="193" fontId="57" fillId="0" borderId="93">
      <alignment horizontal="right"/>
    </xf>
    <xf numFmtId="193" fontId="57" fillId="0" borderId="93">
      <alignment horizontal="right"/>
    </xf>
    <xf numFmtId="0" fontId="58" fillId="51" borderId="18" applyNumberFormat="0" applyBorder="0" applyAlignment="0" applyProtection="0"/>
    <xf numFmtId="38" fontId="59" fillId="27" borderId="18" applyNumberFormat="0" applyBorder="0" applyAlignment="0" applyProtection="0"/>
    <xf numFmtId="0" fontId="38" fillId="76" borderId="107" applyNumberFormat="0" applyFont="0" applyAlignment="0"/>
    <xf numFmtId="0" fontId="97" fillId="0" borderId="18">
      <alignment horizontal="left"/>
    </xf>
    <xf numFmtId="0" fontId="98" fillId="0" borderId="18"/>
    <xf numFmtId="0" fontId="99" fillId="0" borderId="18">
      <alignment wrapText="1"/>
    </xf>
    <xf numFmtId="0" fontId="100" fillId="0" borderId="18"/>
    <xf numFmtId="0" fontId="60" fillId="0" borderId="86" applyNumberFormat="0" applyAlignment="0" applyProtection="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60" fillId="0" borderId="80">
      <alignment horizontal="left" vertical="center"/>
    </xf>
    <xf numFmtId="0" fontId="101" fillId="0" borderId="18"/>
    <xf numFmtId="0" fontId="60" fillId="0" borderId="18" applyNumberFormat="0" applyFill="0" applyBorder="0" applyAlignment="0"/>
    <xf numFmtId="0" fontId="101" fillId="0" borderId="18" applyNumberFormat="0" applyFill="0" applyBorder="0" applyAlignment="0"/>
    <xf numFmtId="213" fontId="102" fillId="0" borderId="18">
      <protection locked="0"/>
    </xf>
    <xf numFmtId="213" fontId="102" fillId="0" borderId="18">
      <protection locked="0"/>
    </xf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199" fontId="103" fillId="0" borderId="84" applyNumberFormat="0" applyFont="0" applyBorder="0" applyAlignment="0"/>
    <xf numFmtId="0" fontId="104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4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67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194" fontId="38" fillId="0" borderId="18" applyProtection="0">
      <alignment horizontal="center"/>
    </xf>
    <xf numFmtId="0" fontId="91" fillId="0" borderId="18" applyNumberFormat="0" applyFill="0" applyBorder="0">
      <alignment horizontal="left"/>
    </xf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10" fontId="59" fillId="65" borderId="82" applyNumberFormat="0" applyBorder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69" fillId="55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8" fillId="33" borderId="89" applyNumberFormat="0" applyAlignment="0" applyProtection="0"/>
    <xf numFmtId="0" fontId="69" fillId="33" borderId="89" applyNumberFormat="0" applyAlignment="0" applyProtection="0"/>
    <xf numFmtId="0" fontId="109" fillId="77" borderId="18"/>
    <xf numFmtId="0" fontId="38" fillId="0" borderId="82" applyNumberFormat="0"/>
    <xf numFmtId="0" fontId="38" fillId="0" borderId="109" applyNumberFormat="0" applyFont="0" applyFill="0" applyAlignment="0"/>
    <xf numFmtId="0" fontId="110" fillId="0" borderId="104"/>
    <xf numFmtId="182" fontId="38" fillId="0" borderId="18" applyFont="0" applyFill="0" applyBorder="0" applyAlignment="0" applyProtection="0"/>
    <xf numFmtId="183" fontId="38" fillId="0" borderId="18" applyFont="0" applyFill="0" applyBorder="0" applyAlignment="0" applyProtection="0"/>
    <xf numFmtId="0" fontId="72" fillId="67" borderId="18" applyNumberFormat="0" applyBorder="0" applyAlignment="0" applyProtection="0"/>
    <xf numFmtId="37" fontId="73" fillId="0" borderId="18"/>
    <xf numFmtId="37" fontId="73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99" fontId="74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169" fontId="3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" fillId="0" borderId="18"/>
    <xf numFmtId="0" fontId="35" fillId="0" borderId="18"/>
    <xf numFmtId="0" fontId="8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5" fillId="0" borderId="18"/>
    <xf numFmtId="0" fontId="35" fillId="0" borderId="18"/>
    <xf numFmtId="0" fontId="35" fillId="0" borderId="18"/>
    <xf numFmtId="0" fontId="35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38" fillId="0" borderId="18"/>
    <xf numFmtId="0" fontId="41" fillId="0" borderId="18"/>
    <xf numFmtId="0" fontId="3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5" fillId="0" borderId="18"/>
    <xf numFmtId="0" fontId="41" fillId="0" borderId="18"/>
    <xf numFmtId="0" fontId="41" fillId="0" borderId="18"/>
    <xf numFmtId="0" fontId="41" fillId="0" borderId="18"/>
    <xf numFmtId="0" fontId="41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38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1" fillId="0" borderId="18"/>
    <xf numFmtId="0" fontId="42" fillId="0" borderId="18"/>
    <xf numFmtId="0" fontId="41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38" fillId="0" borderId="18"/>
    <xf numFmtId="0" fontId="85" fillId="0" borderId="18"/>
    <xf numFmtId="0" fontId="38" fillId="0" borderId="18"/>
    <xf numFmtId="0" fontId="85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38" fillId="0" borderId="18" applyNumberFormat="0" applyFont="0" applyFill="0" applyBorder="0" applyAlignment="0" applyProtection="0">
      <alignment vertical="top"/>
    </xf>
    <xf numFmtId="0" fontId="42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42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3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41" fillId="0" borderId="18"/>
    <xf numFmtId="0" fontId="38" fillId="0" borderId="18"/>
    <xf numFmtId="0" fontId="41" fillId="0" borderId="18"/>
    <xf numFmtId="0" fontId="38" fillId="0" borderId="18"/>
    <xf numFmtId="0" fontId="41" fillId="0" borderId="18"/>
    <xf numFmtId="0" fontId="41" fillId="0" borderId="18"/>
    <xf numFmtId="0" fontId="41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38" fillId="0" borderId="18"/>
    <xf numFmtId="0" fontId="38" fillId="0" borderId="18"/>
    <xf numFmtId="0" fontId="42" fillId="0" borderId="18"/>
    <xf numFmtId="0" fontId="35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186" fontId="35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186" fontId="8" fillId="0" borderId="18"/>
    <xf numFmtId="0" fontId="42" fillId="0" borderId="18"/>
    <xf numFmtId="0" fontId="112" fillId="0" borderId="18"/>
    <xf numFmtId="0" fontId="111" fillId="0" borderId="18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111" fillId="0" borderId="18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7" fillId="0" borderId="18"/>
    <xf numFmtId="0" fontId="37" fillId="0" borderId="18"/>
    <xf numFmtId="0" fontId="113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114" fillId="0" borderId="18"/>
    <xf numFmtId="0" fontId="8" fillId="0" borderId="18"/>
    <xf numFmtId="0" fontId="35" fillId="0" borderId="18"/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38" fillId="0" borderId="18" applyNumberFormat="0" applyFont="0" applyFill="0" applyBorder="0" applyAlignment="0" applyProtection="0">
      <alignment vertical="top"/>
    </xf>
    <xf numFmtId="0" fontId="35" fillId="0" borderId="18"/>
    <xf numFmtId="0" fontId="38" fillId="0" borderId="18" applyNumberFormat="0" applyFont="0" applyFill="0" applyBorder="0" applyAlignment="0" applyProtection="0">
      <alignment vertical="top"/>
    </xf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8" fillId="0" borderId="18"/>
    <xf numFmtId="0" fontId="42" fillId="0" borderId="18"/>
    <xf numFmtId="0" fontId="38" fillId="0" borderId="18" applyNumberFormat="0" applyFont="0" applyFill="0" applyBorder="0" applyAlignment="0" applyProtection="0">
      <alignment vertical="top"/>
    </xf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85" fillId="0" borderId="18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46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38" fillId="68" borderId="100" applyNumberFormat="0" applyFont="0" applyAlignment="0" applyProtection="0"/>
    <xf numFmtId="0" fontId="41" fillId="68" borderId="100" applyNumberFormat="0" applyFont="0" applyAlignment="0" applyProtection="0"/>
    <xf numFmtId="0" fontId="41" fillId="68" borderId="100" applyNumberFormat="0" applyFont="0" applyAlignment="0" applyProtection="0"/>
    <xf numFmtId="0" fontId="38" fillId="68" borderId="100" applyNumberFormat="0" applyFont="0" applyAlignment="0" applyProtection="0"/>
    <xf numFmtId="0" fontId="115" fillId="78" borderId="110" applyNumberFormat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76" fillId="60" borderId="101" applyNumberFormat="0" applyAlignment="0" applyProtection="0"/>
    <xf numFmtId="0" fontId="116" fillId="59" borderId="101" applyNumberFormat="0" applyAlignment="0" applyProtection="0"/>
    <xf numFmtId="0" fontId="76" fillId="59" borderId="101" applyNumberFormat="0" applyAlignment="0" applyProtection="0"/>
    <xf numFmtId="0" fontId="116" fillId="59" borderId="101" applyNumberFormat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10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5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41" fillId="0" borderId="18" applyFont="0" applyFill="0" applyBorder="0" applyAlignment="0" applyProtection="0"/>
    <xf numFmtId="9" fontId="38" fillId="0" borderId="18" applyFont="0" applyFill="0" applyBorder="0" applyAlignment="0" applyProtection="0"/>
    <xf numFmtId="9" fontId="38" fillId="0" borderId="18" applyFont="0" applyFill="0" applyBorder="0" applyAlignment="0" applyProtection="0"/>
    <xf numFmtId="0" fontId="77" fillId="0" borderId="18" applyFont="0"/>
    <xf numFmtId="9" fontId="38" fillId="0" borderId="18" applyFont="0" applyFill="0" applyBorder="0" applyAlignment="0" applyProtection="0"/>
    <xf numFmtId="0" fontId="117" fillId="79" borderId="111" applyNumberFormat="0">
      <alignment horizontal="center"/>
    </xf>
    <xf numFmtId="214" fontId="38" fillId="0" borderId="18" applyBorder="0"/>
    <xf numFmtId="0" fontId="118" fillId="77" borderId="18"/>
    <xf numFmtId="0" fontId="119" fillId="77" borderId="18"/>
    <xf numFmtId="0" fontId="120" fillId="77" borderId="18"/>
    <xf numFmtId="0" fontId="79" fillId="0" borderId="18" applyNumberFormat="0" applyFill="0" applyBorder="0" applyAlignment="0" applyProtection="0">
      <alignment vertical="top"/>
      <protection locked="0"/>
    </xf>
    <xf numFmtId="0" fontId="79" fillId="0" borderId="18" applyNumberFormat="0" applyFill="0" applyBorder="0" applyAlignment="0" applyProtection="0">
      <alignment vertical="top"/>
      <protection locked="0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21" fillId="0" borderId="100" applyNumberFormat="0" applyFont="0">
      <alignment vertical="center" wrapText="1"/>
    </xf>
    <xf numFmtId="0" fontId="110" fillId="0" borderId="18"/>
    <xf numFmtId="0" fontId="42" fillId="0" borderId="18">
      <alignment horizontal="right"/>
    </xf>
    <xf numFmtId="0" fontId="42" fillId="0" borderId="18">
      <alignment horizontal="right"/>
    </xf>
    <xf numFmtId="0" fontId="122" fillId="0" borderId="87">
      <alignment horizontal="center" vertical="top"/>
    </xf>
    <xf numFmtId="0" fontId="123" fillId="80" borderId="80" applyNumberFormat="0">
      <alignment horizontal="center" vertical="center"/>
    </xf>
    <xf numFmtId="0" fontId="91" fillId="76" borderId="107">
      <alignment horizontal="left"/>
    </xf>
    <xf numFmtId="0" fontId="59" fillId="0" borderId="112" applyNumberFormat="0" applyProtection="0"/>
    <xf numFmtId="0" fontId="38" fillId="0" borderId="18" applyProtection="0"/>
    <xf numFmtId="0" fontId="38" fillId="0" borderId="18" applyProtection="0"/>
    <xf numFmtId="0" fontId="124" fillId="0" borderId="102" applyNumberFormat="0" applyFill="0" applyAlignment="0" applyProtection="0"/>
    <xf numFmtId="0" fontId="124" fillId="0" borderId="102" applyNumberFormat="0" applyFill="0" applyAlignment="0" applyProtection="0"/>
    <xf numFmtId="0" fontId="39" fillId="0" borderId="102" applyNumberFormat="0" applyFill="0" applyAlignment="0" applyProtection="0"/>
    <xf numFmtId="0" fontId="124" fillId="0" borderId="102" applyNumberFormat="0" applyFill="0" applyAlignment="0" applyProtection="0"/>
    <xf numFmtId="179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79" fontId="125" fillId="0" borderId="18" applyFont="0" applyFill="0" applyBorder="0" applyAlignment="0" applyProtection="0"/>
    <xf numFmtId="181" fontId="125" fillId="0" borderId="18" applyFont="0" applyFill="0" applyBorder="0" applyAlignment="0" applyProtection="0"/>
    <xf numFmtId="0" fontId="91" fillId="0" borderId="18" applyNumberFormat="0"/>
    <xf numFmtId="215" fontId="125" fillId="0" borderId="18" applyFont="0" applyFill="0" applyBorder="0" applyAlignment="0" applyProtection="0"/>
    <xf numFmtId="216" fontId="38" fillId="0" borderId="18" applyFont="0" applyFill="0" applyBorder="0" applyAlignment="0" applyProtection="0"/>
    <xf numFmtId="217" fontId="125" fillId="0" borderId="18" applyFont="0" applyFill="0" applyBorder="0" applyAlignment="0" applyProtection="0"/>
    <xf numFmtId="218" fontId="38" fillId="0" borderId="18" applyFont="0" applyFill="0" applyBorder="0" applyAlignment="0" applyProtection="0"/>
    <xf numFmtId="219" fontId="38" fillId="0" borderId="18" applyFont="0" applyFill="0" applyBorder="0" applyAlignment="0" applyProtection="0"/>
    <xf numFmtId="0" fontId="126" fillId="81" borderId="113">
      <alignment horizontal="center"/>
    </xf>
    <xf numFmtId="195" fontId="38" fillId="0" borderId="18" applyFont="0" applyFill="0" applyBorder="0" applyAlignment="0" applyProtection="0"/>
    <xf numFmtId="179" fontId="127" fillId="0" borderId="18" applyFont="0" applyFill="0" applyBorder="0" applyAlignment="0" applyProtection="0"/>
    <xf numFmtId="181" fontId="127" fillId="0" borderId="18" applyFont="0" applyFill="0" applyBorder="0" applyAlignment="0" applyProtection="0"/>
    <xf numFmtId="200" fontId="127" fillId="0" borderId="18" applyFont="0" applyFill="0" applyBorder="0" applyAlignment="0" applyProtection="0"/>
    <xf numFmtId="201" fontId="127" fillId="0" borderId="18" applyFont="0" applyFill="0" applyBorder="0" applyAlignment="0" applyProtection="0"/>
    <xf numFmtId="0" fontId="128" fillId="0" borderId="18">
      <alignment vertical="center"/>
    </xf>
    <xf numFmtId="0" fontId="129" fillId="0" borderId="18"/>
    <xf numFmtId="0" fontId="8" fillId="28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0" fontId="38" fillId="0" borderId="18"/>
    <xf numFmtId="0" fontId="8" fillId="26" borderId="18" applyNumberFormat="0" applyBorder="0" applyAlignment="0" applyProtection="0"/>
    <xf numFmtId="0" fontId="8" fillId="0" borderId="18"/>
    <xf numFmtId="0" fontId="8" fillId="24" borderId="18" applyNumberFormat="0" applyBorder="0" applyAlignment="0" applyProtection="0"/>
    <xf numFmtId="0" fontId="8" fillId="0" borderId="18"/>
    <xf numFmtId="0" fontId="38" fillId="0" borderId="18"/>
    <xf numFmtId="0" fontId="8" fillId="0" borderId="18"/>
    <xf numFmtId="184" fontId="8" fillId="0" borderId="18" applyFont="0" applyFill="0" applyBorder="0" applyAlignment="0" applyProtection="0"/>
    <xf numFmtId="0" fontId="135" fillId="0" borderId="18">
      <alignment vertical="center"/>
    </xf>
    <xf numFmtId="0" fontId="133" fillId="0" borderId="18"/>
    <xf numFmtId="0" fontId="38" fillId="0" borderId="18"/>
    <xf numFmtId="181" fontId="38" fillId="0" borderId="18" applyFont="0" applyFill="0" applyBorder="0" applyAlignment="0" applyProtection="0"/>
    <xf numFmtId="0" fontId="38" fillId="0" borderId="18"/>
    <xf numFmtId="0" fontId="132" fillId="0" borderId="18"/>
    <xf numFmtId="0" fontId="38" fillId="0" borderId="18"/>
    <xf numFmtId="0" fontId="38" fillId="0" borderId="18"/>
    <xf numFmtId="0" fontId="38" fillId="0" borderId="18"/>
    <xf numFmtId="0" fontId="41" fillId="0" borderId="18"/>
    <xf numFmtId="0" fontId="38" fillId="0" borderId="18"/>
    <xf numFmtId="0" fontId="38" fillId="0" borderId="18"/>
    <xf numFmtId="0" fontId="8" fillId="0" borderId="18"/>
    <xf numFmtId="0" fontId="8" fillId="0" borderId="18"/>
    <xf numFmtId="9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0" fontId="8" fillId="0" borderId="18"/>
    <xf numFmtId="0" fontId="37" fillId="0" borderId="18"/>
    <xf numFmtId="0" fontId="36" fillId="0" borderId="18"/>
    <xf numFmtId="9" fontId="36" fillId="0" borderId="18" applyFont="0" applyFill="0" applyBorder="0" applyAlignment="0" applyProtection="0"/>
    <xf numFmtId="164" fontId="1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9" fontId="141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8" fillId="0" borderId="18" applyFont="0" applyFill="0" applyBorder="0" applyAlignment="0" applyProtection="0"/>
    <xf numFmtId="184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5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35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2" fillId="0" borderId="18" applyFont="0" applyFill="0" applyBorder="0" applyAlignment="0" applyProtection="0"/>
    <xf numFmtId="184" fontId="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41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1" fontId="38" fillId="0" borderId="18" applyFont="0" applyFill="0" applyBorder="0" applyAlignment="0" applyProtection="0"/>
    <xf numFmtId="180" fontId="141" fillId="0" borderId="18" applyFont="0" applyFill="0" applyBorder="0" applyAlignment="0" applyProtection="0"/>
    <xf numFmtId="178" fontId="141" fillId="0" borderId="18" applyFont="0" applyFill="0" applyBorder="0" applyAlignment="0" applyProtection="0"/>
    <xf numFmtId="181" fontId="141" fillId="0" borderId="18" applyFont="0" applyFill="0" applyBorder="0" applyAlignment="0" applyProtection="0"/>
    <xf numFmtId="179" fontId="141" fillId="0" borderId="18" applyFont="0" applyFill="0" applyBorder="0" applyAlignment="0" applyProtection="0"/>
    <xf numFmtId="181" fontId="8" fillId="0" borderId="18" applyFont="0" applyFill="0" applyBorder="0" applyAlignment="0" applyProtection="0"/>
    <xf numFmtId="0" fontId="38" fillId="0" borderId="18"/>
    <xf numFmtId="0" fontId="38" fillId="0" borderId="18"/>
    <xf numFmtId="0" fontId="38" fillId="0" borderId="18"/>
    <xf numFmtId="0" fontId="38" fillId="0" borderId="18"/>
    <xf numFmtId="0" fontId="38" fillId="0" borderId="18"/>
    <xf numFmtId="184" fontId="8" fillId="0" borderId="18" applyFont="0" applyFill="0" applyBorder="0" applyAlignment="0" applyProtection="0"/>
  </cellStyleXfs>
  <cellXfs count="814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166" fontId="9" fillId="0" borderId="4" xfId="0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165" fontId="12" fillId="5" borderId="4" xfId="0" applyNumberFormat="1" applyFont="1" applyFill="1" applyBorder="1" applyAlignment="1">
      <alignment horizontal="center" vertical="center" wrapText="1"/>
    </xf>
    <xf numFmtId="168" fontId="13" fillId="5" borderId="4" xfId="0" applyNumberFormat="1" applyFont="1" applyFill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8" xfId="0" applyFont="1" applyBorder="1" applyAlignment="1">
      <alignment horizontal="center" vertical="center"/>
    </xf>
    <xf numFmtId="0" fontId="11" fillId="6" borderId="4" xfId="0" applyFont="1" applyFill="1" applyBorder="1"/>
    <xf numFmtId="0" fontId="11" fillId="7" borderId="4" xfId="0" applyFont="1" applyFill="1" applyBorder="1" applyAlignment="1">
      <alignment horizontal="center" vertical="center"/>
    </xf>
    <xf numFmtId="2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/>
    </xf>
    <xf numFmtId="169" fontId="11" fillId="0" borderId="4" xfId="0" applyNumberFormat="1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167" fontId="11" fillId="0" borderId="4" xfId="0" applyNumberFormat="1" applyFont="1" applyBorder="1" applyAlignment="1">
      <alignment horizontal="center" vertical="center" wrapText="1"/>
    </xf>
    <xf numFmtId="169" fontId="11" fillId="0" borderId="0" xfId="0" applyNumberFormat="1" applyFont="1" applyAlignment="1">
      <alignment vertical="center"/>
    </xf>
    <xf numFmtId="167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2" fontId="11" fillId="5" borderId="4" xfId="0" applyNumberFormat="1" applyFont="1" applyFill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2" fontId="11" fillId="5" borderId="9" xfId="0" applyNumberFormat="1" applyFont="1" applyFill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9" fontId="9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vertical="center"/>
    </xf>
    <xf numFmtId="2" fontId="1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165" fontId="9" fillId="10" borderId="4" xfId="0" applyNumberFormat="1" applyFont="1" applyFill="1" applyBorder="1" applyAlignment="1">
      <alignment horizontal="center" vertical="center" wrapText="1"/>
    </xf>
    <xf numFmtId="2" fontId="11" fillId="10" borderId="4" xfId="0" applyNumberFormat="1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vertical="center"/>
    </xf>
    <xf numFmtId="2" fontId="11" fillId="9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5" fontId="9" fillId="3" borderId="4" xfId="0" applyNumberFormat="1" applyFont="1" applyFill="1" applyBorder="1" applyAlignment="1">
      <alignment horizontal="center" vertical="center" wrapText="1"/>
    </xf>
    <xf numFmtId="2" fontId="11" fillId="3" borderId="4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167" fontId="19" fillId="5" borderId="19" xfId="0" applyNumberFormat="1" applyFont="1" applyFill="1" applyBorder="1" applyAlignment="1">
      <alignment horizontal="center" vertical="center"/>
    </xf>
    <xf numFmtId="167" fontId="18" fillId="0" borderId="24" xfId="0" applyNumberFormat="1" applyFont="1" applyBorder="1" applyAlignment="1">
      <alignment horizontal="center" vertical="center"/>
    </xf>
    <xf numFmtId="1" fontId="16" fillId="5" borderId="15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/>
    </xf>
    <xf numFmtId="170" fontId="21" fillId="3" borderId="29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5" borderId="3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1" fontId="16" fillId="5" borderId="4" xfId="0" applyNumberFormat="1" applyFont="1" applyFill="1" applyBorder="1" applyAlignment="1">
      <alignment horizontal="center" vertical="center" wrapText="1"/>
    </xf>
    <xf numFmtId="15" fontId="13" fillId="5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1" fontId="22" fillId="5" borderId="4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69" fontId="16" fillId="5" borderId="15" xfId="0" applyNumberFormat="1" applyFont="1" applyFill="1" applyBorder="1" applyAlignment="1">
      <alignment horizontal="center" vertical="center" wrapText="1"/>
    </xf>
    <xf numFmtId="2" fontId="16" fillId="5" borderId="15" xfId="0" applyNumberFormat="1" applyFont="1" applyFill="1" applyBorder="1" applyAlignment="1">
      <alignment horizontal="center" vertical="center" wrapText="1"/>
    </xf>
    <xf numFmtId="1" fontId="17" fillId="5" borderId="15" xfId="0" applyNumberFormat="1" applyFont="1" applyFill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171" fontId="16" fillId="0" borderId="4" xfId="0" applyNumberFormat="1" applyFont="1" applyBorder="1" applyAlignment="1">
      <alignment horizontal="center" vertical="center" wrapText="1"/>
    </xf>
    <xf numFmtId="169" fontId="16" fillId="0" borderId="4" xfId="0" applyNumberFormat="1" applyFont="1" applyBorder="1" applyAlignment="1">
      <alignment horizontal="center" vertical="center" wrapText="1"/>
    </xf>
    <xf numFmtId="0" fontId="19" fillId="5" borderId="41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1" fontId="16" fillId="5" borderId="42" xfId="0" applyNumberFormat="1" applyFont="1" applyFill="1" applyBorder="1" applyAlignment="1">
      <alignment horizontal="center" vertical="center" wrapText="1"/>
    </xf>
    <xf numFmtId="15" fontId="13" fillId="5" borderId="42" xfId="0" applyNumberFormat="1" applyFont="1" applyFill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wrapText="1"/>
    </xf>
    <xf numFmtId="0" fontId="11" fillId="0" borderId="0" xfId="0" applyFont="1" applyAlignment="1">
      <alignment horizontal="left" vertical="center" wrapText="1"/>
    </xf>
    <xf numFmtId="1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 wrapText="1"/>
    </xf>
    <xf numFmtId="0" fontId="24" fillId="11" borderId="46" xfId="0" applyFont="1" applyFill="1" applyBorder="1" applyAlignment="1">
      <alignment vertical="center" wrapText="1"/>
    </xf>
    <xf numFmtId="0" fontId="24" fillId="11" borderId="46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167" fontId="25" fillId="0" borderId="2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47" xfId="0" applyFont="1" applyBorder="1" applyAlignment="1">
      <alignment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24" xfId="0" applyFont="1" applyBorder="1" applyAlignment="1">
      <alignment vertical="center"/>
    </xf>
    <xf numFmtId="167" fontId="25" fillId="0" borderId="24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167" fontId="11" fillId="0" borderId="4" xfId="0" applyNumberFormat="1" applyFont="1" applyBorder="1"/>
    <xf numFmtId="0" fontId="11" fillId="0" borderId="4" xfId="0" quotePrefix="1" applyFont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9" fillId="0" borderId="0" xfId="0" applyFont="1"/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4" borderId="15" xfId="0" applyFont="1" applyFill="1" applyBorder="1"/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14" borderId="4" xfId="0" applyFont="1" applyFill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5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14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4" borderId="6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5" fontId="9" fillId="0" borderId="64" xfId="0" applyNumberFormat="1" applyFont="1" applyBorder="1" applyAlignment="1">
      <alignment horizontal="center" vertical="center" wrapText="1"/>
    </xf>
    <xf numFmtId="0" fontId="9" fillId="14" borderId="6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4" xfId="0" applyFont="1" applyFill="1" applyBorder="1"/>
    <xf numFmtId="0" fontId="11" fillId="0" borderId="1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4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173" fontId="11" fillId="0" borderId="55" xfId="0" applyNumberFormat="1" applyFont="1" applyBorder="1" applyAlignment="1">
      <alignment horizontal="center" vertical="center"/>
    </xf>
    <xf numFmtId="0" fontId="11" fillId="15" borderId="4" xfId="0" applyFont="1" applyFill="1" applyBorder="1"/>
    <xf numFmtId="0" fontId="30" fillId="0" borderId="4" xfId="0" applyFont="1" applyBorder="1" applyAlignment="1">
      <alignment horizontal="center" vertical="center"/>
    </xf>
    <xf numFmtId="167" fontId="11" fillId="14" borderId="4" xfId="0" applyNumberFormat="1" applyFont="1" applyFill="1" applyBorder="1"/>
    <xf numFmtId="167" fontId="11" fillId="14" borderId="4" xfId="0" applyNumberFormat="1" applyFont="1" applyFill="1" applyBorder="1" applyAlignment="1">
      <alignment horizontal="center" vertical="center"/>
    </xf>
    <xf numFmtId="167" fontId="11" fillId="14" borderId="4" xfId="0" applyNumberFormat="1" applyFont="1" applyFill="1" applyBorder="1" applyAlignment="1">
      <alignment horizontal="center"/>
    </xf>
    <xf numFmtId="0" fontId="11" fillId="16" borderId="4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/>
    </xf>
    <xf numFmtId="0" fontId="31" fillId="3" borderId="4" xfId="0" applyFont="1" applyFill="1" applyBorder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3" fontId="11" fillId="0" borderId="64" xfId="0" applyNumberFormat="1" applyFont="1" applyBorder="1" applyAlignment="1">
      <alignment horizontal="center" vertical="center"/>
    </xf>
    <xf numFmtId="0" fontId="11" fillId="12" borderId="6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left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64" xfId="0" applyFont="1" applyBorder="1"/>
    <xf numFmtId="0" fontId="11" fillId="0" borderId="67" xfId="0" applyFont="1" applyBorder="1" applyAlignment="1">
      <alignment horizontal="center" vertical="center"/>
    </xf>
    <xf numFmtId="0" fontId="9" fillId="18" borderId="68" xfId="0" applyFont="1" applyFill="1" applyBorder="1" applyAlignment="1">
      <alignment horizontal="center"/>
    </xf>
    <xf numFmtId="167" fontId="9" fillId="3" borderId="4" xfId="0" applyNumberFormat="1" applyFont="1" applyFill="1" applyBorder="1"/>
    <xf numFmtId="2" fontId="9" fillId="6" borderId="4" xfId="0" applyNumberFormat="1" applyFont="1" applyFill="1" applyBorder="1" applyAlignment="1">
      <alignment horizontal="center" vertical="center"/>
    </xf>
    <xf numFmtId="0" fontId="9" fillId="0" borderId="4" xfId="0" applyFont="1" applyBorder="1"/>
    <xf numFmtId="2" fontId="9" fillId="0" borderId="4" xfId="0" applyNumberFormat="1" applyFont="1" applyBorder="1" applyAlignment="1">
      <alignment horizontal="center" vertical="center"/>
    </xf>
    <xf numFmtId="0" fontId="9" fillId="18" borderId="4" xfId="0" applyFont="1" applyFill="1" applyBorder="1"/>
    <xf numFmtId="0" fontId="9" fillId="19" borderId="4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18" borderId="69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/>
    </xf>
    <xf numFmtId="0" fontId="9" fillId="19" borderId="6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18" borderId="65" xfId="0" applyFont="1" applyFill="1" applyBorder="1" applyAlignment="1">
      <alignment horizontal="center" vertical="center" wrapText="1"/>
    </xf>
    <xf numFmtId="0" fontId="11" fillId="18" borderId="4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/>
    </xf>
    <xf numFmtId="2" fontId="32" fillId="20" borderId="4" xfId="0" applyNumberFormat="1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center" wrapText="1"/>
    </xf>
    <xf numFmtId="0" fontId="11" fillId="18" borderId="4" xfId="0" applyFont="1" applyFill="1" applyBorder="1" applyAlignment="1">
      <alignment horizontal="center" wrapText="1"/>
    </xf>
    <xf numFmtId="2" fontId="25" fillId="0" borderId="4" xfId="0" applyNumberFormat="1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/>
    </xf>
    <xf numFmtId="169" fontId="9" fillId="0" borderId="4" xfId="0" applyNumberFormat="1" applyFont="1" applyBorder="1" applyAlignment="1">
      <alignment horizontal="center"/>
    </xf>
    <xf numFmtId="0" fontId="11" fillId="18" borderId="15" xfId="0" applyFont="1" applyFill="1" applyBorder="1"/>
    <xf numFmtId="2" fontId="11" fillId="0" borderId="0" xfId="0" applyNumberFormat="1" applyFont="1"/>
    <xf numFmtId="167" fontId="9" fillId="2" borderId="29" xfId="0" applyNumberFormat="1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/>
    <xf numFmtId="0" fontId="11" fillId="0" borderId="37" xfId="0" applyFont="1" applyBorder="1" applyAlignment="1">
      <alignment horizontal="center" vertical="center" wrapText="1"/>
    </xf>
    <xf numFmtId="9" fontId="9" fillId="0" borderId="4" xfId="0" applyNumberFormat="1" applyFont="1" applyBorder="1" applyAlignment="1">
      <alignment horizontal="center" vertical="center"/>
    </xf>
    <xf numFmtId="0" fontId="11" fillId="0" borderId="39" xfId="0" applyFont="1" applyBorder="1"/>
    <xf numFmtId="0" fontId="9" fillId="0" borderId="38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left" vertical="center"/>
    </xf>
    <xf numFmtId="0" fontId="9" fillId="0" borderId="42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11" fillId="0" borderId="43" xfId="0" applyFont="1" applyBorder="1"/>
    <xf numFmtId="0" fontId="11" fillId="0" borderId="40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9" fillId="21" borderId="75" xfId="0" applyFont="1" applyFill="1" applyBorder="1" applyAlignment="1">
      <alignment horizontal="center" vertical="center"/>
    </xf>
    <xf numFmtId="175" fontId="9" fillId="21" borderId="46" xfId="0" applyNumberFormat="1" applyFont="1" applyFill="1" applyBorder="1" applyAlignment="1">
      <alignment horizontal="center" vertical="center"/>
    </xf>
    <xf numFmtId="0" fontId="15" fillId="0" borderId="0" xfId="0" applyFont="1"/>
    <xf numFmtId="0" fontId="24" fillId="22" borderId="4" xfId="0" applyFont="1" applyFill="1" applyBorder="1" applyAlignment="1">
      <alignment horizontal="center" vertical="center" wrapText="1"/>
    </xf>
    <xf numFmtId="0" fontId="24" fillId="22" borderId="65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  <xf numFmtId="1" fontId="24" fillId="0" borderId="4" xfId="0" applyNumberFormat="1" applyFont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/>
    </xf>
    <xf numFmtId="176" fontId="24" fillId="0" borderId="4" xfId="0" applyNumberFormat="1" applyFont="1" applyBorder="1" applyAlignment="1">
      <alignment horizontal="center" vertical="center"/>
    </xf>
    <xf numFmtId="1" fontId="24" fillId="0" borderId="8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4" xfId="0" applyFont="1" applyBorder="1" applyAlignment="1">
      <alignment horizontal="center" vertical="center" wrapText="1"/>
    </xf>
    <xf numFmtId="1" fontId="15" fillId="0" borderId="0" xfId="0" applyNumberFormat="1" applyFont="1"/>
    <xf numFmtId="176" fontId="24" fillId="0" borderId="7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1" fontId="24" fillId="0" borderId="42" xfId="0" applyNumberFormat="1" applyFont="1" applyBorder="1" applyAlignment="1">
      <alignment horizontal="center" vertical="center" wrapText="1"/>
    </xf>
    <xf numFmtId="176" fontId="24" fillId="0" borderId="4" xfId="0" applyNumberFormat="1" applyFont="1" applyBorder="1" applyAlignment="1">
      <alignment vertical="center" wrapText="1"/>
    </xf>
    <xf numFmtId="1" fontId="24" fillId="0" borderId="74" xfId="0" applyNumberFormat="1" applyFont="1" applyBorder="1" applyAlignment="1">
      <alignment horizontal="center" vertical="center" wrapText="1"/>
    </xf>
    <xf numFmtId="172" fontId="24" fillId="0" borderId="4" xfId="0" applyNumberFormat="1" applyFont="1" applyBorder="1" applyAlignment="1">
      <alignment vertical="center" wrapText="1"/>
    </xf>
    <xf numFmtId="176" fontId="24" fillId="0" borderId="4" xfId="0" applyNumberFormat="1" applyFont="1" applyBorder="1" applyAlignment="1">
      <alignment horizontal="center" vertical="center" wrapText="1"/>
    </xf>
    <xf numFmtId="176" fontId="24" fillId="0" borderId="42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 wrapText="1"/>
    </xf>
    <xf numFmtId="177" fontId="11" fillId="0" borderId="4" xfId="0" applyNumberFormat="1" applyFont="1" applyBorder="1"/>
    <xf numFmtId="177" fontId="11" fillId="0" borderId="4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/>
    <xf numFmtId="0" fontId="35" fillId="0" borderId="4" xfId="0" applyFont="1" applyBorder="1" applyAlignment="1">
      <alignment horizontal="center" vertical="center"/>
    </xf>
    <xf numFmtId="0" fontId="8" fillId="0" borderId="18" xfId="335"/>
    <xf numFmtId="0" fontId="8" fillId="0" borderId="18" xfId="335" applyAlignment="1">
      <alignment horizontal="center" vertical="center"/>
    </xf>
    <xf numFmtId="0" fontId="8" fillId="0" borderId="127" xfId="335" applyBorder="1"/>
    <xf numFmtId="0" fontId="8" fillId="0" borderId="104" xfId="335" applyBorder="1" applyAlignment="1">
      <alignment horizontal="center" vertical="center"/>
    </xf>
    <xf numFmtId="0" fontId="8" fillId="0" borderId="104" xfId="335" applyBorder="1"/>
    <xf numFmtId="0" fontId="8" fillId="0" borderId="126" xfId="335" applyBorder="1"/>
    <xf numFmtId="0" fontId="8" fillId="0" borderId="92" xfId="335" applyBorder="1"/>
    <xf numFmtId="0" fontId="8" fillId="0" borderId="82" xfId="335" applyBorder="1" applyAlignment="1">
      <alignment horizontal="center" vertical="center"/>
    </xf>
    <xf numFmtId="171" fontId="8" fillId="0" borderId="18" xfId="335" applyNumberFormat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8" fillId="0" borderId="18" xfId="335" applyAlignment="1">
      <alignment horizontal="center"/>
    </xf>
    <xf numFmtId="0" fontId="136" fillId="0" borderId="18" xfId="335" applyFont="1"/>
    <xf numFmtId="0" fontId="136" fillId="0" borderId="91" xfId="335" applyFont="1" applyBorder="1"/>
    <xf numFmtId="0" fontId="8" fillId="0" borderId="91" xfId="335" applyBorder="1"/>
    <xf numFmtId="1" fontId="8" fillId="0" borderId="18" xfId="335" applyNumberFormat="1" applyAlignment="1">
      <alignment horizontal="right" vertical="center"/>
    </xf>
    <xf numFmtId="0" fontId="8" fillId="0" borderId="82" xfId="335" applyBorder="1"/>
    <xf numFmtId="0" fontId="134" fillId="0" borderId="82" xfId="335" applyFont="1" applyBorder="1" applyAlignment="1">
      <alignment horizontal="center"/>
    </xf>
    <xf numFmtId="0" fontId="134" fillId="87" borderId="82" xfId="335" applyFont="1" applyFill="1" applyBorder="1" applyAlignment="1">
      <alignment horizontal="center"/>
    </xf>
    <xf numFmtId="171" fontId="8" fillId="0" borderId="18" xfId="335" applyNumberFormat="1" applyAlignment="1">
      <alignment horizontal="left" vertical="center"/>
    </xf>
    <xf numFmtId="0" fontId="137" fillId="87" borderId="82" xfId="335" applyFont="1" applyFill="1" applyBorder="1" applyAlignment="1">
      <alignment horizontal="center" vertical="center"/>
    </xf>
    <xf numFmtId="0" fontId="136" fillId="0" borderId="87" xfId="335" applyFont="1" applyBorder="1"/>
    <xf numFmtId="0" fontId="8" fillId="0" borderId="18" xfId="335" applyAlignment="1">
      <alignment horizontal="left" vertical="center"/>
    </xf>
    <xf numFmtId="0" fontId="134" fillId="0" borderId="18" xfId="335" applyFont="1" applyAlignment="1">
      <alignment horizontal="center"/>
    </xf>
    <xf numFmtId="0" fontId="8" fillId="0" borderId="120" xfId="335" applyBorder="1" applyAlignment="1">
      <alignment horizontal="center" vertical="center"/>
    </xf>
    <xf numFmtId="0" fontId="34" fillId="0" borderId="18" xfId="335" applyFont="1" applyAlignment="1">
      <alignment horizontal="center"/>
    </xf>
    <xf numFmtId="0" fontId="34" fillId="0" borderId="18" xfId="335" applyFont="1" applyAlignment="1">
      <alignment horizontal="center" vertical="center"/>
    </xf>
    <xf numFmtId="1" fontId="34" fillId="0" borderId="18" xfId="335" applyNumberFormat="1" applyFont="1" applyAlignment="1">
      <alignment horizontal="center" vertical="center"/>
    </xf>
    <xf numFmtId="0" fontId="34" fillId="0" borderId="18" xfId="335" applyFont="1"/>
    <xf numFmtId="0" fontId="139" fillId="0" borderId="18" xfId="335" applyFont="1" applyAlignment="1">
      <alignment horizontal="center"/>
    </xf>
    <xf numFmtId="0" fontId="34" fillId="87" borderId="82" xfId="335" applyFont="1" applyFill="1" applyBorder="1"/>
    <xf numFmtId="0" fontId="34" fillId="0" borderId="82" xfId="335" applyFont="1" applyBorder="1"/>
    <xf numFmtId="1" fontId="34" fillId="0" borderId="18" xfId="335" applyNumberFormat="1" applyFont="1" applyAlignment="1">
      <alignment horizontal="right" vertical="center"/>
    </xf>
    <xf numFmtId="0" fontId="137" fillId="82" borderId="82" xfId="335" applyFont="1" applyFill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04" xfId="335" applyFont="1" applyBorder="1" applyAlignment="1">
      <alignment horizontal="center"/>
    </xf>
    <xf numFmtId="2" fontId="8" fillId="0" borderId="18" xfId="335" applyNumberFormat="1" applyAlignment="1">
      <alignment horizontal="center"/>
    </xf>
    <xf numFmtId="2" fontId="34" fillId="0" borderId="18" xfId="335" applyNumberFormat="1" applyFont="1" applyAlignment="1">
      <alignment horizontal="center"/>
    </xf>
    <xf numFmtId="0" fontId="34" fillId="0" borderId="104" xfId="335" applyFont="1" applyBorder="1" applyAlignment="1">
      <alignment horizontal="center" vertical="center"/>
    </xf>
    <xf numFmtId="1" fontId="34" fillId="0" borderId="18" xfId="335" applyNumberFormat="1" applyFont="1"/>
    <xf numFmtId="1" fontId="139" fillId="0" borderId="18" xfId="335" applyNumberFormat="1" applyFont="1" applyAlignment="1">
      <alignment horizontal="center"/>
    </xf>
    <xf numFmtId="0" fontId="34" fillId="89" borderId="18" xfId="335" applyFont="1" applyFill="1" applyAlignment="1">
      <alignment horizontal="center"/>
    </xf>
    <xf numFmtId="0" fontId="8" fillId="89" borderId="18" xfId="335" applyFill="1" applyAlignment="1">
      <alignment horizontal="center" vertical="center"/>
    </xf>
    <xf numFmtId="0" fontId="34" fillId="89" borderId="18" xfId="335" applyFont="1" applyFill="1" applyAlignment="1">
      <alignment horizontal="center" vertical="center"/>
    </xf>
    <xf numFmtId="1" fontId="34" fillId="0" borderId="18" xfId="335" applyNumberFormat="1" applyFont="1" applyAlignment="1">
      <alignment horizontal="center"/>
    </xf>
    <xf numFmtId="0" fontId="139" fillId="87" borderId="82" xfId="335" applyFont="1" applyFill="1" applyBorder="1" applyAlignment="1">
      <alignment horizontal="center"/>
    </xf>
    <xf numFmtId="2" fontId="34" fillId="89" borderId="18" xfId="335" applyNumberFormat="1" applyFont="1" applyFill="1" applyAlignment="1">
      <alignment horizontal="center"/>
    </xf>
    <xf numFmtId="0" fontId="34" fillId="88" borderId="18" xfId="335" applyFont="1" applyFill="1" applyAlignment="1">
      <alignment horizontal="center" vertical="center"/>
    </xf>
    <xf numFmtId="0" fontId="34" fillId="88" borderId="18" xfId="335" applyFont="1" applyFill="1" applyAlignment="1">
      <alignment horizontal="center"/>
    </xf>
    <xf numFmtId="0" fontId="140" fillId="87" borderId="82" xfId="335" applyFont="1" applyFill="1" applyBorder="1" applyAlignment="1">
      <alignment horizontal="center" vertical="center"/>
    </xf>
    <xf numFmtId="2" fontId="34" fillId="88" borderId="18" xfId="335" applyNumberFormat="1" applyFont="1" applyFill="1" applyAlignment="1">
      <alignment horizontal="center"/>
    </xf>
    <xf numFmtId="0" fontId="8" fillId="87" borderId="82" xfId="335" applyFill="1" applyBorder="1"/>
    <xf numFmtId="0" fontId="34" fillId="0" borderId="18" xfId="335" applyFont="1" applyAlignment="1">
      <alignment horizontal="right" vertical="center"/>
    </xf>
    <xf numFmtId="0" fontId="34" fillId="0" borderId="18" xfId="335" quotePrefix="1" applyFont="1" applyAlignment="1">
      <alignment horizontal="center" vertical="center"/>
    </xf>
    <xf numFmtId="0" fontId="34" fillId="0" borderId="18" xfId="335" applyFont="1" applyAlignment="1">
      <alignment vertical="center"/>
    </xf>
    <xf numFmtId="1" fontId="34" fillId="0" borderId="18" xfId="335" applyNumberFormat="1" applyFont="1" applyAlignment="1">
      <alignment horizontal="left" vertical="center"/>
    </xf>
    <xf numFmtId="0" fontId="8" fillId="88" borderId="18" xfId="335" applyFill="1" applyAlignment="1">
      <alignment horizontal="center" vertical="center"/>
    </xf>
    <xf numFmtId="1" fontId="34" fillId="88" borderId="18" xfId="335" applyNumberFormat="1" applyFont="1" applyFill="1" applyAlignment="1">
      <alignment horizontal="center" vertical="center"/>
    </xf>
    <xf numFmtId="16" fontId="34" fillId="0" borderId="18" xfId="335" applyNumberFormat="1" applyFont="1" applyAlignment="1">
      <alignment horizontal="center"/>
    </xf>
    <xf numFmtId="0" fontId="9" fillId="90" borderId="18" xfId="0" applyFont="1" applyFill="1" applyBorder="1" applyAlignment="1">
      <alignment horizontal="center" wrapText="1"/>
    </xf>
    <xf numFmtId="0" fontId="141" fillId="90" borderId="18" xfId="0" applyFont="1" applyFill="1" applyBorder="1" applyAlignment="1">
      <alignment wrapText="1"/>
    </xf>
    <xf numFmtId="0" fontId="7" fillId="0" borderId="18" xfId="335" applyFont="1"/>
    <xf numFmtId="0" fontId="141" fillId="0" borderId="18" xfId="0" applyFont="1" applyBorder="1" applyAlignment="1">
      <alignment wrapText="1"/>
    </xf>
    <xf numFmtId="0" fontId="11" fillId="0" borderId="82" xfId="0" applyFont="1" applyBorder="1" applyAlignment="1">
      <alignment horizontal="center" vertical="center" wrapText="1"/>
    </xf>
    <xf numFmtId="0" fontId="141" fillId="0" borderId="82" xfId="0" applyFont="1" applyBorder="1" applyAlignment="1">
      <alignment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220" fontId="11" fillId="0" borderId="4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9" fillId="5" borderId="42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176" fontId="25" fillId="0" borderId="74" xfId="0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92" borderId="18" xfId="335" applyFont="1" applyFill="1" applyAlignment="1">
      <alignment horizontal="center" vertical="center"/>
    </xf>
    <xf numFmtId="0" fontId="34" fillId="92" borderId="18" xfId="335" applyFont="1" applyFill="1" applyAlignment="1">
      <alignment horizontal="center"/>
    </xf>
    <xf numFmtId="2" fontId="34" fillId="92" borderId="18" xfId="335" applyNumberFormat="1" applyFont="1" applyFill="1" applyAlignment="1">
      <alignment horizontal="center"/>
    </xf>
    <xf numFmtId="0" fontId="8" fillId="92" borderId="18" xfId="335" applyFill="1" applyAlignment="1">
      <alignment horizontal="center" vertical="center"/>
    </xf>
    <xf numFmtId="0" fontId="8" fillId="92" borderId="18" xfId="335" applyFill="1" applyAlignment="1">
      <alignment horizontal="center"/>
    </xf>
    <xf numFmtId="0" fontId="139" fillId="92" borderId="18" xfId="335" applyFont="1" applyFill="1" applyAlignment="1">
      <alignment horizontal="center"/>
    </xf>
    <xf numFmtId="0" fontId="34" fillId="92" borderId="104" xfId="335" applyFont="1" applyFill="1" applyBorder="1" applyAlignment="1">
      <alignment horizontal="center" vertical="center"/>
    </xf>
    <xf numFmtId="0" fontId="139" fillId="0" borderId="82" xfId="335" applyFont="1" applyBorder="1" applyAlignment="1">
      <alignment horizontal="center"/>
    </xf>
    <xf numFmtId="0" fontId="139" fillId="0" borderId="18" xfId="335" applyFont="1"/>
    <xf numFmtId="0" fontId="8" fillId="92" borderId="18" xfId="335" applyFill="1"/>
    <xf numFmtId="2" fontId="6" fillId="0" borderId="18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 vertical="center"/>
    </xf>
    <xf numFmtId="0" fontId="8" fillId="0" borderId="128" xfId="335" applyBorder="1" applyAlignment="1">
      <alignment horizontal="center" vertical="center"/>
    </xf>
    <xf numFmtId="0" fontId="134" fillId="0" borderId="82" xfId="335" applyFont="1" applyBorder="1" applyAlignment="1">
      <alignment horizontal="center" vertical="center"/>
    </xf>
    <xf numFmtId="0" fontId="134" fillId="84" borderId="82" xfId="335" applyFont="1" applyFill="1" applyBorder="1" applyAlignment="1">
      <alignment horizontal="center" vertical="center"/>
    </xf>
    <xf numFmtId="0" fontId="8" fillId="0" borderId="91" xfId="335" applyBorder="1" applyAlignment="1">
      <alignment horizontal="center" vertical="center"/>
    </xf>
    <xf numFmtId="0" fontId="34" fillId="0" borderId="91" xfId="335" applyFont="1" applyBorder="1" applyAlignment="1">
      <alignment horizontal="center" vertical="center"/>
    </xf>
    <xf numFmtId="0" fontId="34" fillId="87" borderId="82" xfId="335" applyFont="1" applyFill="1" applyBorder="1" applyAlignment="1">
      <alignment horizontal="center" vertical="center"/>
    </xf>
    <xf numFmtId="0" fontId="34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136" fillId="0" borderId="91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0" fontId="136" fillId="0" borderId="87" xfId="335" applyFont="1" applyBorder="1" applyAlignment="1">
      <alignment horizontal="center" vertical="center"/>
    </xf>
    <xf numFmtId="0" fontId="134" fillId="87" borderId="82" xfId="335" applyFont="1" applyFill="1" applyBorder="1" applyAlignment="1">
      <alignment horizontal="center" vertical="center"/>
    </xf>
    <xf numFmtId="0" fontId="8" fillId="0" borderId="126" xfId="335" applyBorder="1" applyAlignment="1">
      <alignment horizontal="center" vertical="center"/>
    </xf>
    <xf numFmtId="0" fontId="139" fillId="87" borderId="82" xfId="335" applyFont="1" applyFill="1" applyBorder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139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40" xfId="0" applyFont="1" applyBorder="1" applyAlignment="1">
      <alignment horizontal="center" vertical="center" wrapText="1"/>
    </xf>
    <xf numFmtId="0" fontId="25" fillId="0" borderId="112" xfId="0" applyFont="1" applyBorder="1" applyAlignment="1">
      <alignment horizontal="center" vertical="center" wrapText="1"/>
    </xf>
    <xf numFmtId="0" fontId="25" fillId="0" borderId="141" xfId="0" applyFont="1" applyBorder="1" applyAlignment="1">
      <alignment horizontal="center" vertical="center" wrapText="1"/>
    </xf>
    <xf numFmtId="0" fontId="25" fillId="0" borderId="142" xfId="0" applyFont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165" fontId="9" fillId="0" borderId="65" xfId="0" applyNumberFormat="1" applyFont="1" applyBorder="1" applyAlignment="1">
      <alignment horizontal="center" vertical="center" wrapText="1"/>
    </xf>
    <xf numFmtId="1" fontId="24" fillId="0" borderId="74" xfId="0" applyNumberFormat="1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9" fillId="4" borderId="77" xfId="0" applyFont="1" applyFill="1" applyBorder="1" applyAlignment="1">
      <alignment horizontal="center" vertical="center"/>
    </xf>
    <xf numFmtId="170" fontId="21" fillId="3" borderId="78" xfId="0" applyNumberFormat="1" applyFont="1" applyFill="1" applyBorder="1" applyAlignment="1">
      <alignment horizontal="center" vertical="center"/>
    </xf>
    <xf numFmtId="0" fontId="19" fillId="5" borderId="153" xfId="0" applyFont="1" applyFill="1" applyBorder="1" applyAlignment="1">
      <alignment horizontal="center" vertical="center" wrapText="1"/>
    </xf>
    <xf numFmtId="0" fontId="16" fillId="0" borderId="154" xfId="0" applyFont="1" applyBorder="1" applyAlignment="1">
      <alignment horizontal="center" vertical="center" wrapText="1"/>
    </xf>
    <xf numFmtId="0" fontId="16" fillId="5" borderId="154" xfId="0" applyFont="1" applyFill="1" applyBorder="1" applyAlignment="1">
      <alignment horizontal="center" vertical="center" wrapText="1"/>
    </xf>
    <xf numFmtId="0" fontId="19" fillId="5" borderId="157" xfId="0" applyFont="1" applyFill="1" applyBorder="1" applyAlignment="1">
      <alignment horizontal="center" vertical="center" wrapText="1"/>
    </xf>
    <xf numFmtId="0" fontId="19" fillId="5" borderId="158" xfId="0" applyFont="1" applyFill="1" applyBorder="1" applyAlignment="1">
      <alignment horizontal="center" vertical="center" wrapText="1"/>
    </xf>
    <xf numFmtId="0" fontId="16" fillId="5" borderId="158" xfId="0" applyFont="1" applyFill="1" applyBorder="1" applyAlignment="1">
      <alignment horizontal="center" vertical="center" wrapText="1"/>
    </xf>
    <xf numFmtId="1" fontId="16" fillId="5" borderId="158" xfId="0" applyNumberFormat="1" applyFont="1" applyFill="1" applyBorder="1" applyAlignment="1">
      <alignment horizontal="center" vertical="center" wrapText="1"/>
    </xf>
    <xf numFmtId="15" fontId="13" fillId="5" borderId="158" xfId="0" applyNumberFormat="1" applyFont="1" applyFill="1" applyBorder="1" applyAlignment="1">
      <alignment horizontal="center" vertical="center"/>
    </xf>
    <xf numFmtId="1" fontId="16" fillId="0" borderId="158" xfId="0" applyNumberFormat="1" applyFont="1" applyBorder="1" applyAlignment="1">
      <alignment horizontal="center" vertical="center" wrapText="1"/>
    </xf>
    <xf numFmtId="1" fontId="22" fillId="0" borderId="158" xfId="0" applyNumberFormat="1" applyFont="1" applyBorder="1" applyAlignment="1">
      <alignment horizontal="center" vertical="center" wrapText="1"/>
    </xf>
    <xf numFmtId="2" fontId="22" fillId="0" borderId="158" xfId="0" applyNumberFormat="1" applyFont="1" applyBorder="1" applyAlignment="1">
      <alignment horizontal="center" vertical="center" wrapText="1"/>
    </xf>
    <xf numFmtId="171" fontId="22" fillId="5" borderId="158" xfId="0" applyNumberFormat="1" applyFont="1" applyFill="1" applyBorder="1" applyAlignment="1">
      <alignment horizontal="center" vertical="center" wrapText="1"/>
    </xf>
    <xf numFmtId="0" fontId="22" fillId="5" borderId="158" xfId="0" applyFont="1" applyFill="1" applyBorder="1" applyAlignment="1">
      <alignment horizontal="center" vertical="center" wrapText="1"/>
    </xf>
    <xf numFmtId="0" fontId="22" fillId="5" borderId="159" xfId="0" applyFont="1" applyFill="1" applyBorder="1" applyAlignment="1">
      <alignment horizontal="center" vertical="center" wrapText="1"/>
    </xf>
    <xf numFmtId="177" fontId="11" fillId="0" borderId="4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0" fontId="11" fillId="82" borderId="4" xfId="0" applyFont="1" applyFill="1" applyBorder="1"/>
    <xf numFmtId="0" fontId="8" fillId="82" borderId="18" xfId="335" applyFill="1" applyAlignment="1">
      <alignment horizontal="center" vertical="center"/>
    </xf>
    <xf numFmtId="0" fontId="11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11" fillId="0" borderId="160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61" xfId="0" applyFont="1" applyBorder="1" applyAlignment="1">
      <alignment horizontal="left" vertical="center"/>
    </xf>
    <xf numFmtId="0" fontId="11" fillId="0" borderId="16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2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11" fillId="0" borderId="6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3" fontId="11" fillId="0" borderId="67" xfId="0" applyNumberFormat="1" applyFont="1" applyBorder="1" applyAlignment="1">
      <alignment horizontal="center" vertical="center"/>
    </xf>
    <xf numFmtId="2" fontId="11" fillId="0" borderId="9" xfId="0" applyNumberFormat="1" applyFont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14" borderId="9" xfId="0" applyFont="1" applyFill="1" applyBorder="1"/>
    <xf numFmtId="177" fontId="11" fillId="0" borderId="9" xfId="0" applyNumberFormat="1" applyFont="1" applyBorder="1"/>
    <xf numFmtId="0" fontId="11" fillId="0" borderId="6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164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165" xfId="0" applyFont="1" applyBorder="1" applyAlignment="1">
      <alignment horizontal="center" vertical="center"/>
    </xf>
    <xf numFmtId="3" fontId="11" fillId="0" borderId="61" xfId="0" applyNumberFormat="1" applyFont="1" applyBorder="1" applyAlignment="1">
      <alignment horizontal="center" vertical="center"/>
    </xf>
    <xf numFmtId="2" fontId="11" fillId="0" borderId="65" xfId="0" applyNumberFormat="1" applyFont="1" applyBorder="1" applyAlignment="1">
      <alignment horizontal="center" vertical="center"/>
    </xf>
    <xf numFmtId="0" fontId="11" fillId="14" borderId="65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1" fillId="0" borderId="4" xfId="0" quotePrefix="1" applyNumberFormat="1" applyFont="1" applyBorder="1" applyAlignment="1">
      <alignment horizontal="left" vertical="center"/>
    </xf>
    <xf numFmtId="2" fontId="9" fillId="6" borderId="82" xfId="0" applyNumberFormat="1" applyFont="1" applyFill="1" applyBorder="1" applyAlignment="1">
      <alignment horizontal="center" vertical="center"/>
    </xf>
    <xf numFmtId="2" fontId="9" fillId="0" borderId="82" xfId="0" applyNumberFormat="1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 wrapText="1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9" fillId="0" borderId="82" xfId="0" applyFont="1" applyBorder="1" applyAlignment="1">
      <alignment horizontal="center" vertical="center"/>
    </xf>
    <xf numFmtId="0" fontId="11" fillId="0" borderId="82" xfId="0" quotePrefix="1" applyFont="1" applyBorder="1" applyAlignment="1">
      <alignment horizontal="center" vertical="center"/>
    </xf>
    <xf numFmtId="177" fontId="11" fillId="0" borderId="82" xfId="0" applyNumberFormat="1" applyFont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 wrapText="1"/>
    </xf>
    <xf numFmtId="167" fontId="11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7" fontId="9" fillId="3" borderId="82" xfId="0" applyNumberFormat="1" applyFont="1" applyFill="1" applyBorder="1" applyAlignment="1">
      <alignment horizontal="center" vertical="center"/>
    </xf>
    <xf numFmtId="0" fontId="9" fillId="18" borderId="82" xfId="0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11" fillId="18" borderId="18" xfId="0" applyFont="1" applyFill="1" applyBorder="1" applyAlignment="1">
      <alignment horizontal="center" vertical="center"/>
    </xf>
    <xf numFmtId="0" fontId="11" fillId="18" borderId="15" xfId="0" applyFont="1" applyFill="1" applyBorder="1" applyAlignment="1">
      <alignment horizontal="center" vertical="center"/>
    </xf>
    <xf numFmtId="2" fontId="11" fillId="0" borderId="18" xfId="0" applyNumberFormat="1" applyFont="1" applyBorder="1" applyAlignment="1">
      <alignment horizontal="center" vertical="center"/>
    </xf>
    <xf numFmtId="0" fontId="3" fillId="83" borderId="82" xfId="0" applyFont="1" applyFill="1" applyBorder="1" applyAlignment="1">
      <alignment horizontal="center" vertical="center"/>
    </xf>
    <xf numFmtId="0" fontId="8" fillId="93" borderId="18" xfId="335" applyFill="1" applyAlignment="1">
      <alignment horizontal="center"/>
    </xf>
    <xf numFmtId="0" fontId="8" fillId="93" borderId="18" xfId="335" applyFill="1" applyAlignment="1">
      <alignment horizontal="center" vertical="center"/>
    </xf>
    <xf numFmtId="0" fontId="8" fillId="93" borderId="18" xfId="335" applyFill="1"/>
    <xf numFmtId="0" fontId="143" fillId="0" borderId="18" xfId="335" applyFont="1" applyAlignment="1">
      <alignment horizontal="center" vertical="center"/>
    </xf>
    <xf numFmtId="0" fontId="136" fillId="0" borderId="120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1" fontId="144" fillId="0" borderId="18" xfId="335" applyNumberFormat="1" applyFont="1" applyAlignment="1">
      <alignment horizontal="center" vertical="center"/>
    </xf>
    <xf numFmtId="2" fontId="144" fillId="0" borderId="18" xfId="0" applyNumberFormat="1" applyFont="1" applyBorder="1" applyAlignment="1">
      <alignment horizontal="center" vertical="center"/>
    </xf>
    <xf numFmtId="0" fontId="144" fillId="0" borderId="104" xfId="335" applyFont="1" applyBorder="1" applyAlignment="1">
      <alignment horizontal="center" vertical="center"/>
    </xf>
    <xf numFmtId="0" fontId="136" fillId="0" borderId="104" xfId="335" applyFont="1" applyBorder="1" applyAlignment="1">
      <alignment horizontal="center" vertical="center"/>
    </xf>
    <xf numFmtId="2" fontId="136" fillId="0" borderId="18" xfId="0" applyNumberFormat="1" applyFont="1" applyBorder="1" applyAlignment="1">
      <alignment horizontal="center" vertical="center"/>
    </xf>
    <xf numFmtId="171" fontId="136" fillId="0" borderId="18" xfId="335" applyNumberFormat="1" applyFont="1" applyAlignment="1">
      <alignment horizontal="center" vertical="center"/>
    </xf>
    <xf numFmtId="1" fontId="136" fillId="0" borderId="18" xfId="335" applyNumberFormat="1" applyFont="1" applyAlignment="1">
      <alignment horizontal="center" vertical="center"/>
    </xf>
    <xf numFmtId="0" fontId="144" fillId="0" borderId="18" xfId="0" applyFont="1" applyBorder="1" applyAlignment="1">
      <alignment horizontal="center" vertical="center"/>
    </xf>
    <xf numFmtId="0" fontId="136" fillId="0" borderId="18" xfId="0" applyFont="1" applyBorder="1" applyAlignment="1">
      <alignment horizontal="center" vertical="center"/>
    </xf>
    <xf numFmtId="0" fontId="136" fillId="0" borderId="92" xfId="335" applyFont="1" applyBorder="1" applyAlignment="1">
      <alignment horizontal="center" vertical="center"/>
    </xf>
    <xf numFmtId="0" fontId="136" fillId="0" borderId="127" xfId="335" applyFont="1" applyBorder="1" applyAlignment="1">
      <alignment horizontal="center" vertical="center"/>
    </xf>
    <xf numFmtId="171" fontId="144" fillId="0" borderId="18" xfId="0" applyNumberFormat="1" applyFont="1" applyBorder="1" applyAlignment="1">
      <alignment horizontal="center" vertical="center"/>
    </xf>
    <xf numFmtId="0" fontId="144" fillId="0" borderId="92" xfId="335" applyFont="1" applyBorder="1" applyAlignment="1">
      <alignment horizontal="center" vertical="center"/>
    </xf>
    <xf numFmtId="1" fontId="144" fillId="0" borderId="92" xfId="335" applyNumberFormat="1" applyFont="1" applyBorder="1" applyAlignment="1">
      <alignment horizontal="center" vertical="center"/>
    </xf>
    <xf numFmtId="2" fontId="144" fillId="0" borderId="92" xfId="0" applyNumberFormat="1" applyFont="1" applyBorder="1" applyAlignment="1">
      <alignment horizontal="center" vertical="center"/>
    </xf>
    <xf numFmtId="2" fontId="136" fillId="0" borderId="92" xfId="0" applyNumberFormat="1" applyFont="1" applyBorder="1" applyAlignment="1">
      <alignment horizontal="center" vertical="center"/>
    </xf>
    <xf numFmtId="0" fontId="136" fillId="83" borderId="18" xfId="335" applyFont="1" applyFill="1" applyAlignment="1">
      <alignment horizontal="center" vertical="center"/>
    </xf>
    <xf numFmtId="2" fontId="16" fillId="5" borderId="4" xfId="0" applyNumberFormat="1" applyFont="1" applyFill="1" applyBorder="1" applyAlignment="1">
      <alignment horizontal="center" vertical="center" wrapText="1"/>
    </xf>
    <xf numFmtId="2" fontId="16" fillId="5" borderId="42" xfId="0" applyNumberFormat="1" applyFont="1" applyFill="1" applyBorder="1" applyAlignment="1">
      <alignment horizontal="center" vertical="center" wrapText="1"/>
    </xf>
    <xf numFmtId="171" fontId="8" fillId="0" borderId="82" xfId="335" applyNumberForma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 wrapText="1"/>
    </xf>
    <xf numFmtId="2" fontId="24" fillId="0" borderId="42" xfId="0" applyNumberFormat="1" applyFont="1" applyBorder="1" applyAlignment="1">
      <alignment horizontal="center" vertical="center" wrapText="1"/>
    </xf>
    <xf numFmtId="2" fontId="16" fillId="0" borderId="4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2" fontId="22" fillId="5" borderId="4" xfId="0" applyNumberFormat="1" applyFont="1" applyFill="1" applyBorder="1" applyAlignment="1">
      <alignment horizontal="center" vertical="center" wrapText="1"/>
    </xf>
    <xf numFmtId="169" fontId="9" fillId="6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/>
    <xf numFmtId="0" fontId="34" fillId="0" borderId="82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38" fillId="0" borderId="82" xfId="0" quotePrefix="1" applyFont="1" applyBorder="1" applyAlignment="1">
      <alignment horizontal="center" vertical="center"/>
    </xf>
    <xf numFmtId="16" fontId="38" fillId="0" borderId="82" xfId="0" quotePrefix="1" applyNumberFormat="1" applyFont="1" applyBorder="1" applyAlignment="1">
      <alignment horizontal="center" vertical="center"/>
    </xf>
    <xf numFmtId="16" fontId="5" fillId="0" borderId="82" xfId="0" quotePrefix="1" applyNumberFormat="1" applyFont="1" applyBorder="1" applyAlignment="1">
      <alignment horizontal="center" vertical="center"/>
    </xf>
    <xf numFmtId="0" fontId="5" fillId="0" borderId="82" xfId="0" quotePrefix="1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0" fontId="147" fillId="0" borderId="18" xfId="335" applyFont="1" applyAlignment="1">
      <alignment horizontal="center" vertical="center"/>
    </xf>
    <xf numFmtId="0" fontId="1" fillId="0" borderId="18" xfId="335" applyFont="1"/>
    <xf numFmtId="1" fontId="1" fillId="0" borderId="18" xfId="335" applyNumberFormat="1" applyFont="1"/>
    <xf numFmtId="0" fontId="1" fillId="0" borderId="82" xfId="335" applyFont="1" applyBorder="1" applyAlignment="1">
      <alignment horizontal="center" vertical="center"/>
    </xf>
    <xf numFmtId="0" fontId="8" fillId="82" borderId="82" xfId="335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10" fillId="0" borderId="7" xfId="0" applyFont="1" applyBorder="1"/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/>
    <xf numFmtId="0" fontId="9" fillId="0" borderId="8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8" fillId="5" borderId="16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5" borderId="18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0" fillId="0" borderId="148" xfId="0" applyFont="1" applyBorder="1" applyAlignment="1">
      <alignment horizontal="center" vertical="center"/>
    </xf>
    <xf numFmtId="0" fontId="18" fillId="2" borderId="147" xfId="0" applyFont="1" applyFill="1" applyBorder="1" applyAlignment="1">
      <alignment horizontal="center" vertical="center" wrapText="1"/>
    </xf>
    <xf numFmtId="0" fontId="10" fillId="0" borderId="149" xfId="0" applyFont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0" fontId="19" fillId="2" borderId="145" xfId="0" applyFont="1" applyFill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19" fillId="2" borderId="146" xfId="0" applyFont="1" applyFill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/>
    </xf>
    <xf numFmtId="0" fontId="22" fillId="5" borderId="155" xfId="0" applyFont="1" applyFill="1" applyBorder="1" applyAlignment="1">
      <alignment horizontal="center" vertical="center" wrapText="1"/>
    </xf>
    <xf numFmtId="0" fontId="22" fillId="5" borderId="156" xfId="0" applyFont="1" applyFill="1" applyBorder="1" applyAlignment="1">
      <alignment horizontal="center" vertical="center" wrapText="1"/>
    </xf>
    <xf numFmtId="0" fontId="22" fillId="5" borderId="152" xfId="0" applyFont="1" applyFill="1" applyBorder="1" applyAlignment="1">
      <alignment horizontal="center" vertical="center" wrapText="1"/>
    </xf>
    <xf numFmtId="0" fontId="19" fillId="2" borderId="150" xfId="0" applyFont="1" applyFill="1" applyBorder="1" applyAlignment="1">
      <alignment horizontal="center" vertical="center" wrapText="1"/>
    </xf>
    <xf numFmtId="0" fontId="10" fillId="0" borderId="152" xfId="0" applyFont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22" fillId="0" borderId="155" xfId="0" applyFont="1" applyBorder="1" applyAlignment="1">
      <alignment horizontal="center" vertical="center" wrapText="1"/>
    </xf>
    <xf numFmtId="0" fontId="22" fillId="0" borderId="156" xfId="0" applyFont="1" applyBorder="1" applyAlignment="1">
      <alignment horizontal="center" vertical="center" wrapText="1"/>
    </xf>
    <xf numFmtId="0" fontId="22" fillId="0" borderId="152" xfId="0" applyFont="1" applyBorder="1" applyAlignment="1">
      <alignment horizontal="center" vertical="center" wrapText="1"/>
    </xf>
    <xf numFmtId="0" fontId="16" fillId="5" borderId="74" xfId="0" applyFont="1" applyFill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 wrapText="1"/>
    </xf>
    <xf numFmtId="0" fontId="19" fillId="2" borderId="35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9" fillId="2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11" fillId="0" borderId="160" xfId="0" applyFont="1" applyBorder="1" applyAlignment="1">
      <alignment horizontal="center" vertical="center"/>
    </xf>
    <xf numFmtId="0" fontId="11" fillId="0" borderId="163" xfId="0" applyFont="1" applyBorder="1" applyAlignment="1">
      <alignment horizontal="center" vertical="center"/>
    </xf>
    <xf numFmtId="0" fontId="11" fillId="0" borderId="164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10" fillId="0" borderId="50" xfId="0" applyFont="1" applyBorder="1"/>
    <xf numFmtId="0" fontId="10" fillId="0" borderId="51" xfId="0" applyFont="1" applyBorder="1"/>
    <xf numFmtId="0" fontId="9" fillId="0" borderId="1" xfId="0" applyFont="1" applyBorder="1" applyAlignment="1">
      <alignment horizontal="center"/>
    </xf>
    <xf numFmtId="0" fontId="9" fillId="19" borderId="1" xfId="0" applyFont="1" applyFill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9" fillId="19" borderId="82" xfId="0" applyFont="1" applyFill="1" applyBorder="1" applyAlignment="1">
      <alignment horizontal="center" vertical="center"/>
    </xf>
    <xf numFmtId="0" fontId="9" fillId="0" borderId="82" xfId="0" applyFont="1" applyBorder="1" applyAlignment="1">
      <alignment horizontal="center" vertical="center" wrapText="1"/>
    </xf>
    <xf numFmtId="0" fontId="34" fillId="0" borderId="18" xfId="335" applyFont="1" applyAlignment="1">
      <alignment horizontal="center"/>
    </xf>
    <xf numFmtId="16" fontId="34" fillId="0" borderId="18" xfId="335" applyNumberFormat="1" applyFont="1" applyAlignment="1">
      <alignment horizontal="center"/>
    </xf>
    <xf numFmtId="2" fontId="34" fillId="0" borderId="18" xfId="335" applyNumberFormat="1" applyFont="1" applyAlignment="1">
      <alignment horizontal="center"/>
    </xf>
    <xf numFmtId="1" fontId="8" fillId="0" borderId="18" xfId="335" applyNumberFormat="1" applyAlignment="1">
      <alignment horizontal="center"/>
    </xf>
    <xf numFmtId="0" fontId="8" fillId="0" borderId="18" xfId="335" applyAlignment="1">
      <alignment horizontal="center"/>
    </xf>
    <xf numFmtId="0" fontId="34" fillId="0" borderId="131" xfId="335" applyFont="1" applyBorder="1" applyAlignment="1">
      <alignment horizontal="center"/>
    </xf>
    <xf numFmtId="0" fontId="34" fillId="0" borderId="130" xfId="335" applyFont="1" applyBorder="1" applyAlignment="1">
      <alignment horizontal="center"/>
    </xf>
    <xf numFmtId="0" fontId="34" fillId="0" borderId="130" xfId="335" applyFont="1" applyBorder="1" applyAlignment="1">
      <alignment horizontal="left" vertical="center"/>
    </xf>
    <xf numFmtId="0" fontId="34" fillId="0" borderId="130" xfId="335" applyFont="1" applyBorder="1" applyAlignment="1">
      <alignment horizontal="center" vertical="center"/>
    </xf>
    <xf numFmtId="1" fontId="34" fillId="0" borderId="82" xfId="335" applyNumberFormat="1" applyFont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/>
    </xf>
    <xf numFmtId="1" fontId="34" fillId="0" borderId="130" xfId="335" applyNumberFormat="1" applyFont="1" applyBorder="1" applyAlignment="1">
      <alignment horizontal="center" vertical="center"/>
    </xf>
    <xf numFmtId="0" fontId="8" fillId="0" borderId="82" xfId="335" applyBorder="1" applyAlignment="1">
      <alignment horizontal="center" vertical="center"/>
    </xf>
    <xf numFmtId="0" fontId="8" fillId="0" borderId="130" xfId="335" applyBorder="1" applyAlignment="1">
      <alignment horizontal="center" vertical="center"/>
    </xf>
    <xf numFmtId="0" fontId="8" fillId="0" borderId="84" xfId="335" applyBorder="1" applyAlignment="1">
      <alignment horizontal="center" vertical="center"/>
    </xf>
    <xf numFmtId="0" fontId="8" fillId="0" borderId="115" xfId="335" applyBorder="1" applyAlignment="1">
      <alignment horizontal="center" vertical="center"/>
    </xf>
    <xf numFmtId="0" fontId="8" fillId="0" borderId="88" xfId="335" applyBorder="1" applyAlignment="1">
      <alignment horizontal="center" vertical="center"/>
    </xf>
    <xf numFmtId="0" fontId="8" fillId="0" borderId="87" xfId="335" applyBorder="1" applyAlignment="1">
      <alignment horizontal="center" vertical="center"/>
    </xf>
    <xf numFmtId="0" fontId="8" fillId="0" borderId="135" xfId="335" applyBorder="1" applyAlignment="1">
      <alignment horizontal="center" vertical="center"/>
    </xf>
    <xf numFmtId="0" fontId="8" fillId="0" borderId="85" xfId="335" applyBorder="1" applyAlignment="1">
      <alignment horizontal="center" vertical="center"/>
    </xf>
    <xf numFmtId="0" fontId="8" fillId="0" borderId="84" xfId="335" applyBorder="1" applyAlignment="1">
      <alignment horizontal="center"/>
    </xf>
    <xf numFmtId="0" fontId="8" fillId="0" borderId="115" xfId="335" applyBorder="1" applyAlignment="1">
      <alignment horizontal="center"/>
    </xf>
    <xf numFmtId="0" fontId="8" fillId="0" borderId="88" xfId="335" applyBorder="1" applyAlignment="1">
      <alignment horizontal="center"/>
    </xf>
    <xf numFmtId="0" fontId="8" fillId="0" borderId="87" xfId="335" applyBorder="1" applyAlignment="1">
      <alignment horizontal="center"/>
    </xf>
    <xf numFmtId="0" fontId="8" fillId="0" borderId="135" xfId="335" applyBorder="1" applyAlignment="1">
      <alignment horizontal="center"/>
    </xf>
    <xf numFmtId="0" fontId="8" fillId="0" borderId="85" xfId="335" applyBorder="1" applyAlignment="1">
      <alignment horizontal="center"/>
    </xf>
    <xf numFmtId="0" fontId="142" fillId="0" borderId="116" xfId="335" applyFont="1" applyBorder="1" applyAlignment="1">
      <alignment horizontal="center" vertical="center"/>
    </xf>
    <xf numFmtId="0" fontId="142" fillId="0" borderId="117" xfId="335" applyFont="1" applyBorder="1" applyAlignment="1">
      <alignment horizontal="center" vertical="center"/>
    </xf>
    <xf numFmtId="0" fontId="142" fillId="0" borderId="121" xfId="335" applyFont="1" applyBorder="1" applyAlignment="1">
      <alignment horizontal="center" vertical="center"/>
    </xf>
    <xf numFmtId="0" fontId="142" fillId="0" borderId="82" xfId="335" applyFont="1" applyBorder="1" applyAlignment="1">
      <alignment horizontal="center" vertical="center"/>
    </xf>
    <xf numFmtId="0" fontId="34" fillId="0" borderId="82" xfId="335" applyFont="1" applyBorder="1" applyAlignment="1">
      <alignment horizontal="left" vertical="center"/>
    </xf>
    <xf numFmtId="2" fontId="34" fillId="0" borderId="82" xfId="335" applyNumberFormat="1" applyFont="1" applyBorder="1" applyAlignment="1">
      <alignment horizontal="center" vertical="center"/>
    </xf>
    <xf numFmtId="0" fontId="34" fillId="0" borderId="137" xfId="335" applyFont="1" applyBorder="1" applyAlignment="1">
      <alignment horizontal="center" vertical="center"/>
    </xf>
    <xf numFmtId="0" fontId="34" fillId="0" borderId="125" xfId="335" applyFont="1" applyBorder="1" applyAlignment="1">
      <alignment horizontal="center" vertical="center"/>
    </xf>
    <xf numFmtId="0" fontId="34" fillId="0" borderId="79" xfId="335" applyFont="1" applyBorder="1" applyAlignment="1">
      <alignment horizontal="left" vertical="center"/>
    </xf>
    <xf numFmtId="0" fontId="34" fillId="0" borderId="122" xfId="335" applyFont="1" applyBorder="1" applyAlignment="1">
      <alignment horizontal="left" vertical="center"/>
    </xf>
    <xf numFmtId="0" fontId="8" fillId="86" borderId="82" xfId="335" applyFill="1" applyBorder="1" applyAlignment="1">
      <alignment horizontal="center"/>
    </xf>
    <xf numFmtId="0" fontId="8" fillId="86" borderId="82" xfId="335" applyFill="1" applyBorder="1" applyAlignment="1">
      <alignment horizontal="center" vertical="center"/>
    </xf>
    <xf numFmtId="0" fontId="8" fillId="86" borderId="130" xfId="335" applyFill="1" applyBorder="1" applyAlignment="1">
      <alignment horizontal="center" vertical="center"/>
    </xf>
    <xf numFmtId="0" fontId="34" fillId="0" borderId="82" xfId="335" applyFont="1" applyBorder="1" applyAlignment="1">
      <alignment horizontal="center" vertical="center" wrapText="1"/>
    </xf>
    <xf numFmtId="0" fontId="34" fillId="0" borderId="130" xfId="335" applyFont="1" applyBorder="1" applyAlignment="1">
      <alignment horizontal="center" vertical="center" wrapText="1"/>
    </xf>
    <xf numFmtId="16" fontId="8" fillId="0" borderId="83" xfId="335" applyNumberFormat="1" applyBorder="1" applyAlignment="1">
      <alignment horizontal="center"/>
    </xf>
    <xf numFmtId="0" fontId="8" fillId="0" borderId="83" xfId="335" applyBorder="1" applyAlignment="1">
      <alignment horizontal="center"/>
    </xf>
    <xf numFmtId="0" fontId="34" fillId="85" borderId="82" xfId="335" applyFont="1" applyFill="1" applyBorder="1" applyAlignment="1">
      <alignment horizontal="center" vertical="center"/>
    </xf>
    <xf numFmtId="0" fontId="34" fillId="0" borderId="79" xfId="335" applyFont="1" applyBorder="1" applyAlignment="1">
      <alignment horizontal="center" vertical="center"/>
    </xf>
    <xf numFmtId="0" fontId="34" fillId="0" borderId="122" xfId="335" applyFont="1" applyBorder="1" applyAlignment="1">
      <alignment horizontal="center" vertical="center"/>
    </xf>
    <xf numFmtId="0" fontId="34" fillId="0" borderId="121" xfId="335" applyFont="1" applyBorder="1" applyAlignment="1">
      <alignment horizontal="center"/>
    </xf>
    <xf numFmtId="0" fontId="34" fillId="0" borderId="82" xfId="335" applyFont="1" applyBorder="1" applyAlignment="1">
      <alignment horizontal="center"/>
    </xf>
    <xf numFmtId="0" fontId="34" fillId="0" borderId="124" xfId="335" quotePrefix="1" applyFont="1" applyBorder="1" applyAlignment="1">
      <alignment horizontal="center"/>
    </xf>
    <xf numFmtId="0" fontId="34" fillId="0" borderId="124" xfId="335" applyFont="1" applyBorder="1" applyAlignment="1">
      <alignment horizontal="center"/>
    </xf>
    <xf numFmtId="0" fontId="34" fillId="85" borderId="79" xfId="335" applyFont="1" applyFill="1" applyBorder="1" applyAlignment="1">
      <alignment horizontal="center" vertical="center"/>
    </xf>
    <xf numFmtId="0" fontId="34" fillId="85" borderId="122" xfId="335" applyFont="1" applyFill="1" applyBorder="1" applyAlignment="1">
      <alignment horizontal="center" vertical="center"/>
    </xf>
    <xf numFmtId="0" fontId="34" fillId="85" borderId="121" xfId="335" applyFont="1" applyFill="1" applyBorder="1" applyAlignment="1">
      <alignment horizontal="center"/>
    </xf>
    <xf numFmtId="0" fontId="34" fillId="85" borderId="82" xfId="335" applyFont="1" applyFill="1" applyBorder="1" applyAlignment="1">
      <alignment horizontal="center"/>
    </xf>
    <xf numFmtId="2" fontId="34" fillId="0" borderId="124" xfId="335" quotePrefix="1" applyNumberFormat="1" applyFont="1" applyBorder="1" applyAlignment="1">
      <alignment horizontal="center"/>
    </xf>
    <xf numFmtId="0" fontId="130" fillId="0" borderId="114" xfId="335" applyFont="1" applyBorder="1" applyAlignment="1">
      <alignment horizontal="center"/>
    </xf>
    <xf numFmtId="0" fontId="34" fillId="0" borderId="18" xfId="335" quotePrefix="1" applyFont="1" applyAlignment="1">
      <alignment horizontal="center"/>
    </xf>
    <xf numFmtId="16" fontId="34" fillId="0" borderId="124" xfId="335" quotePrefix="1" applyNumberFormat="1" applyFont="1" applyBorder="1" applyAlignment="1">
      <alignment horizontal="center"/>
    </xf>
    <xf numFmtId="0" fontId="130" fillId="82" borderId="119" xfId="335" applyFont="1" applyFill="1" applyBorder="1" applyAlignment="1">
      <alignment horizontal="center" vertical="center"/>
    </xf>
    <xf numFmtId="0" fontId="130" fillId="82" borderId="86" xfId="335" applyFont="1" applyFill="1" applyBorder="1" applyAlignment="1">
      <alignment horizontal="center" vertical="center"/>
    </xf>
    <xf numFmtId="0" fontId="130" fillId="82" borderId="123" xfId="335" applyFont="1" applyFill="1" applyBorder="1" applyAlignment="1">
      <alignment horizontal="center" vertical="center"/>
    </xf>
    <xf numFmtId="174" fontId="34" fillId="0" borderId="82" xfId="335" applyNumberFormat="1" applyFont="1" applyBorder="1" applyAlignment="1">
      <alignment horizontal="center" vertical="center"/>
    </xf>
    <xf numFmtId="12" fontId="34" fillId="0" borderId="124" xfId="335" quotePrefix="1" applyNumberFormat="1" applyFont="1" applyBorder="1" applyAlignment="1">
      <alignment horizontal="center"/>
    </xf>
    <xf numFmtId="12" fontId="34" fillId="0" borderId="124" xfId="335" applyNumberFormat="1" applyFont="1" applyBorder="1" applyAlignment="1">
      <alignment horizontal="center"/>
    </xf>
    <xf numFmtId="0" fontId="134" fillId="84" borderId="88" xfId="335" applyFont="1" applyFill="1" applyBorder="1" applyAlignment="1">
      <alignment horizontal="center"/>
    </xf>
    <xf numFmtId="0" fontId="134" fillId="84" borderId="18" xfId="335" applyFont="1" applyFill="1" applyAlignment="1">
      <alignment horizontal="center"/>
    </xf>
    <xf numFmtId="0" fontId="34" fillId="0" borderId="18" xfId="335" applyFont="1" applyAlignment="1">
      <alignment horizontal="center" vertical="center"/>
    </xf>
    <xf numFmtId="14" fontId="34" fillId="0" borderId="18" xfId="335" applyNumberFormat="1" applyFont="1" applyAlignment="1">
      <alignment horizontal="center" vertical="center"/>
    </xf>
    <xf numFmtId="0" fontId="131" fillId="0" borderId="117" xfId="335" applyFont="1" applyBorder="1" applyAlignment="1">
      <alignment horizontal="center" vertical="center"/>
    </xf>
    <xf numFmtId="0" fontId="131" fillId="0" borderId="136" xfId="335" applyFont="1" applyBorder="1" applyAlignment="1">
      <alignment horizontal="center" vertical="center"/>
    </xf>
    <xf numFmtId="0" fontId="131" fillId="0" borderId="118" xfId="335" applyFont="1" applyBorder="1" applyAlignment="1">
      <alignment horizontal="center" vertical="center"/>
    </xf>
    <xf numFmtId="14" fontId="34" fillId="0" borderId="82" xfId="335" applyNumberFormat="1" applyFont="1" applyBorder="1" applyAlignment="1">
      <alignment horizontal="center" vertical="center"/>
    </xf>
    <xf numFmtId="14" fontId="34" fillId="0" borderId="79" xfId="335" applyNumberFormat="1" applyFont="1" applyBorder="1" applyAlignment="1">
      <alignment horizontal="center" vertical="center"/>
    </xf>
    <xf numFmtId="14" fontId="34" fillId="0" borderId="122" xfId="335" applyNumberFormat="1" applyFont="1" applyBorder="1" applyAlignment="1">
      <alignment horizontal="center" vertical="center"/>
    </xf>
    <xf numFmtId="0" fontId="34" fillId="0" borderId="18" xfId="335" quotePrefix="1" applyFont="1" applyAlignment="1">
      <alignment horizontal="center" vertical="center"/>
    </xf>
    <xf numFmtId="0" fontId="34" fillId="0" borderId="124" xfId="335" quotePrefix="1" applyFont="1" applyBorder="1" applyAlignment="1">
      <alignment horizontal="center" vertical="center"/>
    </xf>
    <xf numFmtId="16" fontId="8" fillId="0" borderId="18" xfId="335" applyNumberFormat="1" applyAlignment="1">
      <alignment horizontal="center"/>
    </xf>
    <xf numFmtId="0" fontId="8" fillId="0" borderId="124" xfId="335" quotePrefix="1" applyBorder="1" applyAlignment="1">
      <alignment horizontal="center"/>
    </xf>
    <xf numFmtId="0" fontId="8" fillId="0" borderId="124" xfId="335" applyBorder="1" applyAlignment="1">
      <alignment horizontal="center"/>
    </xf>
    <xf numFmtId="2" fontId="34" fillId="0" borderId="18" xfId="335" quotePrefix="1" applyNumberFormat="1" applyFont="1" applyAlignment="1">
      <alignment horizontal="center"/>
    </xf>
    <xf numFmtId="2" fontId="34" fillId="0" borderId="124" xfId="335" applyNumberFormat="1" applyFont="1" applyBorder="1" applyAlignment="1">
      <alignment horizontal="center"/>
    </xf>
    <xf numFmtId="2" fontId="8" fillId="0" borderId="83" xfId="335" applyNumberFormat="1" applyBorder="1" applyAlignment="1">
      <alignment horizontal="center"/>
    </xf>
    <xf numFmtId="1" fontId="8" fillId="0" borderId="83" xfId="335" applyNumberFormat="1" applyBorder="1" applyAlignment="1">
      <alignment horizontal="center"/>
    </xf>
    <xf numFmtId="0" fontId="34" fillId="0" borderId="83" xfId="335" applyFont="1" applyBorder="1" applyAlignment="1">
      <alignment horizontal="center"/>
    </xf>
    <xf numFmtId="0" fontId="136" fillId="0" borderId="82" xfId="335" applyFont="1" applyBorder="1" applyAlignment="1">
      <alignment horizontal="center" vertical="center" wrapText="1"/>
    </xf>
    <xf numFmtId="0" fontId="136" fillId="0" borderId="130" xfId="335" applyFont="1" applyBorder="1" applyAlignment="1">
      <alignment horizontal="center" vertical="center" wrapText="1"/>
    </xf>
    <xf numFmtId="0" fontId="34" fillId="0" borderId="119" xfId="335" applyFont="1" applyBorder="1" applyAlignment="1">
      <alignment horizontal="center"/>
    </xf>
    <xf numFmtId="0" fontId="34" fillId="0" borderId="86" xfId="335" applyFont="1" applyBorder="1" applyAlignment="1">
      <alignment horizontal="center"/>
    </xf>
    <xf numFmtId="0" fontId="34" fillId="0" borderId="123" xfId="335" applyFont="1" applyBorder="1" applyAlignment="1">
      <alignment horizontal="center"/>
    </xf>
    <xf numFmtId="0" fontId="34" fillId="0" borderId="126" xfId="335" applyFont="1" applyBorder="1" applyAlignment="1">
      <alignment horizontal="center"/>
    </xf>
    <xf numFmtId="0" fontId="34" fillId="0" borderId="104" xfId="335" applyFont="1" applyBorder="1" applyAlignment="1">
      <alignment horizontal="center"/>
    </xf>
    <xf numFmtId="0" fontId="8" fillId="0" borderId="82" xfId="335" applyBorder="1" applyAlignment="1">
      <alignment horizontal="center"/>
    </xf>
    <xf numFmtId="0" fontId="8" fillId="0" borderId="130" xfId="335" applyBorder="1" applyAlignment="1">
      <alignment horizontal="center"/>
    </xf>
    <xf numFmtId="0" fontId="136" fillId="86" borderId="133" xfId="335" applyFont="1" applyFill="1" applyBorder="1" applyAlignment="1">
      <alignment horizontal="left"/>
    </xf>
    <xf numFmtId="0" fontId="136" fillId="86" borderId="80" xfId="335" applyFont="1" applyFill="1" applyBorder="1" applyAlignment="1">
      <alignment horizontal="left"/>
    </xf>
    <xf numFmtId="0" fontId="136" fillId="86" borderId="81" xfId="335" applyFont="1" applyFill="1" applyBorder="1" applyAlignment="1">
      <alignment horizontal="left"/>
    </xf>
    <xf numFmtId="0" fontId="8" fillId="86" borderId="133" xfId="335" applyFill="1" applyBorder="1" applyAlignment="1">
      <alignment horizontal="center"/>
    </xf>
    <xf numFmtId="0" fontId="8" fillId="86" borderId="80" xfId="335" applyFill="1" applyBorder="1" applyAlignment="1">
      <alignment horizontal="center"/>
    </xf>
    <xf numFmtId="0" fontId="8" fillId="86" borderId="81" xfId="335" applyFill="1" applyBorder="1" applyAlignment="1">
      <alignment horizontal="center"/>
    </xf>
    <xf numFmtId="0" fontId="136" fillId="86" borderId="91" xfId="335" applyFont="1" applyFill="1" applyBorder="1" applyAlignment="1">
      <alignment horizontal="left"/>
    </xf>
    <xf numFmtId="0" fontId="136" fillId="86" borderId="18" xfId="335" applyFont="1" applyFill="1" applyAlignment="1">
      <alignment horizontal="left"/>
    </xf>
    <xf numFmtId="0" fontId="136" fillId="86" borderId="87" xfId="335" applyFont="1" applyFill="1" applyBorder="1" applyAlignment="1">
      <alignment horizontal="left"/>
    </xf>
    <xf numFmtId="0" fontId="8" fillId="86" borderId="130" xfId="335" applyFill="1" applyBorder="1" applyAlignment="1">
      <alignment horizontal="center"/>
    </xf>
    <xf numFmtId="16" fontId="8" fillId="83" borderId="18" xfId="335" applyNumberFormat="1" applyFill="1" applyAlignment="1">
      <alignment horizontal="center"/>
    </xf>
    <xf numFmtId="0" fontId="8" fillId="83" borderId="18" xfId="335" applyFill="1" applyAlignment="1">
      <alignment horizontal="center"/>
    </xf>
    <xf numFmtId="16" fontId="8" fillId="0" borderId="124" xfId="335" quotePrefix="1" applyNumberFormat="1" applyBorder="1" applyAlignment="1">
      <alignment horizontal="center"/>
    </xf>
    <xf numFmtId="0" fontId="8" fillId="83" borderId="124" xfId="335" quotePrefix="1" applyFill="1" applyBorder="1" applyAlignment="1">
      <alignment horizontal="center"/>
    </xf>
    <xf numFmtId="0" fontId="8" fillId="83" borderId="124" xfId="335" applyFill="1" applyBorder="1" applyAlignment="1">
      <alignment horizontal="center"/>
    </xf>
    <xf numFmtId="0" fontId="139" fillId="0" borderId="124" xfId="335" applyFont="1" applyBorder="1" applyAlignment="1">
      <alignment horizontal="center"/>
    </xf>
    <xf numFmtId="1" fontId="139" fillId="0" borderId="124" xfId="335" applyNumberFormat="1" applyFont="1" applyBorder="1" applyAlignment="1">
      <alignment horizontal="center"/>
    </xf>
    <xf numFmtId="0" fontId="139" fillId="0" borderId="18" xfId="335" applyFont="1" applyAlignment="1">
      <alignment horizontal="center"/>
    </xf>
    <xf numFmtId="2" fontId="8" fillId="0" borderId="18" xfId="335" applyNumberFormat="1" applyAlignment="1">
      <alignment horizontal="center"/>
    </xf>
    <xf numFmtId="1" fontId="34" fillId="0" borderId="124" xfId="335" applyNumberFormat="1" applyFont="1" applyBorder="1" applyAlignment="1">
      <alignment horizontal="center" vertical="center"/>
    </xf>
    <xf numFmtId="14" fontId="34" fillId="0" borderId="120" xfId="335" applyNumberFormat="1" applyFont="1" applyBorder="1" applyAlignment="1">
      <alignment horizontal="center" vertical="center"/>
    </xf>
    <xf numFmtId="14" fontId="34" fillId="0" borderId="129" xfId="335" applyNumberFormat="1" applyFont="1" applyBorder="1" applyAlignment="1">
      <alignment horizontal="center" vertical="center"/>
    </xf>
    <xf numFmtId="0" fontId="34" fillId="0" borderId="83" xfId="335" applyFont="1" applyBorder="1" applyAlignment="1">
      <alignment horizontal="center" vertical="center"/>
    </xf>
    <xf numFmtId="16" fontId="34" fillId="0" borderId="18" xfId="335" quotePrefix="1" applyNumberFormat="1" applyFont="1" applyAlignment="1">
      <alignment horizontal="center" vertical="center"/>
    </xf>
    <xf numFmtId="0" fontId="130" fillId="0" borderId="119" xfId="335" applyFont="1" applyBorder="1" applyAlignment="1">
      <alignment horizontal="center" vertical="center"/>
    </xf>
    <xf numFmtId="0" fontId="130" fillId="0" borderId="86" xfId="335" applyFont="1" applyBorder="1" applyAlignment="1">
      <alignment horizontal="center" vertical="center"/>
    </xf>
    <xf numFmtId="0" fontId="130" fillId="0" borderId="123" xfId="335" applyFont="1" applyBorder="1" applyAlignment="1">
      <alignment horizontal="center" vertical="center"/>
    </xf>
    <xf numFmtId="0" fontId="130" fillId="0" borderId="120" xfId="335" applyFont="1" applyBorder="1" applyAlignment="1">
      <alignment horizontal="center" vertical="center"/>
    </xf>
    <xf numFmtId="0" fontId="34" fillId="0" borderId="120" xfId="335" applyFont="1" applyBorder="1" applyAlignment="1">
      <alignment horizontal="center" vertical="center"/>
    </xf>
    <xf numFmtId="17" fontId="34" fillId="0" borderId="18" xfId="335" quotePrefix="1" applyNumberFormat="1" applyFont="1" applyAlignment="1">
      <alignment horizontal="center" vertical="center"/>
    </xf>
    <xf numFmtId="16" fontId="34" fillId="0" borderId="124" xfId="335" quotePrefix="1" applyNumberFormat="1" applyFont="1" applyBorder="1" applyAlignment="1">
      <alignment horizontal="center" vertical="center"/>
    </xf>
    <xf numFmtId="0" fontId="34" fillId="0" borderId="124" xfId="335" applyFont="1" applyBorder="1" applyAlignment="1">
      <alignment horizontal="center" vertical="center"/>
    </xf>
    <xf numFmtId="0" fontId="34" fillId="0" borderId="104" xfId="335" applyFont="1" applyBorder="1" applyAlignment="1">
      <alignment horizontal="center" vertical="center"/>
    </xf>
    <xf numFmtId="0" fontId="136" fillId="86" borderId="91" xfId="335" applyFont="1" applyFill="1" applyBorder="1" applyAlignment="1">
      <alignment horizontal="center" vertical="center"/>
    </xf>
    <xf numFmtId="0" fontId="136" fillId="86" borderId="18" xfId="335" applyFont="1" applyFill="1" applyAlignment="1">
      <alignment horizontal="center" vertical="center"/>
    </xf>
    <xf numFmtId="0" fontId="136" fillId="86" borderId="87" xfId="335" applyFont="1" applyFill="1" applyBorder="1" applyAlignment="1">
      <alignment horizontal="center" vertical="center"/>
    </xf>
    <xf numFmtId="0" fontId="34" fillId="0" borderId="121" xfId="335" applyFont="1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8" fillId="0" borderId="83" xfId="335" applyBorder="1" applyAlignment="1">
      <alignment horizontal="center" vertical="center"/>
    </xf>
    <xf numFmtId="0" fontId="34" fillId="0" borderId="126" xfId="335" applyFont="1" applyBorder="1" applyAlignment="1">
      <alignment horizontal="center" vertical="center"/>
    </xf>
    <xf numFmtId="0" fontId="34" fillId="0" borderId="127" xfId="335" applyFont="1" applyBorder="1" applyAlignment="1">
      <alignment horizontal="center" vertical="center"/>
    </xf>
    <xf numFmtId="0" fontId="136" fillId="86" borderId="133" xfId="335" applyFont="1" applyFill="1" applyBorder="1" applyAlignment="1">
      <alignment horizontal="center" vertical="center"/>
    </xf>
    <xf numFmtId="0" fontId="136" fillId="86" borderId="80" xfId="335" applyFont="1" applyFill="1" applyBorder="1" applyAlignment="1">
      <alignment horizontal="center" vertical="center"/>
    </xf>
    <xf numFmtId="0" fontId="136" fillId="86" borderId="81" xfId="335" applyFont="1" applyFill="1" applyBorder="1" applyAlignment="1">
      <alignment horizontal="center" vertical="center"/>
    </xf>
    <xf numFmtId="0" fontId="142" fillId="0" borderId="91" xfId="335" applyFont="1" applyBorder="1" applyAlignment="1">
      <alignment horizontal="center" vertical="center"/>
    </xf>
    <xf numFmtId="0" fontId="142" fillId="0" borderId="18" xfId="335" applyFont="1" applyAlignment="1">
      <alignment horizontal="center" vertical="center"/>
    </xf>
    <xf numFmtId="0" fontId="142" fillId="0" borderId="132" xfId="335" applyFont="1" applyBorder="1" applyAlignment="1">
      <alignment horizontal="center" vertical="center"/>
    </xf>
    <xf numFmtId="0" fontId="142" fillId="0" borderId="83" xfId="335" applyFont="1" applyBorder="1" applyAlignment="1">
      <alignment horizontal="center" vertical="center"/>
    </xf>
    <xf numFmtId="0" fontId="131" fillId="0" borderId="114" xfId="335" applyFont="1" applyBorder="1" applyAlignment="1">
      <alignment horizontal="center" vertical="center"/>
    </xf>
    <xf numFmtId="0" fontId="131" fillId="0" borderId="138" xfId="335" applyFont="1" applyBorder="1" applyAlignment="1">
      <alignment horizontal="center" vertical="center"/>
    </xf>
    <xf numFmtId="177" fontId="34" fillId="0" borderId="82" xfId="335" applyNumberFormat="1" applyFont="1" applyBorder="1" applyAlignment="1">
      <alignment horizontal="center" vertical="center"/>
    </xf>
    <xf numFmtId="177" fontId="34" fillId="0" borderId="122" xfId="335" applyNumberFormat="1" applyFont="1" applyBorder="1" applyAlignment="1">
      <alignment horizontal="center" vertical="center"/>
    </xf>
    <xf numFmtId="0" fontId="34" fillId="85" borderId="121" xfId="335" applyFont="1" applyFill="1" applyBorder="1" applyAlignment="1">
      <alignment horizontal="center" vertical="center"/>
    </xf>
    <xf numFmtId="1" fontId="34" fillId="0" borderId="79" xfId="335" applyNumberFormat="1" applyFont="1" applyBorder="1" applyAlignment="1">
      <alignment horizontal="center" vertical="center"/>
    </xf>
    <xf numFmtId="1" fontId="34" fillId="0" borderId="80" xfId="335" applyNumberFormat="1" applyFont="1" applyBorder="1" applyAlignment="1">
      <alignment horizontal="center" vertical="center"/>
    </xf>
    <xf numFmtId="1" fontId="34" fillId="0" borderId="81" xfId="335" applyNumberFormat="1" applyFont="1" applyBorder="1" applyAlignment="1">
      <alignment horizontal="center" vertical="center"/>
    </xf>
    <xf numFmtId="0" fontId="8" fillId="0" borderId="124" xfId="335" applyBorder="1" applyAlignment="1">
      <alignment horizontal="center" vertical="center"/>
    </xf>
    <xf numFmtId="16" fontId="8" fillId="0" borderId="124" xfId="335" quotePrefix="1" applyNumberFormat="1" applyBorder="1" applyAlignment="1">
      <alignment horizontal="center" vertical="center"/>
    </xf>
    <xf numFmtId="0" fontId="8" fillId="83" borderId="124" xfId="335" quotePrefix="1" applyFill="1" applyBorder="1" applyAlignment="1">
      <alignment horizontal="center" vertical="center"/>
    </xf>
    <xf numFmtId="0" fontId="8" fillId="83" borderId="124" xfId="335" applyFill="1" applyBorder="1" applyAlignment="1">
      <alignment horizontal="center" vertical="center"/>
    </xf>
    <xf numFmtId="0" fontId="34" fillId="0" borderId="80" xfId="335" applyFont="1" applyBorder="1" applyAlignment="1">
      <alignment horizontal="center" vertical="center"/>
    </xf>
    <xf numFmtId="0" fontId="34" fillId="0" borderId="134" xfId="335" applyFont="1" applyBorder="1" applyAlignment="1">
      <alignment horizontal="center" vertical="center"/>
    </xf>
    <xf numFmtId="171" fontId="34" fillId="0" borderId="82" xfId="335" applyNumberFormat="1" applyFont="1" applyBorder="1" applyAlignment="1">
      <alignment horizontal="center" vertical="center"/>
    </xf>
    <xf numFmtId="1" fontId="8" fillId="0" borderId="18" xfId="335" applyNumberFormat="1" applyAlignment="1">
      <alignment horizontal="center" vertical="center"/>
    </xf>
    <xf numFmtId="0" fontId="34" fillId="0" borderId="128" xfId="335" applyFont="1" applyBorder="1" applyAlignment="1">
      <alignment horizontal="center" vertical="center"/>
    </xf>
    <xf numFmtId="0" fontId="34" fillId="0" borderId="129" xfId="335" applyFont="1" applyBorder="1" applyAlignment="1">
      <alignment horizontal="center" vertical="center"/>
    </xf>
    <xf numFmtId="0" fontId="34" fillId="0" borderId="18" xfId="335" applyFont="1" applyAlignment="1">
      <alignment horizontal="center" vertical="center" wrapText="1"/>
    </xf>
    <xf numFmtId="0" fontId="34" fillId="0" borderId="131" xfId="335" applyFont="1" applyBorder="1" applyAlignment="1">
      <alignment horizontal="center" vertical="center"/>
    </xf>
    <xf numFmtId="0" fontId="8" fillId="0" borderId="18" xfId="335" applyAlignment="1">
      <alignment horizontal="center" vertical="center"/>
    </xf>
    <xf numFmtId="16" fontId="8" fillId="83" borderId="18" xfId="335" applyNumberFormat="1" applyFill="1" applyAlignment="1">
      <alignment horizontal="center" vertical="center"/>
    </xf>
    <xf numFmtId="0" fontId="8" fillId="83" borderId="18" xfId="335" applyFill="1" applyAlignment="1">
      <alignment horizontal="center" vertical="center"/>
    </xf>
    <xf numFmtId="0" fontId="136" fillId="0" borderId="130" xfId="335" applyFont="1" applyBorder="1" applyAlignment="1">
      <alignment horizontal="center" vertical="center"/>
    </xf>
    <xf numFmtId="0" fontId="8" fillId="86" borderId="133" xfId="335" applyFill="1" applyBorder="1" applyAlignment="1">
      <alignment horizontal="center" vertical="center"/>
    </xf>
    <xf numFmtId="0" fontId="8" fillId="86" borderId="80" xfId="335" applyFill="1" applyBorder="1" applyAlignment="1">
      <alignment horizontal="center" vertical="center"/>
    </xf>
    <xf numFmtId="0" fontId="8" fillId="86" borderId="81" xfId="335" applyFill="1" applyBorder="1" applyAlignment="1">
      <alignment horizontal="center" vertical="center"/>
    </xf>
    <xf numFmtId="16" fontId="8" fillId="0" borderId="83" xfId="335" applyNumberForma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0" fillId="0" borderId="40" xfId="0" applyFont="1" applyBorder="1"/>
    <xf numFmtId="0" fontId="10" fillId="0" borderId="37" xfId="0" applyFont="1" applyBorder="1"/>
    <xf numFmtId="0" fontId="11" fillId="0" borderId="74" xfId="0" applyFont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/>
    </xf>
    <xf numFmtId="0" fontId="10" fillId="0" borderId="71" xfId="0" applyFont="1" applyBorder="1"/>
    <xf numFmtId="0" fontId="10" fillId="0" borderId="72" xfId="0" applyFont="1" applyBorder="1"/>
    <xf numFmtId="0" fontId="9" fillId="2" borderId="25" xfId="0" applyFont="1" applyFill="1" applyBorder="1" applyAlignment="1">
      <alignment horizontal="center"/>
    </xf>
    <xf numFmtId="0" fontId="10" fillId="0" borderId="26" xfId="0" applyFont="1" applyBorder="1"/>
    <xf numFmtId="0" fontId="10" fillId="0" borderId="27" xfId="0" applyFont="1" applyBorder="1"/>
    <xf numFmtId="0" fontId="9" fillId="21" borderId="70" xfId="0" applyFont="1" applyFill="1" applyBorder="1" applyAlignment="1">
      <alignment horizontal="center" vertical="center"/>
    </xf>
    <xf numFmtId="0" fontId="24" fillId="22" borderId="76" xfId="0" applyFont="1" applyFill="1" applyBorder="1" applyAlignment="1">
      <alignment horizontal="center" vertical="center" wrapText="1"/>
    </xf>
    <xf numFmtId="0" fontId="10" fillId="0" borderId="36" xfId="0" applyFont="1" applyBorder="1"/>
    <xf numFmtId="0" fontId="24" fillId="22" borderId="77" xfId="0" applyFont="1" applyFill="1" applyBorder="1" applyAlignment="1">
      <alignment horizontal="center" vertical="center"/>
    </xf>
    <xf numFmtId="0" fontId="24" fillId="22" borderId="77" xfId="0" applyFont="1" applyFill="1" applyBorder="1" applyAlignment="1">
      <alignment horizontal="center" vertical="center" wrapText="1"/>
    </xf>
    <xf numFmtId="0" fontId="24" fillId="22" borderId="73" xfId="0" applyFont="1" applyFill="1" applyBorder="1" applyAlignment="1">
      <alignment horizontal="center" vertical="center" wrapText="1"/>
    </xf>
    <xf numFmtId="0" fontId="24" fillId="22" borderId="78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176" fontId="11" fillId="0" borderId="74" xfId="0" applyNumberFormat="1" applyFont="1" applyBorder="1" applyAlignment="1">
      <alignment horizontal="center" vertical="center" wrapText="1"/>
    </xf>
    <xf numFmtId="176" fontId="24" fillId="0" borderId="74" xfId="0" applyNumberFormat="1" applyFont="1" applyBorder="1" applyAlignment="1">
      <alignment horizontal="center" vertical="center" wrapText="1"/>
    </xf>
    <xf numFmtId="176" fontId="24" fillId="0" borderId="37" xfId="0" applyNumberFormat="1" applyFont="1" applyBorder="1" applyAlignment="1">
      <alignment horizontal="center" vertical="center" wrapText="1"/>
    </xf>
    <xf numFmtId="176" fontId="24" fillId="0" borderId="40" xfId="0" applyNumberFormat="1" applyFont="1" applyBorder="1" applyAlignment="1">
      <alignment horizontal="center" vertical="center" wrapText="1"/>
    </xf>
    <xf numFmtId="172" fontId="24" fillId="0" borderId="8" xfId="0" applyNumberFormat="1" applyFont="1" applyBorder="1" applyAlignment="1">
      <alignment horizontal="center" vertical="center"/>
    </xf>
    <xf numFmtId="0" fontId="3" fillId="0" borderId="82" xfId="0" applyFont="1" applyFill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">
        <v>0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1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302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6"/>
    </row>
    <row r="2" spans="1:26" ht="14.25" customHeight="1">
      <c r="A2" s="534" t="s">
        <v>296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6"/>
    </row>
    <row r="3" spans="1:26" ht="30" customHeight="1">
      <c r="A3" s="545" t="s">
        <v>2</v>
      </c>
      <c r="B3" s="545" t="s">
        <v>3</v>
      </c>
      <c r="C3" s="545" t="s">
        <v>4</v>
      </c>
      <c r="D3" s="2" t="s">
        <v>5</v>
      </c>
      <c r="E3" s="2" t="s">
        <v>6</v>
      </c>
      <c r="F3" s="537" t="s">
        <v>7</v>
      </c>
      <c r="G3" s="535"/>
      <c r="H3" s="535"/>
      <c r="I3" s="536"/>
      <c r="J3" s="2" t="s">
        <v>8</v>
      </c>
      <c r="K3" s="537" t="s">
        <v>9</v>
      </c>
      <c r="L3" s="535"/>
      <c r="M3" s="535"/>
      <c r="N3" s="536"/>
      <c r="O3" s="2" t="s">
        <v>10</v>
      </c>
      <c r="P3" s="4" t="s">
        <v>11</v>
      </c>
      <c r="Q3" s="538" t="s">
        <v>12</v>
      </c>
      <c r="R3" s="535"/>
      <c r="S3" s="536"/>
      <c r="T3" s="539" t="s">
        <v>13</v>
      </c>
      <c r="U3" s="535"/>
      <c r="V3" s="536"/>
      <c r="W3" s="540" t="s">
        <v>14</v>
      </c>
      <c r="X3" s="541"/>
      <c r="Y3" s="542"/>
      <c r="Z3" s="543" t="s">
        <v>15</v>
      </c>
    </row>
    <row r="4" spans="1:26" ht="22.5" customHeight="1">
      <c r="A4" s="544"/>
      <c r="B4" s="544"/>
      <c r="C4" s="5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R14" sqref="R14:R16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46" t="s">
        <v>345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8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49" t="s">
        <v>346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350"/>
      <c r="O2" s="551" t="s">
        <v>347</v>
      </c>
      <c r="P2" s="550"/>
      <c r="Q2" s="55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52" t="s">
        <v>348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3"/>
      <c r="N3" s="554"/>
      <c r="O3" s="555" t="s">
        <v>349</v>
      </c>
      <c r="P3" s="550"/>
      <c r="Q3" s="55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62" t="s">
        <v>350</v>
      </c>
      <c r="B4" s="557"/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351"/>
      <c r="N4" s="351"/>
      <c r="O4" s="556" t="s">
        <v>351</v>
      </c>
      <c r="P4" s="557"/>
      <c r="Q4" s="557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3" t="s">
        <v>353</v>
      </c>
      <c r="B5" s="547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64"/>
      <c r="Q5" s="410" t="s">
        <v>354</v>
      </c>
      <c r="R5" s="411">
        <v>46110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65" t="s">
        <v>355</v>
      </c>
      <c r="B6" s="567" t="s">
        <v>356</v>
      </c>
      <c r="C6" s="567" t="s">
        <v>357</v>
      </c>
      <c r="D6" s="567" t="s">
        <v>358</v>
      </c>
      <c r="E6" s="558" t="s">
        <v>359</v>
      </c>
      <c r="F6" s="559"/>
      <c r="G6" s="558" t="s">
        <v>360</v>
      </c>
      <c r="H6" s="559"/>
      <c r="I6" s="560" t="s">
        <v>743</v>
      </c>
      <c r="J6" s="561"/>
      <c r="K6" s="559"/>
      <c r="L6" s="558" t="s">
        <v>361</v>
      </c>
      <c r="M6" s="561"/>
      <c r="N6" s="559"/>
      <c r="O6" s="558" t="s">
        <v>362</v>
      </c>
      <c r="P6" s="561"/>
      <c r="Q6" s="559"/>
      <c r="R6" s="572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66"/>
      <c r="B7" s="568"/>
      <c r="C7" s="568"/>
      <c r="D7" s="568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3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13" t="s">
        <v>752</v>
      </c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194</v>
      </c>
      <c r="I10" s="83">
        <v>4</v>
      </c>
      <c r="J10" s="81">
        <v>0</v>
      </c>
      <c r="K10" s="84">
        <v>0</v>
      </c>
      <c r="L10" s="79">
        <v>199</v>
      </c>
      <c r="M10" s="81">
        <f>'Progress-220kV'!AM407-2</f>
        <v>195</v>
      </c>
      <c r="N10" s="79">
        <f>D10-M10</f>
        <v>4</v>
      </c>
      <c r="O10" s="574">
        <v>0</v>
      </c>
      <c r="P10" s="574">
        <v>0</v>
      </c>
      <c r="Q10" s="575">
        <f t="shared" si="1"/>
        <v>0</v>
      </c>
      <c r="R10" s="576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194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'Progress-220kV'!AV407-2</f>
        <v>195</v>
      </c>
      <c r="N11" s="79">
        <f>D11-M11</f>
        <v>4</v>
      </c>
      <c r="O11" s="568"/>
      <c r="P11" s="568"/>
      <c r="Q11" s="568"/>
      <c r="R11" s="577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194</v>
      </c>
      <c r="I12" s="83">
        <v>5</v>
      </c>
      <c r="J12" s="83">
        <v>1</v>
      </c>
      <c r="K12" s="79">
        <f>M12-H12</f>
        <v>1</v>
      </c>
      <c r="L12" s="79">
        <v>199</v>
      </c>
      <c r="M12" s="81">
        <f>'Progress-220kV'!BB407-2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78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'Progress-220kV'!BI5</f>
        <v>182</v>
      </c>
      <c r="N13" s="79">
        <f>D13-M13</f>
        <v>17</v>
      </c>
      <c r="O13" s="78">
        <v>1</v>
      </c>
      <c r="P13" s="78">
        <v>0</v>
      </c>
      <c r="Q13" s="78">
        <f t="shared" si="3"/>
        <v>1</v>
      </c>
      <c r="R13" s="414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69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58.5</v>
      </c>
      <c r="I15" s="83">
        <f>G15-H15</f>
        <v>5.5</v>
      </c>
      <c r="J15" s="91">
        <v>0</v>
      </c>
      <c r="K15" s="513">
        <f>M15-H15</f>
        <v>1.5565399999999912</v>
      </c>
      <c r="L15" s="79">
        <v>64</v>
      </c>
      <c r="M15" s="510">
        <f>'Stringing-220kV'!I3</f>
        <v>60.056539999999991</v>
      </c>
      <c r="N15" s="505">
        <f>D15-M15</f>
        <v>3.9434600000000088</v>
      </c>
      <c r="O15" s="575">
        <v>2</v>
      </c>
      <c r="P15" s="574">
        <v>1</v>
      </c>
      <c r="Q15" s="575">
        <f>+O15-P15</f>
        <v>1</v>
      </c>
      <c r="R15" s="570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57.4</v>
      </c>
      <c r="I16" s="83">
        <v>7</v>
      </c>
      <c r="J16" s="91">
        <v>0</v>
      </c>
      <c r="K16" s="513">
        <f>M16-H16</f>
        <v>2.6565399999999926</v>
      </c>
      <c r="L16" s="79">
        <v>64</v>
      </c>
      <c r="M16" s="510">
        <f>'Stringing-220kV'!L3</f>
        <v>60.056539999999991</v>
      </c>
      <c r="N16" s="505">
        <f t="shared" ref="N16:N17" si="5">D16-M16</f>
        <v>3.9434600000000088</v>
      </c>
      <c r="O16" s="568"/>
      <c r="P16" s="568"/>
      <c r="Q16" s="568"/>
      <c r="R16" s="571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5" t="s">
        <v>389</v>
      </c>
      <c r="B17" s="416" t="s">
        <v>390</v>
      </c>
      <c r="C17" s="417" t="s">
        <v>377</v>
      </c>
      <c r="D17" s="418">
        <v>64</v>
      </c>
      <c r="E17" s="419">
        <v>45627</v>
      </c>
      <c r="F17" s="419">
        <v>45777</v>
      </c>
      <c r="G17" s="420">
        <v>64</v>
      </c>
      <c r="H17" s="421">
        <v>39.299999999999997</v>
      </c>
      <c r="I17" s="421">
        <v>25</v>
      </c>
      <c r="J17" s="422">
        <v>0</v>
      </c>
      <c r="K17" s="423">
        <f>M17-H17</f>
        <v>14.421835000000002</v>
      </c>
      <c r="L17" s="418">
        <v>64</v>
      </c>
      <c r="M17" s="420">
        <f>'Stringing-220kV'!X3</f>
        <v>53.721834999999999</v>
      </c>
      <c r="N17" s="418">
        <f t="shared" si="5"/>
        <v>10.278165000000001</v>
      </c>
      <c r="O17" s="417">
        <v>1</v>
      </c>
      <c r="P17" s="424">
        <v>0</v>
      </c>
      <c r="Q17" s="417">
        <f>+O17-P17</f>
        <v>1</v>
      </c>
      <c r="R17" s="425" t="s">
        <v>749</v>
      </c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88" t="s">
        <v>391</v>
      </c>
      <c r="B19" s="589"/>
      <c r="C19" s="589"/>
      <c r="D19" s="589"/>
      <c r="E19" s="589"/>
      <c r="F19" s="589"/>
      <c r="G19" s="589"/>
      <c r="H19" s="589"/>
      <c r="I19" s="589"/>
      <c r="J19" s="589"/>
      <c r="K19" s="589"/>
      <c r="L19" s="589"/>
      <c r="M19" s="589"/>
      <c r="N19" s="589"/>
      <c r="O19" s="589"/>
      <c r="P19" s="590"/>
      <c r="Q19" s="74" t="s">
        <v>354</v>
      </c>
      <c r="R19" s="75">
        <f>+R5</f>
        <v>46110</v>
      </c>
    </row>
    <row r="20" spans="1:18" ht="30" customHeight="1">
      <c r="A20" s="591" t="s">
        <v>355</v>
      </c>
      <c r="B20" s="593" t="s">
        <v>356</v>
      </c>
      <c r="C20" s="593" t="s">
        <v>357</v>
      </c>
      <c r="D20" s="593" t="s">
        <v>358</v>
      </c>
      <c r="E20" s="585" t="s">
        <v>359</v>
      </c>
      <c r="F20" s="586"/>
      <c r="G20" s="585" t="s">
        <v>360</v>
      </c>
      <c r="H20" s="586"/>
      <c r="I20" s="585" t="str">
        <f>+I6</f>
        <v>Progress of Current Month (March'26)</v>
      </c>
      <c r="J20" s="587"/>
      <c r="K20" s="586"/>
      <c r="L20" s="585" t="s">
        <v>361</v>
      </c>
      <c r="M20" s="587"/>
      <c r="N20" s="586"/>
      <c r="O20" s="585" t="s">
        <v>362</v>
      </c>
      <c r="P20" s="587"/>
      <c r="Q20" s="586"/>
      <c r="R20" s="581" t="s">
        <v>363</v>
      </c>
    </row>
    <row r="21" spans="1:18" ht="12.75" customHeight="1">
      <c r="A21" s="592"/>
      <c r="B21" s="584"/>
      <c r="C21" s="584"/>
      <c r="D21" s="58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2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6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7">M23-H23</f>
        <v>0</v>
      </c>
      <c r="L23" s="79">
        <v>9</v>
      </c>
      <c r="M23" s="79">
        <v>9</v>
      </c>
      <c r="N23" s="79">
        <f t="shared" ref="N23:N27" si="8">D23-M23</f>
        <v>0</v>
      </c>
      <c r="O23" s="78"/>
      <c r="P23" s="78"/>
      <c r="Q23" s="78">
        <f t="shared" si="6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27</v>
      </c>
      <c r="I24" s="83">
        <v>12</v>
      </c>
      <c r="J24" s="81">
        <v>0</v>
      </c>
      <c r="K24" s="84">
        <f>M24-H24</f>
        <v>4</v>
      </c>
      <c r="L24" s="79">
        <v>39</v>
      </c>
      <c r="M24" s="81">
        <f>'Progress-132kV'!AF87</f>
        <v>31</v>
      </c>
      <c r="N24" s="79">
        <f>D24-M24</f>
        <v>8</v>
      </c>
      <c r="O24" s="82">
        <v>1</v>
      </c>
      <c r="P24" s="82">
        <v>1</v>
      </c>
      <c r="Q24" s="82">
        <f>O24-P24</f>
        <v>0</v>
      </c>
      <c r="R24" s="356" t="s">
        <v>748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25</v>
      </c>
      <c r="I25" s="83">
        <v>12</v>
      </c>
      <c r="J25" s="81">
        <v>0</v>
      </c>
      <c r="K25" s="84">
        <f>M25-H25</f>
        <v>6</v>
      </c>
      <c r="L25" s="79">
        <v>39</v>
      </c>
      <c r="M25" s="81">
        <f>'Progress-132kV'!AL87</f>
        <v>31</v>
      </c>
      <c r="N25" s="79">
        <f t="shared" si="8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23</v>
      </c>
      <c r="I26" s="83">
        <v>12</v>
      </c>
      <c r="J26" s="83">
        <v>0</v>
      </c>
      <c r="K26" s="84">
        <f>M26-H26</f>
        <v>6</v>
      </c>
      <c r="L26" s="79">
        <v>39</v>
      </c>
      <c r="M26" s="81">
        <f>'Progress-132kV'!AQ87</f>
        <v>29</v>
      </c>
      <c r="N26" s="79">
        <f t="shared" si="8"/>
        <v>10</v>
      </c>
      <c r="O26" s="82">
        <v>0</v>
      </c>
      <c r="P26" s="78">
        <v>0</v>
      </c>
      <c r="Q26" s="78">
        <f t="shared" ref="Q26:Q27" si="9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9</v>
      </c>
      <c r="I27" s="81">
        <v>16</v>
      </c>
      <c r="J27" s="81">
        <v>0</v>
      </c>
      <c r="K27" s="79">
        <f>M27-H27</f>
        <v>14</v>
      </c>
      <c r="L27" s="79">
        <v>39</v>
      </c>
      <c r="M27" s="81">
        <f>'Progress-132kV'!AV87</f>
        <v>23</v>
      </c>
      <c r="N27" s="79">
        <f t="shared" si="8"/>
        <v>16</v>
      </c>
      <c r="O27" s="78">
        <v>1</v>
      </c>
      <c r="P27" s="78">
        <v>0</v>
      </c>
      <c r="Q27" s="78">
        <f t="shared" si="9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7"/>
        <v>0</v>
      </c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5">
        <v>0</v>
      </c>
      <c r="I29" s="81">
        <v>9</v>
      </c>
      <c r="J29" s="510">
        <v>0</v>
      </c>
      <c r="K29" s="505">
        <f>M29-H29</f>
        <v>4.8541460000000001</v>
      </c>
      <c r="L29" s="505">
        <v>9</v>
      </c>
      <c r="M29" s="505">
        <f>'Stringing-132KV'!I3</f>
        <v>4.8541460000000001</v>
      </c>
      <c r="N29" s="505">
        <f t="shared" ref="N29:N31" si="10">D29-M29</f>
        <v>4.1458539999999999</v>
      </c>
      <c r="O29" s="78">
        <v>1</v>
      </c>
      <c r="P29" s="78">
        <v>1</v>
      </c>
      <c r="Q29" s="583">
        <f>+O29-P29</f>
        <v>0</v>
      </c>
      <c r="R29" s="579" t="s">
        <v>750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5">
        <v>0</v>
      </c>
      <c r="I30" s="81">
        <v>9</v>
      </c>
      <c r="J30" s="510">
        <v>0</v>
      </c>
      <c r="K30" s="505">
        <f>M30-H30</f>
        <v>3.0664760000000002</v>
      </c>
      <c r="L30" s="505">
        <v>9</v>
      </c>
      <c r="M30" s="505">
        <f>'Stringing-132KV'!L3</f>
        <v>3.0664760000000002</v>
      </c>
      <c r="N30" s="505">
        <f t="shared" si="10"/>
        <v>5.9335240000000002</v>
      </c>
      <c r="O30" s="78">
        <v>1</v>
      </c>
      <c r="P30" s="78">
        <v>1</v>
      </c>
      <c r="Q30" s="584"/>
      <c r="R30" s="580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v>9</v>
      </c>
      <c r="J31" s="96">
        <v>0</v>
      </c>
      <c r="K31" s="94">
        <f t="shared" si="7"/>
        <v>0</v>
      </c>
      <c r="L31" s="506">
        <v>9</v>
      </c>
      <c r="M31" s="94"/>
      <c r="N31" s="506">
        <f t="shared" si="10"/>
        <v>9</v>
      </c>
      <c r="O31" s="93"/>
      <c r="P31" s="93"/>
      <c r="Q31" s="93">
        <f>+O31-P31</f>
        <v>0</v>
      </c>
      <c r="R31" s="357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2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4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5" t="s">
        <v>410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5" t="s">
        <v>437</v>
      </c>
      <c r="B11" s="535"/>
      <c r="C11" s="535"/>
      <c r="D11" s="535"/>
      <c r="E11" s="535"/>
      <c r="F11" s="535"/>
      <c r="G11" s="535"/>
      <c r="H11" s="535"/>
      <c r="I11" s="535"/>
      <c r="J11" s="535"/>
      <c r="K11" s="535"/>
      <c r="L11" s="535"/>
      <c r="M11" s="535"/>
      <c r="N11" s="535"/>
      <c r="O11" s="535"/>
      <c r="P11" s="535"/>
      <c r="Q11" s="535"/>
      <c r="R11" s="535"/>
      <c r="S11" s="5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G14" activePane="bottomRight" state="frozen"/>
      <selection pane="topRight" activeCell="D1" sqref="D1"/>
      <selection pane="bottomLeft" activeCell="A6" sqref="A6"/>
      <selection pane="bottomRight" activeCell="AV58" sqref="AV58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4" t="str">
        <f>+Summary!A2</f>
        <v>Name of the Line: 220KV DC AL59 line from Neemuch - Chanderiya + 132KV DC ACSS Line from Chanderiya to Hindustan Zinc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35"/>
      <c r="AM1" s="535"/>
      <c r="AN1" s="535"/>
      <c r="AO1" s="535"/>
      <c r="AP1" s="535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6"/>
    </row>
    <row r="2" spans="1:53" ht="14.25" customHeight="1">
      <c r="A2" s="534" t="str">
        <f>+Summary!A5</f>
        <v>Progress of 220kV Line</v>
      </c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597"/>
      <c r="U2" s="597"/>
      <c r="V2" s="597"/>
      <c r="W2" s="597"/>
      <c r="X2" s="597"/>
      <c r="Y2" s="597"/>
      <c r="Z2" s="597"/>
      <c r="AA2" s="597"/>
      <c r="AB2" s="597"/>
      <c r="AC2" s="597"/>
      <c r="AD2" s="597"/>
      <c r="AE2" s="597"/>
      <c r="AF2" s="597"/>
      <c r="AG2" s="597"/>
      <c r="AH2" s="597"/>
      <c r="AI2" s="597"/>
      <c r="AJ2" s="597"/>
      <c r="AK2" s="597"/>
      <c r="AL2" s="535"/>
      <c r="AM2" s="535"/>
      <c r="AN2" s="535"/>
      <c r="AO2" s="535"/>
      <c r="AP2" s="535"/>
      <c r="AQ2" s="597"/>
      <c r="AR2" s="597"/>
      <c r="AS2" s="597"/>
      <c r="AT2" s="597"/>
      <c r="AU2" s="597"/>
      <c r="AV2" s="597"/>
      <c r="AW2" s="597"/>
      <c r="AX2" s="597"/>
      <c r="AY2" s="597"/>
      <c r="AZ2" s="597"/>
      <c r="BA2" s="596"/>
    </row>
    <row r="3" spans="1:53" ht="23" customHeight="1">
      <c r="A3" s="534" t="s">
        <v>468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6"/>
      <c r="T3" s="534" t="s">
        <v>379</v>
      </c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597"/>
      <c r="AF3" s="597"/>
      <c r="AG3" s="597"/>
      <c r="AH3" s="597"/>
      <c r="AI3" s="597"/>
      <c r="AJ3" s="597"/>
      <c r="AK3" s="596"/>
      <c r="AL3" s="534" t="s">
        <v>381</v>
      </c>
      <c r="AM3" s="535"/>
      <c r="AN3" s="535"/>
      <c r="AO3" s="535"/>
      <c r="AP3" s="536"/>
      <c r="AQ3" s="534" t="s">
        <v>469</v>
      </c>
      <c r="AR3" s="597"/>
      <c r="AS3" s="597"/>
      <c r="AT3" s="596"/>
      <c r="AU3" s="55" t="s">
        <v>470</v>
      </c>
      <c r="AV3" s="534" t="s">
        <v>471</v>
      </c>
      <c r="AW3" s="597"/>
      <c r="AX3" s="597"/>
      <c r="AY3" s="597"/>
      <c r="AZ3" s="59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8" t="s">
        <v>473</v>
      </c>
      <c r="H4" s="599"/>
      <c r="I4" s="599"/>
      <c r="J4" s="600"/>
      <c r="K4" s="598" t="s">
        <v>474</v>
      </c>
      <c r="L4" s="599"/>
      <c r="M4" s="599"/>
      <c r="N4" s="600"/>
      <c r="O4" s="601" t="s">
        <v>9</v>
      </c>
      <c r="P4" s="597"/>
      <c r="Q4" s="597"/>
      <c r="R4" s="596"/>
      <c r="S4" s="121" t="s">
        <v>475</v>
      </c>
      <c r="T4" s="55" t="s">
        <v>476</v>
      </c>
      <c r="U4" s="2" t="s">
        <v>477</v>
      </c>
      <c r="V4" s="534" t="s">
        <v>478</v>
      </c>
      <c r="W4" s="597"/>
      <c r="X4" s="59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2" t="s">
        <v>487</v>
      </c>
      <c r="AH4" s="596"/>
      <c r="AI4" s="534" t="s">
        <v>488</v>
      </c>
      <c r="AJ4" s="59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6" t="s">
        <v>716</v>
      </c>
      <c r="C6" s="517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7"/>
      <c r="C7" s="517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6" t="s">
        <v>717</v>
      </c>
      <c r="C8" s="517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7"/>
      <c r="C9" s="517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6" t="s">
        <v>719</v>
      </c>
      <c r="C10" s="517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7"/>
      <c r="C11" s="517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6" t="s">
        <v>721</v>
      </c>
      <c r="C12" s="517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7"/>
      <c r="C13" s="517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6" t="s">
        <v>722</v>
      </c>
      <c r="C14" s="523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8" t="s">
        <v>38</v>
      </c>
      <c r="C18" s="524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8"/>
      <c r="C19" s="518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8" t="s">
        <v>64</v>
      </c>
      <c r="C20" s="524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8"/>
      <c r="C21" s="518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9" t="s">
        <v>344</v>
      </c>
      <c r="C22" s="524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8"/>
      <c r="C23" s="518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9" t="s">
        <v>67</v>
      </c>
      <c r="C24" s="524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8"/>
      <c r="C25" s="518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9" t="s">
        <v>310</v>
      </c>
      <c r="C26" s="518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8"/>
      <c r="C27" s="518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8" t="s">
        <v>69</v>
      </c>
      <c r="C28" s="524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18"/>
      <c r="C29" s="518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20" t="s">
        <v>71</v>
      </c>
      <c r="C30" s="524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747</v>
      </c>
      <c r="AU30" s="15"/>
      <c r="AV30" s="15"/>
      <c r="AW30" s="15"/>
      <c r="AX30" s="15"/>
      <c r="AY30" s="15"/>
      <c r="AZ30" s="15"/>
      <c r="BA30" s="15"/>
    </row>
    <row r="31" spans="1:53" customFormat="1" ht="14.25" customHeight="1">
      <c r="A31" s="15"/>
      <c r="B31" s="518"/>
      <c r="C31" s="518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20" t="s">
        <v>72</v>
      </c>
      <c r="C32" s="524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747</v>
      </c>
      <c r="AU32" s="15"/>
      <c r="AV32" s="15"/>
      <c r="AW32" s="15"/>
      <c r="AX32" s="15"/>
      <c r="AY32" s="15"/>
      <c r="AZ32" s="15"/>
      <c r="BA32" s="15"/>
    </row>
    <row r="33" spans="1:53" customFormat="1" ht="14.25" customHeight="1">
      <c r="A33" s="15"/>
      <c r="B33" s="519"/>
      <c r="C33" s="52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19" t="s">
        <v>93</v>
      </c>
      <c r="C34" s="524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746</v>
      </c>
      <c r="AU34" s="15"/>
      <c r="AV34" s="15"/>
      <c r="AW34" s="15"/>
      <c r="AX34" s="15"/>
      <c r="AY34" s="15"/>
      <c r="AZ34" s="15"/>
      <c r="BA34" s="15"/>
    </row>
    <row r="35" spans="1:53" customFormat="1" ht="14.25" customHeight="1">
      <c r="A35" s="15"/>
      <c r="B35" s="518"/>
      <c r="C35" s="5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9" t="s">
        <v>104</v>
      </c>
      <c r="C36" s="524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8"/>
      <c r="C37" s="518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20" t="s">
        <v>701</v>
      </c>
      <c r="C38" s="524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5"/>
      <c r="AW38" s="15"/>
      <c r="AX38" s="15"/>
      <c r="AY38" s="15"/>
      <c r="AZ38" s="15"/>
      <c r="BA38" s="15"/>
    </row>
    <row r="39" spans="1:53" customFormat="1" ht="14.25" customHeight="1">
      <c r="A39" s="15"/>
      <c r="B39" s="518"/>
      <c r="C39" s="518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9" t="s">
        <v>702</v>
      </c>
      <c r="C40" s="524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746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8"/>
      <c r="C41" s="51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1" t="s">
        <v>703</v>
      </c>
      <c r="C42" s="524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8"/>
      <c r="C43" s="51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2" t="s">
        <v>704</v>
      </c>
      <c r="C44" s="518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746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8"/>
      <c r="C45" s="51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2" t="s">
        <v>106</v>
      </c>
      <c r="C46" s="518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8"/>
      <c r="C47" s="518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2" t="s">
        <v>111</v>
      </c>
      <c r="C48" s="518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8"/>
      <c r="C49" s="518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2" t="s">
        <v>320</v>
      </c>
      <c r="C50" s="518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8"/>
      <c r="C51" s="518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5"/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23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D114" activePane="bottomRight" state="frozen"/>
      <selection activeCell="A5" sqref="A5"/>
      <selection pane="topRight" activeCell="L5" sqref="L5"/>
      <selection pane="bottomLeft" activeCell="A20" sqref="A20"/>
      <selection pane="bottomRight" activeCell="BI116" sqref="BI116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6" t="s">
        <v>508</v>
      </c>
      <c r="I4" s="607"/>
      <c r="J4" s="607"/>
      <c r="K4" s="608"/>
      <c r="L4" s="606" t="s">
        <v>473</v>
      </c>
      <c r="M4" s="609"/>
      <c r="N4" s="609"/>
      <c r="O4" s="609"/>
      <c r="P4" s="610"/>
      <c r="Q4" s="606" t="s">
        <v>474</v>
      </c>
      <c r="R4" s="609"/>
      <c r="S4" s="61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197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197</v>
      </c>
      <c r="AW5" s="161"/>
      <c r="AX5" s="5"/>
      <c r="AY5" s="5"/>
      <c r="AZ5" s="56"/>
      <c r="BA5" s="160"/>
      <c r="BB5" s="149">
        <f>SUBTOTAL(109,BB8:BB410)</f>
        <v>197</v>
      </c>
      <c r="BC5" s="152"/>
      <c r="BD5" s="5"/>
      <c r="BE5" s="276"/>
      <c r="BF5" s="276"/>
      <c r="BG5" s="56"/>
      <c r="BH5" s="162"/>
      <c r="BI5" s="149">
        <f>SUBTOTAL(109,BI8:BI410)</f>
        <v>182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7" t="s">
        <v>513</v>
      </c>
      <c r="AC6" s="536"/>
      <c r="AD6" s="537" t="s">
        <v>514</v>
      </c>
      <c r="AE6" s="535"/>
      <c r="AF6" s="535"/>
      <c r="AG6" s="535"/>
      <c r="AH6" s="535"/>
      <c r="AI6" s="535"/>
      <c r="AJ6" s="535"/>
      <c r="AK6" s="536"/>
      <c r="AL6" s="160"/>
      <c r="AM6" s="55" t="s">
        <v>515</v>
      </c>
      <c r="AN6" s="6" t="s">
        <v>516</v>
      </c>
      <c r="AO6" s="6" t="s">
        <v>517</v>
      </c>
      <c r="AP6" s="602" t="s">
        <v>487</v>
      </c>
      <c r="AQ6" s="536"/>
      <c r="AR6" s="534" t="s">
        <v>488</v>
      </c>
      <c r="AS6" s="5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746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25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25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6" t="s">
        <v>0</v>
      </c>
      <c r="B307" s="433"/>
      <c r="C307" s="439"/>
      <c r="D307" s="440"/>
      <c r="E307" s="440"/>
      <c r="F307" s="440"/>
      <c r="G307" s="440"/>
      <c r="H307" s="432"/>
      <c r="I307" s="433"/>
      <c r="J307" s="433"/>
      <c r="K307" s="434"/>
      <c r="L307" s="435"/>
      <c r="M307" s="436"/>
      <c r="N307" s="436"/>
      <c r="O307" s="436"/>
      <c r="P307" s="437"/>
      <c r="Q307" s="435"/>
      <c r="R307" s="436"/>
      <c r="S307" s="437"/>
      <c r="T307" s="441"/>
      <c r="U307" s="441"/>
      <c r="V307" s="442">
        <v>284</v>
      </c>
      <c r="W307" s="436" t="s">
        <v>565</v>
      </c>
      <c r="X307" s="436"/>
      <c r="Y307" s="436"/>
      <c r="Z307" s="436"/>
      <c r="AA307" s="436"/>
      <c r="AB307" s="436"/>
      <c r="AC307" s="436"/>
      <c r="AD307" s="436"/>
      <c r="AE307" s="436"/>
      <c r="AF307" s="436"/>
      <c r="AG307" s="436"/>
      <c r="AH307" s="436"/>
      <c r="AI307" s="436"/>
      <c r="AJ307" s="436"/>
      <c r="AK307" s="436"/>
      <c r="AL307" s="443"/>
      <c r="AM307" s="436"/>
      <c r="AN307" s="444"/>
      <c r="AO307" s="444"/>
      <c r="AP307" s="444"/>
      <c r="AQ307" s="444"/>
      <c r="AR307" s="444"/>
      <c r="AS307" s="444"/>
      <c r="AT307" s="444"/>
      <c r="AU307" s="445"/>
      <c r="AV307" s="436"/>
      <c r="AW307" s="444"/>
      <c r="AX307" s="446"/>
      <c r="AY307" s="446"/>
      <c r="AZ307" s="444"/>
      <c r="BA307" s="445"/>
      <c r="BB307" s="444"/>
      <c r="BC307" s="444"/>
      <c r="BD307" s="444"/>
      <c r="BE307" s="444"/>
      <c r="BF307" s="444"/>
      <c r="BG307" s="444"/>
      <c r="BH307" s="445"/>
      <c r="BI307" s="444"/>
      <c r="BJ307" s="444"/>
      <c r="BK307" s="444"/>
      <c r="BL307" s="444"/>
      <c r="BM307" s="444"/>
    </row>
    <row r="308" spans="1:65" ht="15" customHeight="1">
      <c r="A308" s="457">
        <f>A306+1</f>
        <v>150</v>
      </c>
      <c r="B308" s="459" t="s">
        <v>231</v>
      </c>
      <c r="C308" s="459" t="s">
        <v>76</v>
      </c>
      <c r="D308" s="459">
        <v>7.71</v>
      </c>
      <c r="E308" s="459">
        <f>D308*4</f>
        <v>30.84</v>
      </c>
      <c r="F308" s="459">
        <f>E308*8</f>
        <v>246.72</v>
      </c>
      <c r="G308" s="459"/>
      <c r="H308" s="459"/>
      <c r="I308" s="459"/>
      <c r="J308" s="459"/>
      <c r="K308" s="459"/>
      <c r="L308" s="459">
        <v>3.452</v>
      </c>
      <c r="M308" s="459">
        <v>2.633</v>
      </c>
      <c r="N308" s="459">
        <v>4.0000000000000001E-3</v>
      </c>
      <c r="O308" s="459">
        <v>0.24099999999999999</v>
      </c>
      <c r="P308" s="459">
        <f t="shared" si="93"/>
        <v>6.3299999999999992</v>
      </c>
      <c r="Q308" s="459">
        <v>0.36299999999999999</v>
      </c>
      <c r="R308" s="459">
        <v>6.0000000000000001E-3</v>
      </c>
      <c r="S308" s="459">
        <f t="shared" si="94"/>
        <v>0.36899999999999999</v>
      </c>
      <c r="T308" s="459" t="s">
        <v>230</v>
      </c>
      <c r="U308" s="459" t="s">
        <v>536</v>
      </c>
      <c r="V308" s="459"/>
      <c r="W308" s="459"/>
      <c r="X308" s="459"/>
      <c r="Y308" s="459">
        <v>1.68</v>
      </c>
      <c r="Z308" s="459">
        <v>13.27</v>
      </c>
      <c r="AA308" s="459">
        <f t="shared" si="95"/>
        <v>14.95</v>
      </c>
      <c r="AB308" s="459"/>
      <c r="AC308" s="459"/>
      <c r="AD308" s="459"/>
      <c r="AE308" s="459"/>
      <c r="AF308" s="459"/>
      <c r="AG308" s="459"/>
      <c r="AH308" s="459"/>
      <c r="AI308" s="459"/>
      <c r="AJ308" s="459"/>
      <c r="AK308" s="459"/>
      <c r="AL308" s="459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7" t="s">
        <v>0</v>
      </c>
      <c r="B309" s="448"/>
      <c r="C309" s="449"/>
      <c r="D309" s="450"/>
      <c r="E309" s="450"/>
      <c r="F309" s="450"/>
      <c r="G309" s="450"/>
      <c r="H309" s="451"/>
      <c r="I309" s="448"/>
      <c r="J309" s="448"/>
      <c r="K309" s="452"/>
      <c r="L309" s="438"/>
      <c r="M309" s="447"/>
      <c r="N309" s="447"/>
      <c r="O309" s="447"/>
      <c r="P309" s="453"/>
      <c r="Q309" s="438"/>
      <c r="R309" s="447"/>
      <c r="S309" s="453"/>
      <c r="T309" s="454"/>
      <c r="U309" s="454"/>
      <c r="V309" s="455">
        <v>345.88</v>
      </c>
      <c r="W309" s="447" t="s">
        <v>542</v>
      </c>
      <c r="X309" s="447"/>
      <c r="Y309" s="447"/>
      <c r="Z309" s="447"/>
      <c r="AA309" s="447"/>
      <c r="AB309" s="447"/>
      <c r="AC309" s="447"/>
      <c r="AD309" s="447"/>
      <c r="AE309" s="447"/>
      <c r="AF309" s="447"/>
      <c r="AG309" s="447"/>
      <c r="AH309" s="447"/>
      <c r="AI309" s="447"/>
      <c r="AJ309" s="447"/>
      <c r="AK309" s="447"/>
      <c r="AL309" s="456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60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5"/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5"/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  <c r="AM407" s="15">
        <f>+COUNTIF($AM$8:$AM$406,"C")</f>
        <v>197</v>
      </c>
      <c r="AN407" s="131"/>
      <c r="AO407" s="15">
        <f>+COUNTIF($AO$8:$AO$406,"D")</f>
        <v>171</v>
      </c>
      <c r="AP407" s="131"/>
      <c r="AQ407" s="131"/>
      <c r="AR407" s="131"/>
      <c r="AS407" s="131"/>
      <c r="AT407" s="182"/>
      <c r="AU407" s="183"/>
      <c r="AV407" s="15">
        <f>+COUNTIF($AV$8:$AV$406,"C")</f>
        <v>197</v>
      </c>
      <c r="AW407" s="15"/>
      <c r="AX407" s="278"/>
      <c r="AY407" s="278"/>
      <c r="AZ407" s="182"/>
      <c r="BA407" s="183"/>
      <c r="BB407" s="15">
        <f>+COUNTIF($BB$8:$BB$406,"C")</f>
        <v>197</v>
      </c>
      <c r="BC407" s="131"/>
      <c r="BD407" s="15">
        <f>+COUNTIF($BD$8:$BD$406,"D")</f>
        <v>139</v>
      </c>
      <c r="BE407" s="131"/>
      <c r="BF407" s="131"/>
      <c r="BG407" s="15"/>
      <c r="BH407" s="177"/>
      <c r="BI407" s="15">
        <f>+COUNTIF($BI$8:$BI$406,"C")</f>
        <v>182</v>
      </c>
      <c r="BL407"/>
    </row>
    <row r="408" spans="1:64" ht="19.5" customHeight="1">
      <c r="A408" s="15">
        <f t="shared" si="132"/>
        <v>198</v>
      </c>
      <c r="B408" s="19" t="s">
        <v>730</v>
      </c>
      <c r="C408" s="430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1"/>
      <c r="H408" s="432"/>
      <c r="I408" s="433"/>
      <c r="J408" s="433"/>
      <c r="K408" s="434"/>
      <c r="L408" s="435">
        <v>8.8970000000000002</v>
      </c>
      <c r="M408" s="436">
        <v>8.8010000000000002</v>
      </c>
      <c r="N408" s="436">
        <v>9.2999999999999992E-3</v>
      </c>
      <c r="O408" s="436">
        <v>0.752</v>
      </c>
      <c r="P408" s="437">
        <f t="shared" si="174"/>
        <v>18.459299999999999</v>
      </c>
      <c r="Q408" s="435">
        <v>1.1160000000000001</v>
      </c>
      <c r="R408" s="436">
        <v>3.2000000000000001E-2</v>
      </c>
      <c r="S408" s="437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30"/>
      <c r="D409" s="130">
        <v>16.654</v>
      </c>
      <c r="E409" s="130"/>
      <c r="F409" s="130"/>
      <c r="G409" s="431"/>
      <c r="H409" s="432"/>
      <c r="I409" s="433"/>
      <c r="J409" s="433"/>
      <c r="K409" s="434"/>
      <c r="L409" s="435"/>
      <c r="M409" s="436"/>
      <c r="N409" s="436"/>
      <c r="O409" s="436"/>
      <c r="P409" s="437"/>
      <c r="Q409" s="435"/>
      <c r="R409" s="436"/>
      <c r="S409" s="437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30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1"/>
      <c r="H410" s="432"/>
      <c r="I410" s="433"/>
      <c r="J410" s="433"/>
      <c r="K410" s="434"/>
      <c r="L410" s="435">
        <v>8.8970000000000002</v>
      </c>
      <c r="M410" s="436">
        <v>8.8010000000000002</v>
      </c>
      <c r="N410" s="436">
        <v>9.2999999999999992E-3</v>
      </c>
      <c r="O410" s="436">
        <v>0.752</v>
      </c>
      <c r="P410" s="437">
        <f t="shared" si="174"/>
        <v>18.459299999999999</v>
      </c>
      <c r="Q410" s="435">
        <v>1.1160000000000001</v>
      </c>
      <c r="R410" s="436">
        <v>3.2000000000000001E-2</v>
      </c>
      <c r="S410" s="437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43"/>
      <c r="AU411" s="144"/>
      <c r="BA411" s="144"/>
      <c r="BE411"/>
      <c r="BF411"/>
      <c r="BH411" s="144"/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76" activePane="bottomRight" state="frozen"/>
      <selection pane="topRight" activeCell="E1" sqref="E1"/>
      <selection pane="bottomLeft" activeCell="A6" sqref="A6"/>
      <selection pane="bottomRight" activeCell="O92" sqref="O9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1" t="str">
        <f>+Summary!A2</f>
        <v>Name of the Line: 220KV DC AL59 line from Neemuch - Chanderiya + 132KV DC ACSS Line from Chanderiya to Hindustan Zinc</v>
      </c>
      <c r="B1" s="535"/>
      <c r="C1" s="535"/>
      <c r="D1" s="535"/>
      <c r="E1" s="535"/>
      <c r="F1" s="535"/>
      <c r="G1" s="535"/>
      <c r="H1" s="535"/>
      <c r="I1" s="535"/>
      <c r="J1" s="535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6"/>
    </row>
    <row r="2" spans="1:25" ht="14.25" customHeight="1">
      <c r="A2" s="611" t="str">
        <f>+Summary!A5</f>
        <v>Progress of 220kV Line</v>
      </c>
      <c r="B2" s="535"/>
      <c r="C2" s="535"/>
      <c r="D2" s="536"/>
      <c r="E2" s="119"/>
      <c r="F2" s="611" t="s">
        <v>603</v>
      </c>
      <c r="G2" s="535"/>
      <c r="H2" s="535"/>
      <c r="I2" s="535"/>
      <c r="J2" s="535"/>
      <c r="K2" s="535"/>
      <c r="L2" s="535"/>
      <c r="M2" s="535"/>
      <c r="N2" s="535"/>
      <c r="O2" s="535"/>
      <c r="P2" s="535"/>
      <c r="Q2" s="536"/>
      <c r="R2" s="205"/>
      <c r="S2" s="611" t="s">
        <v>604</v>
      </c>
      <c r="T2" s="535"/>
      <c r="U2" s="535"/>
      <c r="V2" s="535"/>
      <c r="W2" s="535"/>
      <c r="X2" s="535"/>
      <c r="Y2" s="536"/>
    </row>
    <row r="3" spans="1:25" ht="14.25" customHeight="1">
      <c r="A3" s="611" t="s">
        <v>605</v>
      </c>
      <c r="B3" s="535"/>
      <c r="C3" s="536"/>
      <c r="D3" s="206">
        <f>Summary!R5</f>
        <v>46110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4">
        <f>SUMIF(G6:G213,"C",$D$6:$D$213)/1000</f>
        <v>60.056539999999991</v>
      </c>
      <c r="J3" s="515"/>
      <c r="K3" s="52">
        <f>SUMIF(J7:J213,"WIP",$D$7:$D$213)/1000</f>
        <v>0</v>
      </c>
      <c r="L3" s="514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2" t="s">
        <v>459</v>
      </c>
      <c r="C4" s="536"/>
      <c r="D4" s="211" t="s">
        <v>606</v>
      </c>
      <c r="E4" s="212" t="s">
        <v>607</v>
      </c>
      <c r="F4" s="55" t="s">
        <v>608</v>
      </c>
      <c r="G4" s="537" t="s">
        <v>609</v>
      </c>
      <c r="H4" s="535"/>
      <c r="I4" s="536"/>
      <c r="J4" s="537" t="s">
        <v>388</v>
      </c>
      <c r="K4" s="535"/>
      <c r="L4" s="536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4" t="s">
        <v>613</v>
      </c>
      <c r="T4" s="535"/>
      <c r="U4" s="536"/>
      <c r="V4" s="534" t="s">
        <v>614</v>
      </c>
      <c r="W4" s="535"/>
      <c r="X4" s="536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6">
        <v>46053</v>
      </c>
      <c r="I6" s="278">
        <v>46055</v>
      </c>
      <c r="J6" s="16" t="s">
        <v>20</v>
      </c>
      <c r="K6" s="426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6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6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6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6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6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6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6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6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6">
        <v>46101</v>
      </c>
      <c r="I15" s="426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6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6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6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6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6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6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6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6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6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6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6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6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6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6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6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6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6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6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6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6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6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6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6">
        <v>46094</v>
      </c>
      <c r="I39" s="426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6">
        <v>46086</v>
      </c>
      <c r="I40" s="426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6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6">
        <v>46068</v>
      </c>
      <c r="I42" s="426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6">
        <v>46068</v>
      </c>
      <c r="I43" s="426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6">
        <v>46068</v>
      </c>
      <c r="I44" s="426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6">
        <v>46068</v>
      </c>
      <c r="I45" s="426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6">
        <v>46068</v>
      </c>
      <c r="I46" s="426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6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6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6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6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6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6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6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6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6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6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6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6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6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6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6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6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6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6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6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6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6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6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6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6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6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6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6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6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6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6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6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6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6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6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6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6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6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6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6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6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6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6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6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6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6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6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6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6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6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6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6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6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6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6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6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6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6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6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6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6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6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6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6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6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6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6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6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6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6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6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6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6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6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6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6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6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6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6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6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6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6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6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6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6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6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6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6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6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6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6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6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6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6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6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6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6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6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6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6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6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6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6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6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6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6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6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6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6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6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6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6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6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6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6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6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6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6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6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6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6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6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6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6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6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6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6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6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6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6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6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6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6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6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7">
        <v>4</v>
      </c>
      <c r="N219" s="43"/>
      <c r="O219" s="105"/>
      <c r="R219" s="232"/>
    </row>
    <row r="220" spans="1:25" ht="14.25" customHeight="1">
      <c r="H220" s="427">
        <v>16</v>
      </c>
      <c r="L220" s="233">
        <f>I3-L3</f>
        <v>0</v>
      </c>
      <c r="R220" s="232"/>
    </row>
    <row r="221" spans="1:25" ht="14.25" customHeight="1">
      <c r="H221" s="427">
        <v>7</v>
      </c>
      <c r="R221" s="232"/>
    </row>
    <row r="222" spans="1:25" ht="14.25" customHeight="1">
      <c r="G222" s="16">
        <v>952</v>
      </c>
      <c r="H222" s="427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7">
        <f t="shared" si="32"/>
        <v>0.17357</v>
      </c>
      <c r="R223" s="232"/>
    </row>
    <row r="224" spans="1:25" ht="14.25" customHeight="1">
      <c r="G224" s="16">
        <v>336.5</v>
      </c>
      <c r="H224" s="427">
        <f t="shared" si="32"/>
        <v>0.33650000000000002</v>
      </c>
      <c r="R224" s="232"/>
    </row>
    <row r="225" spans="7:18" ht="14.25" customHeight="1">
      <c r="G225" s="16">
        <v>900.14</v>
      </c>
      <c r="H225" s="427">
        <f t="shared" si="32"/>
        <v>0.90013999999999994</v>
      </c>
      <c r="R225" s="232"/>
    </row>
    <row r="226" spans="7:18" ht="14.25" customHeight="1">
      <c r="G226" s="16">
        <v>1697.24</v>
      </c>
      <c r="H226" s="427">
        <f t="shared" si="32"/>
        <v>1.6972400000000001</v>
      </c>
    </row>
    <row r="227" spans="7:18" ht="14.25" customHeight="1">
      <c r="G227" s="16">
        <v>1600.078</v>
      </c>
      <c r="H227" s="427">
        <f t="shared" si="32"/>
        <v>1.6000779999999999</v>
      </c>
    </row>
    <row r="228" spans="7:18" ht="14.25" customHeight="1">
      <c r="G228" s="16">
        <v>525.89</v>
      </c>
      <c r="H228" s="427">
        <f t="shared" si="32"/>
        <v>0.52588999999999997</v>
      </c>
    </row>
    <row r="229" spans="7:18" ht="14.25" customHeight="1">
      <c r="G229" s="16">
        <v>356.279</v>
      </c>
      <c r="H229" s="427">
        <f t="shared" si="32"/>
        <v>0.35627900000000001</v>
      </c>
    </row>
    <row r="230" spans="7:18" ht="14.25" customHeight="1">
      <c r="G230" s="16">
        <v>190.524</v>
      </c>
      <c r="H230" s="427">
        <f t="shared" si="32"/>
        <v>0.190524</v>
      </c>
    </row>
    <row r="231" spans="7:18" ht="14.25" customHeight="1">
      <c r="G231" s="16">
        <v>142.38399999999999</v>
      </c>
      <c r="H231" s="427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4" priority="82" operator="containsText" text="WIP">
      <formula>NOT(ISERROR(SEARCH(("WIP"),(E17))))</formula>
    </cfRule>
  </conditionalFormatting>
  <conditionalFormatting sqref="F13:F18">
    <cfRule type="containsText" dxfId="1533" priority="83" operator="containsText" text="WIP">
      <formula>NOT(ISERROR(SEARCH(("WIP"),(F13))))</formula>
    </cfRule>
  </conditionalFormatting>
  <conditionalFormatting sqref="F50 E85:E101">
    <cfRule type="containsText" dxfId="1532" priority="73" operator="containsText" text="C">
      <formula>NOT(ISERROR(SEARCH(("C"),(E95))))</formula>
    </cfRule>
  </conditionalFormatting>
  <conditionalFormatting sqref="F51">
    <cfRule type="containsText" dxfId="1531" priority="49" operator="containsText" text="C">
      <formula>NOT(ISERROR(SEARCH(("C"),(F51))))</formula>
    </cfRule>
  </conditionalFormatting>
  <conditionalFormatting sqref="F131">
    <cfRule type="containsText" dxfId="1530" priority="85" operator="containsText" text="WIP">
      <formula>NOT(ISERROR(SEARCH(("WIP"),(F131))))</formula>
    </cfRule>
  </conditionalFormatting>
  <conditionalFormatting sqref="F132:F161">
    <cfRule type="containsText" dxfId="1529" priority="86" operator="containsText" text="C">
      <formula>NOT(ISERROR(SEARCH(("C"),(F132))))</formula>
    </cfRule>
  </conditionalFormatting>
  <conditionalFormatting sqref="F176:F187">
    <cfRule type="containsText" dxfId="1528" priority="87" operator="containsText" text="C">
      <formula>NOT(ISERROR(SEARCH(("C"),(F176))))</formula>
    </cfRule>
  </conditionalFormatting>
  <conditionalFormatting sqref="F30:G32">
    <cfRule type="containsText" dxfId="1527" priority="88" operator="containsText" text="WIP">
      <formula>NOT(ISERROR(SEARCH(("WIP"),(F30))))</formula>
    </cfRule>
  </conditionalFormatting>
  <conditionalFormatting sqref="F42:G50 E42:E60 E64:E84">
    <cfRule type="containsText" dxfId="1526" priority="72" operator="containsText" text="C">
      <formula>NOT(ISERROR(SEARCH(("C"),(E42))))</formula>
    </cfRule>
  </conditionalFormatting>
  <conditionalFormatting sqref="F64:G101 F52:G60 E61:G63">
    <cfRule type="containsText" dxfId="1525" priority="90" operator="containsText" text="C">
      <formula>NOT(ISERROR(SEARCH(("C"),(E52))))</formula>
    </cfRule>
  </conditionalFormatting>
  <conditionalFormatting sqref="F102:G114 E102:E214 F193:F194">
    <cfRule type="containsText" dxfId="1524" priority="74" operator="containsText" text="C">
      <formula>NOT(ISERROR(SEARCH(("C"),(E102))))</formula>
    </cfRule>
  </conditionalFormatting>
  <conditionalFormatting sqref="F115:G131">
    <cfRule type="containsText" dxfId="1523" priority="93" operator="containsText" text="C">
      <formula>NOT(ISERROR(SEARCH(("C"),(F115))))</formula>
    </cfRule>
  </conditionalFormatting>
  <conditionalFormatting sqref="F162:G175">
    <cfRule type="containsText" dxfId="1522" priority="94" operator="containsText" text="C">
      <formula>NOT(ISERROR(SEARCH(("C"),(F162))))</formula>
    </cfRule>
  </conditionalFormatting>
  <conditionalFormatting sqref="F188:G192 G193:G194">
    <cfRule type="containsText" dxfId="1521" priority="104" operator="containsText" text="C">
      <formula>NOT(ISERROR(SEARCH(("C"),(F336))))</formula>
    </cfRule>
  </conditionalFormatting>
  <conditionalFormatting sqref="F195:G213">
    <cfRule type="containsText" dxfId="1520" priority="96" operator="containsText" text="C">
      <formula>NOT(ISERROR(SEARCH(("C"),(F195))))</formula>
    </cfRule>
  </conditionalFormatting>
  <conditionalFormatting sqref="G7:G22">
    <cfRule type="containsText" dxfId="1519" priority="99" operator="containsText" text="WIP">
      <formula>NOT(ISERROR(SEARCH(("WIP"),(G7))))</formula>
    </cfRule>
  </conditionalFormatting>
  <conditionalFormatting sqref="G50:G51">
    <cfRule type="containsText" dxfId="1518" priority="48" operator="containsText" text="C">
      <formula>NOT(ISERROR(SEARCH(("C"),(G50))))</formula>
    </cfRule>
  </conditionalFormatting>
  <conditionalFormatting sqref="G69:G70 E132:E133 H70">
    <cfRule type="containsText" dxfId="1517" priority="127" operator="containsText" text="WIP">
      <formula>NOT(ISERROR(SEARCH(("WIP"),(E132))))</formula>
    </cfRule>
  </conditionalFormatting>
  <conditionalFormatting sqref="G87:G88">
    <cfRule type="containsText" dxfId="1516" priority="107" operator="containsText" text="WIP">
      <formula>NOT(ISERROR(SEARCH(("WIP"),(G87))))</formula>
    </cfRule>
  </conditionalFormatting>
  <conditionalFormatting sqref="G93:G98">
    <cfRule type="containsText" dxfId="1515" priority="108" operator="containsText" text="WIP">
      <formula>NOT(ISERROR(SEARCH(("WIP"),(G93))))</formula>
    </cfRule>
  </conditionalFormatting>
  <conditionalFormatting sqref="G100 G102:G110">
    <cfRule type="containsText" dxfId="1514" priority="109" operator="containsText" text="WIP">
      <formula>NOT(ISERROR(SEARCH(("WIP"),(G100))))</formula>
    </cfRule>
  </conditionalFormatting>
  <conditionalFormatting sqref="G115 G112">
    <cfRule type="containsText" dxfId="1513" priority="110" operator="containsText" text="WIP">
      <formula>NOT(ISERROR(SEARCH(("WIP"),(G112))))</formula>
    </cfRule>
  </conditionalFormatting>
  <conditionalFormatting sqref="G119:G121">
    <cfRule type="containsText" dxfId="1512" priority="111" operator="containsText" text="WIP">
      <formula>NOT(ISERROR(SEARCH(("WIP"),(G119))))</formula>
    </cfRule>
  </conditionalFormatting>
  <conditionalFormatting sqref="G132:G134">
    <cfRule type="containsText" dxfId="1511" priority="112" operator="containsText" text="C">
      <formula>NOT(ISERROR(SEARCH(("C"),(G132))))</formula>
    </cfRule>
  </conditionalFormatting>
  <conditionalFormatting sqref="G135:G146">
    <cfRule type="containsText" dxfId="1510" priority="113" operator="containsText" text="WIP">
      <formula>NOT(ISERROR(SEARCH(("WIP"),(G135))))</formula>
    </cfRule>
  </conditionalFormatting>
  <conditionalFormatting sqref="G135:G161">
    <cfRule type="containsText" dxfId="1509" priority="114" operator="containsText" text="C">
      <formula>NOT(ISERROR(SEARCH(("C"),(G135))))</formula>
    </cfRule>
  </conditionalFormatting>
  <conditionalFormatting sqref="G151 G153">
    <cfRule type="containsText" dxfId="1508" priority="115" operator="containsText" text="WIP">
      <formula>NOT(ISERROR(SEARCH(("WIP"),(G151))))</formula>
    </cfRule>
  </conditionalFormatting>
  <conditionalFormatting sqref="G155:G160">
    <cfRule type="containsText" dxfId="1507" priority="116" operator="containsText" text="WIP">
      <formula>NOT(ISERROR(SEARCH(("WIP"),(G155))))</formula>
    </cfRule>
  </conditionalFormatting>
  <conditionalFormatting sqref="G164:G171">
    <cfRule type="containsText" dxfId="1506" priority="117" operator="containsText" text="WIP">
      <formula>NOT(ISERROR(SEARCH(("WIP"),(G164))))</formula>
    </cfRule>
  </conditionalFormatting>
  <conditionalFormatting sqref="G171">
    <cfRule type="containsText" dxfId="1505" priority="118" operator="containsText" text="C">
      <formula>NOT(ISERROR(SEARCH(("C"),(G171))))</formula>
    </cfRule>
  </conditionalFormatting>
  <conditionalFormatting sqref="G173:G180">
    <cfRule type="containsText" dxfId="1504" priority="119" operator="containsText" text="WIP">
      <formula>NOT(ISERROR(SEARCH(("WIP"),(G173))))</formula>
    </cfRule>
  </conditionalFormatting>
  <conditionalFormatting sqref="G174:G187">
    <cfRule type="containsText" dxfId="1503" priority="120" operator="containsText" text="C">
      <formula>NOT(ISERROR(SEARCH(("C"),(G174))))</formula>
    </cfRule>
  </conditionalFormatting>
  <conditionalFormatting sqref="G176:G180">
    <cfRule type="containsText" dxfId="1502" priority="95" operator="containsText" text="C">
      <formula>NOT(ISERROR(SEARCH(("C"),(G176))))</formula>
    </cfRule>
  </conditionalFormatting>
  <conditionalFormatting sqref="G183:G186">
    <cfRule type="containsText" dxfId="1501" priority="121" operator="containsText" text="WIP">
      <formula>NOT(ISERROR(SEARCH(("WIP"),(G183))))</formula>
    </cfRule>
  </conditionalFormatting>
  <conditionalFormatting sqref="G188:G194">
    <cfRule type="containsText" dxfId="1500" priority="122" operator="containsText" text="WIP">
      <formula>NOT(ISERROR(SEARCH(("WIP"),(G188))))</formula>
    </cfRule>
  </conditionalFormatting>
  <conditionalFormatting sqref="G192:G194">
    <cfRule type="containsText" dxfId="1499" priority="124" operator="containsText" text="C">
      <formula>NOT(ISERROR(SEARCH(("C"),(G192))))</formula>
    </cfRule>
  </conditionalFormatting>
  <conditionalFormatting sqref="G196:G202">
    <cfRule type="containsText" dxfId="1498" priority="125" operator="containsText" text="WIP">
      <formula>NOT(ISERROR(SEARCH(("WIP"),(G196))))</formula>
    </cfRule>
  </conditionalFormatting>
  <conditionalFormatting sqref="G206:G207">
    <cfRule type="containsText" dxfId="1497" priority="126" operator="containsText" text="WIP">
      <formula>NOT(ISERROR(SEARCH(("WIP"),(G206))))</formula>
    </cfRule>
  </conditionalFormatting>
  <conditionalFormatting sqref="H70">
    <cfRule type="containsText" dxfId="1496" priority="128" operator="containsText" text="C">
      <formula>NOT(ISERROR(SEARCH(("C"),(H70))))</formula>
    </cfRule>
  </conditionalFormatting>
  <conditionalFormatting sqref="J6:J10">
    <cfRule type="containsText" dxfId="1495" priority="52" operator="containsText" text="C">
      <formula>NOT(ISERROR(SEARCH(("C"),(J6))))</formula>
    </cfRule>
  </conditionalFormatting>
  <conditionalFormatting sqref="J7:J21">
    <cfRule type="containsText" dxfId="1494" priority="130" operator="containsText" text="WIP">
      <formula>NOT(ISERROR(SEARCH(("WIP"),(J7))))</formula>
    </cfRule>
  </conditionalFormatting>
  <conditionalFormatting sqref="J7:J33">
    <cfRule type="containsText" dxfId="1493" priority="131" operator="containsText" text="C">
      <formula>NOT(ISERROR(SEARCH(("C"),(J7))))</formula>
    </cfRule>
  </conditionalFormatting>
  <conditionalFormatting sqref="J30:J33">
    <cfRule type="containsText" dxfId="1492" priority="135" operator="containsText" text="WIP">
      <formula>NOT(ISERROR(SEARCH(("WIP"),(J30))))</formula>
    </cfRule>
  </conditionalFormatting>
  <conditionalFormatting sqref="J34:J46">
    <cfRule type="containsText" dxfId="1491" priority="10" operator="containsText" text="C">
      <formula>NOT(ISERROR(SEARCH(("C"),(J34))))</formula>
    </cfRule>
  </conditionalFormatting>
  <conditionalFormatting sqref="J39">
    <cfRule type="containsText" dxfId="1490" priority="137" operator="containsText" text="WIP">
      <formula>NOT(ISERROR(SEARCH(("WIP"),(J39))))</formula>
    </cfRule>
  </conditionalFormatting>
  <conditionalFormatting sqref="J47:J83 J39">
    <cfRule type="containsText" dxfId="1489" priority="139" operator="containsText" text="C">
      <formula>NOT(ISERROR(SEARCH(("C"),(J39))))</formula>
    </cfRule>
  </conditionalFormatting>
  <conditionalFormatting sqref="J50:J51">
    <cfRule type="containsText" dxfId="1488" priority="138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40" operator="containsText" text="WIP">
      <formula>NOT(ISERROR(SEARCH(("WIP"),(G58))))</formula>
    </cfRule>
  </conditionalFormatting>
  <conditionalFormatting sqref="J84:J101">
    <cfRule type="containsText" dxfId="1486" priority="141" operator="containsText" text="C">
      <formula>NOT(ISERROR(SEARCH(("C"),(J84))))</formula>
    </cfRule>
  </conditionalFormatting>
  <conditionalFormatting sqref="J88:J98">
    <cfRule type="containsText" dxfId="1485" priority="143" operator="containsText" text="WIP">
      <formula>NOT(ISERROR(SEARCH(("WIP"),(J88))))</formula>
    </cfRule>
  </conditionalFormatting>
  <conditionalFormatting sqref="J100:J122">
    <cfRule type="containsText" dxfId="1484" priority="142" operator="containsText" text="WIP">
      <formula>NOT(ISERROR(SEARCH(("WIP"),(J100))))</formula>
    </cfRule>
  </conditionalFormatting>
  <conditionalFormatting sqref="J102:J133">
    <cfRule type="containsText" dxfId="1483" priority="144" operator="containsText" text="C">
      <formula>NOT(ISERROR(SEARCH(("C"),(J102))))</formula>
    </cfRule>
  </conditionalFormatting>
  <conditionalFormatting sqref="J113:J117">
    <cfRule type="containsText" dxfId="1482" priority="146" operator="containsText" text="WIP">
      <formula>NOT(ISERROR(SEARCH(("WIP"),(J113))))</formula>
    </cfRule>
  </conditionalFormatting>
  <conditionalFormatting sqref="J132:J151">
    <cfRule type="containsText" dxfId="1481" priority="147" operator="containsText" text="WIP">
      <formula>NOT(ISERROR(SEARCH(("WIP"),(J132))))</formula>
    </cfRule>
  </conditionalFormatting>
  <conditionalFormatting sqref="J133:J154">
    <cfRule type="containsText" dxfId="1480" priority="148" operator="containsText" text="C">
      <formula>NOT(ISERROR(SEARCH(("C"),(J133))))</formula>
    </cfRule>
  </conditionalFormatting>
  <conditionalFormatting sqref="J154:J171">
    <cfRule type="containsText" dxfId="1479" priority="149" operator="containsText" text="WIP">
      <formula>NOT(ISERROR(SEARCH(("WIP"),(J154))))</formula>
    </cfRule>
  </conditionalFormatting>
  <conditionalFormatting sqref="J155:J213">
    <cfRule type="containsText" dxfId="1478" priority="150" operator="containsText" text="C">
      <formula>NOT(ISERROR(SEARCH(("C"),(J155))))</formula>
    </cfRule>
  </conditionalFormatting>
  <conditionalFormatting sqref="J173:J180">
    <cfRule type="containsText" dxfId="1477" priority="152" operator="containsText" text="WIP">
      <formula>NOT(ISERROR(SEARCH(("WIP"),(J173))))</formula>
    </cfRule>
  </conditionalFormatting>
  <conditionalFormatting sqref="J186:J209">
    <cfRule type="containsText" dxfId="1476" priority="154" operator="containsText" text="WIP">
      <formula>NOT(ISERROR(SEARCH(("WIP"),(J186))))</formula>
    </cfRule>
  </conditionalFormatting>
  <conditionalFormatting sqref="J7:K8">
    <cfRule type="containsText" dxfId="1475" priority="155" operator="containsText" text="C">
      <formula>NOT(ISERROR(SEARCH(("C"),(J7))))</formula>
    </cfRule>
  </conditionalFormatting>
  <conditionalFormatting sqref="K7:K8">
    <cfRule type="containsText" dxfId="1474" priority="156" operator="containsText" text="WIP">
      <formula>NOT(ISERROR(SEARCH(("WIP"),(K7))))</formula>
    </cfRule>
  </conditionalFormatting>
  <conditionalFormatting sqref="M22:M29">
    <cfRule type="containsText" dxfId="1473" priority="169" operator="containsText" text="WIP">
      <formula>NOT(ISERROR(SEARCH(("WIP"),(M22))))</formula>
    </cfRule>
  </conditionalFormatting>
  <conditionalFormatting sqref="M22:M32">
    <cfRule type="containsText" dxfId="1472" priority="37" operator="containsText" text="C">
      <formula>NOT(ISERROR(SEARCH(("C"),(M22))))</formula>
    </cfRule>
  </conditionalFormatting>
  <conditionalFormatting sqref="M30 M51:N51 M61:N64 M6:N6">
    <cfRule type="containsText" dxfId="1471" priority="36" operator="containsText" text="WIP">
      <formula>NOT(ISERROR(SEARCH(("WIP"),(M6))))</formula>
    </cfRule>
  </conditionalFormatting>
  <conditionalFormatting sqref="M30 M51:N51 M61:N64">
    <cfRule type="containsText" dxfId="1470" priority="35" operator="containsText" text="C">
      <formula>NOT(ISERROR(SEARCH(("C"),(M30))))</formula>
    </cfRule>
  </conditionalFormatting>
  <conditionalFormatting sqref="M40:M41">
    <cfRule type="containsText" dxfId="1469" priority="26" operator="containsText" text="WIP">
      <formula>NOT(ISERROR(SEARCH(("WIP"),(M40))))</formula>
    </cfRule>
  </conditionalFormatting>
  <conditionalFormatting sqref="M40:M43">
    <cfRule type="containsText" dxfId="1468" priority="27" operator="containsText" text="C">
      <formula>NOT(ISERROR(SEARCH(("C"),(M40))))</formula>
    </cfRule>
  </conditionalFormatting>
  <conditionalFormatting sqref="M42:M43">
    <cfRule type="containsText" dxfId="1467" priority="31" operator="containsText" text="C">
      <formula>NOT(ISERROR(SEARCH(("C"),(M42))))</formula>
    </cfRule>
    <cfRule type="containsText" dxfId="1466" priority="30" operator="containsText" text="WIP">
      <formula>NOT(ISERROR(SEARCH(("WIP"),(M42))))</formula>
    </cfRule>
  </conditionalFormatting>
  <conditionalFormatting sqref="M44:M46 M77:N79">
    <cfRule type="containsText" dxfId="1465" priority="8" operator="containsText" text="C">
      <formula>NOT(ISERROR(SEARCH(("C"),(M44))))</formula>
    </cfRule>
    <cfRule type="containsText" dxfId="1464" priority="7" operator="containsText" text="WIP">
      <formula>NOT(ISERROR(SEARCH(("WIP"),(M44))))</formula>
    </cfRule>
    <cfRule type="containsText" dxfId="1463" priority="6" operator="containsText" text="C">
      <formula>NOT(ISERROR(SEARCH(("C"),(M44))))</formula>
    </cfRule>
  </conditionalFormatting>
  <conditionalFormatting sqref="M88">
    <cfRule type="containsText" dxfId="1462" priority="160" operator="containsText" text="WIP">
      <formula>NOT(ISERROR(SEARCH(("WIP"),(M88))))</formula>
    </cfRule>
    <cfRule type="containsText" dxfId="1461" priority="161" operator="containsText" text="C">
      <formula>NOT(ISERROR(SEARCH(("C"),(M88))))</formula>
    </cfRule>
  </conditionalFormatting>
  <conditionalFormatting sqref="M6:N10 M33:M34">
    <cfRule type="containsText" dxfId="1460" priority="34" operator="containsText" text="C">
      <formula>NOT(ISERROR(SEARCH(("C"),(M6))))</formula>
    </cfRule>
  </conditionalFormatting>
  <conditionalFormatting sqref="M7:N10">
    <cfRule type="containsText" dxfId="1459" priority="33" operator="containsText" text="WIP">
      <formula>NOT(ISERROR(SEARCH(("WIP"),(M7))))</formula>
    </cfRule>
  </conditionalFormatting>
  <conditionalFormatting sqref="M31:N32">
    <cfRule type="containsText" dxfId="1458" priority="39" operator="containsText" text="WIP">
      <formula>NOT(ISERROR(SEARCH(("WIP"),(M31))))</formula>
    </cfRule>
  </conditionalFormatting>
  <conditionalFormatting sqref="M31:N41 M6:N10 M47:N76 E6:G41 M17:N18">
    <cfRule type="containsText" dxfId="1457" priority="51" operator="containsText" text="C">
      <formula>NOT(ISERROR(SEARCH(("C"),(E6))))</formula>
    </cfRule>
  </conditionalFormatting>
  <conditionalFormatting sqref="M33:N34">
    <cfRule type="containsText" dxfId="1456" priority="13" operator="containsText" text="WIP">
      <formula>NOT(ISERROR(SEARCH(("WIP"),(M33))))</formula>
    </cfRule>
  </conditionalFormatting>
  <conditionalFormatting sqref="N13 M13:M14 N17 N22:N30 N80:N82 M80:M83">
    <cfRule type="containsText" dxfId="1455" priority="159" operator="containsText" text="C">
      <formula>NOT(ISERROR(SEARCH(("C"),(M13))))</formula>
    </cfRule>
  </conditionalFormatting>
  <conditionalFormatting sqref="N13 M13:M14 N17 N80:N82 M80:M83 N22:N30">
    <cfRule type="containsText" dxfId="1454" priority="158" operator="containsText" text="WIP">
      <formula>NOT(ISERROR(SEARCH(("WIP"),(M13))))</formula>
    </cfRule>
  </conditionalFormatting>
  <conditionalFormatting sqref="N17 N13 M13:M14 N80:N82 M80:M83">
    <cfRule type="containsText" dxfId="1453" priority="157" operator="containsText" text="C">
      <formula>NOT(ISERROR(SEARCH(("C"),(M13))))</formula>
    </cfRule>
  </conditionalFormatting>
  <conditionalFormatting sqref="N22:N32">
    <cfRule type="containsText" dxfId="1452" priority="43" operator="containsText" text="C">
      <formula>NOT(ISERROR(SEARCH(("C"),(N22))))</formula>
    </cfRule>
  </conditionalFormatting>
  <conditionalFormatting sqref="N33:N34">
    <cfRule type="containsText" dxfId="1451" priority="12" operator="containsText" text="C">
      <formula>NOT(ISERROR(SEARCH(("C"),(N33))))</formula>
    </cfRule>
  </conditionalFormatting>
  <conditionalFormatting sqref="N39">
    <cfRule type="containsText" dxfId="1450" priority="4" operator="containsText" text="WIP">
      <formula>NOT(ISERROR(SEARCH(("WIP"),(N39))))</formula>
    </cfRule>
  </conditionalFormatting>
  <conditionalFormatting sqref="N39:N40">
    <cfRule type="containsText" dxfId="1449" priority="5" operator="containsText" text="C">
      <formula>NOT(ISERROR(SEARCH(("C"),(N39))))</formula>
    </cfRule>
  </conditionalFormatting>
  <conditionalFormatting sqref="N40:N46">
    <cfRule type="containsText" dxfId="1448" priority="16" operator="containsText" text="WIP">
      <formula>NOT(ISERROR(SEARCH(("WIP"),(N40))))</formula>
    </cfRule>
  </conditionalFormatting>
  <conditionalFormatting sqref="N41:N46">
    <cfRule type="containsText" dxfId="1447" priority="20" operator="containsText" text="C">
      <formula>NOT(ISERROR(SEARCH(("C"),(N41))))</formula>
    </cfRule>
  </conditionalFormatting>
  <conditionalFormatting sqref="N42:N46">
    <cfRule type="containsText" dxfId="1446" priority="9" operator="containsText" text="C">
      <formula>NOT(ISERROR(SEARCH(("C"),(N42))))</formula>
    </cfRule>
  </conditionalFormatting>
  <conditionalFormatting sqref="S24:S64">
    <cfRule type="containsText" dxfId="1445" priority="170" operator="containsText" text="WIP">
      <formula>NOT(ISERROR(SEARCH(("WIP"),(S24))))</formula>
    </cfRule>
  </conditionalFormatting>
  <conditionalFormatting sqref="S24:S70">
    <cfRule type="containsText" dxfId="1444" priority="171" operator="containsText" text="C">
      <formula>NOT(ISERROR(SEARCH(("C"),(S24))))</formula>
    </cfRule>
  </conditionalFormatting>
  <conditionalFormatting sqref="S86:S93 V86:V93">
    <cfRule type="containsText" dxfId="1443" priority="173" operator="containsText" text="WIP">
      <formula>NOT(ISERROR(SEARCH(("WIP"),(S86))))</formula>
    </cfRule>
    <cfRule type="containsText" dxfId="1442" priority="174" operator="containsText" text="C">
      <formula>NOT(ISERROR(SEARCH(("C"),(S86))))</formula>
    </cfRule>
  </conditionalFormatting>
  <conditionalFormatting sqref="S103:S213">
    <cfRule type="containsText" dxfId="1441" priority="175" operator="containsText" text="WIP">
      <formula>NOT(ISERROR(SEARCH(("WIP"),(S103))))</formula>
    </cfRule>
    <cfRule type="containsText" dxfId="1440" priority="176" operator="containsText" text="C">
      <formula>NOT(ISERROR(SEARCH(("C"),(S103))))</formula>
    </cfRule>
  </conditionalFormatting>
  <conditionalFormatting sqref="V24:V64">
    <cfRule type="containsText" dxfId="1439" priority="1" operator="containsText" text="WIP">
      <formula>NOT(ISERROR(SEARCH(("WIP"),(V24))))</formula>
    </cfRule>
  </conditionalFormatting>
  <conditionalFormatting sqref="V24:V70">
    <cfRule type="containsText" dxfId="1438" priority="2" operator="containsText" text="C">
      <formula>NOT(ISERROR(SEARCH(("C"),(V24))))</formula>
    </cfRule>
  </conditionalFormatting>
  <conditionalFormatting sqref="V103:V213">
    <cfRule type="containsText" dxfId="1437" priority="180" operator="containsText" text="WIP">
      <formula>NOT(ISERROR(SEARCH(("WIP"),(V103))))</formula>
    </cfRule>
    <cfRule type="containsText" dxfId="1436" priority="181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I23" activePane="bottomRight" state="frozen"/>
      <selection pane="topRight" activeCell="E1" sqref="E1"/>
      <selection pane="bottomLeft" activeCell="A6" sqref="A6"/>
      <selection pane="bottomRight" activeCell="P33" sqref="P33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3" t="str">
        <f>+Summary!A2</f>
        <v>Name of the Line: 220KV DC AL59 line from Neemuch - Chanderiya + 132KV DC ACSS Line from Chanderiya to Hindustan Zinc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5"/>
    </row>
    <row r="2" spans="1:26" ht="14.25" customHeight="1">
      <c r="A2" s="616" t="str">
        <f>+Summary!A5</f>
        <v>Progress of 220kV Line</v>
      </c>
      <c r="B2" s="617"/>
      <c r="C2" s="617"/>
      <c r="D2" s="617"/>
      <c r="E2" s="467"/>
      <c r="F2" s="616" t="s">
        <v>603</v>
      </c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475"/>
      <c r="T2" s="616" t="s">
        <v>604</v>
      </c>
      <c r="U2" s="617"/>
      <c r="V2" s="617"/>
      <c r="W2" s="617"/>
      <c r="X2" s="617"/>
      <c r="Y2" s="617"/>
      <c r="Z2" s="617"/>
    </row>
    <row r="3" spans="1:26" ht="14.25" customHeight="1">
      <c r="A3" s="616" t="s">
        <v>605</v>
      </c>
      <c r="B3" s="617"/>
      <c r="C3" s="617"/>
      <c r="D3" s="474">
        <f>Summary!R5</f>
        <v>46110</v>
      </c>
      <c r="E3" s="461">
        <f>SUMIF(E6:E52,"C",$D$6:$D$52)/1000</f>
        <v>4.8541460000000001</v>
      </c>
      <c r="F3" s="467"/>
      <c r="G3" s="467"/>
      <c r="H3" s="462">
        <f>SUMIF(G7:G45,"WIP",$D$7:$D$45)/1000</f>
        <v>0</v>
      </c>
      <c r="I3" s="461">
        <f>SUMIF(G6:G52,"C",$D$6:$D$52)/1000</f>
        <v>4.8541460000000001</v>
      </c>
      <c r="J3" s="467"/>
      <c r="K3" s="462">
        <f>SUMIF(J7:J45,"WIP",$D$7:$D$45)/1000</f>
        <v>0</v>
      </c>
      <c r="L3" s="461">
        <f>SUMIF(J6:J52,"C",$D$6:$D$52)/1000</f>
        <v>3.0664760000000002</v>
      </c>
      <c r="M3" s="467"/>
      <c r="N3" s="467"/>
      <c r="O3" s="467"/>
      <c r="P3" s="467"/>
      <c r="Q3" s="467"/>
      <c r="R3" s="467"/>
      <c r="S3" s="475"/>
      <c r="T3" s="467"/>
      <c r="U3" s="462">
        <f>SUMIF(T7:T45,"WIP",$D$7:$D$45)/1000</f>
        <v>0</v>
      </c>
      <c r="V3" s="462">
        <f>SUMIF(T7:T45,"C",$D$7:$D$45)/1000</f>
        <v>0</v>
      </c>
      <c r="W3" s="462"/>
      <c r="X3" s="462">
        <f>SUMIF(W7:W45,"WIP",$D$7:$D$45)/1000</f>
        <v>0</v>
      </c>
      <c r="Y3" s="462">
        <f>SUMIF(W7:W45,"C",$D$7:$D$45)/1000</f>
        <v>0</v>
      </c>
      <c r="Z3" s="467"/>
    </row>
    <row r="4" spans="1:26" ht="14.25" customHeight="1">
      <c r="A4" s="463" t="s">
        <v>2</v>
      </c>
      <c r="B4" s="618" t="s">
        <v>459</v>
      </c>
      <c r="C4" s="617"/>
      <c r="D4" s="463" t="s">
        <v>606</v>
      </c>
      <c r="E4" s="463" t="s">
        <v>607</v>
      </c>
      <c r="F4" s="465" t="s">
        <v>608</v>
      </c>
      <c r="G4" s="619" t="s">
        <v>609</v>
      </c>
      <c r="H4" s="617"/>
      <c r="I4" s="617"/>
      <c r="J4" s="619" t="s">
        <v>388</v>
      </c>
      <c r="K4" s="617"/>
      <c r="L4" s="617"/>
      <c r="M4" s="465" t="s">
        <v>610</v>
      </c>
      <c r="N4" s="465" t="s">
        <v>611</v>
      </c>
      <c r="O4" s="467" t="s">
        <v>612</v>
      </c>
      <c r="P4" s="465" t="s">
        <v>489</v>
      </c>
      <c r="Q4" s="465" t="s">
        <v>569</v>
      </c>
      <c r="R4" s="465" t="s">
        <v>15</v>
      </c>
      <c r="S4" s="466"/>
      <c r="T4" s="616" t="s">
        <v>613</v>
      </c>
      <c r="U4" s="617"/>
      <c r="V4" s="617"/>
      <c r="W4" s="616" t="s">
        <v>614</v>
      </c>
      <c r="X4" s="617"/>
      <c r="Y4" s="617"/>
      <c r="Z4" s="465" t="s">
        <v>489</v>
      </c>
    </row>
    <row r="5" spans="1:26" ht="14.25" customHeight="1">
      <c r="A5" s="463"/>
      <c r="B5" s="464" t="s">
        <v>615</v>
      </c>
      <c r="C5" s="464" t="s">
        <v>616</v>
      </c>
      <c r="D5" s="463"/>
      <c r="E5" s="463"/>
      <c r="F5" s="465"/>
      <c r="G5" s="467" t="s">
        <v>617</v>
      </c>
      <c r="H5" s="467" t="s">
        <v>492</v>
      </c>
      <c r="I5" s="467" t="s">
        <v>23</v>
      </c>
      <c r="J5" s="467" t="s">
        <v>617</v>
      </c>
      <c r="K5" s="467" t="s">
        <v>492</v>
      </c>
      <c r="L5" s="467" t="s">
        <v>23</v>
      </c>
      <c r="M5" s="467" t="s">
        <v>617</v>
      </c>
      <c r="N5" s="467" t="s">
        <v>617</v>
      </c>
      <c r="O5" s="467" t="s">
        <v>617</v>
      </c>
      <c r="P5" s="465"/>
      <c r="Q5" s="465"/>
      <c r="R5" s="465"/>
      <c r="S5" s="466"/>
      <c r="T5" s="467" t="s">
        <v>617</v>
      </c>
      <c r="U5" s="467" t="s">
        <v>492</v>
      </c>
      <c r="V5" s="467" t="s">
        <v>23</v>
      </c>
      <c r="W5" s="467" t="s">
        <v>617</v>
      </c>
      <c r="X5" s="467" t="s">
        <v>492</v>
      </c>
      <c r="Y5" s="467" t="s">
        <v>23</v>
      </c>
      <c r="Z5" s="465"/>
    </row>
    <row r="6" spans="1:26" ht="14.25" customHeight="1">
      <c r="A6" s="457">
        <v>1</v>
      </c>
      <c r="B6" s="468" t="s">
        <v>733</v>
      </c>
      <c r="C6" s="457" t="s">
        <v>734</v>
      </c>
      <c r="D6" s="458">
        <v>58.79</v>
      </c>
      <c r="E6" s="458"/>
      <c r="F6" s="458"/>
      <c r="G6" s="458"/>
      <c r="H6" s="469"/>
      <c r="I6" s="469"/>
      <c r="J6" s="458"/>
      <c r="K6" s="469"/>
      <c r="L6" s="469"/>
      <c r="M6" s="458"/>
      <c r="N6" s="458"/>
      <c r="O6" s="458"/>
      <c r="P6" s="457"/>
      <c r="Q6" s="457"/>
      <c r="R6" s="457"/>
      <c r="S6" s="476"/>
      <c r="T6" s="457"/>
      <c r="U6" s="469"/>
      <c r="V6" s="469"/>
      <c r="W6" s="457"/>
      <c r="X6" s="469"/>
      <c r="Y6" s="469"/>
      <c r="Z6" s="457"/>
    </row>
    <row r="7" spans="1:26" ht="14.25" customHeight="1">
      <c r="A7" s="457">
        <f>A6+1</f>
        <v>2</v>
      </c>
      <c r="B7" s="468" t="s">
        <v>734</v>
      </c>
      <c r="C7" s="457" t="s">
        <v>735</v>
      </c>
      <c r="D7" s="458">
        <v>149.12</v>
      </c>
      <c r="E7" s="458"/>
      <c r="F7" s="458"/>
      <c r="G7" s="458"/>
      <c r="H7" s="469"/>
      <c r="I7" s="469"/>
      <c r="J7" s="458"/>
      <c r="K7" s="469"/>
      <c r="L7" s="469"/>
      <c r="M7" s="458"/>
      <c r="N7" s="458"/>
      <c r="O7" s="458"/>
      <c r="P7" s="457"/>
      <c r="Q7" s="457"/>
      <c r="R7" s="457"/>
      <c r="S7" s="476"/>
      <c r="T7" s="457"/>
      <c r="U7" s="469"/>
      <c r="V7" s="469"/>
      <c r="W7" s="457"/>
      <c r="X7" s="469"/>
      <c r="Y7" s="469"/>
      <c r="Z7" s="457"/>
    </row>
    <row r="8" spans="1:26" ht="14.25" customHeight="1">
      <c r="A8" s="457">
        <f t="shared" ref="A8:A52" si="0">A7+1</f>
        <v>3</v>
      </c>
      <c r="B8" s="457" t="s">
        <v>735</v>
      </c>
      <c r="C8" s="457" t="s">
        <v>736</v>
      </c>
      <c r="D8" s="458">
        <v>128.1</v>
      </c>
      <c r="E8" s="458"/>
      <c r="F8" s="458"/>
      <c r="G8" s="458"/>
      <c r="H8" s="469"/>
      <c r="I8" s="469"/>
      <c r="J8" s="458"/>
      <c r="K8" s="469"/>
      <c r="L8" s="469"/>
      <c r="M8" s="458"/>
      <c r="N8" s="458"/>
      <c r="O8" s="458"/>
      <c r="P8" s="457"/>
      <c r="Q8" s="457"/>
      <c r="R8" s="457"/>
      <c r="S8" s="476"/>
      <c r="T8" s="457"/>
      <c r="U8" s="469"/>
      <c r="V8" s="469"/>
      <c r="W8" s="457"/>
      <c r="X8" s="469"/>
      <c r="Y8" s="469"/>
      <c r="Z8" s="457"/>
    </row>
    <row r="9" spans="1:26" ht="14.25" customHeight="1">
      <c r="A9" s="457">
        <f t="shared" si="0"/>
        <v>4</v>
      </c>
      <c r="B9" s="457" t="s">
        <v>736</v>
      </c>
      <c r="C9" s="457" t="s">
        <v>737</v>
      </c>
      <c r="D9" s="458">
        <v>252.72</v>
      </c>
      <c r="E9" s="458"/>
      <c r="F9" s="458"/>
      <c r="G9" s="458"/>
      <c r="H9" s="469"/>
      <c r="I9" s="469"/>
      <c r="J9" s="458"/>
      <c r="K9" s="469"/>
      <c r="L9" s="469"/>
      <c r="M9" s="458"/>
      <c r="N9" s="458"/>
      <c r="O9" s="458"/>
      <c r="P9" s="457"/>
      <c r="Q9" s="457"/>
      <c r="R9" s="457"/>
      <c r="S9" s="476"/>
      <c r="T9" s="457"/>
      <c r="U9" s="469"/>
      <c r="V9" s="469"/>
      <c r="W9" s="457"/>
      <c r="X9" s="469"/>
      <c r="Y9" s="469"/>
      <c r="Z9" s="457"/>
    </row>
    <row r="10" spans="1:26" ht="14.25" customHeight="1">
      <c r="A10" s="457">
        <f t="shared" si="0"/>
        <v>5</v>
      </c>
      <c r="B10" s="457" t="s">
        <v>737</v>
      </c>
      <c r="C10" s="457" t="s">
        <v>738</v>
      </c>
      <c r="D10" s="458">
        <v>146.74</v>
      </c>
      <c r="E10" s="458"/>
      <c r="F10" s="458"/>
      <c r="G10" s="458"/>
      <c r="H10" s="469"/>
      <c r="I10" s="469"/>
      <c r="J10" s="458"/>
      <c r="K10" s="469"/>
      <c r="L10" s="469"/>
      <c r="M10" s="458"/>
      <c r="N10" s="458"/>
      <c r="O10" s="458"/>
      <c r="P10" s="457"/>
      <c r="Q10" s="457"/>
      <c r="R10" s="457"/>
      <c r="S10" s="476"/>
      <c r="T10" s="457"/>
      <c r="U10" s="469"/>
      <c r="V10" s="469"/>
      <c r="W10" s="457"/>
      <c r="X10" s="469"/>
      <c r="Y10" s="469"/>
      <c r="Z10" s="457"/>
    </row>
    <row r="11" spans="1:26" ht="14.25" customHeight="1">
      <c r="A11" s="457">
        <f t="shared" si="0"/>
        <v>6</v>
      </c>
      <c r="B11" s="457" t="s">
        <v>738</v>
      </c>
      <c r="C11" s="457" t="s">
        <v>739</v>
      </c>
      <c r="D11" s="458">
        <v>190.05</v>
      </c>
      <c r="E11" s="458"/>
      <c r="F11" s="457"/>
      <c r="G11" s="457"/>
      <c r="H11" s="469"/>
      <c r="I11" s="469"/>
      <c r="J11" s="457"/>
      <c r="K11" s="469"/>
      <c r="L11" s="469"/>
      <c r="M11" s="457"/>
      <c r="N11" s="457"/>
      <c r="O11" s="457"/>
      <c r="P11" s="457"/>
      <c r="Q11" s="457"/>
      <c r="R11" s="457"/>
      <c r="S11" s="476"/>
      <c r="T11" s="457"/>
      <c r="U11" s="469"/>
      <c r="V11" s="469"/>
      <c r="W11" s="457"/>
      <c r="X11" s="469"/>
      <c r="Y11" s="469"/>
      <c r="Z11" s="457"/>
    </row>
    <row r="12" spans="1:26" ht="14.25" customHeight="1">
      <c r="A12" s="457">
        <f t="shared" si="0"/>
        <v>7</v>
      </c>
      <c r="B12" s="457" t="s">
        <v>739</v>
      </c>
      <c r="C12" s="457" t="s">
        <v>740</v>
      </c>
      <c r="D12" s="458">
        <v>83.39</v>
      </c>
      <c r="E12" s="458"/>
      <c r="F12" s="457"/>
      <c r="G12" s="457"/>
      <c r="H12" s="469"/>
      <c r="I12" s="469"/>
      <c r="J12" s="457"/>
      <c r="K12" s="469"/>
      <c r="L12" s="469"/>
      <c r="M12" s="457"/>
      <c r="N12" s="457"/>
      <c r="O12" s="457"/>
      <c r="P12" s="457"/>
      <c r="Q12" s="457"/>
      <c r="R12" s="457"/>
      <c r="S12" s="476"/>
      <c r="T12" s="457"/>
      <c r="U12" s="469"/>
      <c r="V12" s="469"/>
      <c r="W12" s="457"/>
      <c r="X12" s="469"/>
      <c r="Y12" s="469"/>
      <c r="Z12" s="457"/>
    </row>
    <row r="13" spans="1:26" ht="14.25" customHeight="1">
      <c r="A13" s="457">
        <f t="shared" si="0"/>
        <v>8</v>
      </c>
      <c r="B13" s="457" t="s">
        <v>744</v>
      </c>
      <c r="C13" s="457" t="s">
        <v>741</v>
      </c>
      <c r="D13" s="458">
        <v>120.53</v>
      </c>
      <c r="E13" s="458"/>
      <c r="F13" s="458"/>
      <c r="G13" s="458"/>
      <c r="H13" s="469"/>
      <c r="I13" s="469"/>
      <c r="J13" s="458"/>
      <c r="K13" s="469"/>
      <c r="L13" s="469"/>
      <c r="M13" s="458"/>
      <c r="N13" s="458"/>
      <c r="O13" s="458"/>
      <c r="P13" s="457"/>
      <c r="Q13" s="457"/>
      <c r="R13" s="457"/>
      <c r="S13" s="476"/>
      <c r="T13" s="457"/>
      <c r="U13" s="469"/>
      <c r="V13" s="469"/>
      <c r="W13" s="457"/>
      <c r="X13" s="469"/>
      <c r="Y13" s="469"/>
      <c r="Z13" s="457"/>
    </row>
    <row r="14" spans="1:26" ht="14.25" customHeight="1">
      <c r="A14" s="457">
        <f t="shared" si="0"/>
        <v>9</v>
      </c>
      <c r="B14" s="457" t="s">
        <v>741</v>
      </c>
      <c r="C14" s="457" t="s">
        <v>717</v>
      </c>
      <c r="D14" s="458">
        <v>259.51</v>
      </c>
      <c r="E14" s="458"/>
      <c r="F14" s="458"/>
      <c r="G14" s="458"/>
      <c r="H14" s="469"/>
      <c r="I14" s="469"/>
      <c r="J14" s="458"/>
      <c r="K14" s="469"/>
      <c r="L14" s="469"/>
      <c r="M14" s="458"/>
      <c r="N14" s="458"/>
      <c r="O14" s="457"/>
      <c r="P14" s="457"/>
      <c r="Q14" s="457"/>
      <c r="R14" s="457"/>
      <c r="S14" s="476"/>
      <c r="T14" s="457"/>
      <c r="U14" s="469"/>
      <c r="V14" s="469"/>
      <c r="W14" s="457"/>
      <c r="X14" s="469"/>
      <c r="Y14" s="469"/>
      <c r="Z14" s="457"/>
    </row>
    <row r="15" spans="1:26" ht="14.25" customHeight="1">
      <c r="A15" s="457">
        <f t="shared" si="0"/>
        <v>10</v>
      </c>
      <c r="B15" s="457" t="s">
        <v>717</v>
      </c>
      <c r="C15" s="457" t="s">
        <v>719</v>
      </c>
      <c r="D15" s="458">
        <v>256.61</v>
      </c>
      <c r="E15" s="458"/>
      <c r="F15" s="458"/>
      <c r="G15" s="457"/>
      <c r="H15" s="469"/>
      <c r="I15" s="469"/>
      <c r="J15" s="457"/>
      <c r="K15" s="469"/>
      <c r="L15" s="469"/>
      <c r="M15" s="457"/>
      <c r="N15" s="457"/>
      <c r="O15" s="457"/>
      <c r="P15" s="457"/>
      <c r="Q15" s="457"/>
      <c r="R15" s="457"/>
      <c r="S15" s="476"/>
      <c r="T15" s="457"/>
      <c r="U15" s="469"/>
      <c r="V15" s="469"/>
      <c r="W15" s="457"/>
      <c r="X15" s="469"/>
      <c r="Y15" s="469"/>
      <c r="Z15" s="457"/>
    </row>
    <row r="16" spans="1:26" ht="14.25" customHeight="1">
      <c r="A16" s="457">
        <f t="shared" si="0"/>
        <v>11</v>
      </c>
      <c r="B16" s="457" t="s">
        <v>719</v>
      </c>
      <c r="C16" s="457" t="s">
        <v>721</v>
      </c>
      <c r="D16" s="458">
        <v>277.95</v>
      </c>
      <c r="E16" s="458"/>
      <c r="F16" s="458"/>
      <c r="G16" s="457"/>
      <c r="H16" s="469"/>
      <c r="I16" s="469"/>
      <c r="J16" s="457"/>
      <c r="K16" s="469"/>
      <c r="L16" s="469"/>
      <c r="M16" s="457"/>
      <c r="N16" s="457"/>
      <c r="O16" s="457"/>
      <c r="P16" s="457"/>
      <c r="Q16" s="457"/>
      <c r="R16" s="457"/>
      <c r="S16" s="476"/>
      <c r="T16" s="457"/>
      <c r="U16" s="469"/>
      <c r="V16" s="469"/>
      <c r="W16" s="457"/>
      <c r="X16" s="469"/>
      <c r="Y16" s="469"/>
      <c r="Z16" s="457"/>
    </row>
    <row r="17" spans="1:26" ht="14.25" customHeight="1">
      <c r="A17" s="457">
        <f t="shared" si="0"/>
        <v>12</v>
      </c>
      <c r="B17" s="457" t="s">
        <v>721</v>
      </c>
      <c r="C17" s="457" t="s">
        <v>722</v>
      </c>
      <c r="D17" s="458">
        <v>202.25</v>
      </c>
      <c r="E17" s="458"/>
      <c r="F17" s="458"/>
      <c r="G17" s="458"/>
      <c r="H17" s="469"/>
      <c r="I17" s="469"/>
      <c r="J17" s="458"/>
      <c r="K17" s="469"/>
      <c r="L17" s="469"/>
      <c r="M17" s="458"/>
      <c r="N17" s="458"/>
      <c r="O17" s="458"/>
      <c r="P17" s="457"/>
      <c r="Q17" s="457"/>
      <c r="R17" s="457"/>
      <c r="S17" s="476"/>
      <c r="T17" s="457"/>
      <c r="U17" s="469"/>
      <c r="V17" s="469"/>
      <c r="W17" s="457"/>
      <c r="X17" s="469"/>
      <c r="Y17" s="469"/>
      <c r="Z17" s="457"/>
    </row>
    <row r="18" spans="1:26" ht="14.25" customHeight="1">
      <c r="A18" s="457">
        <f t="shared" si="0"/>
        <v>13</v>
      </c>
      <c r="B18" s="457" t="s">
        <v>722</v>
      </c>
      <c r="C18" s="457" t="s">
        <v>38</v>
      </c>
      <c r="D18" s="458">
        <v>62.76</v>
      </c>
      <c r="E18" s="458"/>
      <c r="F18" s="458"/>
      <c r="G18" s="458"/>
      <c r="H18" s="469"/>
      <c r="I18" s="469"/>
      <c r="J18" s="458"/>
      <c r="K18" s="469"/>
      <c r="L18" s="469"/>
      <c r="M18" s="458"/>
      <c r="N18" s="458"/>
      <c r="O18" s="458"/>
      <c r="P18" s="457"/>
      <c r="Q18" s="457"/>
      <c r="R18" s="457"/>
      <c r="S18" s="476"/>
      <c r="T18" s="457"/>
      <c r="U18" s="469"/>
      <c r="V18" s="469"/>
      <c r="W18" s="457"/>
      <c r="X18" s="469"/>
      <c r="Y18" s="469"/>
      <c r="Z18" s="457"/>
    </row>
    <row r="19" spans="1:26" ht="14.25" customHeight="1">
      <c r="A19" s="457">
        <f t="shared" si="0"/>
        <v>14</v>
      </c>
      <c r="B19" s="457" t="s">
        <v>38</v>
      </c>
      <c r="C19" s="457" t="s">
        <v>64</v>
      </c>
      <c r="D19" s="458">
        <v>278.14999999999998</v>
      </c>
      <c r="E19" s="458"/>
      <c r="F19" s="457"/>
      <c r="G19" s="457"/>
      <c r="H19" s="469"/>
      <c r="I19" s="469"/>
      <c r="J19" s="457"/>
      <c r="K19" s="469"/>
      <c r="L19" s="469"/>
      <c r="M19" s="457"/>
      <c r="N19" s="457"/>
      <c r="O19" s="457"/>
      <c r="P19" s="457"/>
      <c r="Q19" s="457"/>
      <c r="R19" s="457"/>
      <c r="S19" s="476"/>
      <c r="T19" s="457"/>
      <c r="U19" s="469"/>
      <c r="V19" s="469"/>
      <c r="W19" s="457"/>
      <c r="X19" s="469"/>
      <c r="Y19" s="469"/>
      <c r="Z19" s="457"/>
    </row>
    <row r="20" spans="1:26" ht="14.25" customHeight="1">
      <c r="A20" s="457">
        <f t="shared" si="0"/>
        <v>15</v>
      </c>
      <c r="B20" s="457" t="s">
        <v>64</v>
      </c>
      <c r="C20" s="457" t="s">
        <v>344</v>
      </c>
      <c r="D20" s="458">
        <v>234.56</v>
      </c>
      <c r="E20" s="458"/>
      <c r="F20" s="457"/>
      <c r="G20" s="457"/>
      <c r="H20" s="469"/>
      <c r="I20" s="469"/>
      <c r="J20" s="457"/>
      <c r="K20" s="469"/>
      <c r="L20" s="469"/>
      <c r="M20" s="457"/>
      <c r="N20" s="457"/>
      <c r="O20" s="457"/>
      <c r="P20" s="457"/>
      <c r="Q20" s="457"/>
      <c r="R20" s="457"/>
      <c r="S20" s="476"/>
      <c r="T20" s="457"/>
      <c r="U20" s="469"/>
      <c r="V20" s="469"/>
      <c r="W20" s="457"/>
      <c r="X20" s="469"/>
      <c r="Y20" s="469"/>
      <c r="Z20" s="457"/>
    </row>
    <row r="21" spans="1:26" ht="14.25" customHeight="1">
      <c r="A21" s="457">
        <f t="shared" si="0"/>
        <v>16</v>
      </c>
      <c r="B21" s="457" t="s">
        <v>344</v>
      </c>
      <c r="C21" s="457" t="s">
        <v>67</v>
      </c>
      <c r="D21" s="458">
        <v>249.04</v>
      </c>
      <c r="E21" s="458"/>
      <c r="F21" s="457"/>
      <c r="G21" s="457"/>
      <c r="H21" s="469"/>
      <c r="I21" s="469"/>
      <c r="J21" s="457"/>
      <c r="K21" s="469"/>
      <c r="L21" s="469"/>
      <c r="M21" s="457"/>
      <c r="N21" s="457"/>
      <c r="O21" s="457"/>
      <c r="P21" s="457"/>
      <c r="Q21" s="457"/>
      <c r="R21" s="457"/>
      <c r="S21" s="476"/>
      <c r="T21" s="457"/>
      <c r="U21" s="469"/>
      <c r="V21" s="469"/>
      <c r="W21" s="457"/>
      <c r="X21" s="469"/>
      <c r="Y21" s="469"/>
      <c r="Z21" s="457"/>
    </row>
    <row r="22" spans="1:26" ht="14.25" customHeight="1">
      <c r="A22" s="457">
        <f t="shared" si="0"/>
        <v>17</v>
      </c>
      <c r="B22" s="457" t="s">
        <v>67</v>
      </c>
      <c r="C22" s="457" t="s">
        <v>310</v>
      </c>
      <c r="D22" s="458">
        <v>256</v>
      </c>
      <c r="E22" s="458"/>
      <c r="F22" s="458"/>
      <c r="G22" s="458"/>
      <c r="H22" s="469"/>
      <c r="I22" s="469"/>
      <c r="J22" s="458"/>
      <c r="K22" s="469"/>
      <c r="L22" s="469"/>
      <c r="M22" s="458"/>
      <c r="N22" s="458"/>
      <c r="O22" s="458"/>
      <c r="P22" s="457"/>
      <c r="Q22" s="457"/>
      <c r="R22" s="457"/>
      <c r="S22" s="476"/>
      <c r="T22" s="457"/>
      <c r="U22" s="469"/>
      <c r="V22" s="469"/>
      <c r="W22" s="457"/>
      <c r="X22" s="469"/>
      <c r="Y22" s="469"/>
      <c r="Z22" s="457"/>
    </row>
    <row r="23" spans="1:26" ht="14.25" customHeight="1">
      <c r="A23" s="457">
        <f t="shared" si="0"/>
        <v>18</v>
      </c>
      <c r="B23" s="457" t="s">
        <v>310</v>
      </c>
      <c r="C23" s="457" t="s">
        <v>69</v>
      </c>
      <c r="D23" s="458">
        <v>226.52</v>
      </c>
      <c r="E23" s="458"/>
      <c r="F23" s="458"/>
      <c r="G23" s="458"/>
      <c r="H23" s="469"/>
      <c r="I23" s="469"/>
      <c r="J23" s="458"/>
      <c r="K23" s="469"/>
      <c r="L23" s="469"/>
      <c r="M23" s="458"/>
      <c r="N23" s="458"/>
      <c r="O23" s="458"/>
      <c r="P23" s="457"/>
      <c r="Q23" s="457"/>
      <c r="R23" s="457"/>
      <c r="S23" s="476"/>
      <c r="T23" s="457"/>
      <c r="U23" s="469"/>
      <c r="V23" s="469"/>
      <c r="W23" s="457"/>
      <c r="X23" s="469"/>
      <c r="Y23" s="469"/>
      <c r="Z23" s="457"/>
    </row>
    <row r="24" spans="1:26" ht="14.25" customHeight="1">
      <c r="A24" s="457">
        <f t="shared" si="0"/>
        <v>19</v>
      </c>
      <c r="B24" s="457" t="s">
        <v>69</v>
      </c>
      <c r="C24" s="457" t="s">
        <v>71</v>
      </c>
      <c r="D24" s="458">
        <v>43.62</v>
      </c>
      <c r="E24" s="458"/>
      <c r="F24" s="458"/>
      <c r="G24" s="458"/>
      <c r="H24" s="469"/>
      <c r="I24" s="469"/>
      <c r="J24" s="458"/>
      <c r="K24" s="469"/>
      <c r="L24" s="469"/>
      <c r="M24" s="458"/>
      <c r="N24" s="458"/>
      <c r="O24" s="458"/>
      <c r="P24" s="457"/>
      <c r="Q24" s="457"/>
      <c r="R24" s="457"/>
      <c r="S24" s="476"/>
      <c r="T24" s="457"/>
      <c r="U24" s="469"/>
      <c r="V24" s="469"/>
      <c r="W24" s="457"/>
      <c r="X24" s="469"/>
      <c r="Y24" s="469"/>
      <c r="Z24" s="457"/>
    </row>
    <row r="25" spans="1:26" ht="14.25" customHeight="1">
      <c r="A25" s="457">
        <f t="shared" si="0"/>
        <v>20</v>
      </c>
      <c r="B25" s="457" t="s">
        <v>71</v>
      </c>
      <c r="C25" s="457" t="s">
        <v>72</v>
      </c>
      <c r="D25" s="458">
        <v>52</v>
      </c>
      <c r="E25" s="458"/>
      <c r="F25" s="458"/>
      <c r="G25" s="458"/>
      <c r="H25" s="469"/>
      <c r="I25" s="469"/>
      <c r="J25" s="458"/>
      <c r="K25" s="469"/>
      <c r="L25" s="469"/>
      <c r="M25" s="458"/>
      <c r="N25" s="458"/>
      <c r="O25" s="458"/>
      <c r="P25" s="457"/>
      <c r="Q25" s="457"/>
      <c r="R25" s="457"/>
      <c r="S25" s="476"/>
      <c r="T25" s="457"/>
      <c r="U25" s="469"/>
      <c r="V25" s="469"/>
      <c r="W25" s="457"/>
      <c r="X25" s="469"/>
      <c r="Y25" s="469"/>
      <c r="Z25" s="457"/>
    </row>
    <row r="26" spans="1:26" ht="14.25" customHeight="1">
      <c r="A26" s="457">
        <f t="shared" si="0"/>
        <v>21</v>
      </c>
      <c r="B26" s="457" t="s">
        <v>72</v>
      </c>
      <c r="C26" s="457" t="s">
        <v>93</v>
      </c>
      <c r="D26" s="458">
        <v>47.06</v>
      </c>
      <c r="E26" s="458"/>
      <c r="F26" s="458"/>
      <c r="G26" s="458"/>
      <c r="H26" s="469"/>
      <c r="I26" s="469"/>
      <c r="J26" s="458"/>
      <c r="K26" s="469"/>
      <c r="L26" s="469"/>
      <c r="M26" s="458"/>
      <c r="N26" s="458"/>
      <c r="O26" s="458"/>
      <c r="P26" s="457"/>
      <c r="Q26" s="457"/>
      <c r="R26" s="457"/>
      <c r="S26" s="476"/>
      <c r="T26" s="457"/>
      <c r="U26" s="469"/>
      <c r="V26" s="469"/>
      <c r="W26" s="457"/>
      <c r="X26" s="469"/>
      <c r="Y26" s="469"/>
      <c r="Z26" s="457"/>
    </row>
    <row r="27" spans="1:26" ht="14.25" customHeight="1">
      <c r="A27" s="457">
        <f t="shared" si="0"/>
        <v>22</v>
      </c>
      <c r="B27" s="457" t="s">
        <v>93</v>
      </c>
      <c r="C27" s="457" t="s">
        <v>104</v>
      </c>
      <c r="D27" s="458">
        <v>286.44</v>
      </c>
      <c r="E27" s="481" t="s">
        <v>20</v>
      </c>
      <c r="F27" s="481" t="s">
        <v>20</v>
      </c>
      <c r="G27" s="481" t="s">
        <v>20</v>
      </c>
      <c r="H27" s="469">
        <v>46106</v>
      </c>
      <c r="I27" s="469">
        <v>46106</v>
      </c>
      <c r="J27" s="458"/>
      <c r="K27" s="469"/>
      <c r="L27" s="469"/>
      <c r="M27" s="458"/>
      <c r="N27" s="458"/>
      <c r="O27" s="458"/>
      <c r="P27" s="457"/>
      <c r="Q27" s="457"/>
      <c r="R27" s="457"/>
      <c r="S27" s="476"/>
      <c r="T27" s="457"/>
      <c r="U27" s="469"/>
      <c r="V27" s="469"/>
      <c r="W27" s="457"/>
      <c r="X27" s="469"/>
      <c r="Y27" s="469"/>
      <c r="Z27" s="457"/>
    </row>
    <row r="28" spans="1:26" ht="14.25" customHeight="1">
      <c r="A28" s="457">
        <f t="shared" si="0"/>
        <v>23</v>
      </c>
      <c r="B28" s="457" t="s">
        <v>104</v>
      </c>
      <c r="C28" s="457" t="s">
        <v>701</v>
      </c>
      <c r="D28" s="458">
        <v>317</v>
      </c>
      <c r="E28" s="481" t="s">
        <v>20</v>
      </c>
      <c r="F28" s="481" t="s">
        <v>20</v>
      </c>
      <c r="G28" s="481" t="s">
        <v>20</v>
      </c>
      <c r="H28" s="469">
        <v>46107</v>
      </c>
      <c r="I28" s="469">
        <v>46108</v>
      </c>
      <c r="J28" s="458"/>
      <c r="K28" s="469"/>
      <c r="L28" s="469"/>
      <c r="M28" s="458"/>
      <c r="N28" s="458"/>
      <c r="O28" s="458"/>
      <c r="P28" s="457"/>
      <c r="Q28" s="457"/>
      <c r="R28" s="457"/>
      <c r="S28" s="476"/>
      <c r="T28" s="457"/>
      <c r="U28" s="469"/>
      <c r="V28" s="469"/>
      <c r="W28" s="457"/>
      <c r="X28" s="469"/>
      <c r="Y28" s="469"/>
      <c r="Z28" s="457"/>
    </row>
    <row r="29" spans="1:26" ht="14.25" customHeight="1">
      <c r="A29" s="457">
        <f t="shared" si="0"/>
        <v>24</v>
      </c>
      <c r="B29" s="457" t="s">
        <v>701</v>
      </c>
      <c r="C29" s="457" t="s">
        <v>702</v>
      </c>
      <c r="D29" s="458">
        <v>328</v>
      </c>
      <c r="E29" s="481" t="s">
        <v>20</v>
      </c>
      <c r="F29" s="481" t="s">
        <v>20</v>
      </c>
      <c r="G29" s="481" t="s">
        <v>20</v>
      </c>
      <c r="H29" s="469">
        <v>46107</v>
      </c>
      <c r="I29" s="469">
        <v>46108</v>
      </c>
      <c r="J29" s="458"/>
      <c r="K29" s="469"/>
      <c r="L29" s="469"/>
      <c r="M29" s="458"/>
      <c r="N29" s="458"/>
      <c r="O29" s="457"/>
      <c r="P29" s="457"/>
      <c r="Q29" s="457"/>
      <c r="R29" s="457"/>
      <c r="S29" s="476"/>
      <c r="T29" s="457"/>
      <c r="U29" s="469"/>
      <c r="V29" s="469"/>
      <c r="W29" s="457"/>
      <c r="X29" s="469"/>
      <c r="Y29" s="469"/>
      <c r="Z29" s="457"/>
    </row>
    <row r="30" spans="1:26" ht="14.25" customHeight="1">
      <c r="A30" s="457">
        <f t="shared" si="0"/>
        <v>25</v>
      </c>
      <c r="B30" s="457" t="s">
        <v>702</v>
      </c>
      <c r="C30" s="457" t="s">
        <v>703</v>
      </c>
      <c r="D30" s="458">
        <v>297</v>
      </c>
      <c r="E30" s="481" t="s">
        <v>20</v>
      </c>
      <c r="F30" s="481" t="s">
        <v>20</v>
      </c>
      <c r="G30" s="481" t="s">
        <v>20</v>
      </c>
      <c r="H30" s="469">
        <v>46107</v>
      </c>
      <c r="I30" s="469">
        <v>46108</v>
      </c>
      <c r="J30" s="458"/>
      <c r="K30" s="469"/>
      <c r="L30" s="469"/>
      <c r="M30" s="457"/>
      <c r="N30" s="457"/>
      <c r="O30" s="457"/>
      <c r="P30" s="457"/>
      <c r="Q30" s="457"/>
      <c r="R30" s="457"/>
      <c r="S30" s="476"/>
      <c r="T30" s="457"/>
      <c r="U30" s="469"/>
      <c r="V30" s="469"/>
      <c r="W30" s="457"/>
      <c r="X30" s="469"/>
      <c r="Y30" s="469"/>
      <c r="Z30" s="457"/>
    </row>
    <row r="31" spans="1:26" ht="14.25" customHeight="1">
      <c r="A31" s="457">
        <f t="shared" si="0"/>
        <v>26</v>
      </c>
      <c r="B31" s="457" t="s">
        <v>703</v>
      </c>
      <c r="C31" s="457" t="s">
        <v>704</v>
      </c>
      <c r="D31" s="458">
        <v>251</v>
      </c>
      <c r="E31" s="481" t="s">
        <v>20</v>
      </c>
      <c r="F31" s="481" t="s">
        <v>20</v>
      </c>
      <c r="G31" s="481" t="s">
        <v>20</v>
      </c>
      <c r="H31" s="469">
        <v>46107</v>
      </c>
      <c r="I31" s="469">
        <v>46108</v>
      </c>
      <c r="J31" s="458"/>
      <c r="K31" s="469"/>
      <c r="L31" s="469"/>
      <c r="M31" s="457"/>
      <c r="N31" s="457"/>
      <c r="O31" s="457"/>
      <c r="P31" s="457"/>
      <c r="Q31" s="457"/>
      <c r="R31" s="457"/>
      <c r="S31" s="476"/>
      <c r="T31" s="457"/>
      <c r="U31" s="469"/>
      <c r="V31" s="469"/>
      <c r="W31" s="457"/>
      <c r="X31" s="469"/>
      <c r="Y31" s="469"/>
      <c r="Z31" s="457"/>
    </row>
    <row r="32" spans="1:26" ht="14.25" customHeight="1">
      <c r="A32" s="457">
        <f t="shared" si="0"/>
        <v>27</v>
      </c>
      <c r="B32" s="457" t="s">
        <v>704</v>
      </c>
      <c r="C32" s="457" t="s">
        <v>106</v>
      </c>
      <c r="D32" s="458">
        <v>308.23</v>
      </c>
      <c r="E32" s="481" t="s">
        <v>20</v>
      </c>
      <c r="F32" s="481" t="s">
        <v>20</v>
      </c>
      <c r="G32" s="481" t="s">
        <v>20</v>
      </c>
      <c r="H32" s="469">
        <v>46107</v>
      </c>
      <c r="I32" s="469">
        <v>46108</v>
      </c>
      <c r="J32" s="458"/>
      <c r="K32" s="469"/>
      <c r="L32" s="469"/>
      <c r="M32" s="457"/>
      <c r="N32" s="457"/>
      <c r="O32" s="457"/>
      <c r="P32" s="457"/>
      <c r="Q32" s="457"/>
      <c r="R32" s="457"/>
      <c r="S32" s="476"/>
      <c r="T32" s="457"/>
      <c r="U32" s="469"/>
      <c r="V32" s="469"/>
      <c r="W32" s="457"/>
      <c r="X32" s="469"/>
      <c r="Y32" s="469"/>
      <c r="Z32" s="457"/>
    </row>
    <row r="33" spans="1:26" ht="14.25" customHeight="1">
      <c r="A33" s="457">
        <f t="shared" si="0"/>
        <v>28</v>
      </c>
      <c r="B33" s="457" t="s">
        <v>106</v>
      </c>
      <c r="C33" s="457" t="s">
        <v>111</v>
      </c>
      <c r="D33" s="458">
        <v>278.12</v>
      </c>
      <c r="E33" s="481" t="s">
        <v>20</v>
      </c>
      <c r="F33" s="481" t="s">
        <v>20</v>
      </c>
      <c r="G33" s="481" t="s">
        <v>20</v>
      </c>
      <c r="H33" s="469">
        <v>46104</v>
      </c>
      <c r="I33" s="469">
        <v>46105</v>
      </c>
      <c r="J33" s="481" t="s">
        <v>20</v>
      </c>
      <c r="K33" s="469">
        <v>46110</v>
      </c>
      <c r="L33" s="469">
        <v>46110</v>
      </c>
      <c r="M33" s="457"/>
      <c r="N33" s="457"/>
      <c r="O33" s="457"/>
      <c r="P33" s="457" t="s">
        <v>751</v>
      </c>
      <c r="Q33" s="457"/>
      <c r="R33" s="457"/>
      <c r="S33" s="476"/>
      <c r="T33" s="457"/>
      <c r="U33" s="469"/>
      <c r="V33" s="469"/>
      <c r="W33" s="457"/>
      <c r="X33" s="469"/>
      <c r="Y33" s="469"/>
      <c r="Z33" s="457"/>
    </row>
    <row r="34" spans="1:26" ht="14.25" customHeight="1">
      <c r="A34" s="457">
        <f t="shared" si="0"/>
        <v>29</v>
      </c>
      <c r="B34" s="457" t="s">
        <v>111</v>
      </c>
      <c r="C34" s="457" t="s">
        <v>320</v>
      </c>
      <c r="D34" s="458">
        <v>385.96</v>
      </c>
      <c r="E34" s="481" t="s">
        <v>20</v>
      </c>
      <c r="F34" s="481" t="s">
        <v>20</v>
      </c>
      <c r="G34" s="481" t="s">
        <v>20</v>
      </c>
      <c r="H34" s="469">
        <v>46098</v>
      </c>
      <c r="I34" s="469">
        <v>46099</v>
      </c>
      <c r="J34" s="481" t="s">
        <v>20</v>
      </c>
      <c r="K34" s="469">
        <v>46100</v>
      </c>
      <c r="L34" s="469">
        <v>46101</v>
      </c>
      <c r="M34" s="457"/>
      <c r="N34" s="457"/>
      <c r="O34" s="457"/>
      <c r="P34" s="472" t="s">
        <v>745</v>
      </c>
      <c r="Q34" s="457"/>
      <c r="R34" s="457"/>
      <c r="S34" s="476"/>
      <c r="T34" s="457"/>
      <c r="U34" s="469"/>
      <c r="V34" s="469"/>
      <c r="W34" s="457"/>
      <c r="X34" s="469"/>
      <c r="Y34" s="469"/>
      <c r="Z34" s="457"/>
    </row>
    <row r="35" spans="1:26" ht="14.25" customHeight="1">
      <c r="A35" s="457">
        <f t="shared" si="0"/>
        <v>30</v>
      </c>
      <c r="B35" s="457" t="s">
        <v>320</v>
      </c>
      <c r="C35" s="457" t="s">
        <v>322</v>
      </c>
      <c r="D35" s="458">
        <v>259.92</v>
      </c>
      <c r="E35" s="481" t="s">
        <v>20</v>
      </c>
      <c r="F35" s="481" t="s">
        <v>20</v>
      </c>
      <c r="G35" s="481" t="s">
        <v>20</v>
      </c>
      <c r="H35" s="469">
        <v>46098</v>
      </c>
      <c r="I35" s="469">
        <v>46099</v>
      </c>
      <c r="J35" s="481" t="s">
        <v>20</v>
      </c>
      <c r="K35" s="469">
        <v>46100</v>
      </c>
      <c r="L35" s="469">
        <v>46101</v>
      </c>
      <c r="M35" s="458"/>
      <c r="N35" s="458"/>
      <c r="O35" s="458"/>
      <c r="P35" s="472" t="s">
        <v>745</v>
      </c>
      <c r="Q35" s="457"/>
      <c r="R35" s="457"/>
      <c r="S35" s="476"/>
      <c r="T35" s="457"/>
      <c r="U35" s="469"/>
      <c r="V35" s="469"/>
      <c r="W35" s="457"/>
      <c r="X35" s="469"/>
      <c r="Y35" s="469"/>
      <c r="Z35" s="457"/>
    </row>
    <row r="36" spans="1:26" ht="14.25" customHeight="1">
      <c r="A36" s="457">
        <f t="shared" si="0"/>
        <v>31</v>
      </c>
      <c r="B36" s="457" t="s">
        <v>322</v>
      </c>
      <c r="C36" s="457" t="s">
        <v>324</v>
      </c>
      <c r="D36" s="458">
        <v>215.13</v>
      </c>
      <c r="E36" s="458"/>
      <c r="F36" s="458"/>
      <c r="G36" s="458"/>
      <c r="H36" s="469"/>
      <c r="I36" s="469"/>
      <c r="J36" s="458"/>
      <c r="K36" s="469"/>
      <c r="L36" s="469"/>
      <c r="M36" s="458"/>
      <c r="N36" s="458"/>
      <c r="O36" s="458"/>
      <c r="P36" s="457"/>
      <c r="Q36" s="457"/>
      <c r="R36" s="457"/>
      <c r="S36" s="476"/>
      <c r="T36" s="457"/>
      <c r="U36" s="469"/>
      <c r="V36" s="469"/>
      <c r="W36" s="457"/>
      <c r="X36" s="469"/>
      <c r="Y36" s="469"/>
      <c r="Z36" s="457"/>
    </row>
    <row r="37" spans="1:26" ht="14.25" customHeight="1">
      <c r="A37" s="457">
        <f t="shared" si="0"/>
        <v>32</v>
      </c>
      <c r="B37" s="457" t="s">
        <v>324</v>
      </c>
      <c r="C37" s="457" t="s">
        <v>326</v>
      </c>
      <c r="D37" s="458">
        <v>316.14999999999998</v>
      </c>
      <c r="E37" s="458"/>
      <c r="F37" s="458"/>
      <c r="G37" s="458"/>
      <c r="H37" s="469"/>
      <c r="I37" s="469"/>
      <c r="J37" s="458"/>
      <c r="K37" s="469"/>
      <c r="L37" s="469"/>
      <c r="M37" s="458"/>
      <c r="N37" s="458"/>
      <c r="O37" s="458"/>
      <c r="P37" s="457"/>
      <c r="Q37" s="457"/>
      <c r="R37" s="457"/>
      <c r="S37" s="476"/>
      <c r="T37" s="457"/>
      <c r="U37" s="469"/>
      <c r="V37" s="469"/>
      <c r="W37" s="457"/>
      <c r="X37" s="469"/>
      <c r="Y37" s="469"/>
      <c r="Z37" s="457"/>
    </row>
    <row r="38" spans="1:26" ht="14.25" customHeight="1">
      <c r="A38" s="457">
        <f t="shared" si="0"/>
        <v>33</v>
      </c>
      <c r="B38" s="457" t="s">
        <v>326</v>
      </c>
      <c r="C38" s="457" t="s">
        <v>328</v>
      </c>
      <c r="D38" s="458">
        <v>274</v>
      </c>
      <c r="E38" s="481" t="s">
        <v>20</v>
      </c>
      <c r="F38" s="481" t="s">
        <v>20</v>
      </c>
      <c r="G38" s="481" t="s">
        <v>20</v>
      </c>
      <c r="H38" s="469">
        <v>46094</v>
      </c>
      <c r="I38" s="469">
        <v>46094</v>
      </c>
      <c r="J38" s="481" t="s">
        <v>20</v>
      </c>
      <c r="K38" s="469">
        <v>46097</v>
      </c>
      <c r="L38" s="469">
        <v>46097</v>
      </c>
      <c r="M38" s="458"/>
      <c r="N38" s="458"/>
      <c r="O38" s="458"/>
      <c r="P38" s="472" t="s">
        <v>745</v>
      </c>
      <c r="Q38" s="457"/>
      <c r="R38" s="457"/>
      <c r="S38" s="476"/>
      <c r="T38" s="457"/>
      <c r="U38" s="469"/>
      <c r="V38" s="469"/>
      <c r="W38" s="457"/>
      <c r="X38" s="469"/>
      <c r="Y38" s="469"/>
      <c r="Z38" s="457"/>
    </row>
    <row r="39" spans="1:26" ht="14.25" customHeight="1">
      <c r="A39" s="457">
        <f t="shared" si="0"/>
        <v>34</v>
      </c>
      <c r="B39" s="457" t="s">
        <v>328</v>
      </c>
      <c r="C39" s="457" t="s">
        <v>329</v>
      </c>
      <c r="D39" s="458">
        <v>293.27999999999997</v>
      </c>
      <c r="E39" s="481" t="s">
        <v>20</v>
      </c>
      <c r="F39" s="481" t="s">
        <v>20</v>
      </c>
      <c r="G39" s="481" t="s">
        <v>20</v>
      </c>
      <c r="H39" s="469">
        <v>46094</v>
      </c>
      <c r="I39" s="469">
        <v>46094</v>
      </c>
      <c r="J39" s="481" t="s">
        <v>20</v>
      </c>
      <c r="K39" s="469">
        <v>46097</v>
      </c>
      <c r="L39" s="469">
        <v>46097</v>
      </c>
      <c r="M39" s="481" t="s">
        <v>20</v>
      </c>
      <c r="N39" s="481" t="s">
        <v>20</v>
      </c>
      <c r="O39" s="457"/>
      <c r="P39" s="472" t="s">
        <v>745</v>
      </c>
      <c r="Q39" s="457"/>
      <c r="R39" s="457"/>
      <c r="S39" s="476"/>
      <c r="T39" s="457"/>
      <c r="U39" s="469"/>
      <c r="V39" s="469"/>
      <c r="W39" s="457"/>
      <c r="X39" s="469"/>
      <c r="Y39" s="469"/>
      <c r="Z39" s="457"/>
    </row>
    <row r="40" spans="1:26" ht="14.25" customHeight="1">
      <c r="A40" s="457">
        <f t="shared" si="0"/>
        <v>35</v>
      </c>
      <c r="B40" s="457" t="s">
        <v>329</v>
      </c>
      <c r="C40" s="457" t="s">
        <v>167</v>
      </c>
      <c r="D40" s="458">
        <v>48.42</v>
      </c>
      <c r="E40" s="481" t="s">
        <v>20</v>
      </c>
      <c r="F40" s="481" t="s">
        <v>20</v>
      </c>
      <c r="G40" s="481" t="s">
        <v>20</v>
      </c>
      <c r="H40" s="469">
        <v>46093</v>
      </c>
      <c r="I40" s="469">
        <v>46093</v>
      </c>
      <c r="J40" s="481" t="s">
        <v>20</v>
      </c>
      <c r="K40" s="469">
        <v>46093</v>
      </c>
      <c r="L40" s="469">
        <v>46093</v>
      </c>
      <c r="M40" s="813"/>
      <c r="N40" s="813"/>
      <c r="O40" s="457"/>
      <c r="P40" s="472" t="s">
        <v>745</v>
      </c>
      <c r="Q40" s="457"/>
      <c r="R40" s="457"/>
      <c r="S40" s="476"/>
      <c r="T40" s="457"/>
      <c r="U40" s="469"/>
      <c r="V40" s="469"/>
      <c r="W40" s="457"/>
      <c r="X40" s="469"/>
      <c r="Y40" s="469"/>
      <c r="Z40" s="457"/>
    </row>
    <row r="41" spans="1:26" ht="14.25" customHeight="1">
      <c r="A41" s="457">
        <f t="shared" si="0"/>
        <v>36</v>
      </c>
      <c r="B41" s="457" t="s">
        <v>167</v>
      </c>
      <c r="C41" s="457" t="s">
        <v>331</v>
      </c>
      <c r="D41" s="458">
        <v>58.24</v>
      </c>
      <c r="E41" s="481" t="s">
        <v>20</v>
      </c>
      <c r="F41" s="481" t="s">
        <v>20</v>
      </c>
      <c r="G41" s="481" t="s">
        <v>20</v>
      </c>
      <c r="H41" s="469">
        <v>46093</v>
      </c>
      <c r="I41" s="469">
        <v>46093</v>
      </c>
      <c r="J41" s="481" t="s">
        <v>20</v>
      </c>
      <c r="K41" s="469">
        <v>46095</v>
      </c>
      <c r="L41" s="469">
        <v>46095</v>
      </c>
      <c r="M41" s="813"/>
      <c r="N41" s="813"/>
      <c r="O41" s="457"/>
      <c r="P41" s="472" t="s">
        <v>745</v>
      </c>
      <c r="Q41" s="457"/>
      <c r="R41" s="457"/>
      <c r="S41" s="476"/>
      <c r="T41" s="457"/>
      <c r="U41" s="469"/>
      <c r="V41" s="469"/>
      <c r="W41" s="457"/>
      <c r="X41" s="469"/>
      <c r="Y41" s="469"/>
      <c r="Z41" s="457"/>
    </row>
    <row r="42" spans="1:26" ht="14.25" customHeight="1">
      <c r="A42" s="457">
        <f t="shared" si="0"/>
        <v>37</v>
      </c>
      <c r="B42" s="457" t="s">
        <v>331</v>
      </c>
      <c r="C42" s="457" t="s">
        <v>332</v>
      </c>
      <c r="D42" s="458">
        <v>70.13</v>
      </c>
      <c r="E42" s="481" t="s">
        <v>20</v>
      </c>
      <c r="F42" s="481" t="s">
        <v>20</v>
      </c>
      <c r="G42" s="481" t="s">
        <v>20</v>
      </c>
      <c r="H42" s="469">
        <v>46096</v>
      </c>
      <c r="I42" s="469">
        <v>46096</v>
      </c>
      <c r="J42" s="481" t="s">
        <v>20</v>
      </c>
      <c r="K42" s="469">
        <v>46096</v>
      </c>
      <c r="L42" s="469">
        <v>46096</v>
      </c>
      <c r="M42" s="813"/>
      <c r="N42" s="813"/>
      <c r="O42" s="457"/>
      <c r="P42" s="472" t="s">
        <v>745</v>
      </c>
      <c r="Q42" s="457"/>
      <c r="R42" s="457"/>
      <c r="S42" s="476"/>
      <c r="T42" s="457"/>
      <c r="U42" s="469"/>
      <c r="V42" s="469"/>
      <c r="W42" s="457"/>
      <c r="X42" s="469"/>
      <c r="Y42" s="469"/>
      <c r="Z42" s="457"/>
    </row>
    <row r="43" spans="1:26" ht="14.25" customHeight="1">
      <c r="A43" s="457">
        <f t="shared" si="0"/>
        <v>38</v>
      </c>
      <c r="B43" s="457" t="s">
        <v>332</v>
      </c>
      <c r="C43" s="457" t="s">
        <v>334</v>
      </c>
      <c r="D43" s="458">
        <v>220.7</v>
      </c>
      <c r="E43" s="458"/>
      <c r="F43" s="458"/>
      <c r="G43" s="458"/>
      <c r="H43" s="469"/>
      <c r="I43" s="469"/>
      <c r="J43" s="457"/>
      <c r="K43" s="469"/>
      <c r="L43" s="469"/>
      <c r="M43" s="457"/>
      <c r="N43" s="471"/>
      <c r="O43" s="457"/>
      <c r="P43" s="346"/>
      <c r="Q43" s="346"/>
      <c r="R43" s="346"/>
      <c r="S43" s="470"/>
      <c r="T43" s="457"/>
      <c r="U43" s="469"/>
      <c r="V43" s="469"/>
      <c r="W43" s="457"/>
      <c r="X43" s="469"/>
      <c r="Y43" s="469"/>
      <c r="Z43" s="457"/>
    </row>
    <row r="44" spans="1:26" ht="14.25" customHeight="1">
      <c r="A44" s="457">
        <f t="shared" si="0"/>
        <v>39</v>
      </c>
      <c r="B44" s="457" t="s">
        <v>334</v>
      </c>
      <c r="C44" s="457" t="s">
        <v>181</v>
      </c>
      <c r="D44" s="458">
        <v>262.95</v>
      </c>
      <c r="E44" s="481" t="s">
        <v>20</v>
      </c>
      <c r="F44" s="481" t="s">
        <v>20</v>
      </c>
      <c r="G44" s="481" t="s">
        <v>20</v>
      </c>
      <c r="H44" s="426">
        <v>46088</v>
      </c>
      <c r="I44" s="426">
        <v>46090</v>
      </c>
      <c r="J44" s="481" t="s">
        <v>20</v>
      </c>
      <c r="K44" s="426">
        <v>46089</v>
      </c>
      <c r="L44" s="426">
        <v>46090</v>
      </c>
      <c r="M44" s="481" t="s">
        <v>20</v>
      </c>
      <c r="N44" s="481" t="s">
        <v>20</v>
      </c>
      <c r="O44" s="457"/>
      <c r="P44" s="472" t="s">
        <v>745</v>
      </c>
      <c r="Q44" s="346"/>
      <c r="R44" s="457"/>
      <c r="S44" s="476"/>
      <c r="T44" s="457"/>
      <c r="U44" s="469"/>
      <c r="V44" s="469"/>
      <c r="W44" s="457"/>
      <c r="X44" s="469"/>
      <c r="Y44" s="469"/>
      <c r="Z44" s="457"/>
    </row>
    <row r="45" spans="1:26" ht="14.25" customHeight="1">
      <c r="A45" s="457">
        <f t="shared" si="0"/>
        <v>40</v>
      </c>
      <c r="B45" s="457" t="s">
        <v>181</v>
      </c>
      <c r="C45" s="457" t="s">
        <v>182</v>
      </c>
      <c r="D45" s="458">
        <v>251.57</v>
      </c>
      <c r="E45" s="481" t="s">
        <v>20</v>
      </c>
      <c r="F45" s="481" t="s">
        <v>20</v>
      </c>
      <c r="G45" s="481" t="s">
        <v>20</v>
      </c>
      <c r="H45" s="426">
        <v>46088</v>
      </c>
      <c r="I45" s="426">
        <v>46090</v>
      </c>
      <c r="J45" s="481" t="s">
        <v>20</v>
      </c>
      <c r="K45" s="426">
        <v>46089</v>
      </c>
      <c r="L45" s="426">
        <v>46090</v>
      </c>
      <c r="M45" s="481" t="s">
        <v>20</v>
      </c>
      <c r="N45" s="481" t="s">
        <v>20</v>
      </c>
      <c r="O45" s="457"/>
      <c r="P45" s="472" t="s">
        <v>745</v>
      </c>
      <c r="Q45" s="346"/>
      <c r="R45" s="457"/>
      <c r="S45" s="476"/>
      <c r="T45" s="457"/>
      <c r="U45" s="469"/>
      <c r="V45" s="469"/>
      <c r="W45" s="457"/>
      <c r="X45" s="469"/>
      <c r="Y45" s="469"/>
      <c r="Z45" s="457"/>
    </row>
    <row r="46" spans="1:26" ht="14.25" customHeight="1">
      <c r="A46" s="457">
        <f t="shared" si="0"/>
        <v>41</v>
      </c>
      <c r="B46" s="472" t="s">
        <v>182</v>
      </c>
      <c r="C46" s="472" t="s">
        <v>183</v>
      </c>
      <c r="D46" s="472">
        <v>271.76</v>
      </c>
      <c r="E46" s="481" t="s">
        <v>20</v>
      </c>
      <c r="F46" s="481" t="s">
        <v>20</v>
      </c>
      <c r="G46" s="481" t="s">
        <v>20</v>
      </c>
      <c r="H46" s="426">
        <v>46088</v>
      </c>
      <c r="I46" s="426">
        <v>46090</v>
      </c>
      <c r="J46" s="481" t="s">
        <v>20</v>
      </c>
      <c r="K46" s="426">
        <v>46089</v>
      </c>
      <c r="L46" s="426">
        <v>46090</v>
      </c>
      <c r="M46" s="481" t="s">
        <v>20</v>
      </c>
      <c r="N46" s="481" t="s">
        <v>20</v>
      </c>
      <c r="O46" s="472"/>
      <c r="P46" s="472" t="s">
        <v>745</v>
      </c>
      <c r="Q46" s="472"/>
      <c r="R46" s="472"/>
      <c r="S46" s="476"/>
      <c r="T46" s="472"/>
      <c r="U46" s="472"/>
      <c r="V46" s="472"/>
      <c r="W46" s="472"/>
      <c r="X46" s="472"/>
      <c r="Y46" s="472"/>
      <c r="Z46" s="472"/>
    </row>
    <row r="47" spans="1:26" ht="14.25" customHeight="1">
      <c r="A47" s="457">
        <f t="shared" si="0"/>
        <v>42</v>
      </c>
      <c r="B47" s="472" t="s">
        <v>183</v>
      </c>
      <c r="C47" s="472" t="s">
        <v>336</v>
      </c>
      <c r="D47" s="472">
        <v>261.04000000000002</v>
      </c>
      <c r="E47" s="481" t="s">
        <v>20</v>
      </c>
      <c r="F47" s="481" t="s">
        <v>20</v>
      </c>
      <c r="G47" s="481" t="s">
        <v>20</v>
      </c>
      <c r="H47" s="426">
        <v>46088</v>
      </c>
      <c r="I47" s="426">
        <v>46090</v>
      </c>
      <c r="J47" s="481" t="s">
        <v>20</v>
      </c>
      <c r="K47" s="426">
        <v>46089</v>
      </c>
      <c r="L47" s="426">
        <v>46090</v>
      </c>
      <c r="M47" s="481" t="s">
        <v>20</v>
      </c>
      <c r="N47" s="481" t="s">
        <v>20</v>
      </c>
      <c r="O47" s="472"/>
      <c r="P47" s="472" t="s">
        <v>745</v>
      </c>
      <c r="Q47" s="472"/>
      <c r="R47" s="472"/>
      <c r="S47" s="476"/>
      <c r="T47" s="472"/>
      <c r="U47" s="472"/>
      <c r="V47" s="472"/>
      <c r="W47" s="472"/>
      <c r="X47" s="472"/>
      <c r="Y47" s="472"/>
      <c r="Z47" s="472"/>
    </row>
    <row r="48" spans="1:26" ht="14.25" customHeight="1">
      <c r="A48" s="457">
        <f t="shared" si="0"/>
        <v>43</v>
      </c>
      <c r="B48" s="472" t="s">
        <v>336</v>
      </c>
      <c r="C48" s="472" t="s">
        <v>192</v>
      </c>
      <c r="D48" s="472">
        <v>37.42</v>
      </c>
      <c r="E48" s="481" t="s">
        <v>20</v>
      </c>
      <c r="F48" s="481" t="s">
        <v>20</v>
      </c>
      <c r="G48" s="481" t="s">
        <v>20</v>
      </c>
      <c r="H48" s="426">
        <v>46086</v>
      </c>
      <c r="I48" s="426">
        <v>46087</v>
      </c>
      <c r="J48" s="481" t="s">
        <v>20</v>
      </c>
      <c r="K48" s="426">
        <v>46086</v>
      </c>
      <c r="L48" s="426">
        <v>46087</v>
      </c>
      <c r="M48" s="472"/>
      <c r="N48" s="472"/>
      <c r="O48" s="472"/>
      <c r="P48" s="471" t="s">
        <v>742</v>
      </c>
      <c r="Q48" s="472"/>
      <c r="R48" s="472"/>
      <c r="S48" s="476"/>
      <c r="T48" s="472"/>
      <c r="U48" s="472"/>
      <c r="V48" s="472"/>
      <c r="W48" s="472"/>
      <c r="X48" s="472"/>
      <c r="Y48" s="472"/>
      <c r="Z48" s="472"/>
    </row>
    <row r="49" spans="1:26" ht="14.25" customHeight="1">
      <c r="A49" s="457">
        <f t="shared" si="0"/>
        <v>44</v>
      </c>
      <c r="B49" s="472" t="s">
        <v>192</v>
      </c>
      <c r="C49" s="472" t="s">
        <v>193</v>
      </c>
      <c r="D49" s="472">
        <v>71</v>
      </c>
      <c r="E49" s="481" t="s">
        <v>20</v>
      </c>
      <c r="F49" s="481" t="s">
        <v>20</v>
      </c>
      <c r="G49" s="481" t="s">
        <v>20</v>
      </c>
      <c r="H49" s="426">
        <v>46084</v>
      </c>
      <c r="I49" s="426">
        <v>46084</v>
      </c>
      <c r="J49" s="481" t="s">
        <v>20</v>
      </c>
      <c r="K49" s="426">
        <v>46084</v>
      </c>
      <c r="L49" s="426">
        <v>46084</v>
      </c>
      <c r="M49" s="472"/>
      <c r="N49" s="472"/>
      <c r="O49" s="472"/>
      <c r="P49" s="471" t="s">
        <v>742</v>
      </c>
      <c r="Q49" s="472"/>
      <c r="R49" s="472"/>
      <c r="S49" s="476"/>
      <c r="T49" s="472"/>
      <c r="U49" s="472"/>
      <c r="V49" s="472"/>
      <c r="W49" s="472"/>
      <c r="X49" s="472"/>
      <c r="Y49" s="472"/>
      <c r="Z49" s="472"/>
    </row>
    <row r="50" spans="1:26" ht="14.25" customHeight="1">
      <c r="A50" s="457">
        <f t="shared" si="0"/>
        <v>45</v>
      </c>
      <c r="B50" s="472" t="s">
        <v>193</v>
      </c>
      <c r="C50" s="472" t="s">
        <v>338</v>
      </c>
      <c r="D50" s="472">
        <v>37.520000000000003</v>
      </c>
      <c r="E50" s="481" t="s">
        <v>20</v>
      </c>
      <c r="F50" s="481" t="s">
        <v>20</v>
      </c>
      <c r="G50" s="481" t="s">
        <v>20</v>
      </c>
      <c r="H50" s="426">
        <v>46076</v>
      </c>
      <c r="I50" s="426">
        <v>46076</v>
      </c>
      <c r="J50" s="481" t="s">
        <v>20</v>
      </c>
      <c r="K50" s="426">
        <v>46076</v>
      </c>
      <c r="L50" s="426">
        <v>46076</v>
      </c>
      <c r="M50" s="472"/>
      <c r="N50" s="471"/>
      <c r="O50" s="457"/>
      <c r="P50" s="471" t="s">
        <v>742</v>
      </c>
      <c r="Q50" s="472"/>
      <c r="R50" s="472"/>
      <c r="S50" s="476"/>
      <c r="T50" s="472"/>
      <c r="U50" s="472"/>
      <c r="V50" s="472"/>
      <c r="W50" s="472"/>
      <c r="X50" s="472"/>
      <c r="Y50" s="472"/>
      <c r="Z50" s="472"/>
    </row>
    <row r="51" spans="1:26" ht="14.25" customHeight="1">
      <c r="A51" s="457">
        <f t="shared" si="0"/>
        <v>46</v>
      </c>
      <c r="B51" s="472" t="s">
        <v>338</v>
      </c>
      <c r="C51" s="472" t="s">
        <v>340</v>
      </c>
      <c r="D51" s="472">
        <v>165.14699999999999</v>
      </c>
      <c r="E51" s="481" t="s">
        <v>20</v>
      </c>
      <c r="F51" s="481" t="s">
        <v>20</v>
      </c>
      <c r="G51" s="481" t="s">
        <v>20</v>
      </c>
      <c r="H51" s="426">
        <v>46083</v>
      </c>
      <c r="I51" s="426">
        <v>46084</v>
      </c>
      <c r="J51" s="481" t="s">
        <v>20</v>
      </c>
      <c r="K51" s="426">
        <v>46083</v>
      </c>
      <c r="L51" s="426">
        <v>46084</v>
      </c>
      <c r="M51" s="472"/>
      <c r="N51" s="472"/>
      <c r="O51" s="472"/>
      <c r="P51" s="471" t="s">
        <v>742</v>
      </c>
      <c r="Q51" s="472"/>
      <c r="R51" s="472"/>
      <c r="S51" s="476"/>
      <c r="T51" s="472"/>
      <c r="U51" s="472"/>
      <c r="V51" s="472"/>
      <c r="W51" s="472"/>
      <c r="X51" s="472"/>
      <c r="Y51" s="472"/>
      <c r="Z51" s="472"/>
    </row>
    <row r="52" spans="1:26" ht="14.25" customHeight="1">
      <c r="A52" s="457">
        <f t="shared" si="0"/>
        <v>47</v>
      </c>
      <c r="B52" s="472" t="s">
        <v>340</v>
      </c>
      <c r="C52" s="477" t="s">
        <v>629</v>
      </c>
      <c r="D52" s="472">
        <v>39.999000000000002</v>
      </c>
      <c r="E52" s="481" t="s">
        <v>20</v>
      </c>
      <c r="F52" s="481" t="s">
        <v>20</v>
      </c>
      <c r="G52" s="481" t="s">
        <v>20</v>
      </c>
      <c r="H52" s="426">
        <v>46073</v>
      </c>
      <c r="I52" s="426">
        <v>46074</v>
      </c>
      <c r="J52" s="481" t="s">
        <v>20</v>
      </c>
      <c r="K52" s="426">
        <v>46073</v>
      </c>
      <c r="L52" s="426">
        <v>46074</v>
      </c>
      <c r="M52" s="472"/>
      <c r="N52" s="472"/>
      <c r="O52" s="472"/>
      <c r="P52" s="471" t="s">
        <v>742</v>
      </c>
      <c r="Q52" s="472"/>
      <c r="R52" s="472"/>
      <c r="S52" s="476"/>
      <c r="T52" s="472"/>
      <c r="U52" s="472"/>
      <c r="V52" s="472"/>
      <c r="W52" s="472"/>
      <c r="X52" s="472"/>
      <c r="Y52" s="472"/>
      <c r="Z52" s="472"/>
    </row>
    <row r="53" spans="1:26" ht="14.25" customHeight="1">
      <c r="A53" s="385"/>
      <c r="B53" s="385"/>
      <c r="C53" s="385"/>
      <c r="D53" s="385"/>
      <c r="E53" s="385"/>
      <c r="G53" s="480"/>
      <c r="H53" s="473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8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80"/>
      <c r="H54" s="473"/>
      <c r="S54" s="479"/>
    </row>
    <row r="55" spans="1:26" ht="14.25" customHeight="1">
      <c r="G55" s="480"/>
      <c r="H55" s="473"/>
      <c r="S55" s="479"/>
    </row>
    <row r="56" spans="1:26" ht="14.25" customHeight="1">
      <c r="G56" s="480"/>
      <c r="H56" s="473"/>
      <c r="S56" s="479"/>
    </row>
    <row r="57" spans="1:26" ht="14.25" customHeight="1">
      <c r="G57" s="480"/>
      <c r="H57" s="473"/>
    </row>
    <row r="58" spans="1:26" ht="14.25" customHeight="1">
      <c r="G58" s="480"/>
      <c r="H58" s="473"/>
    </row>
    <row r="59" spans="1:26" ht="14.25" customHeight="1">
      <c r="G59" s="480"/>
      <c r="H59" s="473"/>
    </row>
    <row r="60" spans="1:26" ht="14.25" customHeight="1">
      <c r="G60" s="480"/>
      <c r="H60" s="473"/>
    </row>
    <row r="61" spans="1:26" ht="14.25" customHeight="1">
      <c r="G61" s="480"/>
      <c r="H61" s="473"/>
    </row>
    <row r="62" spans="1:26" ht="14.25" customHeight="1">
      <c r="G62" s="480"/>
      <c r="H62" s="473"/>
    </row>
  </sheetData>
  <autoFilter ref="A5:Z45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6 E36:G37">
    <cfRule type="containsText" dxfId="1435" priority="4" operator="containsText" text="C">
      <formula>NOT(ISERROR(SEARCH(("C"),(E6))))</formula>
    </cfRule>
  </conditionalFormatting>
  <conditionalFormatting sqref="F13:F18">
    <cfRule type="containsText" dxfId="1434" priority="21" operator="containsText" text="WIP">
      <formula>NOT(ISERROR(SEARCH(("WIP"),(F13))))</formula>
    </cfRule>
  </conditionalFormatting>
  <conditionalFormatting sqref="G7:G22">
    <cfRule type="containsText" dxfId="1433" priority="32" operator="containsText" text="WIP">
      <formula>NOT(ISERROR(SEARCH(("WIP"),(G7))))</formula>
    </cfRule>
  </conditionalFormatting>
  <conditionalFormatting sqref="J6:J10">
    <cfRule type="containsText" dxfId="1432" priority="5" operator="containsText" text="C">
      <formula>NOT(ISERROR(SEARCH(("C"),(J6))))</formula>
    </cfRule>
  </conditionalFormatting>
  <conditionalFormatting sqref="J7:J21">
    <cfRule type="containsText" dxfId="1431" priority="56" operator="containsText" text="WIP">
      <formula>NOT(ISERROR(SEARCH(("WIP"),(J7))))</formula>
    </cfRule>
  </conditionalFormatting>
  <conditionalFormatting sqref="J7:J32">
    <cfRule type="containsText" dxfId="1430" priority="57" operator="containsText" text="C">
      <formula>NOT(ISERROR(SEARCH(("C"),(J7))))</formula>
    </cfRule>
  </conditionalFormatting>
  <conditionalFormatting sqref="J30:J32">
    <cfRule type="containsText" dxfId="1429" priority="58" operator="containsText" text="WIP">
      <formula>NOT(ISERROR(SEARCH(("WIP"),(J30))))</formula>
    </cfRule>
  </conditionalFormatting>
  <conditionalFormatting sqref="J36:J37">
    <cfRule type="containsText" dxfId="1428" priority="3" operator="containsText" text="C">
      <formula>NOT(ISERROR(SEARCH(("C"),(J36))))</formula>
    </cfRule>
  </conditionalFormatting>
  <conditionalFormatting sqref="J43">
    <cfRule type="containsText" dxfId="1427" priority="61" operator="containsText" text="C">
      <formula>NOT(ISERROR(SEARCH(("C"),(J43))))</formula>
    </cfRule>
  </conditionalFormatting>
  <conditionalFormatting sqref="J7:K8">
    <cfRule type="containsText" dxfId="1426" priority="74" operator="containsText" text="C">
      <formula>NOT(ISERROR(SEARCH(("C"),(J7))))</formula>
    </cfRule>
  </conditionalFormatting>
  <conditionalFormatting sqref="K7:K8">
    <cfRule type="containsText" dxfId="1425" priority="75" operator="containsText" text="WIP">
      <formula>NOT(ISERROR(SEARCH(("WIP"),(K7))))</formula>
    </cfRule>
  </conditionalFormatting>
  <conditionalFormatting sqref="M22:N29 M18:O18">
    <cfRule type="containsText" dxfId="1424" priority="86" operator="containsText" text="WIP">
      <formula>NOT(ISERROR(SEARCH(("WIP"),(M18))))</formula>
    </cfRule>
  </conditionalFormatting>
  <conditionalFormatting sqref="M22:N29">
    <cfRule type="containsText" dxfId="1423" priority="85" operator="containsText" text="C">
      <formula>NOT(ISERROR(SEARCH(("C"),(M22))))</formula>
    </cfRule>
  </conditionalFormatting>
  <conditionalFormatting sqref="E43:G43">
    <cfRule type="containsText" dxfId="1422" priority="17" operator="containsText" text="C">
      <formula>NOT(ISERROR(SEARCH(("C"),(E43))))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8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zoomScale="65" zoomScaleNormal="69" zoomScaleSheetLayoutView="65" workbookViewId="0">
      <pane ySplit="2" topLeftCell="A102" activePane="bottomLeft" state="frozen"/>
      <selection sqref="A1:H1"/>
      <selection pane="bottomLeft" activeCell="AU17" sqref="AU1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25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30"/>
    <col min="56" max="16384" width="8.7265625" style="284"/>
  </cols>
  <sheetData>
    <row r="1" spans="1:55" ht="15.75" customHeight="1" thickBot="1">
      <c r="A1" s="678" t="str">
        <f>+[1]Summary!A2</f>
        <v>Name of the Line: 220KV DC AL59 line from Neemuch - Chanderiya + 132KV DC ACSS Line from Chanderiya to Hindustan Zinc</v>
      </c>
      <c r="B1" s="679"/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  <c r="AA1" s="679"/>
      <c r="AB1" s="679"/>
      <c r="AC1" s="679"/>
      <c r="AD1" s="679"/>
      <c r="AE1" s="679"/>
      <c r="AF1" s="679"/>
      <c r="AG1" s="679"/>
      <c r="AH1" s="679"/>
      <c r="AI1" s="679"/>
      <c r="AJ1" s="679"/>
      <c r="AK1" s="679"/>
      <c r="AL1" s="679"/>
      <c r="AM1" s="679"/>
      <c r="AN1" s="679"/>
      <c r="AO1" s="679"/>
      <c r="AP1" s="679"/>
      <c r="AQ1" s="679"/>
      <c r="AR1" s="679"/>
      <c r="AS1" s="679"/>
      <c r="AT1" s="679"/>
      <c r="AU1" s="680"/>
      <c r="AW1" s="681">
        <f>Summary!R5</f>
        <v>46110</v>
      </c>
      <c r="AX1" s="681"/>
      <c r="AY1" s="681"/>
      <c r="AZ1" s="681"/>
      <c r="BA1" s="681"/>
    </row>
    <row r="2" spans="1:55" ht="18.5">
      <c r="A2" s="297"/>
      <c r="T2" s="675" t="s">
        <v>668</v>
      </c>
      <c r="U2" s="675"/>
      <c r="V2" s="675"/>
      <c r="W2" s="675"/>
      <c r="X2" s="675"/>
      <c r="Y2" s="675"/>
      <c r="Z2" s="675"/>
      <c r="AA2" s="675"/>
      <c r="AB2" s="675"/>
      <c r="AC2" s="675"/>
      <c r="AD2" s="675"/>
      <c r="AK2" s="686" t="s">
        <v>26</v>
      </c>
      <c r="AL2" s="686"/>
      <c r="AM2" s="686"/>
      <c r="AN2" s="687">
        <f>AW1</f>
        <v>46110</v>
      </c>
      <c r="AO2" s="687"/>
      <c r="AP2" s="687"/>
      <c r="AW2" s="300" t="s">
        <v>623</v>
      </c>
      <c r="AX2" s="300" t="s">
        <v>624</v>
      </c>
      <c r="AY2" s="300" t="s">
        <v>625</v>
      </c>
      <c r="AZ2" s="316" t="s">
        <v>626</v>
      </c>
      <c r="BA2" s="684" t="s">
        <v>627</v>
      </c>
      <c r="BB2" s="685"/>
      <c r="BC2" s="530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62"/>
      <c r="C4" s="662"/>
      <c r="E4" s="662"/>
      <c r="F4" s="662"/>
      <c r="H4" s="661"/>
      <c r="I4" s="661"/>
      <c r="K4" s="662"/>
      <c r="L4" s="662"/>
      <c r="N4" s="662"/>
      <c r="O4" s="662"/>
      <c r="Q4" s="661"/>
      <c r="R4" s="661"/>
      <c r="T4" s="661"/>
      <c r="U4" s="661"/>
      <c r="W4" s="624"/>
      <c r="X4" s="624"/>
      <c r="Z4" s="624"/>
      <c r="AA4" s="624"/>
      <c r="AC4" s="661"/>
      <c r="AD4" s="662"/>
      <c r="AF4" s="661"/>
      <c r="AG4" s="662"/>
      <c r="AI4" s="661"/>
      <c r="AJ4" s="662"/>
      <c r="AL4" s="661"/>
      <c r="AM4" s="662"/>
      <c r="AO4" s="661"/>
      <c r="AP4" s="662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6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527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531"/>
    </row>
    <row r="7" spans="1:55">
      <c r="A7" s="297"/>
      <c r="B7" s="669" t="s">
        <v>33</v>
      </c>
      <c r="C7" s="669"/>
      <c r="D7" s="310"/>
      <c r="E7" s="669" t="s">
        <v>36</v>
      </c>
      <c r="F7" s="669"/>
      <c r="G7" s="310"/>
      <c r="H7" s="669" t="s">
        <v>38</v>
      </c>
      <c r="I7" s="669"/>
      <c r="J7" s="310"/>
      <c r="K7" s="677" t="s">
        <v>41</v>
      </c>
      <c r="L7" s="669"/>
      <c r="M7" s="310"/>
      <c r="N7" s="677" t="s">
        <v>43</v>
      </c>
      <c r="O7" s="669"/>
      <c r="P7" s="310"/>
      <c r="Q7" s="682" t="s">
        <v>45</v>
      </c>
      <c r="R7" s="683"/>
      <c r="S7" s="310"/>
      <c r="T7" s="674" t="s">
        <v>47</v>
      </c>
      <c r="U7" s="669"/>
      <c r="V7" s="310"/>
      <c r="W7" s="676" t="s">
        <v>48</v>
      </c>
      <c r="X7" s="620"/>
      <c r="Y7" s="310"/>
      <c r="Z7" s="676" t="s">
        <v>50</v>
      </c>
      <c r="AA7" s="620"/>
      <c r="AB7" s="310"/>
      <c r="AC7" s="668" t="s">
        <v>53</v>
      </c>
      <c r="AD7" s="669"/>
      <c r="AF7" s="668" t="s">
        <v>55</v>
      </c>
      <c r="AG7" s="669"/>
      <c r="AH7" s="310"/>
      <c r="AI7" s="669" t="s">
        <v>58</v>
      </c>
      <c r="AJ7" s="669"/>
      <c r="AK7" s="310"/>
      <c r="AL7" s="668" t="s">
        <v>59</v>
      </c>
      <c r="AM7" s="669"/>
      <c r="AN7" s="310"/>
      <c r="AO7" s="668" t="s">
        <v>61</v>
      </c>
      <c r="AP7" s="669"/>
      <c r="AQ7" s="310"/>
      <c r="AR7" s="310"/>
      <c r="AS7" s="310"/>
      <c r="AT7" s="310"/>
      <c r="AU7" s="527"/>
      <c r="BA7" s="345"/>
      <c r="BB7" s="345"/>
    </row>
    <row r="8" spans="1:55">
      <c r="A8" s="297"/>
      <c r="B8" s="620" t="s">
        <v>34</v>
      </c>
      <c r="C8" s="620"/>
      <c r="D8" s="309"/>
      <c r="E8" s="620" t="s">
        <v>37</v>
      </c>
      <c r="F8" s="620"/>
      <c r="G8" s="309"/>
      <c r="H8" s="620" t="s">
        <v>39</v>
      </c>
      <c r="I8" s="620"/>
      <c r="J8" s="309"/>
      <c r="K8" s="621" t="s">
        <v>42</v>
      </c>
      <c r="L8" s="620"/>
      <c r="M8" s="309"/>
      <c r="N8" s="621" t="s">
        <v>37</v>
      </c>
      <c r="O8" s="620"/>
      <c r="P8" s="309"/>
      <c r="Q8" s="622" t="s">
        <v>46</v>
      </c>
      <c r="R8" s="622"/>
      <c r="S8" s="309"/>
      <c r="T8" s="622" t="s">
        <v>37</v>
      </c>
      <c r="U8" s="622"/>
      <c r="V8" s="309"/>
      <c r="W8" s="620" t="s">
        <v>39</v>
      </c>
      <c r="X8" s="620"/>
      <c r="Y8" s="309"/>
      <c r="Z8" s="620" t="s">
        <v>51</v>
      </c>
      <c r="AA8" s="620"/>
      <c r="AB8" s="309"/>
      <c r="AC8" s="620" t="s">
        <v>54</v>
      </c>
      <c r="AD8" s="620"/>
      <c r="AE8" s="310"/>
      <c r="AF8" s="620" t="s">
        <v>56</v>
      </c>
      <c r="AG8" s="620"/>
      <c r="AH8" s="309"/>
      <c r="AI8" s="620" t="s">
        <v>39</v>
      </c>
      <c r="AJ8" s="620"/>
      <c r="AK8" s="309"/>
      <c r="AL8" s="620" t="s">
        <v>42</v>
      </c>
      <c r="AM8" s="620"/>
      <c r="AN8" s="309"/>
      <c r="AO8" s="620" t="s">
        <v>62</v>
      </c>
      <c r="AP8" s="620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5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4"/>
      <c r="C13" s="624"/>
      <c r="E13" s="661"/>
      <c r="F13" s="662"/>
      <c r="H13" s="661"/>
      <c r="I13" s="662"/>
      <c r="K13" s="662"/>
      <c r="L13" s="662"/>
      <c r="N13" s="661"/>
      <c r="O13" s="662"/>
      <c r="Q13" s="661"/>
      <c r="R13" s="662"/>
      <c r="T13" s="661"/>
      <c r="U13" s="662"/>
      <c r="W13" s="661"/>
      <c r="X13" s="662"/>
      <c r="Z13" s="661"/>
      <c r="AA13" s="662"/>
      <c r="AC13" s="662"/>
      <c r="AD13" s="662"/>
      <c r="AF13" s="661"/>
      <c r="AG13" s="662"/>
      <c r="AI13" s="662"/>
      <c r="AJ13" s="662"/>
      <c r="AL13" s="662"/>
      <c r="AM13" s="662"/>
      <c r="AO13" s="661"/>
      <c r="AP13" s="662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6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528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531"/>
    </row>
    <row r="16" spans="1:55">
      <c r="A16" s="297"/>
      <c r="B16" s="620" t="s">
        <v>64</v>
      </c>
      <c r="C16" s="620"/>
      <c r="D16" s="310"/>
      <c r="E16" s="669" t="s">
        <v>67</v>
      </c>
      <c r="F16" s="669"/>
      <c r="G16" s="338"/>
      <c r="H16" s="677" t="s">
        <v>69</v>
      </c>
      <c r="I16" s="669"/>
      <c r="J16" s="309"/>
      <c r="K16" s="668" t="s">
        <v>71</v>
      </c>
      <c r="L16" s="669"/>
      <c r="M16" s="310"/>
      <c r="N16" s="668" t="s">
        <v>72</v>
      </c>
      <c r="O16" s="669"/>
      <c r="P16" s="310"/>
      <c r="Q16" s="682" t="s">
        <v>73</v>
      </c>
      <c r="R16" s="683"/>
      <c r="S16" s="310"/>
      <c r="T16" s="674" t="s">
        <v>74</v>
      </c>
      <c r="U16" s="669"/>
      <c r="V16" s="310"/>
      <c r="W16" s="676" t="s">
        <v>75</v>
      </c>
      <c r="X16" s="620"/>
      <c r="Y16" s="310"/>
      <c r="Z16" s="674" t="s">
        <v>77</v>
      </c>
      <c r="AA16" s="669"/>
      <c r="AB16" s="310"/>
      <c r="AC16" s="668" t="s">
        <v>78</v>
      </c>
      <c r="AD16" s="669"/>
      <c r="AE16" s="310"/>
      <c r="AF16" s="668" t="s">
        <v>79</v>
      </c>
      <c r="AG16" s="669"/>
      <c r="AH16" s="310"/>
      <c r="AI16" s="668" t="s">
        <v>80</v>
      </c>
      <c r="AJ16" s="669"/>
      <c r="AK16" s="310"/>
      <c r="AL16" s="668" t="s">
        <v>82</v>
      </c>
      <c r="AM16" s="669"/>
      <c r="AN16" s="310"/>
      <c r="AO16" s="668" t="s">
        <v>83</v>
      </c>
      <c r="AP16" s="669"/>
      <c r="AQ16" s="309"/>
      <c r="AR16" s="309"/>
      <c r="AS16" s="309"/>
      <c r="AT16" s="309"/>
      <c r="AU16" s="528"/>
      <c r="BA16" s="345"/>
      <c r="BB16" s="345"/>
    </row>
    <row r="17" spans="1:55">
      <c r="A17" s="297"/>
      <c r="B17" s="620" t="s">
        <v>65</v>
      </c>
      <c r="C17" s="620"/>
      <c r="D17" s="309"/>
      <c r="E17" s="620" t="s">
        <v>51</v>
      </c>
      <c r="F17" s="620"/>
      <c r="G17" s="309"/>
      <c r="H17" s="620" t="s">
        <v>70</v>
      </c>
      <c r="I17" s="620"/>
      <c r="J17" s="309"/>
      <c r="K17" s="620" t="s">
        <v>56</v>
      </c>
      <c r="L17" s="620"/>
      <c r="M17" s="309"/>
      <c r="N17" s="621" t="s">
        <v>37</v>
      </c>
      <c r="O17" s="620"/>
      <c r="P17" s="309"/>
      <c r="Q17" s="621" t="s">
        <v>56</v>
      </c>
      <c r="R17" s="620"/>
      <c r="S17" s="309"/>
      <c r="T17" s="622" t="s">
        <v>37</v>
      </c>
      <c r="U17" s="622"/>
      <c r="V17" s="309"/>
      <c r="W17" s="620" t="s">
        <v>76</v>
      </c>
      <c r="X17" s="620"/>
      <c r="Y17" s="309"/>
      <c r="Z17" s="622" t="s">
        <v>70</v>
      </c>
      <c r="AA17" s="622"/>
      <c r="AB17" s="309"/>
      <c r="AC17" s="620" t="s">
        <v>70</v>
      </c>
      <c r="AD17" s="620"/>
      <c r="AE17" s="309"/>
      <c r="AF17" s="620" t="s">
        <v>70</v>
      </c>
      <c r="AG17" s="620"/>
      <c r="AH17" s="309"/>
      <c r="AI17" s="620" t="s">
        <v>81</v>
      </c>
      <c r="AJ17" s="620"/>
      <c r="AK17" s="309"/>
      <c r="AL17" s="620" t="s">
        <v>81</v>
      </c>
      <c r="AM17" s="620"/>
      <c r="AN17" s="309"/>
      <c r="AO17" s="620" t="s">
        <v>76</v>
      </c>
      <c r="AP17" s="620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5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96"/>
      <c r="C22" s="624"/>
      <c r="E22" s="662"/>
      <c r="F22" s="662"/>
      <c r="H22" s="661"/>
      <c r="I22" s="662"/>
      <c r="K22" s="662"/>
      <c r="L22" s="662"/>
      <c r="N22" s="662"/>
      <c r="O22" s="662"/>
      <c r="Q22" s="661"/>
      <c r="R22" s="662"/>
      <c r="T22" s="661"/>
      <c r="U22" s="662"/>
      <c r="W22" s="661"/>
      <c r="X22" s="662"/>
      <c r="Z22" s="661"/>
      <c r="AA22" s="662"/>
      <c r="AC22" s="661"/>
      <c r="AD22" s="662"/>
      <c r="AF22" s="661"/>
      <c r="AG22" s="662"/>
      <c r="AI22" s="661"/>
      <c r="AJ22" s="662"/>
      <c r="AL22" s="661"/>
      <c r="AM22" s="662"/>
      <c r="AO22" s="661"/>
      <c r="AP22" s="662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6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527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31"/>
    </row>
    <row r="25" spans="1:55">
      <c r="A25" s="297"/>
      <c r="B25" s="676" t="s">
        <v>84</v>
      </c>
      <c r="C25" s="620"/>
      <c r="D25" s="309"/>
      <c r="E25" s="668" t="s">
        <v>86</v>
      </c>
      <c r="F25" s="669"/>
      <c r="G25" s="309"/>
      <c r="H25" s="677" t="s">
        <v>87</v>
      </c>
      <c r="I25" s="669"/>
      <c r="J25" s="310"/>
      <c r="K25" s="668" t="s">
        <v>88</v>
      </c>
      <c r="L25" s="669"/>
      <c r="M25" s="310"/>
      <c r="N25" s="668" t="s">
        <v>90</v>
      </c>
      <c r="O25" s="669"/>
      <c r="P25" s="310"/>
      <c r="Q25" s="682" t="s">
        <v>91</v>
      </c>
      <c r="R25" s="683"/>
      <c r="S25" s="310"/>
      <c r="T25" s="674" t="s">
        <v>93</v>
      </c>
      <c r="U25" s="669"/>
      <c r="V25" s="310"/>
      <c r="W25" s="676" t="s">
        <v>94</v>
      </c>
      <c r="X25" s="620"/>
      <c r="Y25" s="310"/>
      <c r="Z25" s="676" t="s">
        <v>95</v>
      </c>
      <c r="AA25" s="620"/>
      <c r="AB25" s="310"/>
      <c r="AC25" s="695" t="s">
        <v>96</v>
      </c>
      <c r="AD25" s="695"/>
      <c r="AE25" s="310"/>
      <c r="AF25" s="695" t="s">
        <v>98</v>
      </c>
      <c r="AG25" s="695"/>
      <c r="AH25" s="309"/>
      <c r="AI25" s="695" t="s">
        <v>99</v>
      </c>
      <c r="AJ25" s="695"/>
      <c r="AK25" s="336"/>
      <c r="AL25" s="695" t="s">
        <v>100</v>
      </c>
      <c r="AM25" s="695"/>
      <c r="AN25" s="309"/>
      <c r="AO25" s="695" t="s">
        <v>102</v>
      </c>
      <c r="AP25" s="695"/>
      <c r="BA25" s="345"/>
      <c r="BB25" s="345"/>
    </row>
    <row r="26" spans="1:55">
      <c r="A26" s="297"/>
      <c r="B26" s="620" t="s">
        <v>85</v>
      </c>
      <c r="C26" s="620"/>
      <c r="D26" s="309"/>
      <c r="E26" s="620" t="s">
        <v>56</v>
      </c>
      <c r="F26" s="620"/>
      <c r="G26" s="309"/>
      <c r="H26" s="620" t="s">
        <v>42</v>
      </c>
      <c r="I26" s="620"/>
      <c r="J26" s="309"/>
      <c r="K26" s="620" t="s">
        <v>89</v>
      </c>
      <c r="L26" s="620"/>
      <c r="M26" s="309"/>
      <c r="N26" s="621" t="s">
        <v>76</v>
      </c>
      <c r="O26" s="620"/>
      <c r="P26" s="309"/>
      <c r="Q26" s="621" t="s">
        <v>76</v>
      </c>
      <c r="R26" s="620"/>
      <c r="S26" s="309"/>
      <c r="T26" s="621" t="s">
        <v>81</v>
      </c>
      <c r="U26" s="620"/>
      <c r="V26" s="309"/>
      <c r="W26" s="620" t="s">
        <v>89</v>
      </c>
      <c r="X26" s="620"/>
      <c r="Y26" s="309"/>
      <c r="Z26" s="620" t="s">
        <v>56</v>
      </c>
      <c r="AA26" s="620"/>
      <c r="AB26" s="309"/>
      <c r="AC26" s="686" t="s">
        <v>37</v>
      </c>
      <c r="AD26" s="686"/>
      <c r="AE26" s="337"/>
      <c r="AF26" s="694" t="s">
        <v>39</v>
      </c>
      <c r="AG26" s="694"/>
      <c r="AH26" s="337"/>
      <c r="AI26" s="694" t="s">
        <v>76</v>
      </c>
      <c r="AJ26" s="694"/>
      <c r="AK26" s="337"/>
      <c r="AL26" s="694" t="s">
        <v>76</v>
      </c>
      <c r="AM26" s="694"/>
      <c r="AN26" s="337"/>
      <c r="AO26" s="694" t="s">
        <v>89</v>
      </c>
      <c r="AP26" s="69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5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96"/>
      <c r="C31" s="624"/>
      <c r="E31" s="662"/>
      <c r="F31" s="662"/>
      <c r="H31" s="662"/>
      <c r="I31" s="662"/>
      <c r="K31" s="662"/>
      <c r="L31" s="662"/>
      <c r="N31" s="662"/>
      <c r="O31" s="662"/>
      <c r="Q31" s="662"/>
      <c r="R31" s="662"/>
      <c r="T31" s="662"/>
      <c r="U31" s="662"/>
      <c r="W31" s="662"/>
      <c r="X31" s="662"/>
      <c r="Z31" s="662"/>
      <c r="AA31" s="662"/>
      <c r="AC31" s="662"/>
      <c r="AD31" s="662"/>
      <c r="AF31" s="662"/>
      <c r="AG31" s="662"/>
      <c r="AI31" s="662"/>
      <c r="AJ31" s="662"/>
      <c r="AL31" s="662"/>
      <c r="AM31" s="662"/>
      <c r="AO31" s="662"/>
      <c r="AP31" s="662"/>
      <c r="AR31" s="662"/>
      <c r="AS31" s="662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2"/>
      <c r="AU32" s="526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527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31"/>
    </row>
    <row r="34" spans="1:55">
      <c r="A34" s="297"/>
      <c r="B34" s="676" t="s">
        <v>104</v>
      </c>
      <c r="C34" s="620"/>
      <c r="D34" s="310"/>
      <c r="E34" s="668" t="s">
        <v>106</v>
      </c>
      <c r="F34" s="669"/>
      <c r="G34" s="310"/>
      <c r="H34" s="668" t="s">
        <v>107</v>
      </c>
      <c r="I34" s="669"/>
      <c r="J34" s="310"/>
      <c r="K34" s="668" t="s">
        <v>108</v>
      </c>
      <c r="L34" s="669"/>
      <c r="M34" s="310"/>
      <c r="N34" s="668" t="s">
        <v>109</v>
      </c>
      <c r="O34" s="669"/>
      <c r="P34" s="310"/>
      <c r="Q34" s="668" t="s">
        <v>111</v>
      </c>
      <c r="R34" s="669"/>
      <c r="S34" s="310"/>
      <c r="T34" s="668" t="s">
        <v>113</v>
      </c>
      <c r="U34" s="669"/>
      <c r="V34" s="310"/>
      <c r="W34" s="668" t="s">
        <v>115</v>
      </c>
      <c r="X34" s="669"/>
      <c r="Y34" s="309"/>
      <c r="Z34" s="668" t="s">
        <v>117</v>
      </c>
      <c r="AA34" s="669"/>
      <c r="AB34" s="310"/>
      <c r="AC34" s="668" t="s">
        <v>118</v>
      </c>
      <c r="AD34" s="669"/>
      <c r="AE34" s="310"/>
      <c r="AF34" s="668" t="s">
        <v>120</v>
      </c>
      <c r="AG34" s="669"/>
      <c r="AH34" s="309"/>
      <c r="AI34" s="668" t="s">
        <v>122</v>
      </c>
      <c r="AJ34" s="669"/>
      <c r="AK34" s="310"/>
      <c r="AL34" s="668" t="s">
        <v>568</v>
      </c>
      <c r="AM34" s="669"/>
      <c r="AN34" s="309"/>
      <c r="AO34" s="668" t="s">
        <v>123</v>
      </c>
      <c r="AP34" s="669"/>
      <c r="AQ34" s="310"/>
      <c r="AR34" s="732" t="s">
        <v>124</v>
      </c>
      <c r="AS34" s="732"/>
      <c r="AT34" s="310"/>
      <c r="AU34" s="527"/>
      <c r="BA34" s="345"/>
      <c r="BB34" s="345"/>
    </row>
    <row r="35" spans="1:55">
      <c r="A35" s="297"/>
      <c r="B35" s="620" t="s">
        <v>39</v>
      </c>
      <c r="C35" s="620"/>
      <c r="D35" s="309"/>
      <c r="E35" s="620" t="s">
        <v>70</v>
      </c>
      <c r="F35" s="620"/>
      <c r="G35" s="309"/>
      <c r="H35" s="620" t="s">
        <v>42</v>
      </c>
      <c r="I35" s="620"/>
      <c r="J35" s="309"/>
      <c r="K35" s="620" t="s">
        <v>42</v>
      </c>
      <c r="L35" s="620"/>
      <c r="M35" s="309"/>
      <c r="N35" s="620" t="s">
        <v>42</v>
      </c>
      <c r="O35" s="620"/>
      <c r="P35" s="309"/>
      <c r="Q35" s="620" t="s">
        <v>34</v>
      </c>
      <c r="R35" s="620"/>
      <c r="S35" s="309"/>
      <c r="T35" s="620" t="s">
        <v>34</v>
      </c>
      <c r="U35" s="620"/>
      <c r="V35" s="309"/>
      <c r="W35" s="620" t="s">
        <v>116</v>
      </c>
      <c r="X35" s="620"/>
      <c r="Y35" s="309"/>
      <c r="Z35" s="620" t="s">
        <v>42</v>
      </c>
      <c r="AA35" s="620"/>
      <c r="AB35" s="309"/>
      <c r="AC35" s="620" t="s">
        <v>42</v>
      </c>
      <c r="AD35" s="620"/>
      <c r="AE35" s="309"/>
      <c r="AF35" s="620" t="s">
        <v>34</v>
      </c>
      <c r="AG35" s="620"/>
      <c r="AH35" s="309"/>
      <c r="AI35" s="620" t="s">
        <v>34</v>
      </c>
      <c r="AJ35" s="620"/>
      <c r="AK35" s="309"/>
      <c r="AL35" s="620" t="s">
        <v>37</v>
      </c>
      <c r="AM35" s="620"/>
      <c r="AN35" s="309"/>
      <c r="AO35" s="620" t="s">
        <v>62</v>
      </c>
      <c r="AP35" s="620"/>
      <c r="AR35" s="511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5">
        <f>SUM(D36:AT36)</f>
        <v>4290.1000000000004</v>
      </c>
      <c r="AV36" s="485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528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4"/>
      <c r="C40" s="624"/>
      <c r="E40" s="662"/>
      <c r="F40" s="662"/>
      <c r="H40" s="662"/>
      <c r="I40" s="662"/>
      <c r="K40" s="662"/>
      <c r="L40" s="662"/>
      <c r="N40" s="662"/>
      <c r="O40" s="662"/>
      <c r="Q40" s="662"/>
      <c r="R40" s="662"/>
      <c r="T40" s="662"/>
      <c r="U40" s="662"/>
      <c r="W40" s="662"/>
      <c r="X40" s="662"/>
      <c r="Z40" s="662"/>
      <c r="AA40" s="662"/>
      <c r="AC40" s="662"/>
      <c r="AD40" s="662"/>
      <c r="AF40" s="662"/>
      <c r="AG40" s="662"/>
      <c r="AI40" s="662"/>
      <c r="AJ40" s="662"/>
      <c r="AL40" s="662"/>
      <c r="AM40" s="662"/>
      <c r="AO40" s="662"/>
      <c r="AP40" s="662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6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528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31"/>
    </row>
    <row r="43" spans="1:55">
      <c r="A43" s="297"/>
      <c r="B43" s="676" t="s">
        <v>125</v>
      </c>
      <c r="C43" s="620"/>
      <c r="D43" s="309"/>
      <c r="E43" s="668" t="s">
        <v>126</v>
      </c>
      <c r="F43" s="669"/>
      <c r="G43" s="309"/>
      <c r="H43" s="668" t="s">
        <v>127</v>
      </c>
      <c r="I43" s="669"/>
      <c r="J43" s="309"/>
      <c r="K43" s="668" t="s">
        <v>128</v>
      </c>
      <c r="L43" s="669"/>
      <c r="M43" s="309"/>
      <c r="N43" s="668" t="s">
        <v>130</v>
      </c>
      <c r="O43" s="669"/>
      <c r="P43" s="309"/>
      <c r="Q43" s="668" t="s">
        <v>131</v>
      </c>
      <c r="R43" s="669"/>
      <c r="S43" s="309"/>
      <c r="T43" s="668" t="s">
        <v>132</v>
      </c>
      <c r="U43" s="669"/>
      <c r="V43" s="309"/>
      <c r="W43" s="668" t="s">
        <v>133</v>
      </c>
      <c r="X43" s="669"/>
      <c r="Y43" s="309"/>
      <c r="Z43" s="668" t="s">
        <v>134</v>
      </c>
      <c r="AA43" s="669"/>
      <c r="AB43" s="309"/>
      <c r="AC43" s="668" t="s">
        <v>135</v>
      </c>
      <c r="AD43" s="669"/>
      <c r="AE43" s="309"/>
      <c r="AF43" s="668" t="s">
        <v>136</v>
      </c>
      <c r="AG43" s="669"/>
      <c r="AH43" s="309"/>
      <c r="AI43" s="668" t="s">
        <v>137</v>
      </c>
      <c r="AJ43" s="669"/>
      <c r="AK43" s="336"/>
      <c r="AL43" s="668" t="s">
        <v>138</v>
      </c>
      <c r="AM43" s="669"/>
      <c r="AN43" s="309"/>
      <c r="AO43" s="668" t="s">
        <v>139</v>
      </c>
      <c r="AP43" s="669"/>
      <c r="BA43" s="345"/>
      <c r="BB43" s="345"/>
    </row>
    <row r="44" spans="1:55">
      <c r="A44" s="297"/>
      <c r="B44" s="620" t="s">
        <v>76</v>
      </c>
      <c r="C44" s="620"/>
      <c r="D44" s="309"/>
      <c r="E44" s="620" t="s">
        <v>89</v>
      </c>
      <c r="F44" s="620"/>
      <c r="G44" s="309"/>
      <c r="H44" s="620" t="s">
        <v>76</v>
      </c>
      <c r="I44" s="620"/>
      <c r="J44" s="309"/>
      <c r="K44" s="620" t="s">
        <v>76</v>
      </c>
      <c r="L44" s="620"/>
      <c r="M44" s="309"/>
      <c r="N44" s="620" t="s">
        <v>39</v>
      </c>
      <c r="O44" s="620"/>
      <c r="P44" s="309"/>
      <c r="Q44" s="620" t="s">
        <v>89</v>
      </c>
      <c r="R44" s="620"/>
      <c r="S44" s="309"/>
      <c r="T44" s="620" t="s">
        <v>70</v>
      </c>
      <c r="U44" s="620"/>
      <c r="V44" s="309"/>
      <c r="W44" s="620" t="s">
        <v>37</v>
      </c>
      <c r="X44" s="620"/>
      <c r="Y44" s="309"/>
      <c r="Z44" s="620" t="s">
        <v>42</v>
      </c>
      <c r="AA44" s="620"/>
      <c r="AB44" s="309"/>
      <c r="AC44" s="620" t="s">
        <v>70</v>
      </c>
      <c r="AD44" s="620"/>
      <c r="AE44" s="309"/>
      <c r="AF44" s="620" t="s">
        <v>70</v>
      </c>
      <c r="AG44" s="620"/>
      <c r="AH44" s="309"/>
      <c r="AI44" s="620" t="s">
        <v>89</v>
      </c>
      <c r="AJ44" s="620"/>
      <c r="AK44" s="309"/>
      <c r="AL44" s="620" t="s">
        <v>70</v>
      </c>
      <c r="AM44" s="620"/>
      <c r="AN44" s="309"/>
      <c r="AO44" s="620" t="s">
        <v>42</v>
      </c>
      <c r="AP44" s="620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5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4"/>
      <c r="C49" s="624"/>
      <c r="E49" s="662"/>
      <c r="F49" s="662"/>
      <c r="H49" s="662"/>
      <c r="I49" s="662"/>
      <c r="K49" s="662"/>
      <c r="L49" s="662"/>
      <c r="N49" s="662"/>
      <c r="O49" s="662"/>
      <c r="Q49" s="662"/>
      <c r="R49" s="662"/>
      <c r="T49" s="662"/>
      <c r="U49" s="662"/>
      <c r="W49" s="662"/>
      <c r="X49" s="662"/>
      <c r="Z49" s="662"/>
      <c r="AA49" s="662"/>
      <c r="AC49" s="662"/>
      <c r="AD49" s="662"/>
      <c r="AF49" s="662"/>
      <c r="AG49" s="662"/>
      <c r="AI49" s="662"/>
      <c r="AJ49" s="662"/>
      <c r="AL49" s="662"/>
      <c r="AM49" s="662"/>
      <c r="AO49" s="662"/>
      <c r="AP49" s="662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6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527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31"/>
    </row>
    <row r="52" spans="1:55">
      <c r="A52" s="297"/>
      <c r="B52" s="676" t="s">
        <v>140</v>
      </c>
      <c r="C52" s="620"/>
      <c r="D52" s="309"/>
      <c r="E52" s="668" t="s">
        <v>141</v>
      </c>
      <c r="F52" s="669"/>
      <c r="G52" s="309"/>
      <c r="H52" s="677" t="s">
        <v>142</v>
      </c>
      <c r="I52" s="669"/>
      <c r="J52" s="310"/>
      <c r="K52" s="668" t="s">
        <v>144</v>
      </c>
      <c r="L52" s="669"/>
      <c r="M52" s="327"/>
      <c r="N52" s="668" t="s">
        <v>145</v>
      </c>
      <c r="O52" s="669"/>
      <c r="P52" s="309"/>
      <c r="Q52" s="682" t="s">
        <v>146</v>
      </c>
      <c r="R52" s="683"/>
      <c r="S52" s="309"/>
      <c r="T52" s="674" t="s">
        <v>147</v>
      </c>
      <c r="U52" s="669"/>
      <c r="V52" s="309"/>
      <c r="W52" s="676" t="s">
        <v>148</v>
      </c>
      <c r="X52" s="620"/>
      <c r="Y52" s="309"/>
      <c r="Z52" s="676" t="s">
        <v>149</v>
      </c>
      <c r="AA52" s="620"/>
      <c r="AB52" s="309"/>
      <c r="AC52" s="668" t="s">
        <v>150</v>
      </c>
      <c r="AD52" s="669"/>
      <c r="AE52" s="309"/>
      <c r="AF52" s="668" t="s">
        <v>151</v>
      </c>
      <c r="AG52" s="669"/>
      <c r="AH52" s="336"/>
      <c r="AI52" s="668" t="s">
        <v>152</v>
      </c>
      <c r="AJ52" s="669"/>
      <c r="AK52" s="336"/>
      <c r="AL52" s="668" t="s">
        <v>153</v>
      </c>
      <c r="AM52" s="669"/>
      <c r="AN52" s="309"/>
      <c r="AO52" s="668" t="s">
        <v>155</v>
      </c>
      <c r="AP52" s="669"/>
      <c r="BA52" s="345"/>
      <c r="BB52" s="345"/>
    </row>
    <row r="53" spans="1:55">
      <c r="A53" s="297"/>
      <c r="B53" s="620" t="s">
        <v>56</v>
      </c>
      <c r="C53" s="620"/>
      <c r="D53" s="309"/>
      <c r="E53" s="620" t="s">
        <v>89</v>
      </c>
      <c r="F53" s="620"/>
      <c r="G53" s="309"/>
      <c r="H53" s="620" t="s">
        <v>76</v>
      </c>
      <c r="I53" s="620"/>
      <c r="J53" s="309"/>
      <c r="K53" s="620" t="s">
        <v>116</v>
      </c>
      <c r="L53" s="620"/>
      <c r="M53" s="309"/>
      <c r="N53" s="620" t="s">
        <v>42</v>
      </c>
      <c r="O53" s="620"/>
      <c r="P53" s="309"/>
      <c r="Q53" s="621" t="s">
        <v>37</v>
      </c>
      <c r="R53" s="621"/>
      <c r="S53" s="309"/>
      <c r="T53" s="621" t="s">
        <v>42</v>
      </c>
      <c r="U53" s="621"/>
      <c r="V53" s="309"/>
      <c r="W53" s="620" t="s">
        <v>76</v>
      </c>
      <c r="X53" s="620"/>
      <c r="Y53" s="309"/>
      <c r="Z53" s="620" t="s">
        <v>81</v>
      </c>
      <c r="AA53" s="620"/>
      <c r="AB53" s="309"/>
      <c r="AC53" s="620" t="s">
        <v>85</v>
      </c>
      <c r="AD53" s="620"/>
      <c r="AE53" s="309"/>
      <c r="AF53" s="620" t="s">
        <v>42</v>
      </c>
      <c r="AG53" s="620"/>
      <c r="AH53" s="309"/>
      <c r="AI53" s="620" t="s">
        <v>42</v>
      </c>
      <c r="AJ53" s="620"/>
      <c r="AK53" s="309"/>
      <c r="AL53" s="620" t="s">
        <v>37</v>
      </c>
      <c r="AM53" s="620"/>
      <c r="AN53" s="309"/>
      <c r="AO53" s="620" t="s">
        <v>34</v>
      </c>
      <c r="AP53" s="620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5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4"/>
      <c r="C58" s="624"/>
      <c r="E58" s="662"/>
      <c r="F58" s="662"/>
      <c r="H58" s="662"/>
      <c r="I58" s="662"/>
      <c r="K58" s="662"/>
      <c r="L58" s="662"/>
      <c r="N58" s="662"/>
      <c r="O58" s="662"/>
      <c r="Q58" s="662"/>
      <c r="R58" s="662"/>
      <c r="T58" s="662"/>
      <c r="U58" s="662"/>
      <c r="W58" s="662"/>
      <c r="X58" s="662"/>
      <c r="Z58" s="662"/>
      <c r="AA58" s="662"/>
      <c r="AC58" s="662"/>
      <c r="AD58" s="662"/>
      <c r="AF58" s="662"/>
      <c r="AG58" s="662"/>
      <c r="AI58" s="662"/>
      <c r="AJ58" s="662"/>
      <c r="AL58" s="662"/>
      <c r="AM58" s="662"/>
      <c r="AO58" s="662"/>
      <c r="AP58" s="662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6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527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531"/>
    </row>
    <row r="61" spans="1:55">
      <c r="A61" s="297"/>
      <c r="B61" s="676" t="s">
        <v>156</v>
      </c>
      <c r="C61" s="620"/>
      <c r="D61" s="310"/>
      <c r="E61" s="668" t="s">
        <v>157</v>
      </c>
      <c r="F61" s="669"/>
      <c r="G61" s="310"/>
      <c r="H61" s="668" t="s">
        <v>158</v>
      </c>
      <c r="I61" s="669"/>
      <c r="J61" s="310"/>
      <c r="K61" s="668" t="s">
        <v>159</v>
      </c>
      <c r="L61" s="669"/>
      <c r="M61" s="310"/>
      <c r="N61" s="669" t="s">
        <v>161</v>
      </c>
      <c r="O61" s="669"/>
      <c r="P61" s="310"/>
      <c r="Q61" s="668" t="s">
        <v>162</v>
      </c>
      <c r="R61" s="669"/>
      <c r="S61" s="310"/>
      <c r="T61" s="669" t="s">
        <v>164</v>
      </c>
      <c r="U61" s="669"/>
      <c r="V61" s="310"/>
      <c r="W61" s="669" t="s">
        <v>166</v>
      </c>
      <c r="X61" s="669"/>
      <c r="Y61" s="310"/>
      <c r="Z61" s="668" t="s">
        <v>167</v>
      </c>
      <c r="AA61" s="669"/>
      <c r="AB61" s="310"/>
      <c r="AC61" s="669" t="s">
        <v>169</v>
      </c>
      <c r="AD61" s="669"/>
      <c r="AE61" s="310"/>
      <c r="AF61" s="668" t="s">
        <v>170</v>
      </c>
      <c r="AG61" s="669"/>
      <c r="AH61" s="310"/>
      <c r="AI61" s="674" t="s">
        <v>171</v>
      </c>
      <c r="AJ61" s="669"/>
      <c r="AK61" s="309"/>
      <c r="AL61" s="674" t="s">
        <v>172</v>
      </c>
      <c r="AM61" s="669"/>
      <c r="AN61" s="310"/>
      <c r="AO61" s="674" t="s">
        <v>173</v>
      </c>
      <c r="AP61" s="669"/>
      <c r="AQ61" s="310"/>
      <c r="AR61" s="310"/>
      <c r="AS61" s="310"/>
      <c r="AT61" s="310"/>
      <c r="AU61" s="527"/>
      <c r="BA61" s="345"/>
      <c r="BB61" s="345"/>
    </row>
    <row r="62" spans="1:55">
      <c r="A62" s="297"/>
      <c r="B62" s="620" t="s">
        <v>37</v>
      </c>
      <c r="C62" s="620"/>
      <c r="D62" s="309"/>
      <c r="E62" s="620" t="s">
        <v>85</v>
      </c>
      <c r="F62" s="620"/>
      <c r="G62" s="309"/>
      <c r="H62" s="620" t="s">
        <v>42</v>
      </c>
      <c r="I62" s="620"/>
      <c r="J62" s="309"/>
      <c r="K62" s="620" t="s">
        <v>37</v>
      </c>
      <c r="L62" s="620"/>
      <c r="M62" s="309"/>
      <c r="N62" s="620" t="s">
        <v>39</v>
      </c>
      <c r="O62" s="620"/>
      <c r="P62" s="309"/>
      <c r="Q62" s="620" t="s">
        <v>42</v>
      </c>
      <c r="R62" s="620"/>
      <c r="S62" s="309"/>
      <c r="T62" s="620" t="s">
        <v>34</v>
      </c>
      <c r="U62" s="620"/>
      <c r="V62" s="309"/>
      <c r="W62" s="620" t="s">
        <v>46</v>
      </c>
      <c r="X62" s="620"/>
      <c r="Y62" s="309"/>
      <c r="Z62" s="620" t="s">
        <v>37</v>
      </c>
      <c r="AA62" s="620"/>
      <c r="AB62" s="309"/>
      <c r="AC62" s="620" t="s">
        <v>46</v>
      </c>
      <c r="AD62" s="620"/>
      <c r="AE62" s="309"/>
      <c r="AF62" s="620" t="s">
        <v>76</v>
      </c>
      <c r="AG62" s="620"/>
      <c r="AH62" s="309"/>
      <c r="AI62" s="622" t="s">
        <v>56</v>
      </c>
      <c r="AJ62" s="620"/>
      <c r="AK62" s="309"/>
      <c r="AL62" s="622" t="s">
        <v>76</v>
      </c>
      <c r="AM62" s="620"/>
      <c r="AN62" s="309"/>
      <c r="AO62" s="622" t="s">
        <v>56</v>
      </c>
      <c r="AP62" s="620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5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4"/>
      <c r="C67" s="624"/>
      <c r="E67" s="662"/>
      <c r="F67" s="662"/>
      <c r="H67" s="662"/>
      <c r="I67" s="662"/>
      <c r="K67" s="662"/>
      <c r="L67" s="662"/>
      <c r="N67" s="662"/>
      <c r="O67" s="662"/>
      <c r="Q67" s="662"/>
      <c r="R67" s="662"/>
      <c r="T67" s="662"/>
      <c r="U67" s="662"/>
      <c r="W67" s="662"/>
      <c r="X67" s="662"/>
      <c r="Z67" s="662"/>
      <c r="AA67" s="662"/>
      <c r="AC67" s="662"/>
      <c r="AD67" s="662"/>
      <c r="AF67" s="662"/>
      <c r="AG67" s="662"/>
      <c r="AI67" s="662"/>
      <c r="AJ67" s="662"/>
      <c r="AL67" s="662"/>
      <c r="AM67" s="662"/>
      <c r="AO67" s="662"/>
      <c r="AP67" s="662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6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531"/>
    </row>
    <row r="70" spans="1:55">
      <c r="A70" s="297"/>
      <c r="B70" s="699" t="s">
        <v>174</v>
      </c>
      <c r="C70" s="620"/>
      <c r="D70" s="310"/>
      <c r="E70" s="699" t="s">
        <v>175</v>
      </c>
      <c r="F70" s="620"/>
      <c r="G70" s="310"/>
      <c r="H70" s="674" t="s">
        <v>176</v>
      </c>
      <c r="I70" s="700"/>
      <c r="J70" s="310"/>
      <c r="K70" s="674" t="s">
        <v>177</v>
      </c>
      <c r="L70" s="700"/>
      <c r="M70" s="310"/>
      <c r="N70" s="668" t="s">
        <v>178</v>
      </c>
      <c r="O70" s="669"/>
      <c r="P70" s="310"/>
      <c r="Q70" s="669" t="s">
        <v>180</v>
      </c>
      <c r="R70" s="669"/>
      <c r="S70" s="310"/>
      <c r="T70" s="668" t="s">
        <v>181</v>
      </c>
      <c r="U70" s="669"/>
      <c r="V70" s="310"/>
      <c r="W70" s="674" t="s">
        <v>182</v>
      </c>
      <c r="X70" s="700"/>
      <c r="Y70" s="309"/>
      <c r="Z70" s="668" t="s">
        <v>183</v>
      </c>
      <c r="AA70" s="669"/>
      <c r="AB70" s="309"/>
      <c r="AC70" s="668" t="s">
        <v>184</v>
      </c>
      <c r="AD70" s="669"/>
      <c r="AE70" s="310"/>
      <c r="AF70" s="668" t="s">
        <v>185</v>
      </c>
      <c r="AG70" s="669"/>
      <c r="AH70" s="310"/>
      <c r="AI70" s="668" t="s">
        <v>186</v>
      </c>
      <c r="AJ70" s="669"/>
      <c r="AK70" s="310"/>
      <c r="AL70" s="668" t="s">
        <v>187</v>
      </c>
      <c r="AM70" s="669"/>
      <c r="AO70" s="697" t="s">
        <v>188</v>
      </c>
      <c r="AP70" s="698"/>
      <c r="BA70" s="345"/>
      <c r="BB70" s="345"/>
    </row>
    <row r="71" spans="1:55">
      <c r="A71" s="297"/>
      <c r="B71" s="622" t="s">
        <v>42</v>
      </c>
      <c r="C71" s="620"/>
      <c r="D71" s="309"/>
      <c r="E71" s="622" t="s">
        <v>37</v>
      </c>
      <c r="F71" s="620"/>
      <c r="G71" s="309"/>
      <c r="H71" s="622" t="s">
        <v>42</v>
      </c>
      <c r="I71" s="622"/>
      <c r="J71" s="309"/>
      <c r="K71" s="622" t="s">
        <v>37</v>
      </c>
      <c r="L71" s="622"/>
      <c r="M71" s="309"/>
      <c r="N71" s="620" t="s">
        <v>42</v>
      </c>
      <c r="O71" s="620"/>
      <c r="P71" s="309"/>
      <c r="Q71" s="620" t="s">
        <v>34</v>
      </c>
      <c r="R71" s="620"/>
      <c r="S71" s="309"/>
      <c r="T71" s="620" t="s">
        <v>37</v>
      </c>
      <c r="U71" s="620"/>
      <c r="V71" s="309"/>
      <c r="W71" s="622" t="s">
        <v>42</v>
      </c>
      <c r="X71" s="622"/>
      <c r="Y71" s="309"/>
      <c r="Z71" s="620" t="s">
        <v>42</v>
      </c>
      <c r="AA71" s="620"/>
      <c r="AB71" s="309"/>
      <c r="AC71" s="620" t="s">
        <v>56</v>
      </c>
      <c r="AD71" s="620"/>
      <c r="AE71" s="310"/>
      <c r="AF71" s="620" t="s">
        <v>37</v>
      </c>
      <c r="AG71" s="620"/>
      <c r="AH71" s="310"/>
      <c r="AI71" s="620" t="s">
        <v>42</v>
      </c>
      <c r="AJ71" s="620"/>
      <c r="AL71" s="686" t="s">
        <v>37</v>
      </c>
      <c r="AM71" s="686"/>
      <c r="AN71" s="309"/>
      <c r="AO71" s="686" t="s">
        <v>42</v>
      </c>
      <c r="AP71" s="686"/>
      <c r="AQ71" s="311"/>
      <c r="AR71" s="311"/>
      <c r="AS71" s="311"/>
      <c r="AT71" s="311"/>
      <c r="AU71" s="528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528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528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4"/>
      <c r="C76" s="624"/>
      <c r="E76" s="662"/>
      <c r="F76" s="662"/>
      <c r="H76" s="662"/>
      <c r="I76" s="662"/>
      <c r="K76" s="662"/>
      <c r="L76" s="662"/>
      <c r="N76" s="662"/>
      <c r="O76" s="662"/>
      <c r="Q76" s="662"/>
      <c r="R76" s="662"/>
      <c r="T76" s="662"/>
      <c r="U76" s="662"/>
      <c r="W76" s="662"/>
      <c r="X76" s="662"/>
      <c r="Z76" s="662"/>
      <c r="AA76" s="662"/>
      <c r="AC76" s="662"/>
      <c r="AD76" s="662"/>
      <c r="AF76" s="662"/>
      <c r="AG76" s="662"/>
      <c r="AI76" s="662"/>
      <c r="AJ76" s="662"/>
      <c r="AL76" s="662"/>
      <c r="AM76" s="662"/>
      <c r="AO76" s="662"/>
      <c r="AP76" s="662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6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527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31"/>
    </row>
    <row r="79" spans="1:55">
      <c r="A79" s="297"/>
      <c r="B79" s="668" t="s">
        <v>189</v>
      </c>
      <c r="C79" s="669"/>
      <c r="D79" s="310"/>
      <c r="E79" s="669" t="s">
        <v>191</v>
      </c>
      <c r="F79" s="669"/>
      <c r="G79" s="310"/>
      <c r="H79" s="668" t="s">
        <v>192</v>
      </c>
      <c r="I79" s="669"/>
      <c r="J79" s="309"/>
      <c r="K79" s="668" t="s">
        <v>193</v>
      </c>
      <c r="L79" s="669"/>
      <c r="M79" s="309"/>
      <c r="N79" s="668" t="s">
        <v>194</v>
      </c>
      <c r="O79" s="669"/>
      <c r="P79" s="310"/>
      <c r="Q79" s="669" t="s">
        <v>196</v>
      </c>
      <c r="R79" s="669"/>
      <c r="S79" s="310"/>
      <c r="T79" s="668" t="s">
        <v>197</v>
      </c>
      <c r="U79" s="669"/>
      <c r="V79" s="310"/>
      <c r="W79" s="668" t="s">
        <v>198</v>
      </c>
      <c r="X79" s="669"/>
      <c r="Y79" s="309"/>
      <c r="Z79" s="668" t="s">
        <v>199</v>
      </c>
      <c r="AA79" s="669"/>
      <c r="AB79" s="309"/>
      <c r="AC79" s="669" t="s">
        <v>201</v>
      </c>
      <c r="AD79" s="669"/>
      <c r="AE79" s="310"/>
      <c r="AF79" s="668" t="s">
        <v>202</v>
      </c>
      <c r="AG79" s="669"/>
      <c r="AH79" s="309"/>
      <c r="AI79" s="668" t="s">
        <v>203</v>
      </c>
      <c r="AJ79" s="669"/>
      <c r="AK79" s="310"/>
      <c r="AL79" s="668" t="s">
        <v>204</v>
      </c>
      <c r="AM79" s="669"/>
      <c r="AN79" s="310"/>
      <c r="AO79" s="668" t="s">
        <v>205</v>
      </c>
      <c r="AP79" s="669"/>
      <c r="AQ79" s="310"/>
      <c r="AR79" s="310"/>
      <c r="AS79" s="310"/>
      <c r="AT79" s="310"/>
      <c r="AU79" s="527"/>
      <c r="BA79" s="345"/>
      <c r="BB79" s="345"/>
    </row>
    <row r="80" spans="1:55">
      <c r="A80" s="297"/>
      <c r="B80" s="620" t="s">
        <v>42</v>
      </c>
      <c r="C80" s="620"/>
      <c r="E80" s="620" t="s">
        <v>39</v>
      </c>
      <c r="F80" s="620"/>
      <c r="G80" s="309"/>
      <c r="H80" s="620" t="s">
        <v>37</v>
      </c>
      <c r="I80" s="620"/>
      <c r="J80" s="309"/>
      <c r="K80" s="620" t="s">
        <v>37</v>
      </c>
      <c r="L80" s="620"/>
      <c r="M80" s="309"/>
      <c r="N80" s="620" t="s">
        <v>37</v>
      </c>
      <c r="O80" s="620"/>
      <c r="P80" s="309"/>
      <c r="Q80" s="620" t="s">
        <v>46</v>
      </c>
      <c r="R80" s="620"/>
      <c r="S80" s="309"/>
      <c r="T80" s="620" t="s">
        <v>56</v>
      </c>
      <c r="U80" s="620"/>
      <c r="V80" s="309"/>
      <c r="W80" s="620" t="s">
        <v>37</v>
      </c>
      <c r="X80" s="620"/>
      <c r="Y80" s="309"/>
      <c r="Z80" s="620" t="s">
        <v>56</v>
      </c>
      <c r="AA80" s="620"/>
      <c r="AB80" s="309"/>
      <c r="AC80" s="620" t="s">
        <v>39</v>
      </c>
      <c r="AD80" s="620"/>
      <c r="AE80" s="309"/>
      <c r="AF80" s="620" t="s">
        <v>42</v>
      </c>
      <c r="AG80" s="620"/>
      <c r="AH80" s="309"/>
      <c r="AI80" s="620" t="s">
        <v>37</v>
      </c>
      <c r="AJ80" s="620"/>
      <c r="AK80" s="309"/>
      <c r="AL80" s="620" t="s">
        <v>42</v>
      </c>
      <c r="AM80" s="620"/>
      <c r="AN80" s="309"/>
      <c r="AO80" s="620" t="s">
        <v>42</v>
      </c>
      <c r="AP80" s="620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5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4"/>
      <c r="C85" s="624"/>
      <c r="E85" s="662"/>
      <c r="F85" s="662"/>
      <c r="H85" s="662"/>
      <c r="I85" s="662"/>
      <c r="K85" s="702"/>
      <c r="L85" s="662"/>
      <c r="N85" s="702"/>
      <c r="O85" s="662"/>
      <c r="Q85" s="702"/>
      <c r="R85" s="662"/>
      <c r="T85" s="702"/>
      <c r="U85" s="662"/>
      <c r="W85" s="662"/>
      <c r="X85" s="662"/>
      <c r="Z85" s="662"/>
      <c r="AA85" s="662"/>
      <c r="AC85" s="662"/>
      <c r="AD85" s="662"/>
      <c r="AF85" s="662"/>
      <c r="AG85" s="662"/>
      <c r="AI85" s="662"/>
      <c r="AJ85" s="662"/>
      <c r="AL85" s="662"/>
      <c r="AM85" s="662"/>
      <c r="AO85" s="662"/>
      <c r="AP85" s="662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6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527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31"/>
    </row>
    <row r="88" spans="1:55">
      <c r="A88" s="297"/>
      <c r="B88" s="676" t="s">
        <v>206</v>
      </c>
      <c r="C88" s="620"/>
      <c r="D88" s="310"/>
      <c r="E88" s="668" t="s">
        <v>207</v>
      </c>
      <c r="F88" s="669"/>
      <c r="G88" s="310"/>
      <c r="H88" s="668" t="s">
        <v>208</v>
      </c>
      <c r="I88" s="669"/>
      <c r="J88" s="309"/>
      <c r="K88" s="668" t="s">
        <v>209</v>
      </c>
      <c r="L88" s="669"/>
      <c r="M88" s="309"/>
      <c r="N88" s="668" t="s">
        <v>210</v>
      </c>
      <c r="O88" s="669"/>
      <c r="P88" s="310"/>
      <c r="Q88" s="668" t="s">
        <v>211</v>
      </c>
      <c r="R88" s="669"/>
      <c r="S88" s="309"/>
      <c r="T88" s="668" t="s">
        <v>212</v>
      </c>
      <c r="U88" s="669"/>
      <c r="V88" s="310"/>
      <c r="W88" s="669" t="s">
        <v>214</v>
      </c>
      <c r="X88" s="669"/>
      <c r="Y88" s="310"/>
      <c r="Z88" s="668" t="s">
        <v>215</v>
      </c>
      <c r="AA88" s="669"/>
      <c r="AB88" s="310"/>
      <c r="AC88" s="668" t="s">
        <v>216</v>
      </c>
      <c r="AD88" s="669"/>
      <c r="AE88" s="310"/>
      <c r="AF88" s="668" t="s">
        <v>217</v>
      </c>
      <c r="AG88" s="669"/>
      <c r="AH88" s="310"/>
      <c r="AI88" s="668" t="s">
        <v>218</v>
      </c>
      <c r="AJ88" s="669"/>
      <c r="AK88" s="310"/>
      <c r="AL88" s="668" t="s">
        <v>219</v>
      </c>
      <c r="AM88" s="669"/>
      <c r="AN88" s="309"/>
      <c r="AO88" s="669" t="s">
        <v>221</v>
      </c>
      <c r="AP88" s="669"/>
      <c r="AQ88" s="310"/>
      <c r="AR88" s="310"/>
      <c r="AS88" s="310"/>
      <c r="AT88" s="310"/>
      <c r="AU88" s="527"/>
      <c r="BA88" s="345"/>
      <c r="BB88" s="345"/>
    </row>
    <row r="89" spans="1:55">
      <c r="A89" s="297"/>
      <c r="B89" s="620" t="s">
        <v>37</v>
      </c>
      <c r="C89" s="620"/>
      <c r="D89" s="309"/>
      <c r="E89" s="620" t="s">
        <v>37</v>
      </c>
      <c r="F89" s="620"/>
      <c r="G89" s="310"/>
      <c r="H89" s="620" t="s">
        <v>56</v>
      </c>
      <c r="I89" s="620"/>
      <c r="J89" s="309"/>
      <c r="K89" s="620" t="s">
        <v>37</v>
      </c>
      <c r="L89" s="620"/>
      <c r="M89" s="309"/>
      <c r="N89" s="620" t="s">
        <v>37</v>
      </c>
      <c r="O89" s="620"/>
      <c r="P89" s="335"/>
      <c r="Q89" s="620" t="s">
        <v>37</v>
      </c>
      <c r="R89" s="620"/>
      <c r="S89" s="309"/>
      <c r="T89" s="620" t="s">
        <v>37</v>
      </c>
      <c r="U89" s="620"/>
      <c r="V89" s="309"/>
      <c r="W89" s="620" t="s">
        <v>89</v>
      </c>
      <c r="X89" s="620"/>
      <c r="Y89" s="309"/>
      <c r="Z89" s="620" t="s">
        <v>42</v>
      </c>
      <c r="AA89" s="620"/>
      <c r="AB89" s="309"/>
      <c r="AC89" s="620" t="s">
        <v>37</v>
      </c>
      <c r="AD89" s="620"/>
      <c r="AE89" s="310"/>
      <c r="AF89" s="620" t="s">
        <v>37</v>
      </c>
      <c r="AG89" s="620"/>
      <c r="AH89" s="309"/>
      <c r="AI89" s="620" t="s">
        <v>42</v>
      </c>
      <c r="AJ89" s="620"/>
      <c r="AK89" s="309"/>
      <c r="AL89" s="620" t="s">
        <v>42</v>
      </c>
      <c r="AM89" s="620"/>
      <c r="AN89" s="309"/>
      <c r="AO89" s="620" t="s">
        <v>76</v>
      </c>
      <c r="AP89" s="620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5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4"/>
      <c r="C94" s="624"/>
      <c r="E94" s="662"/>
      <c r="F94" s="662"/>
      <c r="H94" s="662"/>
      <c r="I94" s="662"/>
      <c r="K94" s="662"/>
      <c r="L94" s="662"/>
      <c r="N94" s="662"/>
      <c r="O94" s="662"/>
      <c r="Q94" s="701"/>
      <c r="R94" s="662"/>
      <c r="T94" s="662"/>
      <c r="U94" s="662"/>
      <c r="W94" s="662"/>
      <c r="X94" s="662"/>
      <c r="Z94" s="662"/>
      <c r="AA94" s="662"/>
      <c r="AC94" s="662"/>
      <c r="AD94" s="662"/>
      <c r="AF94" s="662"/>
      <c r="AG94" s="662"/>
      <c r="AI94" s="662"/>
      <c r="AJ94" s="662"/>
      <c r="AL94" s="662"/>
      <c r="AM94" s="662"/>
      <c r="AO94" s="662"/>
      <c r="AP94" s="662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6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527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31"/>
    </row>
    <row r="97" spans="1:55">
      <c r="A97" s="297"/>
      <c r="B97" s="676" t="s">
        <v>222</v>
      </c>
      <c r="C97" s="620"/>
      <c r="D97" s="310"/>
      <c r="E97" s="668" t="s">
        <v>223</v>
      </c>
      <c r="F97" s="669"/>
      <c r="G97" s="310"/>
      <c r="H97" s="668" t="s">
        <v>224</v>
      </c>
      <c r="I97" s="669"/>
      <c r="J97" s="310"/>
      <c r="K97" s="668" t="s">
        <v>225</v>
      </c>
      <c r="L97" s="669"/>
      <c r="M97" s="310"/>
      <c r="N97" s="668" t="s">
        <v>226</v>
      </c>
      <c r="O97" s="669"/>
      <c r="P97" s="310"/>
      <c r="Q97" s="668" t="s">
        <v>227</v>
      </c>
      <c r="R97" s="669"/>
      <c r="S97" s="310"/>
      <c r="T97" s="668" t="s">
        <v>228</v>
      </c>
      <c r="U97" s="669"/>
      <c r="V97" s="310"/>
      <c r="W97" s="668" t="s">
        <v>229</v>
      </c>
      <c r="X97" s="669"/>
      <c r="Y97" s="310"/>
      <c r="Z97" s="669" t="s">
        <v>231</v>
      </c>
      <c r="AA97" s="669"/>
      <c r="AB97" s="310"/>
      <c r="AC97" s="668" t="s">
        <v>232</v>
      </c>
      <c r="AD97" s="669"/>
      <c r="AE97" s="310"/>
      <c r="AF97" s="668" t="s">
        <v>233</v>
      </c>
      <c r="AG97" s="669"/>
      <c r="AH97" s="310"/>
      <c r="AI97" s="668" t="s">
        <v>234</v>
      </c>
      <c r="AJ97" s="669"/>
      <c r="AK97" s="310"/>
      <c r="AL97" s="668" t="s">
        <v>235</v>
      </c>
      <c r="AM97" s="669"/>
      <c r="AN97" s="310"/>
      <c r="AO97" s="668" t="s">
        <v>236</v>
      </c>
      <c r="AP97" s="669"/>
      <c r="AQ97" s="310"/>
      <c r="AR97" s="310"/>
      <c r="AS97" s="310"/>
      <c r="AT97" s="310"/>
      <c r="AU97" s="527"/>
      <c r="BA97" s="345"/>
      <c r="BB97" s="345"/>
    </row>
    <row r="98" spans="1:55">
      <c r="A98" s="297"/>
      <c r="B98" s="620" t="s">
        <v>42</v>
      </c>
      <c r="C98" s="620"/>
      <c r="D98" s="309"/>
      <c r="E98" s="620" t="s">
        <v>37</v>
      </c>
      <c r="F98" s="620"/>
      <c r="G98" s="309"/>
      <c r="H98" s="620" t="s">
        <v>42</v>
      </c>
      <c r="I98" s="620"/>
      <c r="J98" s="309"/>
      <c r="K98" s="620" t="s">
        <v>42</v>
      </c>
      <c r="L98" s="620"/>
      <c r="M98" s="310"/>
      <c r="N98" s="620" t="s">
        <v>42</v>
      </c>
      <c r="O98" s="620"/>
      <c r="P98" s="309"/>
      <c r="Q98" s="620" t="s">
        <v>37</v>
      </c>
      <c r="R98" s="620"/>
      <c r="S98" s="309"/>
      <c r="T98" s="620" t="s">
        <v>37</v>
      </c>
      <c r="U98" s="620"/>
      <c r="V98" s="309"/>
      <c r="W98" s="620" t="s">
        <v>37</v>
      </c>
      <c r="X98" s="620"/>
      <c r="Y98" s="309"/>
      <c r="Z98" s="620" t="s">
        <v>76</v>
      </c>
      <c r="AA98" s="620"/>
      <c r="AB98" s="309"/>
      <c r="AC98" s="620" t="s">
        <v>37</v>
      </c>
      <c r="AD98" s="620"/>
      <c r="AE98" s="309"/>
      <c r="AF98" s="620" t="s">
        <v>37</v>
      </c>
      <c r="AG98" s="620"/>
      <c r="AH98" s="309"/>
      <c r="AI98" s="620" t="s">
        <v>37</v>
      </c>
      <c r="AJ98" s="620"/>
      <c r="AK98" s="309"/>
      <c r="AL98" s="620" t="s">
        <v>42</v>
      </c>
      <c r="AM98" s="620"/>
      <c r="AN98" s="309"/>
      <c r="AO98" s="620" t="s">
        <v>37</v>
      </c>
      <c r="AP98" s="620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5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62"/>
      <c r="C103" s="662"/>
      <c r="E103" s="662"/>
      <c r="F103" s="662"/>
      <c r="H103" s="662"/>
      <c r="I103" s="662"/>
      <c r="K103" s="662"/>
      <c r="L103" s="662"/>
      <c r="N103" s="662"/>
      <c r="O103" s="662"/>
      <c r="Q103" s="662"/>
      <c r="R103" s="662"/>
      <c r="T103" s="662"/>
      <c r="U103" s="662"/>
      <c r="W103" s="662"/>
      <c r="X103" s="662"/>
      <c r="Z103" s="662"/>
      <c r="AA103" s="662"/>
      <c r="AC103" s="662"/>
      <c r="AD103" s="662"/>
      <c r="AF103" s="662"/>
      <c r="AG103" s="662"/>
      <c r="AI103" s="662"/>
      <c r="AJ103" s="662"/>
      <c r="AL103" s="662"/>
      <c r="AM103" s="662"/>
      <c r="AN103" s="317"/>
      <c r="AO103" s="662"/>
      <c r="AP103" s="662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6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527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31"/>
    </row>
    <row r="106" spans="1:55">
      <c r="A106" s="297"/>
      <c r="B106" s="668" t="s">
        <v>237</v>
      </c>
      <c r="C106" s="669"/>
      <c r="D106" s="310"/>
      <c r="E106" s="668" t="s">
        <v>238</v>
      </c>
      <c r="F106" s="669"/>
      <c r="G106" s="309"/>
      <c r="H106" s="668" t="s">
        <v>239</v>
      </c>
      <c r="I106" s="669"/>
      <c r="J106" s="310"/>
      <c r="K106" s="668" t="s">
        <v>240</v>
      </c>
      <c r="L106" s="669"/>
      <c r="M106" s="310"/>
      <c r="N106" s="668" t="s">
        <v>241</v>
      </c>
      <c r="O106" s="669"/>
      <c r="P106" s="310"/>
      <c r="Q106" s="668" t="s">
        <v>242</v>
      </c>
      <c r="R106" s="669"/>
      <c r="S106" s="309"/>
      <c r="T106" s="668" t="s">
        <v>243</v>
      </c>
      <c r="U106" s="669"/>
      <c r="V106" s="310"/>
      <c r="W106" s="669" t="s">
        <v>244</v>
      </c>
      <c r="X106" s="669"/>
      <c r="Y106" s="310"/>
      <c r="Z106" s="669" t="s">
        <v>246</v>
      </c>
      <c r="AA106" s="669"/>
      <c r="AB106" s="310"/>
      <c r="AC106" s="668" t="s">
        <v>247</v>
      </c>
      <c r="AD106" s="669"/>
      <c r="AE106" s="310"/>
      <c r="AF106" s="668" t="s">
        <v>248</v>
      </c>
      <c r="AG106" s="669"/>
      <c r="AH106" s="310"/>
      <c r="AI106" s="669" t="s">
        <v>250</v>
      </c>
      <c r="AJ106" s="669"/>
      <c r="AK106" s="310" t="s">
        <v>0</v>
      </c>
      <c r="AL106" s="668" t="s">
        <v>251</v>
      </c>
      <c r="AM106" s="669"/>
      <c r="AN106" s="310" t="s">
        <v>0</v>
      </c>
      <c r="AO106" s="668" t="s">
        <v>252</v>
      </c>
      <c r="AP106" s="669"/>
      <c r="AQ106" s="310" t="s">
        <v>0</v>
      </c>
      <c r="AR106" s="310"/>
      <c r="AS106" s="310"/>
      <c r="AT106" s="310"/>
      <c r="AU106" s="527"/>
      <c r="BA106" s="345"/>
      <c r="BB106" s="345"/>
    </row>
    <row r="107" spans="1:55">
      <c r="A107" s="297"/>
      <c r="B107" s="620" t="s">
        <v>37</v>
      </c>
      <c r="C107" s="620"/>
      <c r="D107" s="309"/>
      <c r="E107" s="620" t="s">
        <v>37</v>
      </c>
      <c r="F107" s="620"/>
      <c r="G107" s="309"/>
      <c r="H107" s="620" t="s">
        <v>37</v>
      </c>
      <c r="I107" s="620"/>
      <c r="J107" s="309"/>
      <c r="K107" s="620" t="s">
        <v>42</v>
      </c>
      <c r="L107" s="620"/>
      <c r="M107" s="309"/>
      <c r="N107" s="620" t="s">
        <v>37</v>
      </c>
      <c r="O107" s="620"/>
      <c r="P107" s="309"/>
      <c r="Q107" s="620" t="s">
        <v>42</v>
      </c>
      <c r="R107" s="620"/>
      <c r="S107" s="309"/>
      <c r="T107" s="620" t="s">
        <v>37</v>
      </c>
      <c r="U107" s="620"/>
      <c r="V107" s="309"/>
      <c r="W107" s="620" t="s">
        <v>37</v>
      </c>
      <c r="X107" s="620"/>
      <c r="Y107" s="309"/>
      <c r="Z107" s="620" t="s">
        <v>46</v>
      </c>
      <c r="AA107" s="620"/>
      <c r="AB107" s="309"/>
      <c r="AC107" s="620" t="s">
        <v>37</v>
      </c>
      <c r="AD107" s="620"/>
      <c r="AE107" s="309"/>
      <c r="AF107" s="620" t="s">
        <v>37</v>
      </c>
      <c r="AG107" s="620"/>
      <c r="AH107" s="309"/>
      <c r="AI107" s="620" t="s">
        <v>39</v>
      </c>
      <c r="AJ107" s="620"/>
      <c r="AK107" s="309"/>
      <c r="AL107" s="620" t="s">
        <v>42</v>
      </c>
      <c r="AM107" s="620"/>
      <c r="AN107" s="309"/>
      <c r="AO107" s="620" t="s">
        <v>42</v>
      </c>
      <c r="AP107" s="620"/>
      <c r="AQ107" s="309"/>
      <c r="AR107" s="309"/>
      <c r="AS107" s="309"/>
      <c r="AT107" s="309"/>
      <c r="AU107" s="528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528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528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528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528"/>
      <c r="BA111" s="345"/>
      <c r="BB111" s="345"/>
    </row>
    <row r="112" spans="1:55">
      <c r="A112" s="297"/>
      <c r="B112" s="703"/>
      <c r="C112" s="703"/>
      <c r="D112" s="309"/>
      <c r="E112" s="703"/>
      <c r="F112" s="703"/>
      <c r="G112" s="309"/>
      <c r="H112" s="703"/>
      <c r="I112" s="703"/>
      <c r="J112" s="309"/>
      <c r="K112" s="703"/>
      <c r="L112" s="703"/>
      <c r="M112" s="309"/>
      <c r="N112" s="703"/>
      <c r="O112" s="703"/>
      <c r="P112" s="309"/>
      <c r="Q112" s="703"/>
      <c r="R112" s="703"/>
      <c r="S112" s="309"/>
      <c r="T112" s="703"/>
      <c r="U112" s="703"/>
      <c r="V112" s="309"/>
      <c r="W112" s="703"/>
      <c r="X112" s="703"/>
      <c r="Y112" s="309"/>
      <c r="Z112" s="703"/>
      <c r="AA112" s="703"/>
      <c r="AB112" s="309"/>
      <c r="AC112" s="703"/>
      <c r="AD112" s="703"/>
      <c r="AE112" s="309"/>
      <c r="AF112" s="703"/>
      <c r="AG112" s="703"/>
      <c r="AH112" s="309"/>
      <c r="AI112" s="703"/>
      <c r="AJ112" s="703"/>
      <c r="AK112" s="309"/>
      <c r="AL112" s="703"/>
      <c r="AM112" s="703"/>
      <c r="AN112" s="309"/>
      <c r="AO112" s="703"/>
      <c r="AP112" s="703"/>
      <c r="AQ112" s="309"/>
      <c r="AR112" s="309"/>
      <c r="AS112" s="309"/>
      <c r="AT112" s="309"/>
      <c r="AU112" s="528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527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527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31"/>
    </row>
    <row r="115" spans="1:55">
      <c r="A115" s="297"/>
      <c r="B115" s="668" t="s">
        <v>253</v>
      </c>
      <c r="C115" s="669"/>
      <c r="D115" s="310" t="s">
        <v>0</v>
      </c>
      <c r="E115" s="668" t="s">
        <v>254</v>
      </c>
      <c r="F115" s="669"/>
      <c r="G115" s="310" t="s">
        <v>0</v>
      </c>
      <c r="H115" s="668" t="s">
        <v>255</v>
      </c>
      <c r="I115" s="669"/>
      <c r="J115" s="310" t="s">
        <v>0</v>
      </c>
      <c r="K115" s="700" t="s">
        <v>257</v>
      </c>
      <c r="L115" s="700"/>
      <c r="M115" s="310" t="s">
        <v>0</v>
      </c>
      <c r="N115" s="700" t="s">
        <v>259</v>
      </c>
      <c r="O115" s="700"/>
      <c r="P115" s="310" t="s">
        <v>0</v>
      </c>
      <c r="Q115" s="669" t="s">
        <v>262</v>
      </c>
      <c r="R115" s="669"/>
      <c r="S115" s="310" t="s">
        <v>0</v>
      </c>
      <c r="T115" s="669" t="s">
        <v>264</v>
      </c>
      <c r="U115" s="669"/>
      <c r="V115" s="310" t="s">
        <v>0</v>
      </c>
      <c r="W115" s="669" t="s">
        <v>266</v>
      </c>
      <c r="X115" s="669"/>
      <c r="Y115" s="309" t="s">
        <v>0</v>
      </c>
      <c r="Z115" s="668" t="s">
        <v>267</v>
      </c>
      <c r="AA115" s="669"/>
      <c r="AB115" s="309" t="s">
        <v>0</v>
      </c>
      <c r="AC115" s="668" t="s">
        <v>269</v>
      </c>
      <c r="AD115" s="669"/>
      <c r="AE115" s="310" t="s">
        <v>0</v>
      </c>
      <c r="AF115" s="669" t="s">
        <v>271</v>
      </c>
      <c r="AG115" s="669"/>
      <c r="AH115" s="309" t="s">
        <v>0</v>
      </c>
      <c r="AI115" s="668" t="s">
        <v>273</v>
      </c>
      <c r="AJ115" s="669"/>
      <c r="AK115" s="309" t="s">
        <v>0</v>
      </c>
      <c r="AL115" s="668" t="s">
        <v>274</v>
      </c>
      <c r="AM115" s="669"/>
      <c r="AN115" s="309" t="s">
        <v>0</v>
      </c>
      <c r="AO115" s="668" t="s">
        <v>275</v>
      </c>
      <c r="AP115" s="669"/>
      <c r="AQ115" s="309" t="s">
        <v>0</v>
      </c>
      <c r="AR115" s="309"/>
      <c r="AS115" s="309"/>
      <c r="AT115" s="309"/>
      <c r="AU115" s="528"/>
      <c r="BA115" s="345"/>
      <c r="BB115" s="345"/>
    </row>
    <row r="116" spans="1:55">
      <c r="A116" s="297"/>
      <c r="B116" s="620" t="s">
        <v>42</v>
      </c>
      <c r="C116" s="620"/>
      <c r="D116" s="309"/>
      <c r="E116" s="620" t="s">
        <v>37</v>
      </c>
      <c r="F116" s="620"/>
      <c r="G116" s="309"/>
      <c r="H116" s="620" t="s">
        <v>42</v>
      </c>
      <c r="I116" s="620"/>
      <c r="J116" s="309"/>
      <c r="K116" s="622" t="s">
        <v>54</v>
      </c>
      <c r="L116" s="622"/>
      <c r="M116" s="309"/>
      <c r="N116" s="622" t="s">
        <v>260</v>
      </c>
      <c r="O116" s="622"/>
      <c r="P116" s="309"/>
      <c r="Q116" s="620" t="s">
        <v>260</v>
      </c>
      <c r="R116" s="620"/>
      <c r="S116" s="309"/>
      <c r="T116" s="620" t="s">
        <v>260</v>
      </c>
      <c r="U116" s="620"/>
      <c r="V116" s="309"/>
      <c r="W116" s="620" t="s">
        <v>34</v>
      </c>
      <c r="X116" s="620"/>
      <c r="Y116" s="309"/>
      <c r="Z116" s="620" t="s">
        <v>629</v>
      </c>
      <c r="AA116" s="620"/>
      <c r="AB116" s="309"/>
      <c r="AC116" s="620" t="s">
        <v>629</v>
      </c>
      <c r="AD116" s="620"/>
      <c r="AE116" s="309"/>
      <c r="AF116" s="620" t="s">
        <v>51</v>
      </c>
      <c r="AG116" s="620"/>
      <c r="AH116" s="309"/>
      <c r="AI116" s="620" t="s">
        <v>65</v>
      </c>
      <c r="AJ116" s="620"/>
      <c r="AK116" s="309"/>
      <c r="AL116" s="620" t="s">
        <v>42</v>
      </c>
      <c r="AM116" s="620"/>
      <c r="AN116" s="309"/>
      <c r="AO116" s="620" t="s">
        <v>56</v>
      </c>
      <c r="AP116" s="620"/>
      <c r="AQ116" s="309"/>
      <c r="AR116" s="309"/>
      <c r="AS116" s="309"/>
      <c r="AT116" s="309"/>
      <c r="AU116" s="528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528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528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4"/>
      <c r="AM119" s="484"/>
      <c r="AN119" s="483"/>
      <c r="AO119" s="484"/>
      <c r="AP119" s="484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0"/>
      <c r="C121" s="620"/>
      <c r="D121" s="309"/>
      <c r="E121" s="703"/>
      <c r="F121" s="703"/>
      <c r="G121" s="309"/>
      <c r="H121" s="703"/>
      <c r="I121" s="703"/>
      <c r="J121" s="309"/>
      <c r="K121" s="703"/>
      <c r="L121" s="703"/>
      <c r="M121" s="309"/>
      <c r="N121" s="703"/>
      <c r="O121" s="703"/>
      <c r="P121" s="309"/>
      <c r="Q121" s="703"/>
      <c r="R121" s="703"/>
      <c r="S121" s="309"/>
      <c r="T121" s="703"/>
      <c r="U121" s="703"/>
      <c r="V121" s="309"/>
      <c r="W121" s="703"/>
      <c r="X121" s="703"/>
      <c r="Y121" s="309"/>
      <c r="Z121" s="620"/>
      <c r="AA121" s="620"/>
      <c r="AB121" s="309"/>
      <c r="AC121" s="620"/>
      <c r="AD121" s="620"/>
      <c r="AE121" s="686"/>
      <c r="AF121" s="686"/>
      <c r="AG121" s="686"/>
      <c r="AH121" s="686"/>
      <c r="AI121" s="624"/>
      <c r="AJ121" s="624"/>
      <c r="AL121" s="624"/>
      <c r="AM121" s="624"/>
      <c r="AO121" s="624"/>
      <c r="AP121" s="624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6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6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531"/>
    </row>
    <row r="124" spans="1:55">
      <c r="A124" s="297"/>
      <c r="B124" s="676" t="s">
        <v>276</v>
      </c>
      <c r="C124" s="620"/>
      <c r="D124" s="310"/>
      <c r="E124" s="668" t="s">
        <v>277</v>
      </c>
      <c r="F124" s="669"/>
      <c r="G124" s="310"/>
      <c r="H124" s="669" t="s">
        <v>279</v>
      </c>
      <c r="I124" s="669"/>
      <c r="J124" s="310"/>
      <c r="K124" s="668" t="s">
        <v>280</v>
      </c>
      <c r="L124" s="669"/>
      <c r="M124" s="310"/>
      <c r="N124" s="668" t="s">
        <v>281</v>
      </c>
      <c r="O124" s="669"/>
      <c r="P124" s="310"/>
      <c r="Q124" s="668" t="s">
        <v>282</v>
      </c>
      <c r="R124" s="669"/>
      <c r="S124" s="310"/>
      <c r="T124" s="674" t="s">
        <v>283</v>
      </c>
      <c r="U124" s="669"/>
      <c r="V124" s="310"/>
      <c r="W124" s="674" t="s">
        <v>284</v>
      </c>
      <c r="X124" s="669"/>
      <c r="Y124" s="309"/>
      <c r="Z124" s="676" t="s">
        <v>285</v>
      </c>
      <c r="AA124" s="620"/>
      <c r="AB124" s="327"/>
      <c r="AC124" s="676" t="s">
        <v>669</v>
      </c>
      <c r="AD124" s="676"/>
      <c r="AE124" s="309"/>
      <c r="AF124" s="676" t="s">
        <v>288</v>
      </c>
      <c r="AG124" s="620"/>
      <c r="AH124" s="317"/>
      <c r="AI124" s="731" t="s">
        <v>290</v>
      </c>
      <c r="AJ124" s="624"/>
      <c r="AL124" s="624" t="s">
        <v>291</v>
      </c>
      <c r="AM124" s="624"/>
      <c r="AO124" s="624" t="s">
        <v>292</v>
      </c>
      <c r="AP124" s="624"/>
      <c r="AQ124" s="317"/>
      <c r="AR124" s="317"/>
      <c r="AS124" s="317"/>
      <c r="AT124" s="317"/>
      <c r="AU124" s="526"/>
      <c r="BA124" s="345"/>
      <c r="BB124" s="345"/>
    </row>
    <row r="125" spans="1:55">
      <c r="A125" s="297"/>
      <c r="B125" s="620" t="s">
        <v>56</v>
      </c>
      <c r="C125" s="620"/>
      <c r="D125" s="309"/>
      <c r="E125" s="620" t="s">
        <v>37</v>
      </c>
      <c r="F125" s="620"/>
      <c r="G125" s="309"/>
      <c r="H125" s="620" t="s">
        <v>76</v>
      </c>
      <c r="I125" s="620"/>
      <c r="J125" s="309"/>
      <c r="K125" s="620" t="s">
        <v>42</v>
      </c>
      <c r="L125" s="620"/>
      <c r="M125" s="309"/>
      <c r="N125" s="620" t="s">
        <v>42</v>
      </c>
      <c r="O125" s="620"/>
      <c r="P125" s="309"/>
      <c r="Q125" s="620" t="s">
        <v>42</v>
      </c>
      <c r="R125" s="620"/>
      <c r="S125" s="309"/>
      <c r="T125" s="620" t="s">
        <v>42</v>
      </c>
      <c r="U125" s="620"/>
      <c r="V125" s="309"/>
      <c r="W125" s="622" t="s">
        <v>42</v>
      </c>
      <c r="X125" s="620"/>
      <c r="Y125" s="309"/>
      <c r="Z125" s="620" t="s">
        <v>42</v>
      </c>
      <c r="AA125" s="620"/>
      <c r="AB125" s="309"/>
      <c r="AC125" s="620" t="s">
        <v>76</v>
      </c>
      <c r="AD125" s="620"/>
      <c r="AE125" s="309"/>
      <c r="AF125" s="620" t="s">
        <v>56</v>
      </c>
      <c r="AG125" s="620"/>
      <c r="AI125" s="731" t="s">
        <v>39</v>
      </c>
      <c r="AJ125" s="624"/>
      <c r="AL125" s="624" t="s">
        <v>42</v>
      </c>
      <c r="AM125" s="624"/>
      <c r="AO125" s="624" t="s">
        <v>42</v>
      </c>
      <c r="AP125" s="624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2"/>
      <c r="AM126" s="482"/>
      <c r="AN126" s="483"/>
      <c r="AO126" s="482"/>
      <c r="AP126" s="482"/>
      <c r="AU126" s="525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0"/>
      <c r="C130" s="620"/>
      <c r="D130" s="309"/>
      <c r="E130" s="620"/>
      <c r="F130" s="620"/>
      <c r="G130" s="309"/>
      <c r="H130" s="620"/>
      <c r="I130" s="620"/>
      <c r="J130" s="309"/>
      <c r="K130" s="620"/>
      <c r="L130" s="620"/>
      <c r="M130" s="309"/>
      <c r="N130" s="620"/>
      <c r="O130" s="620"/>
      <c r="P130" s="309"/>
      <c r="Q130" s="620"/>
      <c r="R130" s="620"/>
      <c r="S130" s="309"/>
      <c r="T130" s="620"/>
      <c r="U130" s="620"/>
      <c r="V130" s="309"/>
      <c r="W130" s="620"/>
      <c r="X130" s="620"/>
      <c r="Y130" s="309"/>
      <c r="Z130" s="620"/>
      <c r="AA130" s="620"/>
      <c r="AB130" s="309"/>
      <c r="AC130" s="620"/>
      <c r="AD130" s="620"/>
      <c r="AE130" s="686"/>
      <c r="AF130" s="686"/>
      <c r="AG130" s="686"/>
      <c r="AH130" s="686"/>
      <c r="AI130" s="624"/>
      <c r="AJ130" s="624"/>
      <c r="AL130" s="624"/>
      <c r="AM130" s="624"/>
      <c r="AO130" s="624"/>
      <c r="AP130" s="624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6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69" t="s">
        <v>294</v>
      </c>
      <c r="C133" s="669"/>
      <c r="D133" s="310"/>
      <c r="E133" s="728" t="s">
        <v>699</v>
      </c>
      <c r="F133" s="728"/>
      <c r="G133" s="374"/>
      <c r="H133" s="728" t="s">
        <v>295</v>
      </c>
      <c r="I133" s="728"/>
      <c r="J133" s="310"/>
      <c r="K133" s="729" t="s">
        <v>700</v>
      </c>
      <c r="L133" s="729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0" t="s">
        <v>81</v>
      </c>
      <c r="C134" s="620"/>
      <c r="D134" s="310"/>
      <c r="E134" s="730" t="s">
        <v>260</v>
      </c>
      <c r="F134" s="730"/>
      <c r="G134" s="311"/>
      <c r="H134" s="730" t="s">
        <v>260</v>
      </c>
      <c r="I134" s="730"/>
      <c r="J134" s="310"/>
      <c r="K134" s="730" t="s">
        <v>260</v>
      </c>
      <c r="L134" s="73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5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9">
        <f>SUM(AU3:AU135)/1000</f>
        <v>64.033460000000005</v>
      </c>
    </row>
    <row r="137" spans="2:55" ht="15" customHeight="1" thickBot="1">
      <c r="B137" s="709" t="s">
        <v>632</v>
      </c>
      <c r="C137" s="710"/>
      <c r="D137" s="707"/>
      <c r="E137" s="707"/>
      <c r="F137" s="707"/>
      <c r="G137" s="707"/>
      <c r="H137" s="707"/>
      <c r="I137" s="707"/>
      <c r="J137" s="707"/>
      <c r="K137" s="707"/>
      <c r="L137" s="708"/>
      <c r="M137" s="307"/>
      <c r="N137" s="706" t="s">
        <v>633</v>
      </c>
      <c r="O137" s="707"/>
      <c r="P137" s="707"/>
      <c r="Q137" s="707"/>
      <c r="R137" s="707"/>
      <c r="S137" s="707"/>
      <c r="T137" s="707"/>
      <c r="U137" s="707"/>
      <c r="V137" s="708"/>
      <c r="W137" s="646" t="s">
        <v>670</v>
      </c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647"/>
      <c r="AJ137" s="647"/>
      <c r="AK137" s="647"/>
      <c r="AL137" s="647"/>
      <c r="AM137" s="647"/>
      <c r="AN137" s="688"/>
      <c r="AO137" s="688"/>
      <c r="AP137" s="688"/>
      <c r="AQ137" s="689"/>
      <c r="AR137" s="689"/>
      <c r="AS137" s="689"/>
      <c r="AT137" s="689"/>
      <c r="AU137" s="690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182</v>
      </c>
      <c r="BA137" s="533">
        <f t="shared" si="0"/>
        <v>59.999300000000005</v>
      </c>
      <c r="BB137" s="291">
        <f>SUM(BB4:BB132)</f>
        <v>59.999300000000005</v>
      </c>
      <c r="BC137" s="532">
        <v>48</v>
      </c>
    </row>
    <row r="138" spans="2:55" ht="15" customHeight="1">
      <c r="B138" s="297"/>
      <c r="O138" s="306"/>
      <c r="P138" s="305"/>
      <c r="V138" s="290"/>
      <c r="W138" s="648"/>
      <c r="X138" s="649"/>
      <c r="Y138" s="649"/>
      <c r="Z138" s="649"/>
      <c r="AA138" s="649"/>
      <c r="AB138" s="649"/>
      <c r="AC138" s="649"/>
      <c r="AD138" s="649"/>
      <c r="AE138" s="649"/>
      <c r="AF138" s="649"/>
      <c r="AG138" s="649"/>
      <c r="AH138" s="649"/>
      <c r="AI138" s="649"/>
      <c r="AJ138" s="649"/>
      <c r="AK138" s="649"/>
      <c r="AL138" s="649"/>
      <c r="AM138" s="649"/>
      <c r="AN138" s="691"/>
      <c r="AO138" s="691"/>
      <c r="AP138" s="691"/>
      <c r="AQ138" s="692"/>
      <c r="AR138" s="692"/>
      <c r="AS138" s="692"/>
      <c r="AT138" s="692"/>
      <c r="AU138" s="693"/>
    </row>
    <row r="139" spans="2:55">
      <c r="B139" s="713" t="s">
        <v>471</v>
      </c>
      <c r="C139" s="714"/>
      <c r="D139" s="715"/>
      <c r="F139" s="656" t="s">
        <v>635</v>
      </c>
      <c r="G139" s="656"/>
      <c r="I139" s="657" t="s">
        <v>636</v>
      </c>
      <c r="J139" s="657"/>
      <c r="N139" s="659" t="s">
        <v>637</v>
      </c>
      <c r="O139" s="659"/>
      <c r="P139" s="632"/>
      <c r="R139" s="634" t="s">
        <v>638</v>
      </c>
      <c r="S139" s="635"/>
      <c r="T139" s="640"/>
      <c r="U139" s="641"/>
      <c r="V139" s="290"/>
      <c r="W139" s="672" t="s">
        <v>2</v>
      </c>
      <c r="X139" s="673"/>
      <c r="Y139" s="663" t="s">
        <v>356</v>
      </c>
      <c r="Z139" s="663"/>
      <c r="AA139" s="663"/>
      <c r="AB139" s="663"/>
      <c r="AC139" s="663" t="s">
        <v>639</v>
      </c>
      <c r="AD139" s="663"/>
      <c r="AE139" s="663" t="s">
        <v>640</v>
      </c>
      <c r="AF139" s="663"/>
      <c r="AG139" s="663"/>
      <c r="AH139" s="663" t="s">
        <v>32</v>
      </c>
      <c r="AI139" s="663"/>
      <c r="AJ139" s="663"/>
      <c r="AK139" s="663" t="s">
        <v>372</v>
      </c>
      <c r="AL139" s="663"/>
      <c r="AM139" s="663"/>
      <c r="AN139" s="663" t="s">
        <v>15</v>
      </c>
      <c r="AO139" s="663"/>
      <c r="AP139" s="663"/>
      <c r="AQ139" s="670"/>
      <c r="AR139" s="670"/>
      <c r="AS139" s="670"/>
      <c r="AT139" s="670"/>
      <c r="AU139" s="671"/>
    </row>
    <row r="140" spans="2:55">
      <c r="B140" s="297"/>
      <c r="N140" s="659"/>
      <c r="O140" s="659"/>
      <c r="P140" s="632"/>
      <c r="R140" s="636"/>
      <c r="S140" s="637"/>
      <c r="T140" s="642"/>
      <c r="U140" s="643"/>
      <c r="V140" s="290"/>
      <c r="W140" s="666">
        <v>1</v>
      </c>
      <c r="X140" s="667"/>
      <c r="Y140" s="650" t="s">
        <v>376</v>
      </c>
      <c r="Z140" s="650"/>
      <c r="AA140" s="650"/>
      <c r="AB140" s="650"/>
      <c r="AC140" s="630" t="s">
        <v>377</v>
      </c>
      <c r="AD140" s="630"/>
      <c r="AE140" s="629">
        <f>AU136</f>
        <v>64.033460000000005</v>
      </c>
      <c r="AF140" s="630"/>
      <c r="AG140" s="630"/>
      <c r="AH140" s="629">
        <f>AU136</f>
        <v>64.033460000000005</v>
      </c>
      <c r="AI140" s="630"/>
      <c r="AJ140" s="630"/>
      <c r="AK140" s="629">
        <f>AE140-AH140</f>
        <v>0</v>
      </c>
      <c r="AL140" s="629"/>
      <c r="AM140" s="629"/>
      <c r="AN140" s="630"/>
      <c r="AO140" s="630"/>
      <c r="AP140" s="630"/>
      <c r="AQ140" s="664"/>
      <c r="AR140" s="664"/>
      <c r="AS140" s="664"/>
      <c r="AT140" s="664"/>
      <c r="AU140" s="665"/>
    </row>
    <row r="141" spans="2:55">
      <c r="B141" s="716" t="s">
        <v>469</v>
      </c>
      <c r="C141" s="717"/>
      <c r="D141" s="718"/>
      <c r="N141" s="659" t="s">
        <v>641</v>
      </c>
      <c r="O141" s="659"/>
      <c r="P141" s="632"/>
      <c r="R141" s="636"/>
      <c r="S141" s="637"/>
      <c r="T141" s="642"/>
      <c r="U141" s="643"/>
      <c r="V141" s="290"/>
      <c r="W141" s="666">
        <v>2</v>
      </c>
      <c r="X141" s="667"/>
      <c r="Y141" s="650" t="s">
        <v>378</v>
      </c>
      <c r="Z141" s="650"/>
      <c r="AA141" s="650"/>
      <c r="AB141" s="650"/>
      <c r="AC141" s="630" t="s">
        <v>377</v>
      </c>
      <c r="AD141" s="630"/>
      <c r="AE141" s="629">
        <f>AU136</f>
        <v>64.033460000000005</v>
      </c>
      <c r="AF141" s="630"/>
      <c r="AG141" s="630"/>
      <c r="AH141" s="629">
        <f>AU136</f>
        <v>64.033460000000005</v>
      </c>
      <c r="AI141" s="630"/>
      <c r="AJ141" s="630"/>
      <c r="AK141" s="629">
        <f t="shared" ref="AK141:AK148" si="1">AE141-AH141</f>
        <v>0</v>
      </c>
      <c r="AL141" s="629"/>
      <c r="AM141" s="629"/>
      <c r="AN141" s="630"/>
      <c r="AO141" s="630"/>
      <c r="AP141" s="630"/>
      <c r="AQ141" s="664"/>
      <c r="AR141" s="664"/>
      <c r="AS141" s="664"/>
      <c r="AT141" s="664"/>
      <c r="AU141" s="665"/>
    </row>
    <row r="142" spans="2:55">
      <c r="B142" s="297"/>
      <c r="F142" s="285"/>
      <c r="G142" s="284"/>
      <c r="N142" s="659"/>
      <c r="O142" s="659"/>
      <c r="P142" s="632"/>
      <c r="R142" s="638"/>
      <c r="S142" s="639"/>
      <c r="T142" s="644"/>
      <c r="U142" s="645"/>
      <c r="V142" s="290"/>
      <c r="W142" s="666">
        <v>3</v>
      </c>
      <c r="X142" s="667"/>
      <c r="Y142" s="650" t="s">
        <v>379</v>
      </c>
      <c r="Z142" s="650"/>
      <c r="AA142" s="650"/>
      <c r="AB142" s="650"/>
      <c r="AC142" s="630" t="s">
        <v>642</v>
      </c>
      <c r="AD142" s="630"/>
      <c r="AE142" s="630">
        <v>199</v>
      </c>
      <c r="AF142" s="630"/>
      <c r="AG142" s="630"/>
      <c r="AH142" s="630">
        <f>+AW137</f>
        <v>195</v>
      </c>
      <c r="AI142" s="630"/>
      <c r="AJ142" s="630"/>
      <c r="AK142" s="629">
        <f t="shared" si="1"/>
        <v>4</v>
      </c>
      <c r="AL142" s="629"/>
      <c r="AM142" s="629"/>
      <c r="AN142" s="630"/>
      <c r="AO142" s="630"/>
      <c r="AP142" s="630"/>
      <c r="AQ142" s="664"/>
      <c r="AR142" s="664"/>
      <c r="AS142" s="664"/>
      <c r="AT142" s="664"/>
      <c r="AU142" s="665"/>
    </row>
    <row r="143" spans="2:55">
      <c r="B143" s="297"/>
      <c r="E143" s="662"/>
      <c r="F143" s="662"/>
      <c r="H143" s="661"/>
      <c r="I143" s="661"/>
      <c r="K143" s="662"/>
      <c r="L143" s="662"/>
      <c r="N143" s="659" t="s">
        <v>643</v>
      </c>
      <c r="O143" s="659"/>
      <c r="P143" s="632"/>
      <c r="R143" s="634" t="s">
        <v>452</v>
      </c>
      <c r="S143" s="635"/>
      <c r="T143" s="640"/>
      <c r="U143" s="641"/>
      <c r="V143" s="290"/>
      <c r="W143" s="666">
        <v>4</v>
      </c>
      <c r="X143" s="667"/>
      <c r="Y143" s="650" t="s">
        <v>381</v>
      </c>
      <c r="Z143" s="650"/>
      <c r="AA143" s="650"/>
      <c r="AB143" s="650"/>
      <c r="AC143" s="630" t="s">
        <v>642</v>
      </c>
      <c r="AD143" s="630"/>
      <c r="AE143" s="630">
        <v>199</v>
      </c>
      <c r="AF143" s="630"/>
      <c r="AG143" s="630"/>
      <c r="AH143" s="630">
        <f>AX137</f>
        <v>195</v>
      </c>
      <c r="AI143" s="630"/>
      <c r="AJ143" s="630"/>
      <c r="AK143" s="629">
        <f t="shared" si="1"/>
        <v>4</v>
      </c>
      <c r="AL143" s="629"/>
      <c r="AM143" s="629"/>
      <c r="AN143" s="630"/>
      <c r="AO143" s="630"/>
      <c r="AP143" s="630"/>
      <c r="AQ143" s="664"/>
      <c r="AR143" s="664"/>
      <c r="AS143" s="664"/>
      <c r="AT143" s="664"/>
      <c r="AU143" s="665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59"/>
      <c r="O144" s="659"/>
      <c r="P144" s="632"/>
      <c r="R144" s="636"/>
      <c r="S144" s="637"/>
      <c r="T144" s="642"/>
      <c r="U144" s="643"/>
      <c r="V144" s="290"/>
      <c r="W144" s="666">
        <v>5</v>
      </c>
      <c r="X144" s="667"/>
      <c r="Y144" s="650" t="s">
        <v>469</v>
      </c>
      <c r="Z144" s="650"/>
      <c r="AA144" s="650"/>
      <c r="AB144" s="650"/>
      <c r="AC144" s="630" t="s">
        <v>642</v>
      </c>
      <c r="AD144" s="630"/>
      <c r="AE144" s="630">
        <v>199</v>
      </c>
      <c r="AF144" s="630"/>
      <c r="AG144" s="630"/>
      <c r="AH144" s="629">
        <f>AY137</f>
        <v>195</v>
      </c>
      <c r="AI144" s="630"/>
      <c r="AJ144" s="630"/>
      <c r="AK144" s="629">
        <f t="shared" si="1"/>
        <v>4</v>
      </c>
      <c r="AL144" s="629"/>
      <c r="AM144" s="629"/>
      <c r="AN144" s="630"/>
      <c r="AO144" s="630"/>
      <c r="AP144" s="630"/>
      <c r="AQ144" s="664"/>
      <c r="AR144" s="664"/>
      <c r="AS144" s="664"/>
      <c r="AT144" s="664"/>
      <c r="AU144" s="665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659" t="s">
        <v>644</v>
      </c>
      <c r="O145" s="659"/>
      <c r="P145" s="632"/>
      <c r="R145" s="636"/>
      <c r="S145" s="637"/>
      <c r="T145" s="642"/>
      <c r="U145" s="643"/>
      <c r="V145" s="290"/>
      <c r="W145" s="666">
        <v>6</v>
      </c>
      <c r="X145" s="667"/>
      <c r="Y145" s="650" t="s">
        <v>645</v>
      </c>
      <c r="Z145" s="650"/>
      <c r="AA145" s="650"/>
      <c r="AB145" s="650"/>
      <c r="AC145" s="630" t="s">
        <v>642</v>
      </c>
      <c r="AD145" s="630"/>
      <c r="AE145" s="630">
        <v>199</v>
      </c>
      <c r="AF145" s="630"/>
      <c r="AG145" s="630"/>
      <c r="AH145" s="629">
        <f>AZ137</f>
        <v>182</v>
      </c>
      <c r="AI145" s="630"/>
      <c r="AJ145" s="630"/>
      <c r="AK145" s="629">
        <f t="shared" si="1"/>
        <v>17</v>
      </c>
      <c r="AL145" s="629"/>
      <c r="AM145" s="629"/>
      <c r="AN145" s="630"/>
      <c r="AO145" s="630"/>
      <c r="AP145" s="630"/>
      <c r="AQ145" s="664"/>
      <c r="AR145" s="664"/>
      <c r="AS145" s="664"/>
      <c r="AT145" s="664"/>
      <c r="AU145" s="665"/>
    </row>
    <row r="146" spans="2:47">
      <c r="B146" s="296" t="s">
        <v>646</v>
      </c>
      <c r="C146" s="295"/>
      <c r="E146" s="698" t="s">
        <v>38</v>
      </c>
      <c r="F146" s="698"/>
      <c r="G146" s="298">
        <v>293</v>
      </c>
      <c r="H146" s="725" t="s">
        <v>41</v>
      </c>
      <c r="I146" s="698"/>
      <c r="J146" s="293">
        <v>391</v>
      </c>
      <c r="K146" s="726" t="s">
        <v>45</v>
      </c>
      <c r="L146" s="727"/>
      <c r="M146" s="292"/>
      <c r="N146" s="659"/>
      <c r="O146" s="659"/>
      <c r="P146" s="632"/>
      <c r="R146" s="638"/>
      <c r="S146" s="639"/>
      <c r="T146" s="644"/>
      <c r="U146" s="645"/>
      <c r="V146" s="290"/>
      <c r="W146" s="666">
        <v>7</v>
      </c>
      <c r="X146" s="667"/>
      <c r="Y146" s="650" t="s">
        <v>647</v>
      </c>
      <c r="Z146" s="650"/>
      <c r="AA146" s="650"/>
      <c r="AB146" s="650"/>
      <c r="AC146" s="630" t="s">
        <v>377</v>
      </c>
      <c r="AD146" s="630"/>
      <c r="AE146" s="629">
        <f>AU136</f>
        <v>64.033460000000005</v>
      </c>
      <c r="AF146" s="630"/>
      <c r="AG146" s="630"/>
      <c r="AH146" s="651">
        <f>BA137</f>
        <v>59.999300000000005</v>
      </c>
      <c r="AI146" s="651"/>
      <c r="AJ146" s="651"/>
      <c r="AK146" s="651">
        <f t="shared" si="1"/>
        <v>4.03416</v>
      </c>
      <c r="AL146" s="651"/>
      <c r="AM146" s="651"/>
      <c r="AN146" s="650"/>
      <c r="AO146" s="650"/>
      <c r="AP146" s="650"/>
      <c r="AQ146" s="654"/>
      <c r="AR146" s="654"/>
      <c r="AS146" s="654"/>
      <c r="AT146" s="654"/>
      <c r="AU146" s="655"/>
    </row>
    <row r="147" spans="2:47">
      <c r="B147" s="296" t="s">
        <v>399</v>
      </c>
      <c r="C147" s="295"/>
      <c r="E147" s="624" t="s">
        <v>39</v>
      </c>
      <c r="F147" s="624"/>
      <c r="H147" s="624" t="s">
        <v>37</v>
      </c>
      <c r="I147" s="624"/>
      <c r="J147" s="293"/>
      <c r="K147" s="723" t="s">
        <v>46</v>
      </c>
      <c r="L147" s="724"/>
      <c r="M147" s="292"/>
      <c r="N147" s="659" t="s">
        <v>671</v>
      </c>
      <c r="O147" s="659"/>
      <c r="P147" s="632"/>
      <c r="R147" s="704" t="s">
        <v>672</v>
      </c>
      <c r="S147" s="704"/>
      <c r="T147" s="711"/>
      <c r="U147" s="711"/>
      <c r="V147" s="290"/>
      <c r="W147" s="666">
        <v>8</v>
      </c>
      <c r="X147" s="667"/>
      <c r="Y147" s="650" t="s">
        <v>673</v>
      </c>
      <c r="Z147" s="650"/>
      <c r="AA147" s="650"/>
      <c r="AB147" s="650"/>
      <c r="AC147" s="630" t="s">
        <v>377</v>
      </c>
      <c r="AD147" s="630"/>
      <c r="AE147" s="629">
        <f>AU136</f>
        <v>64.033460000000005</v>
      </c>
      <c r="AF147" s="630"/>
      <c r="AG147" s="630"/>
      <c r="AH147" s="651">
        <f>BB137</f>
        <v>59.999300000000005</v>
      </c>
      <c r="AI147" s="651"/>
      <c r="AJ147" s="651"/>
      <c r="AK147" s="651">
        <f t="shared" si="1"/>
        <v>4.03416</v>
      </c>
      <c r="AL147" s="651"/>
      <c r="AM147" s="651"/>
      <c r="AN147" s="630"/>
      <c r="AO147" s="630"/>
      <c r="AP147" s="630"/>
      <c r="AQ147" s="664"/>
      <c r="AR147" s="664"/>
      <c r="AS147" s="664"/>
      <c r="AT147" s="664"/>
      <c r="AU147" s="665"/>
    </row>
    <row r="148" spans="2:47" ht="1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658" t="s">
        <v>650</v>
      </c>
      <c r="K148" s="658"/>
      <c r="L148" s="658"/>
      <c r="M148" s="287"/>
      <c r="N148" s="660"/>
      <c r="O148" s="660"/>
      <c r="P148" s="633"/>
      <c r="Q148" s="287"/>
      <c r="R148" s="705"/>
      <c r="S148" s="705"/>
      <c r="T148" s="712"/>
      <c r="U148" s="712"/>
      <c r="V148" s="286"/>
      <c r="W148" s="625">
        <v>9</v>
      </c>
      <c r="X148" s="626"/>
      <c r="Y148" s="627" t="s">
        <v>390</v>
      </c>
      <c r="Z148" s="627"/>
      <c r="AA148" s="627"/>
      <c r="AB148" s="627"/>
      <c r="AC148" s="628" t="s">
        <v>377</v>
      </c>
      <c r="AD148" s="628"/>
      <c r="AE148" s="629">
        <f>AU136</f>
        <v>64.033460000000005</v>
      </c>
      <c r="AF148" s="630"/>
      <c r="AG148" s="630"/>
      <c r="AH148" s="631">
        <f>BC137</f>
        <v>48</v>
      </c>
      <c r="AI148" s="628"/>
      <c r="AJ148" s="628"/>
      <c r="AK148" s="629">
        <f t="shared" si="1"/>
        <v>16.033460000000005</v>
      </c>
      <c r="AL148" s="629"/>
      <c r="AM148" s="629"/>
      <c r="AN148" s="628"/>
      <c r="AO148" s="628"/>
      <c r="AP148" s="628"/>
      <c r="AQ148" s="652"/>
      <c r="AR148" s="652"/>
      <c r="AS148" s="652"/>
      <c r="AT148" s="652"/>
      <c r="AU148" s="653"/>
    </row>
    <row r="151" spans="2:47">
      <c r="AH151" s="623"/>
      <c r="AI151" s="623"/>
    </row>
    <row r="153" spans="2:47">
      <c r="AH153" s="317"/>
    </row>
    <row r="155" spans="2:47">
      <c r="AH155" s="624"/>
      <c r="AI155" s="624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6" activePane="bottomLeft" state="frozen"/>
      <selection sqref="A1:H1"/>
      <selection pane="bottomLeft" activeCell="AV29" sqref="AV29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37" t="str">
        <f>+[1]Summary!A2</f>
        <v>Name of the Line: 220KV DC AL59 line from Neemuch - Chanderiya + 132KV DC ACSS Line from Chanderiya to Hindustan Zinc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8"/>
      <c r="Z1" s="738"/>
      <c r="AA1" s="738"/>
      <c r="AB1" s="738"/>
      <c r="AC1" s="738"/>
      <c r="AD1" s="738"/>
      <c r="AE1" s="738"/>
      <c r="AF1" s="738"/>
      <c r="AG1" s="738"/>
      <c r="AH1" s="738"/>
      <c r="AI1" s="738"/>
      <c r="AJ1" s="738"/>
      <c r="AK1" s="738"/>
      <c r="AL1" s="738"/>
      <c r="AM1" s="738"/>
      <c r="AN1" s="738"/>
      <c r="AO1" s="738"/>
      <c r="AP1" s="738"/>
      <c r="AQ1" s="739"/>
      <c r="AS1" s="681">
        <f>Summary!R5</f>
        <v>46110</v>
      </c>
      <c r="AT1" s="681"/>
      <c r="AU1" s="681"/>
      <c r="AV1" s="681"/>
      <c r="AW1" s="681"/>
      <c r="AX1" s="681"/>
    </row>
    <row r="2" spans="1:60" ht="18.5">
      <c r="A2" s="378"/>
      <c r="B2" s="307"/>
      <c r="C2" s="307"/>
      <c r="D2" s="486"/>
      <c r="E2" s="307"/>
      <c r="F2" s="307"/>
      <c r="G2" s="486"/>
      <c r="H2" s="307"/>
      <c r="I2" s="307"/>
      <c r="J2" s="486"/>
      <c r="K2" s="307"/>
      <c r="L2" s="307"/>
      <c r="M2" s="486"/>
      <c r="N2" s="307"/>
      <c r="O2" s="307"/>
      <c r="P2" s="486"/>
      <c r="Q2" s="740" t="s">
        <v>622</v>
      </c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486"/>
      <c r="AC2" s="307"/>
      <c r="AD2" s="307"/>
      <c r="AE2" s="307"/>
      <c r="AF2" s="307"/>
      <c r="AG2" s="307"/>
      <c r="AH2" s="486"/>
      <c r="AI2" s="307"/>
      <c r="AJ2" s="307"/>
      <c r="AK2" s="741" t="s">
        <v>26</v>
      </c>
      <c r="AL2" s="741"/>
      <c r="AM2" s="741"/>
      <c r="AN2" s="733">
        <f>AS1</f>
        <v>46110</v>
      </c>
      <c r="AO2" s="733"/>
      <c r="AP2" s="733"/>
      <c r="AQ2" s="734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7"/>
      <c r="E3" s="309"/>
      <c r="F3" s="309"/>
      <c r="G3" s="487"/>
      <c r="H3" s="309"/>
      <c r="I3" s="309"/>
      <c r="J3" s="487"/>
      <c r="K3" s="309"/>
      <c r="L3" s="309"/>
      <c r="M3" s="487"/>
      <c r="N3" s="309"/>
      <c r="O3" s="309"/>
      <c r="P3" s="487"/>
      <c r="Q3" s="309"/>
      <c r="R3" s="309"/>
      <c r="S3" s="487"/>
      <c r="T3" s="309"/>
      <c r="U3" s="309"/>
      <c r="V3" s="487"/>
      <c r="W3" s="309"/>
      <c r="X3" s="309"/>
      <c r="Y3" s="487"/>
      <c r="Z3" s="309"/>
      <c r="AA3" s="309"/>
      <c r="AB3" s="487"/>
      <c r="AC3" s="309"/>
      <c r="AD3" s="309"/>
      <c r="AE3" s="309"/>
      <c r="AF3" s="309"/>
      <c r="AG3" s="309"/>
      <c r="AQ3" s="497"/>
    </row>
    <row r="4" spans="1:60">
      <c r="A4" s="381"/>
      <c r="M4" s="487"/>
      <c r="AQ4" s="497"/>
    </row>
    <row r="5" spans="1:60">
      <c r="A5" s="382"/>
      <c r="B5" s="779" t="s">
        <v>705</v>
      </c>
      <c r="C5" s="779"/>
      <c r="D5" s="779"/>
      <c r="E5" s="686"/>
      <c r="F5" s="686"/>
      <c r="G5" s="487"/>
      <c r="H5" s="735"/>
      <c r="I5" s="735"/>
      <c r="J5" s="487"/>
      <c r="K5" s="735"/>
      <c r="L5" s="735"/>
      <c r="M5" s="487"/>
      <c r="N5" s="735"/>
      <c r="O5" s="735"/>
      <c r="P5" s="487"/>
      <c r="Q5" s="735"/>
      <c r="R5" s="735"/>
      <c r="S5" s="487"/>
      <c r="T5" s="735"/>
      <c r="U5" s="735"/>
      <c r="V5" s="487"/>
      <c r="W5" s="735"/>
      <c r="X5" s="735"/>
      <c r="Y5" s="487"/>
      <c r="Z5" s="686"/>
      <c r="AA5" s="686"/>
      <c r="AB5" s="487"/>
      <c r="AC5" s="735"/>
      <c r="AD5" s="735"/>
      <c r="AE5" s="309"/>
      <c r="AF5" s="735"/>
      <c r="AG5" s="735"/>
      <c r="AH5" s="487"/>
      <c r="AI5" s="735"/>
      <c r="AJ5" s="735"/>
      <c r="AK5" s="487"/>
      <c r="AL5" s="735"/>
      <c r="AM5" s="735"/>
      <c r="AN5" s="487"/>
      <c r="AO5" s="735"/>
      <c r="AP5" s="735"/>
      <c r="AQ5" s="500"/>
    </row>
    <row r="6" spans="1:60" ht="15.75" customHeight="1">
      <c r="A6" s="382"/>
      <c r="B6" s="779"/>
      <c r="C6" s="779"/>
      <c r="D6" s="779"/>
      <c r="E6" s="659" t="s">
        <v>303</v>
      </c>
      <c r="F6" s="659"/>
      <c r="G6" s="488"/>
      <c r="H6" s="363"/>
      <c r="I6" s="363"/>
      <c r="J6" s="488"/>
      <c r="K6" s="383"/>
      <c r="L6" s="383"/>
      <c r="M6" s="488"/>
      <c r="N6" s="383"/>
      <c r="O6" s="383"/>
      <c r="P6" s="488"/>
      <c r="Q6" s="363"/>
      <c r="R6" s="363"/>
      <c r="S6" s="488"/>
      <c r="T6" s="363"/>
      <c r="U6" s="363"/>
      <c r="V6" s="488"/>
      <c r="W6" s="383"/>
      <c r="X6" s="383"/>
      <c r="Y6" s="488"/>
      <c r="Z6" s="383"/>
      <c r="AA6" s="383"/>
      <c r="AB6" s="488"/>
      <c r="AC6" s="383"/>
      <c r="AD6" s="383"/>
      <c r="AE6" s="310"/>
      <c r="AF6" s="383"/>
      <c r="AG6" s="383"/>
      <c r="AH6" s="488"/>
      <c r="AI6" s="383"/>
      <c r="AJ6" s="383"/>
      <c r="AK6" s="488"/>
      <c r="AL6" s="383"/>
      <c r="AM6" s="383"/>
      <c r="AN6" s="488"/>
      <c r="AO6" s="383"/>
      <c r="AP6" s="383"/>
      <c r="AQ6" s="501"/>
    </row>
    <row r="7" spans="1:60">
      <c r="A7" s="382"/>
      <c r="B7" s="779"/>
      <c r="C7" s="779"/>
      <c r="D7" s="779"/>
      <c r="E7" s="659"/>
      <c r="F7" s="659"/>
      <c r="G7" s="488"/>
      <c r="H7" s="383"/>
      <c r="I7" s="383"/>
      <c r="J7" s="488"/>
      <c r="K7" s="383"/>
      <c r="L7" s="383"/>
      <c r="M7" s="488"/>
      <c r="N7" s="383"/>
      <c r="O7" s="383"/>
      <c r="P7" s="488"/>
      <c r="Q7" s="363"/>
      <c r="R7" s="363"/>
      <c r="S7" s="488"/>
      <c r="T7" s="363"/>
      <c r="U7" s="363"/>
      <c r="V7" s="488"/>
      <c r="W7" s="383"/>
      <c r="X7" s="383"/>
      <c r="Y7" s="488"/>
      <c r="Z7" s="383"/>
      <c r="AA7" s="383"/>
      <c r="AB7" s="488"/>
      <c r="AC7" s="383"/>
      <c r="AD7" s="383"/>
      <c r="AE7" s="310"/>
      <c r="AF7" s="383"/>
      <c r="AG7" s="383"/>
      <c r="AH7" s="488"/>
      <c r="AI7" s="383"/>
      <c r="AJ7" s="383"/>
      <c r="AK7" s="488"/>
      <c r="AL7" s="383"/>
      <c r="AM7" s="383"/>
      <c r="AN7" s="488"/>
      <c r="AO7" s="383"/>
      <c r="AP7" s="383"/>
      <c r="AQ7" s="500"/>
      <c r="AS7" s="291">
        <v>9</v>
      </c>
      <c r="AT7" s="291">
        <v>9</v>
      </c>
      <c r="AU7" s="291">
        <v>7</v>
      </c>
      <c r="AV7" s="291">
        <v>2</v>
      </c>
      <c r="AW7" s="291">
        <f>(AH8+AK8+AN8+AQ8)/1000</f>
        <v>1.22844</v>
      </c>
      <c r="AX7" s="291"/>
    </row>
    <row r="8" spans="1:60" s="309" customFormat="1">
      <c r="A8" s="382"/>
      <c r="B8" s="686"/>
      <c r="C8" s="686"/>
      <c r="D8" s="488"/>
      <c r="E8" s="686" t="s">
        <v>628</v>
      </c>
      <c r="F8" s="686"/>
      <c r="G8" s="488">
        <v>26</v>
      </c>
      <c r="H8" s="694" t="s">
        <v>38</v>
      </c>
      <c r="I8" s="694"/>
      <c r="J8" s="489">
        <v>230.15</v>
      </c>
      <c r="K8" s="686" t="s">
        <v>64</v>
      </c>
      <c r="L8" s="686"/>
      <c r="M8" s="489">
        <v>234.56</v>
      </c>
      <c r="N8" s="736" t="s">
        <v>344</v>
      </c>
      <c r="O8" s="736"/>
      <c r="P8" s="489">
        <v>249.04</v>
      </c>
      <c r="Q8" s="686" t="s">
        <v>67</v>
      </c>
      <c r="R8" s="686"/>
      <c r="S8" s="489">
        <v>256</v>
      </c>
      <c r="T8" s="694" t="s">
        <v>310</v>
      </c>
      <c r="U8" s="694"/>
      <c r="V8" s="489">
        <v>226.52</v>
      </c>
      <c r="W8" s="686" t="s">
        <v>69</v>
      </c>
      <c r="X8" s="686"/>
      <c r="Y8" s="489">
        <v>43.62</v>
      </c>
      <c r="Z8" s="736" t="s">
        <v>71</v>
      </c>
      <c r="AA8" s="694"/>
      <c r="AB8" s="489">
        <v>52</v>
      </c>
      <c r="AC8" s="736" t="s">
        <v>72</v>
      </c>
      <c r="AD8" s="694"/>
      <c r="AE8" s="377">
        <v>47.06</v>
      </c>
      <c r="AF8" s="736" t="s">
        <v>93</v>
      </c>
      <c r="AG8" s="686"/>
      <c r="AH8" s="489">
        <v>286.44</v>
      </c>
      <c r="AI8" s="694" t="s">
        <v>104</v>
      </c>
      <c r="AJ8" s="686"/>
      <c r="AK8" s="489">
        <v>317</v>
      </c>
      <c r="AL8" s="736" t="s">
        <v>701</v>
      </c>
      <c r="AM8" s="686"/>
      <c r="AN8" s="489">
        <v>328</v>
      </c>
      <c r="AO8" s="694" t="s">
        <v>702</v>
      </c>
      <c r="AP8" s="686"/>
      <c r="AQ8" s="502">
        <v>297</v>
      </c>
    </row>
    <row r="9" spans="1:60">
      <c r="A9" s="382"/>
      <c r="B9" s="686"/>
      <c r="C9" s="686"/>
      <c r="D9" s="487"/>
      <c r="E9" s="686" t="s">
        <v>34</v>
      </c>
      <c r="F9" s="686"/>
      <c r="G9" s="487"/>
      <c r="H9" s="686" t="s">
        <v>34</v>
      </c>
      <c r="I9" s="686"/>
      <c r="J9" s="487"/>
      <c r="K9" s="686" t="s">
        <v>34</v>
      </c>
      <c r="L9" s="686"/>
      <c r="M9" s="487"/>
      <c r="N9" s="686" t="s">
        <v>62</v>
      </c>
      <c r="O9" s="686"/>
      <c r="P9" s="487"/>
      <c r="Q9" s="686" t="s">
        <v>34</v>
      </c>
      <c r="R9" s="686"/>
      <c r="S9" s="487"/>
      <c r="T9" s="686" t="s">
        <v>37</v>
      </c>
      <c r="U9" s="686"/>
      <c r="V9" s="487"/>
      <c r="W9" s="686" t="s">
        <v>34</v>
      </c>
      <c r="X9" s="686"/>
      <c r="Y9" s="487"/>
      <c r="Z9" s="686" t="s">
        <v>629</v>
      </c>
      <c r="AA9" s="686"/>
      <c r="AB9" s="487"/>
      <c r="AC9" s="686" t="s">
        <v>629</v>
      </c>
      <c r="AD9" s="686"/>
      <c r="AE9" s="309"/>
      <c r="AF9" s="686" t="s">
        <v>34</v>
      </c>
      <c r="AG9" s="686"/>
      <c r="AH9" s="487"/>
      <c r="AI9" s="686" t="s">
        <v>51</v>
      </c>
      <c r="AJ9" s="686"/>
      <c r="AK9" s="487"/>
      <c r="AL9" s="686" t="s">
        <v>56</v>
      </c>
      <c r="AM9" s="686"/>
      <c r="AN9" s="487"/>
      <c r="AO9" s="686" t="s">
        <v>56</v>
      </c>
      <c r="AP9" s="686"/>
      <c r="AQ9" s="500"/>
    </row>
    <row r="10" spans="1:60">
      <c r="A10" s="382"/>
      <c r="B10" s="309"/>
      <c r="C10" s="309"/>
      <c r="E10" s="376"/>
      <c r="G10" s="492"/>
      <c r="I10" s="376"/>
      <c r="K10" s="376"/>
      <c r="M10" s="492"/>
      <c r="O10" s="376"/>
      <c r="Q10" s="376"/>
      <c r="S10" s="492"/>
      <c r="U10" s="376"/>
      <c r="W10" s="376"/>
      <c r="Y10" s="492"/>
      <c r="AA10" s="376"/>
      <c r="AC10" s="376"/>
      <c r="AE10" s="376"/>
      <c r="AG10" s="376"/>
      <c r="AI10" s="376"/>
      <c r="AK10" s="492"/>
      <c r="AM10" s="376"/>
      <c r="AO10" s="376"/>
      <c r="AQ10" s="503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7"/>
      <c r="E11" s="309"/>
      <c r="F11" s="309"/>
      <c r="G11" s="487"/>
      <c r="H11" s="309"/>
      <c r="I11" s="309"/>
      <c r="J11" s="487"/>
      <c r="K11" s="309"/>
      <c r="L11" s="309"/>
      <c r="M11" s="487"/>
      <c r="N11" s="309"/>
      <c r="O11" s="309"/>
      <c r="P11" s="487"/>
      <c r="Q11" s="309"/>
      <c r="R11" s="309"/>
      <c r="S11" s="487"/>
      <c r="T11" s="309"/>
      <c r="U11" s="309"/>
      <c r="V11" s="487"/>
      <c r="W11" s="309"/>
      <c r="X11" s="309"/>
      <c r="Y11" s="487"/>
      <c r="Z11" s="309"/>
      <c r="AA11" s="309"/>
      <c r="AC11" s="309"/>
      <c r="AD11" s="309"/>
      <c r="AF11" s="309"/>
      <c r="AG11" s="309"/>
      <c r="AH11" s="487"/>
      <c r="AI11" s="309"/>
      <c r="AJ11" s="309"/>
      <c r="AK11" s="487"/>
      <c r="AL11" s="309"/>
      <c r="AM11" s="309"/>
      <c r="AN11" s="487"/>
      <c r="AO11" s="309"/>
      <c r="AP11" s="309"/>
      <c r="AQ11" s="500"/>
    </row>
    <row r="12" spans="1:60">
      <c r="A12" s="382"/>
      <c r="B12" s="735"/>
      <c r="C12" s="735"/>
      <c r="D12" s="487"/>
      <c r="E12" s="735"/>
      <c r="F12" s="735"/>
      <c r="G12" s="487"/>
      <c r="H12" s="735"/>
      <c r="I12" s="735"/>
      <c r="J12" s="487"/>
      <c r="K12" s="735"/>
      <c r="L12" s="735"/>
      <c r="M12" s="487"/>
      <c r="N12" s="735"/>
      <c r="O12" s="735"/>
      <c r="P12" s="487"/>
      <c r="Q12" s="735"/>
      <c r="R12" s="735"/>
      <c r="S12" s="487"/>
      <c r="T12" s="735"/>
      <c r="U12" s="735"/>
      <c r="V12" s="487"/>
      <c r="W12" s="735"/>
      <c r="X12" s="735"/>
      <c r="Y12" s="487"/>
      <c r="Z12" s="735"/>
      <c r="AA12" s="735"/>
      <c r="AB12" s="487"/>
      <c r="AC12" s="686"/>
      <c r="AD12" s="686"/>
      <c r="AE12" s="309"/>
      <c r="AF12" s="735"/>
      <c r="AG12" s="735"/>
      <c r="AH12" s="487"/>
      <c r="AI12" s="735"/>
      <c r="AJ12" s="735"/>
      <c r="AK12" s="487"/>
      <c r="AL12" s="735"/>
      <c r="AM12" s="735"/>
      <c r="AN12" s="487"/>
      <c r="AO12" s="735"/>
      <c r="AP12" s="735"/>
      <c r="AQ12" s="500"/>
    </row>
    <row r="13" spans="1:60">
      <c r="A13" s="382"/>
      <c r="B13" s="383"/>
      <c r="C13" s="383"/>
      <c r="D13" s="488"/>
      <c r="E13" s="383"/>
      <c r="F13" s="383"/>
      <c r="G13" s="488"/>
      <c r="H13" s="383"/>
      <c r="I13" s="383"/>
      <c r="J13" s="488"/>
      <c r="K13" s="383"/>
      <c r="L13" s="383"/>
      <c r="M13" s="488"/>
      <c r="N13" s="383"/>
      <c r="O13" s="383"/>
      <c r="P13" s="488"/>
      <c r="Q13" s="383"/>
      <c r="R13" s="383"/>
      <c r="S13" s="488"/>
      <c r="T13" s="383"/>
      <c r="U13" s="383"/>
      <c r="V13" s="488"/>
      <c r="W13" s="383"/>
      <c r="X13" s="383"/>
      <c r="Y13" s="488"/>
      <c r="Z13" s="383"/>
      <c r="AA13" s="383"/>
      <c r="AB13" s="488"/>
      <c r="AC13" s="383"/>
      <c r="AD13" s="383"/>
      <c r="AE13" s="310"/>
      <c r="AF13" s="383"/>
      <c r="AG13" s="383"/>
      <c r="AH13" s="488"/>
      <c r="AI13" s="383"/>
      <c r="AJ13" s="383"/>
      <c r="AK13" s="488"/>
      <c r="AL13" s="383"/>
      <c r="AM13" s="383"/>
      <c r="AN13" s="488"/>
      <c r="AO13" s="383"/>
      <c r="AP13" s="383"/>
      <c r="AQ13" s="501"/>
    </row>
    <row r="14" spans="1:60">
      <c r="A14" s="382"/>
      <c r="B14" s="383"/>
      <c r="C14" s="383"/>
      <c r="D14" s="487"/>
      <c r="E14" s="383"/>
      <c r="F14" s="383"/>
      <c r="G14" s="488"/>
      <c r="H14" s="383"/>
      <c r="I14" s="383"/>
      <c r="J14" s="488"/>
      <c r="K14" s="383"/>
      <c r="L14" s="383"/>
      <c r="M14" s="487"/>
      <c r="N14" s="383"/>
      <c r="O14" s="383"/>
      <c r="P14" s="488"/>
      <c r="Q14" s="383"/>
      <c r="R14" s="383"/>
      <c r="S14" s="488"/>
      <c r="T14" s="383"/>
      <c r="U14" s="383"/>
      <c r="V14" s="488"/>
      <c r="W14" s="392"/>
      <c r="X14" s="392"/>
      <c r="Y14" s="488"/>
      <c r="Z14" s="383"/>
      <c r="AA14" s="383"/>
      <c r="AB14" s="488"/>
      <c r="AC14" s="383"/>
      <c r="AD14" s="383"/>
      <c r="AE14" s="310"/>
      <c r="AF14" s="383"/>
      <c r="AG14" s="383"/>
      <c r="AH14" s="488"/>
      <c r="AI14" s="383"/>
      <c r="AJ14" s="383"/>
      <c r="AK14" s="487"/>
      <c r="AL14" s="383"/>
      <c r="AM14" s="383"/>
      <c r="AN14" s="488"/>
      <c r="AO14" s="383"/>
      <c r="AP14" s="383"/>
      <c r="AQ14" s="500"/>
      <c r="AS14" s="291">
        <v>14</v>
      </c>
      <c r="AT14" s="291">
        <v>14</v>
      </c>
      <c r="AU14" s="291">
        <v>14</v>
      </c>
      <c r="AV14" s="291">
        <v>13</v>
      </c>
      <c r="AW14" s="291">
        <f>(D15+G15+M15+P15+Y15+AB15+AE15+AH15+AK15+AQ15+J15)/1000</f>
        <v>2.4902500000000001</v>
      </c>
      <c r="AX14" s="291">
        <f>(J15+M15+P15+Y15+AB15+AE15+AH15+AK15+AQ15)/1000</f>
        <v>1.9310200000000002</v>
      </c>
      <c r="BE14" s="429"/>
    </row>
    <row r="15" spans="1:60" s="309" customFormat="1">
      <c r="A15" s="382"/>
      <c r="B15" s="694" t="s">
        <v>703</v>
      </c>
      <c r="C15" s="686"/>
      <c r="D15" s="489">
        <v>251</v>
      </c>
      <c r="E15" s="694" t="s">
        <v>704</v>
      </c>
      <c r="F15" s="686"/>
      <c r="G15" s="489">
        <v>308.23</v>
      </c>
      <c r="H15" s="694" t="s">
        <v>106</v>
      </c>
      <c r="I15" s="686"/>
      <c r="J15" s="489">
        <v>278.12</v>
      </c>
      <c r="K15" s="742" t="s">
        <v>111</v>
      </c>
      <c r="L15" s="686"/>
      <c r="M15" s="489">
        <v>385.96</v>
      </c>
      <c r="N15" s="694" t="s">
        <v>320</v>
      </c>
      <c r="O15" s="686"/>
      <c r="P15" s="489">
        <v>259.92</v>
      </c>
      <c r="Q15" s="686" t="s">
        <v>322</v>
      </c>
      <c r="R15" s="686"/>
      <c r="S15" s="489">
        <v>215.13</v>
      </c>
      <c r="T15" s="309" t="s">
        <v>324</v>
      </c>
      <c r="V15" s="489">
        <v>316.14999999999998</v>
      </c>
      <c r="W15" s="694" t="s">
        <v>326</v>
      </c>
      <c r="X15" s="694"/>
      <c r="Y15" s="489">
        <v>274</v>
      </c>
      <c r="Z15" s="694" t="s">
        <v>328</v>
      </c>
      <c r="AA15" s="694"/>
      <c r="AB15" s="489">
        <v>293.27999999999997</v>
      </c>
      <c r="AC15" s="686" t="s">
        <v>329</v>
      </c>
      <c r="AD15" s="686"/>
      <c r="AE15" s="377">
        <v>48.42</v>
      </c>
      <c r="AF15" s="694" t="s">
        <v>167</v>
      </c>
      <c r="AG15" s="694"/>
      <c r="AH15" s="489">
        <v>58.24</v>
      </c>
      <c r="AI15" s="694" t="s">
        <v>331</v>
      </c>
      <c r="AJ15" s="694"/>
      <c r="AK15" s="489">
        <v>70.13</v>
      </c>
      <c r="AL15" s="686" t="s">
        <v>332</v>
      </c>
      <c r="AM15" s="686"/>
      <c r="AN15" s="489">
        <v>220.7</v>
      </c>
      <c r="AO15" s="686" t="s">
        <v>334</v>
      </c>
      <c r="AP15" s="686"/>
      <c r="AQ15" s="502">
        <v>262.95</v>
      </c>
    </row>
    <row r="16" spans="1:60">
      <c r="A16" s="382"/>
      <c r="B16" s="686" t="s">
        <v>37</v>
      </c>
      <c r="C16" s="686"/>
      <c r="D16" s="487"/>
      <c r="E16" s="686" t="s">
        <v>42</v>
      </c>
      <c r="F16" s="686"/>
      <c r="G16" s="487"/>
      <c r="H16" s="686" t="s">
        <v>34</v>
      </c>
      <c r="I16" s="686"/>
      <c r="J16" s="487"/>
      <c r="K16" s="686" t="s">
        <v>51</v>
      </c>
      <c r="L16" s="686"/>
      <c r="M16" s="487"/>
      <c r="N16" s="686" t="s">
        <v>51</v>
      </c>
      <c r="O16" s="686"/>
      <c r="P16" s="487"/>
      <c r="Q16" s="686" t="s">
        <v>62</v>
      </c>
      <c r="R16" s="686"/>
      <c r="S16" s="487"/>
      <c r="T16" s="686" t="s">
        <v>62</v>
      </c>
      <c r="U16" s="686"/>
      <c r="V16" s="487"/>
      <c r="W16" s="686" t="s">
        <v>34</v>
      </c>
      <c r="X16" s="686"/>
      <c r="Y16" s="487"/>
      <c r="Z16" s="686" t="s">
        <v>37</v>
      </c>
      <c r="AA16" s="686"/>
      <c r="AB16" s="487"/>
      <c r="AC16" s="686" t="s">
        <v>34</v>
      </c>
      <c r="AD16" s="686"/>
      <c r="AE16" s="309"/>
      <c r="AF16" s="686" t="s">
        <v>629</v>
      </c>
      <c r="AG16" s="686"/>
      <c r="AH16" s="487"/>
      <c r="AI16" s="686" t="s">
        <v>629</v>
      </c>
      <c r="AJ16" s="686"/>
      <c r="AK16" s="487"/>
      <c r="AL16" s="686" t="s">
        <v>62</v>
      </c>
      <c r="AM16" s="686"/>
      <c r="AN16" s="487"/>
      <c r="AO16" s="686" t="s">
        <v>51</v>
      </c>
      <c r="AP16" s="686"/>
      <c r="AQ16" s="500"/>
    </row>
    <row r="17" spans="1:50">
      <c r="A17" s="382"/>
      <c r="B17" s="309"/>
      <c r="C17" s="309"/>
      <c r="D17" s="487"/>
      <c r="E17" s="309"/>
      <c r="F17" s="309"/>
      <c r="G17" s="487"/>
      <c r="H17" s="309"/>
      <c r="I17" s="309"/>
      <c r="J17" s="487"/>
      <c r="K17" s="309"/>
      <c r="L17" s="309"/>
      <c r="M17" s="487"/>
      <c r="N17" s="309"/>
      <c r="O17" s="309"/>
      <c r="P17" s="487"/>
      <c r="Q17" s="309"/>
      <c r="R17" s="309"/>
      <c r="S17" s="487"/>
      <c r="T17" s="309"/>
      <c r="U17" s="309"/>
      <c r="V17" s="487"/>
      <c r="W17" s="309"/>
      <c r="X17" s="309" t="s">
        <v>630</v>
      </c>
      <c r="Y17" s="487"/>
      <c r="Z17" s="309" t="s">
        <v>630</v>
      </c>
      <c r="AA17" s="309"/>
      <c r="AB17" s="487"/>
      <c r="AC17" s="309"/>
      <c r="AD17" s="309"/>
      <c r="AE17" s="309"/>
      <c r="AF17" s="309"/>
      <c r="AG17" s="309"/>
      <c r="AH17" s="487"/>
      <c r="AI17" s="309"/>
      <c r="AJ17" s="309"/>
      <c r="AK17" s="487"/>
      <c r="AL17" s="309"/>
      <c r="AM17" s="309"/>
      <c r="AN17" s="487"/>
      <c r="AO17" s="309"/>
      <c r="AP17" s="309"/>
      <c r="AQ17" s="500"/>
    </row>
    <row r="18" spans="1:50">
      <c r="A18" s="382"/>
      <c r="B18" s="309"/>
      <c r="C18" s="309"/>
      <c r="D18" s="487"/>
      <c r="E18" s="309"/>
      <c r="F18" s="309"/>
      <c r="G18" s="487"/>
      <c r="H18" s="309"/>
      <c r="I18" s="309"/>
      <c r="J18" s="487"/>
      <c r="K18" s="309"/>
      <c r="L18" s="309"/>
      <c r="M18" s="487"/>
      <c r="N18" s="309"/>
      <c r="O18" s="309"/>
      <c r="P18" s="487"/>
      <c r="Q18" s="309"/>
      <c r="R18" s="309"/>
      <c r="S18" s="487"/>
      <c r="T18" s="309"/>
      <c r="U18" s="309"/>
      <c r="V18" s="487"/>
      <c r="W18" s="309"/>
      <c r="X18" s="309"/>
      <c r="Y18" s="487"/>
      <c r="Z18" s="309"/>
      <c r="AA18" s="309"/>
      <c r="AB18" s="487"/>
      <c r="AC18" s="309"/>
      <c r="AD18" s="309"/>
      <c r="AE18" s="309"/>
      <c r="AF18" s="309"/>
      <c r="AG18" s="309"/>
      <c r="AI18" s="309"/>
      <c r="AJ18" s="309"/>
      <c r="AK18" s="487"/>
      <c r="AL18" s="309"/>
      <c r="AM18" s="309"/>
      <c r="AN18" s="487"/>
      <c r="AO18" s="309"/>
      <c r="AP18" s="309"/>
      <c r="AQ18" s="500"/>
    </row>
    <row r="19" spans="1:50" ht="15" thickBot="1">
      <c r="A19" s="382"/>
      <c r="B19" s="735"/>
      <c r="C19" s="735"/>
      <c r="D19" s="487"/>
      <c r="E19" s="735"/>
      <c r="F19" s="735"/>
      <c r="G19" s="487"/>
      <c r="H19" s="735"/>
      <c r="I19" s="735"/>
      <c r="J19" s="487"/>
      <c r="K19" s="735"/>
      <c r="L19" s="735"/>
      <c r="M19" s="487"/>
      <c r="N19" s="735"/>
      <c r="O19" s="735"/>
      <c r="P19" s="487"/>
      <c r="Q19" s="735"/>
      <c r="R19" s="735"/>
      <c r="S19" s="487"/>
      <c r="T19" s="735"/>
      <c r="U19" s="735"/>
      <c r="V19" s="487"/>
      <c r="W19" s="735"/>
      <c r="X19" s="735"/>
      <c r="Y19" s="487"/>
      <c r="Z19" s="686"/>
      <c r="AA19" s="686"/>
      <c r="AB19" s="487"/>
      <c r="AC19" s="686"/>
      <c r="AD19" s="686"/>
      <c r="AE19" s="309"/>
      <c r="AF19" s="686"/>
      <c r="AG19" s="686"/>
      <c r="AH19" s="487"/>
      <c r="AI19" s="686"/>
      <c r="AJ19" s="686"/>
      <c r="AK19" s="487"/>
      <c r="AL19" s="686"/>
      <c r="AM19" s="686"/>
      <c r="AN19" s="487"/>
      <c r="AO19" s="686"/>
      <c r="AP19" s="686"/>
      <c r="AQ19" s="500"/>
    </row>
    <row r="20" spans="1:50">
      <c r="A20" s="382"/>
      <c r="B20" s="383"/>
      <c r="C20" s="383"/>
      <c r="D20" s="488"/>
      <c r="E20" s="384"/>
      <c r="F20" s="384"/>
      <c r="G20" s="488"/>
      <c r="H20" s="383"/>
      <c r="I20" s="383"/>
      <c r="J20" s="488"/>
      <c r="K20" s="384"/>
      <c r="L20" s="384"/>
      <c r="M20" s="488"/>
      <c r="N20" s="383"/>
      <c r="O20" s="383"/>
      <c r="P20" s="488"/>
      <c r="Q20" s="383"/>
      <c r="R20" s="383"/>
      <c r="S20" s="488"/>
      <c r="T20" s="383"/>
      <c r="U20" s="383"/>
      <c r="V20" s="488"/>
      <c r="W20" s="383"/>
      <c r="X20" s="383"/>
      <c r="Y20" s="488"/>
      <c r="Z20" s="777" t="s">
        <v>629</v>
      </c>
      <c r="AA20" s="778"/>
      <c r="AB20" s="488"/>
      <c r="AC20" s="309"/>
      <c r="AD20" s="309"/>
      <c r="AE20" s="310"/>
      <c r="AF20" s="309"/>
      <c r="AG20" s="309"/>
      <c r="AH20" s="488"/>
      <c r="AI20" s="309"/>
      <c r="AJ20" s="309"/>
      <c r="AK20" s="488"/>
      <c r="AL20" s="309"/>
      <c r="AM20" s="309"/>
      <c r="AN20" s="488"/>
      <c r="AO20" s="309"/>
      <c r="AP20" s="309"/>
      <c r="AQ20" s="501"/>
    </row>
    <row r="21" spans="1:50" ht="15" thickBot="1">
      <c r="A21" s="382"/>
      <c r="B21" s="383"/>
      <c r="C21" s="383"/>
      <c r="D21" s="488"/>
      <c r="E21" s="384"/>
      <c r="F21" s="384"/>
      <c r="G21" s="488"/>
      <c r="H21" s="383"/>
      <c r="I21" s="383"/>
      <c r="J21" s="488"/>
      <c r="K21" s="384"/>
      <c r="L21" s="384"/>
      <c r="M21" s="488"/>
      <c r="N21" s="383"/>
      <c r="O21" s="383"/>
      <c r="P21" s="487"/>
      <c r="Q21" s="383"/>
      <c r="R21" s="383"/>
      <c r="S21" s="487"/>
      <c r="T21" s="383"/>
      <c r="U21" s="383"/>
      <c r="V21" s="488"/>
      <c r="W21" s="383"/>
      <c r="X21" s="383"/>
      <c r="Y21" s="488"/>
      <c r="Z21" s="752"/>
      <c r="AA21" s="753"/>
      <c r="AB21" s="488"/>
      <c r="AC21" s="309"/>
      <c r="AD21" s="309"/>
      <c r="AE21" s="310"/>
      <c r="AF21" s="309"/>
      <c r="AG21" s="309"/>
      <c r="AH21" s="487"/>
      <c r="AI21" s="309"/>
      <c r="AJ21" s="309"/>
      <c r="AK21" s="488"/>
      <c r="AL21" s="309"/>
      <c r="AM21" s="309"/>
      <c r="AN21" s="488"/>
      <c r="AO21" s="393"/>
      <c r="AP21" s="309"/>
      <c r="AQ21" s="501"/>
      <c r="AS21" s="291">
        <v>8</v>
      </c>
      <c r="AT21" s="291">
        <v>8</v>
      </c>
      <c r="AU21" s="291">
        <v>8</v>
      </c>
      <c r="AV21" s="291">
        <v>8</v>
      </c>
      <c r="AW21" s="507">
        <f>(D22+G22+J22+M22+P22+S22+V22+Y22)/1000</f>
        <v>1.1354559999999998</v>
      </c>
      <c r="AX21" s="507">
        <f>(D22+G22+J22+M22+P22+S22+V22+Y22)/1000</f>
        <v>1.1354559999999998</v>
      </c>
    </row>
    <row r="22" spans="1:50" s="309" customFormat="1">
      <c r="A22" s="382"/>
      <c r="B22" s="743" t="s">
        <v>181</v>
      </c>
      <c r="C22" s="743"/>
      <c r="D22" s="489">
        <v>251.57</v>
      </c>
      <c r="E22" s="695" t="s">
        <v>182</v>
      </c>
      <c r="F22" s="695"/>
      <c r="G22" s="489">
        <v>271.76</v>
      </c>
      <c r="H22" s="695" t="s">
        <v>183</v>
      </c>
      <c r="I22" s="695"/>
      <c r="J22" s="489">
        <v>261.04000000000002</v>
      </c>
      <c r="K22" s="695" t="s">
        <v>336</v>
      </c>
      <c r="L22" s="695"/>
      <c r="M22" s="489">
        <v>37.42</v>
      </c>
      <c r="N22" s="695" t="s">
        <v>192</v>
      </c>
      <c r="O22" s="695"/>
      <c r="P22" s="495">
        <v>71</v>
      </c>
      <c r="Q22" s="695" t="s">
        <v>193</v>
      </c>
      <c r="R22" s="695"/>
      <c r="S22" s="495">
        <v>37.520000000000003</v>
      </c>
      <c r="T22" s="744" t="s">
        <v>338</v>
      </c>
      <c r="U22" s="744"/>
      <c r="V22" s="495">
        <v>165.14699999999999</v>
      </c>
      <c r="W22" s="686" t="s">
        <v>340</v>
      </c>
      <c r="X22" s="686"/>
      <c r="Y22" s="499">
        <v>39.999000000000002</v>
      </c>
      <c r="AB22" s="487"/>
      <c r="AC22" s="686"/>
      <c r="AD22" s="686"/>
      <c r="AF22" s="686"/>
      <c r="AG22" s="686"/>
      <c r="AH22" s="487"/>
      <c r="AI22" s="686"/>
      <c r="AJ22" s="686"/>
      <c r="AK22" s="487"/>
      <c r="AL22" s="686"/>
      <c r="AM22" s="686"/>
      <c r="AN22" s="487"/>
      <c r="AO22" s="686"/>
      <c r="AP22" s="686"/>
      <c r="AQ22" s="500"/>
    </row>
    <row r="23" spans="1:50">
      <c r="A23" s="382"/>
      <c r="B23" s="686" t="s">
        <v>42</v>
      </c>
      <c r="C23" s="686"/>
      <c r="D23" s="487"/>
      <c r="E23" s="686" t="s">
        <v>42</v>
      </c>
      <c r="F23" s="686"/>
      <c r="G23" s="487"/>
      <c r="H23" s="309" t="s">
        <v>42</v>
      </c>
      <c r="I23" s="309"/>
      <c r="J23" s="487"/>
      <c r="K23" s="686" t="s">
        <v>34</v>
      </c>
      <c r="L23" s="686"/>
      <c r="M23" s="487"/>
      <c r="N23" s="686" t="s">
        <v>629</v>
      </c>
      <c r="O23" s="686"/>
      <c r="P23" s="487"/>
      <c r="Q23" s="686" t="s">
        <v>629</v>
      </c>
      <c r="R23" s="686"/>
      <c r="S23" s="487"/>
      <c r="T23" s="686" t="s">
        <v>34</v>
      </c>
      <c r="U23" s="686"/>
      <c r="V23" s="487"/>
      <c r="W23" s="686" t="s">
        <v>631</v>
      </c>
      <c r="X23" s="686"/>
      <c r="Y23" s="487"/>
      <c r="Z23" s="686"/>
      <c r="AA23" s="686"/>
      <c r="AB23" s="487"/>
      <c r="AC23" s="686"/>
      <c r="AD23" s="686"/>
      <c r="AE23" s="309"/>
      <c r="AF23" s="686"/>
      <c r="AG23" s="686"/>
      <c r="AH23" s="487"/>
      <c r="AI23" s="686"/>
      <c r="AJ23" s="686"/>
      <c r="AK23" s="487"/>
      <c r="AL23" s="686"/>
      <c r="AM23" s="686"/>
      <c r="AN23" s="487"/>
      <c r="AO23" s="686"/>
      <c r="AP23" s="686"/>
      <c r="AQ23" s="500"/>
    </row>
    <row r="24" spans="1:50">
      <c r="A24" s="382"/>
      <c r="B24" s="309"/>
      <c r="C24" s="309"/>
      <c r="D24" s="487"/>
      <c r="E24" s="309"/>
      <c r="F24" s="309"/>
      <c r="G24" s="487"/>
      <c r="H24" s="309"/>
      <c r="I24" s="309"/>
      <c r="K24" s="376"/>
      <c r="M24" s="492"/>
      <c r="O24" s="385"/>
      <c r="Q24" s="385"/>
      <c r="S24" s="496"/>
      <c r="U24" s="309"/>
      <c r="W24" s="309"/>
      <c r="X24" s="309"/>
      <c r="Y24" s="487"/>
      <c r="Z24" s="309"/>
      <c r="AA24" s="309"/>
      <c r="AB24" s="487"/>
      <c r="AC24" s="309"/>
      <c r="AD24" s="309"/>
      <c r="AE24" s="309"/>
      <c r="AF24" s="309"/>
      <c r="AG24" s="309"/>
      <c r="AH24" s="487"/>
      <c r="AI24" s="309"/>
      <c r="AJ24" s="309"/>
      <c r="AK24" s="487"/>
      <c r="AL24" s="309"/>
      <c r="AM24" s="309"/>
      <c r="AN24" s="487"/>
      <c r="AO24" s="309"/>
      <c r="AP24" s="309"/>
      <c r="AQ24" s="500"/>
    </row>
    <row r="25" spans="1:50" ht="15" thickBot="1">
      <c r="A25" s="391"/>
      <c r="B25" s="745"/>
      <c r="C25" s="745"/>
      <c r="D25" s="490"/>
      <c r="E25" s="745"/>
      <c r="F25" s="745"/>
      <c r="G25" s="490"/>
      <c r="H25" s="745"/>
      <c r="I25" s="745"/>
      <c r="J25" s="490"/>
      <c r="K25" s="745"/>
      <c r="L25" s="745"/>
      <c r="M25" s="490"/>
      <c r="N25" s="745"/>
      <c r="O25" s="745"/>
      <c r="P25" s="490"/>
      <c r="Q25" s="745"/>
      <c r="R25" s="745"/>
      <c r="S25" s="491"/>
      <c r="T25" s="287"/>
      <c r="U25" s="287"/>
      <c r="V25" s="491"/>
      <c r="W25" s="287"/>
      <c r="X25" s="287"/>
      <c r="Y25" s="491"/>
      <c r="Z25" s="287"/>
      <c r="AA25" s="287"/>
      <c r="AB25" s="491"/>
      <c r="AC25" s="287"/>
      <c r="AD25" s="287"/>
      <c r="AE25" s="287"/>
      <c r="AF25" s="287"/>
      <c r="AG25" s="287"/>
      <c r="AH25" s="491"/>
      <c r="AI25" s="287"/>
      <c r="AJ25" s="287"/>
      <c r="AK25" s="491"/>
      <c r="AL25" s="287"/>
      <c r="AM25" s="287"/>
      <c r="AN25" s="491"/>
      <c r="AO25" s="287"/>
      <c r="AP25" s="287"/>
      <c r="AQ25" s="498"/>
      <c r="AS25" s="291">
        <f t="shared" ref="AS25:AX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23</v>
      </c>
      <c r="AW25" s="507">
        <f>+AW7+AW14+AW21</f>
        <v>4.8541460000000001</v>
      </c>
      <c r="AX25" s="507">
        <f t="shared" si="0"/>
        <v>3.0664759999999998</v>
      </c>
    </row>
    <row r="26" spans="1:50" ht="15.75" customHeight="1" thickBot="1">
      <c r="A26" s="381"/>
      <c r="B26" s="752" t="s">
        <v>632</v>
      </c>
      <c r="C26" s="745"/>
      <c r="D26" s="745"/>
      <c r="E26" s="745"/>
      <c r="F26" s="745"/>
      <c r="G26" s="745"/>
      <c r="H26" s="745"/>
      <c r="I26" s="745"/>
      <c r="J26" s="745"/>
      <c r="K26" s="745"/>
      <c r="L26" s="753"/>
      <c r="N26" s="752" t="s">
        <v>633</v>
      </c>
      <c r="O26" s="745"/>
      <c r="P26" s="745"/>
      <c r="Q26" s="745"/>
      <c r="R26" s="745"/>
      <c r="S26" s="745"/>
      <c r="T26" s="745"/>
      <c r="U26" s="745"/>
      <c r="V26" s="753"/>
      <c r="W26" s="757" t="s">
        <v>634</v>
      </c>
      <c r="X26" s="758"/>
      <c r="Y26" s="758"/>
      <c r="Z26" s="758"/>
      <c r="AA26" s="758"/>
      <c r="AB26" s="758"/>
      <c r="AC26" s="758"/>
      <c r="AD26" s="758"/>
      <c r="AE26" s="758"/>
      <c r="AF26" s="758"/>
      <c r="AG26" s="758"/>
      <c r="AH26" s="758"/>
      <c r="AI26" s="758"/>
      <c r="AJ26" s="758"/>
      <c r="AK26" s="758"/>
      <c r="AL26" s="758"/>
      <c r="AM26" s="758"/>
      <c r="AN26" s="761" t="s">
        <v>354</v>
      </c>
      <c r="AO26" s="761"/>
      <c r="AP26" s="761"/>
      <c r="AQ26" s="762"/>
    </row>
    <row r="27" spans="1:50" ht="15" customHeight="1">
      <c r="A27" s="381"/>
      <c r="B27" s="381"/>
      <c r="O27" s="386"/>
      <c r="V27" s="497"/>
      <c r="W27" s="759"/>
      <c r="X27" s="760"/>
      <c r="Y27" s="760"/>
      <c r="Z27" s="760"/>
      <c r="AA27" s="760"/>
      <c r="AB27" s="760"/>
      <c r="AC27" s="760"/>
      <c r="AD27" s="760"/>
      <c r="AE27" s="760"/>
      <c r="AF27" s="760"/>
      <c r="AG27" s="760"/>
      <c r="AH27" s="760"/>
      <c r="AI27" s="760"/>
      <c r="AJ27" s="760"/>
      <c r="AK27" s="760"/>
      <c r="AL27" s="760"/>
      <c r="AM27" s="760"/>
      <c r="AN27" s="763">
        <f>AS1</f>
        <v>46110</v>
      </c>
      <c r="AO27" s="763"/>
      <c r="AP27" s="763"/>
      <c r="AQ27" s="764"/>
    </row>
    <row r="28" spans="1:50">
      <c r="A28" s="381"/>
      <c r="B28" s="754" t="s">
        <v>471</v>
      </c>
      <c r="C28" s="755"/>
      <c r="D28" s="756"/>
      <c r="F28" s="657" t="s">
        <v>635</v>
      </c>
      <c r="G28" s="657"/>
      <c r="I28" s="657" t="s">
        <v>636</v>
      </c>
      <c r="J28" s="657"/>
      <c r="N28" s="659" t="s">
        <v>637</v>
      </c>
      <c r="O28" s="659"/>
      <c r="P28" s="750"/>
      <c r="R28" s="634" t="s">
        <v>638</v>
      </c>
      <c r="S28" s="635"/>
      <c r="T28" s="634"/>
      <c r="U28" s="635"/>
      <c r="V28" s="497"/>
      <c r="W28" s="765" t="s">
        <v>2</v>
      </c>
      <c r="X28" s="663"/>
      <c r="Y28" s="663" t="s">
        <v>356</v>
      </c>
      <c r="Z28" s="663"/>
      <c r="AA28" s="663"/>
      <c r="AB28" s="663"/>
      <c r="AC28" s="663" t="s">
        <v>639</v>
      </c>
      <c r="AD28" s="663"/>
      <c r="AE28" s="663" t="s">
        <v>640</v>
      </c>
      <c r="AF28" s="663"/>
      <c r="AG28" s="663"/>
      <c r="AH28" s="663" t="s">
        <v>32</v>
      </c>
      <c r="AI28" s="663"/>
      <c r="AJ28" s="663"/>
      <c r="AK28" s="663" t="s">
        <v>372</v>
      </c>
      <c r="AL28" s="663"/>
      <c r="AM28" s="663"/>
      <c r="AN28" s="663" t="s">
        <v>15</v>
      </c>
      <c r="AO28" s="663"/>
      <c r="AP28" s="663"/>
      <c r="AQ28" s="671"/>
    </row>
    <row r="29" spans="1:50">
      <c r="A29" s="381"/>
      <c r="B29" s="381"/>
      <c r="N29" s="659"/>
      <c r="O29" s="659"/>
      <c r="P29" s="750"/>
      <c r="R29" s="636"/>
      <c r="S29" s="637"/>
      <c r="T29" s="636"/>
      <c r="U29" s="637"/>
      <c r="V29" s="497"/>
      <c r="W29" s="749">
        <v>1</v>
      </c>
      <c r="X29" s="630"/>
      <c r="Y29" s="630" t="s">
        <v>376</v>
      </c>
      <c r="Z29" s="630"/>
      <c r="AA29" s="630"/>
      <c r="AB29" s="630"/>
      <c r="AC29" s="630" t="s">
        <v>377</v>
      </c>
      <c r="AD29" s="630"/>
      <c r="AE29" s="766">
        <v>9.23</v>
      </c>
      <c r="AF29" s="767"/>
      <c r="AG29" s="768"/>
      <c r="AH29" s="766">
        <v>9.23</v>
      </c>
      <c r="AI29" s="767"/>
      <c r="AJ29" s="768"/>
      <c r="AK29" s="630">
        <f t="shared" ref="AK29:AK37" si="1">AE29-AH29</f>
        <v>0</v>
      </c>
      <c r="AL29" s="630"/>
      <c r="AM29" s="630"/>
      <c r="AN29" s="630"/>
      <c r="AO29" s="630"/>
      <c r="AP29" s="630"/>
      <c r="AQ29" s="665"/>
    </row>
    <row r="30" spans="1:50">
      <c r="A30" s="381"/>
      <c r="B30" s="785" t="s">
        <v>469</v>
      </c>
      <c r="C30" s="786"/>
      <c r="D30" s="787"/>
      <c r="N30" s="659" t="s">
        <v>641</v>
      </c>
      <c r="O30" s="659"/>
      <c r="P30" s="750"/>
      <c r="R30" s="636"/>
      <c r="S30" s="637"/>
      <c r="T30" s="636"/>
      <c r="U30" s="637"/>
      <c r="V30" s="497"/>
      <c r="W30" s="749">
        <v>2</v>
      </c>
      <c r="X30" s="630"/>
      <c r="Y30" s="630" t="s">
        <v>378</v>
      </c>
      <c r="Z30" s="630"/>
      <c r="AA30" s="630"/>
      <c r="AB30" s="630"/>
      <c r="AC30" s="630" t="s">
        <v>377</v>
      </c>
      <c r="AD30" s="630"/>
      <c r="AE30" s="766">
        <v>9.23</v>
      </c>
      <c r="AF30" s="767"/>
      <c r="AG30" s="768"/>
      <c r="AH30" s="766">
        <v>9.23</v>
      </c>
      <c r="AI30" s="767"/>
      <c r="AJ30" s="768"/>
      <c r="AK30" s="630">
        <f t="shared" si="1"/>
        <v>0</v>
      </c>
      <c r="AL30" s="630"/>
      <c r="AM30" s="630"/>
      <c r="AN30" s="630"/>
      <c r="AO30" s="630"/>
      <c r="AP30" s="630"/>
      <c r="AQ30" s="665"/>
    </row>
    <row r="31" spans="1:50">
      <c r="A31" s="381"/>
      <c r="B31" s="381"/>
      <c r="N31" s="659"/>
      <c r="O31" s="659"/>
      <c r="P31" s="750"/>
      <c r="R31" s="638"/>
      <c r="S31" s="639"/>
      <c r="T31" s="638"/>
      <c r="U31" s="639"/>
      <c r="V31" s="497"/>
      <c r="W31" s="749">
        <v>3</v>
      </c>
      <c r="X31" s="630"/>
      <c r="Y31" s="630" t="s">
        <v>379</v>
      </c>
      <c r="Z31" s="630"/>
      <c r="AA31" s="630"/>
      <c r="AB31" s="630"/>
      <c r="AC31" s="630" t="s">
        <v>642</v>
      </c>
      <c r="AD31" s="630"/>
      <c r="AE31" s="630">
        <v>39</v>
      </c>
      <c r="AF31" s="630"/>
      <c r="AG31" s="630"/>
      <c r="AH31" s="630">
        <f>+AS25</f>
        <v>31</v>
      </c>
      <c r="AI31" s="630"/>
      <c r="AJ31" s="630"/>
      <c r="AK31" s="630">
        <f t="shared" si="1"/>
        <v>8</v>
      </c>
      <c r="AL31" s="630"/>
      <c r="AM31" s="630"/>
      <c r="AN31" s="630"/>
      <c r="AO31" s="630"/>
      <c r="AP31" s="630"/>
      <c r="AQ31" s="665"/>
    </row>
    <row r="32" spans="1:50">
      <c r="A32" s="381"/>
      <c r="B32" s="381"/>
      <c r="E32" s="751"/>
      <c r="F32" s="751"/>
      <c r="H32" s="788"/>
      <c r="I32" s="788"/>
      <c r="K32" s="751"/>
      <c r="L32" s="751"/>
      <c r="N32" s="659" t="s">
        <v>643</v>
      </c>
      <c r="O32" s="659"/>
      <c r="P32" s="750"/>
      <c r="R32" s="634" t="s">
        <v>452</v>
      </c>
      <c r="S32" s="635"/>
      <c r="T32" s="634"/>
      <c r="U32" s="635"/>
      <c r="V32" s="497"/>
      <c r="W32" s="749">
        <v>4</v>
      </c>
      <c r="X32" s="630"/>
      <c r="Y32" s="630" t="s">
        <v>381</v>
      </c>
      <c r="Z32" s="630"/>
      <c r="AA32" s="630"/>
      <c r="AB32" s="630"/>
      <c r="AC32" s="630" t="s">
        <v>642</v>
      </c>
      <c r="AD32" s="630"/>
      <c r="AE32" s="630">
        <v>39</v>
      </c>
      <c r="AF32" s="630"/>
      <c r="AG32" s="630"/>
      <c r="AH32" s="630">
        <f>+AT25</f>
        <v>31</v>
      </c>
      <c r="AI32" s="630"/>
      <c r="AJ32" s="630"/>
      <c r="AK32" s="630">
        <f t="shared" si="1"/>
        <v>8</v>
      </c>
      <c r="AL32" s="630"/>
      <c r="AM32" s="630"/>
      <c r="AN32" s="630"/>
      <c r="AO32" s="630"/>
      <c r="AP32" s="630"/>
      <c r="AQ32" s="665"/>
    </row>
    <row r="33" spans="1:43">
      <c r="A33" s="381"/>
      <c r="B33" s="387"/>
      <c r="C33" s="388"/>
      <c r="D33" s="389"/>
      <c r="E33" s="390"/>
      <c r="F33" s="303"/>
      <c r="G33" s="493"/>
      <c r="H33" s="291"/>
      <c r="I33" s="291"/>
      <c r="J33" s="493"/>
      <c r="K33" s="379"/>
      <c r="L33" s="291"/>
      <c r="M33" s="493"/>
      <c r="N33" s="659"/>
      <c r="O33" s="659"/>
      <c r="P33" s="750"/>
      <c r="R33" s="636"/>
      <c r="S33" s="637"/>
      <c r="T33" s="636"/>
      <c r="U33" s="637"/>
      <c r="V33" s="497"/>
      <c r="W33" s="749">
        <v>5</v>
      </c>
      <c r="X33" s="630"/>
      <c r="Y33" s="630" t="s">
        <v>469</v>
      </c>
      <c r="Z33" s="630"/>
      <c r="AA33" s="630"/>
      <c r="AB33" s="630"/>
      <c r="AC33" s="630" t="s">
        <v>642</v>
      </c>
      <c r="AD33" s="630"/>
      <c r="AE33" s="630">
        <v>39</v>
      </c>
      <c r="AF33" s="630"/>
      <c r="AG33" s="630"/>
      <c r="AH33" s="630">
        <f>+AU25</f>
        <v>29</v>
      </c>
      <c r="AI33" s="630"/>
      <c r="AJ33" s="630"/>
      <c r="AK33" s="630">
        <f t="shared" si="1"/>
        <v>10</v>
      </c>
      <c r="AL33" s="630"/>
      <c r="AM33" s="630"/>
      <c r="AN33" s="630"/>
      <c r="AO33" s="630"/>
      <c r="AP33" s="630"/>
      <c r="AQ33" s="665"/>
    </row>
    <row r="34" spans="1:43">
      <c r="A34" s="381"/>
      <c r="B34" s="746" t="s">
        <v>379</v>
      </c>
      <c r="C34" s="747"/>
      <c r="D34" s="748"/>
      <c r="E34" s="390"/>
      <c r="F34" s="390"/>
      <c r="G34" s="493"/>
      <c r="H34" s="291"/>
      <c r="I34" s="291"/>
      <c r="K34" s="379"/>
      <c r="L34" s="291"/>
      <c r="M34" s="493"/>
      <c r="N34" s="659" t="s">
        <v>644</v>
      </c>
      <c r="O34" s="659"/>
      <c r="P34" s="750"/>
      <c r="R34" s="636"/>
      <c r="S34" s="637"/>
      <c r="T34" s="636"/>
      <c r="U34" s="637"/>
      <c r="V34" s="497"/>
      <c r="W34" s="749">
        <v>6</v>
      </c>
      <c r="X34" s="630"/>
      <c r="Y34" s="630" t="s">
        <v>645</v>
      </c>
      <c r="Z34" s="630"/>
      <c r="AA34" s="630"/>
      <c r="AB34" s="630"/>
      <c r="AC34" s="630" t="s">
        <v>642</v>
      </c>
      <c r="AD34" s="630"/>
      <c r="AE34" s="630">
        <v>39</v>
      </c>
      <c r="AF34" s="630"/>
      <c r="AG34" s="630"/>
      <c r="AH34" s="630">
        <f>+AV25</f>
        <v>23</v>
      </c>
      <c r="AI34" s="630"/>
      <c r="AJ34" s="630"/>
      <c r="AK34" s="630">
        <f t="shared" si="1"/>
        <v>16</v>
      </c>
      <c r="AL34" s="630"/>
      <c r="AM34" s="630"/>
      <c r="AN34" s="664"/>
      <c r="AO34" s="773"/>
      <c r="AP34" s="773"/>
      <c r="AQ34" s="774"/>
    </row>
    <row r="35" spans="1:43">
      <c r="A35" s="381"/>
      <c r="B35" s="387" t="s">
        <v>646</v>
      </c>
      <c r="C35" s="388"/>
      <c r="E35" s="769" t="s">
        <v>38</v>
      </c>
      <c r="F35" s="769"/>
      <c r="G35" s="494">
        <v>293</v>
      </c>
      <c r="H35" s="770" t="s">
        <v>41</v>
      </c>
      <c r="I35" s="769"/>
      <c r="J35" s="504">
        <v>391</v>
      </c>
      <c r="K35" s="771" t="s">
        <v>45</v>
      </c>
      <c r="L35" s="772"/>
      <c r="M35" s="493"/>
      <c r="N35" s="659"/>
      <c r="O35" s="659"/>
      <c r="P35" s="750"/>
      <c r="R35" s="638"/>
      <c r="S35" s="639"/>
      <c r="T35" s="638"/>
      <c r="U35" s="639"/>
      <c r="V35" s="497"/>
      <c r="W35" s="749">
        <v>7</v>
      </c>
      <c r="X35" s="630"/>
      <c r="Y35" s="630" t="s">
        <v>647</v>
      </c>
      <c r="Z35" s="630"/>
      <c r="AA35" s="630"/>
      <c r="AB35" s="630"/>
      <c r="AC35" s="630" t="s">
        <v>377</v>
      </c>
      <c r="AD35" s="630"/>
      <c r="AE35" s="766">
        <v>9.23</v>
      </c>
      <c r="AF35" s="767"/>
      <c r="AG35" s="768"/>
      <c r="AH35" s="775">
        <f>+AX25</f>
        <v>3.0664759999999998</v>
      </c>
      <c r="AI35" s="775"/>
      <c r="AJ35" s="775"/>
      <c r="AK35" s="629">
        <f t="shared" si="1"/>
        <v>6.1635240000000007</v>
      </c>
      <c r="AL35" s="629"/>
      <c r="AM35" s="629"/>
      <c r="AN35" s="630"/>
      <c r="AO35" s="630"/>
      <c r="AP35" s="630"/>
      <c r="AQ35" s="665"/>
    </row>
    <row r="36" spans="1:43">
      <c r="A36" s="381"/>
      <c r="B36" s="387" t="s">
        <v>399</v>
      </c>
      <c r="C36" s="388"/>
      <c r="E36" s="781" t="s">
        <v>39</v>
      </c>
      <c r="F36" s="781"/>
      <c r="H36" s="781" t="s">
        <v>37</v>
      </c>
      <c r="I36" s="781"/>
      <c r="J36" s="504"/>
      <c r="K36" s="782" t="s">
        <v>46</v>
      </c>
      <c r="L36" s="783"/>
      <c r="M36" s="493"/>
      <c r="N36" s="659" t="s">
        <v>648</v>
      </c>
      <c r="O36" s="659"/>
      <c r="P36" s="750"/>
      <c r="R36" s="704" t="s">
        <v>438</v>
      </c>
      <c r="S36" s="704"/>
      <c r="T36" s="632"/>
      <c r="U36" s="632"/>
      <c r="V36" s="497"/>
      <c r="W36" s="749">
        <v>8</v>
      </c>
      <c r="X36" s="630"/>
      <c r="Y36" s="630" t="s">
        <v>649</v>
      </c>
      <c r="Z36" s="630"/>
      <c r="AA36" s="630"/>
      <c r="AB36" s="630"/>
      <c r="AC36" s="630" t="s">
        <v>377</v>
      </c>
      <c r="AD36" s="630"/>
      <c r="AE36" s="766">
        <v>9.23</v>
      </c>
      <c r="AF36" s="767"/>
      <c r="AG36" s="768"/>
      <c r="AH36" s="629">
        <f>+[1]Summary!M30</f>
        <v>0</v>
      </c>
      <c r="AI36" s="630"/>
      <c r="AJ36" s="630"/>
      <c r="AK36" s="630">
        <f t="shared" si="1"/>
        <v>9.23</v>
      </c>
      <c r="AL36" s="630"/>
      <c r="AM36" s="630"/>
      <c r="AN36" s="630"/>
      <c r="AO36" s="630"/>
      <c r="AP36" s="630"/>
      <c r="AQ36" s="665"/>
    </row>
    <row r="37" spans="1:43" ht="15" thickBot="1">
      <c r="A37" s="391"/>
      <c r="B37" s="391"/>
      <c r="C37" s="287"/>
      <c r="D37" s="491"/>
      <c r="E37" s="287"/>
      <c r="F37" s="658" t="s">
        <v>381</v>
      </c>
      <c r="G37" s="658"/>
      <c r="H37" s="287"/>
      <c r="I37" s="287"/>
      <c r="J37" s="658" t="s">
        <v>650</v>
      </c>
      <c r="K37" s="658"/>
      <c r="L37" s="658"/>
      <c r="M37" s="491"/>
      <c r="N37" s="660"/>
      <c r="O37" s="660"/>
      <c r="P37" s="784"/>
      <c r="Q37" s="287"/>
      <c r="R37" s="705"/>
      <c r="S37" s="705"/>
      <c r="T37" s="633"/>
      <c r="U37" s="633"/>
      <c r="V37" s="498"/>
      <c r="W37" s="780">
        <v>9</v>
      </c>
      <c r="X37" s="628"/>
      <c r="Y37" s="628" t="s">
        <v>390</v>
      </c>
      <c r="Z37" s="628"/>
      <c r="AA37" s="628"/>
      <c r="AB37" s="628"/>
      <c r="AC37" s="628" t="s">
        <v>377</v>
      </c>
      <c r="AD37" s="628"/>
      <c r="AE37" s="766">
        <v>9.23</v>
      </c>
      <c r="AF37" s="767"/>
      <c r="AG37" s="768"/>
      <c r="AH37" s="631">
        <f>+[1]Summary!M31</f>
        <v>0</v>
      </c>
      <c r="AI37" s="628"/>
      <c r="AJ37" s="628"/>
      <c r="AK37" s="628">
        <f t="shared" si="1"/>
        <v>9.23</v>
      </c>
      <c r="AL37" s="628"/>
      <c r="AM37" s="628"/>
      <c r="AN37" s="628"/>
      <c r="AO37" s="628"/>
      <c r="AP37" s="628"/>
      <c r="AQ37" s="653"/>
    </row>
    <row r="41" spans="1:43">
      <c r="AH41" s="776"/>
      <c r="AI41" s="776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3" t="str">
        <f>+Summary!A2</f>
        <v>Name of the Line: 220KV DC AL59 line from Neemuch - Chanderiya + 132KV DC ACSS Line from Chanderiya to Hindustan Zinc</v>
      </c>
      <c r="B1" s="794"/>
      <c r="C1" s="794"/>
      <c r="D1" s="794"/>
      <c r="E1" s="794"/>
      <c r="F1" s="794"/>
      <c r="G1" s="794"/>
      <c r="H1" s="795"/>
    </row>
    <row r="2" spans="1:8" ht="14.25" customHeight="1">
      <c r="A2" s="796" t="s">
        <v>651</v>
      </c>
      <c r="B2" s="797"/>
      <c r="C2" s="797"/>
      <c r="D2" s="797"/>
      <c r="E2" s="797"/>
      <c r="F2" s="797"/>
      <c r="G2" s="798"/>
      <c r="H2" s="234">
        <f>+Summary!R5</f>
        <v>46110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2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0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0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0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0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0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1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2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0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0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0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1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6" t="s">
        <v>666</v>
      </c>
      <c r="B22" s="797"/>
      <c r="C22" s="797"/>
      <c r="D22" s="797"/>
      <c r="E22" s="797"/>
      <c r="F22" s="797"/>
      <c r="G22" s="798"/>
      <c r="H22" s="234">
        <f>+Summary!R5</f>
        <v>46110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89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0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1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2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0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1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2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799" t="str">
        <f>+Summary!A5</f>
        <v>Progress of 220kV Line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50" t="s">
        <v>674</v>
      </c>
      <c r="P1" s="251">
        <f>+Summary!R5</f>
        <v>46110</v>
      </c>
      <c r="Q1" s="252"/>
      <c r="R1" s="252" t="s">
        <v>0</v>
      </c>
    </row>
    <row r="2" spans="1:18" ht="29.25" customHeight="1">
      <c r="A2" s="800" t="s">
        <v>355</v>
      </c>
      <c r="B2" s="802" t="s">
        <v>675</v>
      </c>
      <c r="C2" s="802" t="s">
        <v>357</v>
      </c>
      <c r="D2" s="803" t="s">
        <v>676</v>
      </c>
      <c r="E2" s="804" t="s">
        <v>677</v>
      </c>
      <c r="F2" s="798"/>
      <c r="G2" s="804" t="str">
        <f>+Summary!I6</f>
        <v>Progress of Current Month (March'26)</v>
      </c>
      <c r="H2" s="797"/>
      <c r="I2" s="798"/>
      <c r="J2" s="804" t="s">
        <v>361</v>
      </c>
      <c r="K2" s="797"/>
      <c r="L2" s="798"/>
      <c r="M2" s="804" t="str">
        <f>+Summary!O6</f>
        <v>Resources Status</v>
      </c>
      <c r="N2" s="797"/>
      <c r="O2" s="798"/>
      <c r="P2" s="805" t="s">
        <v>15</v>
      </c>
      <c r="Q2" s="252"/>
      <c r="R2" s="252"/>
    </row>
    <row r="3" spans="1:18" ht="12.75" customHeight="1">
      <c r="A3" s="801"/>
      <c r="B3" s="544"/>
      <c r="C3" s="544"/>
      <c r="D3" s="544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6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194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194</v>
      </c>
      <c r="L6" s="258">
        <f>+Summary!N10</f>
        <v>4</v>
      </c>
      <c r="M6" s="807">
        <f>Summary!O10</f>
        <v>0</v>
      </c>
      <c r="N6" s="807">
        <f>Summary!P10</f>
        <v>0</v>
      </c>
      <c r="O6" s="807">
        <f>Summary!Q10</f>
        <v>0</v>
      </c>
      <c r="P6" s="808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194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194</v>
      </c>
      <c r="L7" s="258">
        <f>+Summary!N11</f>
        <v>4</v>
      </c>
      <c r="M7" s="544"/>
      <c r="N7" s="544"/>
      <c r="O7" s="544"/>
      <c r="P7" s="806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194</v>
      </c>
      <c r="G8" s="259">
        <f>Summary!I12</f>
        <v>5</v>
      </c>
      <c r="H8" s="260">
        <f>+Summary!J12</f>
        <v>1</v>
      </c>
      <c r="I8" s="259">
        <f>Summary!K12</f>
        <v>1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1</v>
      </c>
      <c r="N9" s="257">
        <f>+Summary!P13</f>
        <v>0</v>
      </c>
      <c r="O9" s="257">
        <f>+Summary!Q13</f>
        <v>1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09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8">
        <f>+Summary!H15</f>
        <v>58.5</v>
      </c>
      <c r="G11" s="258">
        <f>+Summary!I15</f>
        <v>5.5</v>
      </c>
      <c r="H11" s="260">
        <f>+Summary!J15</f>
        <v>0</v>
      </c>
      <c r="I11" s="258">
        <f>+Summary!K15</f>
        <v>1.5565399999999912</v>
      </c>
      <c r="J11" s="258">
        <f t="shared" ref="J11:J12" si="1">J10</f>
        <v>0</v>
      </c>
      <c r="K11" s="258">
        <f>+Summary!M15</f>
        <v>60.056539999999991</v>
      </c>
      <c r="L11" s="508">
        <f>+Summary!N15</f>
        <v>3.9434600000000088</v>
      </c>
      <c r="M11" s="261">
        <f>+Summary!O15</f>
        <v>2</v>
      </c>
      <c r="N11" s="261">
        <f>+Summary!P15</f>
        <v>1</v>
      </c>
      <c r="O11" s="261">
        <f>+Summary!Q15</f>
        <v>1</v>
      </c>
      <c r="P11" s="811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8">
        <f>+Summary!H16</f>
        <v>57.4</v>
      </c>
      <c r="G12" s="258">
        <f>+Summary!I16</f>
        <v>7</v>
      </c>
      <c r="H12" s="260">
        <f>+Summary!J16</f>
        <v>0</v>
      </c>
      <c r="I12" s="258">
        <f>+Summary!K16</f>
        <v>2.6565399999999926</v>
      </c>
      <c r="J12" s="258">
        <f t="shared" si="1"/>
        <v>0</v>
      </c>
      <c r="K12" s="258">
        <f>+Summary!M16</f>
        <v>60.056539999999991</v>
      </c>
      <c r="L12" s="508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10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39.299999999999997</v>
      </c>
      <c r="G13" s="270">
        <f>+Summary!I17</f>
        <v>25</v>
      </c>
      <c r="H13" s="270">
        <f>+Summary!J17</f>
        <v>0</v>
      </c>
      <c r="I13" s="270">
        <f>+Summary!K17</f>
        <v>14.421835000000002</v>
      </c>
      <c r="J13" s="270">
        <f>+Summary!L17</f>
        <v>64</v>
      </c>
      <c r="K13" s="270">
        <f>+Summary!M17</f>
        <v>53.721834999999999</v>
      </c>
      <c r="L13" s="270">
        <f>+Summary!N17</f>
        <v>10.278165000000001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799" t="str">
        <f>+Summary!A19</f>
        <v>Progress of 132kV Line</v>
      </c>
      <c r="B15" s="794"/>
      <c r="C15" s="794"/>
      <c r="D15" s="794"/>
      <c r="E15" s="794"/>
      <c r="F15" s="794"/>
      <c r="G15" s="794"/>
      <c r="H15" s="794"/>
      <c r="I15" s="794"/>
      <c r="J15" s="794"/>
      <c r="K15" s="794"/>
      <c r="L15" s="794"/>
      <c r="M15" s="794"/>
      <c r="N15" s="794"/>
      <c r="O15" s="250" t="s">
        <v>674</v>
      </c>
      <c r="P15" s="251">
        <f>+Summary!R19</f>
        <v>46110</v>
      </c>
      <c r="Q15" s="252"/>
      <c r="R15" s="252"/>
    </row>
    <row r="16" spans="1:18" ht="28.5" customHeight="1">
      <c r="A16" s="800" t="s">
        <v>355</v>
      </c>
      <c r="B16" s="802" t="s">
        <v>675</v>
      </c>
      <c r="C16" s="802" t="s">
        <v>357</v>
      </c>
      <c r="D16" s="803" t="s">
        <v>676</v>
      </c>
      <c r="E16" s="804" t="s">
        <v>677</v>
      </c>
      <c r="F16" s="798"/>
      <c r="G16" s="804" t="str">
        <f>+Summary!I20</f>
        <v>Progress of Current Month (March'26)</v>
      </c>
      <c r="H16" s="797"/>
      <c r="I16" s="798"/>
      <c r="J16" s="804" t="s">
        <v>361</v>
      </c>
      <c r="K16" s="797"/>
      <c r="L16" s="798"/>
      <c r="M16" s="804" t="str">
        <f>+Summary!O20</f>
        <v>Resources Status</v>
      </c>
      <c r="N16" s="797"/>
      <c r="O16" s="798"/>
      <c r="P16" s="805" t="s">
        <v>15</v>
      </c>
      <c r="Q16" s="252"/>
      <c r="R16" s="252"/>
    </row>
    <row r="17" spans="1:16" ht="12.75" customHeight="1">
      <c r="A17" s="801"/>
      <c r="B17" s="544"/>
      <c r="C17" s="544"/>
      <c r="D17" s="544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6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27</v>
      </c>
      <c r="G20" s="258">
        <f>+Summary!I24</f>
        <v>12</v>
      </c>
      <c r="H20" s="260">
        <f>+Summary!J24</f>
        <v>0</v>
      </c>
      <c r="I20" s="274">
        <f>+Summary!K24</f>
        <v>4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12">
        <f>Summary!O24</f>
        <v>1</v>
      </c>
      <c r="N20" s="812">
        <f>Summary!P24</f>
        <v>1</v>
      </c>
      <c r="O20" s="812">
        <f>Summary!Q24</f>
        <v>0</v>
      </c>
      <c r="P20" s="808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25</v>
      </c>
      <c r="G21" s="258">
        <f>+Summary!I25</f>
        <v>12</v>
      </c>
      <c r="H21" s="260">
        <f>+Summary!J25</f>
        <v>0</v>
      </c>
      <c r="I21" s="274">
        <f>+Summary!K25</f>
        <v>6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4"/>
      <c r="N21" s="544"/>
      <c r="O21" s="544"/>
      <c r="P21" s="806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23</v>
      </c>
      <c r="G22" s="258">
        <f>Summary!I26</f>
        <v>12</v>
      </c>
      <c r="H22" s="260">
        <f>Summary!J26</f>
        <v>0</v>
      </c>
      <c r="I22" s="258">
        <f>Summary!K26</f>
        <v>6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9</v>
      </c>
      <c r="G23" s="258">
        <f>Summary!I27</f>
        <v>16</v>
      </c>
      <c r="H23" s="260">
        <f>+Summary!J27</f>
        <v>0</v>
      </c>
      <c r="I23" s="258">
        <f>+Summary!K27</f>
        <v>14</v>
      </c>
      <c r="J23" s="259">
        <f>+Summary!L27</f>
        <v>39</v>
      </c>
      <c r="K23" s="259">
        <f>+Summary!M27</f>
        <v>23</v>
      </c>
      <c r="L23" s="259">
        <f>+Summary!N27</f>
        <v>16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>
        <f>+Summary!R27</f>
        <v>0</v>
      </c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0</v>
      </c>
      <c r="G25" s="258">
        <f>+Summary!I29</f>
        <v>9</v>
      </c>
      <c r="H25" s="260">
        <f>+Summary!J29</f>
        <v>0</v>
      </c>
      <c r="I25" s="258">
        <f>+Summary!K29</f>
        <v>4.8541460000000001</v>
      </c>
      <c r="J25" s="508">
        <f>E25</f>
        <v>9</v>
      </c>
      <c r="K25" s="508">
        <f>+Summary!M29</f>
        <v>4.8541460000000001</v>
      </c>
      <c r="L25" s="258">
        <f>+Summary!N29</f>
        <v>4.1458539999999999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09" t="str">
        <f>+Summary!R29</f>
        <v xml:space="preserve">
7/0 to 8/0 final sag completed 
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0</v>
      </c>
      <c r="G26" s="258">
        <f>+Summary!I30</f>
        <v>9</v>
      </c>
      <c r="H26" s="260">
        <f>+Summary!J30</f>
        <v>0</v>
      </c>
      <c r="I26" s="258">
        <f>+Summary!K30</f>
        <v>3.0664760000000002</v>
      </c>
      <c r="J26" s="508">
        <f>E26</f>
        <v>9</v>
      </c>
      <c r="K26" s="508">
        <f>+Summary!M30</f>
        <v>3.0664760000000002</v>
      </c>
      <c r="L26" s="258">
        <f>+Summary!N30</f>
        <v>5.9335240000000002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810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9">
        <f>+Summary!L31</f>
        <v>9</v>
      </c>
      <c r="K27" s="509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2026-03-30T04:35:08Z</dcterms:modified>
</cp:coreProperties>
</file>