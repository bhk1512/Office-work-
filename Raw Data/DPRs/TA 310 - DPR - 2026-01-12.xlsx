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jenad01_kecrpg_com/Documents/KEC DC Navsari-Kala 400KV TL/DPR (NKTL)/"/>
    </mc:Choice>
  </mc:AlternateContent>
  <xr:revisionPtr revIDLastSave="2528" documentId="13_ncr:1_{69D43407-A786-4A9E-90E9-9F75F9E213C7}" xr6:coauthVersionLast="47" xr6:coauthVersionMax="47" xr10:uidLastSave="{1997913D-7570-4BFA-AE6A-4B2507E7FBCE}"/>
  <bookViews>
    <workbookView xWindow="-110" yWindow="-110" windowWidth="19420" windowHeight="10300" activeTab="2" xr2:uid="{00000000-000D-0000-FFFF-FFFF00000000}"/>
  </bookViews>
  <sheets>
    <sheet name="NKTL DPR PGCIL" sheetId="43" r:id="rId1"/>
    <sheet name="Visual Chart NKTL" sheetId="40" r:id="rId2"/>
    <sheet name="NKTL DPR" sheetId="1" r:id="rId3"/>
    <sheet name="Sheet2" sheetId="22" state="hidden" r:id="rId4"/>
    <sheet name="Sheet1" sheetId="21" state="hidden" r:id="rId5"/>
    <sheet name="Visual Chart-Old" sheetId="19" state="hidden" r:id="rId6"/>
    <sheet name="Location wise status" sheetId="44" r:id="rId7"/>
    <sheet name="Survey Status" sheetId="7" r:id="rId8"/>
    <sheet name="Soil investigation" sheetId="39" r:id="rId9"/>
    <sheet name="Crossing Details" sheetId="11" r:id="rId10"/>
    <sheet name="Line Scenario" sheetId="45" r:id="rId11"/>
    <sheet name="Sheet3" sheetId="41" r:id="rId12"/>
    <sheet name="Supply Status" sheetId="47" r:id="rId13"/>
  </sheets>
  <definedNames>
    <definedName name="\2">#REF!</definedName>
    <definedName name="\A">#REF!</definedName>
    <definedName name="\B">#REF!</definedName>
    <definedName name="\C">#REF!</definedName>
    <definedName name="\d">#N/A</definedName>
    <definedName name="\H">#REF!</definedName>
    <definedName name="\I">#REF!</definedName>
    <definedName name="\KWS123">#N/A</definedName>
    <definedName name="\l">#REF!</definedName>
    <definedName name="\M">#REF!</definedName>
    <definedName name="\N">#REF!</definedName>
    <definedName name="\P">#REF!</definedName>
    <definedName name="\q">#N/A</definedName>
    <definedName name="\R">#REF!</definedName>
    <definedName name="\t">#N/A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a1" hidden="1">{"'PROFITABILITY'!$A$1:$F$45"}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Nov2007" hidden="1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hidden="1">{"'PROFITABILITY'!$A$1:$F$45"}</definedName>
    <definedName name="__________________dol12">#REF!</definedName>
    <definedName name="__________________dol6">#REF!</definedName>
    <definedName name="__________________IDA1">#REF!</definedName>
    <definedName name="__________________in18900">#REF!</definedName>
    <definedName name="__________________iv19000">#REF!</definedName>
    <definedName name="__________________Nov2007" hidden="1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a1" hidden="1">{"'PROFITABILITY'!$A$1:$F$45"}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Nov2007" hidden="1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a1" hidden="1">{"'PROFITABILITY'!$A$1:$F$45"}</definedName>
    <definedName name="________________dol12">#REF!</definedName>
    <definedName name="________________dol6">#REF!</definedName>
    <definedName name="________________IDA1">#REF!</definedName>
    <definedName name="________________in18900">#REF!</definedName>
    <definedName name="________________iv19000">#REF!</definedName>
    <definedName name="________________Nov2007" hidden="1">{"'PROFITABILITY'!$A$1:$F$45"}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dol12">#REF!</definedName>
    <definedName name="_______________dol6">#REF!</definedName>
    <definedName name="_______________IDA1">#REF!</definedName>
    <definedName name="_______________in18900">#REF!</definedName>
    <definedName name="_______________iv19000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a1" hidden="1">{"'PROFITABILITY'!$A$1:$F$45"}</definedName>
    <definedName name="______________dol12">#REF!</definedName>
    <definedName name="______________dol6">#REF!</definedName>
    <definedName name="______________IDA1">#REF!</definedName>
    <definedName name="______________in18900">#REF!</definedName>
    <definedName name="______________iv19000">#REF!</definedName>
    <definedName name="______________Nov2007" hidden="1">{"'PROFITABILITY'!$A$1:$F$45"}</definedName>
    <definedName name="______________VS2004" hidden="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a1" hidden="1">{"'PROFITABILITY'!$A$1:$F$45"}</definedName>
    <definedName name="_____________dol12">#REF!</definedName>
    <definedName name="_____________dol6">#REF!</definedName>
    <definedName name="_____________IDA1">#REF!</definedName>
    <definedName name="_____________in18900">#REF!</definedName>
    <definedName name="_____________iv19000">#REF!</definedName>
    <definedName name="_____________Nov2007" hidden="1">{"'PROFITABILITY'!$A$1:$F$45"}</definedName>
    <definedName name="_____________VS2004" hidden="1">#REF!</definedName>
    <definedName name="_____________xlnm.Print_Area_1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a1" hidden="1">{"'PROFITABILITY'!$A$1:$F$45"}</definedName>
    <definedName name="____________dol12">#REF!</definedName>
    <definedName name="____________dol6">#REF!</definedName>
    <definedName name="____________IDA1">#REF!</definedName>
    <definedName name="____________in18900">#REF!</definedName>
    <definedName name="____________iv19000">#REF!</definedName>
    <definedName name="____________Nov2007" hidden="1">{"'PROFITABILITY'!$A$1:$F$45"}</definedName>
    <definedName name="____________VS2004" hidden="1">#REF!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a1" hidden="1">{"'PROFITABILITY'!$A$1:$F$45"}</definedName>
    <definedName name="___________dol12">#REF!</definedName>
    <definedName name="___________dol6">#REF!</definedName>
    <definedName name="___________IDA1">#REF!</definedName>
    <definedName name="___________in18900">#REF!</definedName>
    <definedName name="___________iv19000">#REF!</definedName>
    <definedName name="___________Nov2007" hidden="1">{"'PROFITABILITY'!$A$1:$F$45"}</definedName>
    <definedName name="___________VS2004" hidden="1">#REF!</definedName>
    <definedName name="___________xlnm.Print_Area_1">#REF!</definedName>
    <definedName name="___________xlnm.Print_Area_13">#REF!</definedName>
    <definedName name="___________xlnm.Print_Area_2">#REF!</definedName>
    <definedName name="___________xlnm.Print_Area_3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a1" hidden="1">{"'PROFITABILITY'!$A$1:$F$45"}</definedName>
    <definedName name="__________dol12">#REF!</definedName>
    <definedName name="__________dol6">#REF!</definedName>
    <definedName name="__________IDA1">#REF!</definedName>
    <definedName name="__________in18900">#REF!</definedName>
    <definedName name="__________iv19000">#REF!</definedName>
    <definedName name="__________Nov2007" hidden="1">{"'PROFITABILITY'!$A$1:$F$45"}</definedName>
    <definedName name="__________VS2004" hidden="1">#REF!</definedName>
    <definedName name="__________xlnm.Print_Area_1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a1" hidden="1">{"'PROFITABILITY'!$A$1:$F$45"}</definedName>
    <definedName name="_________dol12">#REF!</definedName>
    <definedName name="_________dol6">#REF!</definedName>
    <definedName name="_________IDA1">#REF!</definedName>
    <definedName name="_________in18900">#REF!</definedName>
    <definedName name="_________iv19000">#REF!</definedName>
    <definedName name="_________Nov2007" hidden="1">{"'PROFITABILITY'!$A$1:$F$45"}</definedName>
    <definedName name="_________VS2004" hidden="1">#REF!</definedName>
    <definedName name="_________xlnm.Print_Area_1">#REF!</definedName>
    <definedName name="_________xlnm.Print_Area_13">#REF!</definedName>
    <definedName name="_________xlnm.Print_Area_2">#REF!</definedName>
    <definedName name="_________xlnm.Print_Area_3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a1" hidden="1">{"'PROFITABILITY'!$A$1:$F$45"}</definedName>
    <definedName name="________dol12">#REF!</definedName>
    <definedName name="________dol6">#REF!</definedName>
    <definedName name="________IDA1">#REF!</definedName>
    <definedName name="________in18900">#REF!</definedName>
    <definedName name="________iv19000">#REF!</definedName>
    <definedName name="________Nov2007" hidden="1">{"'PROFITABILITY'!$A$1:$F$45"}</definedName>
    <definedName name="________VS2004" hidden="1">#REF!</definedName>
    <definedName name="________xlnm.Print_Area_1">#REF!</definedName>
    <definedName name="________xlnm.Print_Area_13">#REF!</definedName>
    <definedName name="________xlnm.Print_Area_2">#REF!</definedName>
    <definedName name="________xlnm.Print_Area_3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a1" hidden="1">{"'PROFITABILITY'!$A$1:$F$45"}</definedName>
    <definedName name="_______dol12">#REF!</definedName>
    <definedName name="_______dol6">#REF!</definedName>
    <definedName name="_______IDA1">#REF!</definedName>
    <definedName name="_______in18900">#REF!</definedName>
    <definedName name="_______iv19000">#REF!</definedName>
    <definedName name="_______Nov2007" hidden="1">{"'PROFITABILITY'!$A$1:$F$45"}</definedName>
    <definedName name="_______VS2004" hidden="1">#REF!</definedName>
    <definedName name="_______xlnm.Print_Area_1">#REF!</definedName>
    <definedName name="_______xlnm.Print_Area_13">#REF!</definedName>
    <definedName name="_______xlnm.Print_Area_2">#REF!</definedName>
    <definedName name="_______xlnm.Print_Area_3">#REF!</definedName>
    <definedName name="_______xlnm.Print_Titles_1">#REF!</definedName>
    <definedName name="_______xlnm.Print_Titles_2">(#REF!,#REF!)</definedName>
    <definedName name="_______xlnm.Print_Titles_3">(#REF!,#REF!)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a1" hidden="1">{"'PROFITABILITY'!$A$1:$F$45"}</definedName>
    <definedName name="______dol12">#REF!</definedName>
    <definedName name="______dol6">#REF!</definedName>
    <definedName name="______IDA1">#REF!</definedName>
    <definedName name="______in18900">#REF!</definedName>
    <definedName name="______iv19000">#REF!</definedName>
    <definedName name="______Nov2007" hidden="1">{"'PROFITABILITY'!$A$1:$F$45"}</definedName>
    <definedName name="______VS2004" hidden="1">#REF!</definedName>
    <definedName name="______xlnm.Print_Area_1">#REF!</definedName>
    <definedName name="______xlnm.Print_Area_13">#REF!</definedName>
    <definedName name="______xlnm.Print_Area_2">#REF!</definedName>
    <definedName name="______xlnm.Print_Area_3">#REF!</definedName>
    <definedName name="______xlnm.Print_Titles_1">#REF!</definedName>
    <definedName name="______xlnm.Print_Titles_2">(#REF!,#REF!)</definedName>
    <definedName name="______xlnm.Print_Titles_3">(#REF!,#REF!)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a1" hidden="1">{"'PROFITABILITY'!$A$1:$F$45"}</definedName>
    <definedName name="_____dol12">#REF!</definedName>
    <definedName name="_____dol6">#REF!</definedName>
    <definedName name="_____IDA1">#REF!</definedName>
    <definedName name="_____in18900">#REF!</definedName>
    <definedName name="_____iv19000">#REF!</definedName>
    <definedName name="_____Nov2007" hidden="1">{"'PROFITABILITY'!$A$1:$F$45"}</definedName>
    <definedName name="_____VS2004" hidden="1">#REF!</definedName>
    <definedName name="_____xlnm.Print_Area_1">#REF!</definedName>
    <definedName name="_____xlnm.Print_Area_13">#REF!</definedName>
    <definedName name="_____xlnm.Print_Area_2">#REF!</definedName>
    <definedName name="_____xlnm.Print_Area_3">#REF!</definedName>
    <definedName name="_____xlnm.Print_Titles_1">#REF!</definedName>
    <definedName name="_____xlnm.Print_Titles_2">(#REF!,#REF!)</definedName>
    <definedName name="_____xlnm.Print_Titles_3">(#REF!,#REF!)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a1" hidden="1">{"'PROFITABILITY'!$A$1:$F$45"}</definedName>
    <definedName name="____CBR220">#REF!</definedName>
    <definedName name="____CBR500">#REF!</definedName>
    <definedName name="____CTR220">#REF!</definedName>
    <definedName name="____CTR500">#REF!</definedName>
    <definedName name="____CVT220">#REF!</definedName>
    <definedName name="____CVT500">#REF!</definedName>
    <definedName name="____dol12">#REF!</definedName>
    <definedName name="____dol6">#REF!</definedName>
    <definedName name="____IDA1">#REF!</definedName>
    <definedName name="____in18900">#REF!</definedName>
    <definedName name="____iv19000">#REF!</definedName>
    <definedName name="____LAR220">#REF!</definedName>
    <definedName name="____LAR500">#REF!</definedName>
    <definedName name="____LTR220">#REF!</definedName>
    <definedName name="____LTR500">#REF!</definedName>
    <definedName name="____Nov2007" hidden="1">{"'PROFITABILITY'!$A$1:$F$45"}</definedName>
    <definedName name="____PLC220">#REF!</definedName>
    <definedName name="____RE220">#REF!</definedName>
    <definedName name="____RE500">#REF!</definedName>
    <definedName name="____TR220">#REF!</definedName>
    <definedName name="____TR500">#REF!</definedName>
    <definedName name="____VS2004" hidden="1">#REF!</definedName>
    <definedName name="____xlnm.Print_Area_1">#REF!</definedName>
    <definedName name="____xlnm.Print_Area_13">#REF!</definedName>
    <definedName name="____xlnm.Print_Area_2">#REF!</definedName>
    <definedName name="____xlnm.Print_Area_3">#REF!</definedName>
    <definedName name="____xlnm.Print_Titles_1">#REF!</definedName>
    <definedName name="____xlnm.Print_Titles_2">(#REF!,#REF!)</definedName>
    <definedName name="____xlnm.Print_Titles_3">(#REF!,#REF!)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a1" hidden="1">{"'PROFITABILITY'!$A$1:$F$45"}</definedName>
    <definedName name="___CBR220">#REF!</definedName>
    <definedName name="___CBR500">#REF!</definedName>
    <definedName name="___CTR220">#REF!</definedName>
    <definedName name="___CTR500">#REF!</definedName>
    <definedName name="___CVT220">#REF!</definedName>
    <definedName name="___CVT500">#REF!</definedName>
    <definedName name="___dol12">#REF!</definedName>
    <definedName name="___dol6">#REF!</definedName>
    <definedName name="___IDA1">#REF!</definedName>
    <definedName name="___in18900">#REF!</definedName>
    <definedName name="___iv19000">#REF!</definedName>
    <definedName name="___LAR220">#REF!</definedName>
    <definedName name="___LAR500">#REF!</definedName>
    <definedName name="___LTR220">#REF!</definedName>
    <definedName name="___LTR500">#REF!</definedName>
    <definedName name="___Nov2007" hidden="1">{"'PROFITABILITY'!$A$1:$F$45"}</definedName>
    <definedName name="___PLC220">#REF!</definedName>
    <definedName name="___RE220">#REF!</definedName>
    <definedName name="___RE500">#REF!</definedName>
    <definedName name="___TR220">#REF!</definedName>
    <definedName name="___TR500">#REF!</definedName>
    <definedName name="___VS2004" hidden="1">#REF!</definedName>
    <definedName name="___xlnm.Print_Area_1">#REF!</definedName>
    <definedName name="___xlnm.Print_Area_13">#REF!</definedName>
    <definedName name="___xlnm.Print_Area_2">#REF!</definedName>
    <definedName name="___xlnm.Print_Area_3">#REF!</definedName>
    <definedName name="___xlnm.Print_Titles_1">#REF!</definedName>
    <definedName name="___xlnm.Print_Titles_2">(#REF!,#REF!)</definedName>
    <definedName name="___xlnm.Print_Titles_3">(#REF!,#REF!)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B" hidden="1">#REF!</definedName>
    <definedName name="__123Graph_X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a1" hidden="1">{"'PROFITABILITY'!$A$1:$F$45"}</definedName>
    <definedName name="__CBR220">#REF!</definedName>
    <definedName name="__CBR500">#REF!</definedName>
    <definedName name="__CTR220">#REF!</definedName>
    <definedName name="__CTR500">#REF!</definedName>
    <definedName name="__CVT220">#REF!</definedName>
    <definedName name="__CVT500">#REF!</definedName>
    <definedName name="__dol12">#REF!</definedName>
    <definedName name="__dol6">#REF!</definedName>
    <definedName name="__EdFJsKAA">#REF!</definedName>
    <definedName name="__IDA1">#REF!</definedName>
    <definedName name="__in18900">#REF!</definedName>
    <definedName name="__iv19000">#REF!</definedName>
    <definedName name="__LAR220">#REF!</definedName>
    <definedName name="__LAR500">#REF!</definedName>
    <definedName name="__LTR220">#REF!</definedName>
    <definedName name="__LTR500">#REF!</definedName>
    <definedName name="__Nov2007" hidden="1">{"'PROFITABILITY'!$A$1:$F$45"}</definedName>
    <definedName name="__PLC220">#REF!</definedName>
    <definedName name="__RE220">#REF!</definedName>
    <definedName name="__RE500">#REF!</definedName>
    <definedName name="__TR220">#REF!</definedName>
    <definedName name="__TR500">#REF!</definedName>
    <definedName name="__VS2004" hidden="1">#REF!</definedName>
    <definedName name="__xlnm.Print_Area_1">#REF!</definedName>
    <definedName name="__xlnm.Print_Area_1_1">#REF!</definedName>
    <definedName name="__xlnm.Print_Area_1_2">"#REF!"</definedName>
    <definedName name="__xlnm.Print_Area_1_3">"#REF!"</definedName>
    <definedName name="__xlnm.Print_Area_13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4_1_1_1_1">#REF!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Excel_BuiltIn_Print_Area_4_1_1_1_1_1">#REF!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Excel_BuiltIn_Print_Area_4_1_1_1_1_1_1">#REF!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Excel_BuiltIn_Print_Area_4_1_1_1_1_1_1_1_1_1_1">#REF!</definedName>
    <definedName name="_14____123Graph_BCHART_1" hidden="1">#REF!</definedName>
    <definedName name="_14___123Graph_BCHART_1" hidden="1">#REF!</definedName>
    <definedName name="_14Excel_BuiltIn_Print_Area_4_1_1_1_1_1_1_1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Excel_BuiltIn_Print_Area_4_1_1_1_1_1_1_1_1_1_1_1_1">#REF!</definedName>
    <definedName name="_16__123Graph_ACHART_1" hidden="1">#REF!</definedName>
    <definedName name="_16Excel_BuiltIn_Print_Titles_4_1">#REF!</definedName>
    <definedName name="_17__123Graph_BCHART_1" hidden="1">#REF!</definedName>
    <definedName name="_17_3__Criteria">#REF!</definedName>
    <definedName name="_18__123Graph_CCHART_1" hidden="1">#REF!</definedName>
    <definedName name="_19G_0Extr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1G_0Extract">#REF!</definedName>
    <definedName name="_22" hidden="1">#REF!</definedName>
    <definedName name="_23G__Extr">#REF!</definedName>
    <definedName name="_25G__Extract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C_x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Excel_BuiltIn_Print_Area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4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4_1_1_1">#REF!</definedName>
    <definedName name="_A20000">#REF!</definedName>
    <definedName name="_A80000">#REF!</definedName>
    <definedName name="_aa1" hidden="1">{"'PROFITABILITY'!$A$1:$F$45"}</definedName>
    <definedName name="_aba2">#REF!</definedName>
    <definedName name="_adj1">#REF!</definedName>
    <definedName name="_ahu1">#REF!</definedName>
    <definedName name="_ahu2">#REF!</definedName>
    <definedName name="_AOC2">#REF!</definedName>
    <definedName name="_AUX3">#REF!</definedName>
    <definedName name="_BAS1">#REF!</definedName>
    <definedName name="_bom1">#REF!</definedName>
    <definedName name="_BUB1">#REF!</definedName>
    <definedName name="_BUB2">#REF!</definedName>
    <definedName name="_CBR220">#REF!</definedName>
    <definedName name="_CBR500">#REF!</definedName>
    <definedName name="_CDT1">#REF!</definedName>
    <definedName name="_CFB1">#REF!</definedName>
    <definedName name="_CFB2">#REF!</definedName>
    <definedName name="_CFB3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 hidden="1">#REF!</definedName>
    <definedName name="_Dist_Values" hidden="1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#REF!</definedName>
    <definedName name="_xlnm._FilterDatabase" localSheetId="9" hidden="1">'Crossing Details'!#REF!</definedName>
    <definedName name="_xlnm._FilterDatabase" localSheetId="6" hidden="1">'Location wise status'!$A$9:$J$23</definedName>
    <definedName name="_xlnm._FilterDatabase" localSheetId="2" hidden="1">'NKTL DPR'!$A$24:$Z$61</definedName>
    <definedName name="_xlnm._FilterDatabase" localSheetId="4" hidden="1">Sheet1!$B$2:$L$32</definedName>
    <definedName name="_xlnm._FilterDatabase" localSheetId="8" hidden="1">'Soil investigation'!$A$5:$J$19</definedName>
    <definedName name="_xlnm._FilterDatabase" localSheetId="7" hidden="1">'Survey Status'!$A$4:$X$14</definedName>
    <definedName name="_xlnm._FilterDatabase" localSheetId="1" hidden="1">'Visual Chart NKTL'!$A$24:$Y$25</definedName>
    <definedName name="_xlnm._FilterDatabase" localSheetId="5" hidden="1">'Visual Chart-Old'!$A$28:$AR$286</definedName>
    <definedName name="_xlnm._FilterDatabase" hidden="1">#REF!</definedName>
    <definedName name="_FLK1">#REF!</definedName>
    <definedName name="_fos1">#REF!</definedName>
    <definedName name="_GEN1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DA1">#REF!</definedName>
    <definedName name="_in18900">#REF!</definedName>
    <definedName name="_IPB1">#REF!</definedName>
    <definedName name="_iv19000">#REF!</definedName>
    <definedName name="_Key1" hidden="1">#REF!</definedName>
    <definedName name="_Key2" hidden="1">#REF!</definedName>
    <definedName name="_key3" hidden="1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TR220">#REF!</definedName>
    <definedName name="_LTR500">#REF!</definedName>
    <definedName name="_LV1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p1">#REF!</definedName>
    <definedName name="_ngl3">#REF!</definedName>
    <definedName name="_ngl4">#REF!</definedName>
    <definedName name="_Nov2007" hidden="1">{"'PROFITABILITY'!$A$1:$F$45"}</definedName>
    <definedName name="_Order1" hidden="1">255</definedName>
    <definedName name="_Order2" hidden="1">255</definedName>
    <definedName name="_out2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Out" hidden="1">#REF!</definedName>
    <definedName name="_pdp1">#REF!</definedName>
    <definedName name="_pdp2">#REF!</definedName>
    <definedName name="_pdp3">#REF!</definedName>
    <definedName name="_pep99">#REF!</definedName>
    <definedName name="_PIN1">#REF!</definedName>
    <definedName name="_PLC220">#REF!</definedName>
    <definedName name="_ps1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BS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ow1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>#REF!</definedName>
    <definedName name="_sch9">#REF!</definedName>
    <definedName name="_SG1">#REF!</definedName>
    <definedName name="_SG2">#REF!</definedName>
    <definedName name="_Sort" hidden="1">#REF!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R220">#REF!</definedName>
    <definedName name="_TR500">#REF!</definedName>
    <definedName name="_try1">#REF!</definedName>
    <definedName name="_VS2004" hidden="1">#REF!</definedName>
    <definedName name="_WP1">#REF!</definedName>
    <definedName name="¿uº°¿μ¾÷">#REF!</definedName>
    <definedName name="√">"SQRT"</definedName>
    <definedName name="a">#REF!</definedName>
    <definedName name="a_dash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0_">#REF!</definedName>
    <definedName name="A13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AAAAA" hidden="1">#REF!</definedName>
    <definedName name="AAAAAAAAAAAAA" hidden="1">#REF!</definedName>
    <definedName name="aac" hidden="1">{"'PROFITABILITY'!$A$1:$F$45"}</definedName>
    <definedName name="aadf" hidden="1">#REF!</definedName>
    <definedName name="aav" hidden="1">{"'PROFITABILITY'!$A$1:$F$45"}</definedName>
    <definedName name="ab">#REF!</definedName>
    <definedName name="ABACUS">#REF!</definedName>
    <definedName name="abc" hidden="1">{"'PROFITABILITY'!$A$1:$F$45"}</definedName>
    <definedName name="ABCD">#REF!</definedName>
    <definedName name="abcdefg" hidden="1">{"'PROFITABILITY'!$A$1:$F$45"}</definedName>
    <definedName name="ABoltDia">#REF!</definedName>
    <definedName name="ABoltLength">#REF!</definedName>
    <definedName name="ABoltProjection">#REF!</definedName>
    <definedName name="ABTemplateOD">#REF!</definedName>
    <definedName name="AC">#REF!</definedName>
    <definedName name="AC_DESIGN">#REF!</definedName>
    <definedName name="AC_disc">#REF!</definedName>
    <definedName name="ACCESS">#REF!</definedName>
    <definedName name="ACCESS220">#REF!</definedName>
    <definedName name="AccessDatabase" hidden="1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DADADADAD" hidden="1">#REF!</definedName>
    <definedName name="adcbef" hidden="1">{"'PROFITABILITY'!$A$1:$F$45"}</definedName>
    <definedName name="ADF">#REF!</definedName>
    <definedName name="ADITION" hidden="1">{"'장비'!$A$3:$M$12"}</definedName>
    <definedName name="adj">#REF!</definedName>
    <definedName name="ae">#REF!</definedName>
    <definedName name="AED">#REF!</definedName>
    <definedName name="AEDproEUR">1/#REF!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 hidden="1">{#N/A,#N/A,FALSE,"CCTV"}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larms">#REF!</definedName>
    <definedName name="All_Item">#REF!</definedName>
    <definedName name="alpha_disc">#REF!</definedName>
    <definedName name="alpha_ed">#REF!</definedName>
    <definedName name="ALPIN">#N/A</definedName>
    <definedName name="ALPJYOU">#N/A</definedName>
    <definedName name="ALPTOI">#N/A</definedName>
    <definedName name="amol">#REF!</definedName>
    <definedName name="anchor">#REF!</definedName>
    <definedName name="Anfang">#REF!</definedName>
    <definedName name="angle">#REF!</definedName>
    <definedName name="annexure_A">#REF!</definedName>
    <definedName name="ANNEXURE_FOR_BILL_NO.EUS_632_FDN_001">#REF!</definedName>
    <definedName name="ANNEXURE_FOR_BILL_NO.EUS_632_FDN_002">#REF!</definedName>
    <definedName name="app">#REF!</definedName>
    <definedName name="APPR">#REF!</definedName>
    <definedName name="aq">#REF!</definedName>
    <definedName name="arb" hidden="1">#REF!</definedName>
    <definedName name="AREA_000">#REF!</definedName>
    <definedName name="AREA_001">#REF!</definedName>
    <definedName name="arrotonda">#REF!</definedName>
    <definedName name="as">#REF!</definedName>
    <definedName name="AS_disc">#REF!</definedName>
    <definedName name="AS2DocOpenMode" hidden="1">"AS2DocumentEdit"</definedName>
    <definedName name="asd">#REF!</definedName>
    <definedName name="asda">#REF!</definedName>
    <definedName name="asdfgf">#REF!</definedName>
    <definedName name="ASDFGH" hidden="1">#REF!</definedName>
    <definedName name="asdsad">#REF!</definedName>
    <definedName name="asfdasfas">#N/A</definedName>
    <definedName name="ass" hidden="1">#REF!</definedName>
    <definedName name="ASSASAASA" hidden="1">#REF!</definedName>
    <definedName name="assets">#REF!</definedName>
    <definedName name="ASSSSSS" hidden="1">#REF!</definedName>
    <definedName name="Attachment_C_3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w">#REF!</definedName>
    <definedName name="azsa" hidden="1">{"'PROFITABILITY'!$A$1:$F$45"}</definedName>
    <definedName name="B">#REF!</definedName>
    <definedName name="b_dash">#REF!</definedName>
    <definedName name="B_FLG">#REF!</definedName>
    <definedName name="Ba">#REF!</definedName>
    <definedName name="back_pressure">#REF!</definedName>
    <definedName name="BAL">#REF!</definedName>
    <definedName name="ball">#REF!</definedName>
    <definedName name="bas" hidden="1">{"'PROFITABILITY'!$A$1:$F$45"}</definedName>
    <definedName name="BASE_PLATE">#REF!</definedName>
    <definedName name="basetrav">#REF!</definedName>
    <definedName name="basic_rtu">#REF!</definedName>
    <definedName name="BAUfaktor">#REF!</definedName>
    <definedName name="bb" hidden="1">{"'PROFITABILITY'!$A$1:$F$45"}</definedName>
    <definedName name="bbb" hidden="1">{"'PROFITABILITY'!$A$1:$F$45"}</definedName>
    <definedName name="bbbb">#REF!</definedName>
    <definedName name="bc">#REF!</definedName>
    <definedName name="bcv" hidden="1">{"'PROFITABILITY'!$A$1:$F$45"}</definedName>
    <definedName name="BEN">#REF!</definedName>
    <definedName name="Benefits">#REF!</definedName>
    <definedName name="BG">#REF!</definedName>
    <definedName name="BG_CHGS">#REF!</definedName>
    <definedName name="BG_RATE">#REF!</definedName>
    <definedName name="BGT3_WORKING">#REF!</definedName>
    <definedName name="Bidder_Quote_Ref_No">#REF!</definedName>
    <definedName name="BILLNOWISE">#REF!</definedName>
    <definedName name="Bilu">#REF!</definedName>
    <definedName name="Bilu2">#REF!</definedName>
    <definedName name="Bilu3">#REF!</definedName>
    <definedName name="BM">#REF!</definedName>
    <definedName name="Bn">#REF!</definedName>
    <definedName name="boisar">#REF!</definedName>
    <definedName name="BOLT">#REF!</definedName>
    <definedName name="BoltCircle">#REF!</definedName>
    <definedName name="BoltCircleOrPoleOD">#REF!</definedName>
    <definedName name="bom">#REF!</definedName>
    <definedName name="BONPSCHE">#REF!</definedName>
    <definedName name="BOQ">#REF!</definedName>
    <definedName name="BOSS">#REF!</definedName>
    <definedName name="BOX">#REF!</definedName>
    <definedName name="bps">#REF!</definedName>
    <definedName name="BQ">#REF!</definedName>
    <definedName name="BR_Resou">#REF!</definedName>
    <definedName name="BS_9A">#REF!</definedName>
    <definedName name="BS_9B">#REF!</definedName>
    <definedName name="btb_musd">#REF!</definedName>
    <definedName name="bUB">#REF!</definedName>
    <definedName name="budgets">#REF!</definedName>
    <definedName name="BuiltIn_Print_Area">#REF!</definedName>
    <definedName name="BuiltIn_Print_Area___0">#REF!</definedName>
    <definedName name="BuiltIn_Print_Area___0___0">#REF!</definedName>
    <definedName name="BuiltIn_Print_Titles">#REF!</definedName>
    <definedName name="BuiltIn_Print_Titles___0">#REF!</definedName>
    <definedName name="BuiltIn_Print_Titles___0___0">#REF!</definedName>
    <definedName name="butterfly">#REF!</definedName>
    <definedName name="by_weld">#REF!</definedName>
    <definedName name="C_">#REF!</definedName>
    <definedName name="c_margin">#REF!</definedName>
    <definedName name="C_VALUE">#REF!</definedName>
    <definedName name="Ca">#REF!</definedName>
    <definedName name="caa" hidden="1">{"'PROFITABILITY'!$A$1:$F$45"}</definedName>
    <definedName name="CABLE">#REF!</definedName>
    <definedName name="CABLE1">#REF!</definedName>
    <definedName name="cal">#REF!</definedName>
    <definedName name="CalcAgencyPrice">#REF!</definedName>
    <definedName name="can">#REF!</definedName>
    <definedName name="cap">#REF!</definedName>
    <definedName name="cashfloaa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T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F">#REF!</definedName>
    <definedName name="cf_musd">#REF!</definedName>
    <definedName name="cgxcf">#REF!</definedName>
    <definedName name="ch_area1">#REF!</definedName>
    <definedName name="ch_area2">#REF!</definedName>
    <definedName name="ch_area3">#REF!</definedName>
    <definedName name="ch_area4">#REF!</definedName>
    <definedName name="check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il">#REF!</definedName>
    <definedName name="Cl">#REF!</definedName>
    <definedName name="cli">#REF!</definedName>
    <definedName name="CLIENT">#REF!</definedName>
    <definedName name="Client_Markup">#REF!</definedName>
    <definedName name="co">#REF!</definedName>
    <definedName name="coat">#REF!</definedName>
    <definedName name="CODES_AND_COSTS">#REF!</definedName>
    <definedName name="COE">#REF!</definedName>
    <definedName name="CoeftMatIDR">#REF!</definedName>
    <definedName name="col_I">#REF!</definedName>
    <definedName name="collection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M">#REF!</definedName>
    <definedName name="Commission">#REF!</definedName>
    <definedName name="commn">#REF!</definedName>
    <definedName name="COMP">#REF!</definedName>
    <definedName name="company">#REF!</definedName>
    <definedName name="Company_Name">#REF!</definedName>
    <definedName name="CONCABLES">#REF!</definedName>
    <definedName name="CONCABLES220">#REF!</definedName>
    <definedName name="COND">#REF!</definedName>
    <definedName name="CONDUIT">#REF!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S">#REF!</definedName>
    <definedName name="Cost__Ex_Works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RP">#REF!</definedName>
    <definedName name="cprp_lucknow">#REF!</definedName>
    <definedName name="cprp_mandola">#REF!</definedName>
    <definedName name="CP새단가">#REF!</definedName>
    <definedName name="_xlnm.Criteria">#REF!</definedName>
    <definedName name="CRP_Barelliey">#REF!</definedName>
    <definedName name="CRP_Unnao">#REF!</definedName>
    <definedName name="CRRSEP">#REF!</definedName>
    <definedName name="crush_s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ur">#REF!</definedName>
    <definedName name="Curr">#REF!</definedName>
    <definedName name="Currency">#REF!</definedName>
    <definedName name="currency_lookup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D">#REF!</definedName>
    <definedName name="D8Data">#REF!</definedName>
    <definedName name="Da">#REF!</definedName>
    <definedName name="Dampers" hidden="1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Wk7">#REF!</definedName>
    <definedName name="DAY_ENGR">#REF!</definedName>
    <definedName name="DAY_TCHN">#REF!</definedName>
    <definedName name="DAYS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hidden="1">{"'PROFITABILITY'!$A$1:$F$45"}</definedName>
    <definedName name="DDD">#REF!</definedName>
    <definedName name="dddd">#REF!</definedName>
    <definedName name="de_cost">#REF!</definedName>
    <definedName name="DEBTORS">#REF!</definedName>
    <definedName name="DEC.GH">#REF!</definedName>
    <definedName name="DEED">#REF!</definedName>
    <definedName name="DelDC">#REF!</definedName>
    <definedName name="DelDm">#REF!</definedName>
    <definedName name="Delivery">#REF!</definedName>
    <definedName name="DELTA" hidden="1">{"'PROFITABILITY'!$A$1:$F$45"}</definedName>
    <definedName name="DELTA1" hidden="1">{"'PROFITABILITY'!$A$1:$F$45"}</definedName>
    <definedName name="DelType">#REF!</definedName>
    <definedName name="DEM">#REF!</definedName>
    <definedName name="deptLookup">#REF!</definedName>
    <definedName name="design">#REF!</definedName>
    <definedName name="det_act_plan">#REF!</definedName>
    <definedName name="df" hidden="1">#REF!</definedName>
    <definedName name="dfadf">(#REF!,#REF!)</definedName>
    <definedName name="dfaf" hidden="1">{"'장비'!$A$3:$M$12"}</definedName>
    <definedName name="DFD" hidden="1">{"'PROFITABILITY'!$A$1:$F$45"}</definedName>
    <definedName name="dfdfdfd" hidden="1">{"'PROFITABILITY'!$A$1:$F$45"}</definedName>
    <definedName name="DFF">#REF!</definedName>
    <definedName name="DG">#REF!</definedName>
    <definedName name="DG_Total">#REF!</definedName>
    <definedName name="dgn">#REF!</definedName>
    <definedName name="dgp">#REF!</definedName>
    <definedName name="dhgh">#REF!</definedName>
    <definedName name="diacab">#REF!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s" hidden="1">{"'PROFITABILITY'!$A$1:$F$45"}</definedName>
    <definedName name="disc">#REF!</definedName>
    <definedName name="Discount1">#REF!</definedName>
    <definedName name="disdir">#REF!</definedName>
    <definedName name="Distrib">#REF!</definedName>
    <definedName name="DIV">1000000</definedName>
    <definedName name="dkd">#REF!</definedName>
    <definedName name="DKG" hidden="1">{"'PROFITABILITY'!$A$1:$F$45"}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>#REF!</definedName>
    <definedName name="DMUSD">#REF!</definedName>
    <definedName name="DOC">#REF!</definedName>
    <definedName name="dol">#REF!</definedName>
    <definedName name="dol7.5">#REF!</definedName>
    <definedName name="DOLLARS1">#REF!</definedName>
    <definedName name="DOLLARS2">#REF!</definedName>
    <definedName name="drain_trap">#REF!</definedName>
    <definedName name="DS">#REF!</definedName>
    <definedName name="dsada">#REF!</definedName>
    <definedName name="dsds" hidden="1">#REF!</definedName>
    <definedName name="dsdsdls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RTH">#REF!</definedName>
    <definedName name="EARTH1">#REF!</definedName>
    <definedName name="EB_Total">#REF!</definedName>
    <definedName name="ec_charges">#REF!</definedName>
    <definedName name="ecfact">#REF!</definedName>
    <definedName name="ED">#REF!</definedName>
    <definedName name="ED_RTU">#REF!</definedName>
    <definedName name="ED_TRDR">#REF!</definedName>
    <definedName name="ee">#REF!</definedName>
    <definedName name="eee" hidden="1">{"'PROFITABILITY'!$A$1:$F$45"}</definedName>
    <definedName name="EFFECT">#REF!</definedName>
    <definedName name="EFFICIENCY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n">#REF!</definedName>
    <definedName name="Ende">#REF!</definedName>
    <definedName name="ENG">#REF!</definedName>
    <definedName name="ENGG">#REF!</definedName>
    <definedName name="Engg_charges">#REF!</definedName>
    <definedName name="EOL">#REF!</definedName>
    <definedName name="eq_index">#REF!</definedName>
    <definedName name="EQMOB">#REF!</definedName>
    <definedName name="EQUIPCOM">#REF!</definedName>
    <definedName name="ere">#REF!</definedName>
    <definedName name="erec">#REF!</definedName>
    <definedName name="erecps">#REF!</definedName>
    <definedName name="ERV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hidden="1">{"'PROFITABILITY'!$A$1:$F$45"}</definedName>
    <definedName name="ex_joint">#REF!</definedName>
    <definedName name="Ex_Rate_LC_per_FC">#REF!</definedName>
    <definedName name="Excel_BuiltIn__FilterDatabase_31">#REF!</definedName>
    <definedName name="Excel_BuiltIn__FilterDatabase_4">#REF!</definedName>
    <definedName name="Excel_BuiltIn__FilterDatabase_6">#REF!</definedName>
    <definedName name="Excel_BuiltIn_Print_Area_1">#REF!</definedName>
    <definedName name="Excel_BuiltIn_Print_Area_2_1">#REF!</definedName>
    <definedName name="Excel_BuiltIn_Print_Area_25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Titles_1">#REF!</definedName>
    <definedName name="Excel_BuiltIn_Print_Titles_4_1">#REF!</definedName>
    <definedName name="exp_ch">#REF!</definedName>
    <definedName name="expense">#REF!</definedName>
    <definedName name="EXPHEADS">#REF!</definedName>
    <definedName name="external">#REF!</definedName>
    <definedName name="_xlnm.Extract">#REF!</definedName>
    <definedName name="exwks">#REF!</definedName>
    <definedName name="f">#REF!</definedName>
    <definedName name="f_1" hidden="1">{"'PROFITABILITY'!$A$1:$F$45"}</definedName>
    <definedName name="f_shape">#REF!</definedName>
    <definedName name="fac">0.825</definedName>
    <definedName name="facplc">#REF!</definedName>
    <definedName name="Factor">#REF!</definedName>
    <definedName name="Factora">#REF!/#REF!</definedName>
    <definedName name="fasfa" hidden="1">{"'PROFITABILITY'!$A$1:$F$45"}</definedName>
    <definedName name="FC">#REF!</definedName>
    <definedName name="fdfds">#REF!</definedName>
    <definedName name="FDGSDFG" hidden="1">{#N/A,#N/A,TRUE,"STEEL";#N/A,#N/A,TRUE,"OUTSIDE FAB.";#N/A,#N/A,TRUE,"WIP";#N/A,#N/A,TRUE,"FINISHED GOODS";#N/A,#N/A,TRUE,"SCRAP"}</definedName>
    <definedName name="fdn_no">#REF!</definedName>
    <definedName name="FE">#REF!</definedName>
    <definedName name="FF">#REF!</definedName>
    <definedName name="fff">#REF!</definedName>
    <definedName name="ffffff">#REF!</definedName>
    <definedName name="FFR">#REF!</definedName>
    <definedName name="fg" hidden="1">{"'PROFITABILITY'!$A$1:$F$45"}</definedName>
    <definedName name="FG46TBTB4RTDKDK">#REF!</definedName>
    <definedName name="fgdfgg">#REF!</definedName>
    <definedName name="fgRKRKRKRKRKRKRKRKRKRKRKTBTBSPD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E_AREA">#REF!</definedName>
    <definedName name="FireFighting">#REF!</definedName>
    <definedName name="FLG">#REF!</definedName>
    <definedName name="FLG_Orifice">#REF!</definedName>
    <definedName name="FLK">#REF!</definedName>
    <definedName name="flow">#REF!</definedName>
    <definedName name="for_item">#REF!</definedName>
    <definedName name="Forecast">#REF!</definedName>
    <definedName name="Forecast_Receivables">#REF!</definedName>
    <definedName name="forthemonth">#REF!</definedName>
    <definedName name="FOS">#REF!</definedName>
    <definedName name="Fr" hidden="1">{"'PROFITABILITY'!$A$1:$F$45"}</definedName>
    <definedName name="Fr_charges">#REF!</definedName>
    <definedName name="FRANCS">#REF!</definedName>
    <definedName name="fri">#REF!</definedName>
    <definedName name="frierect">#REF!</definedName>
    <definedName name="FRONTPAGE">#REF!</definedName>
    <definedName name="FRRRRR">#REF!</definedName>
    <definedName name="FT">#REF!</definedName>
    <definedName name="FUND_M8_A_B">#REF!</definedName>
    <definedName name="FUNDFLOW_B8A">#REF!</definedName>
    <definedName name="FUNDFLOW_B8B">#REF!</definedName>
    <definedName name="fytyfhjyguky">#REF!</definedName>
    <definedName name="g">#REF!</definedName>
    <definedName name="G083BAAN1">#REF!</definedName>
    <definedName name="GAS">#REF!</definedName>
    <definedName name="gate">#REF!</definedName>
    <definedName name="GEN">#REF!</definedName>
    <definedName name="GFGFG" hidden="1">#REF!</definedName>
    <definedName name="gg">#REF!</definedName>
    <definedName name="ggg" hidden="1">{"'PROFITABILITY'!$A$1:$F$45"}</definedName>
    <definedName name="GGGG">#REF!</definedName>
    <definedName name="gk">#REF!</definedName>
    <definedName name="globe">#REF!</definedName>
    <definedName name="GP">#REF!</definedName>
    <definedName name="GPs">#REF!</definedName>
    <definedName name="GrdLineMr">#REF!</definedName>
    <definedName name="GrdLineShear">#REF!</definedName>
    <definedName name="gross">#REF!</definedName>
    <definedName name="GROUND">#REF!</definedName>
    <definedName name="GROUND220">#REF!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hidden="1">{#N/A,#N/A,FALSE,"CCTV"}</definedName>
    <definedName name="GW">#REF!</definedName>
    <definedName name="h" hidden="1">#REF!</definedName>
    <definedName name="h_af">#REF!</definedName>
    <definedName name="h_bf">#REF!</definedName>
    <definedName name="haba">#REF!</definedName>
    <definedName name="HANDL">#REF!</definedName>
    <definedName name="HE">#REF!</definedName>
    <definedName name="Header">#REF!</definedName>
    <definedName name="HEATER_DATA">#REF!</definedName>
    <definedName name="HEDGING">#REF!</definedName>
    <definedName name="Herstellerangaben">#REF!</definedName>
    <definedName name="hf">#REF!</definedName>
    <definedName name="hh">#REF!</definedName>
    <definedName name="hhh">#REF!</definedName>
    <definedName name="hhh_1">#REF!</definedName>
    <definedName name="hhhkh" hidden="1">#REF!</definedName>
    <definedName name="hijkl" hidden="1">{"'PROFITABILITY'!$A$1:$F$45"}</definedName>
    <definedName name="HINDI">#REF!</definedName>
    <definedName name="HM">#REF!</definedName>
    <definedName name="ＨＭ_ＨＥ_合__計">#REF!</definedName>
    <definedName name="HN">#REF!</definedName>
    <definedName name="HNDCLR_CHGS">#REF!</definedName>
    <definedName name="ho" hidden="1">#REF!</definedName>
    <definedName name="HSn">#REF!</definedName>
    <definedName name="HTd">#REF!</definedName>
    <definedName name="html" hidden="1">{"'PROFITABILITY'!$A$1:$F$45"}</definedName>
    <definedName name="HTML_CodePage" hidden="1">1252</definedName>
    <definedName name="HTML_Control" hidden="1">{"'PROFITABILITY'!$A$1:$F$45"}</definedName>
    <definedName name="HTML_Control_1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ml2" hidden="1">{"'PROFITABILITY'!$A$1:$F$45"}</definedName>
    <definedName name="HTn">#REF!</definedName>
    <definedName name="HV">#REF!</definedName>
    <definedName name="I">#REF!</definedName>
    <definedName name="IceThickness">#REF!</definedName>
    <definedName name="ICS_DISCUSSION_C_ISSUES_List">#REF!</definedName>
    <definedName name="ID">#REF!</definedName>
    <definedName name="IDA">#REF!</definedName>
    <definedName name="IDLandS_Peak_MP">#REF!</definedName>
    <definedName name="idto">#REF!</definedName>
    <definedName name="ie">#REF!</definedName>
    <definedName name="IELWSALES">#REF!</definedName>
    <definedName name="IELYSALES">#REF!</definedName>
    <definedName name="IEPLANSALES">#REF!</definedName>
    <definedName name="IESP">#REF!</definedName>
    <definedName name="IF_J_1_RUN__PROG1">#REF!</definedName>
    <definedName name="IGP_M">#REF!</definedName>
    <definedName name="II">#REF!</definedName>
    <definedName name="Illumination">#REF!</definedName>
    <definedName name="INCOME_BGT2">#REF!</definedName>
    <definedName name="INCOME_M2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t.">#REF!</definedName>
    <definedName name="INSTR">#REF!</definedName>
    <definedName name="Instrument_Index">#REF!</definedName>
    <definedName name="Insurance">#REF!</definedName>
    <definedName name="INT_CHGS">#REF!</definedName>
    <definedName name="inter">#REF!</definedName>
    <definedName name="internaluse">#REF!</definedName>
    <definedName name="IntFreeCred">#REF!</definedName>
    <definedName name="INV">#REF!</definedName>
    <definedName name="io">#REF!</definedName>
    <definedName name="IPB">#REF!</definedName>
    <definedName name="IPT">#N/A</definedName>
    <definedName name="IRR">#REF!</definedName>
    <definedName name="IRRPH">#REF!</definedName>
    <definedName name="IRUSD">#REF!</definedName>
    <definedName name="ISO1E220">#REF!</definedName>
    <definedName name="ISO1E500">#REF!</definedName>
    <definedName name="ISO2E220">#REF!</definedName>
    <definedName name="ISO2E500">#REF!</definedName>
    <definedName name="iteration">#N/A</definedName>
    <definedName name="ITRY">#REF!</definedName>
    <definedName name="ITRY1">#REF!</definedName>
    <definedName name="j">#REF!</definedName>
    <definedName name="j_filler">#REF!</definedName>
    <definedName name="Jabalpur">#REF!</definedName>
    <definedName name="JAHSGFRE" hidden="1">#REF!</definedName>
    <definedName name="JDKSK" hidden="1">#REF!</definedName>
    <definedName name="JEERATE">#REF!</definedName>
    <definedName name="JFHGDT" hidden="1">#REF!</definedName>
    <definedName name="JHKDJRFIA">#REF!</definedName>
    <definedName name="jj" hidden="1">#REF!</definedName>
    <definedName name="jjj">#REF!</definedName>
    <definedName name="JOINT">#REF!</definedName>
    <definedName name="ju">#REF!</definedName>
    <definedName name="jv">#REF!</definedName>
    <definedName name="k" hidden="1">{"'PROFITABILITY'!$A$1:$F$45"}</definedName>
    <definedName name="KA">#REF!</definedName>
    <definedName name="KALPAN">#REF!</definedName>
    <definedName name="KE">#REF!</definedName>
    <definedName name="KEC">#REF!</definedName>
    <definedName name="KEPL">#REF!</definedName>
    <definedName name="KET">#REF!</definedName>
    <definedName name="kib">#REF!</definedName>
    <definedName name="kir">#REF!</definedName>
    <definedName name="KISHOR">#REF!</definedName>
    <definedName name="kjh">#REF!</definedName>
    <definedName name="KJU">#REF!</definedName>
    <definedName name="kk">#REF!</definedName>
    <definedName name="kkkkk">#REF!</definedName>
    <definedName name="kltp" hidden="1">{"'PROFITABILITY'!$A$1:$F$45"}</definedName>
    <definedName name="KPI_BGT3">#REF!</definedName>
    <definedName name="KPI_M3">#REF!</definedName>
    <definedName name="KPIBRB">#REF!</definedName>
    <definedName name="KR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X">#REF!</definedName>
    <definedName name="KU">#REF!</definedName>
    <definedName name="kususdd" hidden="1">{"'PROFITABILITY'!$A$1:$F$45"}</definedName>
    <definedName name="Kw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anguageComment">#REF!</definedName>
    <definedName name="LAS">#REF!</definedName>
    <definedName name="LC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d">#REF!</definedName>
    <definedName name="LD_Analysis">#REF!</definedName>
    <definedName name="lean">#REF!</definedName>
    <definedName name="leave">#REF!</definedName>
    <definedName name="LEGEND">#REF!</definedName>
    <definedName name="Lg">#REF!</definedName>
    <definedName name="LIK">#REF!</definedName>
    <definedName name="line">#REF!</definedName>
    <definedName name="Line_type">#REF!</definedName>
    <definedName name="LINE1">#REF!</definedName>
    <definedName name="LIRA">#REF!</definedName>
    <definedName name="lk" hidden="1">{#N/A,#N/A,FALSE,"CCTV"}</definedName>
    <definedName name="lkalgk">#REF!</definedName>
    <definedName name="LKJ">#REF!</definedName>
    <definedName name="lku">#REF!</definedName>
    <definedName name="LL">#REF!</definedName>
    <definedName name="LLL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ND_CHGS">#REF!</definedName>
    <definedName name="logo1">"Picture 7"</definedName>
    <definedName name="logoa">#REF!</definedName>
    <definedName name="LPROT220">#REF!</definedName>
    <definedName name="LPROT500">#REF!</definedName>
    <definedName name="LTK">#REF!</definedName>
    <definedName name="LTswitchgear">#REF!</definedName>
    <definedName name="LTTrafo">#REF!</definedName>
    <definedName name="luckt">#REF!</definedName>
    <definedName name="LV">#REF!</definedName>
    <definedName name="LWSALES">#REF!</definedName>
    <definedName name="l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1_">#N/A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A_KPI">#REF!</definedName>
    <definedName name="M2A_KPI2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DHU">#REF!</definedName>
    <definedName name="madhu218">#REF!</definedName>
    <definedName name="majord">#REF!</definedName>
    <definedName name="majororders">#REF!</definedName>
    <definedName name="MAN_SALE">#REF!</definedName>
    <definedName name="MAN_SALE_FACT">#REF!</definedName>
    <definedName name="Manday_Rate">#REF!</definedName>
    <definedName name="MANHOUR">#REF!</definedName>
    <definedName name="manpower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i">#REF!</definedName>
    <definedName name="mcmc1i5f">#REF!</definedName>
    <definedName name="mcmc3502i1bc8f">#REF!</definedName>
    <definedName name="mcmc5002i1bc8f">#REF!</definedName>
    <definedName name="mcpc1i4f">#REF!</definedName>
    <definedName name="mdp">#REF!</definedName>
    <definedName name="MDVT_ABSP">#REF!</definedName>
    <definedName name="ME">#REF!</definedName>
    <definedName name="METTL">#REF!</definedName>
    <definedName name="mf" hidden="1">{"'PROFITABILITY'!$A$1:$F$45"}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HR">#REF!</definedName>
    <definedName name="MHs_per_MM">#REF!</definedName>
    <definedName name="MinSM">#REF!</definedName>
    <definedName name="misc">#REF!</definedName>
    <definedName name="Misc_charges">#REF!</definedName>
    <definedName name="Misc_Sales">#REF!</definedName>
    <definedName name="MKP">#REF!</definedName>
    <definedName name="MM">#REF!</definedName>
    <definedName name="MM3_to_M3">0.000001</definedName>
    <definedName name="mmm">#REF!</definedName>
    <definedName name="MN">#REF!</definedName>
    <definedName name="mo">#REF!</definedName>
    <definedName name="ModelNo">#REF!</definedName>
    <definedName name="modvat">#REF!</definedName>
    <definedName name="MONEY">#REF!,#REF!</definedName>
    <definedName name="monomode">#REF!</definedName>
    <definedName name="Month">#REF!</definedName>
    <definedName name="Monthly">#REF!</definedName>
    <definedName name="months">#REF!</definedName>
    <definedName name="MP" hidden="1">{#N/A,#N/A,FALSE,"CCTV"}</definedName>
    <definedName name="MPMOB">#REF!</definedName>
    <definedName name="MPwr_Percent">#REF!</definedName>
    <definedName name="Mpwr_Sales">#REF!</definedName>
    <definedName name="MS.NO">#REF!</definedName>
    <definedName name="MS_Royalty">#REF!</definedName>
    <definedName name="MSL">#REF!</definedName>
    <definedName name="mu">#REF!</definedName>
    <definedName name="mue">#REF!</definedName>
    <definedName name="mugab">#REF!</definedName>
    <definedName name="mullootubnomtau">#REF!</definedName>
    <definedName name="mullootubnumcol">#REF!</definedName>
    <definedName name="MVP_Total">#REF!</definedName>
    <definedName name="n">#REF!</definedName>
    <definedName name="NAAC">#REF!</definedName>
    <definedName name="NAAR">#REF!</definedName>
    <definedName name="name">#REF!</definedName>
    <definedName name="nameofbags">#REF!</definedName>
    <definedName name="needle">#REF!</definedName>
    <definedName name="Neg_Margin">#REF!</definedName>
    <definedName name="NET">#REF!</definedName>
    <definedName name="New">#REF!</definedName>
    <definedName name="NEWNAME" hidden="1">{#N/A,#N/A,FALSE,"CCTV"}</definedName>
    <definedName name="ngl4tank">#REF!</definedName>
    <definedName name="NHGG">#REF!</definedName>
    <definedName name="NHP">#REF!</definedName>
    <definedName name="nikhil">#REF!</definedName>
    <definedName name="NIL">#REF!</definedName>
    <definedName name="NIPP">#REF!</definedName>
    <definedName name="nitin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N">#REF!</definedName>
    <definedName name="NNN">#REF!</definedName>
    <definedName name="NNNN" hidden="1">{"'PROFITABILITY'!$A$1:$F$45"}</definedName>
    <definedName name="no_name">#REF!</definedName>
    <definedName name="NoABolts">#REF!</definedName>
    <definedName name="NOK">#REF!</definedName>
    <definedName name="Nos">#REF!</definedName>
    <definedName name="NOZZLE_PRESS">#REF!</definedName>
    <definedName name="NPS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o">#REF!</definedName>
    <definedName name="O.">#REF!</definedName>
    <definedName name="OBJ">#REF!</definedName>
    <definedName name="OCTROI">#REF!</definedName>
    <definedName name="OCTROI_HW">#REF!</definedName>
    <definedName name="OCTROI_SW">#REF!</definedName>
    <definedName name="ODH" hidden="1">#REF!</definedName>
    <definedName name="OFFICE_LIGHTING">#REF!</definedName>
    <definedName name="oh">#REF!</definedName>
    <definedName name="oh_work_sept">#REF!</definedName>
    <definedName name="OH_workings_sept">#REF!</definedName>
    <definedName name="ohe">#REF!</definedName>
    <definedName name="ok">#REF!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rd_musd">#REF!</definedName>
    <definedName name="orderbacklog">#REF!</definedName>
    <definedName name="orderbooked98">#REF!</definedName>
    <definedName name="ORDERSTATUS">#REF!</definedName>
    <definedName name="ORDREVCOLL">#REF!</definedName>
    <definedName name="OSF">#REF!</definedName>
    <definedName name="OTH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R" hidden="1">#REF!</definedName>
    <definedName name="part">#REF!</definedName>
    <definedName name="part2">0.91</definedName>
    <definedName name="PB">#REF!</definedName>
    <definedName name="PC_ED">#REF!</definedName>
    <definedName name="PD" hidden="1">#REF!</definedName>
    <definedName name="PDP">#REF!</definedName>
    <definedName name="ped_no">#REF!</definedName>
    <definedName name="PER">#REF!</definedName>
    <definedName name="Personal">#REF!</definedName>
    <definedName name="PERSONAL_TRANSPORT">#REF!</definedName>
    <definedName name="PERSONNEL">#REF!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FRD_HW">#REF!</definedName>
    <definedName name="PKGFRD_SW">#REF!</definedName>
    <definedName name="PLC">#REF!</definedName>
    <definedName name="PLCUM">#REF!</definedName>
    <definedName name="PLMON">#REF!</definedName>
    <definedName name="PLR">#REF!</definedName>
    <definedName name="plsdata">#REF!</definedName>
    <definedName name="PLUG">#REF!</definedName>
    <definedName name="PNum">#REF!</definedName>
    <definedName name="POLU">#REF!</definedName>
    <definedName name="popop" hidden="1">#REF!</definedName>
    <definedName name="POR">#N/A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ICE">#REF!</definedName>
    <definedName name="priced_end">#REF!</definedName>
    <definedName name="_xlnm.Print_Area" localSheetId="9">'Crossing Details'!$A$1:$J$29</definedName>
    <definedName name="_xlnm.Print_Area" localSheetId="6">'Location wise status'!$A$1:$J$23</definedName>
    <definedName name="_xlnm.Print_Area" localSheetId="2">'NKTL DPR'!$A$1:$R$103</definedName>
    <definedName name="_xlnm.Print_Area" localSheetId="0">'NKTL DPR PGCIL'!$A$1:$G$33</definedName>
    <definedName name="_xlnm.Print_Area" localSheetId="8">'Soil investigation'!#REF!</definedName>
    <definedName name="_xlnm.Print_Area" localSheetId="7">'Survey Status'!$A$1:$Q$16</definedName>
    <definedName name="_xlnm.Print_Area" localSheetId="1">'Visual Chart NKTL'!$A$1:$Y$55</definedName>
    <definedName name="_xlnm.Print_Area" localSheetId="5">'Visual Chart-Old'!$B$1:$Z$273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MI">#REF!</definedName>
    <definedName name="Print_Area_MI1">#REF!</definedName>
    <definedName name="_xlnm.Print_Titles" localSheetId="1">'Visual Chart NKTL'!$1:$2</definedName>
    <definedName name="_xlnm.Print_Titles" localSheetId="5">'Visual Chart-Old'!$1:$3</definedName>
    <definedName name="_xlnm.Print_Titles">#REF!</definedName>
    <definedName name="Print_Titles_1">#REF!,#REF!</definedName>
    <definedName name="Print_Titles_2">#REF!</definedName>
    <definedName name="PRINT_TITLES_MI">#REF!</definedName>
    <definedName name="PRMIL_HW">#REF!</definedName>
    <definedName name="PRMIL_SW">#REF!</definedName>
    <definedName name="pro" hidden="1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>#REF!</definedName>
    <definedName name="PROVISIONS">#REF!</definedName>
    <definedName name="ps">#N/A</definedName>
    <definedName name="PublicDocuments">#REF!</definedName>
    <definedName name="PUMPS_DATA">#REF!</definedName>
    <definedName name="q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q">#REF!</definedName>
    <definedName name="qqq">#N/A</definedName>
    <definedName name="QQQQQQQQQQ" hidden="1">#REF!</definedName>
    <definedName name="qryEqptOrdDelyETAProfile_byConstrMgr">#REF!</definedName>
    <definedName name="qryEqptOrdPODelProfile_ByConstrMgr">#REF!</definedName>
    <definedName name="Qt">#REF!</definedName>
    <definedName name="QTY">#REF!</definedName>
    <definedName name="Quote_Rev_No">#REF!</definedName>
    <definedName name="qw" hidden="1">{"'PROFITABILITY'!$A$1:$F$45"}</definedName>
    <definedName name="qwer">#REF!</definedName>
    <definedName name="qwerty">#REF!</definedName>
    <definedName name="r_">#REF!</definedName>
    <definedName name="RAB_GI_Mranggen">#REF!</definedName>
    <definedName name="Radio" hidden="1">{"'PROFITABILITY'!$A$1:$F$45"}</definedName>
    <definedName name="raghu">#REF!</definedName>
    <definedName name="raja">#REF!</definedName>
    <definedName name="Rango_a_imprimir">#REF!</definedName>
    <definedName name="RawAgencyPrice">#REF!</definedName>
    <definedName name="RawData">#REF!</definedName>
    <definedName name="RBData">#REF!</definedName>
    <definedName name="re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C6RD">#REF!</definedName>
    <definedName name="Receivables_yearwise">#REF!</definedName>
    <definedName name="RECORD">#REF!</definedName>
    <definedName name="_xlnm.Recorder">#REF!</definedName>
    <definedName name="RECOUT">#N/A</definedName>
    <definedName name="RED">#REF!</definedName>
    <definedName name="Ref__EUS_632_FDN_001">#REF!</definedName>
    <definedName name="Ref__EUS_632_FDN_002">#REF!</definedName>
    <definedName name="region">#REF!</definedName>
    <definedName name="REN">#REF!</definedName>
    <definedName name="RENT">#REF!</definedName>
    <definedName name="REP">#REF!</definedName>
    <definedName name="Repairs">#REF!</definedName>
    <definedName name="requi">#REF!</definedName>
    <definedName name="Reselects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F" hidden="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hidden="1">{"'PROFITABILITY'!$A$1:$F$45"}</definedName>
    <definedName name="rishraetc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DS">#REF!</definedName>
    <definedName name="ROLLFCCASHFLOW">#REF!</definedName>
    <definedName name="ROLLFCWKGS">#REF!</definedName>
    <definedName name="ROLLGFC">#REF!</definedName>
    <definedName name="rorp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rr">#REF!</definedName>
    <definedName name="RRRRRRRRRRRRRRRRRRRRRR">#REF!</definedName>
    <definedName name="rtferty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s">#REF!</definedName>
    <definedName name="s_1" hidden="1">{"'PROFITABILITY'!$A$1:$F$45"}</definedName>
    <definedName name="SA">#REF!</definedName>
    <definedName name="sal">#REF!</definedName>
    <definedName name="salar">#REF!</definedName>
    <definedName name="SALARIES___WAGES">#REF!</definedName>
    <definedName name="SALEFACT">#REF!</definedName>
    <definedName name="SALESPLAN">#REF!</definedName>
    <definedName name="SandI_Mobi_Mth">#REF!</definedName>
    <definedName name="SandI_Mth">#REF!</definedName>
    <definedName name="SAP_SUMM">#REF!</definedName>
    <definedName name="sarita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H">#REF!</definedName>
    <definedName name="sch.40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IENCE">#REF!</definedName>
    <definedName name="Sd">#REF!</definedName>
    <definedName name="sdf">#REF!</definedName>
    <definedName name="sdif">#REF!</definedName>
    <definedName name="sdjghkkjhg" hidden="1">#REF!</definedName>
    <definedName name="sdsdsd">#REF!</definedName>
    <definedName name="SEAL">#REF!</definedName>
    <definedName name="SEAL1">#REF!</definedName>
    <definedName name="sek">#REF!</definedName>
    <definedName name="SEK_C">#REF!</definedName>
    <definedName name="SER_TAX">#REF!</definedName>
    <definedName name="sf">#REF!</definedName>
    <definedName name="sfcon_idr">#REF!</definedName>
    <definedName name="sfcon_usd">#REF!</definedName>
    <definedName name="sfd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EET">#N/A</definedName>
    <definedName name="SHELL___TUBE_DATA">#REF!</definedName>
    <definedName name="shpe">#REF!</definedName>
    <definedName name="SHTA">#REF!</definedName>
    <definedName name="SHV">#REF!</definedName>
    <definedName name="SINC2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lope">#REF!</definedName>
    <definedName name="smsb">#REF!</definedName>
    <definedName name="SNS">"Picture 2"</definedName>
    <definedName name="SOL">#REF!</definedName>
    <definedName name="SortAREA">#REF!</definedName>
    <definedName name="SpacerDamper" hidden="1">{"'PROFITABILITY'!$A$1:$F$45"}</definedName>
    <definedName name="SPAR">#REF!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factor">#REF!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f">#REF!</definedName>
    <definedName name="sss">#REF!</definedName>
    <definedName name="sss_1">#REF!</definedName>
    <definedName name="ssss">#REF!</definedName>
    <definedName name="sssssssss">#REF!</definedName>
    <definedName name="SSSSSSSSSSSS" hidden="1">#REF!</definedName>
    <definedName name="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TEMENT_1">#REF!</definedName>
    <definedName name="STATEMENT_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am_trap">#REF!</definedName>
    <definedName name="STEEL">#REF!</definedName>
    <definedName name="STEEL220">#REF!</definedName>
    <definedName name="Structure">#REF!</definedName>
    <definedName name="StructureType">#REF!</definedName>
    <definedName name="su">#REF!</definedName>
    <definedName name="Subcontract">#REF!</definedName>
    <definedName name="sum">#REF!</definedName>
    <definedName name="SUMMARY">#REF!</definedName>
    <definedName name="SUMMARY_OTHER_EXPS">#REF!</definedName>
    <definedName name="SummaryNew" hidden="1">#REF!</definedName>
    <definedName name="sUNDR">#REF!</definedName>
    <definedName name="supply">#REF!</definedName>
    <definedName name="supplysch">#REF!</definedName>
    <definedName name="suresh123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i">#REF!</definedName>
    <definedName name="sws">#REF!</definedName>
    <definedName name="t">#REF!</definedName>
    <definedName name="T1_">#N/A</definedName>
    <definedName name="T2_">#N/A</definedName>
    <definedName name="T3_">#N/A</definedName>
    <definedName name="T4_">#N/A</definedName>
    <definedName name="Table">#REF!</definedName>
    <definedName name="Table1">#REF!</definedName>
    <definedName name="tableau1">#REF!</definedName>
    <definedName name="Target">#REF!</definedName>
    <definedName name="Tax">#REF!</definedName>
    <definedName name="TB">#REF!</definedName>
    <definedName name="TBL">#REF!</definedName>
    <definedName name="TEC_Inquiry_No">#REF!</definedName>
    <definedName name="TEE">#REF!</definedName>
    <definedName name="tel">#REF!</definedName>
    <definedName name="temp">#REF!</definedName>
    <definedName name="temp_strainer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RangeCount" hidden="1">1</definedName>
    <definedName name="TF">#REF!</definedName>
    <definedName name="TG">#REF!</definedName>
    <definedName name="THK">#REF!</definedName>
    <definedName name="ThreeD">#REF!</definedName>
    <definedName name="ThreeTd">#REF!</definedName>
    <definedName name="ThreeTn">#REF!</definedName>
    <definedName name="TITLE">#REF!</definedName>
    <definedName name="TNEBJS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T">#REF!,#REF!,#REF!,#REF!,#REF!,#REF!,#REF!,#REF!,#REF!,#REF!,#REF!</definedName>
    <definedName name="total">#REF!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wer" hidden="1">{"'PROFITABILITY'!$A$1:$F$45"}</definedName>
    <definedName name="TowerBaseShear">#REF!</definedName>
    <definedName name="TowerBaseWeight">#REF!</definedName>
    <definedName name="TowerBottomFaceWidth">#REF!</definedName>
    <definedName name="towercosting" hidden="1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V">#REF!</definedName>
    <definedName name="TRAY_DATA">#REF!</definedName>
    <definedName name="try">#REF!</definedName>
    <definedName name="ts">#REF!</definedName>
    <definedName name="TSK">#REF!</definedName>
    <definedName name="tt">#REF!</definedName>
    <definedName name="TTA">#REF!</definedName>
    <definedName name="TTB">#REF!</definedName>
    <definedName name="TTDI">#REF!</definedName>
    <definedName name="TTMH">#REF!</definedName>
    <definedName name="TTMT">#REF!</definedName>
    <definedName name="ttt">#REF!</definedName>
    <definedName name="TTWT">#REF!</definedName>
    <definedName name="TTX">#REF!</definedName>
    <definedName name="tube_test_press1_12">#REF!</definedName>
    <definedName name="TY" hidden="1">#REF!</definedName>
    <definedName name="TYPE_OF_LINE">#REF!</definedName>
    <definedName name="u">#REF!</definedName>
    <definedName name="UI" hidden="1">#REF!</definedName>
    <definedName name="UKP">#REF!</definedName>
    <definedName name="UNION">#REF!</definedName>
    <definedName name="UNIT_PRICE_SCHEDULE">#REF!</definedName>
    <definedName name="unitdisc">#REF!</definedName>
    <definedName name="UP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proEUR">#REF!</definedName>
    <definedName name="usn">#REF!</definedName>
    <definedName name="v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._IGP_M_Dez_00">#REF!</definedName>
    <definedName name="vcp">#REF!</definedName>
    <definedName name="VertPltWt">#REF!</definedName>
    <definedName name="vo">#REF!</definedName>
    <definedName name="VPer">#REF!</definedName>
    <definedName name="vs" hidden="1">{"'PROFITABILITY'!$A$1:$F$45"}</definedName>
    <definedName name="vv">#REF!</definedName>
    <definedName name="vwo">#REF!</definedName>
    <definedName name="w">#REF!</definedName>
    <definedName name="Waiting">"Picture 1"</definedName>
    <definedName name="wcl">#REF!</definedName>
    <definedName name="WCT">#REF!</definedName>
    <definedName name="WE" hidden="1">{#N/A,#N/A,FALSE,"CCTV"}</definedName>
    <definedName name="WEIGHT_FACTORS_drums">#REF!</definedName>
    <definedName name="wer">#REF!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id">#REF!</definedName>
    <definedName name="wind_pressure">#REF!</definedName>
    <definedName name="Winform">#REF!</definedName>
    <definedName name="wkarea">#REF!</definedName>
    <definedName name="wktable">#REF!</definedName>
    <definedName name="WOL">#REF!</definedName>
    <definedName name="wordings">#REF!</definedName>
    <definedName name="WORKCAPTAL_BGT2">#REF!</definedName>
    <definedName name="WORKING_BGT2">#REF!</definedName>
    <definedName name="wqwqe">#REF!</definedName>
    <definedName name="WRITE" hidden="1">{#N/A,#N/A,FALSE,"CCTV"}</definedName>
    <definedName name="wrn.BM." hidden="1">{#N/A,#N/A,FALSE,"CCTV"}</definedName>
    <definedName name="wrn.Monthly._.Report." hidden="1">{#N/A,#N/A,TRUE,"STEEL";#N/A,#N/A,TRUE,"OUTSIDE FAB.";#N/A,#N/A,TRUE,"WIP";#N/A,#N/A,TRUE,"FINISHED GOODS";#N/A,#N/A,TRUE,"SCRAP"}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WT">#REF!</definedName>
    <definedName name="ww">#REF!</definedName>
    <definedName name="www">#REF!</definedName>
    <definedName name="wwww" hidden="1">#REF!</definedName>
    <definedName name="x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X">#REF!</definedName>
    <definedName name="xxx">#REF!</definedName>
    <definedName name="XYZ">#REF!</definedName>
    <definedName name="y" hidden="1">#REF!</definedName>
    <definedName name="y_strainer">#REF!</definedName>
    <definedName name="Yen">#REF!</definedName>
    <definedName name="YG">#REF!</definedName>
    <definedName name="yy">#REF!</definedName>
    <definedName name="yyy" hidden="1">{"'PROFITABILITY'!$A$1:$F$45"}</definedName>
    <definedName name="yyy1" hidden="1">{"'PROFITABILITY'!$A$1:$F$45"}</definedName>
    <definedName name="yyyyyyyyyyy">#REF!</definedName>
    <definedName name="z" hidden="1">{"'PROFITABILITY'!$A$1:$F$45"}</definedName>
    <definedName name="Zone_impres_MI">#REF!</definedName>
    <definedName name="Zusammenfassung">#REF!</definedName>
    <definedName name="zz">#REF!</definedName>
    <definedName name="ZZZ" hidden="1">{"'PROFITABILITY'!$A$1:$F$45"}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hidden="1">{"'장비'!$A$3:$M$12"}</definedName>
    <definedName name="토목">#REF!</definedName>
    <definedName name="토목1">#REF!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N56" i="1"/>
  <c r="N55" i="1"/>
  <c r="N54" i="1"/>
  <c r="N49" i="1"/>
  <c r="N47" i="1"/>
  <c r="L1" i="47"/>
  <c r="J18" i="47"/>
  <c r="F18" i="47"/>
  <c r="K18" i="47" s="1"/>
  <c r="J17" i="47"/>
  <c r="F17" i="47"/>
  <c r="K17" i="47" s="1"/>
  <c r="J16" i="47"/>
  <c r="F16" i="47"/>
  <c r="K16" i="47" s="1"/>
  <c r="J15" i="47"/>
  <c r="F15" i="47"/>
  <c r="K15" i="47" s="1"/>
  <c r="J14" i="47"/>
  <c r="F14" i="47"/>
  <c r="J13" i="47"/>
  <c r="F13" i="47"/>
  <c r="K13" i="47" s="1"/>
  <c r="J12" i="47"/>
  <c r="F12" i="47"/>
  <c r="K12" i="47" s="1"/>
  <c r="J11" i="47"/>
  <c r="K11" i="47" s="1"/>
  <c r="F11" i="47"/>
  <c r="J10" i="47"/>
  <c r="F10" i="47"/>
  <c r="J9" i="47"/>
  <c r="F9" i="47"/>
  <c r="K9" i="47" s="1"/>
  <c r="I8" i="47"/>
  <c r="J8" i="47" s="1"/>
  <c r="F8" i="47"/>
  <c r="K8" i="47" s="1"/>
  <c r="J7" i="47"/>
  <c r="F7" i="47"/>
  <c r="J6" i="47"/>
  <c r="F6" i="47"/>
  <c r="K6" i="47" s="1"/>
  <c r="J5" i="47"/>
  <c r="F5" i="47"/>
  <c r="K5" i="47" s="1"/>
  <c r="J4" i="47"/>
  <c r="E4" i="47"/>
  <c r="F4" i="47" s="1"/>
  <c r="H3" i="47"/>
  <c r="J3" i="47" s="1"/>
  <c r="F3" i="47"/>
  <c r="J6" i="1"/>
  <c r="J5" i="1"/>
  <c r="J4" i="1"/>
  <c r="G43" i="1"/>
  <c r="K10" i="47" l="1"/>
  <c r="K7" i="47"/>
  <c r="K14" i="47"/>
  <c r="D5" i="44"/>
  <c r="A11" i="44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O14" i="1"/>
  <c r="U5" i="40" s="1"/>
  <c r="V7" i="40"/>
  <c r="F11" i="11"/>
  <c r="B11" i="11"/>
  <c r="E21" i="43" l="1"/>
  <c r="G3" i="43"/>
  <c r="V13" i="40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D141" i="1"/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E13" i="1"/>
  <c r="G13" i="1" s="1"/>
  <c r="E12" i="1"/>
  <c r="G12" i="1" s="1"/>
  <c r="E11" i="1"/>
  <c r="G11" i="1" s="1"/>
  <c r="V9" i="40"/>
  <c r="V11" i="40"/>
  <c r="Q1" i="7"/>
  <c r="U28" i="40"/>
  <c r="S28" i="40"/>
  <c r="A39" i="1" l="1"/>
  <c r="A40" i="1" s="1"/>
  <c r="A41" i="1" s="1"/>
  <c r="A42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7" i="1"/>
  <c r="F21" i="43" l="1"/>
  <c r="F12" i="43"/>
  <c r="B9" i="43"/>
  <c r="C9" i="43" s="1"/>
  <c r="E12" i="43"/>
  <c r="B15" i="43" l="1"/>
  <c r="B18" i="43" s="1"/>
  <c r="B30" i="43" s="1"/>
  <c r="K4" i="41"/>
  <c r="K5" i="41"/>
  <c r="K6" i="41"/>
  <c r="K7" i="41"/>
  <c r="K8" i="41"/>
  <c r="K3" i="41"/>
  <c r="G4" i="41"/>
  <c r="H4" i="41" s="1"/>
  <c r="G5" i="41"/>
  <c r="H5" i="41" s="1"/>
  <c r="G6" i="41"/>
  <c r="H6" i="41" s="1"/>
  <c r="G7" i="41"/>
  <c r="H7" i="41" s="1"/>
  <c r="G8" i="41"/>
  <c r="H8" i="41"/>
  <c r="G3" i="41"/>
  <c r="H3" i="41" s="1"/>
  <c r="B33" i="43" l="1"/>
  <c r="F33" i="43" s="1"/>
  <c r="F30" i="43"/>
  <c r="X2" i="40"/>
  <c r="G29" i="1"/>
  <c r="H8" i="39" l="1"/>
  <c r="H9" i="39"/>
  <c r="J5" i="7"/>
  <c r="D5" i="7"/>
  <c r="D4" i="7" s="1"/>
  <c r="C4" i="7"/>
  <c r="W8" i="7" l="1"/>
  <c r="H17" i="1"/>
  <c r="H16" i="1"/>
  <c r="H15" i="1"/>
  <c r="H14" i="1"/>
  <c r="D19" i="1"/>
  <c r="O19" i="1" l="1"/>
  <c r="V10" i="19" l="1"/>
  <c r="W10" i="19" s="1"/>
  <c r="G18" i="1"/>
  <c r="O18" i="1" s="1"/>
  <c r="P18" i="1" s="1"/>
  <c r="X10" i="19"/>
  <c r="S198" i="19"/>
  <c r="Q198" i="19"/>
  <c r="E236" i="19"/>
  <c r="O216" i="19"/>
  <c r="O156" i="19"/>
  <c r="M156" i="19"/>
  <c r="K156" i="19"/>
  <c r="U136" i="19"/>
  <c r="S136" i="19"/>
  <c r="M19" i="19"/>
  <c r="K19" i="19"/>
  <c r="K42" i="19"/>
  <c r="M42" i="19"/>
  <c r="H20" i="1"/>
  <c r="H22" i="1"/>
  <c r="H21" i="1"/>
  <c r="V5" i="40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97" i="19"/>
  <c r="A98" i="19"/>
  <c r="A99" i="19"/>
  <c r="A100" i="19"/>
  <c r="A101" i="19"/>
  <c r="A102" i="19"/>
  <c r="A103" i="19"/>
  <c r="A104" i="19"/>
  <c r="A105" i="19"/>
  <c r="A78" i="19"/>
  <c r="A79" i="19"/>
  <c r="A80" i="19"/>
  <c r="A81" i="19"/>
  <c r="A82" i="19"/>
  <c r="A83" i="19"/>
  <c r="A84" i="19"/>
  <c r="A85" i="19"/>
  <c r="A86" i="19"/>
  <c r="A59" i="19"/>
  <c r="A60" i="19"/>
  <c r="A61" i="19"/>
  <c r="A62" i="19"/>
  <c r="A63" i="19"/>
  <c r="A64" i="19"/>
  <c r="A65" i="19"/>
  <c r="A66" i="19"/>
  <c r="A67" i="19"/>
  <c r="A39" i="19"/>
  <c r="A40" i="19"/>
  <c r="A41" i="19"/>
  <c r="A42" i="19"/>
  <c r="A43" i="19"/>
  <c r="A44" i="19"/>
  <c r="A45" i="19"/>
  <c r="A46" i="19"/>
  <c r="A47" i="19"/>
  <c r="A48" i="19"/>
  <c r="A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J285" i="19"/>
  <c r="J284" i="19"/>
  <c r="J283" i="19"/>
  <c r="J282" i="19"/>
  <c r="J281" i="19"/>
  <c r="J280" i="19"/>
  <c r="J279" i="19"/>
  <c r="J287" i="19"/>
  <c r="O22" i="1"/>
  <c r="O21" i="1"/>
  <c r="O20" i="1"/>
  <c r="E22" i="19"/>
  <c r="G22" i="19"/>
  <c r="I22" i="19"/>
  <c r="Y3" i="19"/>
  <c r="K22" i="19"/>
  <c r="M22" i="19"/>
  <c r="O22" i="19"/>
  <c r="Q22" i="19"/>
  <c r="S22" i="19"/>
  <c r="U22" i="19"/>
  <c r="W22" i="19"/>
  <c r="W224" i="19"/>
  <c r="C246" i="19"/>
  <c r="I246" i="19"/>
  <c r="K246" i="19"/>
  <c r="M246" i="19"/>
  <c r="O246" i="19"/>
  <c r="P22" i="1"/>
  <c r="G19" i="19"/>
  <c r="I19" i="19"/>
  <c r="O19" i="19"/>
  <c r="Q19" i="19"/>
  <c r="Y22" i="19"/>
  <c r="C42" i="19"/>
  <c r="S19" i="19"/>
  <c r="U19" i="19"/>
  <c r="W19" i="19"/>
  <c r="Y19" i="19"/>
  <c r="C39" i="19"/>
  <c r="E39" i="19"/>
  <c r="G39" i="19"/>
  <c r="I39" i="19"/>
  <c r="M39" i="19"/>
  <c r="O39" i="19"/>
  <c r="E42" i="19"/>
  <c r="G42" i="19"/>
  <c r="I42" i="19"/>
  <c r="O42" i="19"/>
  <c r="Q42" i="19"/>
  <c r="S42" i="19"/>
  <c r="Q39" i="19"/>
  <c r="S39" i="19"/>
  <c r="U42" i="19"/>
  <c r="U39" i="19"/>
  <c r="W39" i="19"/>
  <c r="Y39" i="19"/>
  <c r="C59" i="19"/>
  <c r="E59" i="19"/>
  <c r="W42" i="19"/>
  <c r="Y42" i="19"/>
  <c r="C62" i="19"/>
  <c r="E62" i="19"/>
  <c r="G62" i="19"/>
  <c r="I62" i="19"/>
  <c r="K62" i="19"/>
  <c r="G59" i="19"/>
  <c r="M62" i="19"/>
  <c r="O62" i="19"/>
  <c r="Q62" i="19"/>
  <c r="S62" i="19"/>
  <c r="U62" i="19"/>
  <c r="W62" i="19"/>
  <c r="Y62" i="19"/>
  <c r="C81" i="19"/>
  <c r="E81" i="19"/>
  <c r="G81" i="19"/>
  <c r="I81" i="19"/>
  <c r="I59" i="19"/>
  <c r="K59" i="19"/>
  <c r="K81" i="19"/>
  <c r="Q59" i="19"/>
  <c r="S59" i="19"/>
  <c r="U59" i="19"/>
  <c r="W59" i="19"/>
  <c r="Y59" i="19"/>
  <c r="C78" i="19"/>
  <c r="E78" i="19"/>
  <c r="G78" i="19"/>
  <c r="I78" i="19"/>
  <c r="K78" i="19"/>
  <c r="M59" i="19"/>
  <c r="O59" i="19"/>
  <c r="M81" i="19"/>
  <c r="O81" i="19"/>
  <c r="Q81" i="19"/>
  <c r="S81" i="19"/>
  <c r="U81" i="19"/>
  <c r="W81" i="19"/>
  <c r="Y81" i="19"/>
  <c r="C100" i="19"/>
  <c r="M78" i="19"/>
  <c r="O78" i="19"/>
  <c r="S78" i="19"/>
  <c r="U78" i="19"/>
  <c r="W78" i="19"/>
  <c r="Y78" i="19"/>
  <c r="C97" i="19"/>
  <c r="E97" i="19"/>
  <c r="G97" i="19"/>
  <c r="I97" i="19"/>
  <c r="K97" i="19"/>
  <c r="M97" i="19"/>
  <c r="O97" i="19"/>
  <c r="Q97" i="19"/>
  <c r="S97" i="19"/>
  <c r="E100" i="19"/>
  <c r="G100" i="19"/>
  <c r="I100" i="19"/>
  <c r="W97" i="19"/>
  <c r="Y97" i="19"/>
  <c r="C117" i="19"/>
  <c r="K100" i="19"/>
  <c r="M100" i="19"/>
  <c r="O100" i="19"/>
  <c r="Q100" i="19"/>
  <c r="S100" i="19"/>
  <c r="U100" i="19"/>
  <c r="E117" i="19"/>
  <c r="W100" i="19"/>
  <c r="Y100" i="19"/>
  <c r="C120" i="19"/>
  <c r="E120" i="19"/>
  <c r="G120" i="19"/>
  <c r="I120" i="19"/>
  <c r="K120" i="19"/>
  <c r="M120" i="19"/>
  <c r="K117" i="19"/>
  <c r="M117" i="19"/>
  <c r="O117" i="19"/>
  <c r="Q117" i="19"/>
  <c r="S117" i="19"/>
  <c r="U117" i="19"/>
  <c r="W117" i="19"/>
  <c r="Y117" i="19"/>
  <c r="C136" i="19"/>
  <c r="E136" i="19"/>
  <c r="G136" i="19"/>
  <c r="I136" i="19"/>
  <c r="K136" i="19"/>
  <c r="M136" i="19"/>
  <c r="O136" i="19"/>
  <c r="Q136" i="19"/>
  <c r="W136" i="19"/>
  <c r="G117" i="19"/>
  <c r="I117" i="19"/>
  <c r="O120" i="19"/>
  <c r="Q120" i="19"/>
  <c r="S120" i="19"/>
  <c r="U120" i="19"/>
  <c r="W120" i="19"/>
  <c r="Y120" i="19"/>
  <c r="C139" i="19"/>
  <c r="E139" i="19"/>
  <c r="G139" i="19"/>
  <c r="I139" i="19"/>
  <c r="K139" i="19"/>
  <c r="M139" i="19"/>
  <c r="O139" i="19"/>
  <c r="Q139" i="19"/>
  <c r="S139" i="19"/>
  <c r="U139" i="19"/>
  <c r="W139" i="19"/>
  <c r="Y139" i="19"/>
  <c r="C159" i="19"/>
  <c r="E159" i="19"/>
  <c r="G159" i="19"/>
  <c r="I159" i="19"/>
  <c r="K159" i="19"/>
  <c r="M159" i="19"/>
  <c r="O159" i="19"/>
  <c r="Q159" i="19"/>
  <c r="Y136" i="19"/>
  <c r="I156" i="19"/>
  <c r="S159" i="19"/>
  <c r="W159" i="19"/>
  <c r="Y159" i="19"/>
  <c r="E179" i="19"/>
  <c r="G179" i="19"/>
  <c r="I179" i="19"/>
  <c r="K179" i="19"/>
  <c r="M179" i="19"/>
  <c r="O179" i="19"/>
  <c r="Q179" i="19"/>
  <c r="S179" i="19"/>
  <c r="U179" i="19"/>
  <c r="W179" i="19"/>
  <c r="Y179" i="19"/>
  <c r="C198" i="19"/>
  <c r="E198" i="19"/>
  <c r="Q156" i="19"/>
  <c r="S156" i="19"/>
  <c r="W156" i="19"/>
  <c r="G198" i="19"/>
  <c r="I198" i="19"/>
  <c r="M198" i="19"/>
  <c r="U198" i="19"/>
  <c r="W198" i="19"/>
  <c r="Y198" i="19"/>
  <c r="C219" i="19"/>
  <c r="Y156" i="19"/>
  <c r="E176" i="19"/>
  <c r="G176" i="19"/>
  <c r="I176" i="19"/>
  <c r="K176" i="19"/>
  <c r="M176" i="19"/>
  <c r="O176" i="19"/>
  <c r="Q176" i="19"/>
  <c r="S176" i="19"/>
  <c r="U176" i="19"/>
  <c r="W176" i="19"/>
  <c r="Y176" i="19"/>
  <c r="C195" i="19"/>
  <c r="E195" i="19"/>
  <c r="G195" i="19"/>
  <c r="I195" i="19"/>
  <c r="S195" i="19"/>
  <c r="U195" i="19"/>
  <c r="W195" i="19"/>
  <c r="Y195" i="19"/>
  <c r="E219" i="19"/>
  <c r="G219" i="19"/>
  <c r="I219" i="19"/>
  <c r="K219" i="19"/>
  <c r="M219" i="19"/>
  <c r="O219" i="19"/>
  <c r="Q219" i="19"/>
  <c r="S219" i="19"/>
  <c r="Y219" i="19"/>
  <c r="E239" i="19"/>
  <c r="G239" i="19"/>
  <c r="Q239" i="19"/>
  <c r="S239" i="19"/>
  <c r="W239" i="19"/>
  <c r="Y239" i="19"/>
  <c r="C261" i="19"/>
  <c r="E261" i="19"/>
  <c r="G261" i="19"/>
  <c r="I261" i="19"/>
  <c r="K261" i="19"/>
  <c r="M261" i="19"/>
  <c r="O261" i="19"/>
  <c r="Q261" i="19"/>
  <c r="Z274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M274" i="19"/>
  <c r="L274" i="19"/>
  <c r="K274" i="19"/>
  <c r="J274" i="19"/>
  <c r="I274" i="19"/>
  <c r="H274" i="19"/>
  <c r="G274" i="19"/>
  <c r="F274" i="19"/>
  <c r="E274" i="19"/>
  <c r="D274" i="19"/>
  <c r="Z273" i="19"/>
  <c r="Y273" i="19"/>
  <c r="X273" i="19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J272" i="19"/>
  <c r="I272" i="19"/>
  <c r="H272" i="19"/>
  <c r="G272" i="19"/>
  <c r="F272" i="19"/>
  <c r="E272" i="19"/>
  <c r="D272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C272" i="19"/>
  <c r="C273" i="19"/>
  <c r="C274" i="19"/>
  <c r="C271" i="19"/>
  <c r="Z255" i="19"/>
  <c r="Y255" i="19"/>
  <c r="X255" i="19"/>
  <c r="W255" i="19"/>
  <c r="V255" i="19"/>
  <c r="U255" i="19"/>
  <c r="T255" i="19"/>
  <c r="S255" i="19"/>
  <c r="R255" i="19"/>
  <c r="Q255" i="19"/>
  <c r="P255" i="19"/>
  <c r="O255" i="19"/>
  <c r="N255" i="19"/>
  <c r="M255" i="19"/>
  <c r="L255" i="19"/>
  <c r="K255" i="19"/>
  <c r="J255" i="19"/>
  <c r="I255" i="19"/>
  <c r="H255" i="19"/>
  <c r="G255" i="19"/>
  <c r="F255" i="19"/>
  <c r="E255" i="19"/>
  <c r="D255" i="19"/>
  <c r="Z254" i="19"/>
  <c r="Y254" i="19"/>
  <c r="X254" i="19"/>
  <c r="W254" i="19"/>
  <c r="V254" i="19"/>
  <c r="U254" i="19"/>
  <c r="T254" i="19"/>
  <c r="S254" i="19"/>
  <c r="R254" i="19"/>
  <c r="Q254" i="19"/>
  <c r="P254" i="19"/>
  <c r="O254" i="19"/>
  <c r="N254" i="19"/>
  <c r="M254" i="19"/>
  <c r="L254" i="19"/>
  <c r="K254" i="19"/>
  <c r="J254" i="19"/>
  <c r="I254" i="19"/>
  <c r="H254" i="19"/>
  <c r="G254" i="19"/>
  <c r="F254" i="19"/>
  <c r="E254" i="19"/>
  <c r="D254" i="19"/>
  <c r="Z253" i="19"/>
  <c r="Y253" i="19"/>
  <c r="X253" i="19"/>
  <c r="W253" i="19"/>
  <c r="V253" i="19"/>
  <c r="U253" i="19"/>
  <c r="T253" i="19"/>
  <c r="S253" i="19"/>
  <c r="R253" i="19"/>
  <c r="Q253" i="19"/>
  <c r="P253" i="19"/>
  <c r="O253" i="19"/>
  <c r="N253" i="19"/>
  <c r="M253" i="19"/>
  <c r="L253" i="19"/>
  <c r="K253" i="19"/>
  <c r="J253" i="19"/>
  <c r="I253" i="19"/>
  <c r="H253" i="19"/>
  <c r="G253" i="19"/>
  <c r="F253" i="19"/>
  <c r="E253" i="19"/>
  <c r="D253" i="19"/>
  <c r="Z252" i="19"/>
  <c r="Y252" i="19"/>
  <c r="X252" i="19"/>
  <c r="W252" i="19"/>
  <c r="V252" i="19"/>
  <c r="U252" i="19"/>
  <c r="T252" i="19"/>
  <c r="S252" i="19"/>
  <c r="R252" i="19"/>
  <c r="Q252" i="19"/>
  <c r="P252" i="19"/>
  <c r="O252" i="19"/>
  <c r="N252" i="19"/>
  <c r="M252" i="19"/>
  <c r="L252" i="19"/>
  <c r="K252" i="19"/>
  <c r="J252" i="19"/>
  <c r="I252" i="19"/>
  <c r="H252" i="19"/>
  <c r="G252" i="19"/>
  <c r="F252" i="19"/>
  <c r="E252" i="19"/>
  <c r="D252" i="19"/>
  <c r="C253" i="19"/>
  <c r="C254" i="19"/>
  <c r="C255" i="19"/>
  <c r="C252" i="19"/>
  <c r="Z233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Z232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Z231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Z230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1" i="19"/>
  <c r="C232" i="19"/>
  <c r="C233" i="19"/>
  <c r="C230" i="19"/>
  <c r="Z173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Z172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Z171" i="19"/>
  <c r="Y171" i="19"/>
  <c r="X171" i="19"/>
  <c r="W171" i="19"/>
  <c r="V171" i="19"/>
  <c r="U171" i="19"/>
  <c r="T171" i="19"/>
  <c r="S171" i="19"/>
  <c r="R171" i="19"/>
  <c r="Q171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D171" i="19"/>
  <c r="Z170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1" i="19"/>
  <c r="C172" i="19"/>
  <c r="C173" i="19"/>
  <c r="C170" i="19"/>
  <c r="Z153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Z150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1" i="19"/>
  <c r="C152" i="19"/>
  <c r="C153" i="19"/>
  <c r="C150" i="19"/>
  <c r="Z213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Z212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Z211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Z210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Z192" i="19"/>
  <c r="Y192" i="19"/>
  <c r="X192" i="19"/>
  <c r="W192" i="19"/>
  <c r="V192" i="19"/>
  <c r="U192" i="19"/>
  <c r="T192" i="19"/>
  <c r="S192" i="19"/>
  <c r="R192" i="19"/>
  <c r="Q192" i="19"/>
  <c r="P192" i="19"/>
  <c r="O192" i="19"/>
  <c r="N192" i="19"/>
  <c r="M192" i="19"/>
  <c r="L192" i="19"/>
  <c r="K192" i="19"/>
  <c r="J192" i="19"/>
  <c r="I192" i="19"/>
  <c r="H192" i="19"/>
  <c r="G192" i="19"/>
  <c r="F192" i="19"/>
  <c r="E192" i="19"/>
  <c r="D192" i="19"/>
  <c r="C192" i="19"/>
  <c r="Z191" i="19"/>
  <c r="Y191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C191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AF67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4" i="19"/>
  <c r="C55" i="19"/>
  <c r="C56" i="19"/>
  <c r="C53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Z34" i="19"/>
  <c r="Y34" i="19"/>
  <c r="X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4" i="19"/>
  <c r="C35" i="19"/>
  <c r="C36" i="19"/>
  <c r="C33" i="19"/>
  <c r="N15" i="7"/>
  <c r="K15" i="7"/>
  <c r="J15" i="7"/>
  <c r="G15" i="7"/>
  <c r="D15" i="7"/>
  <c r="C15" i="7"/>
  <c r="N4" i="7"/>
  <c r="J4" i="7"/>
  <c r="G4" i="7"/>
  <c r="O17" i="1"/>
  <c r="O16" i="1"/>
  <c r="P16" i="1" s="1"/>
  <c r="O15" i="1"/>
  <c r="P15" i="1" s="1"/>
  <c r="I6" i="1"/>
  <c r="I5" i="1"/>
  <c r="I4" i="1"/>
  <c r="E19" i="1"/>
  <c r="O13" i="1"/>
  <c r="P13" i="1" s="1"/>
  <c r="G236" i="19"/>
  <c r="Q236" i="19"/>
  <c r="S236" i="19"/>
  <c r="G258" i="19"/>
  <c r="I258" i="19"/>
  <c r="K258" i="19"/>
  <c r="M258" i="19"/>
  <c r="Q258" i="19"/>
  <c r="P19" i="1" l="1"/>
  <c r="H19" i="1"/>
  <c r="V8" i="19"/>
  <c r="W8" i="19" s="1"/>
  <c r="Y8" i="19" s="1"/>
  <c r="P17" i="1"/>
  <c r="V6" i="19"/>
  <c r="W6" i="19" s="1"/>
  <c r="Y6" i="19" s="1"/>
  <c r="P14" i="1"/>
  <c r="H18" i="1"/>
  <c r="O12" i="1"/>
  <c r="P12" i="1" s="1"/>
  <c r="I7" i="1"/>
  <c r="J7" i="1"/>
  <c r="O11" i="1"/>
  <c r="P11" i="1" l="1"/>
  <c r="C15" i="43" l="1"/>
  <c r="C18" i="43" s="1"/>
  <c r="E18" i="43" s="1"/>
  <c r="E9" i="43"/>
  <c r="E15" i="43" s="1"/>
  <c r="F9" i="43"/>
  <c r="F15" i="43" s="1"/>
  <c r="F18" i="43" s="1"/>
  <c r="A6" i="39" l="1"/>
  <c r="A7" i="39"/>
  <c r="A8" i="39"/>
  <c r="A9" i="39"/>
  <c r="A10" i="39"/>
  <c r="A11" i="39"/>
  <c r="A12" i="39"/>
  <c r="A13" i="39"/>
  <c r="A14" i="39"/>
  <c r="A16" i="39"/>
  <c r="A17" i="39"/>
  <c r="A18" i="39"/>
  <c r="A19" i="39"/>
  <c r="A20" i="39"/>
</calcChain>
</file>

<file path=xl/sharedStrings.xml><?xml version="1.0" encoding="utf-8"?>
<sst xmlns="http://schemas.openxmlformats.org/spreadsheetml/2006/main" count="2212" uniqueCount="690">
  <si>
    <t>TA 310</t>
  </si>
  <si>
    <t>Date:-</t>
  </si>
  <si>
    <t>LOA Start Date</t>
  </si>
  <si>
    <t>Project Name</t>
  </si>
  <si>
    <t>Client Name</t>
  </si>
  <si>
    <t>Power Grid Corporation of India Limited (PGCIL)</t>
  </si>
  <si>
    <t>LOA Value</t>
  </si>
  <si>
    <t>LOA End Date</t>
  </si>
  <si>
    <t>LOAValue / LE Value</t>
  </si>
  <si>
    <t>Ex-Work Price component</t>
  </si>
  <si>
    <t>Local Transportation, In-transit insurance, loading-unloading Charges etc. (CR)</t>
  </si>
  <si>
    <t>Time Extn</t>
  </si>
  <si>
    <t>Regional Manager</t>
  </si>
  <si>
    <t>Installation Charges (CR)</t>
  </si>
  <si>
    <t>Total Contract Value ( CR)</t>
  </si>
  <si>
    <t>Planning Engineer</t>
  </si>
  <si>
    <t>Dillip Kumar Jena</t>
  </si>
  <si>
    <t>Project Manager</t>
  </si>
  <si>
    <t>Activity</t>
  </si>
  <si>
    <t>Unit</t>
  </si>
  <si>
    <t>LOA Qty.</t>
  </si>
  <si>
    <t>Final Estimated Quantity</t>
  </si>
  <si>
    <t>Balance</t>
  </si>
  <si>
    <t>Today's Progress</t>
  </si>
  <si>
    <t>WIP</t>
  </si>
  <si>
    <t>Gangs at Present</t>
  </si>
  <si>
    <t>Cumulative Progress till date</t>
  </si>
  <si>
    <t>Balance Work</t>
  </si>
  <si>
    <t>Remarks</t>
  </si>
  <si>
    <t>Survey</t>
  </si>
  <si>
    <t>Route Alignment</t>
  </si>
  <si>
    <t>KM</t>
  </si>
  <si>
    <t>Detailed Survey</t>
  </si>
  <si>
    <t>Check Survey</t>
  </si>
  <si>
    <t>Foundation</t>
  </si>
  <si>
    <t>Nos</t>
  </si>
  <si>
    <t>Tower Erection</t>
  </si>
  <si>
    <t>Tack welding</t>
  </si>
  <si>
    <t>Stringing</t>
  </si>
  <si>
    <t>Paying Out</t>
  </si>
  <si>
    <t>Final Sag</t>
  </si>
  <si>
    <t>OPGW </t>
  </si>
  <si>
    <t>Remark</t>
  </si>
  <si>
    <t>SL No.</t>
  </si>
  <si>
    <t>Loc. No.</t>
  </si>
  <si>
    <t>Start Date</t>
  </si>
  <si>
    <t>Status</t>
  </si>
  <si>
    <t>End Date</t>
  </si>
  <si>
    <t>Gang Name</t>
  </si>
  <si>
    <t>Gang No</t>
  </si>
  <si>
    <t>20/4</t>
  </si>
  <si>
    <t>QA+0</t>
  </si>
  <si>
    <t>WET</t>
  </si>
  <si>
    <t>20/5</t>
  </si>
  <si>
    <t>QA+9</t>
  </si>
  <si>
    <t>20/6</t>
  </si>
  <si>
    <t>27/2</t>
  </si>
  <si>
    <t>27/3</t>
  </si>
  <si>
    <t>20/1</t>
  </si>
  <si>
    <t>QA+6</t>
  </si>
  <si>
    <t>20/2</t>
  </si>
  <si>
    <t>43/1</t>
  </si>
  <si>
    <t>43/2</t>
  </si>
  <si>
    <t>DRY</t>
  </si>
  <si>
    <t>58/1</t>
  </si>
  <si>
    <t>QA+3</t>
  </si>
  <si>
    <t>20/0</t>
  </si>
  <si>
    <t>QD45+6</t>
  </si>
  <si>
    <t>71/0</t>
  </si>
  <si>
    <t>QC1+0</t>
  </si>
  <si>
    <t>DFR</t>
  </si>
  <si>
    <t>70B/0</t>
  </si>
  <si>
    <t>QD45+3</t>
  </si>
  <si>
    <t>74B/1</t>
  </si>
  <si>
    <t>QC1+3</t>
  </si>
  <si>
    <t>WFR</t>
  </si>
  <si>
    <t>41/1</t>
  </si>
  <si>
    <t>41/2</t>
  </si>
  <si>
    <t>41/3</t>
  </si>
  <si>
    <t>41/5</t>
  </si>
  <si>
    <t>42/2</t>
  </si>
  <si>
    <t>42/3</t>
  </si>
  <si>
    <t>70/1</t>
  </si>
  <si>
    <t>70/2</t>
  </si>
  <si>
    <t>70/3</t>
  </si>
  <si>
    <t>75/1</t>
  </si>
  <si>
    <t>20/3</t>
  </si>
  <si>
    <t>20/7</t>
  </si>
  <si>
    <t>22/2</t>
  </si>
  <si>
    <t>69/1</t>
  </si>
  <si>
    <t>69/2</t>
  </si>
  <si>
    <t>74A/0</t>
  </si>
  <si>
    <t>QD60+3</t>
  </si>
  <si>
    <t>WFR(3M RC)</t>
  </si>
  <si>
    <t>Erection</t>
  </si>
  <si>
    <t>Tower Wights (MT)</t>
  </si>
  <si>
    <t>QA</t>
  </si>
  <si>
    <t>ROW</t>
  </si>
  <si>
    <t>VISUAL CHART</t>
  </si>
  <si>
    <t>Name of Line :- TW02: 400KV M/C Navsari-Magarwada Transmission Line.</t>
  </si>
  <si>
    <t>Agency: M/S KEC International Limited</t>
  </si>
  <si>
    <t>LEGENDS</t>
  </si>
  <si>
    <t>ABSTRACT</t>
  </si>
  <si>
    <t>Sl.No</t>
  </si>
  <si>
    <t>Type of Work</t>
  </si>
  <si>
    <t>Scope</t>
  </si>
  <si>
    <t>L2 Till Date</t>
  </si>
  <si>
    <t>Completion</t>
  </si>
  <si>
    <t>Erection  Progress</t>
  </si>
  <si>
    <t>01</t>
  </si>
  <si>
    <t>Nos.</t>
  </si>
  <si>
    <t>Foundation Progress</t>
  </si>
  <si>
    <t>National Highway Crossing</t>
  </si>
  <si>
    <t>Excavation Progress</t>
  </si>
  <si>
    <t>02</t>
  </si>
  <si>
    <t>Stringing  Progress</t>
  </si>
  <si>
    <t>03</t>
  </si>
  <si>
    <t>Km.</t>
  </si>
  <si>
    <t>Earthing</t>
  </si>
  <si>
    <t>Stringing  Complete</t>
  </si>
  <si>
    <t>220 KV Line X-Ing</t>
  </si>
  <si>
    <t>Railway Crossing.</t>
  </si>
  <si>
    <t>Erection  Completed</t>
  </si>
  <si>
    <t>Foundation Completed</t>
  </si>
  <si>
    <t>132 KV Line X-Ing</t>
  </si>
  <si>
    <t>Excavation Completed</t>
  </si>
  <si>
    <t>:::::::::::</t>
  </si>
  <si>
    <t>Gas Pipe Line</t>
  </si>
  <si>
    <t xml:space="preserve"> 66 KV Line X-Ing</t>
  </si>
  <si>
    <t>Span Length</t>
  </si>
  <si>
    <t>No of Tower</t>
  </si>
  <si>
    <t>19/0</t>
  </si>
  <si>
    <t>21/0</t>
  </si>
  <si>
    <t>22/0</t>
  </si>
  <si>
    <t>22/1</t>
  </si>
  <si>
    <t>QCT+0</t>
  </si>
  <si>
    <t>QD60+9</t>
  </si>
  <si>
    <t>RC-3M</t>
  </si>
  <si>
    <t>SH</t>
  </si>
  <si>
    <t>Railway</t>
  </si>
  <si>
    <t>TP-01</t>
  </si>
  <si>
    <t>NAVSARI SECTION</t>
  </si>
  <si>
    <t>VALSAD SECTION</t>
  </si>
  <si>
    <t>23/0</t>
  </si>
  <si>
    <t>24/0</t>
  </si>
  <si>
    <t>25/0</t>
  </si>
  <si>
    <t>26/0</t>
  </si>
  <si>
    <t>27/0</t>
  </si>
  <si>
    <t>27/1</t>
  </si>
  <si>
    <t>27/4</t>
  </si>
  <si>
    <t>27/5</t>
  </si>
  <si>
    <t>28/0</t>
  </si>
  <si>
    <t>QD60+18</t>
  </si>
  <si>
    <t>QC1+9</t>
  </si>
  <si>
    <t>QC2+9</t>
  </si>
  <si>
    <t>QB2+6</t>
  </si>
  <si>
    <t>NH</t>
  </si>
  <si>
    <t>132KV</t>
  </si>
  <si>
    <t>2 NOS 66KV</t>
  </si>
  <si>
    <t>29/0</t>
  </si>
  <si>
    <t>30/0</t>
  </si>
  <si>
    <t>30/1</t>
  </si>
  <si>
    <t>30/2</t>
  </si>
  <si>
    <t>30A/0</t>
  </si>
  <si>
    <t>30B/0</t>
  </si>
  <si>
    <t>30C/0</t>
  </si>
  <si>
    <t>30C/1</t>
  </si>
  <si>
    <t>30C/2</t>
  </si>
  <si>
    <t>30C/3</t>
  </si>
  <si>
    <t>30C/4</t>
  </si>
  <si>
    <t>30C/5</t>
  </si>
  <si>
    <t>QD60+25</t>
  </si>
  <si>
    <t>QB1+6</t>
  </si>
  <si>
    <t>QB1+0</t>
  </si>
  <si>
    <t>QC2+18</t>
  </si>
  <si>
    <t>QD45+25</t>
  </si>
  <si>
    <t>Bullet Train</t>
  </si>
  <si>
    <t>66KV</t>
  </si>
  <si>
    <t>30C/6</t>
  </si>
  <si>
    <t>30C/7</t>
  </si>
  <si>
    <t>30C/8</t>
  </si>
  <si>
    <t>31/0</t>
  </si>
  <si>
    <t>32/0</t>
  </si>
  <si>
    <t>33/0</t>
  </si>
  <si>
    <t>33/1</t>
  </si>
  <si>
    <t>34/0</t>
  </si>
  <si>
    <t>34/1</t>
  </si>
  <si>
    <t>34/2</t>
  </si>
  <si>
    <t>35/0</t>
  </si>
  <si>
    <t>35/1</t>
  </si>
  <si>
    <t>QD60+6</t>
  </si>
  <si>
    <t>QC2+0</t>
  </si>
  <si>
    <t>220KV</t>
  </si>
  <si>
    <t>Express way</t>
  </si>
  <si>
    <t>36/0</t>
  </si>
  <si>
    <t>36/1</t>
  </si>
  <si>
    <t>36/2</t>
  </si>
  <si>
    <t>36/3</t>
  </si>
  <si>
    <t>37/0</t>
  </si>
  <si>
    <t>37/1</t>
  </si>
  <si>
    <t>37/2</t>
  </si>
  <si>
    <t>37/3</t>
  </si>
  <si>
    <t>37/4</t>
  </si>
  <si>
    <t>37/5</t>
  </si>
  <si>
    <t>38/0</t>
  </si>
  <si>
    <t>38/1</t>
  </si>
  <si>
    <t>QD45+0</t>
  </si>
  <si>
    <t>QB2+0</t>
  </si>
  <si>
    <t>38/2</t>
  </si>
  <si>
    <t>38/3</t>
  </si>
  <si>
    <t>38/4</t>
  </si>
  <si>
    <t>38/5</t>
  </si>
  <si>
    <t>39/0</t>
  </si>
  <si>
    <t>39/1</t>
  </si>
  <si>
    <t>39/2</t>
  </si>
  <si>
    <t>40/0</t>
  </si>
  <si>
    <t>40/1</t>
  </si>
  <si>
    <t>41/0</t>
  </si>
  <si>
    <t>QB1+9</t>
  </si>
  <si>
    <t>QD45+9</t>
  </si>
  <si>
    <t>41/4</t>
  </si>
  <si>
    <t>42/0</t>
  </si>
  <si>
    <t>42/1</t>
  </si>
  <si>
    <t>42A/0</t>
  </si>
  <si>
    <t>42B/0</t>
  </si>
  <si>
    <t>42B/1</t>
  </si>
  <si>
    <t>43/0</t>
  </si>
  <si>
    <t>QC2+25</t>
  </si>
  <si>
    <t>QB2+18</t>
  </si>
  <si>
    <t xml:space="preserve">  </t>
  </si>
  <si>
    <t>43/3</t>
  </si>
  <si>
    <t>44/0</t>
  </si>
  <si>
    <t>45/0</t>
  </si>
  <si>
    <t>46/0</t>
  </si>
  <si>
    <t>46/1</t>
  </si>
  <si>
    <t>47/0</t>
  </si>
  <si>
    <t>48/0</t>
  </si>
  <si>
    <t>48A/0</t>
  </si>
  <si>
    <t>49/0</t>
  </si>
  <si>
    <t>49/1</t>
  </si>
  <si>
    <t>49A/0</t>
  </si>
  <si>
    <t>QB2+3</t>
  </si>
  <si>
    <t>50/0</t>
  </si>
  <si>
    <t>51/0</t>
  </si>
  <si>
    <t>52/0</t>
  </si>
  <si>
    <t>53/0</t>
  </si>
  <si>
    <t>53/1</t>
  </si>
  <si>
    <t>54/0</t>
  </si>
  <si>
    <t>55/0</t>
  </si>
  <si>
    <t>56/0</t>
  </si>
  <si>
    <t>57/0</t>
  </si>
  <si>
    <t>58/0</t>
  </si>
  <si>
    <t>59/0</t>
  </si>
  <si>
    <t>QC2+3</t>
  </si>
  <si>
    <t>60/0</t>
  </si>
  <si>
    <t>61/0</t>
  </si>
  <si>
    <t>61/1</t>
  </si>
  <si>
    <t>62/0</t>
  </si>
  <si>
    <t>63/0</t>
  </si>
  <si>
    <t>63/1</t>
  </si>
  <si>
    <t>64/0</t>
  </si>
  <si>
    <t>64/1</t>
  </si>
  <si>
    <t>65/0</t>
  </si>
  <si>
    <t>65/1</t>
  </si>
  <si>
    <t>66/0</t>
  </si>
  <si>
    <t>67/0</t>
  </si>
  <si>
    <t>2NOS  66KV</t>
  </si>
  <si>
    <t>NH &amp; Railway.</t>
  </si>
  <si>
    <t>67/1</t>
  </si>
  <si>
    <t>67/2</t>
  </si>
  <si>
    <t>67/3</t>
  </si>
  <si>
    <t>68/0</t>
  </si>
  <si>
    <t>69/0</t>
  </si>
  <si>
    <t>70/0</t>
  </si>
  <si>
    <t>70A/0</t>
  </si>
  <si>
    <t>QD60+0</t>
  </si>
  <si>
    <t>QC1+18</t>
  </si>
  <si>
    <t>72/0</t>
  </si>
  <si>
    <t>73/0</t>
  </si>
  <si>
    <t>73A/0</t>
  </si>
  <si>
    <t>73B/0</t>
  </si>
  <si>
    <t>74/0</t>
  </si>
  <si>
    <t>74B/0</t>
  </si>
  <si>
    <t>75/0</t>
  </si>
  <si>
    <t>QCT+3</t>
  </si>
  <si>
    <t>RC</t>
  </si>
  <si>
    <t>TP-02</t>
  </si>
  <si>
    <t>VALSAD</t>
  </si>
  <si>
    <t>DAMAN SECTION</t>
  </si>
  <si>
    <t>75/2</t>
  </si>
  <si>
    <t>75/3</t>
  </si>
  <si>
    <t>76/0</t>
  </si>
  <si>
    <t>77/0</t>
  </si>
  <si>
    <t>78/0</t>
  </si>
  <si>
    <t>79/0</t>
  </si>
  <si>
    <t>80/0</t>
  </si>
  <si>
    <t xml:space="preserve">S/S </t>
  </si>
  <si>
    <t>GANTRY</t>
  </si>
  <si>
    <t>COMMON POINT</t>
  </si>
  <si>
    <t>Survey Status for 400Kv M/C New Navsari to Magarwada Transmission Line.</t>
  </si>
  <si>
    <t>Date</t>
  </si>
  <si>
    <t>Sl. No.</t>
  </si>
  <si>
    <t>Section</t>
  </si>
  <si>
    <t>Detail Survey</t>
  </si>
  <si>
    <t xml:space="preserve">Check Survey </t>
  </si>
  <si>
    <t xml:space="preserve">Complited </t>
  </si>
  <si>
    <t>Submitted Kms with Date</t>
  </si>
  <si>
    <t xml:space="preserve"> Approved  with Date</t>
  </si>
  <si>
    <t>Complited</t>
  </si>
  <si>
    <t>Detailed Survey Status</t>
  </si>
  <si>
    <t>Revised</t>
  </si>
  <si>
    <t>AP-19/0</t>
  </si>
  <si>
    <t>TO</t>
  </si>
  <si>
    <t>AP-28/0</t>
  </si>
  <si>
    <t>=</t>
  </si>
  <si>
    <t>Approved 15.10.2022</t>
  </si>
  <si>
    <t>AP-38/0</t>
  </si>
  <si>
    <t>AP-44/0</t>
  </si>
  <si>
    <t xml:space="preserve">Approved </t>
  </si>
  <si>
    <t>AP-52/0</t>
  </si>
  <si>
    <t>AP-76/0</t>
  </si>
  <si>
    <t>Total</t>
  </si>
  <si>
    <t>AP34/0 to 35/0 Check Survey Pending.</t>
  </si>
  <si>
    <t>Type of Crossing</t>
  </si>
  <si>
    <t>WET PADDY</t>
  </si>
  <si>
    <t>PS</t>
  </si>
  <si>
    <t>WBC</t>
  </si>
  <si>
    <t>QB1</t>
  </si>
  <si>
    <t>QB2</t>
  </si>
  <si>
    <t>QC1</t>
  </si>
  <si>
    <t>QC2</t>
  </si>
  <si>
    <t>QD45</t>
  </si>
  <si>
    <t>QD60</t>
  </si>
  <si>
    <t>QCT1+3</t>
  </si>
  <si>
    <t>Earthing-CP/SE/CE</t>
  </si>
  <si>
    <t>Chief Manager</t>
  </si>
  <si>
    <t>T.0.T</t>
  </si>
  <si>
    <t>WFR,3M RC</t>
  </si>
  <si>
    <t>Tower 
Type</t>
  </si>
  <si>
    <t>Extension</t>
  </si>
  <si>
    <t>+0</t>
  </si>
  <si>
    <t>+3</t>
  </si>
  <si>
    <t>+6</t>
  </si>
  <si>
    <t>+9</t>
  </si>
  <si>
    <t>+18</t>
  </si>
  <si>
    <t>+25</t>
  </si>
  <si>
    <t>QA+6=01</t>
  </si>
  <si>
    <t>QB+9=01</t>
  </si>
  <si>
    <t>QCT</t>
  </si>
  <si>
    <t>Total Nos of Tower</t>
  </si>
  <si>
    <t>Project Code</t>
  </si>
  <si>
    <t>RCC Qty</t>
  </si>
  <si>
    <t>PCC Qty.</t>
  </si>
  <si>
    <t>.</t>
  </si>
  <si>
    <t xml:space="preserve">Stringing </t>
  </si>
  <si>
    <t>WP</t>
  </si>
  <si>
    <t>Express way &amp; SH</t>
  </si>
  <si>
    <t>QD60+3 RC</t>
  </si>
  <si>
    <t>Row Labels</t>
  </si>
  <si>
    <t>Grand Total</t>
  </si>
  <si>
    <t>Count of Classification</t>
  </si>
  <si>
    <t>Column Labels</t>
  </si>
  <si>
    <t>length</t>
  </si>
  <si>
    <t>Manpower</t>
  </si>
  <si>
    <t>Ganesh Srinivasan</t>
  </si>
  <si>
    <t>Rajinder Gupta</t>
  </si>
  <si>
    <t>Vice President</t>
  </si>
  <si>
    <t>Front Available</t>
  </si>
  <si>
    <t>Gang</t>
  </si>
  <si>
    <t>QB2+9</t>
  </si>
  <si>
    <t>49B/0</t>
  </si>
  <si>
    <t>49C/0</t>
  </si>
  <si>
    <t xml:space="preserve">Final Sag </t>
  </si>
  <si>
    <t>Type of STR</t>
  </si>
  <si>
    <t>DD60+0</t>
  </si>
  <si>
    <t>DD60+3</t>
  </si>
  <si>
    <t>ROW-1</t>
  </si>
  <si>
    <t>DB2+0</t>
  </si>
  <si>
    <t>75A/0</t>
  </si>
  <si>
    <t>Vivek Kumar Gupta</t>
  </si>
  <si>
    <t>Paying Out / Rough Sag</t>
  </si>
  <si>
    <t>Stringing Status</t>
  </si>
  <si>
    <t xml:space="preserve"> Rough Sag</t>
  </si>
  <si>
    <t>TW02: 400kV M/c Navasari-Kala Transmission Line.</t>
  </si>
  <si>
    <t>67/4</t>
  </si>
  <si>
    <t>QDD60+9</t>
  </si>
  <si>
    <t>DD60-3</t>
  </si>
  <si>
    <t>PDD+9</t>
  </si>
  <si>
    <t>PDD+6</t>
  </si>
  <si>
    <t>DC2-3</t>
  </si>
  <si>
    <t>72A/0</t>
  </si>
  <si>
    <t>DDH+0</t>
  </si>
  <si>
    <t xml:space="preserve">72B/0 </t>
  </si>
  <si>
    <t>72B/1</t>
  </si>
  <si>
    <t xml:space="preserve">75/0 </t>
  </si>
  <si>
    <t>PDD+18</t>
  </si>
  <si>
    <t>75B/0</t>
  </si>
  <si>
    <t>PDD+3</t>
  </si>
  <si>
    <t>75C/0</t>
  </si>
  <si>
    <t>DD45+0</t>
  </si>
  <si>
    <t>77A/0</t>
  </si>
  <si>
    <t>78A/0</t>
  </si>
  <si>
    <t>80A/0</t>
  </si>
  <si>
    <t>81/0</t>
  </si>
  <si>
    <t>82/0</t>
  </si>
  <si>
    <t>83/0</t>
  </si>
  <si>
    <t>84/0</t>
  </si>
  <si>
    <t>84/1</t>
  </si>
  <si>
    <t>85/0</t>
  </si>
  <si>
    <t>85/1</t>
  </si>
  <si>
    <t>86/0</t>
  </si>
  <si>
    <t>67/3(New)</t>
  </si>
  <si>
    <t>76/0(New)</t>
  </si>
  <si>
    <t>QD60+BB</t>
  </si>
  <si>
    <t>4MRC</t>
  </si>
  <si>
    <t>1MRC</t>
  </si>
  <si>
    <t>(With Auxiliary X-arm)</t>
  </si>
  <si>
    <t>Foundation Completed.</t>
  </si>
  <si>
    <t>Classification date.</t>
  </si>
  <si>
    <t>Excavation</t>
  </si>
  <si>
    <t>Steel</t>
  </si>
  <si>
    <t>Comp.</t>
  </si>
  <si>
    <t>67/3-76/0</t>
  </si>
  <si>
    <t>21.03.2025</t>
  </si>
  <si>
    <t>Soil Investigation Letter Ref No.</t>
  </si>
  <si>
    <t>Ref.WRTS-II/Valsad TLC/NMTL Date-09/02/2025</t>
  </si>
  <si>
    <t>Ref.WRTS-II/Valsad TLC/NMTL Date-17/02/2025</t>
  </si>
  <si>
    <t>SL. No</t>
  </si>
  <si>
    <t>Loc.No</t>
  </si>
  <si>
    <t>Type of Tower</t>
  </si>
  <si>
    <t>Tower Structure</t>
  </si>
  <si>
    <t>Depth</t>
  </si>
  <si>
    <t>REMARKS</t>
  </si>
  <si>
    <t xml:space="preserve">Monopole </t>
  </si>
  <si>
    <t>Pending</t>
  </si>
  <si>
    <t>Completed</t>
  </si>
  <si>
    <t>MonoPole (with AUX Arm)</t>
  </si>
  <si>
    <t>Narrow Base DC Tower</t>
  </si>
  <si>
    <t xml:space="preserve">Danube Tower </t>
  </si>
  <si>
    <t>CROSSINGS PROPOSAL STATUS</t>
  </si>
  <si>
    <t>Power Line Crossings</t>
  </si>
  <si>
    <t>NAME OF CROSSING</t>
  </si>
  <si>
    <t>Date of Submission</t>
  </si>
  <si>
    <t>Status of proposal</t>
  </si>
  <si>
    <t>Approving Authority</t>
  </si>
  <si>
    <t>72B/0</t>
  </si>
  <si>
    <t>400KV M/C Navsari - Magarawada - Kala Transmission line.</t>
  </si>
  <si>
    <t>NA</t>
  </si>
  <si>
    <t>PGCIL</t>
  </si>
  <si>
    <t>GETCO</t>
  </si>
  <si>
    <t>SH Crossing</t>
  </si>
  <si>
    <t>FROM (AP)</t>
  </si>
  <si>
    <t>TO (AP)</t>
  </si>
  <si>
    <t>Exp. date of Approval</t>
  </si>
  <si>
    <t>SH-185</t>
  </si>
  <si>
    <t>Gas Pipe line</t>
  </si>
  <si>
    <t>PROPOSED COASTAL HIGHWAY</t>
  </si>
  <si>
    <t>Proposed Costal Highway</t>
  </si>
  <si>
    <t>River Crossing</t>
  </si>
  <si>
    <t>Daman Ganga River</t>
  </si>
  <si>
    <t>River</t>
  </si>
  <si>
    <t>Aviation</t>
  </si>
  <si>
    <t>NAME OF CROSSINGS</t>
  </si>
  <si>
    <t xml:space="preserve">PTCC </t>
  </si>
  <si>
    <t xml:space="preserve">Civil Aviation </t>
  </si>
  <si>
    <t xml:space="preserve">Defense Aviation </t>
  </si>
  <si>
    <t>Location changed as check survey.</t>
  </si>
  <si>
    <t>TA310</t>
  </si>
  <si>
    <t>Total Project Volume</t>
  </si>
  <si>
    <t>Proj. code</t>
  </si>
  <si>
    <t xml:space="preserve">Cum </t>
  </si>
  <si>
    <t>MT</t>
  </si>
  <si>
    <t>Stringing (RS)</t>
  </si>
  <si>
    <t>Kms.</t>
  </si>
  <si>
    <t>Stringing (FS)</t>
  </si>
  <si>
    <t>400 KV M/C NKTL</t>
  </si>
  <si>
    <t>Executed for the month of May'25</t>
  </si>
  <si>
    <r>
      <t xml:space="preserve">President </t>
    </r>
    <r>
      <rPr>
        <b/>
        <sz val="10"/>
        <color rgb="FF1F497D"/>
        <rFont val="Times New Roman"/>
        <family val="1"/>
      </rPr>
      <t xml:space="preserve">- </t>
    </r>
    <r>
      <rPr>
        <b/>
        <sz val="10"/>
        <color rgb="FF4E515E"/>
        <rFont val="Times New Roman"/>
        <family val="1"/>
      </rPr>
      <t>T&amp;D</t>
    </r>
  </si>
  <si>
    <t xml:space="preserve">Transmission Line Tower Package-TW02                                                             400KV D/C  Navsari  - Kala Transmission line.( Twin HTLS)                                                                                                                                                                                                     </t>
  </si>
  <si>
    <t>66KV D/C Dalwada -Dabhel transmission line.</t>
  </si>
  <si>
    <t>220KV D/C Magarwada -Ringanwada Transmission line.</t>
  </si>
  <si>
    <t>66KV D/C Ringanwada-Varkund Transmission line.</t>
  </si>
  <si>
    <t>66KV D/C Ringanwada-Varkund Transmission line.(Tap to Magarwada-Varkund line.)</t>
  </si>
  <si>
    <t>State high way</t>
  </si>
  <si>
    <t>Compltd. As on Apr'25</t>
  </si>
  <si>
    <t>Bal. as on 01.05.25</t>
  </si>
  <si>
    <t>Executed for the month of Jun'25</t>
  </si>
  <si>
    <t>No. of gangs</t>
  </si>
  <si>
    <t>TSE &amp; Manual gangs</t>
  </si>
  <si>
    <t>Bal. as on 01.07.2025</t>
  </si>
  <si>
    <t>Workforce demobilization was necessitated by the unavailability of work fronts and unfavorable weather conditions</t>
  </si>
  <si>
    <t>KEC INTERNATIONAL LIMITED</t>
  </si>
  <si>
    <t xml:space="preserve">DAILY PROGRESS REPORT : SUBMISSION STATUS AS ON </t>
  </si>
  <si>
    <t>Name of the Project: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</si>
  <si>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</si>
  <si>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</si>
  <si>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</si>
  <si>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</si>
  <si>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</si>
  <si>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</si>
  <si>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</si>
  <si>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</si>
  <si>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</si>
  <si>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</si>
  <si>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</si>
  <si>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</si>
  <si>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</si>
  <si>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</si>
  <si>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</si>
  <si>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</si>
  <si>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 xml:space="preserve"> 5002002222/Tower/DOM/A02-CC CS -3/NOA-II/WR2-400010 </t>
  </si>
  <si>
    <t>NOA Ref.No:</t>
  </si>
  <si>
    <t xml:space="preserve">Nitin Bendale </t>
  </si>
  <si>
    <t>PDD+21</t>
  </si>
  <si>
    <t>Truncated</t>
  </si>
  <si>
    <t>77B/0</t>
  </si>
  <si>
    <t>QDS+0</t>
  </si>
  <si>
    <t>QDD60+0</t>
  </si>
  <si>
    <t>84L/0</t>
  </si>
  <si>
    <t>85L/0</t>
  </si>
  <si>
    <t>84R/0</t>
  </si>
  <si>
    <t>85R/0</t>
  </si>
  <si>
    <t>400KV Crossing</t>
  </si>
  <si>
    <t>66 &amp; 220KV Crossing</t>
  </si>
  <si>
    <t>Daman Ganga River Crossing</t>
  </si>
  <si>
    <t>66 &amp; 220KV Line Crossing</t>
  </si>
  <si>
    <t>Proposed Coastal Highway</t>
  </si>
  <si>
    <t>66KV Crossing</t>
  </si>
  <si>
    <t>04</t>
  </si>
  <si>
    <t>Monopole</t>
  </si>
  <si>
    <t>Gang-1</t>
  </si>
  <si>
    <t>Tower Configuration.</t>
  </si>
  <si>
    <t>Narrow base DC Tower.</t>
  </si>
  <si>
    <t>Danube Tower</t>
  </si>
  <si>
    <t>River Crossing Tower</t>
  </si>
  <si>
    <t>Dwarf Tower</t>
  </si>
  <si>
    <t>Start</t>
  </si>
  <si>
    <t>END</t>
  </si>
  <si>
    <t xml:space="preserve">Chief Executive - T&amp;D </t>
  </si>
  <si>
    <t>QDD60+12</t>
  </si>
  <si>
    <t>05</t>
  </si>
  <si>
    <t>Tower Foundation</t>
  </si>
  <si>
    <t>Monopole Foundation</t>
  </si>
  <si>
    <t xml:space="preserve">Tower Erection </t>
  </si>
  <si>
    <t>Monopole Erection.</t>
  </si>
  <si>
    <t>Earthing-Pipe</t>
  </si>
  <si>
    <t>Maa Bhawani Const.</t>
  </si>
  <si>
    <t>Check Survey Status</t>
  </si>
  <si>
    <t xml:space="preserve"> Approved</t>
  </si>
  <si>
    <t>Under Process</t>
  </si>
  <si>
    <t>Name of Line :- TW02: 400KV D/C Navsari-Kala Transmission Line.</t>
  </si>
  <si>
    <t>Arun Felbin R</t>
  </si>
  <si>
    <t>Foundation completed.</t>
  </si>
  <si>
    <t>13/102025</t>
  </si>
  <si>
    <t>Monopole, 3.8 mtr dia caisson Foundation.</t>
  </si>
  <si>
    <t>Monopole,1.2mtr dia 08Nos Pile Foundation</t>
  </si>
  <si>
    <t>Monopole, Open Cast Foundation</t>
  </si>
  <si>
    <t>Classification</t>
  </si>
  <si>
    <t>Progress Status of TW02: 400kV  D/c Navasari-Kala Transmission Line.</t>
  </si>
  <si>
    <t>WIP-1</t>
  </si>
  <si>
    <t>WIP-2</t>
  </si>
  <si>
    <t>WIP-3</t>
  </si>
  <si>
    <t>Approval Letter Reff Date-27/08/2025</t>
  </si>
  <si>
    <t>WRTS-II/Valsad TLC/NMTL/195, Date-27/08/2025</t>
  </si>
  <si>
    <t>Work stopped due to ROW issues (effective from 12/11/2025). 02 Pit Excavation completed, then backfilling by land landowner.</t>
  </si>
  <si>
    <t>Work stopped due to ROW issues (effective from 12/11/2025). (Only 02 chiminy casting Balance)</t>
  </si>
  <si>
    <t>Work stopped due to ROW issues (effective from 12/11/2025).(Excavation &amp; PCC Completed.)</t>
  </si>
  <si>
    <t>ROW-2</t>
  </si>
  <si>
    <t>ROW-3</t>
  </si>
  <si>
    <t>ROW-4</t>
  </si>
  <si>
    <t>ROW-5</t>
  </si>
  <si>
    <t>Front availability -01</t>
  </si>
  <si>
    <t>The monopole inauguration on 11/09/2025. However, work was subsequently halted due to issues related to the ROW. The designated effective ROW period was from 11/09/2025 to 15/11/2025. Excavation work in Progress</t>
  </si>
  <si>
    <t>Gang-2</t>
  </si>
  <si>
    <t>T.O.T</t>
  </si>
  <si>
    <t>Tower configuration</t>
  </si>
  <si>
    <t>ROW‑1</t>
  </si>
  <si>
    <t>WIP‑2</t>
  </si>
  <si>
    <t>ROW‑2</t>
  </si>
  <si>
    <t>ROW‑3</t>
  </si>
  <si>
    <t>ROW‑4</t>
  </si>
  <si>
    <t>ROW‑5</t>
  </si>
  <si>
    <t>ROW‑6</t>
  </si>
  <si>
    <t>ROW‑7</t>
  </si>
  <si>
    <t>ROW‑8</t>
  </si>
  <si>
    <t>Status Summary:</t>
  </si>
  <si>
    <t>Line Scenario for M/c 400KV New Navsari to Magarwada &amp; 400KV Navsari to Kala transmission line.</t>
  </si>
  <si>
    <t xml:space="preserve">From MC location 76/0 to 76/0, 8.75kM Navsari to Kala work balance otherwise all work completed.  </t>
  </si>
  <si>
    <t>Kala Substation</t>
  </si>
  <si>
    <t>From CommonPoint 79/0 to Kala Sustation scope by M/s Bajaj</t>
  </si>
  <si>
    <t>From CommonPoint 19/0 to Navsari Sustation scope by M/s Bajaj</t>
  </si>
  <si>
    <t>Navsari Substation</t>
  </si>
  <si>
    <t>D/C  Navsari - Magarwada (8.822KM)</t>
  </si>
  <si>
    <t>D/c Navsari to Kala</t>
  </si>
  <si>
    <t>Loc-79/0</t>
  </si>
  <si>
    <t>Loc-76/0</t>
  </si>
  <si>
    <t>Loc-67/3</t>
  </si>
  <si>
    <t>Loc-19/0</t>
  </si>
  <si>
    <t>M/C Navsari-Magarwada</t>
  </si>
  <si>
    <t>Magarwada Substation</t>
  </si>
  <si>
    <t>D/C   Navsari- Kala (8.75KM)</t>
  </si>
  <si>
    <t>From Common Point 19/0 to Magarwda Substation Gantry scope by MS KEC.</t>
  </si>
  <si>
    <t>HR</t>
  </si>
  <si>
    <t>Harshiv Project Pvt Ltd.</t>
  </si>
  <si>
    <t xml:space="preserve">Total Locations: </t>
  </si>
  <si>
    <t xml:space="preserve">Completed: </t>
  </si>
  <si>
    <t>Balance:</t>
  </si>
  <si>
    <t>Work in Progress (WIP):</t>
  </si>
  <si>
    <t xml:space="preserve">ROW Pending: </t>
  </si>
  <si>
    <t>WIP-4</t>
  </si>
  <si>
    <t>Foundation Gang</t>
  </si>
  <si>
    <t>Balance Location status</t>
  </si>
  <si>
    <t>Foundation Completed., Raft, Pyramid &amp; chimney casting is completed, Dt-03/12/25 &amp; RC Casting 06/12/25.</t>
  </si>
  <si>
    <t>Present Status</t>
  </si>
  <si>
    <t>Remark.</t>
  </si>
  <si>
    <t>Tower</t>
  </si>
  <si>
    <t>Drawing Req.</t>
  </si>
  <si>
    <t>Pile</t>
  </si>
  <si>
    <t>Caisson</t>
  </si>
  <si>
    <t>Yet to start.</t>
  </si>
  <si>
    <t>21/12/205</t>
  </si>
  <si>
    <t>Cumulative L2 till Dec-2025</t>
  </si>
  <si>
    <t>L2 for Jan'26</t>
  </si>
  <si>
    <t>Cumulative Progress till Dec'2025</t>
  </si>
  <si>
    <t>Plan for Jan'2026</t>
  </si>
  <si>
    <t>Progress till for Jan'2026</t>
  </si>
  <si>
    <t>Amndt-11</t>
  </si>
  <si>
    <t>Name of the Line:-400kV  D/c Navasari-Kala Transmission Line.</t>
  </si>
  <si>
    <t>Work front Available:-</t>
  </si>
  <si>
    <t>Excavation WIP.</t>
  </si>
  <si>
    <t>End of Pile -16/01/2026, Pile Cap completion-26/01/2026. Chimney Completion-30/01/2026</t>
  </si>
  <si>
    <t>Location to be completed-08/01/2026.</t>
  </si>
  <si>
    <t>ROW Clearance to be provided-09/01/2026.</t>
  </si>
  <si>
    <t>HR classification approval Date-06/01/2026, Yet to start</t>
  </si>
  <si>
    <t>Excavation to be completed-15/01/2026, Anchoring to be completed-30/01/2026,  Steel binding to be completed-05/03/2025, Raft Casting to be completed -07/02/2026, Chimney to be completed-10/02/2026.</t>
  </si>
  <si>
    <t>Excavation to be completed-24/01/2026, Anchoring to be completed-30/01/2026,  Steel binding to be completed-02/02/2025, Raft Casting to be completed -04/02/2026, Chimney to be completed-10/02/2026.</t>
  </si>
  <si>
    <t>Start of Pile-17/01/2026 End-31/02/2026, Pile cap completion-10/02/2026. Chimney 12/02/2026 Subject to steel supply Revised Amendment to be submitted-12/01/2025</t>
  </si>
  <si>
    <t>(05/01/2026 )Soil investigation Report to be submitted-13/01/2026, drawing to be provided by 17/01/2026.</t>
  </si>
  <si>
    <t>Work stopped due to ROW issues (effective from 11/09/2025</t>
  </si>
  <si>
    <t>Work stopped due to ROW issues (effective from 11/12/2025</t>
  </si>
  <si>
    <t>Excavation, RQD testing, and soil investigation test completed Date-05/01/2026</t>
  </si>
  <si>
    <t>P1, P3, P5, and P7 completed; P4 boring completed up to 14.5 m depth. Casing Plan for tomorrow.</t>
  </si>
  <si>
    <t>Bolt fixing work in progress; casting planned for tomorrow.</t>
  </si>
  <si>
    <t>Description</t>
  </si>
  <si>
    <t>Line Qty.</t>
  </si>
  <si>
    <t>Spare Qty</t>
  </si>
  <si>
    <t>NKTL Req.</t>
  </si>
  <si>
    <t>Total Req.</t>
  </si>
  <si>
    <t>Damage Qty.</t>
  </si>
  <si>
    <t>Received Qty.</t>
  </si>
  <si>
    <t>Total Issue Qty.</t>
  </si>
  <si>
    <t>Balance Qty Available at Store.</t>
  </si>
  <si>
    <t>Balance Qty Required.</t>
  </si>
  <si>
    <t>Conductor</t>
  </si>
  <si>
    <t>TWIN HTLS MOOSE CONDUCTOR</t>
  </si>
  <si>
    <t>OPGW</t>
  </si>
  <si>
    <t>24 FIBRE (DWSM) OPGW FIBRE OPTIC CABLE</t>
  </si>
  <si>
    <t xml:space="preserve"> Composite long rod Insulators</t>
  </si>
  <si>
    <t>120kN</t>
  </si>
  <si>
    <t>Req</t>
  </si>
  <si>
    <t>160kN</t>
  </si>
  <si>
    <t>Hardware Fittings</t>
  </si>
  <si>
    <t xml:space="preserve"> Twin HTLS Conductor-Single "I" Suspension String(without clamps)</t>
  </si>
  <si>
    <t xml:space="preserve"> Twin HTLS Conductor-Single I Suspension String(Pilot) (without clamps)(1x120KN)</t>
  </si>
  <si>
    <t>Twin HTLS Conductor-Double TensionString (without clamps)</t>
  </si>
  <si>
    <t xml:space="preserve"> Twin HTLS Conductor-Single Tension String(without clamps)</t>
  </si>
  <si>
    <t>Suspension clamp suitable for suspension insulator string</t>
  </si>
  <si>
    <t>Deadend clamp suitable for tension insulator string</t>
  </si>
  <si>
    <t>Suspension clamp suitable for suspension Pilot insulator string</t>
  </si>
  <si>
    <t>Conductor Accessories
for HTLS Moose</t>
  </si>
  <si>
    <t>MSCJ</t>
  </si>
  <si>
    <t>Repair Sleeve</t>
  </si>
  <si>
    <t>T- connector</t>
  </si>
  <si>
    <t>Spacer Damper for TWIN Moose conductor</t>
  </si>
  <si>
    <t>Rigid spacer for TWIN Moose conductor</t>
  </si>
  <si>
    <t>400KV Navsari To Kala Transmission status, Supply Status:-</t>
  </si>
  <si>
    <t>Foundation Completed (ROW effective from 12/11/25- 08/11/25)</t>
  </si>
  <si>
    <t>Excavation, RQD testing, and soil investigation tests completed. Location waterlogged.</t>
  </si>
  <si>
    <t>ROW-01</t>
  </si>
  <si>
    <t>ROW-02</t>
  </si>
  <si>
    <t>ROW-03</t>
  </si>
  <si>
    <t>ROW-04</t>
  </si>
  <si>
    <t>ROW-05</t>
  </si>
  <si>
    <t>RQD testing completed; excavation work stopped due to waterlogging at location..</t>
  </si>
  <si>
    <t>Materials shifting working progress.</t>
  </si>
  <si>
    <t>Rupesh Kumar</t>
  </si>
  <si>
    <t>2 waterlogged</t>
  </si>
  <si>
    <t>Plan for tomorrow steel Binding (ROW effective from 12/11/25 -08/01/26 )</t>
  </si>
  <si>
    <t>02 Pit casting completed, Plan for tomorrow steel binding &amp; Casting (ROW effective from 12/11/25 to 08/01/2026)</t>
  </si>
  <si>
    <t>P1, P3, P4, P5, P6 &amp; P7 completed; P2 boring Work in progress.(14.5mtr completed). Casting plan for tomorrow.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</si>
</sst>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[$-F800]dddd\,\ mmmm\ dd\,\ yyyy"/>
    <numFmt numFmtId="167" formatCode="_ * #,##0.000_ ;_ * \-#,##0.000_ ;_ * &quot;-&quot;??_ ;_ @_ "/>
    <numFmt numFmtId="168" formatCode="_ * #,##0_ ;_ * \-#,##0_ ;_ * &quot;-&quot;??_ ;_ @_ "/>
    <numFmt numFmtId="169" formatCode="dd\-mmm\-yyyy;@"/>
    <numFmt numFmtId="170" formatCode="0;[Red]0"/>
    <numFmt numFmtId="171" formatCode="[$-409]d/mmm/yyyy;@"/>
    <numFmt numFmtId="172" formatCode="[$-409]d\-mmm\-yy;@"/>
  </numFmts>
  <fonts count="7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b/>
      <sz val="11"/>
      <name val="Times New Roman"/>
      <family val="1"/>
    </font>
    <font>
      <b/>
      <sz val="10"/>
      <color theme="0"/>
      <name val="Times New Roman"/>
      <family val="1"/>
    </font>
    <font>
      <b/>
      <sz val="10"/>
      <color rgb="FF002060"/>
      <name val="Times New Roman"/>
      <family val="1"/>
    </font>
    <font>
      <b/>
      <sz val="9"/>
      <name val="Times New Roman"/>
      <family val="1"/>
    </font>
    <font>
      <sz val="10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B050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9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ahoma"/>
      <family val="2"/>
    </font>
    <font>
      <sz val="10"/>
      <color theme="0"/>
      <name val="Times New Roman"/>
      <family val="1"/>
    </font>
    <font>
      <b/>
      <u/>
      <sz val="22"/>
      <color theme="0"/>
      <name val="Times New Roman"/>
      <family val="1"/>
    </font>
    <font>
      <sz val="12"/>
      <name val="Times New Roman"/>
      <family val="1"/>
    </font>
    <font>
      <b/>
      <sz val="10"/>
      <name val="Arial Nova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1F497D"/>
      <name val="Times New Roman"/>
      <family val="1"/>
    </font>
    <font>
      <b/>
      <sz val="10"/>
      <color rgb="FF4E515E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000000"/>
      <name val="Arial Nov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rgb="FF00B050"/>
      <name val="Arial"/>
      <family val="2"/>
    </font>
    <font>
      <b/>
      <sz val="10"/>
      <color rgb="FF00B050"/>
      <name val="Times New Roman"/>
      <family val="1"/>
    </font>
    <font>
      <sz val="12"/>
      <color theme="1"/>
      <name val="Times New Roman"/>
      <family val="1"/>
    </font>
    <font>
      <sz val="12"/>
      <color indexed="12"/>
      <name val="Times New Roman"/>
      <family val="1"/>
    </font>
    <font>
      <sz val="12"/>
      <color theme="3" tint="0.499984740745262"/>
      <name val="Times New Roman"/>
      <family val="1"/>
    </font>
    <font>
      <b/>
      <u/>
      <sz val="12"/>
      <name val="Times New Roman"/>
      <family val="1"/>
    </font>
    <font>
      <b/>
      <sz val="18"/>
      <color theme="0"/>
      <name val="Times New Roman"/>
      <family val="1"/>
    </font>
    <font>
      <b/>
      <sz val="22"/>
      <color theme="0"/>
      <name val="Times New Roman"/>
      <family val="1"/>
    </font>
    <font>
      <b/>
      <u/>
      <sz val="10"/>
      <name val="Times New Roman"/>
      <family val="1"/>
    </font>
    <font>
      <b/>
      <sz val="22"/>
      <color theme="1"/>
      <name val="Times New Roman"/>
      <family val="1"/>
    </font>
    <font>
      <b/>
      <sz val="22"/>
      <name val="Arial"/>
      <family val="2"/>
    </font>
    <font>
      <b/>
      <sz val="22"/>
      <color theme="1"/>
      <name val="Calibri"/>
      <family val="2"/>
      <scheme val="minor"/>
    </font>
    <font>
      <b/>
      <sz val="48"/>
      <color theme="0"/>
      <name val="Times New Roman"/>
      <family val="1"/>
    </font>
    <font>
      <b/>
      <sz val="48"/>
      <name val="Times New Roman"/>
      <family val="1"/>
    </font>
    <font>
      <b/>
      <sz val="2"/>
      <color rgb="FF00B050"/>
      <name val="Times New Roman"/>
      <family val="1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theme="2" tint="-0.749992370372631"/>
        <bgColor indexed="29"/>
      </patternFill>
    </fill>
    <fill>
      <patternFill patternType="solid">
        <fgColor rgb="FF00B050"/>
        <bgColor indexed="39"/>
      </patternFill>
    </fill>
    <fill>
      <patternFill patternType="solid">
        <fgColor indexed="12"/>
        <bgColor indexed="39"/>
      </patternFill>
    </fill>
    <fill>
      <patternFill patternType="solid">
        <fgColor rgb="FFFF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3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2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39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3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4" fillId="0" borderId="0">
      <alignment vertical="center"/>
    </xf>
    <xf numFmtId="0" fontId="15" fillId="0" borderId="0"/>
    <xf numFmtId="0" fontId="5" fillId="0" borderId="0"/>
    <xf numFmtId="0" fontId="5" fillId="0" borderId="0"/>
    <xf numFmtId="0" fontId="15" fillId="0" borderId="0"/>
    <xf numFmtId="0" fontId="14" fillId="0" borderId="0">
      <alignment vertical="center"/>
    </xf>
    <xf numFmtId="0" fontId="5" fillId="0" borderId="0"/>
    <xf numFmtId="0" fontId="14" fillId="0" borderId="0">
      <alignment vertical="center"/>
    </xf>
    <xf numFmtId="9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2" fillId="0" borderId="0"/>
    <xf numFmtId="0" fontId="1" fillId="0" borderId="0"/>
  </cellStyleXfs>
  <cellXfs count="88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wrapText="1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2" fontId="7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0" xfId="0" applyNumberFormat="1" applyFont="1"/>
    <xf numFmtId="0" fontId="9" fillId="0" borderId="0" xfId="9" applyFont="1"/>
    <xf numFmtId="0" fontId="10" fillId="0" borderId="0" xfId="9" applyFont="1" applyAlignment="1">
      <alignment vertical="top"/>
    </xf>
    <xf numFmtId="0" fontId="11" fillId="0" borderId="0" xfId="9" applyFont="1"/>
    <xf numFmtId="0" fontId="6" fillId="0" borderId="1" xfId="0" quotePrefix="1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165" fontId="19" fillId="20" borderId="1" xfId="0" applyNumberFormat="1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/>
    </xf>
    <xf numFmtId="165" fontId="19" fillId="21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2" fontId="19" fillId="21" borderId="1" xfId="0" applyNumberFormat="1" applyFont="1" applyFill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7" fillId="11" borderId="6" xfId="0" applyNumberFormat="1" applyFont="1" applyFill="1" applyBorder="1" applyAlignment="1">
      <alignment vertical="center"/>
    </xf>
    <xf numFmtId="165" fontId="7" fillId="11" borderId="7" xfId="0" applyNumberFormat="1" applyFont="1" applyFill="1" applyBorder="1" applyAlignment="1">
      <alignment vertical="center"/>
    </xf>
    <xf numFmtId="43" fontId="7" fillId="11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7" fillId="9" borderId="6" xfId="0" applyNumberFormat="1" applyFont="1" applyFill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left" vertical="center"/>
    </xf>
    <xf numFmtId="43" fontId="7" fillId="2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/>
    <xf numFmtId="0" fontId="7" fillId="2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vertical="center"/>
    </xf>
    <xf numFmtId="14" fontId="9" fillId="6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14" fontId="7" fillId="2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wrapText="1"/>
    </xf>
    <xf numFmtId="2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9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3" fillId="3" borderId="1" xfId="9" applyFont="1" applyFill="1" applyBorder="1" applyAlignment="1">
      <alignment horizontal="center" vertical="center"/>
    </xf>
    <xf numFmtId="0" fontId="9" fillId="0" borderId="0" xfId="9" applyFont="1" applyAlignment="1">
      <alignment horizontal="center" vertical="center"/>
    </xf>
    <xf numFmtId="0" fontId="9" fillId="0" borderId="0" xfId="9" applyFont="1" applyAlignment="1">
      <alignment vertical="center"/>
    </xf>
    <xf numFmtId="0" fontId="9" fillId="0" borderId="1" xfId="9" applyFont="1" applyBorder="1" applyAlignment="1">
      <alignment horizontal="center" vertical="center"/>
    </xf>
    <xf numFmtId="0" fontId="9" fillId="2" borderId="0" xfId="9" applyFont="1" applyFill="1" applyAlignment="1">
      <alignment vertical="center"/>
    </xf>
    <xf numFmtId="0" fontId="17" fillId="0" borderId="1" xfId="9" applyFont="1" applyBorder="1" applyAlignment="1">
      <alignment horizontal="center" vertical="center"/>
    </xf>
    <xf numFmtId="0" fontId="9" fillId="2" borderId="1" xfId="9" applyFont="1" applyFill="1" applyBorder="1" applyAlignment="1">
      <alignment horizontal="center" vertical="center"/>
    </xf>
    <xf numFmtId="1" fontId="12" fillId="0" borderId="0" xfId="9" applyNumberFormat="1" applyFont="1" applyAlignment="1">
      <alignment vertical="center"/>
    </xf>
    <xf numFmtId="0" fontId="26" fillId="0" borderId="0" xfId="9" applyFont="1" applyAlignment="1">
      <alignment horizontal="center" vertical="center"/>
    </xf>
    <xf numFmtId="0" fontId="26" fillId="0" borderId="0" xfId="9" applyFont="1"/>
    <xf numFmtId="0" fontId="26" fillId="0" borderId="0" xfId="9" applyFont="1" applyAlignment="1">
      <alignment horizontal="center"/>
    </xf>
    <xf numFmtId="49" fontId="26" fillId="0" borderId="0" xfId="6" applyNumberFormat="1" applyFont="1" applyAlignment="1">
      <alignment vertical="center"/>
    </xf>
    <xf numFmtId="1" fontId="26" fillId="0" borderId="0" xfId="9" applyNumberFormat="1" applyFont="1" applyAlignment="1">
      <alignment horizontal="center" vertical="center"/>
    </xf>
    <xf numFmtId="1" fontId="26" fillId="0" borderId="0" xfId="6" applyNumberFormat="1" applyFont="1" applyAlignment="1">
      <alignment horizontal="left" vertical="center"/>
    </xf>
    <xf numFmtId="0" fontId="26" fillId="0" borderId="0" xfId="9" applyFont="1" applyAlignment="1">
      <alignment vertical="center"/>
    </xf>
    <xf numFmtId="1" fontId="26" fillId="0" borderId="0" xfId="6" applyNumberFormat="1" applyFont="1" applyAlignment="1">
      <alignment horizontal="center" vertical="center"/>
    </xf>
    <xf numFmtId="49" fontId="26" fillId="0" borderId="0" xfId="6" applyNumberFormat="1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6" fillId="0" borderId="0" xfId="6" applyFont="1" applyAlignment="1">
      <alignment horizontal="center" vertical="center"/>
    </xf>
    <xf numFmtId="0" fontId="26" fillId="0" borderId="1" xfId="9" applyFont="1" applyBorder="1" applyAlignment="1">
      <alignment vertical="center"/>
    </xf>
    <xf numFmtId="0" fontId="23" fillId="0" borderId="0" xfId="9" applyFont="1" applyAlignment="1">
      <alignment horizontal="center" vertical="center"/>
    </xf>
    <xf numFmtId="1" fontId="23" fillId="0" borderId="0" xfId="9" applyNumberFormat="1" applyFont="1" applyAlignment="1">
      <alignment horizontal="center" vertical="center"/>
    </xf>
    <xf numFmtId="1" fontId="23" fillId="0" borderId="0" xfId="6" applyNumberFormat="1" applyFont="1" applyAlignment="1">
      <alignment horizontal="left" vertical="center"/>
    </xf>
    <xf numFmtId="0" fontId="23" fillId="0" borderId="0" xfId="9" applyFont="1" applyAlignment="1">
      <alignment vertical="center"/>
    </xf>
    <xf numFmtId="1" fontId="23" fillId="0" borderId="0" xfId="6" applyNumberFormat="1" applyFont="1" applyAlignment="1">
      <alignment horizontal="center" vertical="center"/>
    </xf>
    <xf numFmtId="49" fontId="23" fillId="0" borderId="0" xfId="6" applyNumberFormat="1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3" fillId="0" borderId="0" xfId="6" applyFont="1" applyAlignment="1">
      <alignment horizontal="center" vertical="center"/>
    </xf>
    <xf numFmtId="0" fontId="23" fillId="0" borderId="0" xfId="9" applyFont="1" applyAlignment="1">
      <alignment horizontal="center" vertical="center" wrapText="1"/>
    </xf>
    <xf numFmtId="1" fontId="23" fillId="0" borderId="0" xfId="9" applyNumberFormat="1" applyFont="1" applyAlignment="1">
      <alignment horizontal="center" vertical="center" wrapText="1"/>
    </xf>
    <xf numFmtId="0" fontId="23" fillId="0" borderId="1" xfId="9" applyFont="1" applyBorder="1" applyAlignment="1">
      <alignment horizontal="center" vertical="center" wrapText="1"/>
    </xf>
    <xf numFmtId="1" fontId="23" fillId="0" borderId="1" xfId="9" applyNumberFormat="1" applyFont="1" applyBorder="1" applyAlignment="1">
      <alignment horizontal="center" vertical="center" wrapText="1"/>
    </xf>
    <xf numFmtId="0" fontId="23" fillId="0" borderId="0" xfId="6" applyFont="1" applyAlignment="1">
      <alignment horizontal="left" vertical="center"/>
    </xf>
    <xf numFmtId="1" fontId="23" fillId="0" borderId="0" xfId="9" applyNumberFormat="1" applyFont="1" applyAlignment="1">
      <alignment vertical="center"/>
    </xf>
    <xf numFmtId="49" fontId="23" fillId="0" borderId="1" xfId="6" applyNumberFormat="1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1" xfId="9" applyFont="1" applyBorder="1" applyAlignment="1">
      <alignment horizontal="center" vertical="center"/>
    </xf>
    <xf numFmtId="1" fontId="23" fillId="0" borderId="1" xfId="9" applyNumberFormat="1" applyFont="1" applyBorder="1" applyAlignment="1">
      <alignment horizontal="center" vertical="center"/>
    </xf>
    <xf numFmtId="1" fontId="23" fillId="12" borderId="0" xfId="6" applyNumberFormat="1" applyFont="1" applyFill="1" applyAlignment="1">
      <alignment horizontal="center" vertical="center"/>
    </xf>
    <xf numFmtId="1" fontId="23" fillId="0" borderId="1" xfId="9" applyNumberFormat="1" applyFont="1" applyBorder="1" applyAlignment="1">
      <alignment vertical="center"/>
    </xf>
    <xf numFmtId="0" fontId="23" fillId="0" borderId="1" xfId="9" applyFont="1" applyBorder="1" applyAlignment="1">
      <alignment vertical="center"/>
    </xf>
    <xf numFmtId="0" fontId="23" fillId="0" borderId="1" xfId="9" applyFont="1" applyBorder="1" applyAlignment="1">
      <alignment vertical="center" wrapText="1"/>
    </xf>
    <xf numFmtId="1" fontId="23" fillId="13" borderId="0" xfId="6" applyNumberFormat="1" applyFont="1" applyFill="1" applyAlignment="1">
      <alignment horizontal="center" vertical="center"/>
    </xf>
    <xf numFmtId="165" fontId="23" fillId="0" borderId="1" xfId="9" applyNumberFormat="1" applyFont="1" applyBorder="1" applyAlignment="1">
      <alignment horizontal="center" vertical="center"/>
    </xf>
    <xf numFmtId="43" fontId="23" fillId="0" borderId="1" xfId="9" applyNumberFormat="1" applyFont="1" applyBorder="1" applyAlignment="1">
      <alignment horizontal="center" vertical="center"/>
    </xf>
    <xf numFmtId="0" fontId="23" fillId="0" borderId="0" xfId="9" applyFont="1" applyAlignment="1">
      <alignment vertical="center" wrapText="1"/>
    </xf>
    <xf numFmtId="1" fontId="23" fillId="0" borderId="0" xfId="6" applyNumberFormat="1" applyFont="1" applyAlignment="1">
      <alignment vertical="center"/>
    </xf>
    <xf numFmtId="49" fontId="23" fillId="2" borderId="0" xfId="6" applyNumberFormat="1" applyFont="1" applyFill="1" applyAlignment="1">
      <alignment horizontal="center" vertical="center"/>
    </xf>
    <xf numFmtId="1" fontId="23" fillId="2" borderId="0" xfId="6" applyNumberFormat="1" applyFont="1" applyFill="1" applyAlignment="1">
      <alignment horizontal="center" vertical="center"/>
    </xf>
    <xf numFmtId="49" fontId="23" fillId="2" borderId="0" xfId="6" applyNumberFormat="1" applyFont="1" applyFill="1" applyAlignment="1">
      <alignment horizontal="left" vertical="center"/>
    </xf>
    <xf numFmtId="0" fontId="23" fillId="2" borderId="0" xfId="9" applyFont="1" applyFill="1" applyAlignment="1">
      <alignment vertical="center"/>
    </xf>
    <xf numFmtId="1" fontId="23" fillId="2" borderId="0" xfId="9" applyNumberFormat="1" applyFont="1" applyFill="1" applyAlignment="1">
      <alignment vertical="center"/>
    </xf>
    <xf numFmtId="0" fontId="23" fillId="2" borderId="0" xfId="6" applyFont="1" applyFill="1" applyAlignment="1">
      <alignment horizontal="left" vertical="center"/>
    </xf>
    <xf numFmtId="1" fontId="23" fillId="14" borderId="0" xfId="6" applyNumberFormat="1" applyFont="1" applyFill="1" applyAlignment="1">
      <alignment horizontal="center" vertical="center"/>
    </xf>
    <xf numFmtId="1" fontId="23" fillId="15" borderId="0" xfId="6" applyNumberFormat="1" applyFont="1" applyFill="1" applyAlignment="1">
      <alignment horizontal="center" vertical="center"/>
    </xf>
    <xf numFmtId="49" fontId="23" fillId="0" borderId="0" xfId="6" applyNumberFormat="1" applyFont="1" applyAlignment="1">
      <alignment horizontal="left" vertical="center" wrapText="1"/>
    </xf>
    <xf numFmtId="1" fontId="23" fillId="22" borderId="0" xfId="6" applyNumberFormat="1" applyFont="1" applyFill="1" applyAlignment="1">
      <alignment horizontal="center" vertical="center"/>
    </xf>
    <xf numFmtId="1" fontId="23" fillId="3" borderId="0" xfId="9" applyNumberFormat="1" applyFont="1" applyFill="1" applyAlignment="1">
      <alignment vertical="center"/>
    </xf>
    <xf numFmtId="1" fontId="23" fillId="3" borderId="0" xfId="9" applyNumberFormat="1" applyFont="1" applyFill="1" applyAlignment="1">
      <alignment horizontal="center" vertical="center"/>
    </xf>
    <xf numFmtId="49" fontId="23" fillId="3" borderId="0" xfId="6" applyNumberFormat="1" applyFont="1" applyFill="1" applyAlignment="1">
      <alignment horizontal="left" vertical="center" wrapText="1"/>
    </xf>
    <xf numFmtId="0" fontId="23" fillId="3" borderId="0" xfId="9" applyFont="1" applyFill="1" applyAlignment="1">
      <alignment horizontal="center" vertical="center"/>
    </xf>
    <xf numFmtId="165" fontId="23" fillId="2" borderId="0" xfId="9" applyNumberFormat="1" applyFont="1" applyFill="1" applyAlignment="1">
      <alignment vertical="center"/>
    </xf>
    <xf numFmtId="1" fontId="27" fillId="14" borderId="1" xfId="6" applyNumberFormat="1" applyFont="1" applyFill="1" applyBorder="1" applyAlignment="1">
      <alignment horizontal="center" vertical="center"/>
    </xf>
    <xf numFmtId="1" fontId="23" fillId="2" borderId="0" xfId="9" applyNumberFormat="1" applyFont="1" applyFill="1" applyAlignment="1">
      <alignment horizontal="center" vertical="center" wrapText="1"/>
    </xf>
    <xf numFmtId="165" fontId="23" fillId="2" borderId="1" xfId="9" applyNumberFormat="1" applyFont="1" applyFill="1" applyBorder="1" applyAlignment="1">
      <alignment horizontal="center" vertical="center"/>
    </xf>
    <xf numFmtId="1" fontId="27" fillId="15" borderId="1" xfId="6" applyNumberFormat="1" applyFont="1" applyFill="1" applyBorder="1" applyAlignment="1">
      <alignment horizontal="center" vertical="center"/>
    </xf>
    <xf numFmtId="0" fontId="27" fillId="4" borderId="1" xfId="9" applyFont="1" applyFill="1" applyBorder="1" applyAlignment="1">
      <alignment horizontal="center" vertical="center"/>
    </xf>
    <xf numFmtId="0" fontId="23" fillId="2" borderId="0" xfId="9" applyFont="1" applyFill="1" applyAlignment="1">
      <alignment horizontal="center" vertical="center"/>
    </xf>
    <xf numFmtId="0" fontId="23" fillId="17" borderId="0" xfId="9" applyFont="1" applyFill="1" applyAlignment="1">
      <alignment horizontal="center" vertical="center"/>
    </xf>
    <xf numFmtId="0" fontId="27" fillId="4" borderId="0" xfId="9" applyFont="1" applyFill="1" applyAlignment="1">
      <alignment horizontal="center" vertical="center" wrapText="1"/>
    </xf>
    <xf numFmtId="1" fontId="20" fillId="24" borderId="0" xfId="9" applyNumberFormat="1" applyFont="1" applyFill="1" applyAlignment="1">
      <alignment vertical="center"/>
    </xf>
    <xf numFmtId="0" fontId="27" fillId="2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2" fontId="23" fillId="0" borderId="0" xfId="9" applyNumberFormat="1" applyFont="1" applyAlignment="1">
      <alignment vertical="center"/>
    </xf>
    <xf numFmtId="1" fontId="23" fillId="2" borderId="0" xfId="0" applyNumberFormat="1" applyFont="1" applyFill="1" applyAlignment="1">
      <alignment horizontal="center" vertical="center" wrapText="1"/>
    </xf>
    <xf numFmtId="2" fontId="23" fillId="2" borderId="7" xfId="9" applyNumberFormat="1" applyFont="1" applyFill="1" applyBorder="1" applyAlignment="1">
      <alignment horizontal="center" vertical="center"/>
    </xf>
    <xf numFmtId="2" fontId="23" fillId="0" borderId="1" xfId="9" applyNumberFormat="1" applyFont="1" applyBorder="1" applyAlignment="1">
      <alignment horizontal="center" vertical="center"/>
    </xf>
    <xf numFmtId="1" fontId="27" fillId="2" borderId="0" xfId="9" applyNumberFormat="1" applyFont="1" applyFill="1" applyAlignment="1">
      <alignment vertical="center"/>
    </xf>
    <xf numFmtId="0" fontId="27" fillId="2" borderId="0" xfId="9" applyFont="1" applyFill="1" applyAlignment="1">
      <alignment horizontal="center" vertical="center"/>
    </xf>
    <xf numFmtId="1" fontId="23" fillId="2" borderId="0" xfId="9" applyNumberFormat="1" applyFont="1" applyFill="1" applyAlignment="1">
      <alignment horizontal="center" vertical="center"/>
    </xf>
    <xf numFmtId="0" fontId="27" fillId="2" borderId="0" xfId="9" applyFont="1" applyFill="1" applyAlignment="1">
      <alignment horizontal="center" vertical="center" wrapText="1"/>
    </xf>
    <xf numFmtId="165" fontId="23" fillId="0" borderId="0" xfId="9" applyNumberFormat="1" applyFont="1" applyAlignment="1">
      <alignment vertical="center"/>
    </xf>
    <xf numFmtId="165" fontId="23" fillId="2" borderId="7" xfId="9" applyNumberFormat="1" applyFont="1" applyFill="1" applyBorder="1" applyAlignment="1">
      <alignment horizontal="center" vertical="center"/>
    </xf>
    <xf numFmtId="0" fontId="23" fillId="2" borderId="0" xfId="11" applyFont="1" applyFill="1" applyAlignment="1">
      <alignment horizontal="center" vertical="center"/>
    </xf>
    <xf numFmtId="0" fontId="23" fillId="2" borderId="0" xfId="9" applyFont="1" applyFill="1" applyAlignment="1">
      <alignment vertical="center" wrapText="1"/>
    </xf>
    <xf numFmtId="0" fontId="23" fillId="0" borderId="0" xfId="11" applyFont="1" applyAlignment="1">
      <alignment horizontal="center" vertical="center"/>
    </xf>
    <xf numFmtId="1" fontId="23" fillId="2" borderId="1" xfId="9" applyNumberFormat="1" applyFont="1" applyFill="1" applyBorder="1" applyAlignment="1">
      <alignment horizontal="center" vertical="center"/>
    </xf>
    <xf numFmtId="1" fontId="23" fillId="2" borderId="0" xfId="9" applyNumberFormat="1" applyFont="1" applyFill="1" applyAlignment="1">
      <alignment vertical="center" wrapText="1"/>
    </xf>
    <xf numFmtId="0" fontId="23" fillId="2" borderId="0" xfId="11" applyFont="1" applyFill="1" applyAlignment="1">
      <alignment horizontal="center" vertical="center" wrapText="1"/>
    </xf>
    <xf numFmtId="1" fontId="20" fillId="0" borderId="0" xfId="9" applyNumberFormat="1" applyFont="1" applyAlignment="1">
      <alignment vertical="center"/>
    </xf>
    <xf numFmtId="1" fontId="20" fillId="2" borderId="0" xfId="9" applyNumberFormat="1" applyFont="1" applyFill="1" applyAlignment="1">
      <alignment horizontal="center" vertical="center"/>
    </xf>
    <xf numFmtId="0" fontId="20" fillId="2" borderId="0" xfId="9" applyFont="1" applyFill="1" applyAlignment="1">
      <alignment vertical="center"/>
    </xf>
    <xf numFmtId="0" fontId="20" fillId="2" borderId="0" xfId="9" applyFont="1" applyFill="1" applyAlignment="1">
      <alignment vertical="center" wrapText="1"/>
    </xf>
    <xf numFmtId="0" fontId="20" fillId="0" borderId="1" xfId="9" applyFont="1" applyBorder="1" applyAlignment="1">
      <alignment horizontal="center" vertical="center"/>
    </xf>
    <xf numFmtId="1" fontId="23" fillId="0" borderId="0" xfId="9" applyNumberFormat="1" applyFont="1" applyAlignment="1">
      <alignment vertical="center" wrapText="1"/>
    </xf>
    <xf numFmtId="1" fontId="23" fillId="2" borderId="7" xfId="9" applyNumberFormat="1" applyFont="1" applyFill="1" applyBorder="1" applyAlignment="1">
      <alignment horizontal="center" vertical="center"/>
    </xf>
    <xf numFmtId="0" fontId="23" fillId="2" borderId="0" xfId="9" applyFont="1" applyFill="1" applyAlignment="1">
      <alignment horizontal="center" vertical="center" wrapText="1"/>
    </xf>
    <xf numFmtId="1" fontId="27" fillId="12" borderId="0" xfId="6" applyNumberFormat="1" applyFont="1" applyFill="1" applyAlignment="1">
      <alignment horizontal="center" vertical="center"/>
    </xf>
    <xf numFmtId="1" fontId="27" fillId="13" borderId="0" xfId="6" applyNumberFormat="1" applyFont="1" applyFill="1" applyAlignment="1">
      <alignment horizontal="center" vertical="center"/>
    </xf>
    <xf numFmtId="1" fontId="27" fillId="5" borderId="0" xfId="9" applyNumberFormat="1" applyFont="1" applyFill="1" applyAlignment="1">
      <alignment vertical="center"/>
    </xf>
    <xf numFmtId="1" fontId="23" fillId="0" borderId="0" xfId="0" applyNumberFormat="1" applyFont="1" applyAlignment="1">
      <alignment horizontal="center" vertical="center" wrapText="1"/>
    </xf>
    <xf numFmtId="2" fontId="23" fillId="0" borderId="0" xfId="9" applyNumberFormat="1" applyFont="1" applyAlignment="1">
      <alignment horizontal="center" vertical="center" wrapText="1"/>
    </xf>
    <xf numFmtId="165" fontId="23" fillId="0" borderId="1" xfId="9" applyNumberFormat="1" applyFont="1" applyBorder="1" applyAlignment="1">
      <alignment horizontal="center" vertical="center" wrapText="1"/>
    </xf>
    <xf numFmtId="1" fontId="23" fillId="0" borderId="0" xfId="9" applyNumberFormat="1" applyFont="1" applyAlignment="1">
      <alignment horizontal="left" vertical="center"/>
    </xf>
    <xf numFmtId="165" fontId="23" fillId="2" borderId="1" xfId="9" applyNumberFormat="1" applyFont="1" applyFill="1" applyBorder="1" applyAlignment="1">
      <alignment vertical="center"/>
    </xf>
    <xf numFmtId="1" fontId="23" fillId="2" borderId="1" xfId="9" applyNumberFormat="1" applyFont="1" applyFill="1" applyBorder="1" applyAlignment="1">
      <alignment vertical="center"/>
    </xf>
    <xf numFmtId="0" fontId="27" fillId="4" borderId="1" xfId="9" applyFont="1" applyFill="1" applyBorder="1" applyAlignment="1">
      <alignment horizontal="center" vertical="center" wrapText="1"/>
    </xf>
    <xf numFmtId="0" fontId="27" fillId="0" borderId="0" xfId="9" applyFont="1" applyAlignment="1">
      <alignment horizontal="center" vertical="center" wrapText="1"/>
    </xf>
    <xf numFmtId="1" fontId="27" fillId="0" borderId="0" xfId="9" applyNumberFormat="1" applyFont="1" applyAlignment="1">
      <alignment vertical="center"/>
    </xf>
    <xf numFmtId="0" fontId="20" fillId="2" borderId="0" xfId="9" applyFont="1" applyFill="1" applyAlignment="1">
      <alignment horizontal="center" vertical="center"/>
    </xf>
    <xf numFmtId="0" fontId="20" fillId="2" borderId="0" xfId="9" applyFont="1" applyFill="1" applyAlignment="1">
      <alignment horizontal="center" vertical="center" wrapText="1"/>
    </xf>
    <xf numFmtId="0" fontId="28" fillId="2" borderId="0" xfId="9" applyFont="1" applyFill="1" applyAlignment="1">
      <alignment horizontal="center" vertical="center" wrapText="1"/>
    </xf>
    <xf numFmtId="1" fontId="27" fillId="2" borderId="0" xfId="9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23" fillId="2" borderId="0" xfId="0" quotePrefix="1" applyFont="1" applyFill="1" applyAlignment="1">
      <alignment horizontal="center" vertical="center"/>
    </xf>
    <xf numFmtId="1" fontId="23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2" borderId="1" xfId="0" quotePrefix="1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1" fontId="29" fillId="0" borderId="0" xfId="6" applyNumberFormat="1" applyFont="1" applyAlignment="1">
      <alignment horizontal="center" vertical="center" wrapText="1"/>
    </xf>
    <xf numFmtId="0" fontId="29" fillId="0" borderId="0" xfId="6" applyFont="1" applyAlignment="1">
      <alignment horizontal="center" vertical="center" wrapText="1"/>
    </xf>
    <xf numFmtId="0" fontId="29" fillId="0" borderId="0" xfId="9" applyFont="1" applyAlignment="1">
      <alignment horizontal="center" vertical="center" wrapText="1"/>
    </xf>
    <xf numFmtId="1" fontId="29" fillId="0" borderId="0" xfId="9" applyNumberFormat="1" applyFont="1" applyAlignment="1">
      <alignment horizontal="center" vertical="center" wrapText="1"/>
    </xf>
    <xf numFmtId="49" fontId="29" fillId="0" borderId="0" xfId="6" applyNumberFormat="1" applyFont="1" applyAlignment="1">
      <alignment horizontal="center" vertical="center" wrapText="1"/>
    </xf>
    <xf numFmtId="49" fontId="29" fillId="0" borderId="1" xfId="6" applyNumberFormat="1" applyFont="1" applyBorder="1" applyAlignment="1">
      <alignment horizontal="center" vertical="center" wrapText="1"/>
    </xf>
    <xf numFmtId="0" fontId="29" fillId="0" borderId="1" xfId="9" applyFont="1" applyBorder="1" applyAlignment="1">
      <alignment horizontal="center" vertical="center" wrapText="1"/>
    </xf>
    <xf numFmtId="1" fontId="29" fillId="0" borderId="1" xfId="9" applyNumberFormat="1" applyFont="1" applyBorder="1" applyAlignment="1">
      <alignment horizontal="center" vertical="center" wrapText="1"/>
    </xf>
    <xf numFmtId="0" fontId="29" fillId="0" borderId="1" xfId="9" applyFont="1" applyBorder="1" applyAlignment="1">
      <alignment vertical="center"/>
    </xf>
    <xf numFmtId="0" fontId="24" fillId="0" borderId="0" xfId="9" applyFont="1"/>
    <xf numFmtId="0" fontId="24" fillId="0" borderId="0" xfId="9" applyFont="1" applyAlignment="1">
      <alignment horizontal="center"/>
    </xf>
    <xf numFmtId="0" fontId="24" fillId="0" borderId="0" xfId="9" applyFont="1" applyAlignment="1">
      <alignment vertical="center"/>
    </xf>
    <xf numFmtId="0" fontId="24" fillId="0" borderId="1" xfId="9" applyFont="1" applyBorder="1" applyAlignment="1">
      <alignment horizontal="center" vertical="center"/>
    </xf>
    <xf numFmtId="0" fontId="24" fillId="0" borderId="1" xfId="9" applyFont="1" applyBorder="1" applyAlignment="1">
      <alignment vertical="center"/>
    </xf>
    <xf numFmtId="1" fontId="24" fillId="0" borderId="0" xfId="9" applyNumberFormat="1" applyFont="1"/>
    <xf numFmtId="0" fontId="24" fillId="0" borderId="0" xfId="9" applyFont="1" applyAlignment="1">
      <alignment wrapText="1"/>
    </xf>
    <xf numFmtId="0" fontId="25" fillId="0" borderId="0" xfId="0" applyFont="1"/>
    <xf numFmtId="0" fontId="25" fillId="0" borderId="0" xfId="0" applyFont="1" applyAlignment="1">
      <alignment horizontal="center"/>
    </xf>
    <xf numFmtId="165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1" xfId="10" applyFont="1" applyFill="1" applyBorder="1" applyAlignment="1">
      <alignment horizontal="center" vertical="center" wrapText="1"/>
    </xf>
    <xf numFmtId="165" fontId="30" fillId="20" borderId="1" xfId="0" applyNumberFormat="1" applyFont="1" applyFill="1" applyBorder="1" applyAlignment="1">
      <alignment horizontal="center" vertical="center" wrapText="1"/>
    </xf>
    <xf numFmtId="2" fontId="30" fillId="20" borderId="1" xfId="0" applyNumberFormat="1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center" vertical="center"/>
    </xf>
    <xf numFmtId="2" fontId="30" fillId="8" borderId="1" xfId="0" applyNumberFormat="1" applyFont="1" applyFill="1" applyBorder="1" applyAlignment="1">
      <alignment horizontal="center" vertical="center" wrapText="1"/>
    </xf>
    <xf numFmtId="165" fontId="30" fillId="8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65" fontId="30" fillId="21" borderId="1" xfId="0" applyNumberFormat="1" applyFont="1" applyFill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7" fillId="16" borderId="0" xfId="9" applyFont="1" applyFill="1" applyAlignment="1">
      <alignment horizontal="center" vertical="center"/>
    </xf>
    <xf numFmtId="0" fontId="17" fillId="0" borderId="0" xfId="9" applyFont="1" applyAlignment="1">
      <alignment vertical="center"/>
    </xf>
    <xf numFmtId="1" fontId="27" fillId="5" borderId="0" xfId="9" applyNumberFormat="1" applyFont="1" applyFill="1" applyAlignment="1">
      <alignment horizontal="center" vertical="center"/>
    </xf>
    <xf numFmtId="0" fontId="27" fillId="2" borderId="0" xfId="9" applyFont="1" applyFill="1" applyAlignment="1">
      <alignment vertical="center"/>
    </xf>
    <xf numFmtId="0" fontId="16" fillId="16" borderId="0" xfId="9" applyFont="1" applyFill="1" applyAlignment="1">
      <alignment horizontal="center" vertical="center"/>
    </xf>
    <xf numFmtId="1" fontId="17" fillId="5" borderId="0" xfId="9" applyNumberFormat="1" applyFont="1" applyFill="1" applyAlignment="1">
      <alignment horizontal="center" vertical="center"/>
    </xf>
    <xf numFmtId="1" fontId="21" fillId="0" borderId="1" xfId="0" applyNumberFormat="1" applyFont="1" applyBorder="1" applyAlignment="1">
      <alignment vertical="center"/>
    </xf>
    <xf numFmtId="14" fontId="26" fillId="0" borderId="1" xfId="9" applyNumberFormat="1" applyFont="1" applyBorder="1" applyAlignment="1">
      <alignment horizontal="center" vertical="center"/>
    </xf>
    <xf numFmtId="0" fontId="23" fillId="3" borderId="0" xfId="9" applyFont="1" applyFill="1" applyAlignment="1">
      <alignment vertical="center"/>
    </xf>
    <xf numFmtId="165" fontId="23" fillId="2" borderId="0" xfId="9" applyNumberFormat="1" applyFont="1" applyFill="1" applyAlignment="1">
      <alignment horizontal="center" vertical="center"/>
    </xf>
    <xf numFmtId="0" fontId="27" fillId="0" borderId="0" xfId="9" applyFont="1" applyAlignment="1">
      <alignment vertical="center"/>
    </xf>
    <xf numFmtId="0" fontId="27" fillId="0" borderId="0" xfId="9" applyFont="1" applyAlignment="1">
      <alignment horizontal="center" vertical="center"/>
    </xf>
    <xf numFmtId="2" fontId="23" fillId="0" borderId="0" xfId="9" applyNumberFormat="1" applyFont="1" applyAlignment="1">
      <alignment horizontal="center" vertical="center"/>
    </xf>
    <xf numFmtId="165" fontId="23" fillId="0" borderId="0" xfId="9" applyNumberFormat="1" applyFont="1" applyAlignment="1">
      <alignment horizontal="center" vertical="center"/>
    </xf>
    <xf numFmtId="9" fontId="27" fillId="0" borderId="0" xfId="16" applyFont="1" applyAlignment="1">
      <alignment vertical="center"/>
    </xf>
    <xf numFmtId="0" fontId="20" fillId="0" borderId="0" xfId="9" applyFont="1" applyAlignment="1">
      <alignment vertical="center"/>
    </xf>
    <xf numFmtId="0" fontId="20" fillId="0" borderId="0" xfId="9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65" fontId="27" fillId="0" borderId="0" xfId="9" applyNumberFormat="1" applyFont="1" applyAlignment="1">
      <alignment vertical="center"/>
    </xf>
    <xf numFmtId="1" fontId="27" fillId="24" borderId="0" xfId="9" applyNumberFormat="1" applyFont="1" applyFill="1" applyAlignment="1">
      <alignment vertical="center"/>
    </xf>
    <xf numFmtId="1" fontId="27" fillId="28" borderId="0" xfId="6" applyNumberFormat="1" applyFont="1" applyFill="1" applyAlignment="1">
      <alignment horizontal="center" vertical="center"/>
    </xf>
    <xf numFmtId="165" fontId="7" fillId="11" borderId="10" xfId="0" applyNumberFormat="1" applyFont="1" applyFill="1" applyBorder="1" applyAlignment="1">
      <alignment vertical="center"/>
    </xf>
    <xf numFmtId="165" fontId="7" fillId="2" borderId="10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3" fillId="30" borderId="0" xfId="9" applyFont="1" applyFill="1" applyAlignment="1">
      <alignment horizontal="center" vertical="center"/>
    </xf>
    <xf numFmtId="0" fontId="35" fillId="19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9" fillId="2" borderId="0" xfId="0" applyFont="1" applyFill="1" applyAlignment="1">
      <alignment vertical="center"/>
    </xf>
    <xf numFmtId="15" fontId="32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/>
    </xf>
    <xf numFmtId="0" fontId="32" fillId="2" borderId="0" xfId="0" applyFont="1" applyFill="1" applyAlignment="1">
      <alignment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/>
    </xf>
    <xf numFmtId="0" fontId="31" fillId="2" borderId="1" xfId="0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165" fontId="31" fillId="2" borderId="1" xfId="0" applyNumberFormat="1" applyFont="1" applyFill="1" applyBorder="1" applyAlignment="1">
      <alignment horizontal="center" vertical="center"/>
    </xf>
    <xf numFmtId="0" fontId="31" fillId="2" borderId="1" xfId="0" quotePrefix="1" applyFont="1" applyFill="1" applyBorder="1" applyAlignment="1">
      <alignment horizontal="center" vertical="center" wrapText="1"/>
    </xf>
    <xf numFmtId="0" fontId="37" fillId="0" borderId="0" xfId="9" applyFont="1" applyAlignment="1">
      <alignment vertical="center"/>
    </xf>
    <xf numFmtId="0" fontId="38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5" fillId="26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168" fontId="35" fillId="2" borderId="1" xfId="0" applyNumberFormat="1" applyFont="1" applyFill="1" applyBorder="1" applyAlignment="1">
      <alignment horizontal="center" vertical="center" wrapText="1"/>
    </xf>
    <xf numFmtId="165" fontId="35" fillId="2" borderId="1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165" fontId="35" fillId="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15" fontId="29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165" fontId="29" fillId="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vertical="center" wrapText="1"/>
    </xf>
    <xf numFmtId="0" fontId="35" fillId="23" borderId="1" xfId="0" applyFont="1" applyFill="1" applyBorder="1" applyAlignment="1">
      <alignment vertical="center"/>
    </xf>
    <xf numFmtId="164" fontId="31" fillId="23" borderId="1" xfId="1" applyFont="1" applyFill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/>
    </xf>
    <xf numFmtId="0" fontId="31" fillId="23" borderId="0" xfId="0" applyFont="1" applyFill="1" applyAlignment="1">
      <alignment vertical="center"/>
    </xf>
    <xf numFmtId="0" fontId="35" fillId="19" borderId="1" xfId="0" applyFont="1" applyFill="1" applyBorder="1" applyAlignment="1">
      <alignment vertical="center" wrapText="1"/>
    </xf>
    <xf numFmtId="0" fontId="38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vertical="center"/>
    </xf>
    <xf numFmtId="1" fontId="29" fillId="2" borderId="1" xfId="0" applyNumberFormat="1" applyFont="1" applyFill="1" applyBorder="1" applyAlignment="1">
      <alignment horizontal="center" vertical="center" wrapText="1" shrinkToFit="1"/>
    </xf>
    <xf numFmtId="0" fontId="29" fillId="2" borderId="1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left" vertical="center"/>
    </xf>
    <xf numFmtId="0" fontId="38" fillId="2" borderId="10" xfId="0" applyFont="1" applyFill="1" applyBorder="1" applyAlignment="1">
      <alignment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/>
    </xf>
    <xf numFmtId="2" fontId="31" fillId="0" borderId="0" xfId="0" applyNumberFormat="1" applyFont="1" applyAlignment="1">
      <alignment vertical="center"/>
    </xf>
    <xf numFmtId="1" fontId="31" fillId="2" borderId="1" xfId="0" applyNumberFormat="1" applyFont="1" applyFill="1" applyBorder="1" applyAlignment="1">
      <alignment horizontal="center" vertical="center"/>
    </xf>
    <xf numFmtId="14" fontId="24" fillId="2" borderId="1" xfId="4" applyNumberFormat="1" applyFont="1" applyFill="1" applyBorder="1" applyAlignment="1">
      <alignment horizontal="center" vertical="center" wrapText="1"/>
    </xf>
    <xf numFmtId="0" fontId="24" fillId="2" borderId="1" xfId="4" applyFont="1" applyFill="1" applyBorder="1" applyAlignment="1">
      <alignment horizontal="center" vertical="center" wrapText="1"/>
    </xf>
    <xf numFmtId="14" fontId="29" fillId="2" borderId="1" xfId="0" applyNumberFormat="1" applyFont="1" applyFill="1" applyBorder="1" applyAlignment="1">
      <alignment horizontal="center" vertical="center" wrapText="1"/>
    </xf>
    <xf numFmtId="165" fontId="29" fillId="2" borderId="1" xfId="1" applyNumberFormat="1" applyFont="1" applyFill="1" applyBorder="1" applyAlignment="1">
      <alignment horizontal="center" vertical="center" wrapText="1"/>
    </xf>
    <xf numFmtId="165" fontId="29" fillId="2" borderId="1" xfId="0" applyNumberFormat="1" applyFont="1" applyFill="1" applyBorder="1" applyAlignment="1">
      <alignment horizontal="center" vertical="center"/>
    </xf>
    <xf numFmtId="170" fontId="29" fillId="2" borderId="1" xfId="0" applyNumberFormat="1" applyFont="1" applyFill="1" applyBorder="1" applyAlignment="1">
      <alignment horizontal="center" vertical="center" shrinkToFit="1"/>
    </xf>
    <xf numFmtId="0" fontId="36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2" fontId="5" fillId="3" borderId="1" xfId="0" applyNumberFormat="1" applyFont="1" applyFill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 wrapText="1"/>
    </xf>
    <xf numFmtId="14" fontId="41" fillId="3" borderId="1" xfId="0" applyNumberFormat="1" applyFont="1" applyFill="1" applyBorder="1" applyAlignment="1">
      <alignment horizontal="center" vertical="center" wrapText="1"/>
    </xf>
    <xf numFmtId="2" fontId="41" fillId="3" borderId="1" xfId="0" applyNumberFormat="1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17" fillId="32" borderId="14" xfId="0" applyFont="1" applyFill="1" applyBorder="1" applyAlignment="1">
      <alignment horizontal="left" vertical="center"/>
    </xf>
    <xf numFmtId="0" fontId="27" fillId="32" borderId="4" xfId="0" applyFont="1" applyFill="1" applyBorder="1" applyAlignment="1">
      <alignment vertical="center"/>
    </xf>
    <xf numFmtId="0" fontId="27" fillId="32" borderId="4" xfId="0" applyFont="1" applyFill="1" applyBorder="1" applyAlignment="1">
      <alignment horizontal="center" vertical="center"/>
    </xf>
    <xf numFmtId="0" fontId="27" fillId="32" borderId="4" xfId="0" applyFont="1" applyFill="1" applyBorder="1" applyAlignment="1">
      <alignment horizontal="right" vertical="center" wrapText="1"/>
    </xf>
    <xf numFmtId="0" fontId="27" fillId="32" borderId="4" xfId="0" applyFont="1" applyFill="1" applyBorder="1" applyAlignment="1">
      <alignment horizontal="right" vertical="center"/>
    </xf>
    <xf numFmtId="0" fontId="27" fillId="32" borderId="8" xfId="0" applyFont="1" applyFill="1" applyBorder="1" applyAlignment="1">
      <alignment horizontal="right" vertical="center"/>
    </xf>
    <xf numFmtId="0" fontId="27" fillId="32" borderId="13" xfId="0" applyFont="1" applyFill="1" applyBorder="1" applyAlignment="1">
      <alignment vertical="center" wrapText="1"/>
    </xf>
    <xf numFmtId="0" fontId="27" fillId="32" borderId="13" xfId="0" applyFont="1" applyFill="1" applyBorder="1" applyAlignment="1">
      <alignment vertical="center"/>
    </xf>
    <xf numFmtId="0" fontId="27" fillId="32" borderId="12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1" fontId="48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0" fillId="2" borderId="1" xfId="0" applyFont="1" applyFill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 wrapText="1"/>
    </xf>
    <xf numFmtId="0" fontId="50" fillId="18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165" fontId="50" fillId="0" borderId="1" xfId="0" applyNumberFormat="1" applyFont="1" applyBorder="1" applyAlignment="1">
      <alignment horizontal="center" vertical="center" wrapText="1"/>
    </xf>
    <xf numFmtId="0" fontId="50" fillId="26" borderId="1" xfId="0" applyFont="1" applyFill="1" applyBorder="1" applyAlignment="1">
      <alignment horizontal="center" vertical="center" wrapText="1"/>
    </xf>
    <xf numFmtId="0" fontId="50" fillId="18" borderId="1" xfId="0" applyFont="1" applyFill="1" applyBorder="1" applyAlignment="1">
      <alignment vertical="center" wrapText="1"/>
    </xf>
    <xf numFmtId="0" fontId="50" fillId="1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 wrapText="1"/>
    </xf>
    <xf numFmtId="0" fontId="50" fillId="26" borderId="1" xfId="0" applyFont="1" applyFill="1" applyBorder="1" applyAlignment="1">
      <alignment vertical="center" wrapText="1"/>
    </xf>
    <xf numFmtId="43" fontId="50" fillId="26" borderId="1" xfId="0" applyNumberFormat="1" applyFont="1" applyFill="1" applyBorder="1" applyAlignment="1">
      <alignment vertical="center" wrapText="1"/>
    </xf>
    <xf numFmtId="43" fontId="50" fillId="26" borderId="1" xfId="0" applyNumberFormat="1" applyFont="1" applyFill="1" applyBorder="1" applyAlignment="1">
      <alignment vertical="center"/>
    </xf>
    <xf numFmtId="43" fontId="50" fillId="26" borderId="1" xfId="0" applyNumberFormat="1" applyFont="1" applyFill="1" applyBorder="1" applyAlignment="1">
      <alignment horizontal="center" vertical="center"/>
    </xf>
    <xf numFmtId="43" fontId="50" fillId="26" borderId="1" xfId="0" applyNumberFormat="1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 wrapText="1"/>
    </xf>
    <xf numFmtId="1" fontId="50" fillId="7" borderId="1" xfId="0" applyNumberFormat="1" applyFont="1" applyFill="1" applyBorder="1" applyAlignment="1">
      <alignment horizontal="center" vertical="center" wrapText="1"/>
    </xf>
    <xf numFmtId="165" fontId="50" fillId="7" borderId="1" xfId="0" applyNumberFormat="1" applyFont="1" applyFill="1" applyBorder="1" applyAlignment="1">
      <alignment horizontal="center" vertical="center"/>
    </xf>
    <xf numFmtId="167" fontId="53" fillId="0" borderId="1" xfId="1" applyNumberFormat="1" applyFont="1" applyFill="1" applyBorder="1" applyAlignment="1">
      <alignment horizontal="center" vertical="center" wrapText="1"/>
    </xf>
    <xf numFmtId="167" fontId="53" fillId="0" borderId="1" xfId="1" applyNumberFormat="1" applyFont="1" applyFill="1" applyBorder="1" applyAlignment="1">
      <alignment horizontal="center" vertical="center"/>
    </xf>
    <xf numFmtId="165" fontId="50" fillId="7" borderId="1" xfId="0" applyNumberFormat="1" applyFont="1" applyFill="1" applyBorder="1" applyAlignment="1">
      <alignment horizontal="center" vertical="center" wrapText="1"/>
    </xf>
    <xf numFmtId="1" fontId="50" fillId="26" borderId="1" xfId="0" applyNumberFormat="1" applyFont="1" applyFill="1" applyBorder="1" applyAlignment="1">
      <alignment horizontal="center" vertical="center" wrapText="1"/>
    </xf>
    <xf numFmtId="1" fontId="50" fillId="26" borderId="1" xfId="0" applyNumberFormat="1" applyFont="1" applyFill="1" applyBorder="1" applyAlignment="1">
      <alignment horizontal="center" vertical="center"/>
    </xf>
    <xf numFmtId="168" fontId="50" fillId="26" borderId="1" xfId="0" applyNumberFormat="1" applyFont="1" applyFill="1" applyBorder="1" applyAlignment="1">
      <alignment horizontal="center" vertical="center" wrapText="1"/>
    </xf>
    <xf numFmtId="0" fontId="50" fillId="26" borderId="1" xfId="0" applyFont="1" applyFill="1" applyBorder="1" applyAlignment="1">
      <alignment horizontal="center" wrapText="1"/>
    </xf>
    <xf numFmtId="1" fontId="50" fillId="2" borderId="1" xfId="0" applyNumberFormat="1" applyFont="1" applyFill="1" applyBorder="1" applyAlignment="1">
      <alignment horizontal="center" vertical="center"/>
    </xf>
    <xf numFmtId="168" fontId="50" fillId="2" borderId="1" xfId="0" applyNumberFormat="1" applyFont="1" applyFill="1" applyBorder="1" applyAlignment="1">
      <alignment horizontal="center" vertical="center" wrapText="1"/>
    </xf>
    <xf numFmtId="168" fontId="53" fillId="2" borderId="1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50" fillId="26" borderId="1" xfId="0" quotePrefix="1" applyFont="1" applyFill="1" applyBorder="1" applyAlignment="1">
      <alignment horizontal="center" vertical="center" wrapText="1"/>
    </xf>
    <xf numFmtId="165" fontId="50" fillId="26" borderId="1" xfId="0" applyNumberFormat="1" applyFont="1" applyFill="1" applyBorder="1" applyAlignment="1">
      <alignment horizontal="center" vertical="center" wrapText="1"/>
    </xf>
    <xf numFmtId="165" fontId="50" fillId="26" borderId="1" xfId="0" quotePrefix="1" applyNumberFormat="1" applyFont="1" applyFill="1" applyBorder="1" applyAlignment="1">
      <alignment horizontal="center" vertical="center" wrapText="1"/>
    </xf>
    <xf numFmtId="0" fontId="50" fillId="19" borderId="2" xfId="0" applyFont="1" applyFill="1" applyBorder="1" applyAlignment="1">
      <alignment vertical="center" wrapText="1"/>
    </xf>
    <xf numFmtId="0" fontId="50" fillId="19" borderId="2" xfId="0" applyFont="1" applyFill="1" applyBorder="1" applyAlignment="1">
      <alignment horizontal="center" vertical="center" wrapText="1"/>
    </xf>
    <xf numFmtId="0" fontId="50" fillId="18" borderId="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6" fillId="2" borderId="1" xfId="0" applyFont="1" applyFill="1" applyBorder="1"/>
    <xf numFmtId="0" fontId="43" fillId="2" borderId="1" xfId="0" applyFont="1" applyFill="1" applyBorder="1" applyAlignment="1">
      <alignment vertical="center"/>
    </xf>
    <xf numFmtId="0" fontId="54" fillId="0" borderId="1" xfId="0" applyFont="1" applyBorder="1" applyAlignment="1">
      <alignment horizontal="center" vertical="center" wrapText="1"/>
    </xf>
    <xf numFmtId="165" fontId="47" fillId="2" borderId="1" xfId="0" applyNumberFormat="1" applyFont="1" applyFill="1" applyBorder="1" applyAlignment="1">
      <alignment horizontal="center" vertical="center"/>
    </xf>
    <xf numFmtId="165" fontId="48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8" fillId="0" borderId="19" xfId="4" applyFont="1" applyBorder="1" applyAlignment="1">
      <alignment horizontal="center" vertical="center" wrapText="1"/>
    </xf>
    <xf numFmtId="0" fontId="48" fillId="0" borderId="20" xfId="4" applyFont="1" applyBorder="1" applyAlignment="1">
      <alignment horizontal="center" vertical="center" wrapText="1"/>
    </xf>
    <xf numFmtId="0" fontId="48" fillId="0" borderId="21" xfId="4" applyFont="1" applyBorder="1" applyAlignment="1">
      <alignment horizontal="center" vertical="center"/>
    </xf>
    <xf numFmtId="165" fontId="48" fillId="0" borderId="1" xfId="4" applyNumberFormat="1" applyFont="1" applyBorder="1" applyAlignment="1">
      <alignment horizontal="center" vertical="center"/>
    </xf>
    <xf numFmtId="0" fontId="48" fillId="0" borderId="24" xfId="4" applyFont="1" applyBorder="1" applyAlignment="1">
      <alignment horizontal="center" vertical="center" wrapText="1"/>
    </xf>
    <xf numFmtId="0" fontId="48" fillId="0" borderId="15" xfId="4" applyFont="1" applyBorder="1" applyAlignment="1">
      <alignment horizontal="center" vertical="center" wrapText="1"/>
    </xf>
    <xf numFmtId="1" fontId="48" fillId="0" borderId="1" xfId="4" applyNumberFormat="1" applyFont="1" applyBorder="1" applyAlignment="1">
      <alignment horizontal="center" vertical="center"/>
    </xf>
    <xf numFmtId="165" fontId="48" fillId="0" borderId="21" xfId="4" applyNumberFormat="1" applyFont="1" applyBorder="1" applyAlignment="1">
      <alignment horizontal="center" vertical="center"/>
    </xf>
    <xf numFmtId="165" fontId="0" fillId="0" borderId="0" xfId="0" applyNumberFormat="1"/>
    <xf numFmtId="0" fontId="56" fillId="0" borderId="0" xfId="0" applyFont="1"/>
    <xf numFmtId="0" fontId="48" fillId="0" borderId="32" xfId="4" applyFont="1" applyBorder="1" applyAlignment="1">
      <alignment horizontal="center" vertical="center" wrapText="1"/>
    </xf>
    <xf numFmtId="0" fontId="48" fillId="0" borderId="3" xfId="4" applyFont="1" applyBorder="1" applyAlignment="1">
      <alignment horizontal="center" vertical="center" wrapText="1"/>
    </xf>
    <xf numFmtId="0" fontId="56" fillId="2" borderId="0" xfId="0" applyFont="1" applyFill="1"/>
    <xf numFmtId="0" fontId="48" fillId="0" borderId="18" xfId="4" applyFont="1" applyBorder="1" applyAlignment="1">
      <alignment horizontal="center" vertical="center"/>
    </xf>
    <xf numFmtId="1" fontId="48" fillId="0" borderId="2" xfId="4" applyNumberFormat="1" applyFont="1" applyBorder="1" applyAlignment="1">
      <alignment horizontal="center" vertical="center" wrapText="1"/>
    </xf>
    <xf numFmtId="1" fontId="48" fillId="0" borderId="1" xfId="4" applyNumberFormat="1" applyFont="1" applyBorder="1" applyAlignment="1">
      <alignment horizontal="center" vertical="center" wrapText="1"/>
    </xf>
    <xf numFmtId="165" fontId="48" fillId="0" borderId="1" xfId="4" applyNumberFormat="1" applyFont="1" applyBorder="1" applyAlignment="1">
      <alignment horizontal="center" vertical="center" wrapText="1"/>
    </xf>
    <xf numFmtId="165" fontId="48" fillId="0" borderId="2" xfId="4" applyNumberFormat="1" applyFont="1" applyBorder="1" applyAlignment="1">
      <alignment horizontal="center" vertical="center" wrapText="1"/>
    </xf>
    <xf numFmtId="165" fontId="48" fillId="0" borderId="22" xfId="4" applyNumberFormat="1" applyFont="1" applyBorder="1" applyAlignment="1">
      <alignment horizontal="center" vertical="center"/>
    </xf>
    <xf numFmtId="165" fontId="48" fillId="0" borderId="23" xfId="4" applyNumberFormat="1" applyFont="1" applyBorder="1" applyAlignment="1">
      <alignment horizontal="center" vertical="center" wrapText="1"/>
    </xf>
    <xf numFmtId="0" fontId="21" fillId="0" borderId="25" xfId="4" applyFont="1" applyBorder="1" applyAlignment="1">
      <alignment vertical="center"/>
    </xf>
    <xf numFmtId="172" fontId="58" fillId="3" borderId="1" xfId="4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left" vertical="center" wrapText="1"/>
    </xf>
    <xf numFmtId="1" fontId="29" fillId="2" borderId="1" xfId="0" applyNumberFormat="1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left" wrapText="1"/>
    </xf>
    <xf numFmtId="0" fontId="24" fillId="2" borderId="1" xfId="4" applyFont="1" applyFill="1" applyBorder="1" applyAlignment="1">
      <alignment horizontal="left" vertical="center" wrapText="1"/>
    </xf>
    <xf numFmtId="165" fontId="29" fillId="2" borderId="1" xfId="0" quotePrefix="1" applyNumberFormat="1" applyFont="1" applyFill="1" applyBorder="1" applyAlignment="1">
      <alignment horizontal="center" vertical="center" wrapText="1"/>
    </xf>
    <xf numFmtId="1" fontId="29" fillId="2" borderId="1" xfId="0" applyNumberFormat="1" applyFont="1" applyFill="1" applyBorder="1" applyAlignment="1">
      <alignment horizontal="center" vertical="center" shrinkToFit="1"/>
    </xf>
    <xf numFmtId="2" fontId="29" fillId="2" borderId="1" xfId="0" applyNumberFormat="1" applyFont="1" applyFill="1" applyBorder="1" applyAlignment="1">
      <alignment horizontal="center" vertical="center" wrapText="1"/>
    </xf>
    <xf numFmtId="15" fontId="38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15" fontId="29" fillId="2" borderId="3" xfId="0" applyNumberFormat="1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vertical="center"/>
    </xf>
    <xf numFmtId="0" fontId="29" fillId="2" borderId="3" xfId="0" applyFont="1" applyFill="1" applyBorder="1" applyAlignment="1">
      <alignment vertical="center" wrapText="1"/>
    </xf>
    <xf numFmtId="0" fontId="29" fillId="2" borderId="3" xfId="0" applyFont="1" applyFill="1" applyBorder="1" applyAlignment="1">
      <alignment horizontal="center" vertical="center"/>
    </xf>
    <xf numFmtId="15" fontId="29" fillId="2" borderId="2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vertical="center"/>
    </xf>
    <xf numFmtId="0" fontId="29" fillId="2" borderId="2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center" vertical="center"/>
    </xf>
    <xf numFmtId="169" fontId="29" fillId="2" borderId="1" xfId="0" applyNumberFormat="1" applyFont="1" applyFill="1" applyBorder="1" applyAlignment="1">
      <alignment horizontal="center" vertical="center" shrinkToFit="1"/>
    </xf>
    <xf numFmtId="0" fontId="29" fillId="3" borderId="0" xfId="0" applyFont="1" applyFill="1" applyAlignment="1">
      <alignment horizontal="center" vertical="center"/>
    </xf>
    <xf numFmtId="0" fontId="29" fillId="30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left" vertical="center"/>
    </xf>
    <xf numFmtId="0" fontId="29" fillId="3" borderId="0" xfId="0" applyFont="1" applyFill="1" applyAlignment="1">
      <alignment vertical="center"/>
    </xf>
    <xf numFmtId="15" fontId="29" fillId="2" borderId="15" xfId="0" applyNumberFormat="1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vertical="center"/>
    </xf>
    <xf numFmtId="0" fontId="29" fillId="2" borderId="15" xfId="0" applyFont="1" applyFill="1" applyBorder="1" applyAlignment="1">
      <alignment vertical="center" wrapText="1"/>
    </xf>
    <xf numFmtId="0" fontId="29" fillId="2" borderId="15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9" fillId="2" borderId="1" xfId="0" quotePrefix="1" applyFont="1" applyFill="1" applyBorder="1" applyAlignment="1">
      <alignment horizontal="center" vertical="center" wrapText="1"/>
    </xf>
    <xf numFmtId="0" fontId="29" fillId="2" borderId="1" xfId="9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vertical="center"/>
    </xf>
    <xf numFmtId="0" fontId="29" fillId="23" borderId="1" xfId="0" applyFont="1" applyFill="1" applyBorder="1" applyAlignment="1">
      <alignment vertical="center" wrapText="1"/>
    </xf>
    <xf numFmtId="0" fontId="29" fillId="23" borderId="1" xfId="0" applyFont="1" applyFill="1" applyBorder="1" applyAlignment="1">
      <alignment horizontal="center" vertical="center" wrapText="1"/>
    </xf>
    <xf numFmtId="0" fontId="29" fillId="25" borderId="0" xfId="0" applyFont="1" applyFill="1" applyAlignment="1">
      <alignment horizontal="center" vertical="center"/>
    </xf>
    <xf numFmtId="0" fontId="29" fillId="19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18" borderId="7" xfId="0" applyFont="1" applyFill="1" applyBorder="1" applyAlignment="1">
      <alignment horizontal="center" vertical="center" wrapText="1"/>
    </xf>
    <xf numFmtId="0" fontId="29" fillId="18" borderId="1" xfId="0" applyFont="1" applyFill="1" applyBorder="1" applyAlignment="1">
      <alignment horizontal="center" vertical="center" wrapText="1"/>
    </xf>
    <xf numFmtId="0" fontId="29" fillId="19" borderId="9" xfId="0" applyFont="1" applyFill="1" applyBorder="1" applyAlignment="1">
      <alignment vertical="center" wrapText="1"/>
    </xf>
    <xf numFmtId="165" fontId="32" fillId="2" borderId="1" xfId="1" applyNumberFormat="1" applyFont="1" applyFill="1" applyBorder="1" applyAlignment="1">
      <alignment horizontal="center" vertical="center" wrapText="1"/>
    </xf>
    <xf numFmtId="14" fontId="32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2" borderId="1" xfId="9" applyFont="1" applyFill="1" applyBorder="1" applyAlignment="1">
      <alignment horizontal="center" vertical="center" wrapText="1"/>
    </xf>
    <xf numFmtId="165" fontId="31" fillId="2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165" fontId="32" fillId="2" borderId="1" xfId="0" applyNumberFormat="1" applyFont="1" applyFill="1" applyBorder="1" applyAlignment="1">
      <alignment horizontal="center" vertical="center" wrapText="1"/>
    </xf>
    <xf numFmtId="165" fontId="32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 wrapText="1"/>
    </xf>
    <xf numFmtId="0" fontId="32" fillId="2" borderId="34" xfId="0" applyFont="1" applyFill="1" applyBorder="1" applyAlignment="1">
      <alignment horizontal="center" vertical="center"/>
    </xf>
    <xf numFmtId="15" fontId="32" fillId="2" borderId="1" xfId="0" applyNumberFormat="1" applyFont="1" applyFill="1" applyBorder="1" applyAlignment="1">
      <alignment horizontal="center" vertical="center"/>
    </xf>
    <xf numFmtId="17" fontId="32" fillId="2" borderId="1" xfId="0" applyNumberFormat="1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0" fontId="6" fillId="20" borderId="1" xfId="20" applyFont="1" applyFill="1" applyBorder="1" applyAlignment="1">
      <alignment horizontal="center" vertical="center" wrapText="1"/>
    </xf>
    <xf numFmtId="0" fontId="45" fillId="0" borderId="0" xfId="21" applyFont="1" applyAlignment="1">
      <alignment vertical="center"/>
    </xf>
    <xf numFmtId="0" fontId="45" fillId="0" borderId="1" xfId="21" applyFont="1" applyBorder="1" applyAlignment="1">
      <alignment horizontal="center" vertical="center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1" xfId="19" applyFont="1" applyFill="1" applyBorder="1" applyAlignment="1">
      <alignment horizontal="left" vertical="center" wrapText="1"/>
    </xf>
    <xf numFmtId="0" fontId="63" fillId="0" borderId="1" xfId="20" applyFont="1" applyBorder="1" applyAlignment="1">
      <alignment horizontal="center" vertical="center" wrapText="1"/>
    </xf>
    <xf numFmtId="171" fontId="63" fillId="2" borderId="1" xfId="8" applyNumberFormat="1" applyFont="1" applyFill="1" applyBorder="1" applyAlignment="1">
      <alignment horizontal="center" vertical="center" wrapText="1"/>
    </xf>
    <xf numFmtId="0" fontId="64" fillId="0" borderId="1" xfId="21" applyFont="1" applyBorder="1" applyAlignment="1">
      <alignment horizontal="center" vertical="center"/>
    </xf>
    <xf numFmtId="0" fontId="63" fillId="2" borderId="1" xfId="8" applyFont="1" applyFill="1" applyBorder="1" applyAlignment="1">
      <alignment horizontal="center" vertical="center" wrapText="1"/>
    </xf>
    <xf numFmtId="0" fontId="6" fillId="0" borderId="1" xfId="20" applyFont="1" applyBorder="1" applyAlignment="1">
      <alignment horizontal="center" vertical="center" wrapText="1"/>
    </xf>
    <xf numFmtId="0" fontId="45" fillId="2" borderId="1" xfId="0" quotePrefix="1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left" vertical="center" wrapText="1"/>
    </xf>
    <xf numFmtId="0" fontId="45" fillId="0" borderId="1" xfId="20" applyFont="1" applyBorder="1" applyAlignment="1">
      <alignment horizontal="center" vertical="center" wrapText="1"/>
    </xf>
    <xf numFmtId="171" fontId="45" fillId="2" borderId="1" xfId="8" applyNumberFormat="1" applyFont="1" applyFill="1" applyBorder="1" applyAlignment="1">
      <alignment horizontal="center" vertical="center" wrapText="1"/>
    </xf>
    <xf numFmtId="0" fontId="65" fillId="0" borderId="1" xfId="21" applyFont="1" applyBorder="1" applyAlignment="1">
      <alignment horizontal="center" vertical="center"/>
    </xf>
    <xf numFmtId="0" fontId="45" fillId="2" borderId="1" xfId="8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left" vertical="center" wrapText="1"/>
    </xf>
    <xf numFmtId="0" fontId="7" fillId="0" borderId="1" xfId="20" applyFont="1" applyBorder="1" applyAlignment="1">
      <alignment horizontal="center" vertical="center" wrapText="1"/>
    </xf>
    <xf numFmtId="0" fontId="7" fillId="0" borderId="1" xfId="20" applyFont="1" applyBorder="1" applyAlignment="1">
      <alignment horizontal="left" vertical="center" wrapText="1"/>
    </xf>
    <xf numFmtId="0" fontId="7" fillId="0" borderId="0" xfId="20" applyFont="1" applyAlignment="1">
      <alignment horizontal="center" vertical="center" wrapText="1"/>
    </xf>
    <xf numFmtId="0" fontId="7" fillId="0" borderId="0" xfId="20" applyFont="1" applyAlignment="1">
      <alignment horizontal="left" vertical="center" wrapText="1"/>
    </xf>
    <xf numFmtId="0" fontId="45" fillId="2" borderId="0" xfId="0" applyFont="1" applyFill="1" applyAlignment="1">
      <alignment vertical="center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0" fontId="45" fillId="2" borderId="1" xfId="8" applyFont="1" applyFill="1" applyBorder="1" applyAlignment="1">
      <alignment horizontal="left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5" fillId="2" borderId="1" xfId="8" applyFont="1" applyFill="1" applyBorder="1" applyAlignment="1">
      <alignment vertical="center" wrapText="1"/>
    </xf>
    <xf numFmtId="14" fontId="45" fillId="2" borderId="1" xfId="0" applyNumberFormat="1" applyFont="1" applyFill="1" applyBorder="1" applyAlignment="1">
      <alignment vertical="center"/>
    </xf>
    <xf numFmtId="0" fontId="7" fillId="2" borderId="1" xfId="8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vertical="center"/>
    </xf>
    <xf numFmtId="165" fontId="29" fillId="3" borderId="1" xfId="0" applyNumberFormat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vertical="center" wrapText="1"/>
    </xf>
    <xf numFmtId="15" fontId="62" fillId="2" borderId="1" xfId="0" applyNumberFormat="1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0" fontId="60" fillId="2" borderId="0" xfId="0" applyFont="1" applyFill="1" applyAlignment="1">
      <alignment vertical="center"/>
    </xf>
    <xf numFmtId="14" fontId="3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vertical="center"/>
    </xf>
    <xf numFmtId="0" fontId="60" fillId="2" borderId="0" xfId="0" applyFont="1" applyFill="1" applyAlignment="1">
      <alignment horizontal="center" vertical="center"/>
    </xf>
    <xf numFmtId="0" fontId="50" fillId="23" borderId="1" xfId="0" applyFont="1" applyFill="1" applyBorder="1" applyAlignment="1">
      <alignment vertical="center" wrapText="1"/>
    </xf>
    <xf numFmtId="0" fontId="50" fillId="19" borderId="1" xfId="0" applyFont="1" applyFill="1" applyBorder="1" applyAlignment="1">
      <alignment vertical="center" wrapText="1"/>
    </xf>
    <xf numFmtId="0" fontId="23" fillId="23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vertical="center" wrapText="1"/>
    </xf>
    <xf numFmtId="0" fontId="23" fillId="2" borderId="7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67" fontId="62" fillId="2" borderId="1" xfId="1" applyNumberFormat="1" applyFont="1" applyFill="1" applyBorder="1" applyAlignment="1">
      <alignment horizontal="center" vertical="center"/>
    </xf>
    <xf numFmtId="14" fontId="62" fillId="2" borderId="1" xfId="0" applyNumberFormat="1" applyFont="1" applyFill="1" applyBorder="1" applyAlignment="1">
      <alignment horizontal="center" vertical="center" wrapText="1"/>
    </xf>
    <xf numFmtId="0" fontId="6" fillId="0" borderId="0" xfId="22" applyFont="1"/>
    <xf numFmtId="0" fontId="2" fillId="0" borderId="0" xfId="22"/>
    <xf numFmtId="0" fontId="6" fillId="0" borderId="0" xfId="22" applyFont="1" applyAlignment="1">
      <alignment vertical="center"/>
    </xf>
    <xf numFmtId="0" fontId="6" fillId="0" borderId="0" xfId="22" applyFont="1" applyAlignment="1">
      <alignment horizontal="center" vertical="center"/>
    </xf>
    <xf numFmtId="0" fontId="2" fillId="0" borderId="0" xfId="22" applyAlignment="1">
      <alignment vertical="center"/>
    </xf>
    <xf numFmtId="0" fontId="6" fillId="40" borderId="0" xfId="22" applyFont="1" applyFill="1"/>
    <xf numFmtId="0" fontId="6" fillId="3" borderId="0" xfId="22" applyFont="1" applyFill="1" applyAlignment="1">
      <alignment horizontal="left" vertical="center"/>
    </xf>
    <xf numFmtId="0" fontId="6" fillId="3" borderId="0" xfId="22" applyFont="1" applyFill="1"/>
    <xf numFmtId="15" fontId="29" fillId="3" borderId="1" xfId="0" applyNumberFormat="1" applyFont="1" applyFill="1" applyBorder="1" applyAlignment="1">
      <alignment horizontal="center" vertical="center" wrapText="1"/>
    </xf>
    <xf numFmtId="14" fontId="23" fillId="3" borderId="1" xfId="0" applyNumberFormat="1" applyFont="1" applyFill="1" applyBorder="1" applyAlignment="1">
      <alignment horizontal="center" vertical="center" wrapText="1"/>
    </xf>
    <xf numFmtId="14" fontId="41" fillId="21" borderId="1" xfId="0" applyNumberFormat="1" applyFont="1" applyFill="1" applyBorder="1" applyAlignment="1">
      <alignment horizontal="center" vertical="center" wrapText="1"/>
    </xf>
    <xf numFmtId="14" fontId="41" fillId="41" borderId="1" xfId="0" applyNumberFormat="1" applyFont="1" applyFill="1" applyBorder="1" applyAlignment="1">
      <alignment horizontal="center" vertical="center" wrapText="1"/>
    </xf>
    <xf numFmtId="14" fontId="41" fillId="42" borderId="1" xfId="0" applyNumberFormat="1" applyFont="1" applyFill="1" applyBorder="1" applyAlignment="1">
      <alignment horizontal="center" vertical="center" wrapText="1"/>
    </xf>
    <xf numFmtId="14" fontId="0" fillId="36" borderId="1" xfId="0" applyNumberFormat="1" applyFill="1" applyBorder="1" applyAlignment="1">
      <alignment vertical="center"/>
    </xf>
    <xf numFmtId="14" fontId="41" fillId="36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23" fillId="43" borderId="1" xfId="0" applyFont="1" applyFill="1" applyBorder="1" applyAlignment="1">
      <alignment horizontal="center" vertical="center" wrapText="1"/>
    </xf>
    <xf numFmtId="0" fontId="23" fillId="4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wrapText="1"/>
    </xf>
    <xf numFmtId="0" fontId="69" fillId="3" borderId="40" xfId="0" applyFont="1" applyFill="1" applyBorder="1" applyAlignment="1">
      <alignment vertical="center"/>
    </xf>
    <xf numFmtId="0" fontId="23" fillId="3" borderId="41" xfId="0" applyFont="1" applyFill="1" applyBorder="1"/>
    <xf numFmtId="0" fontId="7" fillId="3" borderId="41" xfId="0" applyFont="1" applyFill="1" applyBorder="1" applyAlignment="1">
      <alignment wrapText="1"/>
    </xf>
    <xf numFmtId="0" fontId="23" fillId="3" borderId="41" xfId="0" applyFont="1" applyFill="1" applyBorder="1" applyAlignment="1">
      <alignment horizontal="center" wrapText="1"/>
    </xf>
    <xf numFmtId="0" fontId="7" fillId="3" borderId="41" xfId="0" applyFont="1" applyFill="1" applyBorder="1"/>
    <xf numFmtId="14" fontId="23" fillId="3" borderId="42" xfId="0" applyNumberFormat="1" applyFont="1" applyFill="1" applyBorder="1" applyAlignment="1">
      <alignment horizontal="center"/>
    </xf>
    <xf numFmtId="0" fontId="23" fillId="2" borderId="21" xfId="0" applyFont="1" applyFill="1" applyBorder="1" applyAlignment="1">
      <alignment horizontal="left" vertical="center" indent="1"/>
    </xf>
    <xf numFmtId="0" fontId="23" fillId="2" borderId="0" xfId="0" applyFont="1" applyFill="1"/>
    <xf numFmtId="0" fontId="23" fillId="2" borderId="0" xfId="0" applyFont="1" applyFill="1" applyAlignment="1">
      <alignment horizontal="center"/>
    </xf>
    <xf numFmtId="0" fontId="7" fillId="2" borderId="37" xfId="0" applyFont="1" applyFill="1" applyBorder="1"/>
    <xf numFmtId="0" fontId="23" fillId="43" borderId="21" xfId="0" applyFont="1" applyFill="1" applyBorder="1" applyAlignment="1">
      <alignment horizontal="center" vertical="center" wrapText="1"/>
    </xf>
    <xf numFmtId="0" fontId="23" fillId="43" borderId="44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 wrapText="1"/>
    </xf>
    <xf numFmtId="0" fontId="23" fillId="2" borderId="44" xfId="0" applyFont="1" applyFill="1" applyBorder="1" applyAlignment="1">
      <alignment vertical="center" wrapText="1"/>
    </xf>
    <xf numFmtId="167" fontId="62" fillId="2" borderId="1" xfId="1" applyNumberFormat="1" applyFont="1" applyFill="1" applyBorder="1" applyAlignment="1">
      <alignment vertical="center" wrapText="1"/>
    </xf>
    <xf numFmtId="49" fontId="37" fillId="0" borderId="0" xfId="6" applyNumberFormat="1" applyFont="1" applyAlignment="1">
      <alignment vertical="center"/>
    </xf>
    <xf numFmtId="1" fontId="37" fillId="0" borderId="0" xfId="9" applyNumberFormat="1" applyFont="1" applyAlignment="1">
      <alignment horizontal="center" vertical="center"/>
    </xf>
    <xf numFmtId="1" fontId="37" fillId="0" borderId="0" xfId="6" applyNumberFormat="1" applyFont="1" applyAlignment="1">
      <alignment horizontal="left" vertical="center"/>
    </xf>
    <xf numFmtId="1" fontId="37" fillId="0" borderId="0" xfId="6" applyNumberFormat="1" applyFont="1" applyAlignment="1">
      <alignment horizontal="center" vertical="center"/>
    </xf>
    <xf numFmtId="49" fontId="37" fillId="0" borderId="0" xfId="6" applyNumberFormat="1" applyFont="1" applyAlignment="1">
      <alignment horizontal="center" vertical="center"/>
    </xf>
    <xf numFmtId="0" fontId="37" fillId="0" borderId="0" xfId="6" applyFont="1" applyAlignment="1">
      <alignment vertical="center"/>
    </xf>
    <xf numFmtId="0" fontId="37" fillId="0" borderId="0" xfId="6" applyFont="1" applyAlignment="1">
      <alignment horizontal="center" vertical="center"/>
    </xf>
    <xf numFmtId="1" fontId="37" fillId="0" borderId="0" xfId="6" applyNumberFormat="1" applyFont="1" applyAlignment="1">
      <alignment horizontal="center" vertical="center" wrapText="1"/>
    </xf>
    <xf numFmtId="0" fontId="37" fillId="0" borderId="0" xfId="6" applyFont="1" applyAlignment="1">
      <alignment horizontal="center" vertical="center" wrapText="1"/>
    </xf>
    <xf numFmtId="0" fontId="37" fillId="0" borderId="0" xfId="9" applyFont="1" applyAlignment="1">
      <alignment horizontal="center" vertical="center" wrapText="1"/>
    </xf>
    <xf numFmtId="1" fontId="37" fillId="0" borderId="0" xfId="9" applyNumberFormat="1" applyFont="1" applyAlignment="1">
      <alignment horizontal="center" vertical="center" wrapText="1"/>
    </xf>
    <xf numFmtId="49" fontId="37" fillId="0" borderId="0" xfId="6" applyNumberFormat="1" applyFont="1" applyAlignment="1">
      <alignment horizontal="center" vertical="center" wrapText="1"/>
    </xf>
    <xf numFmtId="49" fontId="37" fillId="0" borderId="1" xfId="6" applyNumberFormat="1" applyFont="1" applyBorder="1" applyAlignment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1" fontId="37" fillId="0" borderId="1" xfId="9" applyNumberFormat="1" applyFont="1" applyBorder="1" applyAlignment="1">
      <alignment horizontal="center" vertical="center" wrapText="1"/>
    </xf>
    <xf numFmtId="1" fontId="37" fillId="44" borderId="0" xfId="6" applyNumberFormat="1" applyFont="1" applyFill="1" applyAlignment="1">
      <alignment horizontal="center" vertical="center"/>
    </xf>
    <xf numFmtId="0" fontId="37" fillId="0" borderId="0" xfId="6" applyFont="1" applyAlignment="1">
      <alignment horizontal="left" vertical="center"/>
    </xf>
    <xf numFmtId="1" fontId="37" fillId="0" borderId="0" xfId="9" applyNumberFormat="1" applyFont="1" applyAlignment="1">
      <alignment vertical="center"/>
    </xf>
    <xf numFmtId="49" fontId="37" fillId="0" borderId="1" xfId="6" applyNumberFormat="1" applyFont="1" applyBorder="1" applyAlignment="1">
      <alignment horizontal="center" vertical="center"/>
    </xf>
    <xf numFmtId="0" fontId="37" fillId="0" borderId="1" xfId="6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37" fillId="0" borderId="1" xfId="9" applyNumberFormat="1" applyFont="1" applyBorder="1" applyAlignment="1">
      <alignment horizontal="center" vertical="center"/>
    </xf>
    <xf numFmtId="1" fontId="37" fillId="12" borderId="0" xfId="6" applyNumberFormat="1" applyFont="1" applyFill="1" applyAlignment="1">
      <alignment horizontal="center" vertical="center"/>
    </xf>
    <xf numFmtId="0" fontId="37" fillId="0" borderId="1" xfId="9" applyFont="1" applyBorder="1" applyAlignment="1">
      <alignment vertical="center"/>
    </xf>
    <xf numFmtId="1" fontId="37" fillId="0" borderId="1" xfId="9" applyNumberFormat="1" applyFont="1" applyBorder="1" applyAlignment="1">
      <alignment vertical="center"/>
    </xf>
    <xf numFmtId="0" fontId="37" fillId="0" borderId="1" xfId="9" applyFont="1" applyBorder="1" applyAlignment="1">
      <alignment vertical="center" wrapText="1"/>
    </xf>
    <xf numFmtId="1" fontId="37" fillId="13" borderId="0" xfId="6" applyNumberFormat="1" applyFont="1" applyFill="1" applyAlignment="1">
      <alignment horizontal="center" vertical="center"/>
    </xf>
    <xf numFmtId="43" fontId="37" fillId="0" borderId="1" xfId="9" applyNumberFormat="1" applyFont="1" applyBorder="1" applyAlignment="1">
      <alignment horizontal="center" vertical="center"/>
    </xf>
    <xf numFmtId="1" fontId="37" fillId="0" borderId="0" xfId="6" applyNumberFormat="1" applyFont="1" applyAlignment="1">
      <alignment vertical="center"/>
    </xf>
    <xf numFmtId="1" fontId="37" fillId="14" borderId="0" xfId="6" applyNumberFormat="1" applyFont="1" applyFill="1" applyAlignment="1">
      <alignment horizontal="center" vertical="center"/>
    </xf>
    <xf numFmtId="0" fontId="37" fillId="2" borderId="1" xfId="9" applyFont="1" applyFill="1" applyBorder="1" applyAlignment="1">
      <alignment vertical="center"/>
    </xf>
    <xf numFmtId="1" fontId="37" fillId="15" borderId="0" xfId="6" applyNumberFormat="1" applyFont="1" applyFill="1" applyAlignment="1">
      <alignment horizontal="center" vertical="center"/>
    </xf>
    <xf numFmtId="165" fontId="37" fillId="0" borderId="1" xfId="9" applyNumberFormat="1" applyFont="1" applyBorder="1" applyAlignment="1">
      <alignment horizontal="center" vertical="center"/>
    </xf>
    <xf numFmtId="49" fontId="37" fillId="2" borderId="0" xfId="6" applyNumberFormat="1" applyFont="1" applyFill="1" applyAlignment="1">
      <alignment horizontal="center" vertical="center"/>
    </xf>
    <xf numFmtId="1" fontId="37" fillId="2" borderId="0" xfId="6" applyNumberFormat="1" applyFont="1" applyFill="1" applyAlignment="1">
      <alignment horizontal="center" vertical="center"/>
    </xf>
    <xf numFmtId="49" fontId="37" fillId="2" borderId="0" xfId="6" applyNumberFormat="1" applyFont="1" applyFill="1" applyAlignment="1">
      <alignment horizontal="left" vertical="center"/>
    </xf>
    <xf numFmtId="0" fontId="37" fillId="2" borderId="0" xfId="6" applyFont="1" applyFill="1" applyAlignment="1">
      <alignment horizontal="left" vertical="center"/>
    </xf>
    <xf numFmtId="0" fontId="37" fillId="2" borderId="0" xfId="9" applyFont="1" applyFill="1" applyAlignment="1">
      <alignment vertical="center"/>
    </xf>
    <xf numFmtId="1" fontId="37" fillId="2" borderId="0" xfId="9" applyNumberFormat="1" applyFont="1" applyFill="1" applyAlignment="1">
      <alignment vertical="center"/>
    </xf>
    <xf numFmtId="0" fontId="37" fillId="0" borderId="0" xfId="9" applyFont="1" applyAlignment="1">
      <alignment vertical="center" wrapText="1"/>
    </xf>
    <xf numFmtId="0" fontId="37" fillId="0" borderId="0" xfId="9" applyFont="1" applyAlignment="1">
      <alignment horizontal="center" vertical="center"/>
    </xf>
    <xf numFmtId="0" fontId="37" fillId="2" borderId="0" xfId="9" applyFont="1" applyFill="1" applyAlignment="1">
      <alignment vertical="center" wrapText="1"/>
    </xf>
    <xf numFmtId="165" fontId="37" fillId="2" borderId="0" xfId="9" applyNumberFormat="1" applyFont="1" applyFill="1" applyAlignment="1">
      <alignment vertical="center"/>
    </xf>
    <xf numFmtId="1" fontId="70" fillId="35" borderId="1" xfId="6" applyNumberFormat="1" applyFont="1" applyFill="1" applyBorder="1" applyAlignment="1">
      <alignment horizontal="center" vertical="center"/>
    </xf>
    <xf numFmtId="2" fontId="71" fillId="2" borderId="0" xfId="0" applyNumberFormat="1" applyFont="1" applyFill="1" applyAlignment="1">
      <alignment horizontal="center" vertical="center" wrapText="1"/>
    </xf>
    <xf numFmtId="1" fontId="68" fillId="14" borderId="1" xfId="6" applyNumberFormat="1" applyFont="1" applyFill="1" applyBorder="1" applyAlignment="1">
      <alignment horizontal="center" vertical="center"/>
    </xf>
    <xf numFmtId="2" fontId="71" fillId="2" borderId="1" xfId="0" applyNumberFormat="1" applyFont="1" applyFill="1" applyBorder="1" applyAlignment="1">
      <alignment horizontal="center" vertical="center" wrapText="1"/>
    </xf>
    <xf numFmtId="1" fontId="68" fillId="15" borderId="1" xfId="6" applyNumberFormat="1" applyFont="1" applyFill="1" applyBorder="1" applyAlignment="1">
      <alignment horizontal="center" vertical="center"/>
    </xf>
    <xf numFmtId="1" fontId="68" fillId="31" borderId="1" xfId="6" applyNumberFormat="1" applyFont="1" applyFill="1" applyBorder="1" applyAlignment="1">
      <alignment horizontal="center" vertical="center"/>
    </xf>
    <xf numFmtId="0" fontId="70" fillId="36" borderId="1" xfId="9" applyFont="1" applyFill="1" applyBorder="1" applyAlignment="1">
      <alignment horizontal="center" vertical="center"/>
    </xf>
    <xf numFmtId="0" fontId="68" fillId="4" borderId="1" xfId="9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71" fillId="2" borderId="0" xfId="0" applyFont="1" applyFill="1" applyAlignment="1">
      <alignment horizontal="center" vertical="center"/>
    </xf>
    <xf numFmtId="1" fontId="37" fillId="2" borderId="0" xfId="9" applyNumberFormat="1" applyFont="1" applyFill="1" applyAlignment="1">
      <alignment vertical="center" wrapText="1"/>
    </xf>
    <xf numFmtId="0" fontId="37" fillId="2" borderId="0" xfId="9" applyFont="1" applyFill="1" applyAlignment="1">
      <alignment horizontal="center" vertical="center" wrapText="1"/>
    </xf>
    <xf numFmtId="1" fontId="37" fillId="2" borderId="0" xfId="9" applyNumberFormat="1" applyFont="1" applyFill="1" applyAlignment="1">
      <alignment horizontal="center" vertical="center" wrapText="1"/>
    </xf>
    <xf numFmtId="1" fontId="37" fillId="2" borderId="0" xfId="9" applyNumberFormat="1" applyFont="1" applyFill="1" applyAlignment="1">
      <alignment horizontal="center" vertical="center"/>
    </xf>
    <xf numFmtId="0" fontId="68" fillId="0" borderId="0" xfId="9" applyFont="1" applyAlignment="1">
      <alignment vertical="center"/>
    </xf>
    <xf numFmtId="1" fontId="70" fillId="2" borderId="0" xfId="9" applyNumberFormat="1" applyFont="1" applyFill="1" applyAlignment="1">
      <alignment vertical="center"/>
    </xf>
    <xf numFmtId="0" fontId="68" fillId="2" borderId="0" xfId="9" applyFont="1" applyFill="1" applyAlignment="1">
      <alignment horizontal="center" vertical="center"/>
    </xf>
    <xf numFmtId="1" fontId="68" fillId="2" borderId="0" xfId="9" applyNumberFormat="1" applyFont="1" applyFill="1" applyAlignment="1">
      <alignment horizontal="center" vertical="center"/>
    </xf>
    <xf numFmtId="1" fontId="68" fillId="2" borderId="0" xfId="9" applyNumberFormat="1" applyFont="1" applyFill="1" applyAlignment="1">
      <alignment horizontal="center" vertical="center" wrapText="1"/>
    </xf>
    <xf numFmtId="0" fontId="68" fillId="2" borderId="0" xfId="9" applyFont="1" applyFill="1" applyAlignment="1">
      <alignment vertical="center"/>
    </xf>
    <xf numFmtId="2" fontId="71" fillId="0" borderId="0" xfId="0" applyNumberFormat="1" applyFont="1" applyAlignment="1">
      <alignment horizontal="center" vertical="center" wrapText="1"/>
    </xf>
    <xf numFmtId="2" fontId="71" fillId="0" borderId="1" xfId="0" applyNumberFormat="1" applyFont="1" applyBorder="1" applyAlignment="1">
      <alignment horizontal="center" wrapText="1"/>
    </xf>
    <xf numFmtId="2" fontId="71" fillId="0" borderId="1" xfId="0" applyNumberFormat="1" applyFont="1" applyBorder="1" applyAlignment="1">
      <alignment horizontal="center" vertical="center" wrapText="1"/>
    </xf>
    <xf numFmtId="1" fontId="68" fillId="13" borderId="0" xfId="6" applyNumberFormat="1" applyFont="1" applyFill="1" applyAlignment="1">
      <alignment horizontal="center" vertical="center"/>
    </xf>
    <xf numFmtId="1" fontId="68" fillId="31" borderId="1" xfId="6" applyNumberFormat="1" applyFont="1" applyFill="1" applyBorder="1" applyAlignment="1">
      <alignment horizontal="center"/>
    </xf>
    <xf numFmtId="0" fontId="71" fillId="0" borderId="0" xfId="0" applyFont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0" fontId="71" fillId="2" borderId="1" xfId="0" applyFont="1" applyFill="1" applyBorder="1" applyAlignment="1">
      <alignment horizontal="center" vertical="center" wrapText="1"/>
    </xf>
    <xf numFmtId="0" fontId="37" fillId="2" borderId="0" xfId="9" applyFont="1" applyFill="1" applyAlignment="1">
      <alignment horizontal="center" vertical="center"/>
    </xf>
    <xf numFmtId="0" fontId="68" fillId="2" borderId="0" xfId="9" applyFont="1" applyFill="1" applyAlignment="1">
      <alignment horizontal="center" vertical="center" wrapText="1"/>
    </xf>
    <xf numFmtId="0" fontId="37" fillId="2" borderId="0" xfId="9" applyFont="1" applyFill="1" applyAlignment="1">
      <alignment vertical="top"/>
    </xf>
    <xf numFmtId="0" fontId="68" fillId="2" borderId="0" xfId="9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2" fillId="0" borderId="0" xfId="0" applyFont="1"/>
    <xf numFmtId="165" fontId="71" fillId="0" borderId="0" xfId="0" applyNumberFormat="1" applyFont="1" applyAlignment="1">
      <alignment horizontal="center" vertical="center" wrapText="1"/>
    </xf>
    <xf numFmtId="0" fontId="70" fillId="36" borderId="1" xfId="9" applyFont="1" applyFill="1" applyBorder="1" applyAlignment="1">
      <alignment horizontal="left" vertical="center"/>
    </xf>
    <xf numFmtId="1" fontId="37" fillId="0" borderId="0" xfId="9" applyNumberFormat="1" applyFont="1"/>
    <xf numFmtId="0" fontId="37" fillId="0" borderId="0" xfId="9" applyFont="1"/>
    <xf numFmtId="0" fontId="37" fillId="0" borderId="0" xfId="9" applyFont="1" applyAlignment="1">
      <alignment wrapText="1"/>
    </xf>
    <xf numFmtId="0" fontId="70" fillId="0" borderId="0" xfId="0" applyFont="1"/>
    <xf numFmtId="0" fontId="74" fillId="0" borderId="0" xfId="9" applyFont="1" applyAlignment="1">
      <alignment vertical="center"/>
    </xf>
    <xf numFmtId="0" fontId="33" fillId="45" borderId="1" xfId="0" applyFont="1" applyFill="1" applyBorder="1" applyAlignment="1">
      <alignment horizontal="center" vertical="center" wrapText="1"/>
    </xf>
    <xf numFmtId="0" fontId="33" fillId="45" borderId="1" xfId="0" applyFont="1" applyFill="1" applyBorder="1" applyAlignment="1">
      <alignment horizontal="center" vertical="center"/>
    </xf>
    <xf numFmtId="0" fontId="60" fillId="45" borderId="1" xfId="0" applyFont="1" applyFill="1" applyBorder="1" applyAlignment="1">
      <alignment vertical="center" wrapText="1"/>
    </xf>
    <xf numFmtId="15" fontId="60" fillId="45" borderId="1" xfId="0" applyNumberFormat="1" applyFont="1" applyFill="1" applyBorder="1" applyAlignment="1">
      <alignment horizontal="center" vertical="center" wrapText="1"/>
    </xf>
    <xf numFmtId="165" fontId="60" fillId="45" borderId="1" xfId="0" applyNumberFormat="1" applyFont="1" applyFill="1" applyBorder="1" applyAlignment="1">
      <alignment horizontal="center" vertical="center" wrapText="1"/>
    </xf>
    <xf numFmtId="0" fontId="60" fillId="45" borderId="1" xfId="0" applyFont="1" applyFill="1" applyBorder="1" applyAlignment="1">
      <alignment horizontal="center" vertical="center"/>
    </xf>
    <xf numFmtId="0" fontId="60" fillId="45" borderId="1" xfId="0" applyFont="1" applyFill="1" applyBorder="1" applyAlignment="1">
      <alignment horizontal="center" vertical="center" wrapText="1"/>
    </xf>
    <xf numFmtId="0" fontId="33" fillId="45" borderId="1" xfId="0" applyFont="1" applyFill="1" applyBorder="1" applyAlignment="1">
      <alignment vertical="center" wrapText="1"/>
    </xf>
    <xf numFmtId="165" fontId="60" fillId="45" borderId="1" xfId="1" applyNumberFormat="1" applyFont="1" applyFill="1" applyBorder="1" applyAlignment="1">
      <alignment horizontal="center" vertical="center" wrapText="1"/>
    </xf>
    <xf numFmtId="165" fontId="60" fillId="45" borderId="1" xfId="0" applyNumberFormat="1" applyFont="1" applyFill="1" applyBorder="1" applyAlignment="1">
      <alignment horizontal="center" vertical="center"/>
    </xf>
    <xf numFmtId="15" fontId="60" fillId="45" borderId="1" xfId="0" applyNumberFormat="1" applyFont="1" applyFill="1" applyBorder="1" applyAlignment="1">
      <alignment horizontal="center" vertical="center"/>
    </xf>
    <xf numFmtId="14" fontId="60" fillId="45" borderId="1" xfId="0" applyNumberFormat="1" applyFont="1" applyFill="1" applyBorder="1" applyAlignment="1">
      <alignment horizontal="center" vertical="center"/>
    </xf>
    <xf numFmtId="0" fontId="29" fillId="45" borderId="1" xfId="0" applyFont="1" applyFill="1" applyBorder="1" applyAlignment="1">
      <alignment vertical="center" wrapText="1"/>
    </xf>
    <xf numFmtId="0" fontId="23" fillId="45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/>
    </xf>
    <xf numFmtId="17" fontId="29" fillId="2" borderId="1" xfId="0" applyNumberFormat="1" applyFont="1" applyFill="1" applyBorder="1" applyAlignment="1">
      <alignment vertical="center" wrapText="1"/>
    </xf>
    <xf numFmtId="0" fontId="29" fillId="2" borderId="10" xfId="0" applyFont="1" applyFill="1" applyBorder="1" applyAlignment="1">
      <alignment vertical="center" wrapText="1"/>
    </xf>
    <xf numFmtId="0" fontId="29" fillId="2" borderId="7" xfId="0" applyFont="1" applyFill="1" applyBorder="1" applyAlignment="1">
      <alignment vertical="center" wrapText="1"/>
    </xf>
    <xf numFmtId="0" fontId="29" fillId="2" borderId="0" xfId="0" applyFont="1" applyFill="1" applyAlignment="1">
      <alignment vertical="center" wrapText="1"/>
    </xf>
    <xf numFmtId="0" fontId="23" fillId="2" borderId="44" xfId="0" applyFont="1" applyFill="1" applyBorder="1" applyAlignment="1">
      <alignment vertical="center"/>
    </xf>
    <xf numFmtId="15" fontId="29" fillId="2" borderId="1" xfId="0" applyNumberFormat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vertical="center" wrapText="1"/>
    </xf>
    <xf numFmtId="0" fontId="25" fillId="2" borderId="1" xfId="23" applyFont="1" applyFill="1" applyBorder="1" applyAlignment="1">
      <alignment horizontal="center" vertical="center" wrapText="1"/>
    </xf>
    <xf numFmtId="0" fontId="20" fillId="2" borderId="1" xfId="23" applyFont="1" applyFill="1" applyBorder="1" applyAlignment="1">
      <alignment horizontal="left" vertical="center" wrapText="1"/>
    </xf>
    <xf numFmtId="0" fontId="20" fillId="2" borderId="1" xfId="23" applyFont="1" applyFill="1" applyBorder="1" applyAlignment="1">
      <alignment horizontal="center" vertical="center" wrapText="1"/>
    </xf>
    <xf numFmtId="0" fontId="25" fillId="2" borderId="1" xfId="23" applyFont="1" applyFill="1" applyBorder="1" applyAlignment="1">
      <alignment horizontal="left" vertical="center" wrapText="1"/>
    </xf>
    <xf numFmtId="1" fontId="20" fillId="2" borderId="1" xfId="23" applyNumberFormat="1" applyFont="1" applyFill="1" applyBorder="1" applyAlignment="1">
      <alignment horizontal="center" vertical="center" wrapText="1"/>
    </xf>
    <xf numFmtId="165" fontId="25" fillId="2" borderId="1" xfId="23" applyNumberFormat="1" applyFont="1" applyFill="1" applyBorder="1" applyAlignment="1">
      <alignment horizontal="center" vertical="center" wrapText="1"/>
    </xf>
    <xf numFmtId="1" fontId="25" fillId="2" borderId="1" xfId="23" applyNumberFormat="1" applyFont="1" applyFill="1" applyBorder="1" applyAlignment="1">
      <alignment horizontal="center" vertical="center" wrapText="1"/>
    </xf>
    <xf numFmtId="2" fontId="23" fillId="2" borderId="1" xfId="23" applyNumberFormat="1" applyFont="1" applyFill="1" applyBorder="1" applyAlignment="1">
      <alignment horizontal="center" vertical="center" wrapText="1"/>
    </xf>
    <xf numFmtId="165" fontId="24" fillId="2" borderId="1" xfId="23" applyNumberFormat="1" applyFont="1" applyFill="1" applyBorder="1" applyAlignment="1">
      <alignment horizontal="center" vertical="center" wrapText="1"/>
    </xf>
    <xf numFmtId="1" fontId="25" fillId="3" borderId="1" xfId="23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17" fontId="29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167" fontId="23" fillId="3" borderId="1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 wrapText="1"/>
    </xf>
    <xf numFmtId="165" fontId="29" fillId="3" borderId="1" xfId="1" applyNumberFormat="1" applyFont="1" applyFill="1" applyBorder="1" applyAlignment="1">
      <alignment horizontal="center" vertical="center" wrapText="1"/>
    </xf>
    <xf numFmtId="14" fontId="29" fillId="3" borderId="1" xfId="0" applyNumberFormat="1" applyFont="1" applyFill="1" applyBorder="1" applyAlignment="1">
      <alignment horizontal="center" vertical="center" wrapText="1"/>
    </xf>
    <xf numFmtId="0" fontId="48" fillId="0" borderId="28" xfId="4" applyFont="1" applyBorder="1" applyAlignment="1">
      <alignment horizontal="center" vertical="center" wrapText="1"/>
    </xf>
    <xf numFmtId="0" fontId="48" fillId="0" borderId="29" xfId="4" applyFont="1" applyBorder="1" applyAlignment="1">
      <alignment horizontal="center" vertical="center" wrapText="1"/>
    </xf>
    <xf numFmtId="0" fontId="57" fillId="0" borderId="25" xfId="4" applyFont="1" applyBorder="1" applyAlignment="1">
      <alignment horizontal="center" vertical="center"/>
    </xf>
    <xf numFmtId="0" fontId="57" fillId="0" borderId="26" xfId="4" applyFont="1" applyBorder="1" applyAlignment="1">
      <alignment horizontal="center" vertical="center"/>
    </xf>
    <xf numFmtId="0" fontId="57" fillId="0" borderId="33" xfId="4" applyFont="1" applyBorder="1" applyAlignment="1">
      <alignment horizontal="center" vertical="center"/>
    </xf>
    <xf numFmtId="0" fontId="21" fillId="37" borderId="25" xfId="4" applyFont="1" applyFill="1" applyBorder="1" applyAlignment="1">
      <alignment horizontal="center" vertical="center"/>
    </xf>
    <xf numFmtId="0" fontId="21" fillId="37" borderId="26" xfId="4" applyFont="1" applyFill="1" applyBorder="1" applyAlignment="1">
      <alignment horizontal="center" vertical="center"/>
    </xf>
    <xf numFmtId="0" fontId="59" fillId="37" borderId="25" xfId="0" applyFont="1" applyFill="1" applyBorder="1" applyAlignment="1">
      <alignment horizontal="left"/>
    </xf>
    <xf numFmtId="0" fontId="59" fillId="37" borderId="26" xfId="0" applyFont="1" applyFill="1" applyBorder="1" applyAlignment="1">
      <alignment horizontal="left"/>
    </xf>
    <xf numFmtId="0" fontId="59" fillId="37" borderId="27" xfId="0" applyFont="1" applyFill="1" applyBorder="1" applyAlignment="1">
      <alignment horizontal="left"/>
    </xf>
    <xf numFmtId="0" fontId="55" fillId="38" borderId="25" xfId="4" applyFont="1" applyFill="1" applyBorder="1" applyAlignment="1">
      <alignment horizontal="center" vertical="center" wrapText="1"/>
    </xf>
    <xf numFmtId="0" fontId="55" fillId="38" borderId="26" xfId="4" applyFont="1" applyFill="1" applyBorder="1" applyAlignment="1">
      <alignment horizontal="center" vertical="center" wrapText="1"/>
    </xf>
    <xf numFmtId="0" fontId="55" fillId="38" borderId="27" xfId="4" applyFont="1" applyFill="1" applyBorder="1" applyAlignment="1">
      <alignment horizontal="center" vertical="center" wrapText="1"/>
    </xf>
    <xf numFmtId="165" fontId="48" fillId="0" borderId="30" xfId="4" applyNumberFormat="1" applyFont="1" applyBorder="1" applyAlignment="1">
      <alignment horizontal="center" vertical="center"/>
    </xf>
    <xf numFmtId="165" fontId="48" fillId="0" borderId="31" xfId="4" applyNumberFormat="1" applyFont="1" applyBorder="1" applyAlignment="1">
      <alignment horizontal="center" vertical="center"/>
    </xf>
    <xf numFmtId="0" fontId="55" fillId="38" borderId="25" xfId="4" applyFont="1" applyFill="1" applyBorder="1" applyAlignment="1">
      <alignment horizontal="center" vertical="center"/>
    </xf>
    <xf numFmtId="0" fontId="55" fillId="38" borderId="26" xfId="4" applyFont="1" applyFill="1" applyBorder="1" applyAlignment="1">
      <alignment horizontal="center" vertical="center"/>
    </xf>
    <xf numFmtId="0" fontId="55" fillId="38" borderId="27" xfId="4" applyFont="1" applyFill="1" applyBorder="1" applyAlignment="1">
      <alignment horizontal="center" vertical="center"/>
    </xf>
    <xf numFmtId="1" fontId="48" fillId="0" borderId="30" xfId="4" applyNumberFormat="1" applyFont="1" applyBorder="1" applyAlignment="1">
      <alignment horizontal="center" vertical="center"/>
    </xf>
    <xf numFmtId="1" fontId="48" fillId="0" borderId="31" xfId="4" applyNumberFormat="1" applyFont="1" applyBorder="1" applyAlignment="1">
      <alignment horizontal="center" vertical="center"/>
    </xf>
    <xf numFmtId="0" fontId="21" fillId="0" borderId="26" xfId="4" applyFont="1" applyBorder="1" applyAlignment="1">
      <alignment horizontal="left" vertical="center"/>
    </xf>
    <xf numFmtId="0" fontId="21" fillId="0" borderId="34" xfId="4" applyFont="1" applyBorder="1" applyAlignment="1">
      <alignment horizontal="left" vertical="center"/>
    </xf>
    <xf numFmtId="0" fontId="21" fillId="0" borderId="26" xfId="4" applyFont="1" applyBorder="1" applyAlignment="1">
      <alignment horizontal="left" vertical="center" wrapText="1"/>
    </xf>
    <xf numFmtId="0" fontId="21" fillId="0" borderId="27" xfId="4" applyFont="1" applyBorder="1" applyAlignment="1">
      <alignment horizontal="left" vertical="center" wrapText="1"/>
    </xf>
    <xf numFmtId="1" fontId="37" fillId="0" borderId="1" xfId="6" applyNumberFormat="1" applyFont="1" applyBorder="1" applyAlignment="1">
      <alignment horizontal="center" vertical="center" wrapText="1"/>
    </xf>
    <xf numFmtId="0" fontId="37" fillId="0" borderId="1" xfId="9" applyFont="1" applyBorder="1" applyAlignment="1">
      <alignment vertical="center"/>
    </xf>
    <xf numFmtId="0" fontId="68" fillId="5" borderId="0" xfId="9" applyFont="1" applyFill="1" applyAlignment="1">
      <alignment horizontal="center" vertical="center"/>
    </xf>
    <xf numFmtId="0" fontId="68" fillId="5" borderId="9" xfId="9" applyFont="1" applyFill="1" applyBorder="1" applyAlignment="1">
      <alignment horizontal="center" vertical="center"/>
    </xf>
    <xf numFmtId="1" fontId="37" fillId="0" borderId="0" xfId="6" quotePrefix="1" applyNumberFormat="1" applyFont="1" applyAlignment="1">
      <alignment horizontal="left" vertical="center" wrapText="1"/>
    </xf>
    <xf numFmtId="49" fontId="37" fillId="0" borderId="0" xfId="6" quotePrefix="1" applyNumberFormat="1" applyFont="1" applyAlignment="1">
      <alignment horizontal="left" vertical="center"/>
    </xf>
    <xf numFmtId="1" fontId="37" fillId="0" borderId="0" xfId="6" quotePrefix="1" applyNumberFormat="1" applyFont="1" applyAlignment="1">
      <alignment horizontal="left" vertical="center"/>
    </xf>
    <xf numFmtId="0" fontId="37" fillId="0" borderId="0" xfId="6" quotePrefix="1" applyFont="1" applyAlignment="1">
      <alignment horizontal="left" vertical="center"/>
    </xf>
    <xf numFmtId="1" fontId="37" fillId="2" borderId="0" xfId="9" applyNumberFormat="1" applyFont="1" applyFill="1" applyAlignment="1">
      <alignment horizontal="center" vertical="center" wrapText="1"/>
    </xf>
    <xf numFmtId="49" fontId="73" fillId="23" borderId="0" xfId="6" applyNumberFormat="1" applyFont="1" applyFill="1" applyAlignment="1">
      <alignment horizontal="center" vertical="center" wrapText="1"/>
    </xf>
    <xf numFmtId="14" fontId="37" fillId="0" borderId="0" xfId="6" applyNumberFormat="1" applyFont="1" applyAlignment="1">
      <alignment horizontal="center" vertical="center" wrapText="1"/>
    </xf>
    <xf numFmtId="0" fontId="37" fillId="0" borderId="0" xfId="6" quotePrefix="1" applyFont="1" applyAlignment="1">
      <alignment horizontal="left" vertical="center" indent="1"/>
    </xf>
    <xf numFmtId="0" fontId="71" fillId="2" borderId="0" xfId="0" applyFont="1" applyFill="1" applyAlignment="1">
      <alignment horizontal="center" vertical="center" wrapText="1"/>
    </xf>
    <xf numFmtId="0" fontId="37" fillId="2" borderId="4" xfId="9" applyFont="1" applyFill="1" applyBorder="1" applyAlignment="1">
      <alignment horizontal="center" vertical="center" wrapText="1"/>
    </xf>
    <xf numFmtId="0" fontId="37" fillId="2" borderId="0" xfId="9" applyFont="1" applyFill="1" applyAlignment="1">
      <alignment horizontal="center" vertical="center" wrapText="1"/>
    </xf>
    <xf numFmtId="49" fontId="37" fillId="3" borderId="1" xfId="6" applyNumberFormat="1" applyFont="1" applyFill="1" applyBorder="1" applyAlignment="1">
      <alignment horizontal="center" vertical="center"/>
    </xf>
    <xf numFmtId="0" fontId="37" fillId="0" borderId="1" xfId="9" applyFont="1" applyBorder="1" applyAlignment="1">
      <alignment horizontal="center" vertical="center" wrapText="1"/>
    </xf>
    <xf numFmtId="1" fontId="37" fillId="0" borderId="1" xfId="6" applyNumberFormat="1" applyFont="1" applyBorder="1" applyAlignment="1">
      <alignment horizontal="center" vertical="center"/>
    </xf>
    <xf numFmtId="167" fontId="50" fillId="26" borderId="1" xfId="0" applyNumberFormat="1" applyFont="1" applyFill="1" applyBorder="1" applyAlignment="1">
      <alignment horizontal="center" vertical="center" wrapText="1"/>
    </xf>
    <xf numFmtId="0" fontId="50" fillId="26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1" fillId="0" borderId="5" xfId="0" applyFont="1" applyBorder="1" applyAlignment="1">
      <alignment horizontal="center" vertical="center" wrapText="1"/>
    </xf>
    <xf numFmtId="0" fontId="50" fillId="26" borderId="1" xfId="0" applyFont="1" applyFill="1" applyBorder="1" applyAlignment="1">
      <alignment horizontal="left" vertical="center" wrapText="1"/>
    </xf>
    <xf numFmtId="0" fontId="50" fillId="26" borderId="1" xfId="0" applyFont="1" applyFill="1" applyBorder="1" applyAlignment="1">
      <alignment horizontal="center" vertical="center" wrapText="1"/>
    </xf>
    <xf numFmtId="0" fontId="29" fillId="18" borderId="7" xfId="0" applyFont="1" applyFill="1" applyBorder="1" applyAlignment="1">
      <alignment horizontal="center" vertical="center" wrapText="1"/>
    </xf>
    <xf numFmtId="0" fontId="29" fillId="18" borderId="1" xfId="0" applyFont="1" applyFill="1" applyBorder="1" applyAlignment="1">
      <alignment horizontal="center" vertical="center" wrapText="1"/>
    </xf>
    <xf numFmtId="0" fontId="29" fillId="19" borderId="2" xfId="0" applyFont="1" applyFill="1" applyBorder="1" applyAlignment="1">
      <alignment horizontal="center" vertical="center" wrapText="1"/>
    </xf>
    <xf numFmtId="0" fontId="29" fillId="19" borderId="3" xfId="0" applyFont="1" applyFill="1" applyBorder="1" applyAlignment="1">
      <alignment horizontal="center" vertical="center" wrapText="1"/>
    </xf>
    <xf numFmtId="0" fontId="29" fillId="19" borderId="6" xfId="0" applyFont="1" applyFill="1" applyBorder="1" applyAlignment="1">
      <alignment horizontal="center" vertical="center" wrapText="1"/>
    </xf>
    <xf numFmtId="0" fontId="29" fillId="19" borderId="7" xfId="0" applyFont="1" applyFill="1" applyBorder="1" applyAlignment="1">
      <alignment horizontal="center" vertical="center" wrapText="1"/>
    </xf>
    <xf numFmtId="0" fontId="35" fillId="1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0" fillId="23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vertical="center" wrapText="1"/>
    </xf>
    <xf numFmtId="167" fontId="50" fillId="26" borderId="1" xfId="0" applyNumberFormat="1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vertical="center" wrapText="1"/>
    </xf>
    <xf numFmtId="0" fontId="50" fillId="2" borderId="1" xfId="0" applyFont="1" applyFill="1" applyBorder="1" applyAlignment="1">
      <alignment horizontal="left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7" xfId="0" applyFont="1" applyFill="1" applyBorder="1" applyAlignment="1">
      <alignment horizontal="left" vertical="center" wrapText="1"/>
    </xf>
    <xf numFmtId="166" fontId="20" fillId="2" borderId="1" xfId="0" applyNumberFormat="1" applyFont="1" applyFill="1" applyBorder="1" applyAlignment="1">
      <alignment horizontal="left" vertical="center" wrapText="1"/>
    </xf>
    <xf numFmtId="0" fontId="50" fillId="18" borderId="1" xfId="0" applyFont="1" applyFill="1" applyBorder="1" applyAlignment="1">
      <alignment horizontal="left" vertical="center" wrapText="1"/>
    </xf>
    <xf numFmtId="0" fontId="50" fillId="0" borderId="1" xfId="0" applyFont="1" applyBorder="1" applyAlignment="1">
      <alignment vertical="center" wrapText="1"/>
    </xf>
    <xf numFmtId="14" fontId="20" fillId="2" borderId="1" xfId="0" applyNumberFormat="1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50" fillId="18" borderId="1" xfId="0" applyFont="1" applyFill="1" applyBorder="1" applyAlignment="1">
      <alignment horizontal="center" vertical="center" wrapText="1"/>
    </xf>
    <xf numFmtId="0" fontId="49" fillId="26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0" fontId="50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left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50" fillId="7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10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 wrapText="1"/>
    </xf>
    <xf numFmtId="43" fontId="50" fillId="0" borderId="1" xfId="0" applyNumberFormat="1" applyFont="1" applyBorder="1" applyAlignment="1">
      <alignment horizontal="left" vertical="center" wrapText="1"/>
    </xf>
    <xf numFmtId="14" fontId="50" fillId="0" borderId="1" xfId="0" applyNumberFormat="1" applyFont="1" applyBorder="1" applyAlignment="1">
      <alignment horizontal="left" vertical="center" wrapText="1"/>
    </xf>
    <xf numFmtId="0" fontId="32" fillId="2" borderId="7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/>
    </xf>
    <xf numFmtId="0" fontId="50" fillId="19" borderId="14" xfId="0" applyFont="1" applyFill="1" applyBorder="1" applyAlignment="1">
      <alignment vertical="center" wrapText="1"/>
    </xf>
    <xf numFmtId="0" fontId="50" fillId="19" borderId="4" xfId="0" applyFont="1" applyFill="1" applyBorder="1" applyAlignment="1">
      <alignment vertical="center" wrapText="1"/>
    </xf>
    <xf numFmtId="0" fontId="50" fillId="19" borderId="8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0" fontId="60" fillId="45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vertical="center" wrapText="1"/>
    </xf>
    <xf numFmtId="0" fontId="60" fillId="45" borderId="6" xfId="0" applyFont="1" applyFill="1" applyBorder="1" applyAlignment="1">
      <alignment vertical="center" wrapText="1"/>
    </xf>
    <xf numFmtId="0" fontId="60" fillId="45" borderId="10" xfId="0" applyFont="1" applyFill="1" applyBorder="1" applyAlignment="1">
      <alignment vertical="center" wrapText="1"/>
    </xf>
    <xf numFmtId="0" fontId="60" fillId="45" borderId="7" xfId="0" applyFont="1" applyFill="1" applyBorder="1" applyAlignment="1">
      <alignment vertical="center" wrapText="1"/>
    </xf>
    <xf numFmtId="0" fontId="75" fillId="2" borderId="1" xfId="0" applyFont="1" applyFill="1" applyBorder="1" applyAlignment="1">
      <alignment vertical="center" wrapText="1"/>
    </xf>
    <xf numFmtId="0" fontId="23" fillId="19" borderId="14" xfId="0" applyFont="1" applyFill="1" applyBorder="1" applyAlignment="1">
      <alignment vertical="center" wrapText="1"/>
    </xf>
    <xf numFmtId="0" fontId="23" fillId="19" borderId="11" xfId="0" applyFont="1" applyFill="1" applyBorder="1" applyAlignment="1">
      <alignment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vertical="center" wrapText="1"/>
    </xf>
    <xf numFmtId="0" fontId="29" fillId="3" borderId="10" xfId="0" applyFont="1" applyFill="1" applyBorder="1" applyAlignment="1">
      <alignment vertical="center" wrapText="1"/>
    </xf>
    <xf numFmtId="0" fontId="29" fillId="3" borderId="7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32" fillId="2" borderId="10" xfId="0" applyFont="1" applyFill="1" applyBorder="1" applyAlignment="1">
      <alignment vertical="center" wrapText="1"/>
    </xf>
    <xf numFmtId="0" fontId="23" fillId="19" borderId="2" xfId="0" applyFont="1" applyFill="1" applyBorder="1" applyAlignment="1">
      <alignment horizontal="center" vertical="center" wrapText="1"/>
    </xf>
    <xf numFmtId="0" fontId="23" fillId="19" borderId="3" xfId="0" applyFont="1" applyFill="1" applyBorder="1" applyAlignment="1">
      <alignment horizontal="center" vertical="center" wrapText="1"/>
    </xf>
    <xf numFmtId="0" fontId="29" fillId="19" borderId="14" xfId="0" applyFont="1" applyFill="1" applyBorder="1" applyAlignment="1">
      <alignment horizontal="center" vertical="center" wrapText="1"/>
    </xf>
    <xf numFmtId="0" fontId="29" fillId="19" borderId="4" xfId="0" applyFont="1" applyFill="1" applyBorder="1" applyAlignment="1">
      <alignment horizontal="center" vertical="center" wrapText="1"/>
    </xf>
    <xf numFmtId="0" fontId="29" fillId="19" borderId="8" xfId="0" applyFont="1" applyFill="1" applyBorder="1" applyAlignment="1">
      <alignment horizontal="center" vertical="center" wrapText="1"/>
    </xf>
    <xf numFmtId="0" fontId="29" fillId="19" borderId="5" xfId="0" applyFont="1" applyFill="1" applyBorder="1" applyAlignment="1">
      <alignment horizontal="center" vertical="center" wrapText="1"/>
    </xf>
    <xf numFmtId="0" fontId="29" fillId="19" borderId="0" xfId="0" applyFont="1" applyFill="1" applyAlignment="1">
      <alignment horizontal="center" vertical="center" wrapText="1"/>
    </xf>
    <xf numFmtId="0" fontId="29" fillId="19" borderId="9" xfId="0" applyFont="1" applyFill="1" applyBorder="1" applyAlignment="1">
      <alignment horizontal="center" vertical="center" wrapText="1"/>
    </xf>
    <xf numFmtId="0" fontId="29" fillId="19" borderId="2" xfId="0" applyFont="1" applyFill="1" applyBorder="1" applyAlignment="1">
      <alignment vertical="center" wrapText="1"/>
    </xf>
    <xf numFmtId="0" fontId="29" fillId="19" borderId="3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7" fillId="24" borderId="0" xfId="9" applyFont="1" applyFill="1" applyAlignment="1">
      <alignment horizontal="center" vertical="center"/>
    </xf>
    <xf numFmtId="0" fontId="27" fillId="24" borderId="9" xfId="9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horizontal="center" vertical="center" wrapText="1"/>
    </xf>
    <xf numFmtId="49" fontId="11" fillId="0" borderId="0" xfId="6" applyNumberFormat="1" applyFont="1" applyAlignment="1">
      <alignment horizontal="center" vertical="center" wrapText="1"/>
    </xf>
    <xf numFmtId="0" fontId="29" fillId="0" borderId="1" xfId="9" applyFont="1" applyBorder="1" applyAlignment="1">
      <alignment horizontal="center" vertical="center" wrapText="1"/>
    </xf>
    <xf numFmtId="1" fontId="23" fillId="0" borderId="1" xfId="6" applyNumberFormat="1" applyFont="1" applyBorder="1" applyAlignment="1">
      <alignment horizontal="center" vertical="center"/>
    </xf>
    <xf numFmtId="14" fontId="26" fillId="0" borderId="0" xfId="6" applyNumberFormat="1" applyFont="1" applyAlignment="1">
      <alignment horizontal="center" vertical="center" wrapText="1"/>
    </xf>
    <xf numFmtId="49" fontId="26" fillId="0" borderId="1" xfId="6" applyNumberFormat="1" applyFont="1" applyBorder="1" applyAlignment="1">
      <alignment horizontal="center" vertical="center"/>
    </xf>
    <xf numFmtId="49" fontId="26" fillId="0" borderId="1" xfId="6" applyNumberFormat="1" applyFont="1" applyBorder="1" applyAlignment="1">
      <alignment horizontal="center" vertical="center" wrapText="1"/>
    </xf>
    <xf numFmtId="0" fontId="27" fillId="5" borderId="13" xfId="9" applyFont="1" applyFill="1" applyBorder="1" applyAlignment="1">
      <alignment horizontal="center" vertical="center"/>
    </xf>
    <xf numFmtId="0" fontId="27" fillId="5" borderId="12" xfId="9" applyFont="1" applyFill="1" applyBorder="1" applyAlignment="1">
      <alignment horizontal="center" vertical="center" wrapText="1"/>
    </xf>
    <xf numFmtId="0" fontId="26" fillId="0" borderId="1" xfId="9" applyFont="1" applyBorder="1" applyAlignment="1">
      <alignment vertical="center"/>
    </xf>
    <xf numFmtId="1" fontId="23" fillId="0" borderId="1" xfId="6" applyNumberFormat="1" applyFont="1" applyBorder="1" applyAlignment="1">
      <alignment vertical="center"/>
    </xf>
    <xf numFmtId="1" fontId="23" fillId="0" borderId="1" xfId="6" applyNumberFormat="1" applyFont="1" applyBorder="1" applyAlignment="1">
      <alignment horizontal="center" vertical="center" wrapText="1"/>
    </xf>
    <xf numFmtId="0" fontId="27" fillId="24" borderId="13" xfId="9" applyFont="1" applyFill="1" applyBorder="1" applyAlignment="1">
      <alignment horizontal="center" vertical="center"/>
    </xf>
    <xf numFmtId="1" fontId="27" fillId="5" borderId="13" xfId="9" applyNumberFormat="1" applyFont="1" applyFill="1" applyBorder="1" applyAlignment="1">
      <alignment horizontal="center" vertical="center"/>
    </xf>
    <xf numFmtId="1" fontId="27" fillId="5" borderId="12" xfId="9" applyNumberFormat="1" applyFont="1" applyFill="1" applyBorder="1" applyAlignment="1">
      <alignment horizontal="center" vertical="center" wrapText="1"/>
    </xf>
    <xf numFmtId="0" fontId="27" fillId="5" borderId="4" xfId="9" applyFont="1" applyFill="1" applyBorder="1" applyAlignment="1">
      <alignment horizontal="center" vertical="center"/>
    </xf>
    <xf numFmtId="1" fontId="27" fillId="24" borderId="4" xfId="9" applyNumberFormat="1" applyFont="1" applyFill="1" applyBorder="1" applyAlignment="1">
      <alignment horizontal="center" vertical="center"/>
    </xf>
    <xf numFmtId="1" fontId="27" fillId="24" borderId="8" xfId="9" applyNumberFormat="1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left" vertical="center" indent="1"/>
    </xf>
    <xf numFmtId="0" fontId="23" fillId="2" borderId="10" xfId="0" applyFont="1" applyFill="1" applyBorder="1" applyAlignment="1">
      <alignment horizontal="left" vertical="center" indent="1"/>
    </xf>
    <xf numFmtId="0" fontId="23" fillId="2" borderId="7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5" fontId="7" fillId="9" borderId="6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 applyAlignment="1">
      <alignment horizontal="center" vertical="center"/>
    </xf>
    <xf numFmtId="0" fontId="66" fillId="34" borderId="1" xfId="8" applyFont="1" applyFill="1" applyBorder="1" applyAlignment="1" applyProtection="1">
      <alignment horizontal="center" vertical="center" wrapText="1"/>
      <protection locked="0"/>
    </xf>
    <xf numFmtId="0" fontId="45" fillId="2" borderId="1" xfId="8" applyFont="1" applyFill="1" applyBorder="1" applyAlignment="1">
      <alignment vertical="center" wrapText="1"/>
    </xf>
    <xf numFmtId="0" fontId="6" fillId="2" borderId="1" xfId="8" applyFont="1" applyFill="1" applyBorder="1" applyAlignment="1">
      <alignment horizontal="center" vertical="center" wrapText="1"/>
    </xf>
    <xf numFmtId="0" fontId="67" fillId="32" borderId="11" xfId="0" applyFont="1" applyFill="1" applyBorder="1" applyAlignment="1">
      <alignment horizontal="left" vertical="top" wrapText="1"/>
    </xf>
    <xf numFmtId="0" fontId="67" fillId="32" borderId="13" xfId="0" applyFont="1" applyFill="1" applyBorder="1" applyAlignment="1">
      <alignment horizontal="left" vertical="top" wrapText="1"/>
    </xf>
    <xf numFmtId="0" fontId="44" fillId="33" borderId="16" xfId="8" applyFont="1" applyFill="1" applyBorder="1" applyAlignment="1" applyProtection="1">
      <alignment horizontal="center" wrapText="1"/>
      <protection locked="0"/>
    </xf>
    <xf numFmtId="0" fontId="44" fillId="33" borderId="13" xfId="8" applyFont="1" applyFill="1" applyBorder="1" applyAlignment="1" applyProtection="1">
      <alignment horizontal="center" wrapText="1"/>
      <protection locked="0"/>
    </xf>
    <xf numFmtId="0" fontId="44" fillId="33" borderId="17" xfId="8" applyFont="1" applyFill="1" applyBorder="1" applyAlignment="1" applyProtection="1">
      <alignment horizontal="center" wrapText="1"/>
      <protection locked="0"/>
    </xf>
    <xf numFmtId="0" fontId="6" fillId="20" borderId="1" xfId="20" applyFont="1" applyFill="1" applyBorder="1" applyAlignment="1">
      <alignment horizontal="center" vertical="center" wrapText="1"/>
    </xf>
    <xf numFmtId="0" fontId="34" fillId="39" borderId="0" xfId="22" applyFont="1" applyFill="1"/>
    <xf numFmtId="0" fontId="6" fillId="0" borderId="0" xfId="22" applyFont="1" applyAlignment="1">
      <alignment horizontal="center" vertical="center" wrapText="1"/>
    </xf>
    <xf numFmtId="0" fontId="34" fillId="39" borderId="35" xfId="22" applyFont="1" applyFill="1" applyBorder="1" applyAlignment="1">
      <alignment horizontal="center" vertical="center" textRotation="90"/>
    </xf>
    <xf numFmtId="0" fontId="34" fillId="39" borderId="38" xfId="22" applyFont="1" applyFill="1" applyBorder="1" applyAlignment="1">
      <alignment horizontal="center" vertical="center" textRotation="90"/>
    </xf>
    <xf numFmtId="0" fontId="34" fillId="39" borderId="39" xfId="22" applyFont="1" applyFill="1" applyBorder="1" applyAlignment="1">
      <alignment horizontal="center" vertical="center" textRotation="90"/>
    </xf>
    <xf numFmtId="0" fontId="6" fillId="0" borderId="36" xfId="22" applyFont="1" applyBorder="1" applyAlignment="1">
      <alignment horizontal="center" vertical="center" wrapText="1"/>
    </xf>
    <xf numFmtId="0" fontId="6" fillId="0" borderId="37" xfId="22" applyFont="1" applyBorder="1" applyAlignment="1">
      <alignment horizontal="center" vertical="center" wrapText="1"/>
    </xf>
    <xf numFmtId="0" fontId="17" fillId="39" borderId="35" xfId="22" applyFont="1" applyFill="1" applyBorder="1" applyAlignment="1">
      <alignment horizontal="center" vertical="center" textRotation="90"/>
    </xf>
    <xf numFmtId="0" fontId="17" fillId="39" borderId="38" xfId="22" applyFont="1" applyFill="1" applyBorder="1" applyAlignment="1">
      <alignment horizontal="center" vertical="center" textRotation="90"/>
    </xf>
    <xf numFmtId="0" fontId="17" fillId="39" borderId="39" xfId="22" applyFont="1" applyFill="1" applyBorder="1" applyAlignment="1">
      <alignment horizontal="center" vertical="center" textRotation="90"/>
    </xf>
    <xf numFmtId="0" fontId="6" fillId="0" borderId="0" xfId="22" applyFont="1" applyAlignment="1">
      <alignment horizontal="center"/>
    </xf>
    <xf numFmtId="0" fontId="6" fillId="0" borderId="36" xfId="22" applyFont="1" applyBorder="1" applyAlignment="1">
      <alignment horizontal="center"/>
    </xf>
    <xf numFmtId="0" fontId="6" fillId="40" borderId="0" xfId="22" applyFont="1" applyFill="1" applyAlignment="1">
      <alignment horizontal="center" vertical="center"/>
    </xf>
    <xf numFmtId="0" fontId="6" fillId="3" borderId="0" xfId="22" applyFont="1" applyFill="1" applyAlignment="1">
      <alignment horizontal="center" vertical="center"/>
    </xf>
    <xf numFmtId="0" fontId="34" fillId="39" borderId="35" xfId="22" applyFont="1" applyFill="1" applyBorder="1" applyAlignment="1">
      <alignment horizontal="center" vertical="center" textRotation="90" wrapText="1"/>
    </xf>
    <xf numFmtId="0" fontId="34" fillId="39" borderId="38" xfId="22" applyFont="1" applyFill="1" applyBorder="1" applyAlignment="1">
      <alignment horizontal="center" vertical="center" textRotation="90" wrapText="1"/>
    </xf>
    <xf numFmtId="0" fontId="34" fillId="39" borderId="39" xfId="22" applyFont="1" applyFill="1" applyBorder="1" applyAlignment="1">
      <alignment horizontal="center" vertical="center" textRotation="90" wrapText="1"/>
    </xf>
    <xf numFmtId="0" fontId="6" fillId="21" borderId="0" xfId="22" applyFont="1" applyFill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/>
    </xf>
    <xf numFmtId="0" fontId="25" fillId="2" borderId="1" xfId="23" applyFont="1" applyFill="1" applyBorder="1" applyAlignment="1">
      <alignment horizontal="center" vertical="center" wrapText="1"/>
    </xf>
  </cellXfs>
  <cellStyles count="24">
    <cellStyle name="Comma" xfId="1" builtinId="3"/>
    <cellStyle name="Comma 2" xfId="2" xr:uid="{00000000-0005-0000-0000-000031000000}"/>
    <cellStyle name="Comma 3" xfId="17" xr:uid="{D063119C-52BE-4ACA-826B-042823C10DA7}"/>
    <cellStyle name="Normal" xfId="0" builtinId="0"/>
    <cellStyle name="Normal 18" xfId="3" xr:uid="{00000000-0005-0000-0000-000032000000}"/>
    <cellStyle name="Normal 2" xfId="4" xr:uid="{00000000-0005-0000-0000-000033000000}"/>
    <cellStyle name="Normal 2 10" xfId="5" xr:uid="{00000000-0005-0000-0000-000034000000}"/>
    <cellStyle name="Normal 2 10 2" xfId="6" xr:uid="{00000000-0005-0000-0000-000035000000}"/>
    <cellStyle name="Normal 2 2" xfId="7" xr:uid="{00000000-0005-0000-0000-000036000000}"/>
    <cellStyle name="Normal 2 3" xfId="8" xr:uid="{00000000-0005-0000-0000-000037000000}"/>
    <cellStyle name="Normal 2 3 2" xfId="20" xr:uid="{E93DA333-3D2E-4C3A-A676-2E45D7B62AA5}"/>
    <cellStyle name="Normal 2 3 5" xfId="18" xr:uid="{25C89E45-7730-46B2-B415-3C2A15104FDE}"/>
    <cellStyle name="Normal 21" xfId="19" xr:uid="{9E7BB3EE-99F9-489A-983F-F1B453EDF297}"/>
    <cellStyle name="Normal 22" xfId="9" xr:uid="{00000000-0005-0000-0000-000038000000}"/>
    <cellStyle name="Normal 3" xfId="10" xr:uid="{00000000-0005-0000-0000-000039000000}"/>
    <cellStyle name="Normal 3 2" xfId="11" xr:uid="{00000000-0005-0000-0000-00003A000000}"/>
    <cellStyle name="Normal 3 4 2" xfId="12" xr:uid="{00000000-0005-0000-0000-00003B000000}"/>
    <cellStyle name="Normal 3 5" xfId="13" xr:uid="{00000000-0005-0000-0000-00003C000000}"/>
    <cellStyle name="Normal 4" xfId="22" xr:uid="{924444E8-A82B-45CA-AF33-CAEA161EB980}"/>
    <cellStyle name="Normal 5" xfId="14" xr:uid="{00000000-0005-0000-0000-00003D000000}"/>
    <cellStyle name="Normal 7" xfId="15" xr:uid="{00000000-0005-0000-0000-00003E000000}"/>
    <cellStyle name="Normal 8" xfId="21" xr:uid="{DF123DE1-5177-49AF-BA80-B44FBB8A76EE}"/>
    <cellStyle name="Normal 99" xfId="23" xr:uid="{9C3EE27D-A227-4D1D-BC28-0932C146AE6B}"/>
    <cellStyle name="Percent" xfId="16" builtinId="5"/>
  </cellStyles>
  <dxfs count="10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1</xdr:col>
      <xdr:colOff>0</xdr:colOff>
      <xdr:row>5</xdr:row>
      <xdr:rowOff>12700</xdr:rowOff>
    </xdr:to>
    <xdr:sp macro="" textlink="">
      <xdr:nvSpPr>
        <xdr:cNvPr id="11" name="AutoShape 1211">
          <a:extLst>
            <a:ext uri="{FF2B5EF4-FFF2-40B4-BE49-F238E27FC236}">
              <a16:creationId xmlns:a16="http://schemas.microsoft.com/office/drawing/2014/main" id="{5D92D067-22E6-4F35-A956-9661CE8F5E5A}"/>
            </a:ext>
          </a:extLst>
        </xdr:cNvPr>
        <xdr:cNvSpPr>
          <a:spLocks noChangeArrowheads="1"/>
        </xdr:cNvSpPr>
      </xdr:nvSpPr>
      <xdr:spPr>
        <a:xfrm>
          <a:off x="0" y="774700"/>
          <a:ext cx="74295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16</xdr:row>
      <xdr:rowOff>31749</xdr:rowOff>
    </xdr:from>
    <xdr:to>
      <xdr:col>20</xdr:col>
      <xdr:colOff>18562</xdr:colOff>
      <xdr:row>18</xdr:row>
      <xdr:rowOff>21166</xdr:rowOff>
    </xdr:to>
    <xdr:sp macro="" textlink="">
      <xdr:nvSpPr>
        <xdr:cNvPr id="25" name="AutoShape 370">
          <a:extLst>
            <a:ext uri="{FF2B5EF4-FFF2-40B4-BE49-F238E27FC236}">
              <a16:creationId xmlns:a16="http://schemas.microsoft.com/office/drawing/2014/main" id="{ADDF7412-ACEE-4861-AE9C-885D72886616}"/>
            </a:ext>
          </a:extLst>
        </xdr:cNvPr>
        <xdr:cNvSpPr>
          <a:spLocks noChangeArrowheads="1"/>
        </xdr:cNvSpPr>
      </xdr:nvSpPr>
      <xdr:spPr>
        <a:xfrm>
          <a:off x="14456833" y="3640666"/>
          <a:ext cx="939312" cy="39158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190500</xdr:colOff>
      <xdr:row>10</xdr:row>
      <xdr:rowOff>1</xdr:rowOff>
    </xdr:from>
    <xdr:to>
      <xdr:col>9</xdr:col>
      <xdr:colOff>116416</xdr:colOff>
      <xdr:row>11</xdr:row>
      <xdr:rowOff>95251</xdr:rowOff>
    </xdr:to>
    <xdr:grpSp>
      <xdr:nvGrpSpPr>
        <xdr:cNvPr id="28" name="Group 1115">
          <a:extLst>
            <a:ext uri="{FF2B5EF4-FFF2-40B4-BE49-F238E27FC236}">
              <a16:creationId xmlns:a16="http://schemas.microsoft.com/office/drawing/2014/main" id="{36D1F255-31FF-48FC-AC09-C6F9AABAF63F}"/>
            </a:ext>
          </a:extLst>
        </xdr:cNvPr>
        <xdr:cNvGrpSpPr/>
      </xdr:nvGrpSpPr>
      <xdr:grpSpPr>
        <a:xfrm>
          <a:off x="11874500" y="4593168"/>
          <a:ext cx="1386416" cy="476250"/>
          <a:chOff x="11082" y="26717"/>
          <a:chExt cx="181" cy="165"/>
        </a:xfrm>
      </xdr:grpSpPr>
      <xdr:sp macro="" textlink="">
        <xdr:nvSpPr>
          <xdr:cNvPr id="29" name="Straight Connector 1107">
            <a:extLst>
              <a:ext uri="{FF2B5EF4-FFF2-40B4-BE49-F238E27FC236}">
                <a16:creationId xmlns:a16="http://schemas.microsoft.com/office/drawing/2014/main" id="{A3FE9E3F-4257-3319-26FC-3ACD21CF1137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Straight Connector 1108">
            <a:extLst>
              <a:ext uri="{FF2B5EF4-FFF2-40B4-BE49-F238E27FC236}">
                <a16:creationId xmlns:a16="http://schemas.microsoft.com/office/drawing/2014/main" id="{DD66E0B2-0040-1298-A26D-46A05565BE79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Straight Connector 1109">
            <a:extLst>
              <a:ext uri="{FF2B5EF4-FFF2-40B4-BE49-F238E27FC236}">
                <a16:creationId xmlns:a16="http://schemas.microsoft.com/office/drawing/2014/main" id="{6B1DCDDA-3131-58DC-9B76-5F58306D999B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Straight Connector 1111">
            <a:extLst>
              <a:ext uri="{FF2B5EF4-FFF2-40B4-BE49-F238E27FC236}">
                <a16:creationId xmlns:a16="http://schemas.microsoft.com/office/drawing/2014/main" id="{FA5C78C6-3B6C-7A34-5311-02FDEB607C22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Straight Connector 1112">
            <a:extLst>
              <a:ext uri="{FF2B5EF4-FFF2-40B4-BE49-F238E27FC236}">
                <a16:creationId xmlns:a16="http://schemas.microsoft.com/office/drawing/2014/main" id="{B3C4DDB8-7C10-1A6C-F72D-D19B7D7C5A96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Straight Connector 1113">
            <a:extLst>
              <a:ext uri="{FF2B5EF4-FFF2-40B4-BE49-F238E27FC236}">
                <a16:creationId xmlns:a16="http://schemas.microsoft.com/office/drawing/2014/main" id="{E1446566-2F08-8E93-B0FF-7ADE03639614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26836</xdr:colOff>
      <xdr:row>6</xdr:row>
      <xdr:rowOff>20121</xdr:rowOff>
    </xdr:from>
    <xdr:to>
      <xdr:col>4</xdr:col>
      <xdr:colOff>744953</xdr:colOff>
      <xdr:row>8</xdr:row>
      <xdr:rowOff>39912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7FA7A18-C4A6-456A-8E0A-C5A79403D1E3}"/>
            </a:ext>
          </a:extLst>
        </xdr:cNvPr>
        <xdr:cNvSpPr>
          <a:spLocks noChangeArrowheads="1"/>
        </xdr:cNvSpPr>
      </xdr:nvSpPr>
      <xdr:spPr>
        <a:xfrm rot="-7320000">
          <a:off x="3182699" y="1372758"/>
          <a:ext cx="400791" cy="718117"/>
        </a:xfrm>
        <a:prstGeom prst="lightningBolt">
          <a:avLst/>
        </a:prstGeom>
        <a:solidFill>
          <a:srgbClr val="00B0F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3968</xdr:colOff>
      <xdr:row>16</xdr:row>
      <xdr:rowOff>0</xdr:rowOff>
    </xdr:from>
    <xdr:to>
      <xdr:col>2</xdr:col>
      <xdr:colOff>7936</xdr:colOff>
      <xdr:row>18</xdr:row>
      <xdr:rowOff>31749</xdr:rowOff>
    </xdr:to>
    <xdr:sp macro="" textlink="">
      <xdr:nvSpPr>
        <xdr:cNvPr id="60" name="AutoShape 370">
          <a:extLst>
            <a:ext uri="{FF2B5EF4-FFF2-40B4-BE49-F238E27FC236}">
              <a16:creationId xmlns:a16="http://schemas.microsoft.com/office/drawing/2014/main" id="{A25EB345-C05A-408C-ADBD-A5E361504372}"/>
            </a:ext>
          </a:extLst>
        </xdr:cNvPr>
        <xdr:cNvSpPr>
          <a:spLocks noChangeArrowheads="1"/>
        </xdr:cNvSpPr>
      </xdr:nvSpPr>
      <xdr:spPr>
        <a:xfrm flipH="1">
          <a:off x="613568" y="3277658"/>
          <a:ext cx="550068" cy="31009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1408903</xdr:colOff>
      <xdr:row>16</xdr:row>
      <xdr:rowOff>47625</xdr:rowOff>
    </xdr:from>
    <xdr:to>
      <xdr:col>3</xdr:col>
      <xdr:colOff>1408900</xdr:colOff>
      <xdr:row>17</xdr:row>
      <xdr:rowOff>365125</xdr:rowOff>
    </xdr:to>
    <xdr:sp macro="" textlink="">
      <xdr:nvSpPr>
        <xdr:cNvPr id="72" name="AutoShape 370">
          <a:extLst>
            <a:ext uri="{FF2B5EF4-FFF2-40B4-BE49-F238E27FC236}">
              <a16:creationId xmlns:a16="http://schemas.microsoft.com/office/drawing/2014/main" id="{73DE7212-C45B-46FD-AF84-203CF1402494}"/>
            </a:ext>
          </a:extLst>
        </xdr:cNvPr>
        <xdr:cNvSpPr>
          <a:spLocks noChangeArrowheads="1"/>
        </xdr:cNvSpPr>
      </xdr:nvSpPr>
      <xdr:spPr>
        <a:xfrm flipH="1">
          <a:off x="4329903" y="6143625"/>
          <a:ext cx="1460497" cy="698500"/>
        </a:xfrm>
        <a:prstGeom prst="flowChartExtract">
          <a:avLst/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10585</xdr:colOff>
      <xdr:row>9</xdr:row>
      <xdr:rowOff>50800</xdr:rowOff>
    </xdr:from>
    <xdr:to>
      <xdr:col>1</xdr:col>
      <xdr:colOff>0</xdr:colOff>
      <xdr:row>11</xdr:row>
      <xdr:rowOff>10583</xdr:rowOff>
    </xdr:to>
    <xdr:sp macro="" textlink="">
      <xdr:nvSpPr>
        <xdr:cNvPr id="82" name="AutoShape 1211">
          <a:extLst>
            <a:ext uri="{FF2B5EF4-FFF2-40B4-BE49-F238E27FC236}">
              <a16:creationId xmlns:a16="http://schemas.microsoft.com/office/drawing/2014/main" id="{B741746B-D40A-4541-9127-1B33A56013CD}"/>
            </a:ext>
          </a:extLst>
        </xdr:cNvPr>
        <xdr:cNvSpPr>
          <a:spLocks noChangeArrowheads="1"/>
        </xdr:cNvSpPr>
      </xdr:nvSpPr>
      <xdr:spPr>
        <a:xfrm>
          <a:off x="10585" y="2294467"/>
          <a:ext cx="931332" cy="446616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195731</xdr:colOff>
      <xdr:row>3</xdr:row>
      <xdr:rowOff>100557</xdr:rowOff>
    </xdr:from>
    <xdr:to>
      <xdr:col>5</xdr:col>
      <xdr:colOff>44776</xdr:colOff>
      <xdr:row>4</xdr:row>
      <xdr:rowOff>84866</xdr:rowOff>
    </xdr:to>
    <xdr:sp macro="" textlink="">
      <xdr:nvSpPr>
        <xdr:cNvPr id="95" name="AutoShape 19">
          <a:extLst>
            <a:ext uri="{FF2B5EF4-FFF2-40B4-BE49-F238E27FC236}">
              <a16:creationId xmlns:a16="http://schemas.microsoft.com/office/drawing/2014/main" id="{7380F189-AC4C-4682-8228-66AC756E0514}"/>
            </a:ext>
          </a:extLst>
        </xdr:cNvPr>
        <xdr:cNvSpPr>
          <a:spLocks noChangeArrowheads="1"/>
        </xdr:cNvSpPr>
      </xdr:nvSpPr>
      <xdr:spPr>
        <a:xfrm rot="-7320000">
          <a:off x="3277699" y="701589"/>
          <a:ext cx="428809" cy="598345"/>
        </a:xfrm>
        <a:prstGeom prst="lightningBolt">
          <a:avLst/>
        </a:prstGeom>
        <a:solidFill>
          <a:srgbClr val="FFCC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511967</xdr:colOff>
      <xdr:row>8</xdr:row>
      <xdr:rowOff>35720</xdr:rowOff>
    </xdr:from>
    <xdr:to>
      <xdr:col>9</xdr:col>
      <xdr:colOff>559592</xdr:colOff>
      <xdr:row>9</xdr:row>
      <xdr:rowOff>67470</xdr:rowOff>
    </xdr:to>
    <xdr:sp macro="" textlink="">
      <xdr:nvSpPr>
        <xdr:cNvPr id="97" name="Freeform 832">
          <a:extLst>
            <a:ext uri="{FF2B5EF4-FFF2-40B4-BE49-F238E27FC236}">
              <a16:creationId xmlns:a16="http://schemas.microsoft.com/office/drawing/2014/main" id="{056CB388-635D-4736-AB7F-A355FBF1333C}"/>
            </a:ext>
          </a:extLst>
        </xdr:cNvPr>
        <xdr:cNvSpPr>
          <a:spLocks noChangeArrowheads="1"/>
        </xdr:cNvSpPr>
      </xdr:nvSpPr>
      <xdr:spPr>
        <a:xfrm>
          <a:off x="5697800" y="1919553"/>
          <a:ext cx="1529292" cy="2222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500060</xdr:colOff>
      <xdr:row>5</xdr:row>
      <xdr:rowOff>161399</xdr:rowOff>
    </xdr:from>
    <xdr:to>
      <xdr:col>9</xdr:col>
      <xdr:colOff>579435</xdr:colOff>
      <xdr:row>6</xdr:row>
      <xdr:rowOff>177274</xdr:rowOff>
    </xdr:to>
    <xdr:sp macro="" textlink="">
      <xdr:nvSpPr>
        <xdr:cNvPr id="106" name="Freeform 283">
          <a:extLst>
            <a:ext uri="{FF2B5EF4-FFF2-40B4-BE49-F238E27FC236}">
              <a16:creationId xmlns:a16="http://schemas.microsoft.com/office/drawing/2014/main" id="{0C87ED7F-69B1-4728-9422-D7F66BFD3B02}"/>
            </a:ext>
          </a:extLst>
        </xdr:cNvPr>
        <xdr:cNvSpPr>
          <a:spLocks noChangeArrowheads="1"/>
        </xdr:cNvSpPr>
      </xdr:nvSpPr>
      <xdr:spPr>
        <a:xfrm>
          <a:off x="5685893" y="1473732"/>
          <a:ext cx="1561042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207443</xdr:colOff>
      <xdr:row>3</xdr:row>
      <xdr:rowOff>174915</xdr:rowOff>
    </xdr:from>
    <xdr:to>
      <xdr:col>9</xdr:col>
      <xdr:colOff>340135</xdr:colOff>
      <xdr:row>4</xdr:row>
      <xdr:rowOff>60919</xdr:rowOff>
    </xdr:to>
    <xdr:sp macro="" textlink="">
      <xdr:nvSpPr>
        <xdr:cNvPr id="115" name="Equals 167">
          <a:extLst>
            <a:ext uri="{FF2B5EF4-FFF2-40B4-BE49-F238E27FC236}">
              <a16:creationId xmlns:a16="http://schemas.microsoft.com/office/drawing/2014/main" id="{4EE3AD91-B037-4F45-83A6-FCCEE71BE7D4}"/>
            </a:ext>
          </a:extLst>
        </xdr:cNvPr>
        <xdr:cNvSpPr/>
      </xdr:nvSpPr>
      <xdr:spPr>
        <a:xfrm rot="8701317">
          <a:off x="6134110" y="852248"/>
          <a:ext cx="873525" cy="330504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511967</xdr:colOff>
      <xdr:row>8</xdr:row>
      <xdr:rowOff>48193</xdr:rowOff>
    </xdr:from>
    <xdr:to>
      <xdr:col>9</xdr:col>
      <xdr:colOff>559592</xdr:colOff>
      <xdr:row>9</xdr:row>
      <xdr:rowOff>79943</xdr:rowOff>
    </xdr:to>
    <xdr:sp macro="" textlink="">
      <xdr:nvSpPr>
        <xdr:cNvPr id="117" name="Freeform 832">
          <a:extLst>
            <a:ext uri="{FF2B5EF4-FFF2-40B4-BE49-F238E27FC236}">
              <a16:creationId xmlns:a16="http://schemas.microsoft.com/office/drawing/2014/main" id="{61C5178C-B8AA-4E52-8C86-43CC18650A37}"/>
            </a:ext>
          </a:extLst>
        </xdr:cNvPr>
        <xdr:cNvSpPr>
          <a:spLocks noChangeArrowheads="1"/>
        </xdr:cNvSpPr>
      </xdr:nvSpPr>
      <xdr:spPr>
        <a:xfrm>
          <a:off x="5697800" y="1932026"/>
          <a:ext cx="1529292" cy="2222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31750</xdr:colOff>
      <xdr:row>18</xdr:row>
      <xdr:rowOff>0</xdr:rowOff>
    </xdr:to>
    <xdr:sp macro="" textlink="">
      <xdr:nvSpPr>
        <xdr:cNvPr id="118" name="AutoShape 370">
          <a:extLst>
            <a:ext uri="{FF2B5EF4-FFF2-40B4-BE49-F238E27FC236}">
              <a16:creationId xmlns:a16="http://schemas.microsoft.com/office/drawing/2014/main" id="{83CC5390-8CD5-4957-A25E-F6165C998CE2}"/>
            </a:ext>
          </a:extLst>
        </xdr:cNvPr>
        <xdr:cNvSpPr>
          <a:spLocks noChangeArrowheads="1"/>
        </xdr:cNvSpPr>
      </xdr:nvSpPr>
      <xdr:spPr>
        <a:xfrm>
          <a:off x="3886200" y="3273425"/>
          <a:ext cx="577850" cy="282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16</xdr:row>
      <xdr:rowOff>15875</xdr:rowOff>
    </xdr:from>
    <xdr:to>
      <xdr:col>10</xdr:col>
      <xdr:colOff>0</xdr:colOff>
      <xdr:row>18</xdr:row>
      <xdr:rowOff>15875</xdr:rowOff>
    </xdr:to>
    <xdr:sp macro="" textlink="">
      <xdr:nvSpPr>
        <xdr:cNvPr id="119" name="AutoShape 370">
          <a:extLst>
            <a:ext uri="{FF2B5EF4-FFF2-40B4-BE49-F238E27FC236}">
              <a16:creationId xmlns:a16="http://schemas.microsoft.com/office/drawing/2014/main" id="{1F897445-9347-48EF-BAE9-E51FE77DBB49}"/>
            </a:ext>
          </a:extLst>
        </xdr:cNvPr>
        <xdr:cNvSpPr>
          <a:spLocks noChangeArrowheads="1"/>
        </xdr:cNvSpPr>
      </xdr:nvSpPr>
      <xdr:spPr>
        <a:xfrm>
          <a:off x="4978400" y="3292475"/>
          <a:ext cx="546100" cy="2794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7937</xdr:colOff>
      <xdr:row>16</xdr:row>
      <xdr:rowOff>4763</xdr:rowOff>
    </xdr:from>
    <xdr:to>
      <xdr:col>14</xdr:col>
      <xdr:colOff>0</xdr:colOff>
      <xdr:row>18</xdr:row>
      <xdr:rowOff>0</xdr:rowOff>
    </xdr:to>
    <xdr:sp macro="" textlink="">
      <xdr:nvSpPr>
        <xdr:cNvPr id="120" name="AutoShape 370">
          <a:extLst>
            <a:ext uri="{FF2B5EF4-FFF2-40B4-BE49-F238E27FC236}">
              <a16:creationId xmlns:a16="http://schemas.microsoft.com/office/drawing/2014/main" id="{FB247B73-153E-4293-AD59-93389CC055E2}"/>
            </a:ext>
          </a:extLst>
        </xdr:cNvPr>
        <xdr:cNvSpPr>
          <a:spLocks noChangeArrowheads="1"/>
        </xdr:cNvSpPr>
      </xdr:nvSpPr>
      <xdr:spPr>
        <a:xfrm>
          <a:off x="18994437" y="6883930"/>
          <a:ext cx="1452563" cy="75723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15</xdr:col>
      <xdr:colOff>0</xdr:colOff>
      <xdr:row>16</xdr:row>
      <xdr:rowOff>31751</xdr:rowOff>
    </xdr:from>
    <xdr:to>
      <xdr:col>16</xdr:col>
      <xdr:colOff>10584</xdr:colOff>
      <xdr:row>17</xdr:row>
      <xdr:rowOff>365125</xdr:rowOff>
    </xdr:to>
    <xdr:sp macro="" textlink="">
      <xdr:nvSpPr>
        <xdr:cNvPr id="121" name="AutoShape 370">
          <a:extLst>
            <a:ext uri="{FF2B5EF4-FFF2-40B4-BE49-F238E27FC236}">
              <a16:creationId xmlns:a16="http://schemas.microsoft.com/office/drawing/2014/main" id="{7CA67C6F-A7E9-4B66-9F1C-262D59A04226}"/>
            </a:ext>
          </a:extLst>
        </xdr:cNvPr>
        <xdr:cNvSpPr>
          <a:spLocks noChangeArrowheads="1"/>
        </xdr:cNvSpPr>
      </xdr:nvSpPr>
      <xdr:spPr>
        <a:xfrm>
          <a:off x="8255000" y="3308351"/>
          <a:ext cx="556684" cy="2444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17</xdr:col>
      <xdr:colOff>0</xdr:colOff>
      <xdr:row>16</xdr:row>
      <xdr:rowOff>7936</xdr:rowOff>
    </xdr:from>
    <xdr:to>
      <xdr:col>18</xdr:col>
      <xdr:colOff>5292</xdr:colOff>
      <xdr:row>18</xdr:row>
      <xdr:rowOff>0</xdr:rowOff>
    </xdr:to>
    <xdr:sp macro="" textlink="">
      <xdr:nvSpPr>
        <xdr:cNvPr id="122" name="AutoShape 370">
          <a:extLst>
            <a:ext uri="{FF2B5EF4-FFF2-40B4-BE49-F238E27FC236}">
              <a16:creationId xmlns:a16="http://schemas.microsoft.com/office/drawing/2014/main" id="{A64FD881-E9DA-4A16-B96E-9FBDBA23C55C}"/>
            </a:ext>
          </a:extLst>
        </xdr:cNvPr>
        <xdr:cNvSpPr>
          <a:spLocks noChangeArrowheads="1"/>
        </xdr:cNvSpPr>
      </xdr:nvSpPr>
      <xdr:spPr>
        <a:xfrm>
          <a:off x="24828500" y="6103936"/>
          <a:ext cx="1465792" cy="7540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727062</xdr:colOff>
      <xdr:row>9</xdr:row>
      <xdr:rowOff>173893</xdr:rowOff>
    </xdr:from>
    <xdr:to>
      <xdr:col>5</xdr:col>
      <xdr:colOff>12049</xdr:colOff>
      <xdr:row>12</xdr:row>
      <xdr:rowOff>46294</xdr:rowOff>
    </xdr:to>
    <xdr:sp macro="" textlink="">
      <xdr:nvSpPr>
        <xdr:cNvPr id="892" name="AutoShape 19">
          <a:extLst>
            <a:ext uri="{FF2B5EF4-FFF2-40B4-BE49-F238E27FC236}">
              <a16:creationId xmlns:a16="http://schemas.microsoft.com/office/drawing/2014/main" id="{0B39E73E-1A9E-42DC-BCA4-D395391D1716}"/>
            </a:ext>
          </a:extLst>
        </xdr:cNvPr>
        <xdr:cNvSpPr>
          <a:spLocks noChangeArrowheads="1"/>
        </xdr:cNvSpPr>
      </xdr:nvSpPr>
      <xdr:spPr>
        <a:xfrm rot="-7320000">
          <a:off x="3144805" y="2086850"/>
          <a:ext cx="443901" cy="783587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16</xdr:row>
      <xdr:rowOff>6350</xdr:rowOff>
    </xdr:from>
    <xdr:to>
      <xdr:col>12</xdr:col>
      <xdr:colOff>34924</xdr:colOff>
      <xdr:row>18</xdr:row>
      <xdr:rowOff>0</xdr:rowOff>
    </xdr:to>
    <xdr:sp macro="" textlink="">
      <xdr:nvSpPr>
        <xdr:cNvPr id="921" name="AutoShape 1211">
          <a:extLst>
            <a:ext uri="{FF2B5EF4-FFF2-40B4-BE49-F238E27FC236}">
              <a16:creationId xmlns:a16="http://schemas.microsoft.com/office/drawing/2014/main" id="{F6C0F0BB-DCBF-4AD2-88B6-4488977FBF5F}"/>
            </a:ext>
          </a:extLst>
        </xdr:cNvPr>
        <xdr:cNvSpPr>
          <a:spLocks noChangeArrowheads="1"/>
        </xdr:cNvSpPr>
      </xdr:nvSpPr>
      <xdr:spPr>
        <a:xfrm>
          <a:off x="8794750" y="4282017"/>
          <a:ext cx="849841" cy="480483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9637</xdr:colOff>
      <xdr:row>16</xdr:row>
      <xdr:rowOff>6348</xdr:rowOff>
    </xdr:from>
    <xdr:to>
      <xdr:col>6</xdr:col>
      <xdr:colOff>0</xdr:colOff>
      <xdr:row>18</xdr:row>
      <xdr:rowOff>0</xdr:rowOff>
    </xdr:to>
    <xdr:sp macro="" textlink="">
      <xdr:nvSpPr>
        <xdr:cNvPr id="922" name="AutoShape 1211">
          <a:extLst>
            <a:ext uri="{FF2B5EF4-FFF2-40B4-BE49-F238E27FC236}">
              <a16:creationId xmlns:a16="http://schemas.microsoft.com/office/drawing/2014/main" id="{91B5ECC6-FFF3-42D7-9B20-A8FDB07A50AA}"/>
            </a:ext>
          </a:extLst>
        </xdr:cNvPr>
        <xdr:cNvSpPr>
          <a:spLocks noChangeArrowheads="1"/>
        </xdr:cNvSpPr>
      </xdr:nvSpPr>
      <xdr:spPr>
        <a:xfrm>
          <a:off x="3914887" y="4282015"/>
          <a:ext cx="805280" cy="480485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3090</xdr:colOff>
      <xdr:row>16</xdr:row>
      <xdr:rowOff>1</xdr:rowOff>
    </xdr:from>
    <xdr:to>
      <xdr:col>23</xdr:col>
      <xdr:colOff>1397000</xdr:colOff>
      <xdr:row>17</xdr:row>
      <xdr:rowOff>349251</xdr:rowOff>
    </xdr:to>
    <xdr:sp macro="" textlink="">
      <xdr:nvSpPr>
        <xdr:cNvPr id="923" name="AutoShape 370">
          <a:extLst>
            <a:ext uri="{FF2B5EF4-FFF2-40B4-BE49-F238E27FC236}">
              <a16:creationId xmlns:a16="http://schemas.microsoft.com/office/drawing/2014/main" id="{4432A34C-1EFA-4CCB-89F8-6D5D2E70DDEB}"/>
            </a:ext>
          </a:extLst>
        </xdr:cNvPr>
        <xdr:cNvSpPr>
          <a:spLocks noChangeArrowheads="1"/>
        </xdr:cNvSpPr>
      </xdr:nvSpPr>
      <xdr:spPr>
        <a:xfrm>
          <a:off x="33594590" y="6096001"/>
          <a:ext cx="1393910" cy="7302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22</xdr:col>
      <xdr:colOff>0</xdr:colOff>
      <xdr:row>18</xdr:row>
      <xdr:rowOff>31750</xdr:rowOff>
    </xdr:to>
    <xdr:sp macro="" textlink="">
      <xdr:nvSpPr>
        <xdr:cNvPr id="946" name="AutoShape 370">
          <a:extLst>
            <a:ext uri="{FF2B5EF4-FFF2-40B4-BE49-F238E27FC236}">
              <a16:creationId xmlns:a16="http://schemas.microsoft.com/office/drawing/2014/main" id="{F261E36E-437B-4956-9427-9C87EDCE3EF0}"/>
            </a:ext>
          </a:extLst>
        </xdr:cNvPr>
        <xdr:cNvSpPr>
          <a:spLocks noChangeArrowheads="1"/>
        </xdr:cNvSpPr>
      </xdr:nvSpPr>
      <xdr:spPr>
        <a:xfrm>
          <a:off x="11531600" y="3276600"/>
          <a:ext cx="546100" cy="311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279703</xdr:colOff>
      <xdr:row>13</xdr:row>
      <xdr:rowOff>3023</xdr:rowOff>
    </xdr:from>
    <xdr:to>
      <xdr:col>4</xdr:col>
      <xdr:colOff>520775</xdr:colOff>
      <xdr:row>14</xdr:row>
      <xdr:rowOff>152207</xdr:rowOff>
    </xdr:to>
    <xdr:grpSp>
      <xdr:nvGrpSpPr>
        <xdr:cNvPr id="1205" name="Group 1204">
          <a:extLst>
            <a:ext uri="{FF2B5EF4-FFF2-40B4-BE49-F238E27FC236}">
              <a16:creationId xmlns:a16="http://schemas.microsoft.com/office/drawing/2014/main" id="{24A175D4-E0B2-4F4D-8021-934048F02365}"/>
            </a:ext>
          </a:extLst>
        </xdr:cNvPr>
        <xdr:cNvGrpSpPr/>
      </xdr:nvGrpSpPr>
      <xdr:grpSpPr>
        <a:xfrm>
          <a:off x="6121703" y="5739190"/>
          <a:ext cx="241072" cy="530184"/>
          <a:chOff x="6143939" y="789134"/>
          <a:chExt cx="457200" cy="518966"/>
        </a:xfrm>
      </xdr:grpSpPr>
      <xdr:grpSp>
        <xdr:nvGrpSpPr>
          <xdr:cNvPr id="1206" name="Group 1205">
            <a:extLst>
              <a:ext uri="{FF2B5EF4-FFF2-40B4-BE49-F238E27FC236}">
                <a16:creationId xmlns:a16="http://schemas.microsoft.com/office/drawing/2014/main" id="{CEE8D0CE-51C1-FF92-49F4-3A69067DD0F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208" name="Straight Connector 1207">
              <a:extLst>
                <a:ext uri="{FF2B5EF4-FFF2-40B4-BE49-F238E27FC236}">
                  <a16:creationId xmlns:a16="http://schemas.microsoft.com/office/drawing/2014/main" id="{8C7B2AB9-C97B-36B2-56D3-99177F4296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9" name="Straight Connector 1208">
              <a:extLst>
                <a:ext uri="{FF2B5EF4-FFF2-40B4-BE49-F238E27FC236}">
                  <a16:creationId xmlns:a16="http://schemas.microsoft.com/office/drawing/2014/main" id="{05FF1236-E127-B19A-1B35-69F8F4DFE4D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0" name="Straight Connector 1209">
              <a:extLst>
                <a:ext uri="{FF2B5EF4-FFF2-40B4-BE49-F238E27FC236}">
                  <a16:creationId xmlns:a16="http://schemas.microsoft.com/office/drawing/2014/main" id="{522498E3-FD83-6F96-D9CD-D99B01049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1" name="Straight Connector 1210">
              <a:extLst>
                <a:ext uri="{FF2B5EF4-FFF2-40B4-BE49-F238E27FC236}">
                  <a16:creationId xmlns:a16="http://schemas.microsoft.com/office/drawing/2014/main" id="{E4628AD7-365C-868F-0D2A-7606B7DCDA7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2" name="Straight Connector 1211">
              <a:extLst>
                <a:ext uri="{FF2B5EF4-FFF2-40B4-BE49-F238E27FC236}">
                  <a16:creationId xmlns:a16="http://schemas.microsoft.com/office/drawing/2014/main" id="{2357F865-EC1C-7FD9-E075-BEAFD74C8D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3" name="Straight Connector 1212">
              <a:extLst>
                <a:ext uri="{FF2B5EF4-FFF2-40B4-BE49-F238E27FC236}">
                  <a16:creationId xmlns:a16="http://schemas.microsoft.com/office/drawing/2014/main" id="{E0A23E90-5DA0-87AA-7F2D-B838C7C9EE4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07" name="Straight Connector 1206">
            <a:extLst>
              <a:ext uri="{FF2B5EF4-FFF2-40B4-BE49-F238E27FC236}">
                <a16:creationId xmlns:a16="http://schemas.microsoft.com/office/drawing/2014/main" id="{84506D2E-4624-3D38-3336-7BC97ABDA20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21167</xdr:colOff>
      <xdr:row>25</xdr:row>
      <xdr:rowOff>31749</xdr:rowOff>
    </xdr:from>
    <xdr:to>
      <xdr:col>20</xdr:col>
      <xdr:colOff>18562</xdr:colOff>
      <xdr:row>27</xdr:row>
      <xdr:rowOff>0</xdr:rowOff>
    </xdr:to>
    <xdr:sp macro="" textlink="">
      <xdr:nvSpPr>
        <xdr:cNvPr id="1347" name="AutoShape 370">
          <a:extLst>
            <a:ext uri="{FF2B5EF4-FFF2-40B4-BE49-F238E27FC236}">
              <a16:creationId xmlns:a16="http://schemas.microsoft.com/office/drawing/2014/main" id="{9140BECF-4D32-455F-A369-2B3DE2850714}"/>
            </a:ext>
          </a:extLst>
        </xdr:cNvPr>
        <xdr:cNvSpPr>
          <a:spLocks noChangeArrowheads="1"/>
        </xdr:cNvSpPr>
      </xdr:nvSpPr>
      <xdr:spPr>
        <a:xfrm>
          <a:off x="15335250" y="6741582"/>
          <a:ext cx="812312" cy="45508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3968</xdr:colOff>
      <xdr:row>24</xdr:row>
      <xdr:rowOff>312208</xdr:rowOff>
    </xdr:from>
    <xdr:to>
      <xdr:col>2</xdr:col>
      <xdr:colOff>7936</xdr:colOff>
      <xdr:row>27</xdr:row>
      <xdr:rowOff>31749</xdr:rowOff>
    </xdr:to>
    <xdr:sp macro="" textlink="">
      <xdr:nvSpPr>
        <xdr:cNvPr id="1348" name="AutoShape 370">
          <a:extLst>
            <a:ext uri="{FF2B5EF4-FFF2-40B4-BE49-F238E27FC236}">
              <a16:creationId xmlns:a16="http://schemas.microsoft.com/office/drawing/2014/main" id="{C66F906D-4122-4E14-9B58-D205BE0C06B0}"/>
            </a:ext>
          </a:extLst>
        </xdr:cNvPr>
        <xdr:cNvSpPr>
          <a:spLocks noChangeArrowheads="1"/>
        </xdr:cNvSpPr>
      </xdr:nvSpPr>
      <xdr:spPr>
        <a:xfrm flipH="1">
          <a:off x="648039" y="4282772"/>
          <a:ext cx="648040" cy="41169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20370</xdr:colOff>
      <xdr:row>24</xdr:row>
      <xdr:rowOff>375707</xdr:rowOff>
    </xdr:from>
    <xdr:to>
      <xdr:col>4</xdr:col>
      <xdr:colOff>20367</xdr:colOff>
      <xdr:row>26</xdr:row>
      <xdr:rowOff>375708</xdr:rowOff>
    </xdr:to>
    <xdr:sp macro="" textlink="">
      <xdr:nvSpPr>
        <xdr:cNvPr id="1349" name="AutoShape 370">
          <a:extLst>
            <a:ext uri="{FF2B5EF4-FFF2-40B4-BE49-F238E27FC236}">
              <a16:creationId xmlns:a16="http://schemas.microsoft.com/office/drawing/2014/main" id="{A378260E-D6DF-4D44-9076-9C8A65E1BC17}"/>
            </a:ext>
          </a:extLst>
        </xdr:cNvPr>
        <xdr:cNvSpPr>
          <a:spLocks noChangeArrowheads="1"/>
        </xdr:cNvSpPr>
      </xdr:nvSpPr>
      <xdr:spPr>
        <a:xfrm flipH="1">
          <a:off x="4401870" y="9519707"/>
          <a:ext cx="1460497" cy="762001"/>
        </a:xfrm>
        <a:prstGeom prst="flowChartExtract">
          <a:avLst/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24</xdr:row>
      <xdr:rowOff>301625</xdr:rowOff>
    </xdr:from>
    <xdr:to>
      <xdr:col>8</xdr:col>
      <xdr:colOff>31750</xdr:colOff>
      <xdr:row>27</xdr:row>
      <xdr:rowOff>0</xdr:rowOff>
    </xdr:to>
    <xdr:sp macro="" textlink="">
      <xdr:nvSpPr>
        <xdr:cNvPr id="1350" name="AutoShape 370">
          <a:extLst>
            <a:ext uri="{FF2B5EF4-FFF2-40B4-BE49-F238E27FC236}">
              <a16:creationId xmlns:a16="http://schemas.microsoft.com/office/drawing/2014/main" id="{AC06B0A3-6329-4531-96B1-20758A82DFB6}"/>
            </a:ext>
          </a:extLst>
        </xdr:cNvPr>
        <xdr:cNvSpPr>
          <a:spLocks noChangeArrowheads="1"/>
        </xdr:cNvSpPr>
      </xdr:nvSpPr>
      <xdr:spPr>
        <a:xfrm>
          <a:off x="4508500" y="4278539"/>
          <a:ext cx="675821" cy="3841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25</xdr:row>
      <xdr:rowOff>15875</xdr:rowOff>
    </xdr:from>
    <xdr:to>
      <xdr:col>10</xdr:col>
      <xdr:colOff>0</xdr:colOff>
      <xdr:row>27</xdr:row>
      <xdr:rowOff>15875</xdr:rowOff>
    </xdr:to>
    <xdr:sp macro="" textlink="">
      <xdr:nvSpPr>
        <xdr:cNvPr id="1351" name="AutoShape 370">
          <a:extLst>
            <a:ext uri="{FF2B5EF4-FFF2-40B4-BE49-F238E27FC236}">
              <a16:creationId xmlns:a16="http://schemas.microsoft.com/office/drawing/2014/main" id="{ED4F07B7-1D1A-47FE-9A57-61FC04EB93D7}"/>
            </a:ext>
          </a:extLst>
        </xdr:cNvPr>
        <xdr:cNvSpPr>
          <a:spLocks noChangeArrowheads="1"/>
        </xdr:cNvSpPr>
      </xdr:nvSpPr>
      <xdr:spPr>
        <a:xfrm>
          <a:off x="5796643" y="4297589"/>
          <a:ext cx="644071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7937</xdr:colOff>
      <xdr:row>25</xdr:row>
      <xdr:rowOff>4763</xdr:rowOff>
    </xdr:from>
    <xdr:to>
      <xdr:col>14</xdr:col>
      <xdr:colOff>0</xdr:colOff>
      <xdr:row>27</xdr:row>
      <xdr:rowOff>0</xdr:rowOff>
    </xdr:to>
    <xdr:sp macro="" textlink="">
      <xdr:nvSpPr>
        <xdr:cNvPr id="1352" name="AutoShape 370">
          <a:extLst>
            <a:ext uri="{FF2B5EF4-FFF2-40B4-BE49-F238E27FC236}">
              <a16:creationId xmlns:a16="http://schemas.microsoft.com/office/drawing/2014/main" id="{8575C1FF-B41A-4E02-9D5B-936815EDF682}"/>
            </a:ext>
          </a:extLst>
        </xdr:cNvPr>
        <xdr:cNvSpPr>
          <a:spLocks noChangeArrowheads="1"/>
        </xdr:cNvSpPr>
      </xdr:nvSpPr>
      <xdr:spPr>
        <a:xfrm>
          <a:off x="8380866" y="4286477"/>
          <a:ext cx="663348" cy="37623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15</xdr:col>
      <xdr:colOff>0</xdr:colOff>
      <xdr:row>25</xdr:row>
      <xdr:rowOff>10584</xdr:rowOff>
    </xdr:from>
    <xdr:to>
      <xdr:col>16</xdr:col>
      <xdr:colOff>10584</xdr:colOff>
      <xdr:row>26</xdr:row>
      <xdr:rowOff>343958</xdr:rowOff>
    </xdr:to>
    <xdr:sp macro="" textlink="">
      <xdr:nvSpPr>
        <xdr:cNvPr id="1353" name="AutoShape 370">
          <a:extLst>
            <a:ext uri="{FF2B5EF4-FFF2-40B4-BE49-F238E27FC236}">
              <a16:creationId xmlns:a16="http://schemas.microsoft.com/office/drawing/2014/main" id="{710712C3-F59E-4A41-AE41-06B01352434E}"/>
            </a:ext>
          </a:extLst>
        </xdr:cNvPr>
        <xdr:cNvSpPr>
          <a:spLocks noChangeArrowheads="1"/>
        </xdr:cNvSpPr>
      </xdr:nvSpPr>
      <xdr:spPr>
        <a:xfrm>
          <a:off x="21907500" y="10318751"/>
          <a:ext cx="1471084" cy="714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17</xdr:col>
      <xdr:colOff>31750</xdr:colOff>
      <xdr:row>25</xdr:row>
      <xdr:rowOff>7937</xdr:rowOff>
    </xdr:from>
    <xdr:to>
      <xdr:col>18</xdr:col>
      <xdr:colOff>5292</xdr:colOff>
      <xdr:row>27</xdr:row>
      <xdr:rowOff>0</xdr:rowOff>
    </xdr:to>
    <xdr:sp macro="" textlink="">
      <xdr:nvSpPr>
        <xdr:cNvPr id="1354" name="AutoShape 370">
          <a:extLst>
            <a:ext uri="{FF2B5EF4-FFF2-40B4-BE49-F238E27FC236}">
              <a16:creationId xmlns:a16="http://schemas.microsoft.com/office/drawing/2014/main" id="{EA065901-0502-4E9B-89D1-5F497C1D1750}"/>
            </a:ext>
          </a:extLst>
        </xdr:cNvPr>
        <xdr:cNvSpPr>
          <a:spLocks noChangeArrowheads="1"/>
        </xdr:cNvSpPr>
      </xdr:nvSpPr>
      <xdr:spPr>
        <a:xfrm>
          <a:off x="24860250" y="9532937"/>
          <a:ext cx="1434042" cy="7540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21167</xdr:colOff>
      <xdr:row>25</xdr:row>
      <xdr:rowOff>6350</xdr:rowOff>
    </xdr:from>
    <xdr:to>
      <xdr:col>12</xdr:col>
      <xdr:colOff>34924</xdr:colOff>
      <xdr:row>27</xdr:row>
      <xdr:rowOff>21166</xdr:rowOff>
    </xdr:to>
    <xdr:sp macro="" textlink="">
      <xdr:nvSpPr>
        <xdr:cNvPr id="1355" name="AutoShape 1211">
          <a:extLst>
            <a:ext uri="{FF2B5EF4-FFF2-40B4-BE49-F238E27FC236}">
              <a16:creationId xmlns:a16="http://schemas.microsoft.com/office/drawing/2014/main" id="{2112CCBA-DAFA-48E7-A7A5-5DF8F0BE27F9}"/>
            </a:ext>
          </a:extLst>
        </xdr:cNvPr>
        <xdr:cNvSpPr>
          <a:spLocks noChangeArrowheads="1"/>
        </xdr:cNvSpPr>
      </xdr:nvSpPr>
      <xdr:spPr>
        <a:xfrm>
          <a:off x="10382250" y="6144683"/>
          <a:ext cx="955674" cy="5016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20221</xdr:colOff>
      <xdr:row>24</xdr:row>
      <xdr:rowOff>228598</xdr:rowOff>
    </xdr:from>
    <xdr:to>
      <xdr:col>5</xdr:col>
      <xdr:colOff>1412875</xdr:colOff>
      <xdr:row>27</xdr:row>
      <xdr:rowOff>31749</xdr:rowOff>
    </xdr:to>
    <xdr:sp macro="" textlink="">
      <xdr:nvSpPr>
        <xdr:cNvPr id="1356" name="AutoShape 1211">
          <a:extLst>
            <a:ext uri="{FF2B5EF4-FFF2-40B4-BE49-F238E27FC236}">
              <a16:creationId xmlns:a16="http://schemas.microsoft.com/office/drawing/2014/main" id="{F15A1CDF-2C1A-4313-AB1A-93C9FF87CD34}"/>
            </a:ext>
          </a:extLst>
        </xdr:cNvPr>
        <xdr:cNvSpPr>
          <a:spLocks noChangeArrowheads="1"/>
        </xdr:cNvSpPr>
      </xdr:nvSpPr>
      <xdr:spPr>
        <a:xfrm>
          <a:off x="7322721" y="9372598"/>
          <a:ext cx="1392654" cy="946151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3090</xdr:colOff>
      <xdr:row>25</xdr:row>
      <xdr:rowOff>1</xdr:rowOff>
    </xdr:from>
    <xdr:to>
      <xdr:col>24</xdr:col>
      <xdr:colOff>0</xdr:colOff>
      <xdr:row>27</xdr:row>
      <xdr:rowOff>1</xdr:rowOff>
    </xdr:to>
    <xdr:sp macro="" textlink="">
      <xdr:nvSpPr>
        <xdr:cNvPr id="1357" name="AutoShape 370">
          <a:extLst>
            <a:ext uri="{FF2B5EF4-FFF2-40B4-BE49-F238E27FC236}">
              <a16:creationId xmlns:a16="http://schemas.microsoft.com/office/drawing/2014/main" id="{D2D79281-3F4D-4256-A00C-1172115E3003}"/>
            </a:ext>
          </a:extLst>
        </xdr:cNvPr>
        <xdr:cNvSpPr>
          <a:spLocks noChangeArrowheads="1"/>
        </xdr:cNvSpPr>
      </xdr:nvSpPr>
      <xdr:spPr>
        <a:xfrm>
          <a:off x="33594590" y="9525001"/>
          <a:ext cx="1457410" cy="762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0</xdr:colOff>
      <xdr:row>27</xdr:row>
      <xdr:rowOff>31750</xdr:rowOff>
    </xdr:to>
    <xdr:sp macro="" textlink="">
      <xdr:nvSpPr>
        <xdr:cNvPr id="1376" name="AutoShape 370">
          <a:extLst>
            <a:ext uri="{FF2B5EF4-FFF2-40B4-BE49-F238E27FC236}">
              <a16:creationId xmlns:a16="http://schemas.microsoft.com/office/drawing/2014/main" id="{CFA1014E-CA78-4E3D-9895-897AAB281C5E}"/>
            </a:ext>
          </a:extLst>
        </xdr:cNvPr>
        <xdr:cNvSpPr>
          <a:spLocks noChangeArrowheads="1"/>
        </xdr:cNvSpPr>
      </xdr:nvSpPr>
      <xdr:spPr>
        <a:xfrm>
          <a:off x="13670643" y="4281714"/>
          <a:ext cx="644071" cy="4127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11903</xdr:colOff>
      <xdr:row>40</xdr:row>
      <xdr:rowOff>365125</xdr:rowOff>
    </xdr:from>
    <xdr:to>
      <xdr:col>2</xdr:col>
      <xdr:colOff>11900</xdr:colOff>
      <xdr:row>42</xdr:row>
      <xdr:rowOff>365125</xdr:rowOff>
    </xdr:to>
    <xdr:sp macro="" textlink="">
      <xdr:nvSpPr>
        <xdr:cNvPr id="1568" name="AutoShape 370">
          <a:extLst>
            <a:ext uri="{FF2B5EF4-FFF2-40B4-BE49-F238E27FC236}">
              <a16:creationId xmlns:a16="http://schemas.microsoft.com/office/drawing/2014/main" id="{3AA908A9-32C1-4E51-8B88-B0AC2A62E551}"/>
            </a:ext>
          </a:extLst>
        </xdr:cNvPr>
        <xdr:cNvSpPr>
          <a:spLocks noChangeArrowheads="1"/>
        </xdr:cNvSpPr>
      </xdr:nvSpPr>
      <xdr:spPr>
        <a:xfrm flipH="1">
          <a:off x="1472403" y="15605125"/>
          <a:ext cx="1460497" cy="762000"/>
        </a:xfrm>
        <a:prstGeom prst="flowChartExtract">
          <a:avLst/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40</xdr:row>
      <xdr:rowOff>301625</xdr:rowOff>
    </xdr:from>
    <xdr:to>
      <xdr:col>6</xdr:col>
      <xdr:colOff>31750</xdr:colOff>
      <xdr:row>43</xdr:row>
      <xdr:rowOff>0</xdr:rowOff>
    </xdr:to>
    <xdr:sp macro="" textlink="">
      <xdr:nvSpPr>
        <xdr:cNvPr id="1569" name="AutoShape 370">
          <a:extLst>
            <a:ext uri="{FF2B5EF4-FFF2-40B4-BE49-F238E27FC236}">
              <a16:creationId xmlns:a16="http://schemas.microsoft.com/office/drawing/2014/main" id="{E383B8E2-55BE-4120-8080-48962C410D89}"/>
            </a:ext>
          </a:extLst>
        </xdr:cNvPr>
        <xdr:cNvSpPr>
          <a:spLocks noChangeArrowheads="1"/>
        </xdr:cNvSpPr>
      </xdr:nvSpPr>
      <xdr:spPr>
        <a:xfrm>
          <a:off x="4508500" y="4278539"/>
          <a:ext cx="675821" cy="3841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41</xdr:row>
      <xdr:rowOff>15875</xdr:rowOff>
    </xdr:from>
    <xdr:to>
      <xdr:col>8</xdr:col>
      <xdr:colOff>0</xdr:colOff>
      <xdr:row>43</xdr:row>
      <xdr:rowOff>15875</xdr:rowOff>
    </xdr:to>
    <xdr:sp macro="" textlink="">
      <xdr:nvSpPr>
        <xdr:cNvPr id="1570" name="AutoShape 370">
          <a:extLst>
            <a:ext uri="{FF2B5EF4-FFF2-40B4-BE49-F238E27FC236}">
              <a16:creationId xmlns:a16="http://schemas.microsoft.com/office/drawing/2014/main" id="{82DAEFDD-6951-43EC-998A-CF25DB85B420}"/>
            </a:ext>
          </a:extLst>
        </xdr:cNvPr>
        <xdr:cNvSpPr>
          <a:spLocks noChangeArrowheads="1"/>
        </xdr:cNvSpPr>
      </xdr:nvSpPr>
      <xdr:spPr>
        <a:xfrm>
          <a:off x="5796643" y="4297589"/>
          <a:ext cx="644071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11</xdr:col>
      <xdr:colOff>7937</xdr:colOff>
      <xdr:row>41</xdr:row>
      <xdr:rowOff>4763</xdr:rowOff>
    </xdr:from>
    <xdr:to>
      <xdr:col>12</xdr:col>
      <xdr:colOff>0</xdr:colOff>
      <xdr:row>43</xdr:row>
      <xdr:rowOff>0</xdr:rowOff>
    </xdr:to>
    <xdr:sp macro="" textlink="">
      <xdr:nvSpPr>
        <xdr:cNvPr id="1571" name="AutoShape 370">
          <a:extLst>
            <a:ext uri="{FF2B5EF4-FFF2-40B4-BE49-F238E27FC236}">
              <a16:creationId xmlns:a16="http://schemas.microsoft.com/office/drawing/2014/main" id="{C5112F2E-97C2-4837-8E45-A88BE649135F}"/>
            </a:ext>
          </a:extLst>
        </xdr:cNvPr>
        <xdr:cNvSpPr>
          <a:spLocks noChangeArrowheads="1"/>
        </xdr:cNvSpPr>
      </xdr:nvSpPr>
      <xdr:spPr>
        <a:xfrm>
          <a:off x="8380866" y="4286477"/>
          <a:ext cx="663348" cy="37623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13</xdr:col>
      <xdr:colOff>0</xdr:colOff>
      <xdr:row>41</xdr:row>
      <xdr:rowOff>31751</xdr:rowOff>
    </xdr:from>
    <xdr:to>
      <xdr:col>14</xdr:col>
      <xdr:colOff>10584</xdr:colOff>
      <xdr:row>42</xdr:row>
      <xdr:rowOff>365125</xdr:rowOff>
    </xdr:to>
    <xdr:sp macro="" textlink="">
      <xdr:nvSpPr>
        <xdr:cNvPr id="1572" name="AutoShape 370">
          <a:extLst>
            <a:ext uri="{FF2B5EF4-FFF2-40B4-BE49-F238E27FC236}">
              <a16:creationId xmlns:a16="http://schemas.microsoft.com/office/drawing/2014/main" id="{6291BBC9-4408-46C3-97AF-582238C80013}"/>
            </a:ext>
          </a:extLst>
        </xdr:cNvPr>
        <xdr:cNvSpPr>
          <a:spLocks noChangeArrowheads="1"/>
        </xdr:cNvSpPr>
      </xdr:nvSpPr>
      <xdr:spPr>
        <a:xfrm>
          <a:off x="9688286" y="4313465"/>
          <a:ext cx="654655" cy="3460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15</xdr:col>
      <xdr:colOff>52917</xdr:colOff>
      <xdr:row>40</xdr:row>
      <xdr:rowOff>293687</xdr:rowOff>
    </xdr:from>
    <xdr:to>
      <xdr:col>16</xdr:col>
      <xdr:colOff>37042</xdr:colOff>
      <xdr:row>42</xdr:row>
      <xdr:rowOff>328083</xdr:rowOff>
    </xdr:to>
    <xdr:sp macro="" textlink="">
      <xdr:nvSpPr>
        <xdr:cNvPr id="1573" name="AutoShape 370">
          <a:extLst>
            <a:ext uri="{FF2B5EF4-FFF2-40B4-BE49-F238E27FC236}">
              <a16:creationId xmlns:a16="http://schemas.microsoft.com/office/drawing/2014/main" id="{923254EB-02BD-47E4-BFE3-EA061FB69BE7}"/>
            </a:ext>
          </a:extLst>
        </xdr:cNvPr>
        <xdr:cNvSpPr>
          <a:spLocks noChangeArrowheads="1"/>
        </xdr:cNvSpPr>
      </xdr:nvSpPr>
      <xdr:spPr>
        <a:xfrm>
          <a:off x="21960417" y="15533687"/>
          <a:ext cx="1444625" cy="79639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1444624</xdr:colOff>
      <xdr:row>41</xdr:row>
      <xdr:rowOff>6350</xdr:rowOff>
    </xdr:from>
    <xdr:to>
      <xdr:col>10</xdr:col>
      <xdr:colOff>34923</xdr:colOff>
      <xdr:row>42</xdr:row>
      <xdr:rowOff>349250</xdr:rowOff>
    </xdr:to>
    <xdr:sp macro="" textlink="">
      <xdr:nvSpPr>
        <xdr:cNvPr id="1592" name="AutoShape 1211">
          <a:extLst>
            <a:ext uri="{FF2B5EF4-FFF2-40B4-BE49-F238E27FC236}">
              <a16:creationId xmlns:a16="http://schemas.microsoft.com/office/drawing/2014/main" id="{3D2146A3-8F91-40F1-A5C6-2B0B06C0C36C}"/>
            </a:ext>
          </a:extLst>
        </xdr:cNvPr>
        <xdr:cNvSpPr>
          <a:spLocks noChangeArrowheads="1"/>
        </xdr:cNvSpPr>
      </xdr:nvSpPr>
      <xdr:spPr>
        <a:xfrm>
          <a:off x="13128624" y="15627350"/>
          <a:ext cx="1511299" cy="72390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9637</xdr:colOff>
      <xdr:row>41</xdr:row>
      <xdr:rowOff>6348</xdr:rowOff>
    </xdr:from>
    <xdr:to>
      <xdr:col>4</xdr:col>
      <xdr:colOff>10583</xdr:colOff>
      <xdr:row>43</xdr:row>
      <xdr:rowOff>21166</xdr:rowOff>
    </xdr:to>
    <xdr:sp macro="" textlink="">
      <xdr:nvSpPr>
        <xdr:cNvPr id="1593" name="AutoShape 1211">
          <a:extLst>
            <a:ext uri="{FF2B5EF4-FFF2-40B4-BE49-F238E27FC236}">
              <a16:creationId xmlns:a16="http://schemas.microsoft.com/office/drawing/2014/main" id="{7E033C56-B215-45DF-AA4F-7D7070ACF5D2}"/>
            </a:ext>
          </a:extLst>
        </xdr:cNvPr>
        <xdr:cNvSpPr>
          <a:spLocks noChangeArrowheads="1"/>
        </xdr:cNvSpPr>
      </xdr:nvSpPr>
      <xdr:spPr>
        <a:xfrm>
          <a:off x="3914887" y="9150348"/>
          <a:ext cx="815863" cy="501651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1455208</xdr:colOff>
      <xdr:row>40</xdr:row>
      <xdr:rowOff>285750</xdr:rowOff>
    </xdr:from>
    <xdr:to>
      <xdr:col>22</xdr:col>
      <xdr:colOff>10583</xdr:colOff>
      <xdr:row>43</xdr:row>
      <xdr:rowOff>0</xdr:rowOff>
    </xdr:to>
    <xdr:sp macro="" textlink="">
      <xdr:nvSpPr>
        <xdr:cNvPr id="1621" name="AutoShape 370">
          <a:extLst>
            <a:ext uri="{FF2B5EF4-FFF2-40B4-BE49-F238E27FC236}">
              <a16:creationId xmlns:a16="http://schemas.microsoft.com/office/drawing/2014/main" id="{5F2CDD74-9153-4572-846B-B49F6165082C}"/>
            </a:ext>
          </a:extLst>
        </xdr:cNvPr>
        <xdr:cNvSpPr>
          <a:spLocks noChangeArrowheads="1"/>
        </xdr:cNvSpPr>
      </xdr:nvSpPr>
      <xdr:spPr>
        <a:xfrm>
          <a:off x="30665208" y="16308917"/>
          <a:ext cx="1476375" cy="8572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41</xdr:row>
      <xdr:rowOff>0</xdr:rowOff>
    </xdr:from>
    <xdr:to>
      <xdr:col>20</xdr:col>
      <xdr:colOff>0</xdr:colOff>
      <xdr:row>43</xdr:row>
      <xdr:rowOff>31750</xdr:rowOff>
    </xdr:to>
    <xdr:sp macro="" textlink="">
      <xdr:nvSpPr>
        <xdr:cNvPr id="1622" name="AutoShape 370">
          <a:extLst>
            <a:ext uri="{FF2B5EF4-FFF2-40B4-BE49-F238E27FC236}">
              <a16:creationId xmlns:a16="http://schemas.microsoft.com/office/drawing/2014/main" id="{EAD028BC-54BC-47BB-8A83-87192CB51AB1}"/>
            </a:ext>
          </a:extLst>
        </xdr:cNvPr>
        <xdr:cNvSpPr>
          <a:spLocks noChangeArrowheads="1"/>
        </xdr:cNvSpPr>
      </xdr:nvSpPr>
      <xdr:spPr>
        <a:xfrm>
          <a:off x="13670643" y="4281714"/>
          <a:ext cx="644071" cy="4127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21</xdr:row>
      <xdr:rowOff>0</xdr:rowOff>
    </xdr:from>
    <xdr:to>
      <xdr:col>6</xdr:col>
      <xdr:colOff>241072</xdr:colOff>
      <xdr:row>22</xdr:row>
      <xdr:rowOff>96267</xdr:rowOff>
    </xdr:to>
    <xdr:grpSp>
      <xdr:nvGrpSpPr>
        <xdr:cNvPr id="1344" name="Group 1343">
          <a:extLst>
            <a:ext uri="{FF2B5EF4-FFF2-40B4-BE49-F238E27FC236}">
              <a16:creationId xmlns:a16="http://schemas.microsoft.com/office/drawing/2014/main" id="{478606CE-877A-4BBD-AD20-C4ECE97CCFD2}"/>
            </a:ext>
          </a:extLst>
        </xdr:cNvPr>
        <xdr:cNvGrpSpPr/>
      </xdr:nvGrpSpPr>
      <xdr:grpSpPr>
        <a:xfrm>
          <a:off x="8763000" y="8784167"/>
          <a:ext cx="241072" cy="477267"/>
          <a:chOff x="6143939" y="789134"/>
          <a:chExt cx="457200" cy="518966"/>
        </a:xfrm>
      </xdr:grpSpPr>
      <xdr:grpSp>
        <xdr:nvGrpSpPr>
          <xdr:cNvPr id="1345" name="Group 1344">
            <a:extLst>
              <a:ext uri="{FF2B5EF4-FFF2-40B4-BE49-F238E27FC236}">
                <a16:creationId xmlns:a16="http://schemas.microsoft.com/office/drawing/2014/main" id="{F8539ABC-3BE6-C5A5-2036-EFB62B0BC9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358" name="Straight Connector 1357">
              <a:extLst>
                <a:ext uri="{FF2B5EF4-FFF2-40B4-BE49-F238E27FC236}">
                  <a16:creationId xmlns:a16="http://schemas.microsoft.com/office/drawing/2014/main" id="{2F94DCA0-4A5F-CF5E-A2BC-7D840A01374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9" name="Straight Connector 1358">
              <a:extLst>
                <a:ext uri="{FF2B5EF4-FFF2-40B4-BE49-F238E27FC236}">
                  <a16:creationId xmlns:a16="http://schemas.microsoft.com/office/drawing/2014/main" id="{8D8145D7-D76E-AF85-EE7A-4304D3C868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0" name="Straight Connector 1359">
              <a:extLst>
                <a:ext uri="{FF2B5EF4-FFF2-40B4-BE49-F238E27FC236}">
                  <a16:creationId xmlns:a16="http://schemas.microsoft.com/office/drawing/2014/main" id="{E56E2AB5-A264-AE0A-6874-456FA93474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1" name="Straight Connector 1360">
              <a:extLst>
                <a:ext uri="{FF2B5EF4-FFF2-40B4-BE49-F238E27FC236}">
                  <a16:creationId xmlns:a16="http://schemas.microsoft.com/office/drawing/2014/main" id="{7F3546C3-CB45-38E8-4F8E-3C888B6E8C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2" name="Straight Connector 1361">
              <a:extLst>
                <a:ext uri="{FF2B5EF4-FFF2-40B4-BE49-F238E27FC236}">
                  <a16:creationId xmlns:a16="http://schemas.microsoft.com/office/drawing/2014/main" id="{5708779E-0397-59CF-A4AA-488ABC70099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3" name="Straight Connector 1362">
              <a:extLst>
                <a:ext uri="{FF2B5EF4-FFF2-40B4-BE49-F238E27FC236}">
                  <a16:creationId xmlns:a16="http://schemas.microsoft.com/office/drawing/2014/main" id="{75B578A2-32E8-0E75-9C62-B9E8802B78E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46" name="Straight Connector 1345">
            <a:extLst>
              <a:ext uri="{FF2B5EF4-FFF2-40B4-BE49-F238E27FC236}">
                <a16:creationId xmlns:a16="http://schemas.microsoft.com/office/drawing/2014/main" id="{D46C0675-E7E6-B670-6602-2A750935BC1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241072</xdr:colOff>
      <xdr:row>22</xdr:row>
      <xdr:rowOff>96267</xdr:rowOff>
    </xdr:to>
    <xdr:grpSp>
      <xdr:nvGrpSpPr>
        <xdr:cNvPr id="1364" name="Group 1363">
          <a:extLst>
            <a:ext uri="{FF2B5EF4-FFF2-40B4-BE49-F238E27FC236}">
              <a16:creationId xmlns:a16="http://schemas.microsoft.com/office/drawing/2014/main" id="{AE14BA2F-DF64-4AEA-AB0C-9CC99AF895DA}"/>
            </a:ext>
          </a:extLst>
        </xdr:cNvPr>
        <xdr:cNvGrpSpPr/>
      </xdr:nvGrpSpPr>
      <xdr:grpSpPr>
        <a:xfrm>
          <a:off x="17526000" y="8784167"/>
          <a:ext cx="241072" cy="477267"/>
          <a:chOff x="6143939" y="789134"/>
          <a:chExt cx="457200" cy="518966"/>
        </a:xfrm>
      </xdr:grpSpPr>
      <xdr:grpSp>
        <xdr:nvGrpSpPr>
          <xdr:cNvPr id="1365" name="Group 1364">
            <a:extLst>
              <a:ext uri="{FF2B5EF4-FFF2-40B4-BE49-F238E27FC236}">
                <a16:creationId xmlns:a16="http://schemas.microsoft.com/office/drawing/2014/main" id="{50EFB561-3292-BE27-111F-3FE2E99B07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367" name="Straight Connector 1366">
              <a:extLst>
                <a:ext uri="{FF2B5EF4-FFF2-40B4-BE49-F238E27FC236}">
                  <a16:creationId xmlns:a16="http://schemas.microsoft.com/office/drawing/2014/main" id="{7641F32D-1127-B361-2F23-8AB8F7D438E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8" name="Straight Connector 1367">
              <a:extLst>
                <a:ext uri="{FF2B5EF4-FFF2-40B4-BE49-F238E27FC236}">
                  <a16:creationId xmlns:a16="http://schemas.microsoft.com/office/drawing/2014/main" id="{C93A5CF1-9CAA-3635-6BC8-F58B90D70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9" name="Straight Connector 1368">
              <a:extLst>
                <a:ext uri="{FF2B5EF4-FFF2-40B4-BE49-F238E27FC236}">
                  <a16:creationId xmlns:a16="http://schemas.microsoft.com/office/drawing/2014/main" id="{822C3E13-E94A-82A9-4B54-41724591B1A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0" name="Straight Connector 1369">
              <a:extLst>
                <a:ext uri="{FF2B5EF4-FFF2-40B4-BE49-F238E27FC236}">
                  <a16:creationId xmlns:a16="http://schemas.microsoft.com/office/drawing/2014/main" id="{AF5702D3-C01A-EC39-64AB-8B5E1128699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1" name="Straight Connector 1370">
              <a:extLst>
                <a:ext uri="{FF2B5EF4-FFF2-40B4-BE49-F238E27FC236}">
                  <a16:creationId xmlns:a16="http://schemas.microsoft.com/office/drawing/2014/main" id="{1128F567-7C99-F42C-81A0-50C8CEDE7D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2" name="Straight Connector 1371">
              <a:extLst>
                <a:ext uri="{FF2B5EF4-FFF2-40B4-BE49-F238E27FC236}">
                  <a16:creationId xmlns:a16="http://schemas.microsoft.com/office/drawing/2014/main" id="{1714119F-E6EB-C356-53B0-A0641950A72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1F39DF99-E837-947F-D944-E22709B536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241072</xdr:colOff>
      <xdr:row>22</xdr:row>
      <xdr:rowOff>96267</xdr:rowOff>
    </xdr:to>
    <xdr:grpSp>
      <xdr:nvGrpSpPr>
        <xdr:cNvPr id="1373" name="Group 1372">
          <a:extLst>
            <a:ext uri="{FF2B5EF4-FFF2-40B4-BE49-F238E27FC236}">
              <a16:creationId xmlns:a16="http://schemas.microsoft.com/office/drawing/2014/main" id="{5A51889F-AB0F-4E41-A8B7-E0401D275AD4}"/>
            </a:ext>
          </a:extLst>
        </xdr:cNvPr>
        <xdr:cNvGrpSpPr/>
      </xdr:nvGrpSpPr>
      <xdr:grpSpPr>
        <a:xfrm>
          <a:off x="20447000" y="8784167"/>
          <a:ext cx="241072" cy="477267"/>
          <a:chOff x="6143939" y="789134"/>
          <a:chExt cx="457200" cy="518966"/>
        </a:xfrm>
      </xdr:grpSpPr>
      <xdr:grpSp>
        <xdr:nvGrpSpPr>
          <xdr:cNvPr id="1374" name="Group 1373">
            <a:extLst>
              <a:ext uri="{FF2B5EF4-FFF2-40B4-BE49-F238E27FC236}">
                <a16:creationId xmlns:a16="http://schemas.microsoft.com/office/drawing/2014/main" id="{7F29E041-C753-7DA4-1424-FB3C32A8AA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378" name="Straight Connector 1377">
              <a:extLst>
                <a:ext uri="{FF2B5EF4-FFF2-40B4-BE49-F238E27FC236}">
                  <a16:creationId xmlns:a16="http://schemas.microsoft.com/office/drawing/2014/main" id="{2A974018-89DF-CE06-F616-E6FF7E8E1EC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9" name="Straight Connector 1378">
              <a:extLst>
                <a:ext uri="{FF2B5EF4-FFF2-40B4-BE49-F238E27FC236}">
                  <a16:creationId xmlns:a16="http://schemas.microsoft.com/office/drawing/2014/main" id="{E9CCF8CC-AAA1-1CEE-7D51-7160768AA5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0" name="Straight Connector 1379">
              <a:extLst>
                <a:ext uri="{FF2B5EF4-FFF2-40B4-BE49-F238E27FC236}">
                  <a16:creationId xmlns:a16="http://schemas.microsoft.com/office/drawing/2014/main" id="{49C9AC65-13F7-6E41-5886-30154B356B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1" name="Straight Connector 1380">
              <a:extLst>
                <a:ext uri="{FF2B5EF4-FFF2-40B4-BE49-F238E27FC236}">
                  <a16:creationId xmlns:a16="http://schemas.microsoft.com/office/drawing/2014/main" id="{17244FE1-8227-0DA5-4983-55D6285CCB5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2" name="Straight Connector 1381">
              <a:extLst>
                <a:ext uri="{FF2B5EF4-FFF2-40B4-BE49-F238E27FC236}">
                  <a16:creationId xmlns:a16="http://schemas.microsoft.com/office/drawing/2014/main" id="{DC12A197-2CA0-47E5-EE31-D287CB73348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3" name="Straight Connector 1382">
              <a:extLst>
                <a:ext uri="{FF2B5EF4-FFF2-40B4-BE49-F238E27FC236}">
                  <a16:creationId xmlns:a16="http://schemas.microsoft.com/office/drawing/2014/main" id="{2DB2F866-21A7-2C82-9A09-145E9C5D03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75" name="Straight Connector 1374">
            <a:extLst>
              <a:ext uri="{FF2B5EF4-FFF2-40B4-BE49-F238E27FC236}">
                <a16:creationId xmlns:a16="http://schemas.microsoft.com/office/drawing/2014/main" id="{97E3C4FC-68B4-8A95-A4C9-4781531386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241072</xdr:colOff>
      <xdr:row>22</xdr:row>
      <xdr:rowOff>96267</xdr:rowOff>
    </xdr:to>
    <xdr:grpSp>
      <xdr:nvGrpSpPr>
        <xdr:cNvPr id="1384" name="Group 1383">
          <a:extLst>
            <a:ext uri="{FF2B5EF4-FFF2-40B4-BE49-F238E27FC236}">
              <a16:creationId xmlns:a16="http://schemas.microsoft.com/office/drawing/2014/main" id="{9F11CB13-D326-494B-89AD-1BFFB82EFEFF}"/>
            </a:ext>
          </a:extLst>
        </xdr:cNvPr>
        <xdr:cNvGrpSpPr/>
      </xdr:nvGrpSpPr>
      <xdr:grpSpPr>
        <a:xfrm>
          <a:off x="35052000" y="8784167"/>
          <a:ext cx="241072" cy="477267"/>
          <a:chOff x="6143939" y="789134"/>
          <a:chExt cx="457200" cy="518966"/>
        </a:xfrm>
      </xdr:grpSpPr>
      <xdr:grpSp>
        <xdr:nvGrpSpPr>
          <xdr:cNvPr id="1385" name="Group 1384">
            <a:extLst>
              <a:ext uri="{FF2B5EF4-FFF2-40B4-BE49-F238E27FC236}">
                <a16:creationId xmlns:a16="http://schemas.microsoft.com/office/drawing/2014/main" id="{1F0C21C1-4953-F236-7009-9BBCB705442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387" name="Straight Connector 1386">
              <a:extLst>
                <a:ext uri="{FF2B5EF4-FFF2-40B4-BE49-F238E27FC236}">
                  <a16:creationId xmlns:a16="http://schemas.microsoft.com/office/drawing/2014/main" id="{BFF05F92-2EBF-630B-DBF0-1EBC8A58E8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8" name="Straight Connector 1387">
              <a:extLst>
                <a:ext uri="{FF2B5EF4-FFF2-40B4-BE49-F238E27FC236}">
                  <a16:creationId xmlns:a16="http://schemas.microsoft.com/office/drawing/2014/main" id="{199B49C7-1004-0311-6EB8-B1C5D15F49A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9" name="Straight Connector 1388">
              <a:extLst>
                <a:ext uri="{FF2B5EF4-FFF2-40B4-BE49-F238E27FC236}">
                  <a16:creationId xmlns:a16="http://schemas.microsoft.com/office/drawing/2014/main" id="{CF503B0B-BE53-402A-88F8-8FCEF2A1AF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0" name="Straight Connector 1389">
              <a:extLst>
                <a:ext uri="{FF2B5EF4-FFF2-40B4-BE49-F238E27FC236}">
                  <a16:creationId xmlns:a16="http://schemas.microsoft.com/office/drawing/2014/main" id="{1028EBFB-30A2-7B5F-84FB-FE47804524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1" name="Straight Connector 1390">
              <a:extLst>
                <a:ext uri="{FF2B5EF4-FFF2-40B4-BE49-F238E27FC236}">
                  <a16:creationId xmlns:a16="http://schemas.microsoft.com/office/drawing/2014/main" id="{717FD8B5-3034-5271-3DBF-7AF0D35BA0C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2" name="Straight Connector 1391">
              <a:extLst>
                <a:ext uri="{FF2B5EF4-FFF2-40B4-BE49-F238E27FC236}">
                  <a16:creationId xmlns:a16="http://schemas.microsoft.com/office/drawing/2014/main" id="{9893FC3B-669A-DDB3-DD44-05C8E033D01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86" name="Straight Connector 1385">
            <a:extLst>
              <a:ext uri="{FF2B5EF4-FFF2-40B4-BE49-F238E27FC236}">
                <a16:creationId xmlns:a16="http://schemas.microsoft.com/office/drawing/2014/main" id="{A625BFAC-7F0F-AFF0-600C-87E5F8488C3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241072</xdr:colOff>
      <xdr:row>31</xdr:row>
      <xdr:rowOff>96267</xdr:rowOff>
    </xdr:to>
    <xdr:grpSp>
      <xdr:nvGrpSpPr>
        <xdr:cNvPr id="1393" name="Group 1392">
          <a:extLst>
            <a:ext uri="{FF2B5EF4-FFF2-40B4-BE49-F238E27FC236}">
              <a16:creationId xmlns:a16="http://schemas.microsoft.com/office/drawing/2014/main" id="{3A115675-528E-430B-987F-8B9FCBCD33A7}"/>
            </a:ext>
          </a:extLst>
        </xdr:cNvPr>
        <xdr:cNvGrpSpPr/>
      </xdr:nvGrpSpPr>
      <xdr:grpSpPr>
        <a:xfrm>
          <a:off x="2921000" y="12213167"/>
          <a:ext cx="241072" cy="477267"/>
          <a:chOff x="6143939" y="789134"/>
          <a:chExt cx="457200" cy="518966"/>
        </a:xfrm>
      </xdr:grpSpPr>
      <xdr:grpSp>
        <xdr:nvGrpSpPr>
          <xdr:cNvPr id="1394" name="Group 1393">
            <a:extLst>
              <a:ext uri="{FF2B5EF4-FFF2-40B4-BE49-F238E27FC236}">
                <a16:creationId xmlns:a16="http://schemas.microsoft.com/office/drawing/2014/main" id="{6954800E-94A7-E79D-2CEC-FC224DEBB94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396" name="Straight Connector 1395">
              <a:extLst>
                <a:ext uri="{FF2B5EF4-FFF2-40B4-BE49-F238E27FC236}">
                  <a16:creationId xmlns:a16="http://schemas.microsoft.com/office/drawing/2014/main" id="{FF70CFB2-D0AB-FDFD-E1E3-78C5D1EDDE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7" name="Straight Connector 1396">
              <a:extLst>
                <a:ext uri="{FF2B5EF4-FFF2-40B4-BE49-F238E27FC236}">
                  <a16:creationId xmlns:a16="http://schemas.microsoft.com/office/drawing/2014/main" id="{324FF34D-5467-8E53-720B-4415D38D527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8" name="Straight Connector 1397">
              <a:extLst>
                <a:ext uri="{FF2B5EF4-FFF2-40B4-BE49-F238E27FC236}">
                  <a16:creationId xmlns:a16="http://schemas.microsoft.com/office/drawing/2014/main" id="{AF4879A8-B1BC-FB4E-9181-A7597D311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9" name="Straight Connector 1398">
              <a:extLst>
                <a:ext uri="{FF2B5EF4-FFF2-40B4-BE49-F238E27FC236}">
                  <a16:creationId xmlns:a16="http://schemas.microsoft.com/office/drawing/2014/main" id="{325C6895-F7BA-F56F-DE47-47E24BFAA73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0" name="Straight Connector 1399">
              <a:extLst>
                <a:ext uri="{FF2B5EF4-FFF2-40B4-BE49-F238E27FC236}">
                  <a16:creationId xmlns:a16="http://schemas.microsoft.com/office/drawing/2014/main" id="{6BFDCE58-5E08-DC7D-C7D3-8E228BE137E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01" name="Straight Connector 1400">
              <a:extLst>
                <a:ext uri="{FF2B5EF4-FFF2-40B4-BE49-F238E27FC236}">
                  <a16:creationId xmlns:a16="http://schemas.microsoft.com/office/drawing/2014/main" id="{554563B0-E87D-FADC-BD11-ED545741350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95" name="Straight Connector 1394">
            <a:extLst>
              <a:ext uri="{FF2B5EF4-FFF2-40B4-BE49-F238E27FC236}">
                <a16:creationId xmlns:a16="http://schemas.microsoft.com/office/drawing/2014/main" id="{688E4144-560D-FAA0-8A03-08873DE31D6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31749</xdr:colOff>
      <xdr:row>34</xdr:row>
      <xdr:rowOff>10583</xdr:rowOff>
    </xdr:from>
    <xdr:to>
      <xdr:col>14</xdr:col>
      <xdr:colOff>0</xdr:colOff>
      <xdr:row>36</xdr:row>
      <xdr:rowOff>-1</xdr:rowOff>
    </xdr:to>
    <xdr:sp macro="" textlink="">
      <xdr:nvSpPr>
        <xdr:cNvPr id="1402" name="AutoShape 370">
          <a:extLst>
            <a:ext uri="{FF2B5EF4-FFF2-40B4-BE49-F238E27FC236}">
              <a16:creationId xmlns:a16="http://schemas.microsoft.com/office/drawing/2014/main" id="{D78612AC-077C-4442-AC0B-58B99C4CE3C8}"/>
            </a:ext>
          </a:extLst>
        </xdr:cNvPr>
        <xdr:cNvSpPr>
          <a:spLocks noChangeArrowheads="1"/>
        </xdr:cNvSpPr>
      </xdr:nvSpPr>
      <xdr:spPr>
        <a:xfrm>
          <a:off x="12276666" y="8339666"/>
          <a:ext cx="910167" cy="4762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15</xdr:col>
      <xdr:colOff>-1</xdr:colOff>
      <xdr:row>34</xdr:row>
      <xdr:rowOff>40218</xdr:rowOff>
    </xdr:from>
    <xdr:to>
      <xdr:col>16</xdr:col>
      <xdr:colOff>31748</xdr:colOff>
      <xdr:row>35</xdr:row>
      <xdr:rowOff>365126</xdr:rowOff>
    </xdr:to>
    <xdr:sp macro="" textlink="">
      <xdr:nvSpPr>
        <xdr:cNvPr id="1403" name="AutoShape 370">
          <a:extLst>
            <a:ext uri="{FF2B5EF4-FFF2-40B4-BE49-F238E27FC236}">
              <a16:creationId xmlns:a16="http://schemas.microsoft.com/office/drawing/2014/main" id="{DC2903AF-BD19-4CC4-85FD-93C6592C5A96}"/>
            </a:ext>
          </a:extLst>
        </xdr:cNvPr>
        <xdr:cNvSpPr>
          <a:spLocks noChangeArrowheads="1"/>
        </xdr:cNvSpPr>
      </xdr:nvSpPr>
      <xdr:spPr>
        <a:xfrm>
          <a:off x="21907499" y="12994218"/>
          <a:ext cx="1492249" cy="70590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12</xdr:col>
      <xdr:colOff>1428750</xdr:colOff>
      <xdr:row>47</xdr:row>
      <xdr:rowOff>116418</xdr:rowOff>
    </xdr:from>
    <xdr:to>
      <xdr:col>14</xdr:col>
      <xdr:colOff>0</xdr:colOff>
      <xdr:row>48</xdr:row>
      <xdr:rowOff>365125</xdr:rowOff>
    </xdr:to>
    <xdr:sp macro="" textlink="">
      <xdr:nvSpPr>
        <xdr:cNvPr id="1404" name="AutoShape 370">
          <a:extLst>
            <a:ext uri="{FF2B5EF4-FFF2-40B4-BE49-F238E27FC236}">
              <a16:creationId xmlns:a16="http://schemas.microsoft.com/office/drawing/2014/main" id="{A8FCE761-6D3F-480F-A834-B268464E1D0D}"/>
            </a:ext>
          </a:extLst>
        </xdr:cNvPr>
        <xdr:cNvSpPr>
          <a:spLocks noChangeArrowheads="1"/>
        </xdr:cNvSpPr>
      </xdr:nvSpPr>
      <xdr:spPr>
        <a:xfrm>
          <a:off x="18954750" y="18023418"/>
          <a:ext cx="1492250" cy="6297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15</xdr:col>
      <xdr:colOff>10583</xdr:colOff>
      <xdr:row>47</xdr:row>
      <xdr:rowOff>116418</xdr:rowOff>
    </xdr:from>
    <xdr:to>
      <xdr:col>16</xdr:col>
      <xdr:colOff>2</xdr:colOff>
      <xdr:row>49</xdr:row>
      <xdr:rowOff>47625</xdr:rowOff>
    </xdr:to>
    <xdr:sp macro="" textlink="">
      <xdr:nvSpPr>
        <xdr:cNvPr id="1405" name="AutoShape 370">
          <a:extLst>
            <a:ext uri="{FF2B5EF4-FFF2-40B4-BE49-F238E27FC236}">
              <a16:creationId xmlns:a16="http://schemas.microsoft.com/office/drawing/2014/main" id="{05535693-440F-46D3-B508-65AE144FC51E}"/>
            </a:ext>
          </a:extLst>
        </xdr:cNvPr>
        <xdr:cNvSpPr>
          <a:spLocks noChangeArrowheads="1"/>
        </xdr:cNvSpPr>
      </xdr:nvSpPr>
      <xdr:spPr>
        <a:xfrm>
          <a:off x="21918083" y="18023418"/>
          <a:ext cx="1449919" cy="693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 editAs="oneCell">
    <xdr:from>
      <xdr:col>14</xdr:col>
      <xdr:colOff>31750</xdr:colOff>
      <xdr:row>44</xdr:row>
      <xdr:rowOff>137583</xdr:rowOff>
    </xdr:from>
    <xdr:to>
      <xdr:col>14</xdr:col>
      <xdr:colOff>691769</xdr:colOff>
      <xdr:row>46</xdr:row>
      <xdr:rowOff>10523</xdr:rowOff>
    </xdr:to>
    <xdr:pic>
      <xdr:nvPicPr>
        <xdr:cNvPr id="1406" name="Picture 1405" descr="Water flow icon. river crossing sign ...">
          <a:extLst>
            <a:ext uri="{FF2B5EF4-FFF2-40B4-BE49-F238E27FC236}">
              <a16:creationId xmlns:a16="http://schemas.microsoft.com/office/drawing/2014/main" id="{4C89C385-2F13-E5E2-4027-4DC97ABC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5083" y="9853083"/>
          <a:ext cx="660019" cy="656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21167</xdr:colOff>
      <xdr:row>13</xdr:row>
      <xdr:rowOff>21167</xdr:rowOff>
    </xdr:from>
    <xdr:to>
      <xdr:col>8</xdr:col>
      <xdr:colOff>1322916</xdr:colOff>
      <xdr:row>14</xdr:row>
      <xdr:rowOff>124883</xdr:rowOff>
    </xdr:to>
    <xdr:pic>
      <xdr:nvPicPr>
        <xdr:cNvPr id="1407" name="Picture 1406" descr="Water flow icon. river crossing sign ...">
          <a:extLst>
            <a:ext uri="{FF2B5EF4-FFF2-40B4-BE49-F238E27FC236}">
              <a16:creationId xmlns:a16="http://schemas.microsoft.com/office/drawing/2014/main" id="{E3A45432-826F-41D6-B73B-1687DC7B3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5167" y="5757334"/>
          <a:ext cx="1301749" cy="484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137582</xdr:colOff>
      <xdr:row>19</xdr:row>
      <xdr:rowOff>190501</xdr:rowOff>
    </xdr:from>
    <xdr:to>
      <xdr:col>18</xdr:col>
      <xdr:colOff>597069</xdr:colOff>
      <xdr:row>21</xdr:row>
      <xdr:rowOff>121207</xdr:rowOff>
    </xdr:to>
    <xdr:sp macro="" textlink="">
      <xdr:nvSpPr>
        <xdr:cNvPr id="896" name="AutoShape 19">
          <a:extLst>
            <a:ext uri="{FF2B5EF4-FFF2-40B4-BE49-F238E27FC236}">
              <a16:creationId xmlns:a16="http://schemas.microsoft.com/office/drawing/2014/main" id="{CD7C01F4-E16A-4289-91FC-B2D1EFF420D2}"/>
            </a:ext>
          </a:extLst>
        </xdr:cNvPr>
        <xdr:cNvSpPr>
          <a:spLocks noChangeArrowheads="1"/>
        </xdr:cNvSpPr>
      </xdr:nvSpPr>
      <xdr:spPr>
        <a:xfrm rot="-7320000">
          <a:off x="13535890" y="4339360"/>
          <a:ext cx="332872" cy="459487"/>
        </a:xfrm>
        <a:prstGeom prst="lightningBolt">
          <a:avLst/>
        </a:prstGeom>
        <a:solidFill>
          <a:srgbClr val="00206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116416</xdr:colOff>
      <xdr:row>28</xdr:row>
      <xdr:rowOff>179917</xdr:rowOff>
    </xdr:from>
    <xdr:to>
      <xdr:col>22</xdr:col>
      <xdr:colOff>575903</xdr:colOff>
      <xdr:row>30</xdr:row>
      <xdr:rowOff>110622</xdr:rowOff>
    </xdr:to>
    <xdr:sp macro="" textlink="">
      <xdr:nvSpPr>
        <xdr:cNvPr id="897" name="AutoShape 19">
          <a:extLst>
            <a:ext uri="{FF2B5EF4-FFF2-40B4-BE49-F238E27FC236}">
              <a16:creationId xmlns:a16="http://schemas.microsoft.com/office/drawing/2014/main" id="{E75CFA4F-3E95-4C5D-8B9C-6F0A9B0137C1}"/>
            </a:ext>
          </a:extLst>
        </xdr:cNvPr>
        <xdr:cNvSpPr>
          <a:spLocks noChangeArrowheads="1"/>
        </xdr:cNvSpPr>
      </xdr:nvSpPr>
      <xdr:spPr>
        <a:xfrm rot="-7320000">
          <a:off x="16478057" y="6530109"/>
          <a:ext cx="332872" cy="459487"/>
        </a:xfrm>
        <a:prstGeom prst="lightningBolt">
          <a:avLst/>
        </a:prstGeom>
        <a:solidFill>
          <a:srgbClr val="00206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132660</xdr:colOff>
      <xdr:row>40</xdr:row>
      <xdr:rowOff>151363</xdr:rowOff>
    </xdr:from>
    <xdr:to>
      <xdr:col>14</xdr:col>
      <xdr:colOff>529181</xdr:colOff>
      <xdr:row>42</xdr:row>
      <xdr:rowOff>114867</xdr:rowOff>
    </xdr:to>
    <xdr:sp macro="" textlink="">
      <xdr:nvSpPr>
        <xdr:cNvPr id="898" name="AutoShape 19">
          <a:extLst>
            <a:ext uri="{FF2B5EF4-FFF2-40B4-BE49-F238E27FC236}">
              <a16:creationId xmlns:a16="http://schemas.microsoft.com/office/drawing/2014/main" id="{FC0B6D6A-189F-41D2-84BB-D1275BCCBA70}"/>
            </a:ext>
          </a:extLst>
        </xdr:cNvPr>
        <xdr:cNvSpPr>
          <a:spLocks noChangeArrowheads="1"/>
        </xdr:cNvSpPr>
      </xdr:nvSpPr>
      <xdr:spPr>
        <a:xfrm rot="-7320000">
          <a:off x="12001418" y="9131771"/>
          <a:ext cx="365671" cy="396521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136990</xdr:colOff>
      <xdr:row>50</xdr:row>
      <xdr:rowOff>147163</xdr:rowOff>
    </xdr:from>
    <xdr:to>
      <xdr:col>14</xdr:col>
      <xdr:colOff>550928</xdr:colOff>
      <xdr:row>51</xdr:row>
      <xdr:rowOff>149170</xdr:rowOff>
    </xdr:to>
    <xdr:sp macro="" textlink="">
      <xdr:nvSpPr>
        <xdr:cNvPr id="899" name="AutoShape 19">
          <a:extLst>
            <a:ext uri="{FF2B5EF4-FFF2-40B4-BE49-F238E27FC236}">
              <a16:creationId xmlns:a16="http://schemas.microsoft.com/office/drawing/2014/main" id="{FAA4D077-E332-4D58-896A-895C6ADC5259}"/>
            </a:ext>
          </a:extLst>
        </xdr:cNvPr>
        <xdr:cNvSpPr>
          <a:spLocks noChangeArrowheads="1"/>
        </xdr:cNvSpPr>
      </xdr:nvSpPr>
      <xdr:spPr>
        <a:xfrm rot="-7320000">
          <a:off x="12095747" y="10995489"/>
          <a:ext cx="203090" cy="413938"/>
        </a:xfrm>
        <a:prstGeom prst="lightningBolt">
          <a:avLst/>
        </a:prstGeom>
        <a:solidFill>
          <a:srgbClr val="FFCC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222249</xdr:colOff>
      <xdr:row>44</xdr:row>
      <xdr:rowOff>90725</xdr:rowOff>
    </xdr:from>
    <xdr:to>
      <xdr:col>20</xdr:col>
      <xdr:colOff>626310</xdr:colOff>
      <xdr:row>49</xdr:row>
      <xdr:rowOff>31753</xdr:rowOff>
    </xdr:to>
    <xdr:sp macro="" textlink="">
      <xdr:nvSpPr>
        <xdr:cNvPr id="900" name="Equals 167">
          <a:extLst>
            <a:ext uri="{FF2B5EF4-FFF2-40B4-BE49-F238E27FC236}">
              <a16:creationId xmlns:a16="http://schemas.microsoft.com/office/drawing/2014/main" id="{A38F6F0F-B755-4F51-98CF-20AF7834DB9A}"/>
            </a:ext>
          </a:extLst>
        </xdr:cNvPr>
        <xdr:cNvSpPr/>
      </xdr:nvSpPr>
      <xdr:spPr>
        <a:xfrm rot="5400000">
          <a:off x="16275849" y="10135625"/>
          <a:ext cx="893528" cy="404061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169334</xdr:colOff>
      <xdr:row>44</xdr:row>
      <xdr:rowOff>95251</xdr:rowOff>
    </xdr:from>
    <xdr:to>
      <xdr:col>2</xdr:col>
      <xdr:colOff>573395</xdr:colOff>
      <xdr:row>49</xdr:row>
      <xdr:rowOff>36279</xdr:rowOff>
    </xdr:to>
    <xdr:sp macro="" textlink="">
      <xdr:nvSpPr>
        <xdr:cNvPr id="901" name="Equals 167">
          <a:extLst>
            <a:ext uri="{FF2B5EF4-FFF2-40B4-BE49-F238E27FC236}">
              <a16:creationId xmlns:a16="http://schemas.microsoft.com/office/drawing/2014/main" id="{0BBD916A-E1F3-4DDA-B133-168E3C8A1BEB}"/>
            </a:ext>
          </a:extLst>
        </xdr:cNvPr>
        <xdr:cNvSpPr/>
      </xdr:nvSpPr>
      <xdr:spPr>
        <a:xfrm rot="5400000">
          <a:off x="2887934" y="10140151"/>
          <a:ext cx="893528" cy="404061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173052</xdr:colOff>
      <xdr:row>28</xdr:row>
      <xdr:rowOff>130448</xdr:rowOff>
    </xdr:from>
    <xdr:to>
      <xdr:col>6</xdr:col>
      <xdr:colOff>565496</xdr:colOff>
      <xdr:row>29</xdr:row>
      <xdr:rowOff>122346</xdr:rowOff>
    </xdr:to>
    <xdr:sp macro="" textlink="">
      <xdr:nvSpPr>
        <xdr:cNvPr id="902" name="AutoShape 19">
          <a:extLst>
            <a:ext uri="{FF2B5EF4-FFF2-40B4-BE49-F238E27FC236}">
              <a16:creationId xmlns:a16="http://schemas.microsoft.com/office/drawing/2014/main" id="{782F2F7C-9D11-4862-8A02-80B769C13FAC}"/>
            </a:ext>
          </a:extLst>
        </xdr:cNvPr>
        <xdr:cNvSpPr>
          <a:spLocks noChangeArrowheads="1"/>
        </xdr:cNvSpPr>
      </xdr:nvSpPr>
      <xdr:spPr>
        <a:xfrm rot="-7320000">
          <a:off x="4717783" y="6444217"/>
          <a:ext cx="192981" cy="392444"/>
        </a:xfrm>
        <a:prstGeom prst="lightningBolt">
          <a:avLst/>
        </a:prstGeom>
        <a:solidFill>
          <a:srgbClr val="00206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113311</xdr:colOff>
      <xdr:row>38</xdr:row>
      <xdr:rowOff>188122</xdr:rowOff>
    </xdr:from>
    <xdr:to>
      <xdr:col>12</xdr:col>
      <xdr:colOff>25547</xdr:colOff>
      <xdr:row>39</xdr:row>
      <xdr:rowOff>179916</xdr:rowOff>
    </xdr:to>
    <xdr:sp macro="" textlink="">
      <xdr:nvSpPr>
        <xdr:cNvPr id="903" name="Arrow: Down 902">
          <a:extLst>
            <a:ext uri="{FF2B5EF4-FFF2-40B4-BE49-F238E27FC236}">
              <a16:creationId xmlns:a16="http://schemas.microsoft.com/office/drawing/2014/main" id="{39C95BF1-19A6-917D-E577-3E0A8C7F72DD}"/>
            </a:ext>
          </a:extLst>
        </xdr:cNvPr>
        <xdr:cNvSpPr/>
      </xdr:nvSpPr>
      <xdr:spPr>
        <a:xfrm rot="16200000">
          <a:off x="9974240" y="8551693"/>
          <a:ext cx="192877" cy="6530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0</xdr:colOff>
      <xdr:row>46</xdr:row>
      <xdr:rowOff>0</xdr:rowOff>
    </xdr:from>
    <xdr:to>
      <xdr:col>10</xdr:col>
      <xdr:colOff>241072</xdr:colOff>
      <xdr:row>47</xdr:row>
      <xdr:rowOff>96267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C70D6590-4403-48FD-ADCB-102C137FD1FB}"/>
            </a:ext>
          </a:extLst>
        </xdr:cNvPr>
        <xdr:cNvGrpSpPr/>
      </xdr:nvGrpSpPr>
      <xdr:grpSpPr>
        <a:xfrm>
          <a:off x="14605000" y="18309167"/>
          <a:ext cx="241072" cy="477267"/>
          <a:chOff x="6143939" y="789134"/>
          <a:chExt cx="457200" cy="518966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52DF878-EDD1-5937-7F76-12AA389FB8D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38A95D65-2987-B675-CBA4-A4813FC8B13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FA77ABF3-A7AE-163D-6C68-2DA8B166A5B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97FFCE86-4DB0-6620-89FB-3B28F1080F0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5569262B-49A0-4C3A-C482-075EEC4CA52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9358A181-2257-3466-93FD-795E7BBEBB7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9A933CD7-73D3-2357-1245-717E0177BFF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6AF8FAFE-A552-9899-5B25-DA013CF52C5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</xdr:row>
      <xdr:rowOff>0</xdr:rowOff>
    </xdr:from>
    <xdr:to>
      <xdr:col>16</xdr:col>
      <xdr:colOff>241072</xdr:colOff>
      <xdr:row>22</xdr:row>
      <xdr:rowOff>96267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250AFB0-19D5-497E-A601-94B12614671E}"/>
            </a:ext>
          </a:extLst>
        </xdr:cNvPr>
        <xdr:cNvGrpSpPr/>
      </xdr:nvGrpSpPr>
      <xdr:grpSpPr>
        <a:xfrm>
          <a:off x="23368000" y="8784167"/>
          <a:ext cx="241072" cy="477267"/>
          <a:chOff x="6143939" y="789134"/>
          <a:chExt cx="457200" cy="518966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854E2F0F-B135-0054-4D69-92121822292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1C852DDF-37C8-2EB9-4609-89C7FE51F7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AD076009-2C15-06A2-5166-D9DDBF4E086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DC1AE14A-730A-4080-CE67-8209B91FB3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CDDBE634-CF05-745C-11CA-E85B44B3FF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AB38E9FC-3FC5-B753-C5A4-5D639D30634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5A2FEF20-3FE1-C370-B338-C6CC9CD764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18B10EFC-CBD1-3B5A-DA26-89C0C163D11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21</xdr:row>
      <xdr:rowOff>0</xdr:rowOff>
    </xdr:from>
    <xdr:to>
      <xdr:col>18</xdr:col>
      <xdr:colOff>241072</xdr:colOff>
      <xdr:row>22</xdr:row>
      <xdr:rowOff>96267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688AB851-7D1F-44A7-9A0E-3155625C67F8}"/>
            </a:ext>
          </a:extLst>
        </xdr:cNvPr>
        <xdr:cNvGrpSpPr/>
      </xdr:nvGrpSpPr>
      <xdr:grpSpPr>
        <a:xfrm>
          <a:off x="26289000" y="8784167"/>
          <a:ext cx="241072" cy="477267"/>
          <a:chOff x="6143939" y="789134"/>
          <a:chExt cx="457200" cy="518966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F295ED22-E610-0D9C-A464-7514895E544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5B3C3254-1D9D-40EA-A1FA-8B405C5D9EE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8CE0F158-BFF0-6020-905D-27827E8D947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295B8507-2806-D416-C47B-D42B4762DB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3E683FCE-C88A-8A85-9FB9-8606FB522A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F5B3A7BA-138F-4998-8465-DF38C1D5A77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BBB84579-21BE-DA82-07E6-91F823A7CA4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96546141-0D71-EF25-97FA-6E3EB28468F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241072</xdr:colOff>
      <xdr:row>22</xdr:row>
      <xdr:rowOff>96267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46C8B83A-B7D3-4F8F-9F77-CB560B9A6224}"/>
            </a:ext>
          </a:extLst>
        </xdr:cNvPr>
        <xdr:cNvGrpSpPr/>
      </xdr:nvGrpSpPr>
      <xdr:grpSpPr>
        <a:xfrm>
          <a:off x="29210000" y="8784167"/>
          <a:ext cx="241072" cy="477267"/>
          <a:chOff x="6143939" y="789134"/>
          <a:chExt cx="457200" cy="518966"/>
        </a:xfrm>
      </xdr:grpSpPr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4742B28C-B1E7-3A68-8392-30C441F30FF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C8B831A0-9B3E-F441-0CE3-685F24BC71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C865CC39-27C5-2873-7A06-EB08DDB75DC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CB6B5382-010F-D5A1-57F6-2D1A9F62E71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49B5661F-2AE3-F828-2802-8085C8A3278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C8864E88-A018-7510-0476-97960ABB4C8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952F5084-BFF3-4B06-C2B2-BB376D35E2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E80AC3CA-94BE-3487-11D0-32120F52AD8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21</xdr:row>
      <xdr:rowOff>0</xdr:rowOff>
    </xdr:from>
    <xdr:to>
      <xdr:col>4</xdr:col>
      <xdr:colOff>241072</xdr:colOff>
      <xdr:row>22</xdr:row>
      <xdr:rowOff>96267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4B5645D-43F3-4948-B7DA-53297F6A9FCD}"/>
            </a:ext>
          </a:extLst>
        </xdr:cNvPr>
        <xdr:cNvGrpSpPr/>
      </xdr:nvGrpSpPr>
      <xdr:grpSpPr>
        <a:xfrm>
          <a:off x="5842000" y="8784167"/>
          <a:ext cx="241072" cy="477267"/>
          <a:chOff x="6143939" y="789134"/>
          <a:chExt cx="457200" cy="518966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72E3FA7D-9E43-9673-1121-126F8DB4668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5780828C-37A4-48D5-2D2B-059CF6A37C4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0EDFA0B-23F9-F398-AEEB-5D3B360148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2936B6BA-6848-D2F1-50F6-723D0123B2C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4" name="Straight Connector 903">
              <a:extLst>
                <a:ext uri="{FF2B5EF4-FFF2-40B4-BE49-F238E27FC236}">
                  <a16:creationId xmlns:a16="http://schemas.microsoft.com/office/drawing/2014/main" id="{FF01F739-571A-29A2-FFDA-D9781D4D0C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5" name="Straight Connector 904">
              <a:extLst>
                <a:ext uri="{FF2B5EF4-FFF2-40B4-BE49-F238E27FC236}">
                  <a16:creationId xmlns:a16="http://schemas.microsoft.com/office/drawing/2014/main" id="{B88A09A7-907D-1B6D-B159-8BCBE5BE5C9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6" name="Straight Connector 905">
              <a:extLst>
                <a:ext uri="{FF2B5EF4-FFF2-40B4-BE49-F238E27FC236}">
                  <a16:creationId xmlns:a16="http://schemas.microsoft.com/office/drawing/2014/main" id="{23EB40FF-67C8-7B73-8C62-75E57A13FE5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7B21F285-2F6C-B300-0EF9-AC2EEC4039F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46</xdr:row>
      <xdr:rowOff>0</xdr:rowOff>
    </xdr:from>
    <xdr:to>
      <xdr:col>8</xdr:col>
      <xdr:colOff>241072</xdr:colOff>
      <xdr:row>47</xdr:row>
      <xdr:rowOff>96267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144BC98-E830-4006-8F85-9F42C43D7C5E}"/>
            </a:ext>
          </a:extLst>
        </xdr:cNvPr>
        <xdr:cNvGrpSpPr/>
      </xdr:nvGrpSpPr>
      <xdr:grpSpPr>
        <a:xfrm>
          <a:off x="11684000" y="18309167"/>
          <a:ext cx="241072" cy="47726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1829B83-6014-0B1D-7F82-1EBB8EF200D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4DC0BD09-74C4-100F-B1D9-D227C47ABFC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C2358B08-5F1F-EA90-EE4C-595077D5C44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98B8ED04-37C0-A943-3389-8340982A30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3DED3EA9-01D4-827A-236A-30F37C1A69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AD68FE66-1FDC-98F8-E381-450F0CFAA8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0D99C143-74ED-989C-4637-C256D2A62D1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D41953AC-92A7-4EFC-EAB6-C33D4B2D60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21</xdr:row>
      <xdr:rowOff>0</xdr:rowOff>
    </xdr:from>
    <xdr:to>
      <xdr:col>22</xdr:col>
      <xdr:colOff>241072</xdr:colOff>
      <xdr:row>22</xdr:row>
      <xdr:rowOff>96267</xdr:rowOff>
    </xdr:to>
    <xdr:grpSp>
      <xdr:nvGrpSpPr>
        <xdr:cNvPr id="907" name="Group 906">
          <a:extLst>
            <a:ext uri="{FF2B5EF4-FFF2-40B4-BE49-F238E27FC236}">
              <a16:creationId xmlns:a16="http://schemas.microsoft.com/office/drawing/2014/main" id="{7B03BDE6-C385-4AF0-854C-428C223BC4F5}"/>
            </a:ext>
          </a:extLst>
        </xdr:cNvPr>
        <xdr:cNvGrpSpPr/>
      </xdr:nvGrpSpPr>
      <xdr:grpSpPr>
        <a:xfrm>
          <a:off x="32131000" y="8784167"/>
          <a:ext cx="241072" cy="477267"/>
          <a:chOff x="6143939" y="789134"/>
          <a:chExt cx="457200" cy="518966"/>
        </a:xfrm>
      </xdr:grpSpPr>
      <xdr:grpSp>
        <xdr:nvGrpSpPr>
          <xdr:cNvPr id="908" name="Group 907">
            <a:extLst>
              <a:ext uri="{FF2B5EF4-FFF2-40B4-BE49-F238E27FC236}">
                <a16:creationId xmlns:a16="http://schemas.microsoft.com/office/drawing/2014/main" id="{6CE12D92-1F20-56EC-3006-AC4FA913A63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910" name="Straight Connector 909">
              <a:extLst>
                <a:ext uri="{FF2B5EF4-FFF2-40B4-BE49-F238E27FC236}">
                  <a16:creationId xmlns:a16="http://schemas.microsoft.com/office/drawing/2014/main" id="{02D4B984-EE10-8A7E-3276-E6ED350AD4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1" name="Straight Connector 910">
              <a:extLst>
                <a:ext uri="{FF2B5EF4-FFF2-40B4-BE49-F238E27FC236}">
                  <a16:creationId xmlns:a16="http://schemas.microsoft.com/office/drawing/2014/main" id="{7A9B9462-A946-5068-028D-62931F307AD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2" name="Straight Connector 911">
              <a:extLst>
                <a:ext uri="{FF2B5EF4-FFF2-40B4-BE49-F238E27FC236}">
                  <a16:creationId xmlns:a16="http://schemas.microsoft.com/office/drawing/2014/main" id="{6B2EEEDB-5258-0DA2-DCEF-B501229CF4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3" name="Straight Connector 912">
              <a:extLst>
                <a:ext uri="{FF2B5EF4-FFF2-40B4-BE49-F238E27FC236}">
                  <a16:creationId xmlns:a16="http://schemas.microsoft.com/office/drawing/2014/main" id="{F130A0A9-75CE-04F5-C387-38B75DE346A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4" name="Straight Connector 913">
              <a:extLst>
                <a:ext uri="{FF2B5EF4-FFF2-40B4-BE49-F238E27FC236}">
                  <a16:creationId xmlns:a16="http://schemas.microsoft.com/office/drawing/2014/main" id="{1ECF9B88-B3D5-D623-2015-7D8AC4CF6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5" name="Straight Connector 914">
              <a:extLst>
                <a:ext uri="{FF2B5EF4-FFF2-40B4-BE49-F238E27FC236}">
                  <a16:creationId xmlns:a16="http://schemas.microsoft.com/office/drawing/2014/main" id="{C3B17AA5-F609-8042-1FB1-41AEB81A0E6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0F499FA8-34A5-FB4F-68EF-B8E2D4CAF0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241072</xdr:colOff>
      <xdr:row>31</xdr:row>
      <xdr:rowOff>96267</xdr:rowOff>
    </xdr:to>
    <xdr:grpSp>
      <xdr:nvGrpSpPr>
        <xdr:cNvPr id="916" name="Group 915">
          <a:extLst>
            <a:ext uri="{FF2B5EF4-FFF2-40B4-BE49-F238E27FC236}">
              <a16:creationId xmlns:a16="http://schemas.microsoft.com/office/drawing/2014/main" id="{252D0B6B-5BB9-4FCE-A797-6E589AE5C44E}"/>
            </a:ext>
          </a:extLst>
        </xdr:cNvPr>
        <xdr:cNvGrpSpPr/>
      </xdr:nvGrpSpPr>
      <xdr:grpSpPr>
        <a:xfrm>
          <a:off x="17526000" y="12213167"/>
          <a:ext cx="241072" cy="477267"/>
          <a:chOff x="6143939" y="789134"/>
          <a:chExt cx="457200" cy="518966"/>
        </a:xfrm>
      </xdr:grpSpPr>
      <xdr:grpSp>
        <xdr:nvGrpSpPr>
          <xdr:cNvPr id="917" name="Group 916">
            <a:extLst>
              <a:ext uri="{FF2B5EF4-FFF2-40B4-BE49-F238E27FC236}">
                <a16:creationId xmlns:a16="http://schemas.microsoft.com/office/drawing/2014/main" id="{708EA9ED-3966-234E-3B6C-7638CCE4945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919" name="Straight Connector 918">
              <a:extLst>
                <a:ext uri="{FF2B5EF4-FFF2-40B4-BE49-F238E27FC236}">
                  <a16:creationId xmlns:a16="http://schemas.microsoft.com/office/drawing/2014/main" id="{E0B4BB1D-8F20-EE1A-317E-36E5B2E7314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0" name="Straight Connector 919">
              <a:extLst>
                <a:ext uri="{FF2B5EF4-FFF2-40B4-BE49-F238E27FC236}">
                  <a16:creationId xmlns:a16="http://schemas.microsoft.com/office/drawing/2014/main" id="{33C3A7A4-1160-D71B-B09A-0BFF7FFD63D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4" name="Straight Connector 923">
              <a:extLst>
                <a:ext uri="{FF2B5EF4-FFF2-40B4-BE49-F238E27FC236}">
                  <a16:creationId xmlns:a16="http://schemas.microsoft.com/office/drawing/2014/main" id="{252E10BA-C73F-D3C1-10A0-165895D66C1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5" name="Straight Connector 924">
              <a:extLst>
                <a:ext uri="{FF2B5EF4-FFF2-40B4-BE49-F238E27FC236}">
                  <a16:creationId xmlns:a16="http://schemas.microsoft.com/office/drawing/2014/main" id="{952AF8C5-67F3-900E-6EE0-DDE4BB7ACC9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6" name="Straight Connector 925">
              <a:extLst>
                <a:ext uri="{FF2B5EF4-FFF2-40B4-BE49-F238E27FC236}">
                  <a16:creationId xmlns:a16="http://schemas.microsoft.com/office/drawing/2014/main" id="{A43517DA-31B2-5224-537B-7D49C316FCB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7" name="Straight Connector 926">
              <a:extLst>
                <a:ext uri="{FF2B5EF4-FFF2-40B4-BE49-F238E27FC236}">
                  <a16:creationId xmlns:a16="http://schemas.microsoft.com/office/drawing/2014/main" id="{EEED1C0C-F967-43FC-C232-FBD4D2D3F5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18" name="Straight Connector 917">
            <a:extLst>
              <a:ext uri="{FF2B5EF4-FFF2-40B4-BE49-F238E27FC236}">
                <a16:creationId xmlns:a16="http://schemas.microsoft.com/office/drawing/2014/main" id="{64C464EA-AA22-EC5A-3972-AD93352B30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241072</xdr:colOff>
      <xdr:row>31</xdr:row>
      <xdr:rowOff>96267</xdr:rowOff>
    </xdr:to>
    <xdr:grpSp>
      <xdr:nvGrpSpPr>
        <xdr:cNvPr id="928" name="Group 927">
          <a:extLst>
            <a:ext uri="{FF2B5EF4-FFF2-40B4-BE49-F238E27FC236}">
              <a16:creationId xmlns:a16="http://schemas.microsoft.com/office/drawing/2014/main" id="{1EE83834-8959-4AFA-83EB-69FCD6A1CA9B}"/>
            </a:ext>
          </a:extLst>
        </xdr:cNvPr>
        <xdr:cNvGrpSpPr/>
      </xdr:nvGrpSpPr>
      <xdr:grpSpPr>
        <a:xfrm>
          <a:off x="20447000" y="12213167"/>
          <a:ext cx="241072" cy="477267"/>
          <a:chOff x="6143939" y="789134"/>
          <a:chExt cx="457200" cy="518966"/>
        </a:xfrm>
      </xdr:grpSpPr>
      <xdr:grpSp>
        <xdr:nvGrpSpPr>
          <xdr:cNvPr id="929" name="Group 928">
            <a:extLst>
              <a:ext uri="{FF2B5EF4-FFF2-40B4-BE49-F238E27FC236}">
                <a16:creationId xmlns:a16="http://schemas.microsoft.com/office/drawing/2014/main" id="{162AC5B2-FFE9-678E-1522-1AF541BCFFC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931" name="Straight Connector 930">
              <a:extLst>
                <a:ext uri="{FF2B5EF4-FFF2-40B4-BE49-F238E27FC236}">
                  <a16:creationId xmlns:a16="http://schemas.microsoft.com/office/drawing/2014/main" id="{804C78E0-EBB6-F5D6-247C-2946749BCB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2" name="Straight Connector 931">
              <a:extLst>
                <a:ext uri="{FF2B5EF4-FFF2-40B4-BE49-F238E27FC236}">
                  <a16:creationId xmlns:a16="http://schemas.microsoft.com/office/drawing/2014/main" id="{93BF29B6-1402-E110-C5BA-2AC40F2B1B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3" name="Straight Connector 932">
              <a:extLst>
                <a:ext uri="{FF2B5EF4-FFF2-40B4-BE49-F238E27FC236}">
                  <a16:creationId xmlns:a16="http://schemas.microsoft.com/office/drawing/2014/main" id="{8F6E1BF7-5668-E5FA-B39D-B5C782763C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4" name="Straight Connector 933">
              <a:extLst>
                <a:ext uri="{FF2B5EF4-FFF2-40B4-BE49-F238E27FC236}">
                  <a16:creationId xmlns:a16="http://schemas.microsoft.com/office/drawing/2014/main" id="{7F037FD3-22EE-C5BE-E21D-543CEB0D9D1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5" name="Straight Connector 934">
              <a:extLst>
                <a:ext uri="{FF2B5EF4-FFF2-40B4-BE49-F238E27FC236}">
                  <a16:creationId xmlns:a16="http://schemas.microsoft.com/office/drawing/2014/main" id="{E05E355A-E739-A197-5F4D-2133AE33F5B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6" name="Straight Connector 935">
              <a:extLst>
                <a:ext uri="{FF2B5EF4-FFF2-40B4-BE49-F238E27FC236}">
                  <a16:creationId xmlns:a16="http://schemas.microsoft.com/office/drawing/2014/main" id="{F5EE4182-145F-650D-7F19-604DF7767C5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EAD0283F-73FC-C42C-ED1F-5B891953838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</xdr:row>
      <xdr:rowOff>0</xdr:rowOff>
    </xdr:from>
    <xdr:to>
      <xdr:col>20</xdr:col>
      <xdr:colOff>241072</xdr:colOff>
      <xdr:row>31</xdr:row>
      <xdr:rowOff>96267</xdr:rowOff>
    </xdr:to>
    <xdr:grpSp>
      <xdr:nvGrpSpPr>
        <xdr:cNvPr id="937" name="Group 936">
          <a:extLst>
            <a:ext uri="{FF2B5EF4-FFF2-40B4-BE49-F238E27FC236}">
              <a16:creationId xmlns:a16="http://schemas.microsoft.com/office/drawing/2014/main" id="{B5FE78FE-82AF-453B-9C37-8C4ADA91020B}"/>
            </a:ext>
          </a:extLst>
        </xdr:cNvPr>
        <xdr:cNvGrpSpPr/>
      </xdr:nvGrpSpPr>
      <xdr:grpSpPr>
        <a:xfrm>
          <a:off x="29210000" y="12213167"/>
          <a:ext cx="241072" cy="477267"/>
          <a:chOff x="6143939" y="789134"/>
          <a:chExt cx="457200" cy="518966"/>
        </a:xfrm>
      </xdr:grpSpPr>
      <xdr:grpSp>
        <xdr:nvGrpSpPr>
          <xdr:cNvPr id="938" name="Group 937">
            <a:extLst>
              <a:ext uri="{FF2B5EF4-FFF2-40B4-BE49-F238E27FC236}">
                <a16:creationId xmlns:a16="http://schemas.microsoft.com/office/drawing/2014/main" id="{31D09DA9-BDC3-E3F0-943A-93FA0B41C2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940" name="Straight Connector 939">
              <a:extLst>
                <a:ext uri="{FF2B5EF4-FFF2-40B4-BE49-F238E27FC236}">
                  <a16:creationId xmlns:a16="http://schemas.microsoft.com/office/drawing/2014/main" id="{C3EC842F-0A6D-D80F-5A7B-36ABD4D891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1" name="Straight Connector 940">
              <a:extLst>
                <a:ext uri="{FF2B5EF4-FFF2-40B4-BE49-F238E27FC236}">
                  <a16:creationId xmlns:a16="http://schemas.microsoft.com/office/drawing/2014/main" id="{A89F9D15-9A8B-3E4F-A3BA-4924896BDCD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2" name="Straight Connector 941">
              <a:extLst>
                <a:ext uri="{FF2B5EF4-FFF2-40B4-BE49-F238E27FC236}">
                  <a16:creationId xmlns:a16="http://schemas.microsoft.com/office/drawing/2014/main" id="{F6DB5E0E-E920-F760-BF7A-AF5C183158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3" name="Straight Connector 942">
              <a:extLst>
                <a:ext uri="{FF2B5EF4-FFF2-40B4-BE49-F238E27FC236}">
                  <a16:creationId xmlns:a16="http://schemas.microsoft.com/office/drawing/2014/main" id="{5A14D6F7-9B3A-5145-996F-9B3810969E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4" name="Straight Connector 943">
              <a:extLst>
                <a:ext uri="{FF2B5EF4-FFF2-40B4-BE49-F238E27FC236}">
                  <a16:creationId xmlns:a16="http://schemas.microsoft.com/office/drawing/2014/main" id="{F8FC977C-5524-F2DD-9CE1-9C76E95F9C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5" name="Straight Connector 944">
              <a:extLst>
                <a:ext uri="{FF2B5EF4-FFF2-40B4-BE49-F238E27FC236}">
                  <a16:creationId xmlns:a16="http://schemas.microsoft.com/office/drawing/2014/main" id="{EA3A56B4-6E48-68EF-36EB-DD93D9FBD9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39" name="Straight Connector 938">
            <a:extLst>
              <a:ext uri="{FF2B5EF4-FFF2-40B4-BE49-F238E27FC236}">
                <a16:creationId xmlns:a16="http://schemas.microsoft.com/office/drawing/2014/main" id="{F9F09FE1-CA0F-D856-B609-0E4798B6678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46</xdr:row>
      <xdr:rowOff>0</xdr:rowOff>
    </xdr:from>
    <xdr:to>
      <xdr:col>12</xdr:col>
      <xdr:colOff>241072</xdr:colOff>
      <xdr:row>47</xdr:row>
      <xdr:rowOff>96267</xdr:rowOff>
    </xdr:to>
    <xdr:grpSp>
      <xdr:nvGrpSpPr>
        <xdr:cNvPr id="947" name="Group 946">
          <a:extLst>
            <a:ext uri="{FF2B5EF4-FFF2-40B4-BE49-F238E27FC236}">
              <a16:creationId xmlns:a16="http://schemas.microsoft.com/office/drawing/2014/main" id="{030C3873-0856-4AD7-B88A-CBA6F8B1A31D}"/>
            </a:ext>
          </a:extLst>
        </xdr:cNvPr>
        <xdr:cNvGrpSpPr/>
      </xdr:nvGrpSpPr>
      <xdr:grpSpPr>
        <a:xfrm>
          <a:off x="17526000" y="18309167"/>
          <a:ext cx="241072" cy="477267"/>
          <a:chOff x="6143939" y="789134"/>
          <a:chExt cx="457200" cy="518966"/>
        </a:xfrm>
      </xdr:grpSpPr>
      <xdr:grpSp>
        <xdr:nvGrpSpPr>
          <xdr:cNvPr id="948" name="Group 947">
            <a:extLst>
              <a:ext uri="{FF2B5EF4-FFF2-40B4-BE49-F238E27FC236}">
                <a16:creationId xmlns:a16="http://schemas.microsoft.com/office/drawing/2014/main" id="{09E3D070-3E6C-4CD4-FA8F-CCF36315DC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950" name="Straight Connector 949">
              <a:extLst>
                <a:ext uri="{FF2B5EF4-FFF2-40B4-BE49-F238E27FC236}">
                  <a16:creationId xmlns:a16="http://schemas.microsoft.com/office/drawing/2014/main" id="{74EB206D-ED79-7C85-29C3-C3B200710A4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1" name="Straight Connector 950">
              <a:extLst>
                <a:ext uri="{FF2B5EF4-FFF2-40B4-BE49-F238E27FC236}">
                  <a16:creationId xmlns:a16="http://schemas.microsoft.com/office/drawing/2014/main" id="{81C20BA3-6D8D-D533-E822-1B992C1774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2" name="Straight Connector 951">
              <a:extLst>
                <a:ext uri="{FF2B5EF4-FFF2-40B4-BE49-F238E27FC236}">
                  <a16:creationId xmlns:a16="http://schemas.microsoft.com/office/drawing/2014/main" id="{C8DE391E-0A05-5BD4-CB39-8C9BA97A7FE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3" name="Straight Connector 952">
              <a:extLst>
                <a:ext uri="{FF2B5EF4-FFF2-40B4-BE49-F238E27FC236}">
                  <a16:creationId xmlns:a16="http://schemas.microsoft.com/office/drawing/2014/main" id="{B023A180-38ED-8881-4C2A-52802922A5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4" name="Straight Connector 953">
              <a:extLst>
                <a:ext uri="{FF2B5EF4-FFF2-40B4-BE49-F238E27FC236}">
                  <a16:creationId xmlns:a16="http://schemas.microsoft.com/office/drawing/2014/main" id="{96890A12-64A4-F9D9-031B-D19F06AB71F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5" name="Straight Connector 954">
              <a:extLst>
                <a:ext uri="{FF2B5EF4-FFF2-40B4-BE49-F238E27FC236}">
                  <a16:creationId xmlns:a16="http://schemas.microsoft.com/office/drawing/2014/main" id="{EC3ECD99-7E6E-DE0D-4C5F-34F2CEE4A83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949" name="Straight Connector 948">
            <a:extLst>
              <a:ext uri="{FF2B5EF4-FFF2-40B4-BE49-F238E27FC236}">
                <a16:creationId xmlns:a16="http://schemas.microsoft.com/office/drawing/2014/main" id="{87386EA2-B8E0-DC37-8B73-D6CE7D7B4F1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1444625</xdr:colOff>
      <xdr:row>40</xdr:row>
      <xdr:rowOff>317500</xdr:rowOff>
    </xdr:from>
    <xdr:to>
      <xdr:col>17</xdr:col>
      <xdr:colOff>1428750</xdr:colOff>
      <xdr:row>42</xdr:row>
      <xdr:rowOff>351896</xdr:rowOff>
    </xdr:to>
    <xdr:sp macro="" textlink="">
      <xdr:nvSpPr>
        <xdr:cNvPr id="957" name="AutoShape 370">
          <a:extLst>
            <a:ext uri="{FF2B5EF4-FFF2-40B4-BE49-F238E27FC236}">
              <a16:creationId xmlns:a16="http://schemas.microsoft.com/office/drawing/2014/main" id="{7E3BF386-B5AE-49AB-9AE6-4FE46B438811}"/>
            </a:ext>
          </a:extLst>
        </xdr:cNvPr>
        <xdr:cNvSpPr>
          <a:spLocks noChangeArrowheads="1"/>
        </xdr:cNvSpPr>
      </xdr:nvSpPr>
      <xdr:spPr>
        <a:xfrm>
          <a:off x="24812625" y="15557500"/>
          <a:ext cx="1444625" cy="79639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B2B33DA-1E3A-4FE8-88F3-B512F1BAE92B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EAB65077-9B93-43EA-893A-EB73279E46C4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394026-9FD1-4439-8DD8-7CB6E5A53239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6F93FF3B-6268-462F-BE09-FB4D588AA957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9524871A-5CA3-4800-96E9-3B2F8CB76074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16</xdr:col>
      <xdr:colOff>0</xdr:colOff>
      <xdr:row>23</xdr:row>
      <xdr:rowOff>0</xdr:rowOff>
    </xdr:from>
    <xdr:ext cx="35266" cy="162160"/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7A2ECBC6-D526-43C5-BFE2-E52E42D8D701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35266" cy="162160"/>
    <xdr:sp macro="" textlink="">
      <xdr:nvSpPr>
        <xdr:cNvPr id="8" name="Rectangle 3">
          <a:extLst>
            <a:ext uri="{FF2B5EF4-FFF2-40B4-BE49-F238E27FC236}">
              <a16:creationId xmlns:a16="http://schemas.microsoft.com/office/drawing/2014/main" id="{F0D6A250-EF12-4124-8D80-1B498B089C50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35266" cy="162160"/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7A91B512-7373-4697-84AF-3C51F5440F96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40AC2B63-B8B0-49E7-9F61-3E7B42BA1268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534E3673-D86D-4515-8F54-AECA9DA058C6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35266" cy="162160"/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53364B51-BA36-432E-92D7-BD924BBAA510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23</xdr:row>
      <xdr:rowOff>7056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8573B19A-726D-49C3-A91E-FD18A8869338}"/>
            </a:ext>
          </a:extLst>
        </xdr:cNvPr>
        <xdr:cNvSpPr>
          <a:spLocks noChangeArrowheads="1"/>
        </xdr:cNvSpPr>
      </xdr:nvSpPr>
      <xdr:spPr bwMode="auto">
        <a:xfrm>
          <a:off x="4162778" y="3633612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331E3F0A-E35E-4F8B-BF42-12E04F83509C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5" name="Rectangle 3">
          <a:extLst>
            <a:ext uri="{FF2B5EF4-FFF2-40B4-BE49-F238E27FC236}">
              <a16:creationId xmlns:a16="http://schemas.microsoft.com/office/drawing/2014/main" id="{0117DA98-1E6B-45ED-89E2-3BC00C54B818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6" name="Rectangle 3">
          <a:extLst>
            <a:ext uri="{FF2B5EF4-FFF2-40B4-BE49-F238E27FC236}">
              <a16:creationId xmlns:a16="http://schemas.microsoft.com/office/drawing/2014/main" id="{85FB42CA-35E0-4FBA-A6CC-6E4A2DBD6EA4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7" name="Rectangle 3">
          <a:extLst>
            <a:ext uri="{FF2B5EF4-FFF2-40B4-BE49-F238E27FC236}">
              <a16:creationId xmlns:a16="http://schemas.microsoft.com/office/drawing/2014/main" id="{CF2EB539-1AC2-470B-8341-28B3F34E791B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8" name="Rectangle 3">
          <a:extLst>
            <a:ext uri="{FF2B5EF4-FFF2-40B4-BE49-F238E27FC236}">
              <a16:creationId xmlns:a16="http://schemas.microsoft.com/office/drawing/2014/main" id="{EDEF5777-506D-457A-A553-3E4C026DC800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17</xdr:col>
      <xdr:colOff>0</xdr:colOff>
      <xdr:row>23</xdr:row>
      <xdr:rowOff>0</xdr:rowOff>
    </xdr:from>
    <xdr:ext cx="35266" cy="162160"/>
    <xdr:sp macro="" textlink="">
      <xdr:nvSpPr>
        <xdr:cNvPr id="19" name="Rectangle 3">
          <a:extLst>
            <a:ext uri="{FF2B5EF4-FFF2-40B4-BE49-F238E27FC236}">
              <a16:creationId xmlns:a16="http://schemas.microsoft.com/office/drawing/2014/main" id="{89B53950-E31F-4F79-8365-6B3FADD41107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5266" cy="162160"/>
    <xdr:sp macro="" textlink="">
      <xdr:nvSpPr>
        <xdr:cNvPr id="20" name="Rectangle 3">
          <a:extLst>
            <a:ext uri="{FF2B5EF4-FFF2-40B4-BE49-F238E27FC236}">
              <a16:creationId xmlns:a16="http://schemas.microsoft.com/office/drawing/2014/main" id="{F120E778-3D13-47C2-B706-BCC544D645C7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5266" cy="162160"/>
    <xdr:sp macro="" textlink="">
      <xdr:nvSpPr>
        <xdr:cNvPr id="21" name="Rectangle 3">
          <a:extLst>
            <a:ext uri="{FF2B5EF4-FFF2-40B4-BE49-F238E27FC236}">
              <a16:creationId xmlns:a16="http://schemas.microsoft.com/office/drawing/2014/main" id="{ACBECC5E-6E83-4925-BDD8-86C0FB805B43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5266" cy="162160"/>
    <xdr:sp macro="" textlink="">
      <xdr:nvSpPr>
        <xdr:cNvPr id="22" name="Rectangle 3">
          <a:extLst>
            <a:ext uri="{FF2B5EF4-FFF2-40B4-BE49-F238E27FC236}">
              <a16:creationId xmlns:a16="http://schemas.microsoft.com/office/drawing/2014/main" id="{D65945B5-F880-47B5-87FE-45D2BC100D97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5266" cy="162160"/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C0148E11-29B4-4D3F-BDA8-160F705DAA3F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13</xdr:col>
      <xdr:colOff>0</xdr:colOff>
      <xdr:row>23</xdr:row>
      <xdr:rowOff>0</xdr:rowOff>
    </xdr:from>
    <xdr:ext cx="35266" cy="162160"/>
    <xdr:sp macro="" textlink="">
      <xdr:nvSpPr>
        <xdr:cNvPr id="24" name="Rectangle 3">
          <a:extLst>
            <a:ext uri="{FF2B5EF4-FFF2-40B4-BE49-F238E27FC236}">
              <a16:creationId xmlns:a16="http://schemas.microsoft.com/office/drawing/2014/main" id="{C95FBE16-738D-4036-87E0-C11E9AEECC76}"/>
            </a:ext>
          </a:extLst>
        </xdr:cNvPr>
        <xdr:cNvSpPr>
          <a:spLocks noChangeArrowheads="1"/>
        </xdr:cNvSpPr>
      </xdr:nvSpPr>
      <xdr:spPr bwMode="auto">
        <a:xfrm>
          <a:off x="2019300" y="1276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12</xdr:col>
      <xdr:colOff>647700</xdr:colOff>
      <xdr:row>24</xdr:row>
      <xdr:rowOff>57150</xdr:rowOff>
    </xdr:from>
    <xdr:ext cx="35266" cy="162160"/>
    <xdr:sp macro="" textlink="">
      <xdr:nvSpPr>
        <xdr:cNvPr id="25" name="Rectangle 3">
          <a:extLst>
            <a:ext uri="{FF2B5EF4-FFF2-40B4-BE49-F238E27FC236}">
              <a16:creationId xmlns:a16="http://schemas.microsoft.com/office/drawing/2014/main" id="{938A6B13-00CC-4A4F-909B-D25A0C2FE4FD}"/>
            </a:ext>
          </a:extLst>
        </xdr:cNvPr>
        <xdr:cNvSpPr>
          <a:spLocks noChangeArrowheads="1"/>
        </xdr:cNvSpPr>
      </xdr:nvSpPr>
      <xdr:spPr bwMode="auto">
        <a:xfrm>
          <a:off x="9188450" y="4362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26" name="Rectangle 3">
          <a:extLst>
            <a:ext uri="{FF2B5EF4-FFF2-40B4-BE49-F238E27FC236}">
              <a16:creationId xmlns:a16="http://schemas.microsoft.com/office/drawing/2014/main" id="{07501599-9CC1-40EC-91A2-475F65D0C3D9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27" name="Rectangle 3">
          <a:extLst>
            <a:ext uri="{FF2B5EF4-FFF2-40B4-BE49-F238E27FC236}">
              <a16:creationId xmlns:a16="http://schemas.microsoft.com/office/drawing/2014/main" id="{D5B9A398-3287-49A7-B201-52769DD5D5B9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28" name="Rectangle 3">
          <a:extLst>
            <a:ext uri="{FF2B5EF4-FFF2-40B4-BE49-F238E27FC236}">
              <a16:creationId xmlns:a16="http://schemas.microsoft.com/office/drawing/2014/main" id="{ACE9532C-33BA-433E-8610-3F5DBB342F00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29" name="Rectangle 3">
          <a:extLst>
            <a:ext uri="{FF2B5EF4-FFF2-40B4-BE49-F238E27FC236}">
              <a16:creationId xmlns:a16="http://schemas.microsoft.com/office/drawing/2014/main" id="{2A635514-12B5-44F2-8C8F-B1603D492163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30" name="Rectangle 3">
          <a:extLst>
            <a:ext uri="{FF2B5EF4-FFF2-40B4-BE49-F238E27FC236}">
              <a16:creationId xmlns:a16="http://schemas.microsoft.com/office/drawing/2014/main" id="{21A8E680-A8F9-4E13-9A48-E6FE35E35391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35266" cy="162160"/>
    <xdr:sp macro="" textlink="">
      <xdr:nvSpPr>
        <xdr:cNvPr id="31" name="Rectangle 3">
          <a:extLst>
            <a:ext uri="{FF2B5EF4-FFF2-40B4-BE49-F238E27FC236}">
              <a16:creationId xmlns:a16="http://schemas.microsoft.com/office/drawing/2014/main" id="{B7F76503-93C5-4E60-9499-DA7D2E2AEBC0}"/>
            </a:ext>
          </a:extLst>
        </xdr:cNvPr>
        <xdr:cNvSpPr>
          <a:spLocks noChangeArrowheads="1"/>
        </xdr:cNvSpPr>
      </xdr:nvSpPr>
      <xdr:spPr bwMode="auto">
        <a:xfrm>
          <a:off x="4162778" y="3485444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4" name="Freeform 28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5" name="Freeform 8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6" name="Group 111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7" name="Straight Connector 110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Straight Connector 110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Straight Connector 110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Straight Connector 1111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Straight Connector 1112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Straight Connector 1113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4</xdr:row>
      <xdr:rowOff>193477</xdr:rowOff>
    </xdr:from>
    <xdr:to>
      <xdr:col>2</xdr:col>
      <xdr:colOff>3174</xdr:colOff>
      <xdr:row>6</xdr:row>
      <xdr:rowOff>12700</xdr:rowOff>
    </xdr:to>
    <xdr:sp macro="" textlink="">
      <xdr:nvSpPr>
        <xdr:cNvPr id="13" name="AutoShape 121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>
        <a:xfrm>
          <a:off x="0" y="1177727"/>
          <a:ext cx="403224" cy="219273"/>
        </a:xfrm>
        <a:prstGeom prst="triangle">
          <a:avLst>
            <a:gd name="adj" fmla="val 50000"/>
          </a:avLst>
        </a:prstGeom>
        <a:solidFill>
          <a:srgbClr val="FFFF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14" name="AutoShape 121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16" name="Equals 16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19" name="Freeform 28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20" name="Freeform 83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21" name="Group 111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22" name="Straight Connector 1107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Straight Connector 1108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Straight Connector 1109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Straight Connector 1111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Straight Connector 1112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Straight Connector 1113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29" name="AutoShape 121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31" name="Equals 167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12212</xdr:colOff>
      <xdr:row>19</xdr:row>
      <xdr:rowOff>47625</xdr:rowOff>
    </xdr:from>
    <xdr:to>
      <xdr:col>21</xdr:col>
      <xdr:colOff>18562</xdr:colOff>
      <xdr:row>21</xdr:row>
      <xdr:rowOff>15875</xdr:rowOff>
    </xdr:to>
    <xdr:sp macro="" textlink="">
      <xdr:nvSpPr>
        <xdr:cNvPr id="32" name="AutoShape 37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>
        <a:xfrm>
          <a:off x="21125962" y="5159375"/>
          <a:ext cx="1117600" cy="7302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35" name="Freeform 28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36" name="Freeform 83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37" name="Group 111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38" name="Straight Connector 110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Straight Connector 110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Straight Connector 110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Straight Connector 1111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Straight Connector 1112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Straight Connector 1113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44" name="AutoShape 121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46" name="Equals 167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160662</xdr:colOff>
      <xdr:row>13</xdr:row>
      <xdr:rowOff>96579</xdr:rowOff>
    </xdr:from>
    <xdr:to>
      <xdr:col>5</xdr:col>
      <xdr:colOff>1022209</xdr:colOff>
      <xdr:row>15</xdr:row>
      <xdr:rowOff>49708</xdr:rowOff>
    </xdr:to>
    <xdr:sp macro="" textlink="">
      <xdr:nvSpPr>
        <xdr:cNvPr id="48" name="AutoShape 1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>
        <a:xfrm rot="-7320000">
          <a:off x="4774121" y="3388870"/>
          <a:ext cx="524629" cy="861547"/>
        </a:xfrm>
        <a:prstGeom prst="lightningBolt">
          <a:avLst/>
        </a:prstGeom>
        <a:solidFill>
          <a:srgbClr val="00B0F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49" name="Freeform 28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50" name="Freeform 83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51" name="Group 111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52" name="Straight Connector 1107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Straight Connector 1108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Straight Connector 1109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Straight Connector 1111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Straight Connector 1112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Straight Connector 1113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58" name="AutoShape 121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60" name="Equals 16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63" name="Freeform 28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64" name="Freeform 832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65" name="Group 111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66" name="Straight Connector 1107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Straight Connector 1108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Straight Connector 1109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Straight Connector 1111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Straight Connector 1112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Straight Connector 1113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72" name="AutoShape 121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74" name="Equals 167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3968</xdr:colOff>
      <xdr:row>18</xdr:row>
      <xdr:rowOff>312208</xdr:rowOff>
    </xdr:from>
    <xdr:to>
      <xdr:col>3</xdr:col>
      <xdr:colOff>7936</xdr:colOff>
      <xdr:row>21</xdr:row>
      <xdr:rowOff>31749</xdr:rowOff>
    </xdr:to>
    <xdr:sp macro="" textlink="">
      <xdr:nvSpPr>
        <xdr:cNvPr id="75" name="AutoShape 370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>
        <a:xfrm flipH="1">
          <a:off x="1115218" y="5106458"/>
          <a:ext cx="1115218" cy="79904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78" name="Freeform 283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79" name="Freeform 83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80" name="Group 111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81" name="Straight Connector 110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Straight Connector 110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Straight Connector 110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Straight Connector 1111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Straight Connector 1112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Straight Connector 1113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87" name="AutoShape 121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89" name="Equals 167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1202528</xdr:colOff>
      <xdr:row>18</xdr:row>
      <xdr:rowOff>317500</xdr:rowOff>
    </xdr:from>
    <xdr:to>
      <xdr:col>4</xdr:col>
      <xdr:colOff>1107275</xdr:colOff>
      <xdr:row>20</xdr:row>
      <xdr:rowOff>317500</xdr:rowOff>
    </xdr:to>
    <xdr:sp macro="" textlink="">
      <xdr:nvSpPr>
        <xdr:cNvPr id="90" name="AutoShape 37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rrowheads="1"/>
        </xdr:cNvSpPr>
      </xdr:nvSpPr>
      <xdr:spPr>
        <a:xfrm flipH="1">
          <a:off x="3599653" y="7302500"/>
          <a:ext cx="1111247" cy="666750"/>
        </a:xfrm>
        <a:prstGeom prst="flowChartExtract">
          <a:avLst/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92" name="Freeform 283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93" name="Freeform 83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94" name="Group 111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95" name="Straight Connector 1107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Straight Connector 1108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Straight Connector 1109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Straight Connector 1111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Straight Connector 1112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Straight Connector 1113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12</xdr:row>
      <xdr:rowOff>178593</xdr:rowOff>
    </xdr:from>
    <xdr:to>
      <xdr:col>2</xdr:col>
      <xdr:colOff>15874</xdr:colOff>
      <xdr:row>14</xdr:row>
      <xdr:rowOff>15873</xdr:rowOff>
    </xdr:to>
    <xdr:sp macro="" textlink="">
      <xdr:nvSpPr>
        <xdr:cNvPr id="101" name="AutoShape 121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>
        <a:xfrm>
          <a:off x="0" y="3258185"/>
          <a:ext cx="624840" cy="281305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102" name="Equals 167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104" name="Freeform 28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105" name="Freeform 832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106" name="Group 111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107" name="Straight Connector 1107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Straight Connector 1108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Straight Connector 1109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Straight Connector 1111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Straight Connector 1112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Straight Connector 1113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12</xdr:row>
      <xdr:rowOff>44450</xdr:rowOff>
    </xdr:from>
    <xdr:to>
      <xdr:col>2</xdr:col>
      <xdr:colOff>15874</xdr:colOff>
      <xdr:row>14</xdr:row>
      <xdr:rowOff>15873</xdr:rowOff>
    </xdr:to>
    <xdr:sp macro="" textlink="">
      <xdr:nvSpPr>
        <xdr:cNvPr id="113" name="AutoShape 121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rrowheads="1"/>
        </xdr:cNvSpPr>
      </xdr:nvSpPr>
      <xdr:spPr>
        <a:xfrm>
          <a:off x="0" y="2343150"/>
          <a:ext cx="625474" cy="250823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114" name="Equals 167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316368</xdr:colOff>
      <xdr:row>10</xdr:row>
      <xdr:rowOff>46080</xdr:rowOff>
    </xdr:from>
    <xdr:to>
      <xdr:col>6</xdr:col>
      <xdr:colOff>35021</xdr:colOff>
      <xdr:row>11</xdr:row>
      <xdr:rowOff>213852</xdr:rowOff>
    </xdr:to>
    <xdr:sp macro="" textlink="">
      <xdr:nvSpPr>
        <xdr:cNvPr id="115" name="AutoShape 1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rrowheads="1"/>
        </xdr:cNvSpPr>
      </xdr:nvSpPr>
      <xdr:spPr>
        <a:xfrm rot="-7320000">
          <a:off x="4933684" y="2540764"/>
          <a:ext cx="485272" cy="829903"/>
        </a:xfrm>
        <a:prstGeom prst="lightningBolt">
          <a:avLst/>
        </a:prstGeom>
        <a:solidFill>
          <a:srgbClr val="FFCC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500060</xdr:colOff>
      <xdr:row>8</xdr:row>
      <xdr:rowOff>55565</xdr:rowOff>
    </xdr:from>
    <xdr:to>
      <xdr:col>10</xdr:col>
      <xdr:colOff>579435</xdr:colOff>
      <xdr:row>9</xdr:row>
      <xdr:rowOff>71440</xdr:rowOff>
    </xdr:to>
    <xdr:sp macro="" textlink="">
      <xdr:nvSpPr>
        <xdr:cNvPr id="116" name="Freeform 283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rrowheads="1"/>
        </xdr:cNvSpPr>
      </xdr:nvSpPr>
      <xdr:spPr>
        <a:xfrm>
          <a:off x="4766945" y="2245995"/>
          <a:ext cx="1298575" cy="2381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117" name="Freeform 832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118" name="Group 1115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119" name="Straight Connector 1107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Straight Connector 1108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Straight Connector 1109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Straight Connector 111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Straight Connector 1112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Straight Connector 111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127" name="Equals 167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511967</xdr:colOff>
      <xdr:row>10</xdr:row>
      <xdr:rowOff>35720</xdr:rowOff>
    </xdr:from>
    <xdr:to>
      <xdr:col>10</xdr:col>
      <xdr:colOff>559592</xdr:colOff>
      <xdr:row>11</xdr:row>
      <xdr:rowOff>67470</xdr:rowOff>
    </xdr:to>
    <xdr:sp macro="" textlink="">
      <xdr:nvSpPr>
        <xdr:cNvPr id="129" name="Freeform 832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rrowheads="1"/>
        </xdr:cNvSpPr>
      </xdr:nvSpPr>
      <xdr:spPr>
        <a:xfrm>
          <a:off x="4779010" y="267081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580429</xdr:colOff>
      <xdr:row>12</xdr:row>
      <xdr:rowOff>23810</xdr:rowOff>
    </xdr:from>
    <xdr:to>
      <xdr:col>9</xdr:col>
      <xdr:colOff>440528</xdr:colOff>
      <xdr:row>14</xdr:row>
      <xdr:rowOff>163711</xdr:rowOff>
    </xdr:to>
    <xdr:grpSp>
      <xdr:nvGrpSpPr>
        <xdr:cNvPr id="130" name="Group 111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GrpSpPr/>
      </xdr:nvGrpSpPr>
      <xdr:grpSpPr>
        <a:xfrm>
          <a:off x="4445992" y="2341560"/>
          <a:ext cx="439536" cy="400251"/>
          <a:chOff x="11082" y="26717"/>
          <a:chExt cx="181" cy="165"/>
        </a:xfrm>
      </xdr:grpSpPr>
      <xdr:sp macro="" textlink="">
        <xdr:nvSpPr>
          <xdr:cNvPr id="131" name="Straight Connector 1107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Straight Connector 1108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Straight Connector 1109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Straight Connector 1111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Straight Connector 1112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Straight Connector 1113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342047</xdr:colOff>
      <xdr:row>5</xdr:row>
      <xdr:rowOff>83605</xdr:rowOff>
    </xdr:from>
    <xdr:to>
      <xdr:col>10</xdr:col>
      <xdr:colOff>150480</xdr:colOff>
      <xdr:row>8</xdr:row>
      <xdr:rowOff>12447</xdr:rowOff>
    </xdr:to>
    <xdr:sp macro="" textlink="">
      <xdr:nvSpPr>
        <xdr:cNvPr id="137" name="Equals 167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rot="6635367">
          <a:off x="5129530" y="1696085"/>
          <a:ext cx="595630" cy="41783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500060</xdr:colOff>
      <xdr:row>8</xdr:row>
      <xdr:rowOff>55564</xdr:rowOff>
    </xdr:from>
    <xdr:to>
      <xdr:col>10</xdr:col>
      <xdr:colOff>547685</xdr:colOff>
      <xdr:row>9</xdr:row>
      <xdr:rowOff>95250</xdr:rowOff>
    </xdr:to>
    <xdr:sp macro="" textlink="">
      <xdr:nvSpPr>
        <xdr:cNvPr id="138" name="Freeform 283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rrowheads="1"/>
        </xdr:cNvSpPr>
      </xdr:nvSpPr>
      <xdr:spPr>
        <a:xfrm>
          <a:off x="4397373" y="1801814"/>
          <a:ext cx="1143000" cy="182561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511967</xdr:colOff>
      <xdr:row>10</xdr:row>
      <xdr:rowOff>11908</xdr:rowOff>
    </xdr:from>
    <xdr:to>
      <xdr:col>10</xdr:col>
      <xdr:colOff>559592</xdr:colOff>
      <xdr:row>11</xdr:row>
      <xdr:rowOff>43658</xdr:rowOff>
    </xdr:to>
    <xdr:sp macro="" textlink="">
      <xdr:nvSpPr>
        <xdr:cNvPr id="139" name="Freeform 832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rrowheads="1"/>
        </xdr:cNvSpPr>
      </xdr:nvSpPr>
      <xdr:spPr>
        <a:xfrm>
          <a:off x="4779010" y="2646680"/>
          <a:ext cx="1266825" cy="2540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301625</xdr:rowOff>
    </xdr:from>
    <xdr:to>
      <xdr:col>9</xdr:col>
      <xdr:colOff>31750</xdr:colOff>
      <xdr:row>21</xdr:row>
      <xdr:rowOff>0</xdr:rowOff>
    </xdr:to>
    <xdr:sp macro="" textlink="">
      <xdr:nvSpPr>
        <xdr:cNvPr id="140" name="AutoShape 370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>
        <a:xfrm>
          <a:off x="7778750" y="5095875"/>
          <a:ext cx="1143000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0</xdr:colOff>
      <xdr:row>19</xdr:row>
      <xdr:rowOff>15875</xdr:rowOff>
    </xdr:from>
    <xdr:to>
      <xdr:col>11</xdr:col>
      <xdr:colOff>0</xdr:colOff>
      <xdr:row>21</xdr:row>
      <xdr:rowOff>15875</xdr:rowOff>
    </xdr:to>
    <xdr:sp macro="" textlink="">
      <xdr:nvSpPr>
        <xdr:cNvPr id="141" name="AutoShape 37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rrowheads="1"/>
        </xdr:cNvSpPr>
      </xdr:nvSpPr>
      <xdr:spPr>
        <a:xfrm>
          <a:off x="10001250" y="5127625"/>
          <a:ext cx="1111250" cy="762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19050</xdr:colOff>
      <xdr:row>18</xdr:row>
      <xdr:rowOff>123824</xdr:rowOff>
    </xdr:from>
    <xdr:to>
      <xdr:col>15</xdr:col>
      <xdr:colOff>29633</xdr:colOff>
      <xdr:row>21</xdr:row>
      <xdr:rowOff>6350</xdr:rowOff>
    </xdr:to>
    <xdr:sp macro="" textlink="">
      <xdr:nvSpPr>
        <xdr:cNvPr id="142" name="AutoShape 370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rrowheads="1"/>
        </xdr:cNvSpPr>
      </xdr:nvSpPr>
      <xdr:spPr>
        <a:xfrm>
          <a:off x="7181850" y="3260724"/>
          <a:ext cx="556683" cy="30162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16</xdr:col>
      <xdr:colOff>0</xdr:colOff>
      <xdr:row>19</xdr:row>
      <xdr:rowOff>31751</xdr:rowOff>
    </xdr:from>
    <xdr:to>
      <xdr:col>17</xdr:col>
      <xdr:colOff>10584</xdr:colOff>
      <xdr:row>20</xdr:row>
      <xdr:rowOff>365125</xdr:rowOff>
    </xdr:to>
    <xdr:sp macro="" textlink="">
      <xdr:nvSpPr>
        <xdr:cNvPr id="143" name="AutoShape 370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rrowheads="1"/>
        </xdr:cNvSpPr>
      </xdr:nvSpPr>
      <xdr:spPr>
        <a:xfrm>
          <a:off x="16668750" y="5143501"/>
          <a:ext cx="1121834" cy="7143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17</xdr:col>
      <xdr:colOff>537146</xdr:colOff>
      <xdr:row>19</xdr:row>
      <xdr:rowOff>47625</xdr:rowOff>
    </xdr:from>
    <xdr:to>
      <xdr:col>19</xdr:col>
      <xdr:colOff>0</xdr:colOff>
      <xdr:row>21</xdr:row>
      <xdr:rowOff>15875</xdr:rowOff>
    </xdr:to>
    <xdr:sp macro="" textlink="">
      <xdr:nvSpPr>
        <xdr:cNvPr id="144" name="AutoShape 370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rrowheads="1"/>
        </xdr:cNvSpPr>
      </xdr:nvSpPr>
      <xdr:spPr>
        <a:xfrm>
          <a:off x="9338246" y="3324225"/>
          <a:ext cx="555054" cy="2476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45" name="AutoShape 370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46" name="AutoShape 370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48" name="AutoShape 370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38</xdr:row>
      <xdr:rowOff>317499</xdr:rowOff>
    </xdr:from>
    <xdr:to>
      <xdr:col>19</xdr:col>
      <xdr:colOff>31750</xdr:colOff>
      <xdr:row>41</xdr:row>
      <xdr:rowOff>15874</xdr:rowOff>
    </xdr:to>
    <xdr:sp macro="" textlink="">
      <xdr:nvSpPr>
        <xdr:cNvPr id="149" name="AutoShape 370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rrowheads="1"/>
        </xdr:cNvSpPr>
      </xdr:nvSpPr>
      <xdr:spPr>
        <a:xfrm>
          <a:off x="18891250" y="12953999"/>
          <a:ext cx="1143000" cy="841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12212</xdr:colOff>
      <xdr:row>39</xdr:row>
      <xdr:rowOff>-1</xdr:rowOff>
    </xdr:from>
    <xdr:to>
      <xdr:col>21</xdr:col>
      <xdr:colOff>18562</xdr:colOff>
      <xdr:row>40</xdr:row>
      <xdr:rowOff>365124</xdr:rowOff>
    </xdr:to>
    <xdr:sp macro="" textlink="">
      <xdr:nvSpPr>
        <xdr:cNvPr id="150" name="AutoShape 370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rrowheads="1"/>
        </xdr:cNvSpPr>
      </xdr:nvSpPr>
      <xdr:spPr>
        <a:xfrm>
          <a:off x="21125962" y="13017499"/>
          <a:ext cx="1117600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52" name="AutoShape 370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53" name="AutoShape 370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54" name="AutoShape 370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56" name="AutoShape 370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60" name="AutoShape 37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61" name="AutoShape 37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62" name="AutoShape 370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64" name="AutoShape 370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68" name="AutoShape 370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69" name="AutoShape 370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70" name="AutoShape 370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72" name="AutoShape 370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76" name="AutoShape 370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1851</xdr:colOff>
      <xdr:row>38</xdr:row>
      <xdr:rowOff>114299</xdr:rowOff>
    </xdr:from>
    <xdr:to>
      <xdr:col>3</xdr:col>
      <xdr:colOff>5819</xdr:colOff>
      <xdr:row>41</xdr:row>
      <xdr:rowOff>9524</xdr:rowOff>
    </xdr:to>
    <xdr:sp macro="" textlink="">
      <xdr:nvSpPr>
        <xdr:cNvPr id="177" name="AutoShape 370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rrowheads="1"/>
        </xdr:cNvSpPr>
      </xdr:nvSpPr>
      <xdr:spPr>
        <a:xfrm flipH="1">
          <a:off x="465401" y="4648199"/>
          <a:ext cx="467518" cy="3143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78" name="AutoShape 370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79" name="AutoShape 370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81" name="AutoShape 37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85" name="AutoShape 370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11904</xdr:colOff>
      <xdr:row>39</xdr:row>
      <xdr:rowOff>5818</xdr:rowOff>
    </xdr:from>
    <xdr:to>
      <xdr:col>5</xdr:col>
      <xdr:colOff>11901</xdr:colOff>
      <xdr:row>41</xdr:row>
      <xdr:rowOff>-1</xdr:rowOff>
    </xdr:to>
    <xdr:sp macro="" textlink="">
      <xdr:nvSpPr>
        <xdr:cNvPr id="186" name="AutoShape 370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rrowheads="1"/>
        </xdr:cNvSpPr>
      </xdr:nvSpPr>
      <xdr:spPr>
        <a:xfrm flipH="1">
          <a:off x="3345654" y="13023318"/>
          <a:ext cx="1111247" cy="7561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87" name="AutoShape 370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88" name="AutoShape 370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90" name="AutoShape 370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301624</xdr:rowOff>
    </xdr:from>
    <xdr:to>
      <xdr:col>23</xdr:col>
      <xdr:colOff>0</xdr:colOff>
      <xdr:row>41</xdr:row>
      <xdr:rowOff>17317</xdr:rowOff>
    </xdr:to>
    <xdr:sp macro="" textlink="">
      <xdr:nvSpPr>
        <xdr:cNvPr id="194" name="AutoShape 370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rrowheads="1"/>
        </xdr:cNvSpPr>
      </xdr:nvSpPr>
      <xdr:spPr>
        <a:xfrm>
          <a:off x="12875895" y="77787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195" name="AutoShape 370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196" name="AutoShape 370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198" name="AutoShape 370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38</xdr:row>
      <xdr:rowOff>317499</xdr:rowOff>
    </xdr:from>
    <xdr:to>
      <xdr:col>23</xdr:col>
      <xdr:colOff>0</xdr:colOff>
      <xdr:row>41</xdr:row>
      <xdr:rowOff>33192</xdr:rowOff>
    </xdr:to>
    <xdr:sp macro="" textlink="">
      <xdr:nvSpPr>
        <xdr:cNvPr id="202" name="AutoShape 370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rrowheads="1"/>
        </xdr:cNvSpPr>
      </xdr:nvSpPr>
      <xdr:spPr>
        <a:xfrm>
          <a:off x="23115443" y="10636249"/>
          <a:ext cx="1205057" cy="7158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203" name="AutoShape 370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204" name="AutoShape 370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206" name="AutoShape 370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7</xdr:col>
      <xdr:colOff>31750</xdr:colOff>
      <xdr:row>41</xdr:row>
      <xdr:rowOff>15875</xdr:rowOff>
    </xdr:to>
    <xdr:sp macro="" textlink="">
      <xdr:nvSpPr>
        <xdr:cNvPr id="211" name="AutoShape 37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rrowheads="1"/>
        </xdr:cNvSpPr>
      </xdr:nvSpPr>
      <xdr:spPr>
        <a:xfrm>
          <a:off x="3048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212" name="AutoShape 370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213" name="AutoShape 370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31750</xdr:colOff>
      <xdr:row>41</xdr:row>
      <xdr:rowOff>15875</xdr:rowOff>
    </xdr:to>
    <xdr:sp macro="" textlink="">
      <xdr:nvSpPr>
        <xdr:cNvPr id="219" name="AutoShape 370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rrowheads="1"/>
        </xdr:cNvSpPr>
      </xdr:nvSpPr>
      <xdr:spPr>
        <a:xfrm>
          <a:off x="5486400" y="7778750"/>
          <a:ext cx="641350" cy="4603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31750</xdr:colOff>
      <xdr:row>41</xdr:row>
      <xdr:rowOff>15875</xdr:rowOff>
    </xdr:to>
    <xdr:sp macro="" textlink="">
      <xdr:nvSpPr>
        <xdr:cNvPr id="220" name="AutoShape 370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9</xdr:col>
      <xdr:colOff>31750</xdr:colOff>
      <xdr:row>40</xdr:row>
      <xdr:rowOff>365125</xdr:rowOff>
    </xdr:to>
    <xdr:sp macro="" textlink="">
      <xdr:nvSpPr>
        <xdr:cNvPr id="226" name="AutoShape 370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rrowheads="1"/>
        </xdr:cNvSpPr>
      </xdr:nvSpPr>
      <xdr:spPr>
        <a:xfrm>
          <a:off x="7778750" y="13017500"/>
          <a:ext cx="1143000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39</xdr:row>
      <xdr:rowOff>0</xdr:rowOff>
    </xdr:from>
    <xdr:to>
      <xdr:col>17</xdr:col>
      <xdr:colOff>18143</xdr:colOff>
      <xdr:row>41</xdr:row>
      <xdr:rowOff>9071</xdr:rowOff>
    </xdr:to>
    <xdr:sp macro="" textlink="">
      <xdr:nvSpPr>
        <xdr:cNvPr id="228" name="AutoShape 370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rrowheads="1"/>
        </xdr:cNvSpPr>
      </xdr:nvSpPr>
      <xdr:spPr>
        <a:xfrm>
          <a:off x="9144000" y="7778750"/>
          <a:ext cx="627380" cy="4533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33" name="AutoShape 370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34" name="AutoShape 370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35" name="AutoShape 370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36" name="AutoShape 370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37" name="AutoShape 370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12212</xdr:colOff>
      <xdr:row>59</xdr:row>
      <xdr:rowOff>0</xdr:rowOff>
    </xdr:from>
    <xdr:to>
      <xdr:col>21</xdr:col>
      <xdr:colOff>18562</xdr:colOff>
      <xdr:row>61</xdr:row>
      <xdr:rowOff>0</xdr:rowOff>
    </xdr:to>
    <xdr:sp macro="" textlink="">
      <xdr:nvSpPr>
        <xdr:cNvPr id="239" name="AutoShape 370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rrowheads="1"/>
        </xdr:cNvSpPr>
      </xdr:nvSpPr>
      <xdr:spPr>
        <a:xfrm>
          <a:off x="21125962" y="10906125"/>
          <a:ext cx="1117600" cy="539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40" name="AutoShape 370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58</xdr:row>
      <xdr:rowOff>349250</xdr:rowOff>
    </xdr:from>
    <xdr:to>
      <xdr:col>23</xdr:col>
      <xdr:colOff>0</xdr:colOff>
      <xdr:row>61</xdr:row>
      <xdr:rowOff>17317</xdr:rowOff>
    </xdr:to>
    <xdr:sp macro="" textlink="">
      <xdr:nvSpPr>
        <xdr:cNvPr id="241" name="AutoShape 37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rrowheads="1"/>
        </xdr:cNvSpPr>
      </xdr:nvSpPr>
      <xdr:spPr>
        <a:xfrm>
          <a:off x="23353568" y="20605750"/>
          <a:ext cx="1093932" cy="8110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42" name="AutoShape 370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43" name="AutoShape 370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44" name="AutoShape 370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45" name="AutoShape 370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46" name="AutoShape 370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49" name="AutoShape 370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51" name="AutoShape 37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52" name="AutoShape 370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53" name="AutoShape 370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54" name="AutoShape 370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55" name="AutoShape 370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58" name="AutoShape 370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60" name="AutoShape 370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61" name="AutoShape 37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62" name="AutoShape 370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63" name="AutoShape 370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64" name="AutoShape 370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67" name="AutoShape 370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3968</xdr:colOff>
      <xdr:row>58</xdr:row>
      <xdr:rowOff>349250</xdr:rowOff>
    </xdr:from>
    <xdr:to>
      <xdr:col>3</xdr:col>
      <xdr:colOff>7936</xdr:colOff>
      <xdr:row>61</xdr:row>
      <xdr:rowOff>2381</xdr:rowOff>
    </xdr:to>
    <xdr:sp macro="" textlink="">
      <xdr:nvSpPr>
        <xdr:cNvPr id="269" name="AutoShape 370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rrowheads="1"/>
        </xdr:cNvSpPr>
      </xdr:nvSpPr>
      <xdr:spPr>
        <a:xfrm flipH="1">
          <a:off x="1115218" y="20605750"/>
          <a:ext cx="1115218" cy="7961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70" name="AutoShape 370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71" name="AutoShape 3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72" name="AutoShape 370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73" name="AutoShape 370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74" name="AutoShape 370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77" name="AutoShape 370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2378</xdr:colOff>
      <xdr:row>58</xdr:row>
      <xdr:rowOff>101600</xdr:rowOff>
    </xdr:from>
    <xdr:to>
      <xdr:col>5</xdr:col>
      <xdr:colOff>2376</xdr:colOff>
      <xdr:row>60</xdr:row>
      <xdr:rowOff>133350</xdr:rowOff>
    </xdr:to>
    <xdr:sp macro="" textlink="">
      <xdr:nvSpPr>
        <xdr:cNvPr id="279" name="AutoShape 370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rrowheads="1"/>
        </xdr:cNvSpPr>
      </xdr:nvSpPr>
      <xdr:spPr>
        <a:xfrm flipH="1">
          <a:off x="1708941" y="6134100"/>
          <a:ext cx="547685" cy="3175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80" name="AutoShape 370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81" name="AutoShape 37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82" name="AutoShape 370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83" name="AutoShape 370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84" name="AutoShape 370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87" name="AutoShape 370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89" name="AutoShape 37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90" name="AutoShape 37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291" name="AutoShape 37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292" name="AutoShape 37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293" name="AutoShape 37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296" name="AutoShape 370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298" name="AutoShape 37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299" name="AutoShape 37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300" name="AutoShape 37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301" name="AutoShape 37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302" name="AutoShape 37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305" name="AutoShape 37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307" name="AutoShape 37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308" name="AutoShape 37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309" name="AutoShape 37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310" name="AutoShape 37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313" name="AutoShape 37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315" name="AutoShape 37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31750</xdr:colOff>
      <xdr:row>61</xdr:row>
      <xdr:rowOff>15875</xdr:rowOff>
    </xdr:to>
    <xdr:sp macro="" textlink="">
      <xdr:nvSpPr>
        <xdr:cNvPr id="316" name="AutoShape 37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rrowheads="1"/>
        </xdr:cNvSpPr>
      </xdr:nvSpPr>
      <xdr:spPr>
        <a:xfrm>
          <a:off x="54864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317" name="AutoShape 37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318" name="AutoShape 37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59</xdr:row>
      <xdr:rowOff>7343</xdr:rowOff>
    </xdr:from>
    <xdr:to>
      <xdr:col>25</xdr:col>
      <xdr:colOff>14882</xdr:colOff>
      <xdr:row>61</xdr:row>
      <xdr:rowOff>4962</xdr:rowOff>
    </xdr:to>
    <xdr:sp macro="" textlink="">
      <xdr:nvSpPr>
        <xdr:cNvPr id="321" name="AutoShape 37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rrowheads="1"/>
        </xdr:cNvSpPr>
      </xdr:nvSpPr>
      <xdr:spPr>
        <a:xfrm>
          <a:off x="14200505" y="97923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7</xdr:col>
      <xdr:colOff>31750</xdr:colOff>
      <xdr:row>61</xdr:row>
      <xdr:rowOff>15875</xdr:rowOff>
    </xdr:to>
    <xdr:sp macro="" textlink="">
      <xdr:nvSpPr>
        <xdr:cNvPr id="323" name="AutoShape 370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rrowheads="1"/>
        </xdr:cNvSpPr>
      </xdr:nvSpPr>
      <xdr:spPr>
        <a:xfrm>
          <a:off x="3048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31750</xdr:colOff>
      <xdr:row>61</xdr:row>
      <xdr:rowOff>15875</xdr:rowOff>
    </xdr:to>
    <xdr:sp macro="" textlink="">
      <xdr:nvSpPr>
        <xdr:cNvPr id="324" name="AutoShape 370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rrowheads="1"/>
        </xdr:cNvSpPr>
      </xdr:nvSpPr>
      <xdr:spPr>
        <a:xfrm>
          <a:off x="4267200" y="978535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31750</xdr:colOff>
      <xdr:row>61</xdr:row>
      <xdr:rowOff>15875</xdr:rowOff>
    </xdr:to>
    <xdr:sp macro="" textlink="">
      <xdr:nvSpPr>
        <xdr:cNvPr id="326" name="AutoShape 370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rrowheads="1"/>
        </xdr:cNvSpPr>
      </xdr:nvSpPr>
      <xdr:spPr>
        <a:xfrm>
          <a:off x="67056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17</xdr:col>
      <xdr:colOff>31750</xdr:colOff>
      <xdr:row>61</xdr:row>
      <xdr:rowOff>15875</xdr:rowOff>
    </xdr:to>
    <xdr:sp macro="" textlink="">
      <xdr:nvSpPr>
        <xdr:cNvPr id="327" name="AutoShape 370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rrowheads="1"/>
        </xdr:cNvSpPr>
      </xdr:nvSpPr>
      <xdr:spPr>
        <a:xfrm>
          <a:off x="9144000" y="97853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58</xdr:row>
      <xdr:rowOff>317500</xdr:rowOff>
    </xdr:from>
    <xdr:to>
      <xdr:col>19</xdr:col>
      <xdr:colOff>11906</xdr:colOff>
      <xdr:row>61</xdr:row>
      <xdr:rowOff>-1</xdr:rowOff>
    </xdr:to>
    <xdr:sp macro="" textlink="">
      <xdr:nvSpPr>
        <xdr:cNvPr id="328" name="AutoShape 370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rrowheads="1"/>
        </xdr:cNvSpPr>
      </xdr:nvSpPr>
      <xdr:spPr>
        <a:xfrm>
          <a:off x="18621375" y="13636625"/>
          <a:ext cx="1107281" cy="68262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11906</xdr:colOff>
      <xdr:row>59</xdr:row>
      <xdr:rowOff>7343</xdr:rowOff>
    </xdr:from>
    <xdr:to>
      <xdr:col>25</xdr:col>
      <xdr:colOff>14882</xdr:colOff>
      <xdr:row>61</xdr:row>
      <xdr:rowOff>9072</xdr:rowOff>
    </xdr:to>
    <xdr:sp macro="" textlink="">
      <xdr:nvSpPr>
        <xdr:cNvPr id="330" name="AutoShape 370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rrowheads="1"/>
        </xdr:cNvSpPr>
      </xdr:nvSpPr>
      <xdr:spPr>
        <a:xfrm>
          <a:off x="14190980" y="9792335"/>
          <a:ext cx="612775" cy="446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32" name="AutoShape 370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34" name="AutoShape 370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35" name="AutoShape 370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36" name="AutoShape 370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37" name="AutoShape 370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117</xdr:row>
      <xdr:rowOff>0</xdr:rowOff>
    </xdr:from>
    <xdr:to>
      <xdr:col>21</xdr:col>
      <xdr:colOff>31750</xdr:colOff>
      <xdr:row>119</xdr:row>
      <xdr:rowOff>15875</xdr:rowOff>
    </xdr:to>
    <xdr:sp macro="" textlink="">
      <xdr:nvSpPr>
        <xdr:cNvPr id="338" name="AutoShape 370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rrowheads="1"/>
        </xdr:cNvSpPr>
      </xdr:nvSpPr>
      <xdr:spPr>
        <a:xfrm>
          <a:off x="21113750" y="44259500"/>
          <a:ext cx="1143000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12212</xdr:colOff>
      <xdr:row>117</xdr:row>
      <xdr:rowOff>0</xdr:rowOff>
    </xdr:from>
    <xdr:to>
      <xdr:col>23</xdr:col>
      <xdr:colOff>18562</xdr:colOff>
      <xdr:row>118</xdr:row>
      <xdr:rowOff>349250</xdr:rowOff>
    </xdr:to>
    <xdr:sp macro="" textlink="">
      <xdr:nvSpPr>
        <xdr:cNvPr id="339" name="AutoShape 370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rrowheads="1"/>
        </xdr:cNvSpPr>
      </xdr:nvSpPr>
      <xdr:spPr>
        <a:xfrm>
          <a:off x="23348462" y="44259500"/>
          <a:ext cx="1117600" cy="7302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40" name="AutoShape 370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41" name="AutoShape 37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43" name="AutoShape 370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44" name="AutoShape 370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45" name="AutoShape 370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46" name="AutoShape 370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49" name="AutoShape 370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50" name="AutoShape 370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52" name="AutoShape 370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53" name="AutoShape 370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54" name="AutoShape 370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55" name="AutoShape 370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58" name="AutoShape 370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59" name="AutoShape 370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61" name="AutoShape 37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62" name="AutoShape 370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63" name="AutoShape 370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64" name="AutoShape 370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67" name="AutoShape 370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117</xdr:row>
      <xdr:rowOff>31750</xdr:rowOff>
    </xdr:from>
    <xdr:to>
      <xdr:col>5</xdr:col>
      <xdr:colOff>7936</xdr:colOff>
      <xdr:row>119</xdr:row>
      <xdr:rowOff>2381</xdr:rowOff>
    </xdr:to>
    <xdr:sp macro="" textlink="">
      <xdr:nvSpPr>
        <xdr:cNvPr id="368" name="AutoShape 370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rrowheads="1"/>
        </xdr:cNvSpPr>
      </xdr:nvSpPr>
      <xdr:spPr>
        <a:xfrm flipH="1">
          <a:off x="3337718" y="44291250"/>
          <a:ext cx="1115218" cy="7326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69" name="AutoShape 370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71" name="AutoShape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72" name="AutoShape 370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73" name="AutoShape 370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74" name="AutoShape 370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77" name="AutoShape 370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11903</xdr:colOff>
      <xdr:row>116</xdr:row>
      <xdr:rowOff>285750</xdr:rowOff>
    </xdr:from>
    <xdr:to>
      <xdr:col>7</xdr:col>
      <xdr:colOff>11900</xdr:colOff>
      <xdr:row>118</xdr:row>
      <xdr:rowOff>365125</xdr:rowOff>
    </xdr:to>
    <xdr:sp macro="" textlink="">
      <xdr:nvSpPr>
        <xdr:cNvPr id="378" name="AutoShape 370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rrowheads="1"/>
        </xdr:cNvSpPr>
      </xdr:nvSpPr>
      <xdr:spPr>
        <a:xfrm flipH="1">
          <a:off x="5568153" y="44164250"/>
          <a:ext cx="1111247" cy="841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79" name="AutoShape 370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81" name="AutoShape 37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82" name="AutoShape 370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83" name="AutoShape 370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84" name="AutoShape 370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87" name="AutoShape 370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88" name="AutoShape 370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90" name="AutoShape 370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391" name="AutoShape 37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392" name="AutoShape 370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393" name="AutoShape 370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396" name="AutoShape 370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397" name="AutoShape 370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399" name="AutoShape 370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400" name="AutoShape 370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401" name="AutoShape 37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402" name="AutoShape 370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405" name="AutoShape 370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406" name="AutoShape 370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407" name="AutoShape 370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408" name="AutoShape 370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409" name="AutoShape 370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410" name="AutoShape 370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413" name="AutoShape 370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414" name="AutoShape 370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31750</xdr:colOff>
      <xdr:row>119</xdr:row>
      <xdr:rowOff>15875</xdr:rowOff>
    </xdr:to>
    <xdr:sp macro="" textlink="">
      <xdr:nvSpPr>
        <xdr:cNvPr id="415" name="AutoShape 370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rrowheads="1"/>
        </xdr:cNvSpPr>
      </xdr:nvSpPr>
      <xdr:spPr>
        <a:xfrm>
          <a:off x="67056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416" name="AutoShape 370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417" name="AutoShape 370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418" name="AutoShape 370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136</xdr:row>
      <xdr:rowOff>7343</xdr:rowOff>
    </xdr:from>
    <xdr:to>
      <xdr:col>3</xdr:col>
      <xdr:colOff>14882</xdr:colOff>
      <xdr:row>138</xdr:row>
      <xdr:rowOff>4962</xdr:rowOff>
    </xdr:to>
    <xdr:sp macro="" textlink="">
      <xdr:nvSpPr>
        <xdr:cNvPr id="421" name="AutoShape 37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rrowheads="1"/>
        </xdr:cNvSpPr>
      </xdr:nvSpPr>
      <xdr:spPr>
        <a:xfrm>
          <a:off x="63055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31750</xdr:colOff>
      <xdr:row>119</xdr:row>
      <xdr:rowOff>15875</xdr:rowOff>
    </xdr:to>
    <xdr:sp macro="" textlink="">
      <xdr:nvSpPr>
        <xdr:cNvPr id="422" name="AutoShape 370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rrowheads="1"/>
        </xdr:cNvSpPr>
      </xdr:nvSpPr>
      <xdr:spPr>
        <a:xfrm>
          <a:off x="4267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7937</xdr:colOff>
      <xdr:row>116</xdr:row>
      <xdr:rowOff>136525</xdr:rowOff>
    </xdr:from>
    <xdr:to>
      <xdr:col>11</xdr:col>
      <xdr:colOff>15875</xdr:colOff>
      <xdr:row>119</xdr:row>
      <xdr:rowOff>7938</xdr:rowOff>
    </xdr:to>
    <xdr:sp macro="" textlink="">
      <xdr:nvSpPr>
        <xdr:cNvPr id="423" name="AutoShape 370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rrowheads="1"/>
        </xdr:cNvSpPr>
      </xdr:nvSpPr>
      <xdr:spPr>
        <a:xfrm>
          <a:off x="5000625" y="10169525"/>
          <a:ext cx="555625" cy="30003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117</xdr:row>
      <xdr:rowOff>0</xdr:rowOff>
    </xdr:from>
    <xdr:to>
      <xdr:col>15</xdr:col>
      <xdr:colOff>31750</xdr:colOff>
      <xdr:row>119</xdr:row>
      <xdr:rowOff>15875</xdr:rowOff>
    </xdr:to>
    <xdr:sp macro="" textlink="">
      <xdr:nvSpPr>
        <xdr:cNvPr id="425" name="AutoShape 370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rrowheads="1"/>
        </xdr:cNvSpPr>
      </xdr:nvSpPr>
      <xdr:spPr>
        <a:xfrm>
          <a:off x="79248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17</xdr:col>
      <xdr:colOff>31750</xdr:colOff>
      <xdr:row>119</xdr:row>
      <xdr:rowOff>15875</xdr:rowOff>
    </xdr:to>
    <xdr:sp macro="" textlink="">
      <xdr:nvSpPr>
        <xdr:cNvPr id="426" name="AutoShape 370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rrowheads="1"/>
        </xdr:cNvSpPr>
      </xdr:nvSpPr>
      <xdr:spPr>
        <a:xfrm>
          <a:off x="91440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31750</xdr:colOff>
      <xdr:row>119</xdr:row>
      <xdr:rowOff>15875</xdr:rowOff>
    </xdr:to>
    <xdr:sp macro="" textlink="">
      <xdr:nvSpPr>
        <xdr:cNvPr id="427" name="AutoShape 370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rrowheads="1"/>
        </xdr:cNvSpPr>
      </xdr:nvSpPr>
      <xdr:spPr>
        <a:xfrm>
          <a:off x="10363200" y="166878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11906</xdr:colOff>
      <xdr:row>136</xdr:row>
      <xdr:rowOff>34556</xdr:rowOff>
    </xdr:from>
    <xdr:to>
      <xdr:col>3</xdr:col>
      <xdr:colOff>14882</xdr:colOff>
      <xdr:row>138</xdr:row>
      <xdr:rowOff>12473</xdr:rowOff>
    </xdr:to>
    <xdr:sp macro="" textlink="">
      <xdr:nvSpPr>
        <xdr:cNvPr id="430" name="AutoShape 370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rrowheads="1"/>
        </xdr:cNvSpPr>
      </xdr:nvSpPr>
      <xdr:spPr>
        <a:xfrm>
          <a:off x="621030" y="18944590"/>
          <a:ext cx="612775" cy="4222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31" name="AutoShape 37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32" name="AutoShape 370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33" name="AutoShape 370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34" name="AutoShape 370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35" name="AutoShape 370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36" name="AutoShape 370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136</xdr:row>
      <xdr:rowOff>7343</xdr:rowOff>
    </xdr:from>
    <xdr:to>
      <xdr:col>25</xdr:col>
      <xdr:colOff>14882</xdr:colOff>
      <xdr:row>138</xdr:row>
      <xdr:rowOff>4962</xdr:rowOff>
    </xdr:to>
    <xdr:sp macro="" textlink="">
      <xdr:nvSpPr>
        <xdr:cNvPr id="437" name="AutoShape 370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rrowheads="1"/>
        </xdr:cNvSpPr>
      </xdr:nvSpPr>
      <xdr:spPr>
        <a:xfrm>
          <a:off x="14200505" y="18917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r>
            <a:rPr lang="en-IN" baseline="0"/>
            <a:t>   </a:t>
          </a:r>
          <a:endParaRPr lang="en-IN"/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39" name="AutoShape 370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40" name="AutoShape 370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41" name="AutoShape 37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42" name="AutoShape 370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43" name="AutoShape 370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44" name="AutoShape 370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47" name="AutoShape 370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48" name="AutoShape 370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49" name="AutoShape 370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50" name="AutoShape 370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51" name="AutoShape 37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52" name="AutoShape 370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55" name="AutoShape 370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56" name="AutoShape 370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57" name="AutoShape 370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58" name="AutoShape 370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59" name="AutoShape 370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60" name="AutoShape 370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135</xdr:row>
      <xdr:rowOff>349250</xdr:rowOff>
    </xdr:from>
    <xdr:to>
      <xdr:col>5</xdr:col>
      <xdr:colOff>7936</xdr:colOff>
      <xdr:row>138</xdr:row>
      <xdr:rowOff>2381</xdr:rowOff>
    </xdr:to>
    <xdr:sp macro="" textlink="">
      <xdr:nvSpPr>
        <xdr:cNvPr id="463" name="AutoShape 370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rrowheads="1"/>
        </xdr:cNvSpPr>
      </xdr:nvSpPr>
      <xdr:spPr>
        <a:xfrm flipH="1">
          <a:off x="3337718" y="51847750"/>
          <a:ext cx="1115218" cy="7961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64" name="AutoShape 370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65" name="AutoShape 370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66" name="AutoShape 370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67" name="AutoShape 370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68" name="AutoShape 370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69" name="AutoShape 370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72" name="AutoShape 370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73" name="AutoShape 370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74" name="AutoShape 370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75" name="AutoShape 370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76" name="AutoShape 370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77" name="AutoShape 370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80" name="AutoShape 370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81" name="AutoShape 370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82" name="AutoShape 370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83" name="AutoShape 370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84" name="AutoShape 370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85" name="AutoShape 370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88" name="AutoShape 370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489" name="AutoShape 370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90" name="AutoShape 370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91" name="AutoShape 370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92" name="AutoShape 370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493" name="AutoShape 370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496" name="AutoShape 370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497" name="AutoShape 370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498" name="AutoShape 370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499" name="AutoShape 370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500" name="AutoShape 370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502" name="AutoShape 370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503" name="AutoShape 370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rrowheads="1"/>
        </xdr:cNvSpPr>
      </xdr:nvSpPr>
      <xdr:spPr>
        <a:xfrm>
          <a:off x="6705600" y="18910300"/>
          <a:ext cx="641350" cy="4603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504" name="AutoShape 370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rrowheads="1"/>
        </xdr:cNvSpPr>
      </xdr:nvSpPr>
      <xdr:spPr>
        <a:xfrm>
          <a:off x="79248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17</xdr:col>
      <xdr:colOff>31750</xdr:colOff>
      <xdr:row>138</xdr:row>
      <xdr:rowOff>15875</xdr:rowOff>
    </xdr:to>
    <xdr:sp macro="" textlink="">
      <xdr:nvSpPr>
        <xdr:cNvPr id="505" name="AutoShape 370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rrowheads="1"/>
        </xdr:cNvSpPr>
      </xdr:nvSpPr>
      <xdr:spPr>
        <a:xfrm>
          <a:off x="91440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506" name="AutoShape 370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31750</xdr:colOff>
      <xdr:row>138</xdr:row>
      <xdr:rowOff>15875</xdr:rowOff>
    </xdr:to>
    <xdr:sp macro="" textlink="">
      <xdr:nvSpPr>
        <xdr:cNvPr id="508" name="AutoShape 370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rrowheads="1"/>
        </xdr:cNvSpPr>
      </xdr:nvSpPr>
      <xdr:spPr>
        <a:xfrm>
          <a:off x="4267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136</xdr:row>
      <xdr:rowOff>0</xdr:rowOff>
    </xdr:from>
    <xdr:to>
      <xdr:col>11</xdr:col>
      <xdr:colOff>31750</xdr:colOff>
      <xdr:row>138</xdr:row>
      <xdr:rowOff>15875</xdr:rowOff>
    </xdr:to>
    <xdr:sp macro="" textlink="">
      <xdr:nvSpPr>
        <xdr:cNvPr id="509" name="AutoShape 370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rrowheads="1"/>
        </xdr:cNvSpPr>
      </xdr:nvSpPr>
      <xdr:spPr>
        <a:xfrm>
          <a:off x="5486400" y="1891030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31750</xdr:colOff>
      <xdr:row>138</xdr:row>
      <xdr:rowOff>15875</xdr:rowOff>
    </xdr:to>
    <xdr:sp macro="" textlink="">
      <xdr:nvSpPr>
        <xdr:cNvPr id="510" name="AutoShape 370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rrowheads="1"/>
        </xdr:cNvSpPr>
      </xdr:nvSpPr>
      <xdr:spPr>
        <a:xfrm>
          <a:off x="12049125" y="26035000"/>
          <a:ext cx="1127125" cy="682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31750</xdr:colOff>
      <xdr:row>138</xdr:row>
      <xdr:rowOff>15875</xdr:rowOff>
    </xdr:to>
    <xdr:sp macro="" textlink="">
      <xdr:nvSpPr>
        <xdr:cNvPr id="511" name="AutoShape 37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rrowheads="1"/>
        </xdr:cNvSpPr>
      </xdr:nvSpPr>
      <xdr:spPr>
        <a:xfrm>
          <a:off x="14652625" y="27987625"/>
          <a:ext cx="1143000" cy="682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31750</xdr:colOff>
      <xdr:row>138</xdr:row>
      <xdr:rowOff>15875</xdr:rowOff>
    </xdr:to>
    <xdr:sp macro="" textlink="">
      <xdr:nvSpPr>
        <xdr:cNvPr id="512" name="AutoShape 370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rrowheads="1"/>
        </xdr:cNvSpPr>
      </xdr:nvSpPr>
      <xdr:spPr>
        <a:xfrm>
          <a:off x="10363200" y="18910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136</xdr:row>
      <xdr:rowOff>34924</xdr:rowOff>
    </xdr:from>
    <xdr:to>
      <xdr:col>21</xdr:col>
      <xdr:colOff>11906</xdr:colOff>
      <xdr:row>138</xdr:row>
      <xdr:rowOff>31749</xdr:rowOff>
    </xdr:to>
    <xdr:sp macro="" textlink="">
      <xdr:nvSpPr>
        <xdr:cNvPr id="513" name="AutoShape 370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rrowheads="1"/>
        </xdr:cNvSpPr>
      </xdr:nvSpPr>
      <xdr:spPr>
        <a:xfrm>
          <a:off x="8686800" y="11274424"/>
          <a:ext cx="469106" cy="2762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22</xdr:col>
      <xdr:colOff>6351</xdr:colOff>
      <xdr:row>135</xdr:row>
      <xdr:rowOff>139699</xdr:rowOff>
    </xdr:from>
    <xdr:to>
      <xdr:col>23</xdr:col>
      <xdr:colOff>3175</xdr:colOff>
      <xdr:row>138</xdr:row>
      <xdr:rowOff>12700</xdr:rowOff>
    </xdr:to>
    <xdr:sp macro="" textlink="">
      <xdr:nvSpPr>
        <xdr:cNvPr id="514" name="AutoShape 370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>
          <a:spLocks noChangeArrowheads="1"/>
        </xdr:cNvSpPr>
      </xdr:nvSpPr>
      <xdr:spPr>
        <a:xfrm>
          <a:off x="9740901" y="11239499"/>
          <a:ext cx="460374" cy="29210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16" name="AutoShape 370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17" name="AutoShape 370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18" name="AutoShape 370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19" name="AutoShape 370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20" name="AutoShape 370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21" name="AutoShape 37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155</xdr:row>
      <xdr:rowOff>365125</xdr:rowOff>
    </xdr:from>
    <xdr:to>
      <xdr:col>19</xdr:col>
      <xdr:colOff>31750</xdr:colOff>
      <xdr:row>158</xdr:row>
      <xdr:rowOff>0</xdr:rowOff>
    </xdr:to>
    <xdr:sp macro="" textlink="">
      <xdr:nvSpPr>
        <xdr:cNvPr id="522" name="AutoShape 370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>
          <a:spLocks noChangeArrowheads="1"/>
        </xdr:cNvSpPr>
      </xdr:nvSpPr>
      <xdr:spPr>
        <a:xfrm>
          <a:off x="18891250" y="59102625"/>
          <a:ext cx="1143000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12212</xdr:colOff>
      <xdr:row>156</xdr:row>
      <xdr:rowOff>0</xdr:rowOff>
    </xdr:from>
    <xdr:to>
      <xdr:col>21</xdr:col>
      <xdr:colOff>18562</xdr:colOff>
      <xdr:row>157</xdr:row>
      <xdr:rowOff>349250</xdr:rowOff>
    </xdr:to>
    <xdr:sp macro="" textlink="">
      <xdr:nvSpPr>
        <xdr:cNvPr id="523" name="AutoShape 370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>
          <a:spLocks noChangeArrowheads="1"/>
        </xdr:cNvSpPr>
      </xdr:nvSpPr>
      <xdr:spPr>
        <a:xfrm>
          <a:off x="21125962" y="59118500"/>
          <a:ext cx="1117600" cy="7302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5357</xdr:colOff>
      <xdr:row>156</xdr:row>
      <xdr:rowOff>7343</xdr:rowOff>
    </xdr:from>
    <xdr:to>
      <xdr:col>24</xdr:col>
      <xdr:colOff>546694</xdr:colOff>
      <xdr:row>158</xdr:row>
      <xdr:rowOff>4962</xdr:rowOff>
    </xdr:to>
    <xdr:sp macro="" textlink="">
      <xdr:nvSpPr>
        <xdr:cNvPr id="524" name="AutoShape 370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>
          <a:spLocks noChangeArrowheads="1"/>
        </xdr:cNvSpPr>
      </xdr:nvSpPr>
      <xdr:spPr>
        <a:xfrm>
          <a:off x="12665670" y="12897843"/>
          <a:ext cx="541337" cy="2833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9381</xdr:colOff>
      <xdr:row>155</xdr:row>
      <xdr:rowOff>126999</xdr:rowOff>
    </xdr:from>
    <xdr:to>
      <xdr:col>22</xdr:col>
      <xdr:colOff>539750</xdr:colOff>
      <xdr:row>158</xdr:row>
      <xdr:rowOff>1442</xdr:rowOff>
    </xdr:to>
    <xdr:sp macro="" textlink="">
      <xdr:nvSpPr>
        <xdr:cNvPr id="525" name="AutoShape 370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>
          <a:spLocks noChangeArrowheads="1"/>
        </xdr:cNvSpPr>
      </xdr:nvSpPr>
      <xdr:spPr>
        <a:xfrm>
          <a:off x="11574319" y="12874624"/>
          <a:ext cx="530369" cy="3030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26" name="AutoShape 370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27" name="AutoShape 370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28" name="AutoShape 370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29" name="AutoShape 370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30" name="AutoShape 370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31" name="AutoShape 37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36" name="AutoShape 370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37" name="AutoShape 370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38" name="AutoShape 370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39" name="AutoShape 370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40" name="AutoShape 370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41" name="AutoShape 370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45" name="AutoShape 370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46" name="AutoShape 370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47" name="AutoShape 370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48" name="AutoShape 370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49" name="AutoShape 370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50" name="AutoShape 370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54" name="AutoShape 370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55" name="AutoShape 370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56" name="AutoShape 370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57" name="AutoShape 370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58" name="AutoShape 370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59" name="AutoShape 370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11905</xdr:colOff>
      <xdr:row>155</xdr:row>
      <xdr:rowOff>365125</xdr:rowOff>
    </xdr:from>
    <xdr:to>
      <xdr:col>5</xdr:col>
      <xdr:colOff>11902</xdr:colOff>
      <xdr:row>158</xdr:row>
      <xdr:rowOff>7938</xdr:rowOff>
    </xdr:to>
    <xdr:sp macro="" textlink="">
      <xdr:nvSpPr>
        <xdr:cNvPr id="563" name="AutoShape 370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>
          <a:spLocks noChangeArrowheads="1"/>
        </xdr:cNvSpPr>
      </xdr:nvSpPr>
      <xdr:spPr>
        <a:xfrm flipH="1">
          <a:off x="3345655" y="59102625"/>
          <a:ext cx="1111247" cy="7858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64" name="AutoShape 370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31750</xdr:colOff>
      <xdr:row>158</xdr:row>
      <xdr:rowOff>15875</xdr:rowOff>
    </xdr:to>
    <xdr:sp macro="" textlink="">
      <xdr:nvSpPr>
        <xdr:cNvPr id="565" name="AutoShape 370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>
          <a:spLocks noChangeArrowheads="1"/>
        </xdr:cNvSpPr>
      </xdr:nvSpPr>
      <xdr:spPr>
        <a:xfrm>
          <a:off x="42672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66" name="AutoShape 370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67" name="AutoShape 370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31750</xdr:colOff>
      <xdr:row>158</xdr:row>
      <xdr:rowOff>15875</xdr:rowOff>
    </xdr:to>
    <xdr:sp macro="" textlink="">
      <xdr:nvSpPr>
        <xdr:cNvPr id="568" name="AutoShape 370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>
          <a:spLocks noChangeArrowheads="1"/>
        </xdr:cNvSpPr>
      </xdr:nvSpPr>
      <xdr:spPr>
        <a:xfrm>
          <a:off x="79248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69" name="AutoShape 370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73" name="AutoShape 370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75" name="AutoShape 370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76" name="AutoShape 370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78" name="AutoShape 370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82" name="AutoShape 370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84" name="AutoShape 370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31750</xdr:colOff>
      <xdr:row>158</xdr:row>
      <xdr:rowOff>15875</xdr:rowOff>
    </xdr:to>
    <xdr:sp macro="" textlink="">
      <xdr:nvSpPr>
        <xdr:cNvPr id="585" name="AutoShape 370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>
          <a:spLocks noChangeArrowheads="1"/>
        </xdr:cNvSpPr>
      </xdr:nvSpPr>
      <xdr:spPr>
        <a:xfrm>
          <a:off x="67056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87" name="AutoShape 370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31750</xdr:colOff>
      <xdr:row>158</xdr:row>
      <xdr:rowOff>15875</xdr:rowOff>
    </xdr:to>
    <xdr:sp macro="" textlink="">
      <xdr:nvSpPr>
        <xdr:cNvPr id="591" name="AutoShape 37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>
        <a:xfrm>
          <a:off x="3048000" y="20910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592" name="AutoShape 370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595" name="AutoShape 370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</xdr:colOff>
      <xdr:row>156</xdr:row>
      <xdr:rowOff>0</xdr:rowOff>
    </xdr:from>
    <xdr:to>
      <xdr:col>7</xdr:col>
      <xdr:colOff>15876</xdr:colOff>
      <xdr:row>158</xdr:row>
      <xdr:rowOff>15875</xdr:rowOff>
    </xdr:to>
    <xdr:sp macro="" textlink="">
      <xdr:nvSpPr>
        <xdr:cNvPr id="599" name="AutoShape 370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>
          <a:spLocks noChangeArrowheads="1"/>
        </xdr:cNvSpPr>
      </xdr:nvSpPr>
      <xdr:spPr>
        <a:xfrm>
          <a:off x="2801939" y="12890500"/>
          <a:ext cx="563562" cy="3016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156</xdr:row>
      <xdr:rowOff>0</xdr:rowOff>
    </xdr:from>
    <xdr:to>
      <xdr:col>11</xdr:col>
      <xdr:colOff>31750</xdr:colOff>
      <xdr:row>158</xdr:row>
      <xdr:rowOff>15875</xdr:rowOff>
    </xdr:to>
    <xdr:sp macro="" textlink="">
      <xdr:nvSpPr>
        <xdr:cNvPr id="600" name="AutoShape 370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>
          <a:spLocks noChangeArrowheads="1"/>
        </xdr:cNvSpPr>
      </xdr:nvSpPr>
      <xdr:spPr>
        <a:xfrm>
          <a:off x="54864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603" name="AutoShape 370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156</xdr:row>
      <xdr:rowOff>0</xdr:rowOff>
    </xdr:from>
    <xdr:to>
      <xdr:col>17</xdr:col>
      <xdr:colOff>31750</xdr:colOff>
      <xdr:row>158</xdr:row>
      <xdr:rowOff>15875</xdr:rowOff>
    </xdr:to>
    <xdr:sp macro="" textlink="">
      <xdr:nvSpPr>
        <xdr:cNvPr id="611" name="AutoShape 37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rrowheads="1"/>
        </xdr:cNvSpPr>
      </xdr:nvSpPr>
      <xdr:spPr>
        <a:xfrm>
          <a:off x="9144000" y="20910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15" name="AutoShape 370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17" name="AutoShape 370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176</xdr:row>
      <xdr:rowOff>0</xdr:rowOff>
    </xdr:from>
    <xdr:to>
      <xdr:col>15</xdr:col>
      <xdr:colOff>31750</xdr:colOff>
      <xdr:row>178</xdr:row>
      <xdr:rowOff>15875</xdr:rowOff>
    </xdr:to>
    <xdr:sp macro="" textlink="">
      <xdr:nvSpPr>
        <xdr:cNvPr id="618" name="AutoShape 370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rrowheads="1"/>
        </xdr:cNvSpPr>
      </xdr:nvSpPr>
      <xdr:spPr>
        <a:xfrm>
          <a:off x="67056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176</xdr:row>
      <xdr:rowOff>0</xdr:rowOff>
    </xdr:from>
    <xdr:to>
      <xdr:col>17</xdr:col>
      <xdr:colOff>31750</xdr:colOff>
      <xdr:row>178</xdr:row>
      <xdr:rowOff>0</xdr:rowOff>
    </xdr:to>
    <xdr:sp macro="" textlink="">
      <xdr:nvSpPr>
        <xdr:cNvPr id="619" name="AutoShape 370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rrowheads="1"/>
        </xdr:cNvSpPr>
      </xdr:nvSpPr>
      <xdr:spPr>
        <a:xfrm>
          <a:off x="14446250" y="66738500"/>
          <a:ext cx="1143000" cy="762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176</xdr:row>
      <xdr:rowOff>-1</xdr:rowOff>
    </xdr:from>
    <xdr:to>
      <xdr:col>19</xdr:col>
      <xdr:colOff>31750</xdr:colOff>
      <xdr:row>178</xdr:row>
      <xdr:rowOff>15874</xdr:rowOff>
    </xdr:to>
    <xdr:sp macro="" textlink="">
      <xdr:nvSpPr>
        <xdr:cNvPr id="620" name="AutoShape 370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rrowheads="1"/>
        </xdr:cNvSpPr>
      </xdr:nvSpPr>
      <xdr:spPr>
        <a:xfrm>
          <a:off x="16668750" y="66738499"/>
          <a:ext cx="1143000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12212</xdr:colOff>
      <xdr:row>176</xdr:row>
      <xdr:rowOff>0</xdr:rowOff>
    </xdr:from>
    <xdr:to>
      <xdr:col>23</xdr:col>
      <xdr:colOff>18562</xdr:colOff>
      <xdr:row>178</xdr:row>
      <xdr:rowOff>0</xdr:rowOff>
    </xdr:to>
    <xdr:sp macro="" textlink="">
      <xdr:nvSpPr>
        <xdr:cNvPr id="622" name="AutoShape 370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rrowheads="1"/>
        </xdr:cNvSpPr>
      </xdr:nvSpPr>
      <xdr:spPr>
        <a:xfrm>
          <a:off x="21125962" y="66738500"/>
          <a:ext cx="1117600" cy="762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176</xdr:row>
      <xdr:rowOff>0</xdr:rowOff>
    </xdr:from>
    <xdr:to>
      <xdr:col>25</xdr:col>
      <xdr:colOff>0</xdr:colOff>
      <xdr:row>178</xdr:row>
      <xdr:rowOff>15875</xdr:rowOff>
    </xdr:to>
    <xdr:sp macro="" textlink="">
      <xdr:nvSpPr>
        <xdr:cNvPr id="624" name="AutoShape 370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rrowheads="1"/>
        </xdr:cNvSpPr>
      </xdr:nvSpPr>
      <xdr:spPr>
        <a:xfrm>
          <a:off x="23353568" y="66738500"/>
          <a:ext cx="1093932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25" name="AutoShape 370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27" name="AutoShape 370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176</xdr:row>
      <xdr:rowOff>0</xdr:rowOff>
    </xdr:from>
    <xdr:to>
      <xdr:col>15</xdr:col>
      <xdr:colOff>31750</xdr:colOff>
      <xdr:row>178</xdr:row>
      <xdr:rowOff>15875</xdr:rowOff>
    </xdr:to>
    <xdr:sp macro="" textlink="">
      <xdr:nvSpPr>
        <xdr:cNvPr id="628" name="AutoShape 370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rrowheads="1"/>
        </xdr:cNvSpPr>
      </xdr:nvSpPr>
      <xdr:spPr>
        <a:xfrm>
          <a:off x="67056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35" name="AutoShape 370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37" name="AutoShape 370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176</xdr:row>
      <xdr:rowOff>0</xdr:rowOff>
    </xdr:from>
    <xdr:to>
      <xdr:col>15</xdr:col>
      <xdr:colOff>31750</xdr:colOff>
      <xdr:row>178</xdr:row>
      <xdr:rowOff>15875</xdr:rowOff>
    </xdr:to>
    <xdr:sp macro="" textlink="">
      <xdr:nvSpPr>
        <xdr:cNvPr id="638" name="AutoShape 370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rrowheads="1"/>
        </xdr:cNvSpPr>
      </xdr:nvSpPr>
      <xdr:spPr>
        <a:xfrm>
          <a:off x="67056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45" name="AutoShape 370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47" name="AutoShape 370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176</xdr:row>
      <xdr:rowOff>0</xdr:rowOff>
    </xdr:from>
    <xdr:to>
      <xdr:col>15</xdr:col>
      <xdr:colOff>31750</xdr:colOff>
      <xdr:row>178</xdr:row>
      <xdr:rowOff>15875</xdr:rowOff>
    </xdr:to>
    <xdr:sp macro="" textlink="">
      <xdr:nvSpPr>
        <xdr:cNvPr id="648" name="AutoShape 370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rrowheads="1"/>
        </xdr:cNvSpPr>
      </xdr:nvSpPr>
      <xdr:spPr>
        <a:xfrm>
          <a:off x="67056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176</xdr:row>
      <xdr:rowOff>10584</xdr:rowOff>
    </xdr:from>
    <xdr:to>
      <xdr:col>5</xdr:col>
      <xdr:colOff>7936</xdr:colOff>
      <xdr:row>178</xdr:row>
      <xdr:rowOff>2381</xdr:rowOff>
    </xdr:to>
    <xdr:sp macro="" textlink="">
      <xdr:nvSpPr>
        <xdr:cNvPr id="655" name="AutoShape 370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rrowheads="1"/>
        </xdr:cNvSpPr>
      </xdr:nvSpPr>
      <xdr:spPr>
        <a:xfrm flipH="1">
          <a:off x="617801" y="41200917"/>
          <a:ext cx="617802" cy="4362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56" name="AutoShape 370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58" name="AutoShape 370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176</xdr:row>
      <xdr:rowOff>0</xdr:rowOff>
    </xdr:from>
    <xdr:to>
      <xdr:col>15</xdr:col>
      <xdr:colOff>31750</xdr:colOff>
      <xdr:row>178</xdr:row>
      <xdr:rowOff>15875</xdr:rowOff>
    </xdr:to>
    <xdr:sp macro="" textlink="">
      <xdr:nvSpPr>
        <xdr:cNvPr id="659" name="AutoShape 370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rrowheads="1"/>
        </xdr:cNvSpPr>
      </xdr:nvSpPr>
      <xdr:spPr>
        <a:xfrm>
          <a:off x="67056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11905</xdr:colOff>
      <xdr:row>176</xdr:row>
      <xdr:rowOff>-1</xdr:rowOff>
    </xdr:from>
    <xdr:to>
      <xdr:col>7</xdr:col>
      <xdr:colOff>11902</xdr:colOff>
      <xdr:row>177</xdr:row>
      <xdr:rowOff>365124</xdr:rowOff>
    </xdr:to>
    <xdr:sp macro="" textlink="">
      <xdr:nvSpPr>
        <xdr:cNvPr id="666" name="AutoShape 370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rrowheads="1"/>
        </xdr:cNvSpPr>
      </xdr:nvSpPr>
      <xdr:spPr>
        <a:xfrm flipH="1">
          <a:off x="3345655" y="66738499"/>
          <a:ext cx="1111247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67" name="AutoShape 370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69" name="AutoShape 370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19</xdr:col>
      <xdr:colOff>1095375</xdr:colOff>
      <xdr:row>175</xdr:row>
      <xdr:rowOff>333374</xdr:rowOff>
    </xdr:from>
    <xdr:to>
      <xdr:col>21</xdr:col>
      <xdr:colOff>15875</xdr:colOff>
      <xdr:row>178</xdr:row>
      <xdr:rowOff>31749</xdr:rowOff>
    </xdr:to>
    <xdr:sp macro="" textlink="">
      <xdr:nvSpPr>
        <xdr:cNvPr id="673" name="AutoShape 370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rrowheads="1"/>
        </xdr:cNvSpPr>
      </xdr:nvSpPr>
      <xdr:spPr>
        <a:xfrm>
          <a:off x="19081750" y="34655124"/>
          <a:ext cx="1143000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77" name="AutoShape 370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79" name="AutoShape 370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87" name="AutoShape 370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89" name="AutoShape 37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697" name="AutoShape 370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698" name="AutoShape 370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706" name="AutoShape 370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707" name="AutoShape 370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31750</xdr:colOff>
      <xdr:row>178</xdr:row>
      <xdr:rowOff>15875</xdr:rowOff>
    </xdr:to>
    <xdr:sp macro="" textlink="">
      <xdr:nvSpPr>
        <xdr:cNvPr id="715" name="AutoShape 370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rrowheads="1"/>
        </xdr:cNvSpPr>
      </xdr:nvSpPr>
      <xdr:spPr>
        <a:xfrm>
          <a:off x="30480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1079500</xdr:colOff>
      <xdr:row>175</xdr:row>
      <xdr:rowOff>365125</xdr:rowOff>
    </xdr:from>
    <xdr:to>
      <xdr:col>11</xdr:col>
      <xdr:colOff>15875</xdr:colOff>
      <xdr:row>178</xdr:row>
      <xdr:rowOff>0</xdr:rowOff>
    </xdr:to>
    <xdr:sp macro="" textlink="">
      <xdr:nvSpPr>
        <xdr:cNvPr id="716" name="AutoShape 370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rrowheads="1"/>
        </xdr:cNvSpPr>
      </xdr:nvSpPr>
      <xdr:spPr>
        <a:xfrm>
          <a:off x="7651750" y="32019875"/>
          <a:ext cx="1127125" cy="682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31750</xdr:colOff>
      <xdr:row>178</xdr:row>
      <xdr:rowOff>15875</xdr:rowOff>
    </xdr:to>
    <xdr:sp macro="" textlink="">
      <xdr:nvSpPr>
        <xdr:cNvPr id="717" name="AutoShape 370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rrowheads="1"/>
        </xdr:cNvSpPr>
      </xdr:nvSpPr>
      <xdr:spPr>
        <a:xfrm>
          <a:off x="5486400" y="2313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25" name="AutoShape 370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26" name="AutoShape 370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27" name="AutoShape 370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28" name="AutoShape 370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29" name="AutoShape 370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30" name="AutoShape 370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194</xdr:row>
      <xdr:rowOff>317500</xdr:rowOff>
    </xdr:from>
    <xdr:to>
      <xdr:col>21</xdr:col>
      <xdr:colOff>31750</xdr:colOff>
      <xdr:row>196</xdr:row>
      <xdr:rowOff>365125</xdr:rowOff>
    </xdr:to>
    <xdr:sp macro="" textlink="">
      <xdr:nvSpPr>
        <xdr:cNvPr id="731" name="AutoShape 370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rrowheads="1"/>
        </xdr:cNvSpPr>
      </xdr:nvSpPr>
      <xdr:spPr>
        <a:xfrm>
          <a:off x="18891250" y="74295000"/>
          <a:ext cx="1143000" cy="809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12212</xdr:colOff>
      <xdr:row>195</xdr:row>
      <xdr:rowOff>0</xdr:rowOff>
    </xdr:from>
    <xdr:to>
      <xdr:col>23</xdr:col>
      <xdr:colOff>18562</xdr:colOff>
      <xdr:row>196</xdr:row>
      <xdr:rowOff>365125</xdr:rowOff>
    </xdr:to>
    <xdr:sp macro="" textlink="">
      <xdr:nvSpPr>
        <xdr:cNvPr id="732" name="AutoShape 370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rrowheads="1"/>
        </xdr:cNvSpPr>
      </xdr:nvSpPr>
      <xdr:spPr>
        <a:xfrm>
          <a:off x="21125962" y="74358500"/>
          <a:ext cx="1117600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34" name="AutoShape 370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35" name="AutoShape 370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36" name="AutoShape 370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37" name="AutoShape 370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38" name="AutoShape 370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39" name="AutoShape 370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40" name="AutoShape 370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44" name="AutoShape 370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45" name="AutoShape 370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46" name="AutoShape 370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47" name="AutoShape 370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48" name="AutoShape 370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49" name="AutoShape 370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50" name="AutoShape 370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54" name="AutoShape 370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55" name="AutoShape 370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56" name="AutoShape 370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57" name="AutoShape 370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58" name="AutoShape 370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59" name="AutoShape 370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60" name="AutoShape 370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64" name="AutoShape 370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195</xdr:row>
      <xdr:rowOff>15875</xdr:rowOff>
    </xdr:from>
    <xdr:to>
      <xdr:col>5</xdr:col>
      <xdr:colOff>7936</xdr:colOff>
      <xdr:row>197</xdr:row>
      <xdr:rowOff>2381</xdr:rowOff>
    </xdr:to>
    <xdr:sp macro="" textlink="">
      <xdr:nvSpPr>
        <xdr:cNvPr id="765" name="AutoShape 370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rrowheads="1"/>
        </xdr:cNvSpPr>
      </xdr:nvSpPr>
      <xdr:spPr>
        <a:xfrm flipH="1">
          <a:off x="1115218" y="74374375"/>
          <a:ext cx="1115218" cy="7485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66" name="AutoShape 370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67" name="AutoShape 370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68" name="AutoShape 370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69" name="AutoShape 370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70" name="AutoShape 370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71" name="AutoShape 370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75" name="AutoShape 370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11905</xdr:colOff>
      <xdr:row>194</xdr:row>
      <xdr:rowOff>333375</xdr:rowOff>
    </xdr:from>
    <xdr:to>
      <xdr:col>7</xdr:col>
      <xdr:colOff>11902</xdr:colOff>
      <xdr:row>196</xdr:row>
      <xdr:rowOff>357188</xdr:rowOff>
    </xdr:to>
    <xdr:sp macro="" textlink="">
      <xdr:nvSpPr>
        <xdr:cNvPr id="776" name="AutoShape 370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rrowheads="1"/>
        </xdr:cNvSpPr>
      </xdr:nvSpPr>
      <xdr:spPr>
        <a:xfrm flipH="1">
          <a:off x="3345655" y="74310875"/>
          <a:ext cx="1111247" cy="785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77" name="AutoShape 370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78" name="AutoShape 370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79" name="AutoShape 370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80" name="AutoShape 370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81" name="AutoShape 370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82" name="AutoShape 370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86" name="AutoShape 370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87" name="AutoShape 370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88" name="AutoShape 370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89" name="AutoShape 370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790" name="AutoShape 370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791" name="AutoShape 370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792" name="AutoShape 370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796" name="AutoShape 370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797" name="AutoShape 370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798" name="AutoShape 370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799" name="AutoShape 370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800" name="AutoShape 370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801" name="AutoShape 370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802" name="AutoShape 370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806" name="AutoShape 370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807" name="AutoShape 37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808" name="AutoShape 370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809" name="AutoShape 370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810" name="AutoShape 370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811" name="AutoShape 370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815" name="AutoShape 370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816" name="AutoShape 370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817" name="AutoShape 370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818" name="AutoShape 370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819" name="AutoShape 37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820" name="AutoShape 370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301624</xdr:rowOff>
    </xdr:from>
    <xdr:to>
      <xdr:col>25</xdr:col>
      <xdr:colOff>0</xdr:colOff>
      <xdr:row>197</xdr:row>
      <xdr:rowOff>17317</xdr:rowOff>
    </xdr:to>
    <xdr:sp macro="" textlink="">
      <xdr:nvSpPr>
        <xdr:cNvPr id="824" name="AutoShape 370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rrowheads="1"/>
        </xdr:cNvSpPr>
      </xdr:nvSpPr>
      <xdr:spPr>
        <a:xfrm>
          <a:off x="12875895" y="253555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31750</xdr:colOff>
      <xdr:row>197</xdr:row>
      <xdr:rowOff>15875</xdr:rowOff>
    </xdr:to>
    <xdr:sp macro="" textlink="">
      <xdr:nvSpPr>
        <xdr:cNvPr id="825" name="AutoShape 37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rrowheads="1"/>
        </xdr:cNvSpPr>
      </xdr:nvSpPr>
      <xdr:spPr>
        <a:xfrm>
          <a:off x="3048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31750</xdr:colOff>
      <xdr:row>197</xdr:row>
      <xdr:rowOff>15875</xdr:rowOff>
    </xdr:to>
    <xdr:sp macro="" textlink="">
      <xdr:nvSpPr>
        <xdr:cNvPr id="826" name="AutoShape 370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rrowheads="1"/>
        </xdr:cNvSpPr>
      </xdr:nvSpPr>
      <xdr:spPr>
        <a:xfrm>
          <a:off x="4267200" y="2535555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31750</xdr:colOff>
      <xdr:row>197</xdr:row>
      <xdr:rowOff>15875</xdr:rowOff>
    </xdr:to>
    <xdr:sp macro="" textlink="">
      <xdr:nvSpPr>
        <xdr:cNvPr id="827" name="AutoShape 370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rrowheads="1"/>
        </xdr:cNvSpPr>
      </xdr:nvSpPr>
      <xdr:spPr>
        <a:xfrm>
          <a:off x="54864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195</xdr:row>
      <xdr:rowOff>0</xdr:rowOff>
    </xdr:from>
    <xdr:to>
      <xdr:col>15</xdr:col>
      <xdr:colOff>31750</xdr:colOff>
      <xdr:row>197</xdr:row>
      <xdr:rowOff>15875</xdr:rowOff>
    </xdr:to>
    <xdr:sp macro="" textlink="">
      <xdr:nvSpPr>
        <xdr:cNvPr id="828" name="AutoShape 370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rrowheads="1"/>
        </xdr:cNvSpPr>
      </xdr:nvSpPr>
      <xdr:spPr>
        <a:xfrm>
          <a:off x="67056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17</xdr:col>
      <xdr:colOff>31750</xdr:colOff>
      <xdr:row>197</xdr:row>
      <xdr:rowOff>15875</xdr:rowOff>
    </xdr:to>
    <xdr:sp macro="" textlink="">
      <xdr:nvSpPr>
        <xdr:cNvPr id="829" name="AutoShape 370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rrowheads="1"/>
        </xdr:cNvSpPr>
      </xdr:nvSpPr>
      <xdr:spPr>
        <a:xfrm>
          <a:off x="7924800" y="253555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31750</xdr:colOff>
      <xdr:row>197</xdr:row>
      <xdr:rowOff>15875</xdr:rowOff>
    </xdr:to>
    <xdr:sp macro="" textlink="">
      <xdr:nvSpPr>
        <xdr:cNvPr id="830" name="AutoShape 370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rrowheads="1"/>
        </xdr:cNvSpPr>
      </xdr:nvSpPr>
      <xdr:spPr>
        <a:xfrm>
          <a:off x="9144000" y="253555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11906</xdr:colOff>
      <xdr:row>216</xdr:row>
      <xdr:rowOff>7343</xdr:rowOff>
    </xdr:from>
    <xdr:to>
      <xdr:col>3</xdr:col>
      <xdr:colOff>14882</xdr:colOff>
      <xdr:row>217</xdr:row>
      <xdr:rowOff>365125</xdr:rowOff>
    </xdr:to>
    <xdr:sp macro="" textlink="">
      <xdr:nvSpPr>
        <xdr:cNvPr id="833" name="AutoShape 370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rrowheads="1"/>
        </xdr:cNvSpPr>
      </xdr:nvSpPr>
      <xdr:spPr>
        <a:xfrm>
          <a:off x="25570656" y="74365843"/>
          <a:ext cx="1114226" cy="7387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194</xdr:row>
      <xdr:rowOff>349250</xdr:rowOff>
    </xdr:from>
    <xdr:to>
      <xdr:col>25</xdr:col>
      <xdr:colOff>0</xdr:colOff>
      <xdr:row>197</xdr:row>
      <xdr:rowOff>17317</xdr:rowOff>
    </xdr:to>
    <xdr:sp macro="" textlink="">
      <xdr:nvSpPr>
        <xdr:cNvPr id="834" name="AutoShape 370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rrowheads="1"/>
        </xdr:cNvSpPr>
      </xdr:nvSpPr>
      <xdr:spPr>
        <a:xfrm>
          <a:off x="23353568" y="74326750"/>
          <a:ext cx="1093932" cy="8110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35" name="AutoShape 370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216</xdr:row>
      <xdr:rowOff>6351</xdr:rowOff>
    </xdr:from>
    <xdr:to>
      <xdr:col>13</xdr:col>
      <xdr:colOff>19050</xdr:colOff>
      <xdr:row>218</xdr:row>
      <xdr:rowOff>15875</xdr:rowOff>
    </xdr:to>
    <xdr:sp macro="" textlink="">
      <xdr:nvSpPr>
        <xdr:cNvPr id="837" name="AutoShape 370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rrowheads="1"/>
        </xdr:cNvSpPr>
      </xdr:nvSpPr>
      <xdr:spPr>
        <a:xfrm>
          <a:off x="6088063" y="17183101"/>
          <a:ext cx="566737" cy="29527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38" name="AutoShape 370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39" name="AutoShape 370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40" name="AutoShape 370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216</xdr:row>
      <xdr:rowOff>0</xdr:rowOff>
    </xdr:from>
    <xdr:to>
      <xdr:col>21</xdr:col>
      <xdr:colOff>31750</xdr:colOff>
      <xdr:row>218</xdr:row>
      <xdr:rowOff>0</xdr:rowOff>
    </xdr:to>
    <xdr:sp macro="" textlink="">
      <xdr:nvSpPr>
        <xdr:cNvPr id="841" name="AutoShape 370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rrowheads="1"/>
        </xdr:cNvSpPr>
      </xdr:nvSpPr>
      <xdr:spPr>
        <a:xfrm>
          <a:off x="16033750" y="32115125"/>
          <a:ext cx="984250" cy="5397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12212</xdr:colOff>
      <xdr:row>216</xdr:row>
      <xdr:rowOff>0</xdr:rowOff>
    </xdr:from>
    <xdr:to>
      <xdr:col>23</xdr:col>
      <xdr:colOff>18562</xdr:colOff>
      <xdr:row>218</xdr:row>
      <xdr:rowOff>0</xdr:rowOff>
    </xdr:to>
    <xdr:sp macro="" textlink="">
      <xdr:nvSpPr>
        <xdr:cNvPr id="842" name="AutoShape 370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rrowheads="1"/>
        </xdr:cNvSpPr>
      </xdr:nvSpPr>
      <xdr:spPr>
        <a:xfrm>
          <a:off x="21125962" y="81978500"/>
          <a:ext cx="1117600" cy="762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236</xdr:row>
      <xdr:rowOff>7343</xdr:rowOff>
    </xdr:from>
    <xdr:to>
      <xdr:col>3</xdr:col>
      <xdr:colOff>14882</xdr:colOff>
      <xdr:row>238</xdr:row>
      <xdr:rowOff>4962</xdr:rowOff>
    </xdr:to>
    <xdr:sp macro="" textlink="">
      <xdr:nvSpPr>
        <xdr:cNvPr id="843" name="AutoShape 370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rrowheads="1"/>
        </xdr:cNvSpPr>
      </xdr:nvSpPr>
      <xdr:spPr>
        <a:xfrm>
          <a:off x="14200505" y="275850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44" name="AutoShape 370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45" name="AutoShape 370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48" name="AutoShape 370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49" name="AutoShape 370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50" name="AutoShape 370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236</xdr:row>
      <xdr:rowOff>7343</xdr:rowOff>
    </xdr:from>
    <xdr:to>
      <xdr:col>3</xdr:col>
      <xdr:colOff>14882</xdr:colOff>
      <xdr:row>238</xdr:row>
      <xdr:rowOff>4962</xdr:rowOff>
    </xdr:to>
    <xdr:sp macro="" textlink="">
      <xdr:nvSpPr>
        <xdr:cNvPr id="853" name="AutoShape 370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rrowheads="1"/>
        </xdr:cNvSpPr>
      </xdr:nvSpPr>
      <xdr:spPr>
        <a:xfrm>
          <a:off x="14200505" y="2758503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54" name="AutoShape 370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55" name="AutoShape 370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58" name="AutoShape 370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59" name="AutoShape 370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60" name="AutoShape 370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236</xdr:row>
      <xdr:rowOff>15281</xdr:rowOff>
    </xdr:from>
    <xdr:to>
      <xdr:col>3</xdr:col>
      <xdr:colOff>14882</xdr:colOff>
      <xdr:row>238</xdr:row>
      <xdr:rowOff>12900</xdr:rowOff>
    </xdr:to>
    <xdr:sp macro="" textlink="">
      <xdr:nvSpPr>
        <xdr:cNvPr id="863" name="AutoShape 370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rrowheads="1"/>
        </xdr:cNvSpPr>
      </xdr:nvSpPr>
      <xdr:spPr>
        <a:xfrm>
          <a:off x="14200505" y="27593290"/>
          <a:ext cx="603250" cy="44196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64" name="AutoShape 370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65" name="AutoShape 370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68" name="AutoShape 370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69" name="AutoShape 370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70" name="AutoShape 370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73" name="AutoShape 370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216</xdr:row>
      <xdr:rowOff>0</xdr:rowOff>
    </xdr:from>
    <xdr:to>
      <xdr:col>5</xdr:col>
      <xdr:colOff>7936</xdr:colOff>
      <xdr:row>218</xdr:row>
      <xdr:rowOff>0</xdr:rowOff>
    </xdr:to>
    <xdr:sp macro="" textlink="">
      <xdr:nvSpPr>
        <xdr:cNvPr id="874" name="AutoShape 370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rrowheads="1"/>
        </xdr:cNvSpPr>
      </xdr:nvSpPr>
      <xdr:spPr>
        <a:xfrm flipH="1">
          <a:off x="797718" y="32115125"/>
          <a:ext cx="956468" cy="53975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75" name="AutoShape 370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78" name="AutoShape 370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79" name="AutoShape 370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80" name="AutoShape 370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83" name="AutoShape 370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11904</xdr:colOff>
      <xdr:row>216</xdr:row>
      <xdr:rowOff>-1</xdr:rowOff>
    </xdr:from>
    <xdr:to>
      <xdr:col>7</xdr:col>
      <xdr:colOff>11901</xdr:colOff>
      <xdr:row>218</xdr:row>
      <xdr:rowOff>0</xdr:rowOff>
    </xdr:to>
    <xdr:sp macro="" textlink="">
      <xdr:nvSpPr>
        <xdr:cNvPr id="884" name="AutoShape 370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rrowheads="1"/>
        </xdr:cNvSpPr>
      </xdr:nvSpPr>
      <xdr:spPr>
        <a:xfrm flipH="1">
          <a:off x="3345654" y="81978499"/>
          <a:ext cx="1111247" cy="762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85" name="AutoShape 370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88" name="AutoShape 370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89" name="AutoShape 370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90" name="AutoShape 370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893" name="AutoShape 370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894" name="AutoShape 370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897" name="AutoShape 370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898" name="AutoShape 370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899" name="AutoShape 370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902" name="AutoShape 370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903" name="AutoShape 370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906" name="AutoShape 370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907" name="AutoShape 370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908" name="AutoShape 370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911" name="AutoShape 370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912" name="AutoShape 370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914" name="AutoShape 370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915" name="AutoShape 370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916" name="AutoShape 370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919" name="AutoShape 370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0</xdr:rowOff>
    </xdr:from>
    <xdr:to>
      <xdr:col>9</xdr:col>
      <xdr:colOff>31750</xdr:colOff>
      <xdr:row>218</xdr:row>
      <xdr:rowOff>15875</xdr:rowOff>
    </xdr:to>
    <xdr:sp macro="" textlink="">
      <xdr:nvSpPr>
        <xdr:cNvPr id="920" name="AutoShape 370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rrowheads="1"/>
        </xdr:cNvSpPr>
      </xdr:nvSpPr>
      <xdr:spPr>
        <a:xfrm>
          <a:off x="3048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31750</xdr:colOff>
      <xdr:row>218</xdr:row>
      <xdr:rowOff>15875</xdr:rowOff>
    </xdr:to>
    <xdr:sp macro="" textlink="">
      <xdr:nvSpPr>
        <xdr:cNvPr id="922" name="AutoShape 370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rrowheads="1"/>
        </xdr:cNvSpPr>
      </xdr:nvSpPr>
      <xdr:spPr>
        <a:xfrm>
          <a:off x="67056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923" name="AutoShape 370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924" name="AutoShape 370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927" name="AutoShape 370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216</xdr:row>
      <xdr:rowOff>1</xdr:rowOff>
    </xdr:from>
    <xdr:to>
      <xdr:col>9</xdr:col>
      <xdr:colOff>31750</xdr:colOff>
      <xdr:row>218</xdr:row>
      <xdr:rowOff>15875</xdr:rowOff>
    </xdr:to>
    <xdr:sp macro="" textlink="">
      <xdr:nvSpPr>
        <xdr:cNvPr id="928" name="AutoShape 370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rrowheads="1"/>
        </xdr:cNvSpPr>
      </xdr:nvSpPr>
      <xdr:spPr>
        <a:xfrm>
          <a:off x="4603750" y="32115126"/>
          <a:ext cx="984250" cy="5556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216</xdr:row>
      <xdr:rowOff>0</xdr:rowOff>
    </xdr:from>
    <xdr:to>
      <xdr:col>11</xdr:col>
      <xdr:colOff>31750</xdr:colOff>
      <xdr:row>218</xdr:row>
      <xdr:rowOff>-1</xdr:rowOff>
    </xdr:to>
    <xdr:sp macro="" textlink="">
      <xdr:nvSpPr>
        <xdr:cNvPr id="929" name="AutoShape 370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rrowheads="1"/>
        </xdr:cNvSpPr>
      </xdr:nvSpPr>
      <xdr:spPr>
        <a:xfrm>
          <a:off x="6508750" y="32115125"/>
          <a:ext cx="984250" cy="539749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216</xdr:row>
      <xdr:rowOff>0</xdr:rowOff>
    </xdr:from>
    <xdr:to>
      <xdr:col>17</xdr:col>
      <xdr:colOff>31750</xdr:colOff>
      <xdr:row>218</xdr:row>
      <xdr:rowOff>15875</xdr:rowOff>
    </xdr:to>
    <xdr:sp macro="" textlink="">
      <xdr:nvSpPr>
        <xdr:cNvPr id="932" name="AutoShape 370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rrowheads="1"/>
        </xdr:cNvSpPr>
      </xdr:nvSpPr>
      <xdr:spPr>
        <a:xfrm>
          <a:off x="79248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31750</xdr:colOff>
      <xdr:row>218</xdr:row>
      <xdr:rowOff>15875</xdr:rowOff>
    </xdr:to>
    <xdr:sp macro="" textlink="">
      <xdr:nvSpPr>
        <xdr:cNvPr id="933" name="AutoShape 370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rrowheads="1"/>
        </xdr:cNvSpPr>
      </xdr:nvSpPr>
      <xdr:spPr>
        <a:xfrm>
          <a:off x="9144000" y="27578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216</xdr:row>
      <xdr:rowOff>0</xdr:rowOff>
    </xdr:from>
    <xdr:to>
      <xdr:col>25</xdr:col>
      <xdr:colOff>0</xdr:colOff>
      <xdr:row>218</xdr:row>
      <xdr:rowOff>17317</xdr:rowOff>
    </xdr:to>
    <xdr:sp macro="" textlink="">
      <xdr:nvSpPr>
        <xdr:cNvPr id="936" name="AutoShape 370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rrowheads="1"/>
        </xdr:cNvSpPr>
      </xdr:nvSpPr>
      <xdr:spPr>
        <a:xfrm>
          <a:off x="12875895" y="27578050"/>
          <a:ext cx="694055" cy="46164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37" name="AutoShape 370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938" name="AutoShape 370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39" name="AutoShape 370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40" name="AutoShape 370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41" name="AutoShape 370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42" name="AutoShape 370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-1</xdr:colOff>
      <xdr:row>236</xdr:row>
      <xdr:rowOff>0</xdr:rowOff>
    </xdr:from>
    <xdr:to>
      <xdr:col>20</xdr:col>
      <xdr:colOff>547686</xdr:colOff>
      <xdr:row>237</xdr:row>
      <xdr:rowOff>127000</xdr:rowOff>
    </xdr:to>
    <xdr:sp macro="" textlink="">
      <xdr:nvSpPr>
        <xdr:cNvPr id="943" name="AutoShape 370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rrowheads="1"/>
        </xdr:cNvSpPr>
      </xdr:nvSpPr>
      <xdr:spPr>
        <a:xfrm>
          <a:off x="10469562" y="18605500"/>
          <a:ext cx="547687" cy="269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12212</xdr:colOff>
      <xdr:row>236</xdr:row>
      <xdr:rowOff>0</xdr:rowOff>
    </xdr:from>
    <xdr:to>
      <xdr:col>23</xdr:col>
      <xdr:colOff>18562</xdr:colOff>
      <xdr:row>237</xdr:row>
      <xdr:rowOff>365125</xdr:rowOff>
    </xdr:to>
    <xdr:sp macro="" textlink="">
      <xdr:nvSpPr>
        <xdr:cNvPr id="944" name="AutoShape 370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rrowheads="1"/>
        </xdr:cNvSpPr>
      </xdr:nvSpPr>
      <xdr:spPr>
        <a:xfrm>
          <a:off x="21125962" y="89217500"/>
          <a:ext cx="1117600" cy="7461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45" name="AutoShape 370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235</xdr:row>
      <xdr:rowOff>301624</xdr:rowOff>
    </xdr:from>
    <xdr:to>
      <xdr:col>25</xdr:col>
      <xdr:colOff>0</xdr:colOff>
      <xdr:row>238</xdr:row>
      <xdr:rowOff>17317</xdr:rowOff>
    </xdr:to>
    <xdr:sp macro="" textlink="">
      <xdr:nvSpPr>
        <xdr:cNvPr id="946" name="AutoShape 370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rrowheads="1"/>
        </xdr:cNvSpPr>
      </xdr:nvSpPr>
      <xdr:spPr>
        <a:xfrm>
          <a:off x="12875895" y="295783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47" name="AutoShape 370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948" name="AutoShape 370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49" name="AutoShape 370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50" name="AutoShape 370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51" name="AutoShape 370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52" name="AutoShape 370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55" name="AutoShape 370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235</xdr:row>
      <xdr:rowOff>301624</xdr:rowOff>
    </xdr:from>
    <xdr:to>
      <xdr:col>25</xdr:col>
      <xdr:colOff>0</xdr:colOff>
      <xdr:row>238</xdr:row>
      <xdr:rowOff>17317</xdr:rowOff>
    </xdr:to>
    <xdr:sp macro="" textlink="">
      <xdr:nvSpPr>
        <xdr:cNvPr id="956" name="AutoShape 370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rrowheads="1"/>
        </xdr:cNvSpPr>
      </xdr:nvSpPr>
      <xdr:spPr>
        <a:xfrm>
          <a:off x="12875895" y="295783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57" name="AutoShape 370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958" name="AutoShape 370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59" name="AutoShape 370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60" name="AutoShape 37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61" name="AutoShape 370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62" name="AutoShape 370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65" name="AutoShape 370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235</xdr:row>
      <xdr:rowOff>301624</xdr:rowOff>
    </xdr:from>
    <xdr:to>
      <xdr:col>25</xdr:col>
      <xdr:colOff>0</xdr:colOff>
      <xdr:row>238</xdr:row>
      <xdr:rowOff>17317</xdr:rowOff>
    </xdr:to>
    <xdr:sp macro="" textlink="">
      <xdr:nvSpPr>
        <xdr:cNvPr id="966" name="AutoShape 37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rrowheads="1"/>
        </xdr:cNvSpPr>
      </xdr:nvSpPr>
      <xdr:spPr>
        <a:xfrm>
          <a:off x="12875895" y="295783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67" name="AutoShape 370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968" name="AutoShape 370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69" name="AutoShape 370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70" name="AutoShape 370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71" name="AutoShape 370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72" name="AutoShape 37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75" name="AutoShape 370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17318</xdr:colOff>
      <xdr:row>235</xdr:row>
      <xdr:rowOff>301624</xdr:rowOff>
    </xdr:from>
    <xdr:to>
      <xdr:col>25</xdr:col>
      <xdr:colOff>0</xdr:colOff>
      <xdr:row>238</xdr:row>
      <xdr:rowOff>17317</xdr:rowOff>
    </xdr:to>
    <xdr:sp macro="" textlink="">
      <xdr:nvSpPr>
        <xdr:cNvPr id="976" name="AutoShape 37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rrowheads="1"/>
        </xdr:cNvSpPr>
      </xdr:nvSpPr>
      <xdr:spPr>
        <a:xfrm>
          <a:off x="12875895" y="29578300"/>
          <a:ext cx="694055" cy="46164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3968</xdr:colOff>
      <xdr:row>235</xdr:row>
      <xdr:rowOff>301625</xdr:rowOff>
    </xdr:from>
    <xdr:to>
      <xdr:col>5</xdr:col>
      <xdr:colOff>7936</xdr:colOff>
      <xdr:row>237</xdr:row>
      <xdr:rowOff>319881</xdr:rowOff>
    </xdr:to>
    <xdr:sp macro="" textlink="">
      <xdr:nvSpPr>
        <xdr:cNvPr id="977" name="AutoShape 370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rrowheads="1"/>
        </xdr:cNvSpPr>
      </xdr:nvSpPr>
      <xdr:spPr>
        <a:xfrm flipH="1">
          <a:off x="1115218" y="44338875"/>
          <a:ext cx="1115218" cy="6850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r>
            <a:rPr lang="en-IN"/>
            <a:t>	</a:t>
          </a:r>
        </a:p>
      </xdr:txBody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78" name="AutoShape 370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979" name="AutoShape 370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80" name="AutoShape 370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81" name="AutoShape 370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82" name="AutoShape 370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83" name="AutoShape 370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86" name="AutoShape 370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11904</xdr:colOff>
      <xdr:row>235</xdr:row>
      <xdr:rowOff>285750</xdr:rowOff>
    </xdr:from>
    <xdr:to>
      <xdr:col>7</xdr:col>
      <xdr:colOff>11901</xdr:colOff>
      <xdr:row>238</xdr:row>
      <xdr:rowOff>0</xdr:rowOff>
    </xdr:to>
    <xdr:sp macro="" textlink="">
      <xdr:nvSpPr>
        <xdr:cNvPr id="988" name="AutoShape 370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rrowheads="1"/>
        </xdr:cNvSpPr>
      </xdr:nvSpPr>
      <xdr:spPr>
        <a:xfrm flipH="1">
          <a:off x="3345654" y="89122250"/>
          <a:ext cx="1111247" cy="8572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89" name="AutoShape 370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991" name="AutoShape 370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992" name="AutoShape 370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993" name="AutoShape 370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994" name="AutoShape 370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997" name="AutoShape 370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999" name="AutoShape 370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1001" name="AutoShape 370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1002" name="AutoShape 370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1003" name="AutoShape 370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1004" name="AutoShape 370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1007" name="AutoShape 370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1009" name="AutoShape 370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1011" name="AutoShape 370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1012" name="AutoShape 370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1013" name="AutoShape 370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1014" name="AutoShape 370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1017" name="AutoShape 370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1019" name="AutoShape 370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1020" name="AutoShape 370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1021" name="AutoShape 370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1022" name="AutoShape 370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1023" name="AutoShape 370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1026" name="AutoShape 370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236</xdr:row>
      <xdr:rowOff>0</xdr:rowOff>
    </xdr:from>
    <xdr:to>
      <xdr:col>9</xdr:col>
      <xdr:colOff>31750</xdr:colOff>
      <xdr:row>238</xdr:row>
      <xdr:rowOff>15875</xdr:rowOff>
    </xdr:to>
    <xdr:sp macro="" textlink="">
      <xdr:nvSpPr>
        <xdr:cNvPr id="1028" name="AutoShape 370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rrowheads="1"/>
        </xdr:cNvSpPr>
      </xdr:nvSpPr>
      <xdr:spPr>
        <a:xfrm>
          <a:off x="30480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1029" name="AutoShape 370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1030" name="AutoShape 370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236</xdr:row>
      <xdr:rowOff>0</xdr:rowOff>
    </xdr:from>
    <xdr:to>
      <xdr:col>17</xdr:col>
      <xdr:colOff>31750</xdr:colOff>
      <xdr:row>238</xdr:row>
      <xdr:rowOff>15875</xdr:rowOff>
    </xdr:to>
    <xdr:sp macro="" textlink="">
      <xdr:nvSpPr>
        <xdr:cNvPr id="1031" name="AutoShape 370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rrowheads="1"/>
        </xdr:cNvSpPr>
      </xdr:nvSpPr>
      <xdr:spPr>
        <a:xfrm>
          <a:off x="79248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1032" name="AutoShape 370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258</xdr:row>
      <xdr:rowOff>7343</xdr:rowOff>
    </xdr:from>
    <xdr:to>
      <xdr:col>3</xdr:col>
      <xdr:colOff>14882</xdr:colOff>
      <xdr:row>260</xdr:row>
      <xdr:rowOff>4962</xdr:rowOff>
    </xdr:to>
    <xdr:sp macro="" textlink="">
      <xdr:nvSpPr>
        <xdr:cNvPr id="1035" name="AutoShape 370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rrowheads="1"/>
        </xdr:cNvSpPr>
      </xdr:nvSpPr>
      <xdr:spPr>
        <a:xfrm>
          <a:off x="14200505" y="29585285"/>
          <a:ext cx="603250" cy="44196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31750</xdr:colOff>
      <xdr:row>238</xdr:row>
      <xdr:rowOff>15875</xdr:rowOff>
    </xdr:to>
    <xdr:sp macro="" textlink="">
      <xdr:nvSpPr>
        <xdr:cNvPr id="1038" name="AutoShape 370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rrowheads="1"/>
        </xdr:cNvSpPr>
      </xdr:nvSpPr>
      <xdr:spPr>
        <a:xfrm>
          <a:off x="4267200" y="2957830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31750</xdr:colOff>
      <xdr:row>238</xdr:row>
      <xdr:rowOff>15875</xdr:rowOff>
    </xdr:to>
    <xdr:sp macro="" textlink="">
      <xdr:nvSpPr>
        <xdr:cNvPr id="1039" name="AutoShape 370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rrowheads="1"/>
        </xdr:cNvSpPr>
      </xdr:nvSpPr>
      <xdr:spPr>
        <a:xfrm>
          <a:off x="54864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15</xdr:col>
      <xdr:colOff>31750</xdr:colOff>
      <xdr:row>238</xdr:row>
      <xdr:rowOff>15875</xdr:rowOff>
    </xdr:to>
    <xdr:sp macro="" textlink="">
      <xdr:nvSpPr>
        <xdr:cNvPr id="1040" name="AutoShape 370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rrowheads="1"/>
        </xdr:cNvSpPr>
      </xdr:nvSpPr>
      <xdr:spPr>
        <a:xfrm>
          <a:off x="6705600" y="295783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31750</xdr:colOff>
      <xdr:row>238</xdr:row>
      <xdr:rowOff>15875</xdr:rowOff>
    </xdr:to>
    <xdr:sp macro="" textlink="">
      <xdr:nvSpPr>
        <xdr:cNvPr id="1042" name="AutoShape 370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rrowheads="1"/>
        </xdr:cNvSpPr>
      </xdr:nvSpPr>
      <xdr:spPr>
        <a:xfrm>
          <a:off x="9144000" y="295783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46" name="AutoShape 370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47" name="AutoShape 370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48" name="AutoShape 370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49" name="AutoShape 370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50" name="AutoShape 370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51" name="AutoShape 370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52" name="AutoShape 370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53" name="AutoShape 370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54" name="AutoShape 370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55" name="AutoShape 370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56" name="AutoShape 370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57" name="AutoShape 370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58" name="AutoShape 370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59" name="AutoShape 370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60" name="AutoShape 370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61" name="AutoShape 370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62" name="AutoShape 370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63" name="AutoShape 370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64" name="AutoShape 370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65" name="AutoShape 370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66" name="AutoShape 370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67" name="AutoShape 370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68" name="AutoShape 370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69" name="AutoShape 370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3968</xdr:colOff>
      <xdr:row>97</xdr:row>
      <xdr:rowOff>0</xdr:rowOff>
    </xdr:from>
    <xdr:to>
      <xdr:col>3</xdr:col>
      <xdr:colOff>7936</xdr:colOff>
      <xdr:row>99</xdr:row>
      <xdr:rowOff>2381</xdr:rowOff>
    </xdr:to>
    <xdr:sp macro="" textlink="">
      <xdr:nvSpPr>
        <xdr:cNvPr id="1070" name="AutoShape 370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rrowheads="1"/>
        </xdr:cNvSpPr>
      </xdr:nvSpPr>
      <xdr:spPr>
        <a:xfrm flipH="1">
          <a:off x="613410" y="14243050"/>
          <a:ext cx="613410" cy="446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71" name="AutoShape 3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72" name="AutoShape 370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73" name="AutoShape 370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74" name="AutoShape 370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75" name="AutoShape 370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76" name="AutoShape 370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11906</xdr:colOff>
      <xdr:row>97</xdr:row>
      <xdr:rowOff>2494</xdr:rowOff>
    </xdr:from>
    <xdr:to>
      <xdr:col>5</xdr:col>
      <xdr:colOff>11903</xdr:colOff>
      <xdr:row>99</xdr:row>
      <xdr:rowOff>21545</xdr:rowOff>
    </xdr:to>
    <xdr:sp macro="" textlink="">
      <xdr:nvSpPr>
        <xdr:cNvPr id="1077" name="AutoShape 370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rrowheads="1"/>
        </xdr:cNvSpPr>
      </xdr:nvSpPr>
      <xdr:spPr>
        <a:xfrm flipH="1">
          <a:off x="1840230" y="14244955"/>
          <a:ext cx="609600" cy="4635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78" name="AutoShape 370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79" name="AutoShape 370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80" name="AutoShape 370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81" name="AutoShape 370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82" name="AutoShape 370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83" name="AutoShape 370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84" name="AutoShape 37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85" name="AutoShape 370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86" name="AutoShape 370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87" name="AutoShape 370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88" name="AutoShape 370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89" name="AutoShape 370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90" name="AutoShape 37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091" name="AutoShape 370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92" name="AutoShape 370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93" name="AutoShape 370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94" name="AutoShape 370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095" name="AutoShape 370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096" name="AutoShape 37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097" name="AutoShape 370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098" name="AutoShape 370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31750</xdr:colOff>
      <xdr:row>99</xdr:row>
      <xdr:rowOff>15875</xdr:rowOff>
    </xdr:to>
    <xdr:sp macro="" textlink="">
      <xdr:nvSpPr>
        <xdr:cNvPr id="1099" name="AutoShape 370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rrowheads="1"/>
        </xdr:cNvSpPr>
      </xdr:nvSpPr>
      <xdr:spPr>
        <a:xfrm>
          <a:off x="10363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100" name="AutoShape 370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01" name="AutoShape 37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02" name="AutoShape 37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03" name="AutoShape 370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117</xdr:row>
      <xdr:rowOff>7343</xdr:rowOff>
    </xdr:from>
    <xdr:to>
      <xdr:col>3</xdr:col>
      <xdr:colOff>14882</xdr:colOff>
      <xdr:row>119</xdr:row>
      <xdr:rowOff>4962</xdr:rowOff>
    </xdr:to>
    <xdr:sp macro="" textlink="">
      <xdr:nvSpPr>
        <xdr:cNvPr id="1104" name="AutoShape 370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rrowheads="1"/>
        </xdr:cNvSpPr>
      </xdr:nvSpPr>
      <xdr:spPr>
        <a:xfrm>
          <a:off x="630555" y="166947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05" name="AutoShape 370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106" name="AutoShape 370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07" name="AutoShape 370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11906</xdr:rowOff>
    </xdr:from>
    <xdr:to>
      <xdr:col>15</xdr:col>
      <xdr:colOff>31750</xdr:colOff>
      <xdr:row>99</xdr:row>
      <xdr:rowOff>27781</xdr:rowOff>
    </xdr:to>
    <xdr:sp macro="" textlink="">
      <xdr:nvSpPr>
        <xdr:cNvPr id="1108" name="AutoShape 370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rrowheads="1"/>
        </xdr:cNvSpPr>
      </xdr:nvSpPr>
      <xdr:spPr>
        <a:xfrm>
          <a:off x="7924800" y="1425448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11906</xdr:colOff>
      <xdr:row>117</xdr:row>
      <xdr:rowOff>25485</xdr:rowOff>
    </xdr:from>
    <xdr:to>
      <xdr:col>3</xdr:col>
      <xdr:colOff>14882</xdr:colOff>
      <xdr:row>119</xdr:row>
      <xdr:rowOff>3401</xdr:rowOff>
    </xdr:to>
    <xdr:sp macro="" textlink="">
      <xdr:nvSpPr>
        <xdr:cNvPr id="1109" name="AutoShape 370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rrowheads="1"/>
        </xdr:cNvSpPr>
      </xdr:nvSpPr>
      <xdr:spPr>
        <a:xfrm>
          <a:off x="621030" y="16713200"/>
          <a:ext cx="612775" cy="4222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10" name="AutoShape 370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111" name="AutoShape 370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12" name="AutoShape 370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13" name="AutoShape 370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14" name="AutoShape 370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15" name="AutoShape 370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116" name="AutoShape 370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17" name="AutoShape 370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18" name="AutoShape 370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19" name="AutoShape 370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20" name="AutoShape 370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22" name="AutoShape 370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23" name="AutoShape 370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24" name="AutoShape 370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25" name="AutoShape 370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26" name="AutoShape 370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27" name="AutoShape 370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28" name="AutoShape 370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29" name="AutoShape 370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31750</xdr:colOff>
      <xdr:row>99</xdr:row>
      <xdr:rowOff>15875</xdr:rowOff>
    </xdr:to>
    <xdr:sp macro="" textlink="">
      <xdr:nvSpPr>
        <xdr:cNvPr id="1130" name="AutoShape 370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rrowheads="1"/>
        </xdr:cNvSpPr>
      </xdr:nvSpPr>
      <xdr:spPr>
        <a:xfrm>
          <a:off x="67056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31" name="AutoShape 37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32" name="AutoShape 370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33" name="AutoShape 370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34" name="AutoShape 370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35" name="AutoShape 370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31750</xdr:colOff>
      <xdr:row>99</xdr:row>
      <xdr:rowOff>15875</xdr:rowOff>
    </xdr:to>
    <xdr:sp macro="" textlink="">
      <xdr:nvSpPr>
        <xdr:cNvPr id="1136" name="AutoShape 370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rrowheads="1"/>
        </xdr:cNvSpPr>
      </xdr:nvSpPr>
      <xdr:spPr>
        <a:xfrm>
          <a:off x="3048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37" name="AutoShape 370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38" name="AutoShape 370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31750</xdr:colOff>
      <xdr:row>99</xdr:row>
      <xdr:rowOff>15875</xdr:rowOff>
    </xdr:to>
    <xdr:sp macro="" textlink="">
      <xdr:nvSpPr>
        <xdr:cNvPr id="1139" name="AutoShape 370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rrowheads="1"/>
        </xdr:cNvSpPr>
      </xdr:nvSpPr>
      <xdr:spPr>
        <a:xfrm>
          <a:off x="79248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40" name="AutoShape 370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41" name="AutoShape 370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1095375</xdr:colOff>
      <xdr:row>96</xdr:row>
      <xdr:rowOff>365125</xdr:rowOff>
    </xdr:from>
    <xdr:to>
      <xdr:col>11</xdr:col>
      <xdr:colOff>21166</xdr:colOff>
      <xdr:row>99</xdr:row>
      <xdr:rowOff>15875</xdr:rowOff>
    </xdr:to>
    <xdr:sp macro="" textlink="">
      <xdr:nvSpPr>
        <xdr:cNvPr id="1142" name="AutoShape 370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>
          <a:spLocks noChangeArrowheads="1"/>
        </xdr:cNvSpPr>
      </xdr:nvSpPr>
      <xdr:spPr>
        <a:xfrm>
          <a:off x="9985375" y="35861625"/>
          <a:ext cx="1148291" cy="793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43" name="AutoShape 370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97</xdr:row>
      <xdr:rowOff>0</xdr:rowOff>
    </xdr:from>
    <xdr:to>
      <xdr:col>9</xdr:col>
      <xdr:colOff>31750</xdr:colOff>
      <xdr:row>99</xdr:row>
      <xdr:rowOff>15875</xdr:rowOff>
    </xdr:to>
    <xdr:sp macro="" textlink="">
      <xdr:nvSpPr>
        <xdr:cNvPr id="1144" name="AutoShape 370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>
          <a:spLocks noChangeArrowheads="1"/>
        </xdr:cNvSpPr>
      </xdr:nvSpPr>
      <xdr:spPr>
        <a:xfrm>
          <a:off x="4267200" y="1424305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145" name="AutoShape 370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46" name="AutoShape 370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47" name="AutoShape 370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148" name="AutoShape 370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149" name="AutoShape 370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150" name="AutoShape 370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77</xdr:row>
      <xdr:rowOff>317500</xdr:rowOff>
    </xdr:from>
    <xdr:to>
      <xdr:col>19</xdr:col>
      <xdr:colOff>31750</xdr:colOff>
      <xdr:row>80</xdr:row>
      <xdr:rowOff>15875</xdr:rowOff>
    </xdr:to>
    <xdr:sp macro="" textlink="">
      <xdr:nvSpPr>
        <xdr:cNvPr id="1152" name="AutoShape 370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>
          <a:spLocks noChangeArrowheads="1"/>
        </xdr:cNvSpPr>
      </xdr:nvSpPr>
      <xdr:spPr>
        <a:xfrm>
          <a:off x="18891250" y="28194000"/>
          <a:ext cx="1143000" cy="841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7937</xdr:colOff>
      <xdr:row>77</xdr:row>
      <xdr:rowOff>114300</xdr:rowOff>
    </xdr:from>
    <xdr:to>
      <xdr:col>21</xdr:col>
      <xdr:colOff>5862</xdr:colOff>
      <xdr:row>80</xdr:row>
      <xdr:rowOff>15875</xdr:rowOff>
    </xdr:to>
    <xdr:sp macro="" textlink="">
      <xdr:nvSpPr>
        <xdr:cNvPr id="1153" name="AutoShape 370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>
          <a:spLocks noChangeArrowheads="1"/>
        </xdr:cNvSpPr>
      </xdr:nvSpPr>
      <xdr:spPr>
        <a:xfrm>
          <a:off x="10477500" y="7432675"/>
          <a:ext cx="545612" cy="3302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154" name="AutoShape 370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155" name="AutoShape 370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56" name="AutoShape 370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57" name="AutoShape 370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158" name="AutoShape 370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159" name="AutoShape 370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160" name="AutoShape 370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164" name="AutoShape 370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165" name="AutoShape 370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66" name="AutoShape 370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67" name="AutoShape 370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168" name="AutoShape 370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169" name="AutoShape 370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170" name="AutoShape 370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174" name="AutoShape 370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175" name="AutoShape 370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76" name="AutoShape 370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77" name="AutoShape 370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178" name="AutoShape 370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179" name="AutoShape 370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180" name="AutoShape 370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184" name="AutoShape 370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185" name="AutoShape 370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3968</xdr:colOff>
      <xdr:row>77</xdr:row>
      <xdr:rowOff>333375</xdr:rowOff>
    </xdr:from>
    <xdr:to>
      <xdr:col>3</xdr:col>
      <xdr:colOff>7936</xdr:colOff>
      <xdr:row>80</xdr:row>
      <xdr:rowOff>2381</xdr:rowOff>
    </xdr:to>
    <xdr:sp macro="" textlink="">
      <xdr:nvSpPr>
        <xdr:cNvPr id="1186" name="AutoShape 370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rrowheads="1"/>
        </xdr:cNvSpPr>
      </xdr:nvSpPr>
      <xdr:spPr>
        <a:xfrm flipH="1">
          <a:off x="1115218" y="28209875"/>
          <a:ext cx="1115218" cy="8120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87" name="AutoShape 370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88" name="AutoShape 370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189" name="AutoShape 370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190" name="AutoShape 370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191" name="AutoShape 370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195" name="AutoShape 370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196" name="AutoShape 370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11906</xdr:colOff>
      <xdr:row>77</xdr:row>
      <xdr:rowOff>328612</xdr:rowOff>
    </xdr:from>
    <xdr:to>
      <xdr:col>5</xdr:col>
      <xdr:colOff>11903</xdr:colOff>
      <xdr:row>79</xdr:row>
      <xdr:rowOff>341313</xdr:rowOff>
    </xdr:to>
    <xdr:sp macro="" textlink="">
      <xdr:nvSpPr>
        <xdr:cNvPr id="1197" name="AutoShape 370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>
          <a:spLocks noChangeArrowheads="1"/>
        </xdr:cNvSpPr>
      </xdr:nvSpPr>
      <xdr:spPr>
        <a:xfrm flipH="1">
          <a:off x="3345656" y="28205112"/>
          <a:ext cx="1111247" cy="77470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198" name="AutoShape 370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199" name="AutoShape 370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200" name="AutoShape 370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01" name="AutoShape 370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02" name="AutoShape 370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206" name="AutoShape 370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207" name="AutoShape 370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208" name="AutoShape 370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209" name="AutoShape 370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210" name="AutoShape 370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11" name="AutoShape 370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12" name="AutoShape 370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216" name="AutoShape 370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217" name="AutoShape 370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218" name="AutoShape 370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219" name="AutoShape 370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  <a:p>
          <a:endParaRPr lang="en-IN"/>
        </a:p>
      </xdr:txBody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220" name="AutoShape 370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21" name="AutoShape 370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22" name="AutoShape 370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226" name="AutoShape 370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17318</xdr:colOff>
      <xdr:row>77</xdr:row>
      <xdr:rowOff>301624</xdr:rowOff>
    </xdr:from>
    <xdr:to>
      <xdr:col>23</xdr:col>
      <xdr:colOff>0</xdr:colOff>
      <xdr:row>80</xdr:row>
      <xdr:rowOff>17317</xdr:rowOff>
    </xdr:to>
    <xdr:sp macro="" textlink="">
      <xdr:nvSpPr>
        <xdr:cNvPr id="1227" name="AutoShape 370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rrowheads="1"/>
        </xdr:cNvSpPr>
      </xdr:nvSpPr>
      <xdr:spPr>
        <a:xfrm>
          <a:off x="12875895" y="12014200"/>
          <a:ext cx="694055" cy="46164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228" name="AutoShape 370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229" name="AutoShape 370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rgbClr val="7030A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30" name="AutoShape 370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31" name="AutoShape 370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21232</xdr:colOff>
      <xdr:row>78</xdr:row>
      <xdr:rowOff>7343</xdr:rowOff>
    </xdr:from>
    <xdr:to>
      <xdr:col>25</xdr:col>
      <xdr:colOff>14882</xdr:colOff>
      <xdr:row>80</xdr:row>
      <xdr:rowOff>4962</xdr:rowOff>
    </xdr:to>
    <xdr:sp macro="" textlink="">
      <xdr:nvSpPr>
        <xdr:cNvPr id="1235" name="AutoShape 370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rrowheads="1"/>
        </xdr:cNvSpPr>
      </xdr:nvSpPr>
      <xdr:spPr>
        <a:xfrm>
          <a:off x="14200505" y="12021185"/>
          <a:ext cx="603250" cy="4419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7938</xdr:colOff>
      <xdr:row>77</xdr:row>
      <xdr:rowOff>139700</xdr:rowOff>
    </xdr:from>
    <xdr:to>
      <xdr:col>23</xdr:col>
      <xdr:colOff>1</xdr:colOff>
      <xdr:row>80</xdr:row>
      <xdr:rowOff>23813</xdr:rowOff>
    </xdr:to>
    <xdr:sp macro="" textlink="">
      <xdr:nvSpPr>
        <xdr:cNvPr id="1236" name="AutoShape 370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rrowheads="1"/>
        </xdr:cNvSpPr>
      </xdr:nvSpPr>
      <xdr:spPr>
        <a:xfrm>
          <a:off x="11572876" y="7458075"/>
          <a:ext cx="539750" cy="31273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237" name="AutoShape 370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31750</xdr:colOff>
      <xdr:row>80</xdr:row>
      <xdr:rowOff>15875</xdr:rowOff>
    </xdr:to>
    <xdr:sp macro="" textlink="">
      <xdr:nvSpPr>
        <xdr:cNvPr id="1238" name="AutoShape 370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rrowheads="1"/>
        </xdr:cNvSpPr>
      </xdr:nvSpPr>
      <xdr:spPr>
        <a:xfrm>
          <a:off x="5486400" y="12014200"/>
          <a:ext cx="641350" cy="4603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39" name="AutoShape 370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40" name="AutoShape 370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545107</xdr:colOff>
      <xdr:row>77</xdr:row>
      <xdr:rowOff>142280</xdr:rowOff>
    </xdr:from>
    <xdr:to>
      <xdr:col>24</xdr:col>
      <xdr:colOff>538756</xdr:colOff>
      <xdr:row>79</xdr:row>
      <xdr:rowOff>139899</xdr:rowOff>
    </xdr:to>
    <xdr:sp macro="" textlink="">
      <xdr:nvSpPr>
        <xdr:cNvPr id="1244" name="AutoShape 370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rrowheads="1"/>
        </xdr:cNvSpPr>
      </xdr:nvSpPr>
      <xdr:spPr>
        <a:xfrm>
          <a:off x="12657732" y="7460655"/>
          <a:ext cx="541337" cy="2833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31750</xdr:colOff>
      <xdr:row>80</xdr:row>
      <xdr:rowOff>15875</xdr:rowOff>
    </xdr:to>
    <xdr:sp macro="" textlink="">
      <xdr:nvSpPr>
        <xdr:cNvPr id="1246" name="AutoShape 370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rrowheads="1"/>
        </xdr:cNvSpPr>
      </xdr:nvSpPr>
      <xdr:spPr>
        <a:xfrm>
          <a:off x="30480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78</xdr:row>
      <xdr:rowOff>0</xdr:rowOff>
    </xdr:from>
    <xdr:to>
      <xdr:col>9</xdr:col>
      <xdr:colOff>31750</xdr:colOff>
      <xdr:row>80</xdr:row>
      <xdr:rowOff>15875</xdr:rowOff>
    </xdr:to>
    <xdr:sp macro="" textlink="">
      <xdr:nvSpPr>
        <xdr:cNvPr id="1247" name="AutoShape 370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rrowheads="1"/>
        </xdr:cNvSpPr>
      </xdr:nvSpPr>
      <xdr:spPr>
        <a:xfrm>
          <a:off x="4267200" y="12014200"/>
          <a:ext cx="641350" cy="460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6350</xdr:colOff>
      <xdr:row>80</xdr:row>
      <xdr:rowOff>19050</xdr:rowOff>
    </xdr:to>
    <xdr:sp macro="" textlink="">
      <xdr:nvSpPr>
        <xdr:cNvPr id="1248" name="AutoShape 370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rrowheads="1"/>
        </xdr:cNvSpPr>
      </xdr:nvSpPr>
      <xdr:spPr>
        <a:xfrm>
          <a:off x="4267200" y="7327900"/>
          <a:ext cx="463550" cy="2984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31750</xdr:colOff>
      <xdr:row>80</xdr:row>
      <xdr:rowOff>15875</xdr:rowOff>
    </xdr:to>
    <xdr:sp macro="" textlink="">
      <xdr:nvSpPr>
        <xdr:cNvPr id="1249" name="AutoShape 370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rrowheads="1"/>
        </xdr:cNvSpPr>
      </xdr:nvSpPr>
      <xdr:spPr>
        <a:xfrm>
          <a:off x="67056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78</xdr:row>
      <xdr:rowOff>0</xdr:rowOff>
    </xdr:from>
    <xdr:to>
      <xdr:col>15</xdr:col>
      <xdr:colOff>31750</xdr:colOff>
      <xdr:row>80</xdr:row>
      <xdr:rowOff>15875</xdr:rowOff>
    </xdr:to>
    <xdr:sp macro="" textlink="">
      <xdr:nvSpPr>
        <xdr:cNvPr id="1250" name="AutoShape 370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rrowheads="1"/>
        </xdr:cNvSpPr>
      </xdr:nvSpPr>
      <xdr:spPr>
        <a:xfrm>
          <a:off x="7924800" y="1201420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55" name="AutoShape 370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56" name="AutoShape 370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57" name="AutoShape 370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58" name="AutoShape 370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59" name="AutoShape 370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60" name="AutoShape 370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61" name="AutoShape 370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62" name="AutoShape 370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97</xdr:row>
      <xdr:rowOff>0</xdr:rowOff>
    </xdr:from>
    <xdr:to>
      <xdr:col>17</xdr:col>
      <xdr:colOff>31750</xdr:colOff>
      <xdr:row>99</xdr:row>
      <xdr:rowOff>15875</xdr:rowOff>
    </xdr:to>
    <xdr:sp macro="" textlink="">
      <xdr:nvSpPr>
        <xdr:cNvPr id="1263" name="AutoShape 370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rrowheads="1"/>
        </xdr:cNvSpPr>
      </xdr:nvSpPr>
      <xdr:spPr>
        <a:xfrm>
          <a:off x="9144000" y="1424305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203880</xdr:colOff>
      <xdr:row>22</xdr:row>
      <xdr:rowOff>47624</xdr:rowOff>
    </xdr:from>
    <xdr:to>
      <xdr:col>21</xdr:col>
      <xdr:colOff>352425</xdr:colOff>
      <xdr:row>24</xdr:row>
      <xdr:rowOff>139101</xdr:rowOff>
    </xdr:to>
    <xdr:grpSp>
      <xdr:nvGrpSpPr>
        <xdr:cNvPr id="1264" name="Group 1115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GrpSpPr/>
      </xdr:nvGrpSpPr>
      <xdr:grpSpPr>
        <a:xfrm>
          <a:off x="11221130" y="3794124"/>
          <a:ext cx="148545" cy="377227"/>
          <a:chOff x="11082" y="26717"/>
          <a:chExt cx="181" cy="165"/>
        </a:xfrm>
      </xdr:grpSpPr>
      <xdr:sp macro="" textlink="">
        <xdr:nvSpPr>
          <xdr:cNvPr id="1265" name="Straight Connector 1107">
            <a:extLst>
              <a:ext uri="{FF2B5EF4-FFF2-40B4-BE49-F238E27FC236}">
                <a16:creationId xmlns:a16="http://schemas.microsoft.com/office/drawing/2014/main" id="{00000000-0008-0000-0100-0000F104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  <xdr:sp macro="" textlink="">
        <xdr:nvSpPr>
          <xdr:cNvPr id="1266" name="Straight Connector 1108">
            <a:extLst>
              <a:ext uri="{FF2B5EF4-FFF2-40B4-BE49-F238E27FC236}">
                <a16:creationId xmlns:a16="http://schemas.microsoft.com/office/drawing/2014/main" id="{00000000-0008-0000-0100-0000F204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  <xdr:sp macro="" textlink="">
        <xdr:nvSpPr>
          <xdr:cNvPr id="1267" name="Straight Connector 1109">
            <a:extLst>
              <a:ext uri="{FF2B5EF4-FFF2-40B4-BE49-F238E27FC236}">
                <a16:creationId xmlns:a16="http://schemas.microsoft.com/office/drawing/2014/main" id="{00000000-0008-0000-0100-0000F304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  <xdr:sp macro="" textlink="">
        <xdr:nvSpPr>
          <xdr:cNvPr id="1268" name="Straight Connector 1111">
            <a:extLst>
              <a:ext uri="{FF2B5EF4-FFF2-40B4-BE49-F238E27FC236}">
                <a16:creationId xmlns:a16="http://schemas.microsoft.com/office/drawing/2014/main" id="{00000000-0008-0000-0100-0000F404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  <xdr:sp macro="" textlink="">
        <xdr:nvSpPr>
          <xdr:cNvPr id="1269" name="Straight Connector 1112">
            <a:extLst>
              <a:ext uri="{FF2B5EF4-FFF2-40B4-BE49-F238E27FC236}">
                <a16:creationId xmlns:a16="http://schemas.microsoft.com/office/drawing/2014/main" id="{00000000-0008-0000-0100-0000F504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  <xdr:sp macro="" textlink="">
        <xdr:nvSpPr>
          <xdr:cNvPr id="1270" name="Straight Connector 1113">
            <a:extLst>
              <a:ext uri="{FF2B5EF4-FFF2-40B4-BE49-F238E27FC236}">
                <a16:creationId xmlns:a16="http://schemas.microsoft.com/office/drawing/2014/main" id="{00000000-0008-0000-0100-0000F604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sp>
    </xdr:grpSp>
    <xdr:clientData/>
  </xdr:twoCellAnchor>
  <xdr:twoCellAnchor>
    <xdr:from>
      <xdr:col>5</xdr:col>
      <xdr:colOff>197991</xdr:colOff>
      <xdr:row>15</xdr:row>
      <xdr:rowOff>164059</xdr:rowOff>
    </xdr:from>
    <xdr:to>
      <xdr:col>5</xdr:col>
      <xdr:colOff>1056133</xdr:colOff>
      <xdr:row>18</xdr:row>
      <xdr:rowOff>26439</xdr:rowOff>
    </xdr:to>
    <xdr:sp macro="" textlink="">
      <xdr:nvSpPr>
        <xdr:cNvPr id="1271" name="AutoShape 19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>
          <a:spLocks noChangeArrowheads="1"/>
        </xdr:cNvSpPr>
      </xdr:nvSpPr>
      <xdr:spPr>
        <a:xfrm rot="-7320000">
          <a:off x="4759872" y="4079428"/>
          <a:ext cx="624380" cy="858142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68861</xdr:colOff>
      <xdr:row>42</xdr:row>
      <xdr:rowOff>74949</xdr:rowOff>
    </xdr:from>
    <xdr:to>
      <xdr:col>25</xdr:col>
      <xdr:colOff>452063</xdr:colOff>
      <xdr:row>44</xdr:row>
      <xdr:rowOff>129771</xdr:rowOff>
    </xdr:to>
    <xdr:sp macro="" textlink="">
      <xdr:nvSpPr>
        <xdr:cNvPr id="1272" name="AutoShape 19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>
          <a:spLocks noChangeArrowheads="1"/>
        </xdr:cNvSpPr>
      </xdr:nvSpPr>
      <xdr:spPr>
        <a:xfrm rot="-7320000">
          <a:off x="14799945" y="8584565"/>
          <a:ext cx="499110" cy="382905"/>
        </a:xfrm>
        <a:prstGeom prst="lightningBolt">
          <a:avLst/>
        </a:prstGeom>
        <a:solidFill>
          <a:srgbClr val="00B0F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16016</xdr:colOff>
      <xdr:row>42</xdr:row>
      <xdr:rowOff>67036</xdr:rowOff>
    </xdr:from>
    <xdr:to>
      <xdr:col>17</xdr:col>
      <xdr:colOff>481142</xdr:colOff>
      <xdr:row>44</xdr:row>
      <xdr:rowOff>85700</xdr:rowOff>
    </xdr:to>
    <xdr:sp macro="" textlink="">
      <xdr:nvSpPr>
        <xdr:cNvPr id="1273" name="AutoShape 19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>
          <a:spLocks noChangeArrowheads="1"/>
        </xdr:cNvSpPr>
      </xdr:nvSpPr>
      <xdr:spPr>
        <a:xfrm rot="-7320000">
          <a:off x="9770110" y="8517890"/>
          <a:ext cx="463550" cy="464820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45355</xdr:colOff>
      <xdr:row>62</xdr:row>
      <xdr:rowOff>222250</xdr:rowOff>
    </xdr:from>
    <xdr:to>
      <xdr:col>3</xdr:col>
      <xdr:colOff>920750</xdr:colOff>
      <xdr:row>65</xdr:row>
      <xdr:rowOff>159188</xdr:rowOff>
    </xdr:to>
    <xdr:grpSp>
      <xdr:nvGrpSpPr>
        <xdr:cNvPr id="1274" name="Group 1115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GrpSpPr/>
      </xdr:nvGrpSpPr>
      <xdr:grpSpPr>
        <a:xfrm>
          <a:off x="1204230" y="6743700"/>
          <a:ext cx="500745" cy="429063"/>
          <a:chOff x="11082" y="26717"/>
          <a:chExt cx="181" cy="165"/>
        </a:xfrm>
      </xdr:grpSpPr>
      <xdr:sp macro="" textlink="">
        <xdr:nvSpPr>
          <xdr:cNvPr id="1275" name="Straight Connector 1107">
            <a:extLst>
              <a:ext uri="{FF2B5EF4-FFF2-40B4-BE49-F238E27FC236}">
                <a16:creationId xmlns:a16="http://schemas.microsoft.com/office/drawing/2014/main" id="{00000000-0008-0000-0100-0000FB04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6" name="Straight Connector 1108">
            <a:extLst>
              <a:ext uri="{FF2B5EF4-FFF2-40B4-BE49-F238E27FC236}">
                <a16:creationId xmlns:a16="http://schemas.microsoft.com/office/drawing/2014/main" id="{00000000-0008-0000-0100-0000FC04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" name="Straight Connector 1109">
            <a:extLst>
              <a:ext uri="{FF2B5EF4-FFF2-40B4-BE49-F238E27FC236}">
                <a16:creationId xmlns:a16="http://schemas.microsoft.com/office/drawing/2014/main" id="{00000000-0008-0000-0100-0000FD04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8" name="Straight Connector 1111">
            <a:extLst>
              <a:ext uri="{FF2B5EF4-FFF2-40B4-BE49-F238E27FC236}">
                <a16:creationId xmlns:a16="http://schemas.microsoft.com/office/drawing/2014/main" id="{00000000-0008-0000-0100-0000FE04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9" name="Straight Connector 1112">
            <a:extLst>
              <a:ext uri="{FF2B5EF4-FFF2-40B4-BE49-F238E27FC236}">
                <a16:creationId xmlns:a16="http://schemas.microsoft.com/office/drawing/2014/main" id="{00000000-0008-0000-0100-0000FF04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0" name="Straight Connector 1113">
            <a:extLst>
              <a:ext uri="{FF2B5EF4-FFF2-40B4-BE49-F238E27FC236}">
                <a16:creationId xmlns:a16="http://schemas.microsoft.com/office/drawing/2014/main" id="{00000000-0008-0000-0100-00000005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31746</xdr:colOff>
      <xdr:row>158</xdr:row>
      <xdr:rowOff>0</xdr:rowOff>
    </xdr:to>
    <xdr:sp macro="" textlink="">
      <xdr:nvSpPr>
        <xdr:cNvPr id="1281" name="AutoShape 370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>
          <a:spLocks noChangeArrowheads="1"/>
        </xdr:cNvSpPr>
      </xdr:nvSpPr>
      <xdr:spPr>
        <a:xfrm flipH="1">
          <a:off x="1476375" y="30988000"/>
          <a:ext cx="1142996" cy="6667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1079500</xdr:colOff>
      <xdr:row>58</xdr:row>
      <xdr:rowOff>317499</xdr:rowOff>
    </xdr:from>
    <xdr:to>
      <xdr:col>15</xdr:col>
      <xdr:colOff>1</xdr:colOff>
      <xdr:row>60</xdr:row>
      <xdr:rowOff>323849</xdr:rowOff>
    </xdr:to>
    <xdr:sp macro="" textlink="">
      <xdr:nvSpPr>
        <xdr:cNvPr id="1282" name="AutoShape 370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rrowheads="1"/>
        </xdr:cNvSpPr>
      </xdr:nvSpPr>
      <xdr:spPr>
        <a:xfrm>
          <a:off x="14620875" y="14303374"/>
          <a:ext cx="1143001" cy="673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257</xdr:row>
      <xdr:rowOff>95250</xdr:rowOff>
    </xdr:from>
    <xdr:to>
      <xdr:col>5</xdr:col>
      <xdr:colOff>3968</xdr:colOff>
      <xdr:row>259</xdr:row>
      <xdr:rowOff>127000</xdr:rowOff>
    </xdr:to>
    <xdr:sp macro="" textlink="">
      <xdr:nvSpPr>
        <xdr:cNvPr id="1283" name="AutoShape 370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rrowheads="1"/>
        </xdr:cNvSpPr>
      </xdr:nvSpPr>
      <xdr:spPr>
        <a:xfrm flipH="1">
          <a:off x="1706563" y="20272375"/>
          <a:ext cx="551655" cy="3175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-1</xdr:colOff>
      <xdr:row>258</xdr:row>
      <xdr:rowOff>0</xdr:rowOff>
    </xdr:from>
    <xdr:to>
      <xdr:col>7</xdr:col>
      <xdr:colOff>3966</xdr:colOff>
      <xdr:row>260</xdr:row>
      <xdr:rowOff>15875</xdr:rowOff>
    </xdr:to>
    <xdr:sp macro="" textlink="">
      <xdr:nvSpPr>
        <xdr:cNvPr id="1284" name="AutoShape 370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rrowheads="1"/>
        </xdr:cNvSpPr>
      </xdr:nvSpPr>
      <xdr:spPr>
        <a:xfrm flipH="1">
          <a:off x="2508249" y="37671375"/>
          <a:ext cx="956467" cy="555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258</xdr:row>
      <xdr:rowOff>0</xdr:rowOff>
    </xdr:from>
    <xdr:to>
      <xdr:col>9</xdr:col>
      <xdr:colOff>3968</xdr:colOff>
      <xdr:row>260</xdr:row>
      <xdr:rowOff>0</xdr:rowOff>
    </xdr:to>
    <xdr:sp macro="" textlink="">
      <xdr:nvSpPr>
        <xdr:cNvPr id="1285" name="AutoShape 370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rrowheads="1"/>
        </xdr:cNvSpPr>
      </xdr:nvSpPr>
      <xdr:spPr>
        <a:xfrm flipH="1">
          <a:off x="4413250" y="37671375"/>
          <a:ext cx="956468" cy="539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12</xdr:col>
      <xdr:colOff>0</xdr:colOff>
      <xdr:row>258</xdr:row>
      <xdr:rowOff>0</xdr:rowOff>
    </xdr:from>
    <xdr:to>
      <xdr:col>13</xdr:col>
      <xdr:colOff>3968</xdr:colOff>
      <xdr:row>260</xdr:row>
      <xdr:rowOff>15875</xdr:rowOff>
    </xdr:to>
    <xdr:sp macro="" textlink="">
      <xdr:nvSpPr>
        <xdr:cNvPr id="1287" name="AutoShape 370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>
          <a:spLocks noChangeArrowheads="1"/>
        </xdr:cNvSpPr>
      </xdr:nvSpPr>
      <xdr:spPr>
        <a:xfrm flipH="1">
          <a:off x="8223250" y="37671375"/>
          <a:ext cx="956468" cy="5556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13</xdr:col>
      <xdr:colOff>546097</xdr:colOff>
      <xdr:row>257</xdr:row>
      <xdr:rowOff>126999</xdr:rowOff>
    </xdr:from>
    <xdr:to>
      <xdr:col>15</xdr:col>
      <xdr:colOff>3964</xdr:colOff>
      <xdr:row>260</xdr:row>
      <xdr:rowOff>15874</xdr:rowOff>
    </xdr:to>
    <xdr:sp macro="" textlink="">
      <xdr:nvSpPr>
        <xdr:cNvPr id="1288" name="AutoShape 370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>
          <a:spLocks noChangeArrowheads="1"/>
        </xdr:cNvSpPr>
      </xdr:nvSpPr>
      <xdr:spPr>
        <a:xfrm flipH="1">
          <a:off x="7181847" y="20304124"/>
          <a:ext cx="553242" cy="3175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258</xdr:row>
      <xdr:rowOff>0</xdr:rowOff>
    </xdr:from>
    <xdr:to>
      <xdr:col>17</xdr:col>
      <xdr:colOff>3968</xdr:colOff>
      <xdr:row>260</xdr:row>
      <xdr:rowOff>0</xdr:rowOff>
    </xdr:to>
    <xdr:sp macro="" textlink="">
      <xdr:nvSpPr>
        <xdr:cNvPr id="1289" name="AutoShape 370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>
          <a:spLocks noChangeArrowheads="1"/>
        </xdr:cNvSpPr>
      </xdr:nvSpPr>
      <xdr:spPr>
        <a:xfrm flipH="1">
          <a:off x="12033250" y="37671375"/>
          <a:ext cx="956468" cy="539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2719</xdr:colOff>
      <xdr:row>257</xdr:row>
      <xdr:rowOff>317500</xdr:rowOff>
    </xdr:from>
    <xdr:to>
      <xdr:col>19</xdr:col>
      <xdr:colOff>10580</xdr:colOff>
      <xdr:row>260</xdr:row>
      <xdr:rowOff>15874</xdr:rowOff>
    </xdr:to>
    <xdr:sp macro="" textlink="">
      <xdr:nvSpPr>
        <xdr:cNvPr id="1290" name="AutoShape 370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>
          <a:spLocks noChangeArrowheads="1"/>
        </xdr:cNvSpPr>
      </xdr:nvSpPr>
      <xdr:spPr>
        <a:xfrm flipH="1">
          <a:off x="16671469" y="97155000"/>
          <a:ext cx="1119111" cy="841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212502</xdr:colOff>
      <xdr:row>120</xdr:row>
      <xdr:rowOff>96471</xdr:rowOff>
    </xdr:from>
    <xdr:to>
      <xdr:col>5</xdr:col>
      <xdr:colOff>685570</xdr:colOff>
      <xdr:row>121</xdr:row>
      <xdr:rowOff>175670</xdr:rowOff>
    </xdr:to>
    <xdr:sp macro="" textlink="">
      <xdr:nvSpPr>
        <xdr:cNvPr id="1291" name="AutoShape 19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>
          <a:spLocks noChangeArrowheads="1"/>
        </xdr:cNvSpPr>
      </xdr:nvSpPr>
      <xdr:spPr>
        <a:xfrm rot="-7320000">
          <a:off x="2698115" y="17402810"/>
          <a:ext cx="301625" cy="39687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179851</xdr:colOff>
      <xdr:row>139</xdr:row>
      <xdr:rowOff>113571</xdr:rowOff>
    </xdr:from>
    <xdr:to>
      <xdr:col>9</xdr:col>
      <xdr:colOff>636576</xdr:colOff>
      <xdr:row>140</xdr:row>
      <xdr:rowOff>149499</xdr:rowOff>
    </xdr:to>
    <xdr:sp macro="" textlink="">
      <xdr:nvSpPr>
        <xdr:cNvPr id="1292" name="AutoShape 19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>
          <a:spLocks noChangeArrowheads="1"/>
        </xdr:cNvSpPr>
      </xdr:nvSpPr>
      <xdr:spPr>
        <a:xfrm rot="-7320000">
          <a:off x="5142230" y="19604355"/>
          <a:ext cx="257810" cy="42989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92839</xdr:colOff>
      <xdr:row>198</xdr:row>
      <xdr:rowOff>113186</xdr:rowOff>
    </xdr:from>
    <xdr:to>
      <xdr:col>5</xdr:col>
      <xdr:colOff>523420</xdr:colOff>
      <xdr:row>200</xdr:row>
      <xdr:rowOff>63949</xdr:rowOff>
    </xdr:to>
    <xdr:sp macro="" textlink="">
      <xdr:nvSpPr>
        <xdr:cNvPr id="1294" name="AutoShape 19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>
          <a:spLocks noChangeArrowheads="1"/>
        </xdr:cNvSpPr>
      </xdr:nvSpPr>
      <xdr:spPr>
        <a:xfrm rot="-7320000">
          <a:off x="1329690" y="26117550"/>
          <a:ext cx="394970" cy="430530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293518</xdr:colOff>
      <xdr:row>198</xdr:row>
      <xdr:rowOff>153354</xdr:rowOff>
    </xdr:from>
    <xdr:to>
      <xdr:col>6</xdr:col>
      <xdr:colOff>83257</xdr:colOff>
      <xdr:row>200</xdr:row>
      <xdr:rowOff>85985</xdr:rowOff>
    </xdr:to>
    <xdr:sp macro="" textlink="">
      <xdr:nvSpPr>
        <xdr:cNvPr id="1295" name="AutoShape 19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>
          <a:spLocks noChangeArrowheads="1"/>
        </xdr:cNvSpPr>
      </xdr:nvSpPr>
      <xdr:spPr>
        <a:xfrm rot="-7320000">
          <a:off x="1523365" y="26164540"/>
          <a:ext cx="377190" cy="398780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287732</xdr:colOff>
      <xdr:row>42</xdr:row>
      <xdr:rowOff>78554</xdr:rowOff>
    </xdr:from>
    <xdr:to>
      <xdr:col>18</xdr:col>
      <xdr:colOff>82683</xdr:colOff>
      <xdr:row>44</xdr:row>
      <xdr:rowOff>101363</xdr:rowOff>
    </xdr:to>
    <xdr:sp macro="" textlink="">
      <xdr:nvSpPr>
        <xdr:cNvPr id="1296" name="AutoShape 19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>
          <a:spLocks noChangeArrowheads="1"/>
        </xdr:cNvSpPr>
      </xdr:nvSpPr>
      <xdr:spPr>
        <a:xfrm rot="-7320000">
          <a:off x="10009505" y="8561705"/>
          <a:ext cx="467360" cy="40449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25</xdr:col>
      <xdr:colOff>111300</xdr:colOff>
      <xdr:row>199</xdr:row>
      <xdr:rowOff>5706</xdr:rowOff>
    </xdr:from>
    <xdr:to>
      <xdr:col>25</xdr:col>
      <xdr:colOff>571783</xdr:colOff>
      <xdr:row>200</xdr:row>
      <xdr:rowOff>196564</xdr:rowOff>
    </xdr:to>
    <xdr:sp macro="" textlink="">
      <xdr:nvSpPr>
        <xdr:cNvPr id="1297" name="AutoShape 19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>
          <a:spLocks noChangeArrowheads="1"/>
        </xdr:cNvSpPr>
      </xdr:nvSpPr>
      <xdr:spPr>
        <a:xfrm rot="-7320000">
          <a:off x="13704570" y="26226135"/>
          <a:ext cx="413385" cy="46037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169537</xdr:colOff>
      <xdr:row>219</xdr:row>
      <xdr:rowOff>111519</xdr:rowOff>
    </xdr:from>
    <xdr:to>
      <xdr:col>21</xdr:col>
      <xdr:colOff>452596</xdr:colOff>
      <xdr:row>220</xdr:row>
      <xdr:rowOff>113569</xdr:rowOff>
    </xdr:to>
    <xdr:sp macro="" textlink="">
      <xdr:nvSpPr>
        <xdr:cNvPr id="1298" name="AutoShape 19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>
          <a:spLocks noChangeArrowheads="1"/>
        </xdr:cNvSpPr>
      </xdr:nvSpPr>
      <xdr:spPr>
        <a:xfrm rot="-7320000">
          <a:off x="9536592" y="17287464"/>
          <a:ext cx="141750" cy="283059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250594</xdr:colOff>
      <xdr:row>239</xdr:row>
      <xdr:rowOff>111844</xdr:rowOff>
    </xdr:from>
    <xdr:to>
      <xdr:col>7</xdr:col>
      <xdr:colOff>653533</xdr:colOff>
      <xdr:row>240</xdr:row>
      <xdr:rowOff>186190</xdr:rowOff>
    </xdr:to>
    <xdr:sp macro="" textlink="">
      <xdr:nvSpPr>
        <xdr:cNvPr id="1299" name="AutoShape 19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>
          <a:spLocks noChangeArrowheads="1"/>
        </xdr:cNvSpPr>
      </xdr:nvSpPr>
      <xdr:spPr>
        <a:xfrm rot="-7320000">
          <a:off x="2719705" y="30325060"/>
          <a:ext cx="296545" cy="359410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161303</xdr:colOff>
      <xdr:row>239</xdr:row>
      <xdr:rowOff>8184</xdr:rowOff>
    </xdr:from>
    <xdr:to>
      <xdr:col>9</xdr:col>
      <xdr:colOff>672652</xdr:colOff>
      <xdr:row>240</xdr:row>
      <xdr:rowOff>114542</xdr:rowOff>
    </xdr:to>
    <xdr:sp macro="" textlink="">
      <xdr:nvSpPr>
        <xdr:cNvPr id="1300" name="AutoShape 19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>
          <a:spLocks noChangeArrowheads="1"/>
        </xdr:cNvSpPr>
      </xdr:nvSpPr>
      <xdr:spPr>
        <a:xfrm rot="-7320000">
          <a:off x="3878580" y="30192980"/>
          <a:ext cx="328295" cy="448310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192693</xdr:colOff>
      <xdr:row>239</xdr:row>
      <xdr:rowOff>34328</xdr:rowOff>
    </xdr:from>
    <xdr:to>
      <xdr:col>14</xdr:col>
      <xdr:colOff>19286</xdr:colOff>
      <xdr:row>241</xdr:row>
      <xdr:rowOff>48726</xdr:rowOff>
    </xdr:to>
    <xdr:sp macro="" textlink="">
      <xdr:nvSpPr>
        <xdr:cNvPr id="1301" name="AutoShape 19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>
          <a:spLocks noChangeArrowheads="1"/>
        </xdr:cNvSpPr>
      </xdr:nvSpPr>
      <xdr:spPr>
        <a:xfrm rot="-7320000">
          <a:off x="5826491" y="18682930"/>
          <a:ext cx="293798" cy="283793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12700</xdr:colOff>
      <xdr:row>19</xdr:row>
      <xdr:rowOff>6350</xdr:rowOff>
    </xdr:from>
    <xdr:to>
      <xdr:col>13</xdr:col>
      <xdr:colOff>34924</xdr:colOff>
      <xdr:row>21</xdr:row>
      <xdr:rowOff>6349</xdr:rowOff>
    </xdr:to>
    <xdr:sp macro="" textlink="">
      <xdr:nvSpPr>
        <xdr:cNvPr id="1302" name="AutoShape 1211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>
          <a:spLocks noChangeArrowheads="1"/>
        </xdr:cNvSpPr>
      </xdr:nvSpPr>
      <xdr:spPr>
        <a:xfrm>
          <a:off x="6083300" y="3282950"/>
          <a:ext cx="568324" cy="279399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9638</xdr:colOff>
      <xdr:row>19</xdr:row>
      <xdr:rowOff>6350</xdr:rowOff>
    </xdr:from>
    <xdr:to>
      <xdr:col>7</xdr:col>
      <xdr:colOff>6350</xdr:colOff>
      <xdr:row>20</xdr:row>
      <xdr:rowOff>133350</xdr:rowOff>
    </xdr:to>
    <xdr:sp macro="" textlink="">
      <xdr:nvSpPr>
        <xdr:cNvPr id="1303" name="AutoShape 1211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>
          <a:spLocks noChangeArrowheads="1"/>
        </xdr:cNvSpPr>
      </xdr:nvSpPr>
      <xdr:spPr>
        <a:xfrm>
          <a:off x="2803638" y="3282950"/>
          <a:ext cx="542812" cy="266700"/>
        </a:xfrm>
        <a:prstGeom prst="triangle">
          <a:avLst>
            <a:gd name="adj" fmla="val 50000"/>
          </a:avLst>
        </a:prstGeom>
        <a:solidFill>
          <a:srgbClr val="FF0000"/>
        </a:solidFill>
        <a:ln w="9360" cap="sq">
          <a:solidFill>
            <a:srgbClr val="000000"/>
          </a:solidFill>
          <a:miter lim="800000"/>
        </a:ln>
      </xdr:spPr>
      <xdr:txBody>
        <a:bodyPr anchor="ctr"/>
        <a:lstStyle/>
        <a:p>
          <a:pPr algn="ctr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3090</xdr:colOff>
      <xdr:row>19</xdr:row>
      <xdr:rowOff>0</xdr:rowOff>
    </xdr:from>
    <xdr:to>
      <xdr:col>24</xdr:col>
      <xdr:colOff>1079499</xdr:colOff>
      <xdr:row>21</xdr:row>
      <xdr:rowOff>15875</xdr:rowOff>
    </xdr:to>
    <xdr:sp macro="" textlink="">
      <xdr:nvSpPr>
        <xdr:cNvPr id="1304" name="AutoShape 370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>
          <a:spLocks noChangeArrowheads="1"/>
        </xdr:cNvSpPr>
      </xdr:nvSpPr>
      <xdr:spPr>
        <a:xfrm>
          <a:off x="25561840" y="5111750"/>
          <a:ext cx="1076409" cy="777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136</xdr:row>
      <xdr:rowOff>18147</xdr:rowOff>
    </xdr:from>
    <xdr:to>
      <xdr:col>7</xdr:col>
      <xdr:colOff>31751</xdr:colOff>
      <xdr:row>138</xdr:row>
      <xdr:rowOff>34022</xdr:rowOff>
    </xdr:to>
    <xdr:sp macro="" textlink="">
      <xdr:nvSpPr>
        <xdr:cNvPr id="1305" name="AutoShape 370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>
          <a:spLocks noChangeArrowheads="1"/>
        </xdr:cNvSpPr>
      </xdr:nvSpPr>
      <xdr:spPr>
        <a:xfrm>
          <a:off x="3048000" y="18928080"/>
          <a:ext cx="641350" cy="460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r>
            <a:rPr lang="en-IN"/>
            <a:t>    </a:t>
          </a:r>
        </a:p>
      </xdr:txBody>
    </xdr:sp>
    <xdr:clientData/>
  </xdr:twoCellAnchor>
  <xdr:twoCellAnchor>
    <xdr:from>
      <xdr:col>11</xdr:col>
      <xdr:colOff>74248</xdr:colOff>
      <xdr:row>62</xdr:row>
      <xdr:rowOff>125375</xdr:rowOff>
    </xdr:from>
    <xdr:to>
      <xdr:col>11</xdr:col>
      <xdr:colOff>620419</xdr:colOff>
      <xdr:row>64</xdr:row>
      <xdr:rowOff>78895</xdr:rowOff>
    </xdr:to>
    <xdr:sp macro="" textlink="">
      <xdr:nvSpPr>
        <xdr:cNvPr id="1306" name="AutoShape 19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>
          <a:spLocks noChangeArrowheads="1"/>
        </xdr:cNvSpPr>
      </xdr:nvSpPr>
      <xdr:spPr>
        <a:xfrm rot="-7320000">
          <a:off x="6235700" y="10511790"/>
          <a:ext cx="403860" cy="53530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136069</xdr:colOff>
      <xdr:row>159</xdr:row>
      <xdr:rowOff>158749</xdr:rowOff>
    </xdr:from>
    <xdr:to>
      <xdr:col>9</xdr:col>
      <xdr:colOff>762000</xdr:colOff>
      <xdr:row>161</xdr:row>
      <xdr:rowOff>154212</xdr:rowOff>
    </xdr:to>
    <xdr:grpSp>
      <xdr:nvGrpSpPr>
        <xdr:cNvPr id="1307" name="Group 1115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GrpSpPr/>
      </xdr:nvGrpSpPr>
      <xdr:grpSpPr>
        <a:xfrm>
          <a:off x="4581069" y="13458824"/>
          <a:ext cx="410031" cy="287563"/>
          <a:chOff x="11082" y="26717"/>
          <a:chExt cx="181" cy="165"/>
        </a:xfrm>
      </xdr:grpSpPr>
      <xdr:sp macro="" textlink="">
        <xdr:nvSpPr>
          <xdr:cNvPr id="1308" name="Straight Connector 1107">
            <a:extLst>
              <a:ext uri="{FF2B5EF4-FFF2-40B4-BE49-F238E27FC236}">
                <a16:creationId xmlns:a16="http://schemas.microsoft.com/office/drawing/2014/main" id="{00000000-0008-0000-0100-00001C05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9" name="Straight Connector 1108">
            <a:extLst>
              <a:ext uri="{FF2B5EF4-FFF2-40B4-BE49-F238E27FC236}">
                <a16:creationId xmlns:a16="http://schemas.microsoft.com/office/drawing/2014/main" id="{00000000-0008-0000-0100-00001D05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0" name="Straight Connector 1109">
            <a:extLst>
              <a:ext uri="{FF2B5EF4-FFF2-40B4-BE49-F238E27FC236}">
                <a16:creationId xmlns:a16="http://schemas.microsoft.com/office/drawing/2014/main" id="{00000000-0008-0000-0100-00001E05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1" name="Straight Connector 1111">
            <a:extLst>
              <a:ext uri="{FF2B5EF4-FFF2-40B4-BE49-F238E27FC236}">
                <a16:creationId xmlns:a16="http://schemas.microsoft.com/office/drawing/2014/main" id="{00000000-0008-0000-0100-00001F05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2" name="Straight Connector 1112">
            <a:extLst>
              <a:ext uri="{FF2B5EF4-FFF2-40B4-BE49-F238E27FC236}">
                <a16:creationId xmlns:a16="http://schemas.microsoft.com/office/drawing/2014/main" id="{00000000-0008-0000-0100-00002005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3" name="Straight Connector 1113">
            <a:extLst>
              <a:ext uri="{FF2B5EF4-FFF2-40B4-BE49-F238E27FC236}">
                <a16:creationId xmlns:a16="http://schemas.microsoft.com/office/drawing/2014/main" id="{00000000-0008-0000-0100-00002105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99345</xdr:colOff>
      <xdr:row>81</xdr:row>
      <xdr:rowOff>50560</xdr:rowOff>
    </xdr:from>
    <xdr:to>
      <xdr:col>10</xdr:col>
      <xdr:colOff>6811</xdr:colOff>
      <xdr:row>83</xdr:row>
      <xdr:rowOff>56742</xdr:rowOff>
    </xdr:to>
    <xdr:sp macro="" textlink="">
      <xdr:nvSpPr>
        <xdr:cNvPr id="1314" name="AutoShape 19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Arrowheads="1"/>
        </xdr:cNvSpPr>
      </xdr:nvSpPr>
      <xdr:spPr>
        <a:xfrm rot="-7320000">
          <a:off x="3850462" y="7754843"/>
          <a:ext cx="285582" cy="371016"/>
        </a:xfrm>
        <a:prstGeom prst="lightningBolt">
          <a:avLst/>
        </a:prstGeom>
        <a:solidFill>
          <a:srgbClr val="FFCC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61343</xdr:colOff>
      <xdr:row>42</xdr:row>
      <xdr:rowOff>93752</xdr:rowOff>
    </xdr:from>
    <xdr:to>
      <xdr:col>11</xdr:col>
      <xdr:colOff>559204</xdr:colOff>
      <xdr:row>44</xdr:row>
      <xdr:rowOff>134421</xdr:rowOff>
    </xdr:to>
    <xdr:sp macro="" textlink="">
      <xdr:nvSpPr>
        <xdr:cNvPr id="1315" name="Equals 167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/>
      </xdr:nvSpPr>
      <xdr:spPr>
        <a:xfrm rot="6635367">
          <a:off x="6163310" y="8538845"/>
          <a:ext cx="485140" cy="49784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24341</xdr:colOff>
      <xdr:row>197</xdr:row>
      <xdr:rowOff>147193</xdr:rowOff>
    </xdr:from>
    <xdr:to>
      <xdr:col>11</xdr:col>
      <xdr:colOff>500406</xdr:colOff>
      <xdr:row>200</xdr:row>
      <xdr:rowOff>42096</xdr:rowOff>
    </xdr:to>
    <xdr:sp macro="" textlink="">
      <xdr:nvSpPr>
        <xdr:cNvPr id="1316" name="Equals 167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/>
      </xdr:nvSpPr>
      <xdr:spPr>
        <a:xfrm rot="6635367">
          <a:off x="4857750" y="25989915"/>
          <a:ext cx="561975" cy="475615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39306</xdr:colOff>
      <xdr:row>139</xdr:row>
      <xdr:rowOff>46675</xdr:rowOff>
    </xdr:from>
    <xdr:to>
      <xdr:col>17</xdr:col>
      <xdr:colOff>537167</xdr:colOff>
      <xdr:row>141</xdr:row>
      <xdr:rowOff>212067</xdr:rowOff>
    </xdr:to>
    <xdr:sp macro="" textlink="">
      <xdr:nvSpPr>
        <xdr:cNvPr id="1317" name="Equals 167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/>
      </xdr:nvSpPr>
      <xdr:spPr>
        <a:xfrm rot="6635367">
          <a:off x="9736455" y="19679285"/>
          <a:ext cx="610235" cy="497840"/>
        </a:xfrm>
        <a:prstGeom prst="mathEqua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200</xdr:row>
      <xdr:rowOff>0</xdr:rowOff>
    </xdr:from>
    <xdr:to>
      <xdr:col>11</xdr:col>
      <xdr:colOff>549528</xdr:colOff>
      <xdr:row>202</xdr:row>
      <xdr:rowOff>103616</xdr:rowOff>
    </xdr:to>
    <xdr:grpSp>
      <xdr:nvGrpSpPr>
        <xdr:cNvPr id="1318" name="Group 1115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GrpSpPr/>
      </xdr:nvGrpSpPr>
      <xdr:grpSpPr>
        <a:xfrm>
          <a:off x="5540375" y="16319500"/>
          <a:ext cx="543178" cy="389366"/>
          <a:chOff x="11082" y="26717"/>
          <a:chExt cx="181" cy="165"/>
        </a:xfrm>
      </xdr:grpSpPr>
      <xdr:sp macro="" textlink="">
        <xdr:nvSpPr>
          <xdr:cNvPr id="1319" name="Straight Connector 1107">
            <a:extLst>
              <a:ext uri="{FF2B5EF4-FFF2-40B4-BE49-F238E27FC236}">
                <a16:creationId xmlns:a16="http://schemas.microsoft.com/office/drawing/2014/main" id="{00000000-0008-0000-0100-000027050000}"/>
              </a:ext>
            </a:extLst>
          </xdr:cNvPr>
          <xdr:cNvSpPr>
            <a:spLocks noChangeShapeType="1"/>
          </xdr:cNvSpPr>
        </xdr:nvSpPr>
        <xdr:spPr>
          <a:xfrm flipH="1">
            <a:off x="11082" y="26717"/>
            <a:ext cx="89" cy="156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0" name="Straight Connector 1108">
            <a:extLst>
              <a:ext uri="{FF2B5EF4-FFF2-40B4-BE49-F238E27FC236}">
                <a16:creationId xmlns:a16="http://schemas.microsoft.com/office/drawing/2014/main" id="{00000000-0008-0000-0100-000028050000}"/>
              </a:ext>
            </a:extLst>
          </xdr:cNvPr>
          <xdr:cNvSpPr>
            <a:spLocks noChangeShapeType="1"/>
          </xdr:cNvSpPr>
        </xdr:nvSpPr>
        <xdr:spPr>
          <a:xfrm flipH="1">
            <a:off x="11179" y="26721"/>
            <a:ext cx="84" cy="141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1" name="Straight Connector 1109">
            <a:extLst>
              <a:ext uri="{FF2B5EF4-FFF2-40B4-BE49-F238E27FC236}">
                <a16:creationId xmlns:a16="http://schemas.microsoft.com/office/drawing/2014/main" id="{00000000-0008-0000-0100-000029050000}"/>
              </a:ext>
            </a:extLst>
          </xdr:cNvPr>
          <xdr:cNvSpPr>
            <a:spLocks noChangeShapeType="1"/>
          </xdr:cNvSpPr>
        </xdr:nvSpPr>
        <xdr:spPr>
          <a:xfrm flipH="1">
            <a:off x="11189" y="26751"/>
            <a:ext cx="72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2" name="Straight Connector 1111">
            <a:extLst>
              <a:ext uri="{FF2B5EF4-FFF2-40B4-BE49-F238E27FC236}">
                <a16:creationId xmlns:a16="http://schemas.microsoft.com/office/drawing/2014/main" id="{00000000-0008-0000-0100-00002A050000}"/>
              </a:ext>
            </a:extLst>
          </xdr:cNvPr>
          <xdr:cNvSpPr>
            <a:spLocks noChangeShapeType="1"/>
          </xdr:cNvSpPr>
        </xdr:nvSpPr>
        <xdr:spPr>
          <a:xfrm flipH="1">
            <a:off x="11158" y="26793"/>
            <a:ext cx="66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3" name="Straight Connector 1112">
            <a:extLst>
              <a:ext uri="{FF2B5EF4-FFF2-40B4-BE49-F238E27FC236}">
                <a16:creationId xmlns:a16="http://schemas.microsoft.com/office/drawing/2014/main" id="{00000000-0008-0000-0100-00002B050000}"/>
              </a:ext>
            </a:extLst>
          </xdr:cNvPr>
          <xdr:cNvSpPr>
            <a:spLocks noChangeShapeType="1"/>
          </xdr:cNvSpPr>
        </xdr:nvSpPr>
        <xdr:spPr>
          <a:xfrm flipH="1">
            <a:off x="11112" y="26882"/>
            <a:ext cx="68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4" name="Straight Connector 1113">
            <a:extLst>
              <a:ext uri="{FF2B5EF4-FFF2-40B4-BE49-F238E27FC236}">
                <a16:creationId xmlns:a16="http://schemas.microsoft.com/office/drawing/2014/main" id="{00000000-0008-0000-0100-00002C050000}"/>
              </a:ext>
            </a:extLst>
          </xdr:cNvPr>
          <xdr:cNvSpPr>
            <a:spLocks noChangeShapeType="1"/>
          </xdr:cNvSpPr>
        </xdr:nvSpPr>
        <xdr:spPr>
          <a:xfrm flipH="1">
            <a:off x="11134" y="26840"/>
            <a:ext cx="77" cy="0"/>
          </a:xfrm>
          <a:prstGeom prst="line">
            <a:avLst/>
          </a:prstGeom>
          <a:noFill/>
          <a:ln w="9360" cap="sq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907</xdr:colOff>
      <xdr:row>97</xdr:row>
      <xdr:rowOff>21167</xdr:rowOff>
    </xdr:from>
    <xdr:to>
      <xdr:col>21</xdr:col>
      <xdr:colOff>15875</xdr:colOff>
      <xdr:row>99</xdr:row>
      <xdr:rowOff>15875</xdr:rowOff>
    </xdr:to>
    <xdr:sp macro="" textlink="">
      <xdr:nvSpPr>
        <xdr:cNvPr id="1325" name="AutoShape 370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>
          <a:spLocks noChangeArrowheads="1"/>
        </xdr:cNvSpPr>
      </xdr:nvSpPr>
      <xdr:spPr>
        <a:xfrm>
          <a:off x="21114657" y="35898667"/>
          <a:ext cx="1126218" cy="75670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1209</xdr:colOff>
      <xdr:row>97</xdr:row>
      <xdr:rowOff>31749</xdr:rowOff>
    </xdr:from>
    <xdr:to>
      <xdr:col>23</xdr:col>
      <xdr:colOff>15875</xdr:colOff>
      <xdr:row>99</xdr:row>
      <xdr:rowOff>15874</xdr:rowOff>
    </xdr:to>
    <xdr:sp macro="" textlink="">
      <xdr:nvSpPr>
        <xdr:cNvPr id="1326" name="AutoShape 370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>
          <a:spLocks noChangeArrowheads="1"/>
        </xdr:cNvSpPr>
      </xdr:nvSpPr>
      <xdr:spPr>
        <a:xfrm>
          <a:off x="23337459" y="35909249"/>
          <a:ext cx="1125916" cy="746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21</xdr:row>
      <xdr:rowOff>31750</xdr:rowOff>
    </xdr:to>
    <xdr:sp macro="" textlink="">
      <xdr:nvSpPr>
        <xdr:cNvPr id="1327" name="AutoShape 370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>
          <a:spLocks noChangeArrowheads="1"/>
        </xdr:cNvSpPr>
      </xdr:nvSpPr>
      <xdr:spPr>
        <a:xfrm>
          <a:off x="23336250" y="5111750"/>
          <a:ext cx="1111250" cy="793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25401</xdr:colOff>
      <xdr:row>39</xdr:row>
      <xdr:rowOff>20113</xdr:rowOff>
    </xdr:from>
    <xdr:to>
      <xdr:col>13</xdr:col>
      <xdr:colOff>0</xdr:colOff>
      <xdr:row>41</xdr:row>
      <xdr:rowOff>0</xdr:rowOff>
    </xdr:to>
    <xdr:sp macro="" textlink="">
      <xdr:nvSpPr>
        <xdr:cNvPr id="1328" name="AutoShape 370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>
          <a:spLocks noChangeArrowheads="1"/>
        </xdr:cNvSpPr>
      </xdr:nvSpPr>
      <xdr:spPr>
        <a:xfrm>
          <a:off x="12249151" y="13037613"/>
          <a:ext cx="1085849" cy="74188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24</xdr:col>
      <xdr:colOff>5856</xdr:colOff>
      <xdr:row>117</xdr:row>
      <xdr:rowOff>38100</xdr:rowOff>
    </xdr:from>
    <xdr:to>
      <xdr:col>25</xdr:col>
      <xdr:colOff>12205</xdr:colOff>
      <xdr:row>119</xdr:row>
      <xdr:rowOff>15875</xdr:rowOff>
    </xdr:to>
    <xdr:sp macro="" textlink="">
      <xdr:nvSpPr>
        <xdr:cNvPr id="1329" name="AutoShape 370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>
          <a:spLocks noChangeArrowheads="1"/>
        </xdr:cNvSpPr>
      </xdr:nvSpPr>
      <xdr:spPr>
        <a:xfrm>
          <a:off x="10521456" y="10020300"/>
          <a:ext cx="463549" cy="2571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1105959</xdr:colOff>
      <xdr:row>97</xdr:row>
      <xdr:rowOff>63498</xdr:rowOff>
    </xdr:from>
    <xdr:to>
      <xdr:col>24</xdr:col>
      <xdr:colOff>1101725</xdr:colOff>
      <xdr:row>99</xdr:row>
      <xdr:rowOff>0</xdr:rowOff>
    </xdr:to>
    <xdr:sp macro="" textlink="">
      <xdr:nvSpPr>
        <xdr:cNvPr id="1330" name="AutoShape 370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>
          <a:spLocks noChangeArrowheads="1"/>
        </xdr:cNvSpPr>
      </xdr:nvSpPr>
      <xdr:spPr>
        <a:xfrm>
          <a:off x="25553459" y="16176623"/>
          <a:ext cx="1107016" cy="47625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174626</xdr:colOff>
      <xdr:row>239</xdr:row>
      <xdr:rowOff>47624</xdr:rowOff>
    </xdr:from>
    <xdr:to>
      <xdr:col>15</xdr:col>
      <xdr:colOff>666567</xdr:colOff>
      <xdr:row>240</xdr:row>
      <xdr:rowOff>136074</xdr:rowOff>
    </xdr:to>
    <xdr:sp macro="" textlink="">
      <xdr:nvSpPr>
        <xdr:cNvPr id="1331" name="AutoShape 19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>
          <a:spLocks noChangeArrowheads="1"/>
        </xdr:cNvSpPr>
      </xdr:nvSpPr>
      <xdr:spPr>
        <a:xfrm rot="-7320000">
          <a:off x="7551420" y="30230445"/>
          <a:ext cx="311150" cy="434975"/>
        </a:xfrm>
        <a:prstGeom prst="lightningBolt">
          <a:avLst/>
        </a:prstGeom>
        <a:solidFill>
          <a:srgbClr val="7030A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10584</xdr:colOff>
      <xdr:row>38</xdr:row>
      <xdr:rowOff>333374</xdr:rowOff>
    </xdr:from>
    <xdr:to>
      <xdr:col>15</xdr:col>
      <xdr:colOff>13606</xdr:colOff>
      <xdr:row>41</xdr:row>
      <xdr:rowOff>0</xdr:rowOff>
    </xdr:to>
    <xdr:sp macro="" textlink="">
      <xdr:nvSpPr>
        <xdr:cNvPr id="1332" name="AutoShape 370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>
          <a:spLocks noChangeArrowheads="1"/>
        </xdr:cNvSpPr>
      </xdr:nvSpPr>
      <xdr:spPr>
        <a:xfrm>
          <a:off x="14456834" y="12969874"/>
          <a:ext cx="1114272" cy="80962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24</xdr:col>
      <xdr:colOff>0</xdr:colOff>
      <xdr:row>38</xdr:row>
      <xdr:rowOff>333375</xdr:rowOff>
    </xdr:from>
    <xdr:to>
      <xdr:col>25</xdr:col>
      <xdr:colOff>10583</xdr:colOff>
      <xdr:row>40</xdr:row>
      <xdr:rowOff>365125</xdr:rowOff>
    </xdr:to>
    <xdr:sp macro="" textlink="">
      <xdr:nvSpPr>
        <xdr:cNvPr id="1333" name="AutoShape 370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>
          <a:spLocks noChangeArrowheads="1"/>
        </xdr:cNvSpPr>
      </xdr:nvSpPr>
      <xdr:spPr>
        <a:xfrm>
          <a:off x="25558750" y="12969875"/>
          <a:ext cx="1121833" cy="793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258</xdr:row>
      <xdr:rowOff>15875</xdr:rowOff>
    </xdr:from>
    <xdr:to>
      <xdr:col>11</xdr:col>
      <xdr:colOff>3968</xdr:colOff>
      <xdr:row>260</xdr:row>
      <xdr:rowOff>15875</xdr:rowOff>
    </xdr:to>
    <xdr:sp macro="" textlink="">
      <xdr:nvSpPr>
        <xdr:cNvPr id="2" name="AutoShape 370">
          <a:extLst>
            <a:ext uri="{FF2B5EF4-FFF2-40B4-BE49-F238E27FC236}">
              <a16:creationId xmlns:a16="http://schemas.microsoft.com/office/drawing/2014/main" id="{16C29065-1014-4084-B226-313C0D1A454C}"/>
            </a:ext>
          </a:extLst>
        </xdr:cNvPr>
        <xdr:cNvSpPr>
          <a:spLocks noChangeArrowheads="1"/>
        </xdr:cNvSpPr>
      </xdr:nvSpPr>
      <xdr:spPr>
        <a:xfrm flipH="1">
          <a:off x="7985125" y="47228125"/>
          <a:ext cx="1115218" cy="6667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pPr algn="ctr"/>
          <a:endParaRPr lang="en-IN"/>
        </a:p>
      </xdr:txBody>
    </xdr:sp>
    <xdr:clientData/>
  </xdr:twoCellAnchor>
  <xdr:twoCellAnchor>
    <xdr:from>
      <xdr:col>4</xdr:col>
      <xdr:colOff>287337</xdr:colOff>
      <xdr:row>39</xdr:row>
      <xdr:rowOff>0</xdr:rowOff>
    </xdr:from>
    <xdr:to>
      <xdr:col>6</xdr:col>
      <xdr:colOff>265112</xdr:colOff>
      <xdr:row>40</xdr:row>
      <xdr:rowOff>47625</xdr:rowOff>
    </xdr:to>
    <xdr:sp macro="" textlink="">
      <xdr:nvSpPr>
        <xdr:cNvPr id="15" name="Freeform 832">
          <a:extLst>
            <a:ext uri="{FF2B5EF4-FFF2-40B4-BE49-F238E27FC236}">
              <a16:creationId xmlns:a16="http://schemas.microsoft.com/office/drawing/2014/main" id="{DB0D0C25-6F4E-46B6-A81A-C12A2ED1318A}"/>
            </a:ext>
          </a:extLst>
        </xdr:cNvPr>
        <xdr:cNvSpPr>
          <a:spLocks noChangeArrowheads="1"/>
        </xdr:cNvSpPr>
      </xdr:nvSpPr>
      <xdr:spPr>
        <a:xfrm>
          <a:off x="1993900" y="4746625"/>
          <a:ext cx="1073150" cy="1905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295275</xdr:colOff>
      <xdr:row>39</xdr:row>
      <xdr:rowOff>0</xdr:rowOff>
    </xdr:from>
    <xdr:to>
      <xdr:col>8</xdr:col>
      <xdr:colOff>298450</xdr:colOff>
      <xdr:row>40</xdr:row>
      <xdr:rowOff>47625</xdr:rowOff>
    </xdr:to>
    <xdr:sp macro="" textlink="">
      <xdr:nvSpPr>
        <xdr:cNvPr id="17" name="Freeform 832">
          <a:extLst>
            <a:ext uri="{FF2B5EF4-FFF2-40B4-BE49-F238E27FC236}">
              <a16:creationId xmlns:a16="http://schemas.microsoft.com/office/drawing/2014/main" id="{3B198741-9470-48B6-BA4D-70A40DABFEE1}"/>
            </a:ext>
          </a:extLst>
        </xdr:cNvPr>
        <xdr:cNvSpPr>
          <a:spLocks noChangeArrowheads="1"/>
        </xdr:cNvSpPr>
      </xdr:nvSpPr>
      <xdr:spPr>
        <a:xfrm>
          <a:off x="3097213" y="4746625"/>
          <a:ext cx="1098550" cy="1905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288925</xdr:colOff>
      <xdr:row>19</xdr:row>
      <xdr:rowOff>14288</xdr:rowOff>
    </xdr:from>
    <xdr:to>
      <xdr:col>24</xdr:col>
      <xdr:colOff>285750</xdr:colOff>
      <xdr:row>20</xdr:row>
      <xdr:rowOff>65088</xdr:rowOff>
    </xdr:to>
    <xdr:sp macro="" textlink="">
      <xdr:nvSpPr>
        <xdr:cNvPr id="18" name="Freeform 832">
          <a:extLst>
            <a:ext uri="{FF2B5EF4-FFF2-40B4-BE49-F238E27FC236}">
              <a16:creationId xmlns:a16="http://schemas.microsoft.com/office/drawing/2014/main" id="{F6E733C6-6110-4B8B-832E-22D45152716F}"/>
            </a:ext>
          </a:extLst>
        </xdr:cNvPr>
        <xdr:cNvSpPr>
          <a:spLocks noChangeArrowheads="1"/>
        </xdr:cNvSpPr>
      </xdr:nvSpPr>
      <xdr:spPr>
        <a:xfrm>
          <a:off x="11853863" y="3332163"/>
          <a:ext cx="1092200" cy="1936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603250</xdr:colOff>
      <xdr:row>195</xdr:row>
      <xdr:rowOff>7343</xdr:rowOff>
    </xdr:from>
    <xdr:to>
      <xdr:col>3</xdr:col>
      <xdr:colOff>14882</xdr:colOff>
      <xdr:row>197</xdr:row>
      <xdr:rowOff>15875</xdr:rowOff>
    </xdr:to>
    <xdr:sp macro="" textlink="">
      <xdr:nvSpPr>
        <xdr:cNvPr id="73" name="AutoShape 370">
          <a:extLst>
            <a:ext uri="{FF2B5EF4-FFF2-40B4-BE49-F238E27FC236}">
              <a16:creationId xmlns:a16="http://schemas.microsoft.com/office/drawing/2014/main" id="{5A319647-E59A-4A9E-9B63-735BAD213C20}"/>
            </a:ext>
          </a:extLst>
        </xdr:cNvPr>
        <xdr:cNvSpPr>
          <a:spLocks noChangeArrowheads="1"/>
        </xdr:cNvSpPr>
      </xdr:nvSpPr>
      <xdr:spPr>
        <a:xfrm>
          <a:off x="603250" y="15612468"/>
          <a:ext cx="570507" cy="2942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307108</xdr:colOff>
      <xdr:row>198</xdr:row>
      <xdr:rowOff>257819</xdr:rowOff>
    </xdr:from>
    <xdr:to>
      <xdr:col>3</xdr:col>
      <xdr:colOff>1491738</xdr:colOff>
      <xdr:row>201</xdr:row>
      <xdr:rowOff>153394</xdr:rowOff>
    </xdr:to>
    <xdr:sp macro="" textlink="">
      <xdr:nvSpPr>
        <xdr:cNvPr id="76" name="AutoShape 19">
          <a:extLst>
            <a:ext uri="{FF2B5EF4-FFF2-40B4-BE49-F238E27FC236}">
              <a16:creationId xmlns:a16="http://schemas.microsoft.com/office/drawing/2014/main" id="{3E42EFBC-FF1C-4A1D-9AE4-58917E7B1F1E}"/>
            </a:ext>
          </a:extLst>
        </xdr:cNvPr>
        <xdr:cNvSpPr>
          <a:spLocks noChangeArrowheads="1"/>
        </xdr:cNvSpPr>
      </xdr:nvSpPr>
      <xdr:spPr>
        <a:xfrm rot="-7320000">
          <a:off x="26423073" y="65740604"/>
          <a:ext cx="895700" cy="1057630"/>
        </a:xfrm>
        <a:prstGeom prst="lightningBolt">
          <a:avLst/>
        </a:prstGeom>
        <a:solidFill>
          <a:srgbClr val="FFCC00"/>
        </a:solidFill>
        <a:ln w="9360" cap="sq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176</xdr:row>
      <xdr:rowOff>7343</xdr:rowOff>
    </xdr:from>
    <xdr:to>
      <xdr:col>3</xdr:col>
      <xdr:colOff>14882</xdr:colOff>
      <xdr:row>178</xdr:row>
      <xdr:rowOff>4962</xdr:rowOff>
    </xdr:to>
    <xdr:sp macro="" textlink="">
      <xdr:nvSpPr>
        <xdr:cNvPr id="91" name="AutoShape 370">
          <a:extLst>
            <a:ext uri="{FF2B5EF4-FFF2-40B4-BE49-F238E27FC236}">
              <a16:creationId xmlns:a16="http://schemas.microsoft.com/office/drawing/2014/main" id="{EEB24DE2-882D-4C79-B3C1-050ABEF2CE0D}"/>
            </a:ext>
          </a:extLst>
        </xdr:cNvPr>
        <xdr:cNvSpPr>
          <a:spLocks noChangeArrowheads="1"/>
        </xdr:cNvSpPr>
      </xdr:nvSpPr>
      <xdr:spPr>
        <a:xfrm>
          <a:off x="25452982" y="30042843"/>
          <a:ext cx="1073150" cy="6643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21232</xdr:colOff>
      <xdr:row>176</xdr:row>
      <xdr:rowOff>7343</xdr:rowOff>
    </xdr:from>
    <xdr:to>
      <xdr:col>3</xdr:col>
      <xdr:colOff>14882</xdr:colOff>
      <xdr:row>178</xdr:row>
      <xdr:rowOff>4962</xdr:rowOff>
    </xdr:to>
    <xdr:sp macro="" textlink="">
      <xdr:nvSpPr>
        <xdr:cNvPr id="103" name="AutoShape 370">
          <a:extLst>
            <a:ext uri="{FF2B5EF4-FFF2-40B4-BE49-F238E27FC236}">
              <a16:creationId xmlns:a16="http://schemas.microsoft.com/office/drawing/2014/main" id="{C9CBD68F-6D31-41C8-9F27-00F98FE58680}"/>
            </a:ext>
          </a:extLst>
        </xdr:cNvPr>
        <xdr:cNvSpPr>
          <a:spLocks noChangeArrowheads="1"/>
        </xdr:cNvSpPr>
      </xdr:nvSpPr>
      <xdr:spPr>
        <a:xfrm>
          <a:off x="25452982" y="30042843"/>
          <a:ext cx="1073150" cy="6643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263525</xdr:colOff>
      <xdr:row>39</xdr:row>
      <xdr:rowOff>0</xdr:rowOff>
    </xdr:from>
    <xdr:to>
      <xdr:col>4</xdr:col>
      <xdr:colOff>276225</xdr:colOff>
      <xdr:row>40</xdr:row>
      <xdr:rowOff>50800</xdr:rowOff>
    </xdr:to>
    <xdr:sp macro="" textlink="">
      <xdr:nvSpPr>
        <xdr:cNvPr id="62" name="Freeform 832">
          <a:extLst>
            <a:ext uri="{FF2B5EF4-FFF2-40B4-BE49-F238E27FC236}">
              <a16:creationId xmlns:a16="http://schemas.microsoft.com/office/drawing/2014/main" id="{3D2121C7-5533-4127-8F45-045B93E0FFDB}"/>
            </a:ext>
          </a:extLst>
        </xdr:cNvPr>
        <xdr:cNvSpPr>
          <a:spLocks noChangeArrowheads="1"/>
        </xdr:cNvSpPr>
      </xdr:nvSpPr>
      <xdr:spPr>
        <a:xfrm>
          <a:off x="874713" y="4746625"/>
          <a:ext cx="1108075" cy="1936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1574800</xdr:colOff>
      <xdr:row>317</xdr:row>
      <xdr:rowOff>114300</xdr:rowOff>
    </xdr:from>
    <xdr:to>
      <xdr:col>34</xdr:col>
      <xdr:colOff>44450</xdr:colOff>
      <xdr:row>319</xdr:row>
      <xdr:rowOff>41275</xdr:rowOff>
    </xdr:to>
    <xdr:sp macro="" textlink="">
      <xdr:nvSpPr>
        <xdr:cNvPr id="3" name="AutoShape 370">
          <a:extLst>
            <a:ext uri="{FF2B5EF4-FFF2-40B4-BE49-F238E27FC236}">
              <a16:creationId xmlns:a16="http://schemas.microsoft.com/office/drawing/2014/main" id="{1DFB369C-4F62-48B0-B19B-69CD41741DED}"/>
            </a:ext>
          </a:extLst>
        </xdr:cNvPr>
        <xdr:cNvSpPr>
          <a:spLocks noChangeArrowheads="1"/>
        </xdr:cNvSpPr>
      </xdr:nvSpPr>
      <xdr:spPr>
        <a:xfrm>
          <a:off x="18872200" y="28194000"/>
          <a:ext cx="495300" cy="2952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77</xdr:row>
      <xdr:rowOff>133350</xdr:rowOff>
    </xdr:from>
    <xdr:to>
      <xdr:col>16</xdr:col>
      <xdr:colOff>539750</xdr:colOff>
      <xdr:row>80</xdr:row>
      <xdr:rowOff>19049</xdr:rowOff>
    </xdr:to>
    <xdr:sp macro="" textlink="">
      <xdr:nvSpPr>
        <xdr:cNvPr id="77" name="AutoShape 370">
          <a:extLst>
            <a:ext uri="{FF2B5EF4-FFF2-40B4-BE49-F238E27FC236}">
              <a16:creationId xmlns:a16="http://schemas.microsoft.com/office/drawing/2014/main" id="{3BE8FF28-BFCC-41FD-A16D-5C6BB24D9C58}"/>
            </a:ext>
          </a:extLst>
        </xdr:cNvPr>
        <xdr:cNvSpPr>
          <a:spLocks noChangeArrowheads="1"/>
        </xdr:cNvSpPr>
      </xdr:nvSpPr>
      <xdr:spPr>
        <a:xfrm>
          <a:off x="8255000" y="7321550"/>
          <a:ext cx="539750" cy="30479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288925</xdr:colOff>
      <xdr:row>19</xdr:row>
      <xdr:rowOff>4763</xdr:rowOff>
    </xdr:from>
    <xdr:to>
      <xdr:col>25</xdr:col>
      <xdr:colOff>638175</xdr:colOff>
      <xdr:row>20</xdr:row>
      <xdr:rowOff>30163</xdr:rowOff>
    </xdr:to>
    <xdr:sp macro="" textlink="">
      <xdr:nvSpPr>
        <xdr:cNvPr id="147" name="Freeform 832">
          <a:extLst>
            <a:ext uri="{FF2B5EF4-FFF2-40B4-BE49-F238E27FC236}">
              <a16:creationId xmlns:a16="http://schemas.microsoft.com/office/drawing/2014/main" id="{F62AD91F-99E6-4011-B5CF-A9A7EE36A5D3}"/>
            </a:ext>
          </a:extLst>
        </xdr:cNvPr>
        <xdr:cNvSpPr>
          <a:spLocks noChangeArrowheads="1"/>
        </xdr:cNvSpPr>
      </xdr:nvSpPr>
      <xdr:spPr>
        <a:xfrm>
          <a:off x="12949238" y="3322638"/>
          <a:ext cx="896937" cy="1682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63500</xdr:colOff>
      <xdr:row>38</xdr:row>
      <xdr:rowOff>134937</xdr:rowOff>
    </xdr:from>
    <xdr:to>
      <xdr:col>2</xdr:col>
      <xdr:colOff>263525</xdr:colOff>
      <xdr:row>40</xdr:row>
      <xdr:rowOff>42862</xdr:rowOff>
    </xdr:to>
    <xdr:sp macro="" textlink="">
      <xdr:nvSpPr>
        <xdr:cNvPr id="151" name="Freeform 832">
          <a:extLst>
            <a:ext uri="{FF2B5EF4-FFF2-40B4-BE49-F238E27FC236}">
              <a16:creationId xmlns:a16="http://schemas.microsoft.com/office/drawing/2014/main" id="{AB9E5669-A626-4DE9-9A68-82738CF13CCB}"/>
            </a:ext>
          </a:extLst>
        </xdr:cNvPr>
        <xdr:cNvSpPr>
          <a:spLocks noChangeArrowheads="1"/>
        </xdr:cNvSpPr>
      </xdr:nvSpPr>
      <xdr:spPr>
        <a:xfrm>
          <a:off x="63500" y="4738687"/>
          <a:ext cx="811213" cy="1936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234950</xdr:colOff>
      <xdr:row>38</xdr:row>
      <xdr:rowOff>133350</xdr:rowOff>
    </xdr:from>
    <xdr:to>
      <xdr:col>26</xdr:col>
      <xdr:colOff>22225</xdr:colOff>
      <xdr:row>40</xdr:row>
      <xdr:rowOff>41275</xdr:rowOff>
    </xdr:to>
    <xdr:sp macro="" textlink="">
      <xdr:nvSpPr>
        <xdr:cNvPr id="174" name="Freeform 832">
          <a:extLst>
            <a:ext uri="{FF2B5EF4-FFF2-40B4-BE49-F238E27FC236}">
              <a16:creationId xmlns:a16="http://schemas.microsoft.com/office/drawing/2014/main" id="{2F272BB5-DAA6-43A4-AAA1-57D2341D5596}"/>
            </a:ext>
          </a:extLst>
        </xdr:cNvPr>
        <xdr:cNvSpPr>
          <a:spLocks noChangeArrowheads="1"/>
        </xdr:cNvSpPr>
      </xdr:nvSpPr>
      <xdr:spPr>
        <a:xfrm>
          <a:off x="10750550" y="4667250"/>
          <a:ext cx="917575" cy="1873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258762</xdr:colOff>
      <xdr:row>59</xdr:row>
      <xdr:rowOff>7937</xdr:rowOff>
    </xdr:from>
    <xdr:to>
      <xdr:col>4</xdr:col>
      <xdr:colOff>261937</xdr:colOff>
      <xdr:row>60</xdr:row>
      <xdr:rowOff>58737</xdr:rowOff>
    </xdr:to>
    <xdr:sp macro="" textlink="">
      <xdr:nvSpPr>
        <xdr:cNvPr id="175" name="Freeform 832">
          <a:extLst>
            <a:ext uri="{FF2B5EF4-FFF2-40B4-BE49-F238E27FC236}">
              <a16:creationId xmlns:a16="http://schemas.microsoft.com/office/drawing/2014/main" id="{9404F514-3147-418E-9CDF-51B3F6238508}"/>
            </a:ext>
          </a:extLst>
        </xdr:cNvPr>
        <xdr:cNvSpPr>
          <a:spLocks noChangeArrowheads="1"/>
        </xdr:cNvSpPr>
      </xdr:nvSpPr>
      <xdr:spPr>
        <a:xfrm>
          <a:off x="869950" y="6183312"/>
          <a:ext cx="1098550" cy="1936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261936</xdr:colOff>
      <xdr:row>58</xdr:row>
      <xdr:rowOff>134937</xdr:rowOff>
    </xdr:from>
    <xdr:to>
      <xdr:col>6</xdr:col>
      <xdr:colOff>277812</xdr:colOff>
      <xdr:row>60</xdr:row>
      <xdr:rowOff>71437</xdr:rowOff>
    </xdr:to>
    <xdr:sp macro="" textlink="">
      <xdr:nvSpPr>
        <xdr:cNvPr id="180" name="Freeform 832">
          <a:extLst>
            <a:ext uri="{FF2B5EF4-FFF2-40B4-BE49-F238E27FC236}">
              <a16:creationId xmlns:a16="http://schemas.microsoft.com/office/drawing/2014/main" id="{CDD2B481-17CB-4D5E-B29D-C5870ACC6E14}"/>
            </a:ext>
          </a:extLst>
        </xdr:cNvPr>
        <xdr:cNvSpPr>
          <a:spLocks noChangeArrowheads="1"/>
        </xdr:cNvSpPr>
      </xdr:nvSpPr>
      <xdr:spPr>
        <a:xfrm>
          <a:off x="1968499" y="6167437"/>
          <a:ext cx="1111251" cy="2222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55566</xdr:colOff>
      <xdr:row>59</xdr:row>
      <xdr:rowOff>7937</xdr:rowOff>
    </xdr:from>
    <xdr:to>
      <xdr:col>2</xdr:col>
      <xdr:colOff>265118</xdr:colOff>
      <xdr:row>60</xdr:row>
      <xdr:rowOff>38099</xdr:rowOff>
    </xdr:to>
    <xdr:sp macro="" textlink="">
      <xdr:nvSpPr>
        <xdr:cNvPr id="182" name="Freeform 832">
          <a:extLst>
            <a:ext uri="{FF2B5EF4-FFF2-40B4-BE49-F238E27FC236}">
              <a16:creationId xmlns:a16="http://schemas.microsoft.com/office/drawing/2014/main" id="{3904CD0F-532A-4C3F-A090-BEC21064FD91}"/>
            </a:ext>
          </a:extLst>
        </xdr:cNvPr>
        <xdr:cNvSpPr>
          <a:spLocks noChangeArrowheads="1"/>
        </xdr:cNvSpPr>
      </xdr:nvSpPr>
      <xdr:spPr>
        <a:xfrm>
          <a:off x="55566" y="6183312"/>
          <a:ext cx="820740" cy="173037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311150</xdr:colOff>
      <xdr:row>58</xdr:row>
      <xdr:rowOff>133350</xdr:rowOff>
    </xdr:from>
    <xdr:to>
      <xdr:col>8</xdr:col>
      <xdr:colOff>314325</xdr:colOff>
      <xdr:row>60</xdr:row>
      <xdr:rowOff>41275</xdr:rowOff>
    </xdr:to>
    <xdr:sp macro="" textlink="">
      <xdr:nvSpPr>
        <xdr:cNvPr id="88" name="Freeform 832">
          <a:extLst>
            <a:ext uri="{FF2B5EF4-FFF2-40B4-BE49-F238E27FC236}">
              <a16:creationId xmlns:a16="http://schemas.microsoft.com/office/drawing/2014/main" id="{6D8D245F-E4B6-4180-89B9-ADA6C440CC0A}"/>
            </a:ext>
          </a:extLst>
        </xdr:cNvPr>
        <xdr:cNvSpPr>
          <a:spLocks noChangeArrowheads="1"/>
        </xdr:cNvSpPr>
      </xdr:nvSpPr>
      <xdr:spPr>
        <a:xfrm>
          <a:off x="3113088" y="6165850"/>
          <a:ext cx="1098550" cy="1936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339725</xdr:colOff>
      <xdr:row>117</xdr:row>
      <xdr:rowOff>25400</xdr:rowOff>
    </xdr:from>
    <xdr:to>
      <xdr:col>18</xdr:col>
      <xdr:colOff>288925</xdr:colOff>
      <xdr:row>118</xdr:row>
      <xdr:rowOff>79375</xdr:rowOff>
    </xdr:to>
    <xdr:sp macro="" textlink="">
      <xdr:nvSpPr>
        <xdr:cNvPr id="184" name="Freeform 832">
          <a:extLst>
            <a:ext uri="{FF2B5EF4-FFF2-40B4-BE49-F238E27FC236}">
              <a16:creationId xmlns:a16="http://schemas.microsoft.com/office/drawing/2014/main" id="{910B0541-50CE-434C-86BC-29C81F578371}"/>
            </a:ext>
          </a:extLst>
        </xdr:cNvPr>
        <xdr:cNvSpPr>
          <a:spLocks noChangeArrowheads="1"/>
        </xdr:cNvSpPr>
      </xdr:nvSpPr>
      <xdr:spPr>
        <a:xfrm>
          <a:off x="8618538" y="10201275"/>
          <a:ext cx="1044575" cy="1968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309563</xdr:colOff>
      <xdr:row>117</xdr:row>
      <xdr:rowOff>34925</xdr:rowOff>
    </xdr:from>
    <xdr:to>
      <xdr:col>20</xdr:col>
      <xdr:colOff>271463</xdr:colOff>
      <xdr:row>118</xdr:row>
      <xdr:rowOff>111125</xdr:rowOff>
    </xdr:to>
    <xdr:sp macro="" textlink="">
      <xdr:nvSpPr>
        <xdr:cNvPr id="189" name="Freeform 832">
          <a:extLst>
            <a:ext uri="{FF2B5EF4-FFF2-40B4-BE49-F238E27FC236}">
              <a16:creationId xmlns:a16="http://schemas.microsoft.com/office/drawing/2014/main" id="{2E75A44F-1A86-4823-8E07-E7FC0EA23D94}"/>
            </a:ext>
          </a:extLst>
        </xdr:cNvPr>
        <xdr:cNvSpPr>
          <a:spLocks noChangeArrowheads="1"/>
        </xdr:cNvSpPr>
      </xdr:nvSpPr>
      <xdr:spPr>
        <a:xfrm>
          <a:off x="9683751" y="10210800"/>
          <a:ext cx="1057275" cy="2190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266700</xdr:colOff>
      <xdr:row>117</xdr:row>
      <xdr:rowOff>19050</xdr:rowOff>
    </xdr:from>
    <xdr:to>
      <xdr:col>22</xdr:col>
      <xdr:colOff>260350</xdr:colOff>
      <xdr:row>118</xdr:row>
      <xdr:rowOff>111125</xdr:rowOff>
    </xdr:to>
    <xdr:sp macro="" textlink="">
      <xdr:nvSpPr>
        <xdr:cNvPr id="191" name="Freeform 832">
          <a:extLst>
            <a:ext uri="{FF2B5EF4-FFF2-40B4-BE49-F238E27FC236}">
              <a16:creationId xmlns:a16="http://schemas.microsoft.com/office/drawing/2014/main" id="{2891D1A5-99F6-448A-B7F1-A40E46FDA56D}"/>
            </a:ext>
          </a:extLst>
        </xdr:cNvPr>
        <xdr:cNvSpPr>
          <a:spLocks noChangeArrowheads="1"/>
        </xdr:cNvSpPr>
      </xdr:nvSpPr>
      <xdr:spPr>
        <a:xfrm>
          <a:off x="10736263" y="10194925"/>
          <a:ext cx="1089025" cy="2349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301625</xdr:colOff>
      <xdr:row>117</xdr:row>
      <xdr:rowOff>12700</xdr:rowOff>
    </xdr:from>
    <xdr:to>
      <xdr:col>24</xdr:col>
      <xdr:colOff>295275</xdr:colOff>
      <xdr:row>118</xdr:row>
      <xdr:rowOff>103188</xdr:rowOff>
    </xdr:to>
    <xdr:sp macro="" textlink="">
      <xdr:nvSpPr>
        <xdr:cNvPr id="192" name="Freeform 832">
          <a:extLst>
            <a:ext uri="{FF2B5EF4-FFF2-40B4-BE49-F238E27FC236}">
              <a16:creationId xmlns:a16="http://schemas.microsoft.com/office/drawing/2014/main" id="{0B5E8256-730E-496B-91B0-51CED6C75645}"/>
            </a:ext>
          </a:extLst>
        </xdr:cNvPr>
        <xdr:cNvSpPr>
          <a:spLocks noChangeArrowheads="1"/>
        </xdr:cNvSpPr>
      </xdr:nvSpPr>
      <xdr:spPr>
        <a:xfrm>
          <a:off x="11866563" y="10188575"/>
          <a:ext cx="1089025" cy="233363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301626</xdr:colOff>
      <xdr:row>117</xdr:row>
      <xdr:rowOff>31750</xdr:rowOff>
    </xdr:from>
    <xdr:to>
      <xdr:col>25</xdr:col>
      <xdr:colOff>666751</xdr:colOff>
      <xdr:row>118</xdr:row>
      <xdr:rowOff>101600</xdr:rowOff>
    </xdr:to>
    <xdr:sp macro="" textlink="">
      <xdr:nvSpPr>
        <xdr:cNvPr id="193" name="Freeform 832">
          <a:extLst>
            <a:ext uri="{FF2B5EF4-FFF2-40B4-BE49-F238E27FC236}">
              <a16:creationId xmlns:a16="http://schemas.microsoft.com/office/drawing/2014/main" id="{F216F36C-0C8B-41A0-B1B4-2348006850D8}"/>
            </a:ext>
          </a:extLst>
        </xdr:cNvPr>
        <xdr:cNvSpPr>
          <a:spLocks noChangeArrowheads="1"/>
        </xdr:cNvSpPr>
      </xdr:nvSpPr>
      <xdr:spPr>
        <a:xfrm>
          <a:off x="12961939" y="10207625"/>
          <a:ext cx="912812" cy="2127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55562</xdr:colOff>
      <xdr:row>136</xdr:row>
      <xdr:rowOff>25400</xdr:rowOff>
    </xdr:from>
    <xdr:to>
      <xdr:col>2</xdr:col>
      <xdr:colOff>277812</xdr:colOff>
      <xdr:row>137</xdr:row>
      <xdr:rowOff>63500</xdr:rowOff>
    </xdr:to>
    <xdr:sp macro="" textlink="">
      <xdr:nvSpPr>
        <xdr:cNvPr id="197" name="Freeform 832">
          <a:extLst>
            <a:ext uri="{FF2B5EF4-FFF2-40B4-BE49-F238E27FC236}">
              <a16:creationId xmlns:a16="http://schemas.microsoft.com/office/drawing/2014/main" id="{D6CD30D2-0E87-4BA8-B54F-4211E4C6C7FC}"/>
            </a:ext>
          </a:extLst>
        </xdr:cNvPr>
        <xdr:cNvSpPr>
          <a:spLocks noChangeArrowheads="1"/>
        </xdr:cNvSpPr>
      </xdr:nvSpPr>
      <xdr:spPr>
        <a:xfrm>
          <a:off x="55562" y="11487150"/>
          <a:ext cx="833438" cy="1809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280987</xdr:colOff>
      <xdr:row>136</xdr:row>
      <xdr:rowOff>12700</xdr:rowOff>
    </xdr:from>
    <xdr:to>
      <xdr:col>4</xdr:col>
      <xdr:colOff>274637</xdr:colOff>
      <xdr:row>137</xdr:row>
      <xdr:rowOff>50800</xdr:rowOff>
    </xdr:to>
    <xdr:sp macro="" textlink="">
      <xdr:nvSpPr>
        <xdr:cNvPr id="199" name="Freeform 832">
          <a:extLst>
            <a:ext uri="{FF2B5EF4-FFF2-40B4-BE49-F238E27FC236}">
              <a16:creationId xmlns:a16="http://schemas.microsoft.com/office/drawing/2014/main" id="{0111E785-4380-469D-956D-8E706A54903B}"/>
            </a:ext>
          </a:extLst>
        </xdr:cNvPr>
        <xdr:cNvSpPr>
          <a:spLocks noChangeArrowheads="1"/>
        </xdr:cNvSpPr>
      </xdr:nvSpPr>
      <xdr:spPr>
        <a:xfrm>
          <a:off x="892175" y="11474450"/>
          <a:ext cx="1089025" cy="1809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215900</xdr:colOff>
      <xdr:row>176</xdr:row>
      <xdr:rowOff>0</xdr:rowOff>
    </xdr:from>
    <xdr:to>
      <xdr:col>6</xdr:col>
      <xdr:colOff>212725</xdr:colOff>
      <xdr:row>177</xdr:row>
      <xdr:rowOff>0</xdr:rowOff>
    </xdr:to>
    <xdr:sp macro="" textlink="">
      <xdr:nvSpPr>
        <xdr:cNvPr id="201" name="Freeform 283">
          <a:extLst>
            <a:ext uri="{FF2B5EF4-FFF2-40B4-BE49-F238E27FC236}">
              <a16:creationId xmlns:a16="http://schemas.microsoft.com/office/drawing/2014/main" id="{0F0C7588-F7AB-41B6-8BA7-280BFB03A698}"/>
            </a:ext>
          </a:extLst>
        </xdr:cNvPr>
        <xdr:cNvSpPr>
          <a:spLocks noChangeArrowheads="1"/>
        </xdr:cNvSpPr>
      </xdr:nvSpPr>
      <xdr:spPr>
        <a:xfrm>
          <a:off x="1739900" y="14033500"/>
          <a:ext cx="911225" cy="1397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195</xdr:row>
      <xdr:rowOff>0</xdr:rowOff>
    </xdr:from>
    <xdr:to>
      <xdr:col>2</xdr:col>
      <xdr:colOff>301625</xdr:colOff>
      <xdr:row>196</xdr:row>
      <xdr:rowOff>0</xdr:rowOff>
    </xdr:to>
    <xdr:sp macro="" textlink="">
      <xdr:nvSpPr>
        <xdr:cNvPr id="221" name="Freeform 283">
          <a:extLst>
            <a:ext uri="{FF2B5EF4-FFF2-40B4-BE49-F238E27FC236}">
              <a16:creationId xmlns:a16="http://schemas.microsoft.com/office/drawing/2014/main" id="{2B5B738A-81F5-4E60-A89E-CE3C2D305A16}"/>
            </a:ext>
          </a:extLst>
        </xdr:cNvPr>
        <xdr:cNvSpPr>
          <a:spLocks noChangeArrowheads="1"/>
        </xdr:cNvSpPr>
      </xdr:nvSpPr>
      <xdr:spPr>
        <a:xfrm>
          <a:off x="0" y="15290800"/>
          <a:ext cx="911225" cy="13970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303212</xdr:colOff>
      <xdr:row>136</xdr:row>
      <xdr:rowOff>12700</xdr:rowOff>
    </xdr:from>
    <xdr:to>
      <xdr:col>10</xdr:col>
      <xdr:colOff>296862</xdr:colOff>
      <xdr:row>137</xdr:row>
      <xdr:rowOff>50800</xdr:rowOff>
    </xdr:to>
    <xdr:sp macro="" textlink="">
      <xdr:nvSpPr>
        <xdr:cNvPr id="225" name="Freeform 832">
          <a:extLst>
            <a:ext uri="{FF2B5EF4-FFF2-40B4-BE49-F238E27FC236}">
              <a16:creationId xmlns:a16="http://schemas.microsoft.com/office/drawing/2014/main" id="{F4E4FF64-EB90-4089-9162-AB8738534A37}"/>
            </a:ext>
          </a:extLst>
        </xdr:cNvPr>
        <xdr:cNvSpPr>
          <a:spLocks noChangeArrowheads="1"/>
        </xdr:cNvSpPr>
      </xdr:nvSpPr>
      <xdr:spPr>
        <a:xfrm>
          <a:off x="4200525" y="11474450"/>
          <a:ext cx="1089025" cy="1809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304800</xdr:colOff>
      <xdr:row>136</xdr:row>
      <xdr:rowOff>6350</xdr:rowOff>
    </xdr:from>
    <xdr:to>
      <xdr:col>8</xdr:col>
      <xdr:colOff>298450</xdr:colOff>
      <xdr:row>137</xdr:row>
      <xdr:rowOff>44450</xdr:rowOff>
    </xdr:to>
    <xdr:sp macro="" textlink="">
      <xdr:nvSpPr>
        <xdr:cNvPr id="227" name="Freeform 832">
          <a:extLst>
            <a:ext uri="{FF2B5EF4-FFF2-40B4-BE49-F238E27FC236}">
              <a16:creationId xmlns:a16="http://schemas.microsoft.com/office/drawing/2014/main" id="{80F17170-5FB1-46C9-A0E9-F3619B93809D}"/>
            </a:ext>
          </a:extLst>
        </xdr:cNvPr>
        <xdr:cNvSpPr>
          <a:spLocks noChangeArrowheads="1"/>
        </xdr:cNvSpPr>
      </xdr:nvSpPr>
      <xdr:spPr>
        <a:xfrm>
          <a:off x="3106738" y="11468100"/>
          <a:ext cx="1089025" cy="1809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287337</xdr:colOff>
      <xdr:row>136</xdr:row>
      <xdr:rowOff>0</xdr:rowOff>
    </xdr:from>
    <xdr:to>
      <xdr:col>6</xdr:col>
      <xdr:colOff>280987</xdr:colOff>
      <xdr:row>137</xdr:row>
      <xdr:rowOff>38100</xdr:rowOff>
    </xdr:to>
    <xdr:sp macro="" textlink="">
      <xdr:nvSpPr>
        <xdr:cNvPr id="229" name="Freeform 832">
          <a:extLst>
            <a:ext uri="{FF2B5EF4-FFF2-40B4-BE49-F238E27FC236}">
              <a16:creationId xmlns:a16="http://schemas.microsoft.com/office/drawing/2014/main" id="{BF4646BC-F8FA-4D03-94E0-87B5452D5C30}"/>
            </a:ext>
          </a:extLst>
        </xdr:cNvPr>
        <xdr:cNvSpPr>
          <a:spLocks noChangeArrowheads="1"/>
        </xdr:cNvSpPr>
      </xdr:nvSpPr>
      <xdr:spPr>
        <a:xfrm>
          <a:off x="1993900" y="11461750"/>
          <a:ext cx="1089025" cy="1809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260350</xdr:colOff>
      <xdr:row>175</xdr:row>
      <xdr:rowOff>133350</xdr:rowOff>
    </xdr:from>
    <xdr:to>
      <xdr:col>8</xdr:col>
      <xdr:colOff>273050</xdr:colOff>
      <xdr:row>177</xdr:row>
      <xdr:rowOff>41275</xdr:rowOff>
    </xdr:to>
    <xdr:sp macro="" textlink="">
      <xdr:nvSpPr>
        <xdr:cNvPr id="165" name="Freeform 832">
          <a:extLst>
            <a:ext uri="{FF2B5EF4-FFF2-40B4-BE49-F238E27FC236}">
              <a16:creationId xmlns:a16="http://schemas.microsoft.com/office/drawing/2014/main" id="{57E9D334-D4FB-47B0-9802-C28FAD3CDEDF}"/>
            </a:ext>
          </a:extLst>
        </xdr:cNvPr>
        <xdr:cNvSpPr>
          <a:spLocks noChangeArrowheads="1"/>
        </xdr:cNvSpPr>
      </xdr:nvSpPr>
      <xdr:spPr>
        <a:xfrm>
          <a:off x="2698750" y="14027150"/>
          <a:ext cx="927100" cy="1873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247650</xdr:colOff>
      <xdr:row>176</xdr:row>
      <xdr:rowOff>6350</xdr:rowOff>
    </xdr:from>
    <xdr:to>
      <xdr:col>10</xdr:col>
      <xdr:colOff>260350</xdr:colOff>
      <xdr:row>177</xdr:row>
      <xdr:rowOff>53975</xdr:rowOff>
    </xdr:to>
    <xdr:sp macro="" textlink="">
      <xdr:nvSpPr>
        <xdr:cNvPr id="166" name="Freeform 832">
          <a:extLst>
            <a:ext uri="{FF2B5EF4-FFF2-40B4-BE49-F238E27FC236}">
              <a16:creationId xmlns:a16="http://schemas.microsoft.com/office/drawing/2014/main" id="{0D6BA18E-D56F-4F88-89A6-A83B42C924F7}"/>
            </a:ext>
          </a:extLst>
        </xdr:cNvPr>
        <xdr:cNvSpPr>
          <a:spLocks noChangeArrowheads="1"/>
        </xdr:cNvSpPr>
      </xdr:nvSpPr>
      <xdr:spPr>
        <a:xfrm>
          <a:off x="3600450" y="14039850"/>
          <a:ext cx="927100" cy="1873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285750</xdr:colOff>
      <xdr:row>58</xdr:row>
      <xdr:rowOff>133350</xdr:rowOff>
    </xdr:from>
    <xdr:to>
      <xdr:col>10</xdr:col>
      <xdr:colOff>288925</xdr:colOff>
      <xdr:row>60</xdr:row>
      <xdr:rowOff>41275</xdr:rowOff>
    </xdr:to>
    <xdr:sp macro="" textlink="">
      <xdr:nvSpPr>
        <xdr:cNvPr id="205" name="Freeform 832">
          <a:extLst>
            <a:ext uri="{FF2B5EF4-FFF2-40B4-BE49-F238E27FC236}">
              <a16:creationId xmlns:a16="http://schemas.microsoft.com/office/drawing/2014/main" id="{BF83B415-D61A-42B4-9F78-B09BA74BC1B6}"/>
            </a:ext>
          </a:extLst>
        </xdr:cNvPr>
        <xdr:cNvSpPr>
          <a:spLocks noChangeArrowheads="1"/>
        </xdr:cNvSpPr>
      </xdr:nvSpPr>
      <xdr:spPr>
        <a:xfrm>
          <a:off x="4171950" y="6064250"/>
          <a:ext cx="1095375" cy="18732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311150</xdr:colOff>
      <xdr:row>59</xdr:row>
      <xdr:rowOff>23812</xdr:rowOff>
    </xdr:from>
    <xdr:to>
      <xdr:col>12</xdr:col>
      <xdr:colOff>293687</xdr:colOff>
      <xdr:row>60</xdr:row>
      <xdr:rowOff>79375</xdr:rowOff>
    </xdr:to>
    <xdr:sp macro="" textlink="">
      <xdr:nvSpPr>
        <xdr:cNvPr id="207" name="Freeform 832">
          <a:extLst>
            <a:ext uri="{FF2B5EF4-FFF2-40B4-BE49-F238E27FC236}">
              <a16:creationId xmlns:a16="http://schemas.microsoft.com/office/drawing/2014/main" id="{740BC1AA-B153-44C6-8005-A6C376C367AB}"/>
            </a:ext>
          </a:extLst>
        </xdr:cNvPr>
        <xdr:cNvSpPr>
          <a:spLocks noChangeArrowheads="1"/>
        </xdr:cNvSpPr>
      </xdr:nvSpPr>
      <xdr:spPr>
        <a:xfrm>
          <a:off x="5303838" y="619918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301624</xdr:colOff>
      <xdr:row>19</xdr:row>
      <xdr:rowOff>31749</xdr:rowOff>
    </xdr:from>
    <xdr:to>
      <xdr:col>6</xdr:col>
      <xdr:colOff>254000</xdr:colOff>
      <xdr:row>20</xdr:row>
      <xdr:rowOff>95249</xdr:rowOff>
    </xdr:to>
    <xdr:sp macro="" textlink="">
      <xdr:nvSpPr>
        <xdr:cNvPr id="200" name="Freeform 283">
          <a:extLst>
            <a:ext uri="{FF2B5EF4-FFF2-40B4-BE49-F238E27FC236}">
              <a16:creationId xmlns:a16="http://schemas.microsoft.com/office/drawing/2014/main" id="{961131A0-E57A-4B57-9573-48672837D467}"/>
            </a:ext>
          </a:extLst>
        </xdr:cNvPr>
        <xdr:cNvSpPr>
          <a:spLocks noChangeArrowheads="1"/>
        </xdr:cNvSpPr>
      </xdr:nvSpPr>
      <xdr:spPr>
        <a:xfrm>
          <a:off x="2008187" y="3349624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317509</xdr:colOff>
      <xdr:row>19</xdr:row>
      <xdr:rowOff>15875</xdr:rowOff>
    </xdr:from>
    <xdr:to>
      <xdr:col>8</xdr:col>
      <xdr:colOff>269885</xdr:colOff>
      <xdr:row>20</xdr:row>
      <xdr:rowOff>79375</xdr:rowOff>
    </xdr:to>
    <xdr:sp macro="" textlink="">
      <xdr:nvSpPr>
        <xdr:cNvPr id="222" name="Freeform 283">
          <a:extLst>
            <a:ext uri="{FF2B5EF4-FFF2-40B4-BE49-F238E27FC236}">
              <a16:creationId xmlns:a16="http://schemas.microsoft.com/office/drawing/2014/main" id="{99E75708-E271-4633-82CE-65D263714FA5}"/>
            </a:ext>
          </a:extLst>
        </xdr:cNvPr>
        <xdr:cNvSpPr>
          <a:spLocks noChangeArrowheads="1"/>
        </xdr:cNvSpPr>
      </xdr:nvSpPr>
      <xdr:spPr>
        <a:xfrm>
          <a:off x="3119447" y="3333750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341312</xdr:colOff>
      <xdr:row>19</xdr:row>
      <xdr:rowOff>31750</xdr:rowOff>
    </xdr:from>
    <xdr:to>
      <xdr:col>10</xdr:col>
      <xdr:colOff>293688</xdr:colOff>
      <xdr:row>20</xdr:row>
      <xdr:rowOff>95250</xdr:rowOff>
    </xdr:to>
    <xdr:sp macro="" textlink="">
      <xdr:nvSpPr>
        <xdr:cNvPr id="230" name="Freeform 283">
          <a:extLst>
            <a:ext uri="{FF2B5EF4-FFF2-40B4-BE49-F238E27FC236}">
              <a16:creationId xmlns:a16="http://schemas.microsoft.com/office/drawing/2014/main" id="{6EC9F9F8-886C-430F-AABA-9C0D18BEDBC2}"/>
            </a:ext>
          </a:extLst>
        </xdr:cNvPr>
        <xdr:cNvSpPr>
          <a:spLocks noChangeArrowheads="1"/>
        </xdr:cNvSpPr>
      </xdr:nvSpPr>
      <xdr:spPr>
        <a:xfrm>
          <a:off x="4238625" y="3349625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325438</xdr:colOff>
      <xdr:row>19</xdr:row>
      <xdr:rowOff>39689</xdr:rowOff>
    </xdr:from>
    <xdr:to>
      <xdr:col>12</xdr:col>
      <xdr:colOff>254001</xdr:colOff>
      <xdr:row>20</xdr:row>
      <xdr:rowOff>119064</xdr:rowOff>
    </xdr:to>
    <xdr:sp macro="" textlink="">
      <xdr:nvSpPr>
        <xdr:cNvPr id="231" name="Freeform 283">
          <a:extLst>
            <a:ext uri="{FF2B5EF4-FFF2-40B4-BE49-F238E27FC236}">
              <a16:creationId xmlns:a16="http://schemas.microsoft.com/office/drawing/2014/main" id="{F873EE6C-D6AD-4F72-83C2-766A8E60A23D}"/>
            </a:ext>
          </a:extLst>
        </xdr:cNvPr>
        <xdr:cNvSpPr>
          <a:spLocks noChangeArrowheads="1"/>
        </xdr:cNvSpPr>
      </xdr:nvSpPr>
      <xdr:spPr>
        <a:xfrm>
          <a:off x="5318126" y="3357564"/>
          <a:ext cx="1023938" cy="222250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341312</xdr:colOff>
      <xdr:row>19</xdr:row>
      <xdr:rowOff>15875</xdr:rowOff>
    </xdr:from>
    <xdr:to>
      <xdr:col>14</xdr:col>
      <xdr:colOff>293688</xdr:colOff>
      <xdr:row>20</xdr:row>
      <xdr:rowOff>79375</xdr:rowOff>
    </xdr:to>
    <xdr:sp macro="" textlink="">
      <xdr:nvSpPr>
        <xdr:cNvPr id="232" name="Freeform 283">
          <a:extLst>
            <a:ext uri="{FF2B5EF4-FFF2-40B4-BE49-F238E27FC236}">
              <a16:creationId xmlns:a16="http://schemas.microsoft.com/office/drawing/2014/main" id="{F590690D-79FC-4454-8580-89C986647967}"/>
            </a:ext>
          </a:extLst>
        </xdr:cNvPr>
        <xdr:cNvSpPr>
          <a:spLocks noChangeArrowheads="1"/>
        </xdr:cNvSpPr>
      </xdr:nvSpPr>
      <xdr:spPr>
        <a:xfrm>
          <a:off x="6429375" y="3333750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349249</xdr:colOff>
      <xdr:row>19</xdr:row>
      <xdr:rowOff>0</xdr:rowOff>
    </xdr:from>
    <xdr:to>
      <xdr:col>16</xdr:col>
      <xdr:colOff>301625</xdr:colOff>
      <xdr:row>20</xdr:row>
      <xdr:rowOff>63500</xdr:rowOff>
    </xdr:to>
    <xdr:sp macro="" textlink="">
      <xdr:nvSpPr>
        <xdr:cNvPr id="238" name="Freeform 283">
          <a:extLst>
            <a:ext uri="{FF2B5EF4-FFF2-40B4-BE49-F238E27FC236}">
              <a16:creationId xmlns:a16="http://schemas.microsoft.com/office/drawing/2014/main" id="{005D36D7-CF2F-4A0C-A06E-6FB8869D5BAE}"/>
            </a:ext>
          </a:extLst>
        </xdr:cNvPr>
        <xdr:cNvSpPr>
          <a:spLocks noChangeArrowheads="1"/>
        </xdr:cNvSpPr>
      </xdr:nvSpPr>
      <xdr:spPr>
        <a:xfrm>
          <a:off x="7532687" y="3317875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325437</xdr:colOff>
      <xdr:row>19</xdr:row>
      <xdr:rowOff>23812</xdr:rowOff>
    </xdr:from>
    <xdr:to>
      <xdr:col>18</xdr:col>
      <xdr:colOff>277813</xdr:colOff>
      <xdr:row>20</xdr:row>
      <xdr:rowOff>87312</xdr:rowOff>
    </xdr:to>
    <xdr:sp macro="" textlink="">
      <xdr:nvSpPr>
        <xdr:cNvPr id="247" name="Freeform 283">
          <a:extLst>
            <a:ext uri="{FF2B5EF4-FFF2-40B4-BE49-F238E27FC236}">
              <a16:creationId xmlns:a16="http://schemas.microsoft.com/office/drawing/2014/main" id="{52260E5F-5179-431A-BDAB-A0D19150C798}"/>
            </a:ext>
          </a:extLst>
        </xdr:cNvPr>
        <xdr:cNvSpPr>
          <a:spLocks noChangeArrowheads="1"/>
        </xdr:cNvSpPr>
      </xdr:nvSpPr>
      <xdr:spPr>
        <a:xfrm>
          <a:off x="8604250" y="3341687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317500</xdr:colOff>
      <xdr:row>19</xdr:row>
      <xdr:rowOff>63500</xdr:rowOff>
    </xdr:from>
    <xdr:to>
      <xdr:col>20</xdr:col>
      <xdr:colOff>269876</xdr:colOff>
      <xdr:row>20</xdr:row>
      <xdr:rowOff>127000</xdr:rowOff>
    </xdr:to>
    <xdr:sp macro="" textlink="">
      <xdr:nvSpPr>
        <xdr:cNvPr id="248" name="Freeform 283">
          <a:extLst>
            <a:ext uri="{FF2B5EF4-FFF2-40B4-BE49-F238E27FC236}">
              <a16:creationId xmlns:a16="http://schemas.microsoft.com/office/drawing/2014/main" id="{C6690DBD-1339-41B1-A679-8C3A7D104EB0}"/>
            </a:ext>
          </a:extLst>
        </xdr:cNvPr>
        <xdr:cNvSpPr>
          <a:spLocks noChangeArrowheads="1"/>
        </xdr:cNvSpPr>
      </xdr:nvSpPr>
      <xdr:spPr>
        <a:xfrm>
          <a:off x="9691688" y="3381375"/>
          <a:ext cx="1047751" cy="206375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293681</xdr:colOff>
      <xdr:row>59</xdr:row>
      <xdr:rowOff>0</xdr:rowOff>
    </xdr:from>
    <xdr:to>
      <xdr:col>14</xdr:col>
      <xdr:colOff>276218</xdr:colOff>
      <xdr:row>60</xdr:row>
      <xdr:rowOff>55563</xdr:rowOff>
    </xdr:to>
    <xdr:sp macro="" textlink="">
      <xdr:nvSpPr>
        <xdr:cNvPr id="250" name="Freeform 832">
          <a:extLst>
            <a:ext uri="{FF2B5EF4-FFF2-40B4-BE49-F238E27FC236}">
              <a16:creationId xmlns:a16="http://schemas.microsoft.com/office/drawing/2014/main" id="{C776B1D3-D628-44D5-AC38-6CEA84D35433}"/>
            </a:ext>
          </a:extLst>
        </xdr:cNvPr>
        <xdr:cNvSpPr>
          <a:spLocks noChangeArrowheads="1"/>
        </xdr:cNvSpPr>
      </xdr:nvSpPr>
      <xdr:spPr>
        <a:xfrm>
          <a:off x="6381744" y="61753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309558</xdr:colOff>
      <xdr:row>59</xdr:row>
      <xdr:rowOff>0</xdr:rowOff>
    </xdr:from>
    <xdr:to>
      <xdr:col>16</xdr:col>
      <xdr:colOff>292095</xdr:colOff>
      <xdr:row>60</xdr:row>
      <xdr:rowOff>55563</xdr:rowOff>
    </xdr:to>
    <xdr:sp macro="" textlink="">
      <xdr:nvSpPr>
        <xdr:cNvPr id="256" name="Freeform 832">
          <a:extLst>
            <a:ext uri="{FF2B5EF4-FFF2-40B4-BE49-F238E27FC236}">
              <a16:creationId xmlns:a16="http://schemas.microsoft.com/office/drawing/2014/main" id="{0F3FE157-18BF-4335-A6FA-24944E0CBE0C}"/>
            </a:ext>
          </a:extLst>
        </xdr:cNvPr>
        <xdr:cNvSpPr>
          <a:spLocks noChangeArrowheads="1"/>
        </xdr:cNvSpPr>
      </xdr:nvSpPr>
      <xdr:spPr>
        <a:xfrm>
          <a:off x="7492996" y="61753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285747</xdr:colOff>
      <xdr:row>59</xdr:row>
      <xdr:rowOff>0</xdr:rowOff>
    </xdr:from>
    <xdr:to>
      <xdr:col>18</xdr:col>
      <xdr:colOff>268284</xdr:colOff>
      <xdr:row>60</xdr:row>
      <xdr:rowOff>55563</xdr:rowOff>
    </xdr:to>
    <xdr:sp macro="" textlink="">
      <xdr:nvSpPr>
        <xdr:cNvPr id="257" name="Freeform 832">
          <a:extLst>
            <a:ext uri="{FF2B5EF4-FFF2-40B4-BE49-F238E27FC236}">
              <a16:creationId xmlns:a16="http://schemas.microsoft.com/office/drawing/2014/main" id="{69B16CC3-6693-4A88-8214-019D184CBEDA}"/>
            </a:ext>
          </a:extLst>
        </xdr:cNvPr>
        <xdr:cNvSpPr>
          <a:spLocks noChangeArrowheads="1"/>
        </xdr:cNvSpPr>
      </xdr:nvSpPr>
      <xdr:spPr>
        <a:xfrm>
          <a:off x="8564560" y="61753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301617</xdr:colOff>
      <xdr:row>59</xdr:row>
      <xdr:rowOff>0</xdr:rowOff>
    </xdr:from>
    <xdr:to>
      <xdr:col>20</xdr:col>
      <xdr:colOff>284154</xdr:colOff>
      <xdr:row>60</xdr:row>
      <xdr:rowOff>55563</xdr:rowOff>
    </xdr:to>
    <xdr:sp macro="" textlink="">
      <xdr:nvSpPr>
        <xdr:cNvPr id="259" name="Freeform 832">
          <a:extLst>
            <a:ext uri="{FF2B5EF4-FFF2-40B4-BE49-F238E27FC236}">
              <a16:creationId xmlns:a16="http://schemas.microsoft.com/office/drawing/2014/main" id="{1475B7D1-0D4B-4ECF-BF35-44B2BD5893E6}"/>
            </a:ext>
          </a:extLst>
        </xdr:cNvPr>
        <xdr:cNvSpPr>
          <a:spLocks noChangeArrowheads="1"/>
        </xdr:cNvSpPr>
      </xdr:nvSpPr>
      <xdr:spPr>
        <a:xfrm>
          <a:off x="9675805" y="61753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317499</xdr:colOff>
      <xdr:row>59</xdr:row>
      <xdr:rowOff>0</xdr:rowOff>
    </xdr:from>
    <xdr:to>
      <xdr:col>22</xdr:col>
      <xdr:colOff>300036</xdr:colOff>
      <xdr:row>60</xdr:row>
      <xdr:rowOff>55563</xdr:rowOff>
    </xdr:to>
    <xdr:sp macro="" textlink="">
      <xdr:nvSpPr>
        <xdr:cNvPr id="265" name="Freeform 832">
          <a:extLst>
            <a:ext uri="{FF2B5EF4-FFF2-40B4-BE49-F238E27FC236}">
              <a16:creationId xmlns:a16="http://schemas.microsoft.com/office/drawing/2014/main" id="{3C543465-4270-43CA-A95C-A86EFEF5A945}"/>
            </a:ext>
          </a:extLst>
        </xdr:cNvPr>
        <xdr:cNvSpPr>
          <a:spLocks noChangeArrowheads="1"/>
        </xdr:cNvSpPr>
      </xdr:nvSpPr>
      <xdr:spPr>
        <a:xfrm>
          <a:off x="10787062" y="61753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317500</xdr:colOff>
      <xdr:row>59</xdr:row>
      <xdr:rowOff>23812</xdr:rowOff>
    </xdr:from>
    <xdr:to>
      <xdr:col>24</xdr:col>
      <xdr:colOff>300037</xdr:colOff>
      <xdr:row>60</xdr:row>
      <xdr:rowOff>79375</xdr:rowOff>
    </xdr:to>
    <xdr:sp macro="" textlink="">
      <xdr:nvSpPr>
        <xdr:cNvPr id="266" name="Freeform 832">
          <a:extLst>
            <a:ext uri="{FF2B5EF4-FFF2-40B4-BE49-F238E27FC236}">
              <a16:creationId xmlns:a16="http://schemas.microsoft.com/office/drawing/2014/main" id="{04D3EE07-4C93-4A33-8722-502111BF6A15}"/>
            </a:ext>
          </a:extLst>
        </xdr:cNvPr>
        <xdr:cNvSpPr>
          <a:spLocks noChangeArrowheads="1"/>
        </xdr:cNvSpPr>
      </xdr:nvSpPr>
      <xdr:spPr>
        <a:xfrm>
          <a:off x="11882438" y="619918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309562</xdr:colOff>
      <xdr:row>59</xdr:row>
      <xdr:rowOff>31750</xdr:rowOff>
    </xdr:from>
    <xdr:to>
      <xdr:col>26</xdr:col>
      <xdr:colOff>165099</xdr:colOff>
      <xdr:row>60</xdr:row>
      <xdr:rowOff>87313</xdr:rowOff>
    </xdr:to>
    <xdr:sp macro="" textlink="">
      <xdr:nvSpPr>
        <xdr:cNvPr id="268" name="Freeform 832">
          <a:extLst>
            <a:ext uri="{FF2B5EF4-FFF2-40B4-BE49-F238E27FC236}">
              <a16:creationId xmlns:a16="http://schemas.microsoft.com/office/drawing/2014/main" id="{5671EBB0-85A6-4533-88AE-3336C906A7D5}"/>
            </a:ext>
          </a:extLst>
        </xdr:cNvPr>
        <xdr:cNvSpPr>
          <a:spLocks noChangeArrowheads="1"/>
        </xdr:cNvSpPr>
      </xdr:nvSpPr>
      <xdr:spPr>
        <a:xfrm>
          <a:off x="12969875" y="620712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78</xdr:row>
      <xdr:rowOff>31750</xdr:rowOff>
    </xdr:from>
    <xdr:to>
      <xdr:col>2</xdr:col>
      <xdr:colOff>269875</xdr:colOff>
      <xdr:row>79</xdr:row>
      <xdr:rowOff>55563</xdr:rowOff>
    </xdr:to>
    <xdr:sp macro="" textlink="">
      <xdr:nvSpPr>
        <xdr:cNvPr id="275" name="Freeform 832">
          <a:extLst>
            <a:ext uri="{FF2B5EF4-FFF2-40B4-BE49-F238E27FC236}">
              <a16:creationId xmlns:a16="http://schemas.microsoft.com/office/drawing/2014/main" id="{4FA8C9C0-067C-4A88-999E-C2B16469372E}"/>
            </a:ext>
          </a:extLst>
        </xdr:cNvPr>
        <xdr:cNvSpPr>
          <a:spLocks noChangeArrowheads="1"/>
        </xdr:cNvSpPr>
      </xdr:nvSpPr>
      <xdr:spPr>
        <a:xfrm>
          <a:off x="0" y="7493000"/>
          <a:ext cx="881063" cy="16668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285749</xdr:colOff>
      <xdr:row>78</xdr:row>
      <xdr:rowOff>15875</xdr:rowOff>
    </xdr:from>
    <xdr:to>
      <xdr:col>4</xdr:col>
      <xdr:colOff>268286</xdr:colOff>
      <xdr:row>79</xdr:row>
      <xdr:rowOff>71438</xdr:rowOff>
    </xdr:to>
    <xdr:sp macro="" textlink="">
      <xdr:nvSpPr>
        <xdr:cNvPr id="276" name="Freeform 832">
          <a:extLst>
            <a:ext uri="{FF2B5EF4-FFF2-40B4-BE49-F238E27FC236}">
              <a16:creationId xmlns:a16="http://schemas.microsoft.com/office/drawing/2014/main" id="{54947449-2CAA-4723-A3F6-112FF062F391}"/>
            </a:ext>
          </a:extLst>
        </xdr:cNvPr>
        <xdr:cNvSpPr>
          <a:spLocks noChangeArrowheads="1"/>
        </xdr:cNvSpPr>
      </xdr:nvSpPr>
      <xdr:spPr>
        <a:xfrm>
          <a:off x="896937" y="747712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301624</xdr:colOff>
      <xdr:row>78</xdr:row>
      <xdr:rowOff>7937</xdr:rowOff>
    </xdr:from>
    <xdr:to>
      <xdr:col>6</xdr:col>
      <xdr:colOff>284161</xdr:colOff>
      <xdr:row>79</xdr:row>
      <xdr:rowOff>63500</xdr:rowOff>
    </xdr:to>
    <xdr:sp macro="" textlink="">
      <xdr:nvSpPr>
        <xdr:cNvPr id="278" name="Freeform 832">
          <a:extLst>
            <a:ext uri="{FF2B5EF4-FFF2-40B4-BE49-F238E27FC236}">
              <a16:creationId xmlns:a16="http://schemas.microsoft.com/office/drawing/2014/main" id="{900784D9-3C6F-4CB1-B399-164DBC893C00}"/>
            </a:ext>
          </a:extLst>
        </xdr:cNvPr>
        <xdr:cNvSpPr>
          <a:spLocks noChangeArrowheads="1"/>
        </xdr:cNvSpPr>
      </xdr:nvSpPr>
      <xdr:spPr>
        <a:xfrm>
          <a:off x="2008187" y="746918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301624</xdr:colOff>
      <xdr:row>78</xdr:row>
      <xdr:rowOff>0</xdr:rowOff>
    </xdr:from>
    <xdr:to>
      <xdr:col>8</xdr:col>
      <xdr:colOff>284161</xdr:colOff>
      <xdr:row>79</xdr:row>
      <xdr:rowOff>55563</xdr:rowOff>
    </xdr:to>
    <xdr:sp macro="" textlink="">
      <xdr:nvSpPr>
        <xdr:cNvPr id="285" name="Freeform 832">
          <a:extLst>
            <a:ext uri="{FF2B5EF4-FFF2-40B4-BE49-F238E27FC236}">
              <a16:creationId xmlns:a16="http://schemas.microsoft.com/office/drawing/2014/main" id="{51F0869A-AAE9-4D33-9595-8E43F9E8729D}"/>
            </a:ext>
          </a:extLst>
        </xdr:cNvPr>
        <xdr:cNvSpPr>
          <a:spLocks noChangeArrowheads="1"/>
        </xdr:cNvSpPr>
      </xdr:nvSpPr>
      <xdr:spPr>
        <a:xfrm>
          <a:off x="3103562" y="7461250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309562</xdr:colOff>
      <xdr:row>78</xdr:row>
      <xdr:rowOff>0</xdr:rowOff>
    </xdr:from>
    <xdr:to>
      <xdr:col>10</xdr:col>
      <xdr:colOff>292099</xdr:colOff>
      <xdr:row>79</xdr:row>
      <xdr:rowOff>55563</xdr:rowOff>
    </xdr:to>
    <xdr:sp macro="" textlink="">
      <xdr:nvSpPr>
        <xdr:cNvPr id="286" name="Freeform 832">
          <a:extLst>
            <a:ext uri="{FF2B5EF4-FFF2-40B4-BE49-F238E27FC236}">
              <a16:creationId xmlns:a16="http://schemas.microsoft.com/office/drawing/2014/main" id="{F3952D02-6900-4029-9FAD-BC575A43D535}"/>
            </a:ext>
          </a:extLst>
        </xdr:cNvPr>
        <xdr:cNvSpPr>
          <a:spLocks noChangeArrowheads="1"/>
        </xdr:cNvSpPr>
      </xdr:nvSpPr>
      <xdr:spPr>
        <a:xfrm>
          <a:off x="4206875" y="7461250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309562</xdr:colOff>
      <xdr:row>78</xdr:row>
      <xdr:rowOff>7938</xdr:rowOff>
    </xdr:from>
    <xdr:to>
      <xdr:col>12</xdr:col>
      <xdr:colOff>292099</xdr:colOff>
      <xdr:row>79</xdr:row>
      <xdr:rowOff>63501</xdr:rowOff>
    </xdr:to>
    <xdr:sp macro="" textlink="">
      <xdr:nvSpPr>
        <xdr:cNvPr id="288" name="Freeform 832">
          <a:extLst>
            <a:ext uri="{FF2B5EF4-FFF2-40B4-BE49-F238E27FC236}">
              <a16:creationId xmlns:a16="http://schemas.microsoft.com/office/drawing/2014/main" id="{D453E76A-8189-43C7-A059-26783F4F273A}"/>
            </a:ext>
          </a:extLst>
        </xdr:cNvPr>
        <xdr:cNvSpPr>
          <a:spLocks noChangeArrowheads="1"/>
        </xdr:cNvSpPr>
      </xdr:nvSpPr>
      <xdr:spPr>
        <a:xfrm>
          <a:off x="5302250" y="7469188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293687</xdr:colOff>
      <xdr:row>77</xdr:row>
      <xdr:rowOff>134938</xdr:rowOff>
    </xdr:from>
    <xdr:to>
      <xdr:col>24</xdr:col>
      <xdr:colOff>276224</xdr:colOff>
      <xdr:row>79</xdr:row>
      <xdr:rowOff>47626</xdr:rowOff>
    </xdr:to>
    <xdr:sp macro="" textlink="">
      <xdr:nvSpPr>
        <xdr:cNvPr id="294" name="Freeform 832">
          <a:extLst>
            <a:ext uri="{FF2B5EF4-FFF2-40B4-BE49-F238E27FC236}">
              <a16:creationId xmlns:a16="http://schemas.microsoft.com/office/drawing/2014/main" id="{456D0FD5-DC3A-4A2F-9BFB-9AA00110B04F}"/>
            </a:ext>
          </a:extLst>
        </xdr:cNvPr>
        <xdr:cNvSpPr>
          <a:spLocks noChangeArrowheads="1"/>
        </xdr:cNvSpPr>
      </xdr:nvSpPr>
      <xdr:spPr>
        <a:xfrm>
          <a:off x="11858625" y="7453313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293687</xdr:colOff>
      <xdr:row>77</xdr:row>
      <xdr:rowOff>134937</xdr:rowOff>
    </xdr:from>
    <xdr:to>
      <xdr:col>26</xdr:col>
      <xdr:colOff>149224</xdr:colOff>
      <xdr:row>79</xdr:row>
      <xdr:rowOff>47625</xdr:rowOff>
    </xdr:to>
    <xdr:sp macro="" textlink="">
      <xdr:nvSpPr>
        <xdr:cNvPr id="295" name="Freeform 832">
          <a:extLst>
            <a:ext uri="{FF2B5EF4-FFF2-40B4-BE49-F238E27FC236}">
              <a16:creationId xmlns:a16="http://schemas.microsoft.com/office/drawing/2014/main" id="{7B5142B5-C6B1-4567-9194-005661696E60}"/>
            </a:ext>
          </a:extLst>
        </xdr:cNvPr>
        <xdr:cNvSpPr>
          <a:spLocks noChangeArrowheads="1"/>
        </xdr:cNvSpPr>
      </xdr:nvSpPr>
      <xdr:spPr>
        <a:xfrm>
          <a:off x="12954000" y="7453312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97</xdr:row>
      <xdr:rowOff>31750</xdr:rowOff>
    </xdr:from>
    <xdr:to>
      <xdr:col>2</xdr:col>
      <xdr:colOff>269875</xdr:colOff>
      <xdr:row>98</xdr:row>
      <xdr:rowOff>55563</xdr:rowOff>
    </xdr:to>
    <xdr:sp macro="" textlink="">
      <xdr:nvSpPr>
        <xdr:cNvPr id="297" name="Freeform 832">
          <a:extLst>
            <a:ext uri="{FF2B5EF4-FFF2-40B4-BE49-F238E27FC236}">
              <a16:creationId xmlns:a16="http://schemas.microsoft.com/office/drawing/2014/main" id="{70818916-4EAF-4610-9597-E5218DD1D057}"/>
            </a:ext>
          </a:extLst>
        </xdr:cNvPr>
        <xdr:cNvSpPr>
          <a:spLocks noChangeArrowheads="1"/>
        </xdr:cNvSpPr>
      </xdr:nvSpPr>
      <xdr:spPr>
        <a:xfrm>
          <a:off x="0" y="8778875"/>
          <a:ext cx="881063" cy="16668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317500</xdr:colOff>
      <xdr:row>97</xdr:row>
      <xdr:rowOff>23812</xdr:rowOff>
    </xdr:from>
    <xdr:to>
      <xdr:col>4</xdr:col>
      <xdr:colOff>300037</xdr:colOff>
      <xdr:row>98</xdr:row>
      <xdr:rowOff>79375</xdr:rowOff>
    </xdr:to>
    <xdr:sp macro="" textlink="">
      <xdr:nvSpPr>
        <xdr:cNvPr id="303" name="Freeform 832">
          <a:extLst>
            <a:ext uri="{FF2B5EF4-FFF2-40B4-BE49-F238E27FC236}">
              <a16:creationId xmlns:a16="http://schemas.microsoft.com/office/drawing/2014/main" id="{1DD92DA9-144A-4B65-A51C-ACFB2A51E31C}"/>
            </a:ext>
          </a:extLst>
        </xdr:cNvPr>
        <xdr:cNvSpPr>
          <a:spLocks noChangeArrowheads="1"/>
        </xdr:cNvSpPr>
      </xdr:nvSpPr>
      <xdr:spPr>
        <a:xfrm>
          <a:off x="928688" y="877093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325437</xdr:colOff>
      <xdr:row>97</xdr:row>
      <xdr:rowOff>31750</xdr:rowOff>
    </xdr:from>
    <xdr:to>
      <xdr:col>6</xdr:col>
      <xdr:colOff>307974</xdr:colOff>
      <xdr:row>98</xdr:row>
      <xdr:rowOff>87313</xdr:rowOff>
    </xdr:to>
    <xdr:sp macro="" textlink="">
      <xdr:nvSpPr>
        <xdr:cNvPr id="304" name="Freeform 832">
          <a:extLst>
            <a:ext uri="{FF2B5EF4-FFF2-40B4-BE49-F238E27FC236}">
              <a16:creationId xmlns:a16="http://schemas.microsoft.com/office/drawing/2014/main" id="{C5B298B7-9754-4954-86D4-3918210D5231}"/>
            </a:ext>
          </a:extLst>
        </xdr:cNvPr>
        <xdr:cNvSpPr>
          <a:spLocks noChangeArrowheads="1"/>
        </xdr:cNvSpPr>
      </xdr:nvSpPr>
      <xdr:spPr>
        <a:xfrm>
          <a:off x="2032000" y="877887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301624</xdr:colOff>
      <xdr:row>97</xdr:row>
      <xdr:rowOff>23813</xdr:rowOff>
    </xdr:from>
    <xdr:to>
      <xdr:col>8</xdr:col>
      <xdr:colOff>284161</xdr:colOff>
      <xdr:row>98</xdr:row>
      <xdr:rowOff>79376</xdr:rowOff>
    </xdr:to>
    <xdr:sp macro="" textlink="">
      <xdr:nvSpPr>
        <xdr:cNvPr id="306" name="Freeform 832">
          <a:extLst>
            <a:ext uri="{FF2B5EF4-FFF2-40B4-BE49-F238E27FC236}">
              <a16:creationId xmlns:a16="http://schemas.microsoft.com/office/drawing/2014/main" id="{FEAA4C64-D004-48F2-86F0-A6B5FE775E07}"/>
            </a:ext>
          </a:extLst>
        </xdr:cNvPr>
        <xdr:cNvSpPr>
          <a:spLocks noChangeArrowheads="1"/>
        </xdr:cNvSpPr>
      </xdr:nvSpPr>
      <xdr:spPr>
        <a:xfrm>
          <a:off x="3103562" y="8770938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317500</xdr:colOff>
      <xdr:row>97</xdr:row>
      <xdr:rowOff>23812</xdr:rowOff>
    </xdr:from>
    <xdr:to>
      <xdr:col>10</xdr:col>
      <xdr:colOff>300037</xdr:colOff>
      <xdr:row>98</xdr:row>
      <xdr:rowOff>79375</xdr:rowOff>
    </xdr:to>
    <xdr:sp macro="" textlink="">
      <xdr:nvSpPr>
        <xdr:cNvPr id="311" name="Freeform 832">
          <a:extLst>
            <a:ext uri="{FF2B5EF4-FFF2-40B4-BE49-F238E27FC236}">
              <a16:creationId xmlns:a16="http://schemas.microsoft.com/office/drawing/2014/main" id="{CB1E15CD-F3CD-42C5-A2D2-CC17B705C305}"/>
            </a:ext>
          </a:extLst>
        </xdr:cNvPr>
        <xdr:cNvSpPr>
          <a:spLocks noChangeArrowheads="1"/>
        </xdr:cNvSpPr>
      </xdr:nvSpPr>
      <xdr:spPr>
        <a:xfrm>
          <a:off x="4214813" y="877093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301625</xdr:colOff>
      <xdr:row>117</xdr:row>
      <xdr:rowOff>7937</xdr:rowOff>
    </xdr:from>
    <xdr:to>
      <xdr:col>12</xdr:col>
      <xdr:colOff>284162</xdr:colOff>
      <xdr:row>118</xdr:row>
      <xdr:rowOff>63500</xdr:rowOff>
    </xdr:to>
    <xdr:sp macro="" textlink="">
      <xdr:nvSpPr>
        <xdr:cNvPr id="312" name="Freeform 832">
          <a:extLst>
            <a:ext uri="{FF2B5EF4-FFF2-40B4-BE49-F238E27FC236}">
              <a16:creationId xmlns:a16="http://schemas.microsoft.com/office/drawing/2014/main" id="{751F0611-BB30-4D0F-A087-0E0006C962CE}"/>
            </a:ext>
          </a:extLst>
        </xdr:cNvPr>
        <xdr:cNvSpPr>
          <a:spLocks noChangeArrowheads="1"/>
        </xdr:cNvSpPr>
      </xdr:nvSpPr>
      <xdr:spPr>
        <a:xfrm>
          <a:off x="5294313" y="10183812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317499</xdr:colOff>
      <xdr:row>117</xdr:row>
      <xdr:rowOff>7938</xdr:rowOff>
    </xdr:from>
    <xdr:to>
      <xdr:col>14</xdr:col>
      <xdr:colOff>300036</xdr:colOff>
      <xdr:row>118</xdr:row>
      <xdr:rowOff>63501</xdr:rowOff>
    </xdr:to>
    <xdr:sp macro="" textlink="">
      <xdr:nvSpPr>
        <xdr:cNvPr id="314" name="Freeform 832">
          <a:extLst>
            <a:ext uri="{FF2B5EF4-FFF2-40B4-BE49-F238E27FC236}">
              <a16:creationId xmlns:a16="http://schemas.microsoft.com/office/drawing/2014/main" id="{231DA0BA-24D1-48D9-BD6F-DB4A943EC3D3}"/>
            </a:ext>
          </a:extLst>
        </xdr:cNvPr>
        <xdr:cNvSpPr>
          <a:spLocks noChangeArrowheads="1"/>
        </xdr:cNvSpPr>
      </xdr:nvSpPr>
      <xdr:spPr>
        <a:xfrm>
          <a:off x="6405562" y="10183813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317500</xdr:colOff>
      <xdr:row>117</xdr:row>
      <xdr:rowOff>15875</xdr:rowOff>
    </xdr:from>
    <xdr:to>
      <xdr:col>16</xdr:col>
      <xdr:colOff>300037</xdr:colOff>
      <xdr:row>118</xdr:row>
      <xdr:rowOff>71438</xdr:rowOff>
    </xdr:to>
    <xdr:sp macro="" textlink="">
      <xdr:nvSpPr>
        <xdr:cNvPr id="319" name="Freeform 832">
          <a:extLst>
            <a:ext uri="{FF2B5EF4-FFF2-40B4-BE49-F238E27FC236}">
              <a16:creationId xmlns:a16="http://schemas.microsoft.com/office/drawing/2014/main" id="{C57A5382-CFB2-41DC-B35E-D38EE1F0EA3B}"/>
            </a:ext>
          </a:extLst>
        </xdr:cNvPr>
        <xdr:cNvSpPr>
          <a:spLocks noChangeArrowheads="1"/>
        </xdr:cNvSpPr>
      </xdr:nvSpPr>
      <xdr:spPr>
        <a:xfrm>
          <a:off x="7500938" y="10191750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317499</xdr:colOff>
      <xdr:row>176</xdr:row>
      <xdr:rowOff>15875</xdr:rowOff>
    </xdr:from>
    <xdr:to>
      <xdr:col>12</xdr:col>
      <xdr:colOff>300036</xdr:colOff>
      <xdr:row>177</xdr:row>
      <xdr:rowOff>71438</xdr:rowOff>
    </xdr:to>
    <xdr:sp macro="" textlink="">
      <xdr:nvSpPr>
        <xdr:cNvPr id="320" name="Freeform 832">
          <a:extLst>
            <a:ext uri="{FF2B5EF4-FFF2-40B4-BE49-F238E27FC236}">
              <a16:creationId xmlns:a16="http://schemas.microsoft.com/office/drawing/2014/main" id="{A5F61AD1-EEF8-4227-9D3C-5E405481D809}"/>
            </a:ext>
          </a:extLst>
        </xdr:cNvPr>
        <xdr:cNvSpPr>
          <a:spLocks noChangeArrowheads="1"/>
        </xdr:cNvSpPr>
      </xdr:nvSpPr>
      <xdr:spPr>
        <a:xfrm>
          <a:off x="5310187" y="1433512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317500</xdr:colOff>
      <xdr:row>176</xdr:row>
      <xdr:rowOff>15875</xdr:rowOff>
    </xdr:from>
    <xdr:to>
      <xdr:col>14</xdr:col>
      <xdr:colOff>300037</xdr:colOff>
      <xdr:row>177</xdr:row>
      <xdr:rowOff>71438</xdr:rowOff>
    </xdr:to>
    <xdr:sp macro="" textlink="">
      <xdr:nvSpPr>
        <xdr:cNvPr id="322" name="Freeform 832">
          <a:extLst>
            <a:ext uri="{FF2B5EF4-FFF2-40B4-BE49-F238E27FC236}">
              <a16:creationId xmlns:a16="http://schemas.microsoft.com/office/drawing/2014/main" id="{8792E8F7-CDE5-409B-952A-7717CAA2B6A8}"/>
            </a:ext>
          </a:extLst>
        </xdr:cNvPr>
        <xdr:cNvSpPr>
          <a:spLocks noChangeArrowheads="1"/>
        </xdr:cNvSpPr>
      </xdr:nvSpPr>
      <xdr:spPr>
        <a:xfrm>
          <a:off x="6405563" y="1433512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309562</xdr:colOff>
      <xdr:row>176</xdr:row>
      <xdr:rowOff>7937</xdr:rowOff>
    </xdr:from>
    <xdr:to>
      <xdr:col>16</xdr:col>
      <xdr:colOff>292099</xdr:colOff>
      <xdr:row>177</xdr:row>
      <xdr:rowOff>63500</xdr:rowOff>
    </xdr:to>
    <xdr:sp macro="" textlink="">
      <xdr:nvSpPr>
        <xdr:cNvPr id="325" name="Freeform 832">
          <a:extLst>
            <a:ext uri="{FF2B5EF4-FFF2-40B4-BE49-F238E27FC236}">
              <a16:creationId xmlns:a16="http://schemas.microsoft.com/office/drawing/2014/main" id="{D59A3B81-E816-4F18-A460-D479DD1547B8}"/>
            </a:ext>
          </a:extLst>
        </xdr:cNvPr>
        <xdr:cNvSpPr>
          <a:spLocks noChangeArrowheads="1"/>
        </xdr:cNvSpPr>
      </xdr:nvSpPr>
      <xdr:spPr>
        <a:xfrm>
          <a:off x="7493000" y="14327187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317500</xdr:colOff>
      <xdr:row>176</xdr:row>
      <xdr:rowOff>15875</xdr:rowOff>
    </xdr:from>
    <xdr:to>
      <xdr:col>18</xdr:col>
      <xdr:colOff>300037</xdr:colOff>
      <xdr:row>177</xdr:row>
      <xdr:rowOff>71438</xdr:rowOff>
    </xdr:to>
    <xdr:sp macro="" textlink="">
      <xdr:nvSpPr>
        <xdr:cNvPr id="329" name="Freeform 832">
          <a:extLst>
            <a:ext uri="{FF2B5EF4-FFF2-40B4-BE49-F238E27FC236}">
              <a16:creationId xmlns:a16="http://schemas.microsoft.com/office/drawing/2014/main" id="{975C98E1-057C-433A-ACA2-082D200F5491}"/>
            </a:ext>
          </a:extLst>
        </xdr:cNvPr>
        <xdr:cNvSpPr>
          <a:spLocks noChangeArrowheads="1"/>
        </xdr:cNvSpPr>
      </xdr:nvSpPr>
      <xdr:spPr>
        <a:xfrm>
          <a:off x="8596313" y="14335125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293687</xdr:colOff>
      <xdr:row>176</xdr:row>
      <xdr:rowOff>23813</xdr:rowOff>
    </xdr:from>
    <xdr:to>
      <xdr:col>20</xdr:col>
      <xdr:colOff>276224</xdr:colOff>
      <xdr:row>177</xdr:row>
      <xdr:rowOff>79376</xdr:rowOff>
    </xdr:to>
    <xdr:sp macro="" textlink="">
      <xdr:nvSpPr>
        <xdr:cNvPr id="331" name="Freeform 832">
          <a:extLst>
            <a:ext uri="{FF2B5EF4-FFF2-40B4-BE49-F238E27FC236}">
              <a16:creationId xmlns:a16="http://schemas.microsoft.com/office/drawing/2014/main" id="{A4FC066E-C737-4E41-BDC5-670EA8419CCA}"/>
            </a:ext>
          </a:extLst>
        </xdr:cNvPr>
        <xdr:cNvSpPr>
          <a:spLocks noChangeArrowheads="1"/>
        </xdr:cNvSpPr>
      </xdr:nvSpPr>
      <xdr:spPr>
        <a:xfrm>
          <a:off x="9667875" y="14343063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309562</xdr:colOff>
      <xdr:row>176</xdr:row>
      <xdr:rowOff>15875</xdr:rowOff>
    </xdr:from>
    <xdr:to>
      <xdr:col>24</xdr:col>
      <xdr:colOff>317500</xdr:colOff>
      <xdr:row>177</xdr:row>
      <xdr:rowOff>39687</xdr:rowOff>
    </xdr:to>
    <xdr:sp macro="" textlink="">
      <xdr:nvSpPr>
        <xdr:cNvPr id="342" name="Freeform 283">
          <a:extLst>
            <a:ext uri="{FF2B5EF4-FFF2-40B4-BE49-F238E27FC236}">
              <a16:creationId xmlns:a16="http://schemas.microsoft.com/office/drawing/2014/main" id="{F09CFC97-649C-4461-8DA5-4B71CD706A26}"/>
            </a:ext>
          </a:extLst>
        </xdr:cNvPr>
        <xdr:cNvSpPr>
          <a:spLocks noChangeArrowheads="1"/>
        </xdr:cNvSpPr>
      </xdr:nvSpPr>
      <xdr:spPr>
        <a:xfrm>
          <a:off x="11874500" y="14335125"/>
          <a:ext cx="1103313" cy="166687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317501</xdr:colOff>
      <xdr:row>176</xdr:row>
      <xdr:rowOff>7938</xdr:rowOff>
    </xdr:from>
    <xdr:to>
      <xdr:col>25</xdr:col>
      <xdr:colOff>658814</xdr:colOff>
      <xdr:row>177</xdr:row>
      <xdr:rowOff>31749</xdr:rowOff>
    </xdr:to>
    <xdr:sp macro="" textlink="">
      <xdr:nvSpPr>
        <xdr:cNvPr id="347" name="Freeform 283">
          <a:extLst>
            <a:ext uri="{FF2B5EF4-FFF2-40B4-BE49-F238E27FC236}">
              <a16:creationId xmlns:a16="http://schemas.microsoft.com/office/drawing/2014/main" id="{A87D5B38-1E89-40EB-BC43-8F08EEE3DBC1}"/>
            </a:ext>
          </a:extLst>
        </xdr:cNvPr>
        <xdr:cNvSpPr>
          <a:spLocks noChangeArrowheads="1"/>
        </xdr:cNvSpPr>
      </xdr:nvSpPr>
      <xdr:spPr>
        <a:xfrm>
          <a:off x="12977814" y="14327188"/>
          <a:ext cx="889000" cy="166686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prstDash val="sysDot"/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319084</xdr:colOff>
      <xdr:row>176</xdr:row>
      <xdr:rowOff>33329</xdr:rowOff>
    </xdr:from>
    <xdr:to>
      <xdr:col>22</xdr:col>
      <xdr:colOff>301621</xdr:colOff>
      <xdr:row>177</xdr:row>
      <xdr:rowOff>88892</xdr:rowOff>
    </xdr:to>
    <xdr:sp macro="" textlink="">
      <xdr:nvSpPr>
        <xdr:cNvPr id="28" name="Freeform 832">
          <a:extLst>
            <a:ext uri="{FF2B5EF4-FFF2-40B4-BE49-F238E27FC236}">
              <a16:creationId xmlns:a16="http://schemas.microsoft.com/office/drawing/2014/main" id="{68EFE2EC-6E41-44D4-AE7B-6B9103E2E5B4}"/>
            </a:ext>
          </a:extLst>
        </xdr:cNvPr>
        <xdr:cNvSpPr>
          <a:spLocks noChangeArrowheads="1"/>
        </xdr:cNvSpPr>
      </xdr:nvSpPr>
      <xdr:spPr>
        <a:xfrm>
          <a:off x="10788647" y="14352579"/>
          <a:ext cx="1077912" cy="198438"/>
        </a:xfrm>
        <a:custGeom>
          <a:avLst/>
          <a:gdLst>
            <a:gd name="T0" fmla="*/ 0 w 609600"/>
            <a:gd name="T1" fmla="*/ 0 h 167643"/>
            <a:gd name="T2" fmla="*/ 2147483646 w 609600"/>
            <a:gd name="T3" fmla="*/ 1 h 167643"/>
            <a:gd name="T4" fmla="*/ 2147483646 w 609600"/>
            <a:gd name="T5" fmla="*/ 1 h 167643"/>
            <a:gd name="T6" fmla="*/ 0 60000 65536"/>
            <a:gd name="T7" fmla="*/ 0 60000 65536"/>
            <a:gd name="T8" fmla="*/ 0 60000 65536"/>
            <a:gd name="T9" fmla="*/ 0 w 609600"/>
            <a:gd name="T10" fmla="*/ 0 h 167643"/>
            <a:gd name="T11" fmla="*/ 609600 w 609600"/>
            <a:gd name="T12" fmla="*/ 167643 h 16764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09600" h="167643">
              <a:moveTo>
                <a:pt x="0" y="0"/>
              </a:moveTo>
              <a:cubicBezTo>
                <a:pt x="101600" y="83502"/>
                <a:pt x="203200" y="167005"/>
                <a:pt x="304800" y="167640"/>
              </a:cubicBezTo>
              <a:cubicBezTo>
                <a:pt x="406400" y="168275"/>
                <a:pt x="508000" y="86042"/>
                <a:pt x="609600" y="3810"/>
              </a:cubicBezTo>
            </a:path>
          </a:pathLst>
        </a:custGeom>
        <a:noFill/>
        <a:ln w="28440" cap="sq">
          <a:solidFill>
            <a:srgbClr val="0070C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FA41CAFE-3B2B-4F3B-B4F1-8F827B84709D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A252272F-CE42-42D1-B820-58DF810D4B44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FCA9F3-4437-419C-80EC-A11CAB4670A1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D6FE200D-9313-4E54-A48C-5E5E96EEAC04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A34FC3E5-00DF-44DF-8C7C-2C085A34CF06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7D0F30D-AAE6-4395-8249-2890E61295B7}"/>
            </a:ext>
          </a:extLst>
        </xdr:cNvPr>
        <xdr:cNvSpPr>
          <a:spLocks noChangeArrowheads="1"/>
        </xdr:cNvSpPr>
      </xdr:nvSpPr>
      <xdr:spPr bwMode="auto">
        <a:xfrm>
          <a:off x="119126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8" name="Rectangle 3">
          <a:extLst>
            <a:ext uri="{FF2B5EF4-FFF2-40B4-BE49-F238E27FC236}">
              <a16:creationId xmlns:a16="http://schemas.microsoft.com/office/drawing/2014/main" id="{1AADC2C0-B221-49B4-96C5-FF401E9402F4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C311F09C-7A79-489D-B569-07F86337E738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23C9347F-1A87-43C9-82F2-08DA87AC6DBB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6C3B3C8-A81C-465A-A7E8-C0027AE59859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4E4392D9-45D7-40CB-97C8-40A9488A97CC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7056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9D13277D-0822-416F-BDB6-53DFD9C1CBF6}"/>
            </a:ext>
          </a:extLst>
        </xdr:cNvPr>
        <xdr:cNvSpPr>
          <a:spLocks noChangeArrowheads="1"/>
        </xdr:cNvSpPr>
      </xdr:nvSpPr>
      <xdr:spPr bwMode="auto">
        <a:xfrm>
          <a:off x="4660900" y="3994856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62AFD1C3-342C-4515-9DB0-2971EAE5B668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5" name="Rectangle 3">
          <a:extLst>
            <a:ext uri="{FF2B5EF4-FFF2-40B4-BE49-F238E27FC236}">
              <a16:creationId xmlns:a16="http://schemas.microsoft.com/office/drawing/2014/main" id="{ABB3C5F2-A5D5-468B-BFF9-4CB4FD6E8630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6" name="Rectangle 3">
          <a:extLst>
            <a:ext uri="{FF2B5EF4-FFF2-40B4-BE49-F238E27FC236}">
              <a16:creationId xmlns:a16="http://schemas.microsoft.com/office/drawing/2014/main" id="{14805971-42DB-4CF5-A7D9-FFB94F8FB52E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7" name="Rectangle 3">
          <a:extLst>
            <a:ext uri="{FF2B5EF4-FFF2-40B4-BE49-F238E27FC236}">
              <a16:creationId xmlns:a16="http://schemas.microsoft.com/office/drawing/2014/main" id="{9033CC57-44C4-493E-A054-86EE135DF4B2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8" name="Rectangle 3">
          <a:extLst>
            <a:ext uri="{FF2B5EF4-FFF2-40B4-BE49-F238E27FC236}">
              <a16:creationId xmlns:a16="http://schemas.microsoft.com/office/drawing/2014/main" id="{F97F3B56-F049-4EE9-B397-26310C4A6447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19" name="Rectangle 3">
          <a:extLst>
            <a:ext uri="{FF2B5EF4-FFF2-40B4-BE49-F238E27FC236}">
              <a16:creationId xmlns:a16="http://schemas.microsoft.com/office/drawing/2014/main" id="{CE6AF2B6-F123-43BD-9B37-E558F8C5608E}"/>
            </a:ext>
          </a:extLst>
        </xdr:cNvPr>
        <xdr:cNvSpPr>
          <a:spLocks noChangeArrowheads="1"/>
        </xdr:cNvSpPr>
      </xdr:nvSpPr>
      <xdr:spPr bwMode="auto">
        <a:xfrm>
          <a:off x="123825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0" name="Rectangle 3">
          <a:extLst>
            <a:ext uri="{FF2B5EF4-FFF2-40B4-BE49-F238E27FC236}">
              <a16:creationId xmlns:a16="http://schemas.microsoft.com/office/drawing/2014/main" id="{5039FBDB-8323-401B-A748-B6AAB6B6F166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1" name="Rectangle 3">
          <a:extLst>
            <a:ext uri="{FF2B5EF4-FFF2-40B4-BE49-F238E27FC236}">
              <a16:creationId xmlns:a16="http://schemas.microsoft.com/office/drawing/2014/main" id="{C90E07D2-CACE-4B20-A6B3-9AF8DB7770EB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2" name="Rectangle 3">
          <a:extLst>
            <a:ext uri="{FF2B5EF4-FFF2-40B4-BE49-F238E27FC236}">
              <a16:creationId xmlns:a16="http://schemas.microsoft.com/office/drawing/2014/main" id="{96CB567B-614C-4C99-AD53-98265C2E284B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6A10F63E-F2A9-4BDF-B52B-2D283C172091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4" name="Rectangle 3">
          <a:extLst>
            <a:ext uri="{FF2B5EF4-FFF2-40B4-BE49-F238E27FC236}">
              <a16:creationId xmlns:a16="http://schemas.microsoft.com/office/drawing/2014/main" id="{73A1A2DF-EBB7-4629-B2E6-23CF19614503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35266" cy="162160"/>
    <xdr:sp macro="" textlink="">
      <xdr:nvSpPr>
        <xdr:cNvPr id="25" name="Rectangle 3">
          <a:extLst>
            <a:ext uri="{FF2B5EF4-FFF2-40B4-BE49-F238E27FC236}">
              <a16:creationId xmlns:a16="http://schemas.microsoft.com/office/drawing/2014/main" id="{E640D791-91AC-4CEF-B383-C61CCBB288FC}"/>
            </a:ext>
          </a:extLst>
        </xdr:cNvPr>
        <xdr:cNvSpPr>
          <a:spLocks noChangeArrowheads="1"/>
        </xdr:cNvSpPr>
      </xdr:nvSpPr>
      <xdr:spPr bwMode="auto">
        <a:xfrm>
          <a:off x="9423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26" name="Rectangle 3">
          <a:extLst>
            <a:ext uri="{FF2B5EF4-FFF2-40B4-BE49-F238E27FC236}">
              <a16:creationId xmlns:a16="http://schemas.microsoft.com/office/drawing/2014/main" id="{E9A50C35-4CE6-4936-937F-2503A5051900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27" name="Rectangle 3">
          <a:extLst>
            <a:ext uri="{FF2B5EF4-FFF2-40B4-BE49-F238E27FC236}">
              <a16:creationId xmlns:a16="http://schemas.microsoft.com/office/drawing/2014/main" id="{784E0E0F-0689-4FDA-9E14-69294ED956A8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28" name="Rectangle 3">
          <a:extLst>
            <a:ext uri="{FF2B5EF4-FFF2-40B4-BE49-F238E27FC236}">
              <a16:creationId xmlns:a16="http://schemas.microsoft.com/office/drawing/2014/main" id="{C84E8D7E-D400-4379-AD04-50A335BCA489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29" name="Rectangle 3">
          <a:extLst>
            <a:ext uri="{FF2B5EF4-FFF2-40B4-BE49-F238E27FC236}">
              <a16:creationId xmlns:a16="http://schemas.microsoft.com/office/drawing/2014/main" id="{12D25690-BEE3-4FF5-8F9D-5165DA12F54E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30" name="Rectangle 3">
          <a:extLst>
            <a:ext uri="{FF2B5EF4-FFF2-40B4-BE49-F238E27FC236}">
              <a16:creationId xmlns:a16="http://schemas.microsoft.com/office/drawing/2014/main" id="{C9D7B71B-CA7B-4944-806E-BDC84E609408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35266" cy="162160"/>
    <xdr:sp macro="" textlink="">
      <xdr:nvSpPr>
        <xdr:cNvPr id="31" name="Rectangle 3">
          <a:extLst>
            <a:ext uri="{FF2B5EF4-FFF2-40B4-BE49-F238E27FC236}">
              <a16:creationId xmlns:a16="http://schemas.microsoft.com/office/drawing/2014/main" id="{094D7089-5C43-47FC-B7C0-9E27B2745448}"/>
            </a:ext>
          </a:extLst>
        </xdr:cNvPr>
        <xdr:cNvSpPr>
          <a:spLocks noChangeArrowheads="1"/>
        </xdr:cNvSpPr>
      </xdr:nvSpPr>
      <xdr:spPr bwMode="auto">
        <a:xfrm>
          <a:off x="54864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0</xdr:rowOff>
    </xdr:from>
    <xdr:ext cx="35266" cy="162160"/>
    <xdr:sp macro="" textlink="">
      <xdr:nvSpPr>
        <xdr:cNvPr id="32" name="Rectangle 3">
          <a:extLst>
            <a:ext uri="{FF2B5EF4-FFF2-40B4-BE49-F238E27FC236}">
              <a16:creationId xmlns:a16="http://schemas.microsoft.com/office/drawing/2014/main" id="{C068197E-F529-4A44-9413-5CB9DFCC0687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0</xdr:rowOff>
    </xdr:from>
    <xdr:ext cx="35266" cy="162160"/>
    <xdr:sp macro="" textlink="">
      <xdr:nvSpPr>
        <xdr:cNvPr id="33" name="Rectangle 3">
          <a:extLst>
            <a:ext uri="{FF2B5EF4-FFF2-40B4-BE49-F238E27FC236}">
              <a16:creationId xmlns:a16="http://schemas.microsoft.com/office/drawing/2014/main" id="{479F5B75-6FA3-42D2-BF52-6DEDF5A8007B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0</xdr:rowOff>
    </xdr:from>
    <xdr:ext cx="35266" cy="162160"/>
    <xdr:sp macro="" textlink="">
      <xdr:nvSpPr>
        <xdr:cNvPr id="34" name="Rectangle 3">
          <a:extLst>
            <a:ext uri="{FF2B5EF4-FFF2-40B4-BE49-F238E27FC236}">
              <a16:creationId xmlns:a16="http://schemas.microsoft.com/office/drawing/2014/main" id="{6F0DB5B6-E3BE-4429-B01C-092B4C065169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0</xdr:rowOff>
    </xdr:from>
    <xdr:ext cx="35266" cy="162160"/>
    <xdr:sp macro="" textlink="">
      <xdr:nvSpPr>
        <xdr:cNvPr id="35" name="Rectangle 3">
          <a:extLst>
            <a:ext uri="{FF2B5EF4-FFF2-40B4-BE49-F238E27FC236}">
              <a16:creationId xmlns:a16="http://schemas.microsoft.com/office/drawing/2014/main" id="{A2C65A05-D304-49E4-8C8E-FBF9B7F939B4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0</xdr:rowOff>
    </xdr:from>
    <xdr:ext cx="35266" cy="162160"/>
    <xdr:sp macro="" textlink="">
      <xdr:nvSpPr>
        <xdr:cNvPr id="36" name="Rectangle 3">
          <a:extLst>
            <a:ext uri="{FF2B5EF4-FFF2-40B4-BE49-F238E27FC236}">
              <a16:creationId xmlns:a16="http://schemas.microsoft.com/office/drawing/2014/main" id="{266074F9-A62D-4C94-AEDA-120E5B8F55B2}"/>
            </a:ext>
          </a:extLst>
        </xdr:cNvPr>
        <xdr:cNvSpPr>
          <a:spLocks noChangeArrowheads="1"/>
        </xdr:cNvSpPr>
      </xdr:nvSpPr>
      <xdr:spPr bwMode="auto">
        <a:xfrm>
          <a:off x="4660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8</xdr:row>
      <xdr:rowOff>7056</xdr:rowOff>
    </xdr:from>
    <xdr:ext cx="35266" cy="162160"/>
    <xdr:sp macro="" textlink="">
      <xdr:nvSpPr>
        <xdr:cNvPr id="37" name="Rectangle 3">
          <a:extLst>
            <a:ext uri="{FF2B5EF4-FFF2-40B4-BE49-F238E27FC236}">
              <a16:creationId xmlns:a16="http://schemas.microsoft.com/office/drawing/2014/main" id="{62CE4D5F-2BFE-4B47-872A-4960FF747119}"/>
            </a:ext>
          </a:extLst>
        </xdr:cNvPr>
        <xdr:cNvSpPr>
          <a:spLocks noChangeArrowheads="1"/>
        </xdr:cNvSpPr>
      </xdr:nvSpPr>
      <xdr:spPr bwMode="auto">
        <a:xfrm>
          <a:off x="4660900" y="3994856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38" name="Rectangle 3">
          <a:extLst>
            <a:ext uri="{FF2B5EF4-FFF2-40B4-BE49-F238E27FC236}">
              <a16:creationId xmlns:a16="http://schemas.microsoft.com/office/drawing/2014/main" id="{223C5EAC-096D-4ABE-BDF8-C85011778680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39" name="Rectangle 3">
          <a:extLst>
            <a:ext uri="{FF2B5EF4-FFF2-40B4-BE49-F238E27FC236}">
              <a16:creationId xmlns:a16="http://schemas.microsoft.com/office/drawing/2014/main" id="{CE51E55F-F4C8-4F66-9220-A9B4E455088A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40" name="Rectangle 3">
          <a:extLst>
            <a:ext uri="{FF2B5EF4-FFF2-40B4-BE49-F238E27FC236}">
              <a16:creationId xmlns:a16="http://schemas.microsoft.com/office/drawing/2014/main" id="{C1FC3AFC-E9F0-4E73-9C75-76682FA640D6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41" name="Rectangle 3">
          <a:extLst>
            <a:ext uri="{FF2B5EF4-FFF2-40B4-BE49-F238E27FC236}">
              <a16:creationId xmlns:a16="http://schemas.microsoft.com/office/drawing/2014/main" id="{AAEA835A-B0A5-4556-B3D2-A63B204F862E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42" name="Rectangle 3">
          <a:extLst>
            <a:ext uri="{FF2B5EF4-FFF2-40B4-BE49-F238E27FC236}">
              <a16:creationId xmlns:a16="http://schemas.microsoft.com/office/drawing/2014/main" id="{9EB07ACB-C262-464B-A737-C1F998693356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35266" cy="162160"/>
    <xdr:sp macro="" textlink="">
      <xdr:nvSpPr>
        <xdr:cNvPr id="43" name="Rectangle 3">
          <a:extLst>
            <a:ext uri="{FF2B5EF4-FFF2-40B4-BE49-F238E27FC236}">
              <a16:creationId xmlns:a16="http://schemas.microsoft.com/office/drawing/2014/main" id="{E0CBBC56-D30B-4D71-84B3-31C1CA54812B}"/>
            </a:ext>
          </a:extLst>
        </xdr:cNvPr>
        <xdr:cNvSpPr>
          <a:spLocks noChangeArrowheads="1"/>
        </xdr:cNvSpPr>
      </xdr:nvSpPr>
      <xdr:spPr bwMode="auto">
        <a:xfrm>
          <a:off x="9486900" y="3987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14</xdr:col>
      <xdr:colOff>647700</xdr:colOff>
      <xdr:row>7</xdr:row>
      <xdr:rowOff>57150</xdr:rowOff>
    </xdr:from>
    <xdr:ext cx="35266" cy="162160"/>
    <xdr:sp macro="" textlink="">
      <xdr:nvSpPr>
        <xdr:cNvPr id="45" name="Rectangle 3">
          <a:extLst>
            <a:ext uri="{FF2B5EF4-FFF2-40B4-BE49-F238E27FC236}">
              <a16:creationId xmlns:a16="http://schemas.microsoft.com/office/drawing/2014/main" id="{26134ED0-EB86-4172-B29A-8C0314D74B78}"/>
            </a:ext>
          </a:extLst>
        </xdr:cNvPr>
        <xdr:cNvSpPr>
          <a:spLocks noChangeArrowheads="1"/>
        </xdr:cNvSpPr>
      </xdr:nvSpPr>
      <xdr:spPr bwMode="auto">
        <a:xfrm>
          <a:off x="8807450" y="43053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196850</xdr:rowOff>
    </xdr:from>
    <xdr:to>
      <xdr:col>4</xdr:col>
      <xdr:colOff>565150</xdr:colOff>
      <xdr:row>9</xdr:row>
      <xdr:rowOff>222250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21F2A3F-08B3-4A97-9826-27BA1B9564B6}"/>
            </a:ext>
          </a:extLst>
        </xdr:cNvPr>
        <xdr:cNvCxnSpPr/>
      </xdr:nvCxnSpPr>
      <xdr:spPr>
        <a:xfrm>
          <a:off x="609600" y="1974850"/>
          <a:ext cx="2393950" cy="2540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539750</xdr:colOff>
      <xdr:row>11</xdr:row>
      <xdr:rowOff>31750</xdr:rowOff>
    </xdr:from>
    <xdr:to>
      <xdr:col>6</xdr:col>
      <xdr:colOff>908050</xdr:colOff>
      <xdr:row>11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8C7740-06FE-4ECD-A701-C8CEC84FF81A}"/>
            </a:ext>
          </a:extLst>
        </xdr:cNvPr>
        <xdr:cNvCxnSpPr/>
      </xdr:nvCxnSpPr>
      <xdr:spPr>
        <a:xfrm flipV="1">
          <a:off x="2978150" y="2368550"/>
          <a:ext cx="1892300" cy="635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11</xdr:row>
      <xdr:rowOff>31750</xdr:rowOff>
    </xdr:from>
    <xdr:to>
      <xdr:col>5</xdr:col>
      <xdr:colOff>0</xdr:colOff>
      <xdr:row>16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92C0E1-31D7-43D9-8C3F-CE462A63DC64}"/>
            </a:ext>
          </a:extLst>
        </xdr:cNvPr>
        <xdr:cNvCxnSpPr/>
      </xdr:nvCxnSpPr>
      <xdr:spPr>
        <a:xfrm flipV="1">
          <a:off x="1835150" y="2368550"/>
          <a:ext cx="1187450" cy="102870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9</xdr:row>
      <xdr:rowOff>215900</xdr:rowOff>
    </xdr:from>
    <xdr:to>
      <xdr:col>6</xdr:col>
      <xdr:colOff>927100</xdr:colOff>
      <xdr:row>9</xdr:row>
      <xdr:rowOff>215900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BC60824-0C77-41E4-A029-72B7083D7A4C}"/>
            </a:ext>
          </a:extLst>
        </xdr:cNvPr>
        <xdr:cNvCxnSpPr/>
      </xdr:nvCxnSpPr>
      <xdr:spPr>
        <a:xfrm>
          <a:off x="3009900" y="1993900"/>
          <a:ext cx="1879600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11</xdr:row>
      <xdr:rowOff>15875</xdr:rowOff>
    </xdr:from>
    <xdr:to>
      <xdr:col>15</xdr:col>
      <xdr:colOff>1373187</xdr:colOff>
      <xdr:row>11</xdr:row>
      <xdr:rowOff>50800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7755715-0569-465D-8A39-B7817ACAB407}"/>
            </a:ext>
          </a:extLst>
        </xdr:cNvPr>
        <xdr:cNvCxnSpPr/>
      </xdr:nvCxnSpPr>
      <xdr:spPr>
        <a:xfrm flipV="1">
          <a:off x="8439150" y="2352675"/>
          <a:ext cx="4173537" cy="34925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9</xdr:row>
      <xdr:rowOff>203200</xdr:rowOff>
    </xdr:from>
    <xdr:to>
      <xdr:col>16</xdr:col>
      <xdr:colOff>19050</xdr:colOff>
      <xdr:row>9</xdr:row>
      <xdr:rowOff>209550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F9DF4B-ADC3-4281-AB80-C5F393BB0E6D}"/>
            </a:ext>
          </a:extLst>
        </xdr:cNvPr>
        <xdr:cNvCxnSpPr/>
      </xdr:nvCxnSpPr>
      <xdr:spPr>
        <a:xfrm flipV="1">
          <a:off x="8451850" y="1981200"/>
          <a:ext cx="4184650" cy="635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893939</xdr:colOff>
      <xdr:row>9</xdr:row>
      <xdr:rowOff>218721</xdr:rowOff>
    </xdr:from>
    <xdr:to>
      <xdr:col>11</xdr:col>
      <xdr:colOff>43039</xdr:colOff>
      <xdr:row>11</xdr:row>
      <xdr:rowOff>31044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4E1B1B7-3E73-4814-BE40-5591ECA80A17}"/>
            </a:ext>
          </a:extLst>
        </xdr:cNvPr>
        <xdr:cNvCxnSpPr/>
      </xdr:nvCxnSpPr>
      <xdr:spPr>
        <a:xfrm flipV="1">
          <a:off x="4856339" y="1996721"/>
          <a:ext cx="3619500" cy="371123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901700</xdr:colOff>
      <xdr:row>9</xdr:row>
      <xdr:rowOff>215900</xdr:rowOff>
    </xdr:from>
    <xdr:to>
      <xdr:col>11</xdr:col>
      <xdr:colOff>6350</xdr:colOff>
      <xdr:row>11</xdr:row>
      <xdr:rowOff>44450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E378FCD-3B98-43FA-9C09-05F0D9EAF1B0}"/>
            </a:ext>
          </a:extLst>
        </xdr:cNvPr>
        <xdr:cNvCxnSpPr/>
      </xdr:nvCxnSpPr>
      <xdr:spPr>
        <a:xfrm>
          <a:off x="4864100" y="1993900"/>
          <a:ext cx="3575050" cy="38735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12765</xdr:colOff>
      <xdr:row>13</xdr:row>
      <xdr:rowOff>57406</xdr:rowOff>
    </xdr:from>
    <xdr:to>
      <xdr:col>11</xdr:col>
      <xdr:colOff>31815</xdr:colOff>
      <xdr:row>13</xdr:row>
      <xdr:rowOff>57406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EA20E58-B023-43F2-BF98-30E766E38716}"/>
            </a:ext>
          </a:extLst>
        </xdr:cNvPr>
        <xdr:cNvCxnSpPr/>
      </xdr:nvCxnSpPr>
      <xdr:spPr>
        <a:xfrm>
          <a:off x="4914965" y="2794256"/>
          <a:ext cx="35496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576439</xdr:colOff>
      <xdr:row>13</xdr:row>
      <xdr:rowOff>57727</xdr:rowOff>
    </xdr:from>
    <xdr:to>
      <xdr:col>7</xdr:col>
      <xdr:colOff>17318</xdr:colOff>
      <xdr:row>13</xdr:row>
      <xdr:rowOff>81074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48330ED-CDE3-4004-9989-1954E079368F}"/>
            </a:ext>
          </a:extLst>
        </xdr:cNvPr>
        <xdr:cNvCxnSpPr/>
      </xdr:nvCxnSpPr>
      <xdr:spPr>
        <a:xfrm flipV="1">
          <a:off x="3014839" y="2794577"/>
          <a:ext cx="1904679" cy="2334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</xdr:colOff>
      <xdr:row>8</xdr:row>
      <xdr:rowOff>6350</xdr:rowOff>
    </xdr:from>
    <xdr:to>
      <xdr:col>4</xdr:col>
      <xdr:colOff>571500</xdr:colOff>
      <xdr:row>8</xdr:row>
      <xdr:rowOff>12700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7B309D-E86F-435C-BA32-3EE4A2517EF1}"/>
            </a:ext>
          </a:extLst>
        </xdr:cNvPr>
        <xdr:cNvCxnSpPr/>
      </xdr:nvCxnSpPr>
      <xdr:spPr>
        <a:xfrm flipV="1">
          <a:off x="641350" y="1587500"/>
          <a:ext cx="2368550" cy="6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349250</xdr:colOff>
      <xdr:row>7</xdr:row>
      <xdr:rowOff>177800</xdr:rowOff>
    </xdr:from>
    <xdr:to>
      <xdr:col>16</xdr:col>
      <xdr:colOff>6350</xdr:colOff>
      <xdr:row>8</xdr:row>
      <xdr:rowOff>6350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90BBA01-425E-4657-BE36-10488C138BB1}"/>
            </a:ext>
          </a:extLst>
        </xdr:cNvPr>
        <xdr:cNvCxnSpPr/>
      </xdr:nvCxnSpPr>
      <xdr:spPr>
        <a:xfrm>
          <a:off x="10001250" y="1562100"/>
          <a:ext cx="2622550" cy="25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14111</xdr:colOff>
      <xdr:row>7</xdr:row>
      <xdr:rowOff>177800</xdr:rowOff>
    </xdr:from>
    <xdr:to>
      <xdr:col>13</xdr:col>
      <xdr:colOff>355600</xdr:colOff>
      <xdr:row>8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DDEF942-649A-438A-903C-6A47DCCB2E3A}"/>
            </a:ext>
          </a:extLst>
        </xdr:cNvPr>
        <xdr:cNvCxnSpPr/>
      </xdr:nvCxnSpPr>
      <xdr:spPr>
        <a:xfrm flipV="1">
          <a:off x="8446911" y="1562100"/>
          <a:ext cx="1560689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27517</xdr:colOff>
      <xdr:row>13</xdr:row>
      <xdr:rowOff>63500</xdr:rowOff>
    </xdr:from>
    <xdr:to>
      <xdr:col>5</xdr:col>
      <xdr:colOff>7057</xdr:colOff>
      <xdr:row>18</xdr:row>
      <xdr:rowOff>66323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346468E-93BB-4A53-B0AA-5D02ED6A99C7}"/>
            </a:ext>
          </a:extLst>
        </xdr:cNvPr>
        <xdr:cNvCxnSpPr/>
      </xdr:nvCxnSpPr>
      <xdr:spPr>
        <a:xfrm flipV="1">
          <a:off x="1856317" y="2800350"/>
          <a:ext cx="1173340" cy="9807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8</xdr:row>
      <xdr:rowOff>7056</xdr:rowOff>
    </xdr:from>
    <xdr:to>
      <xdr:col>7</xdr:col>
      <xdr:colOff>0</xdr:colOff>
      <xdr:row>8</xdr:row>
      <xdr:rowOff>12700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2151E63-662D-44AA-BF17-05B81E15D4AD}"/>
            </a:ext>
          </a:extLst>
        </xdr:cNvPr>
        <xdr:cNvCxnSpPr/>
      </xdr:nvCxnSpPr>
      <xdr:spPr>
        <a:xfrm flipV="1">
          <a:off x="3041650" y="1588206"/>
          <a:ext cx="1860550" cy="564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938388</xdr:colOff>
      <xdr:row>8</xdr:row>
      <xdr:rowOff>0</xdr:rowOff>
    </xdr:from>
    <xdr:to>
      <xdr:col>10</xdr:col>
      <xdr:colOff>860778</xdr:colOff>
      <xdr:row>8</xdr:row>
      <xdr:rowOff>14112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D2D78A3-F5CE-427F-BBA7-005289FFB633}"/>
            </a:ext>
          </a:extLst>
        </xdr:cNvPr>
        <xdr:cNvCxnSpPr/>
      </xdr:nvCxnSpPr>
      <xdr:spPr>
        <a:xfrm flipV="1">
          <a:off x="4900788" y="1581150"/>
          <a:ext cx="3510140" cy="1411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1283</xdr:colOff>
      <xdr:row>13</xdr:row>
      <xdr:rowOff>55804</xdr:rowOff>
    </xdr:from>
    <xdr:to>
      <xdr:col>13</xdr:col>
      <xdr:colOff>360026</xdr:colOff>
      <xdr:row>13</xdr:row>
      <xdr:rowOff>72737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A2E5988-9EAA-4ECD-A3CC-54CF88EAC5B8}"/>
            </a:ext>
          </a:extLst>
        </xdr:cNvPr>
        <xdr:cNvCxnSpPr/>
      </xdr:nvCxnSpPr>
      <xdr:spPr>
        <a:xfrm>
          <a:off x="8434083" y="2792654"/>
          <a:ext cx="1577943" cy="1693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4041</xdr:colOff>
      <xdr:row>13</xdr:row>
      <xdr:rowOff>60037</xdr:rowOff>
    </xdr:from>
    <xdr:to>
      <xdr:col>16</xdr:col>
      <xdr:colOff>18473</xdr:colOff>
      <xdr:row>13</xdr:row>
      <xdr:rowOff>72737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3F16446-9D80-4564-9332-F397FA2353DB}"/>
            </a:ext>
          </a:extLst>
        </xdr:cNvPr>
        <xdr:cNvCxnSpPr/>
      </xdr:nvCxnSpPr>
      <xdr:spPr>
        <a:xfrm flipV="1">
          <a:off x="10017991" y="2796887"/>
          <a:ext cx="2617932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555625</xdr:colOff>
      <xdr:row>15</xdr:row>
      <xdr:rowOff>187325</xdr:rowOff>
    </xdr:from>
    <xdr:to>
      <xdr:col>14</xdr:col>
      <xdr:colOff>31750</xdr:colOff>
      <xdr:row>16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7D0B822-8D43-4BE1-8448-2DC14301BA16}"/>
            </a:ext>
          </a:extLst>
        </xdr:cNvPr>
        <xdr:cNvCxnSpPr/>
      </xdr:nvCxnSpPr>
      <xdr:spPr>
        <a:xfrm>
          <a:off x="2994025" y="3311525"/>
          <a:ext cx="70516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6</xdr:row>
      <xdr:rowOff>148166</xdr:rowOff>
    </xdr:from>
    <xdr:to>
      <xdr:col>5</xdr:col>
      <xdr:colOff>7056</xdr:colOff>
      <xdr:row>9</xdr:row>
      <xdr:rowOff>148166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F2382-FF64-445F-B084-974662509600}"/>
            </a:ext>
          </a:extLst>
        </xdr:cNvPr>
        <xdr:cNvCxnSpPr/>
      </xdr:nvCxnSpPr>
      <xdr:spPr>
        <a:xfrm flipH="1">
          <a:off x="3022601" y="1335616"/>
          <a:ext cx="705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4234</xdr:colOff>
      <xdr:row>6</xdr:row>
      <xdr:rowOff>145344</xdr:rowOff>
    </xdr:from>
    <xdr:to>
      <xdr:col>7</xdr:col>
      <xdr:colOff>11289</xdr:colOff>
      <xdr:row>9</xdr:row>
      <xdr:rowOff>145344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C6E23B6-2AB5-45B6-B47D-2EB14C85B39F}"/>
            </a:ext>
          </a:extLst>
        </xdr:cNvPr>
        <xdr:cNvCxnSpPr/>
      </xdr:nvCxnSpPr>
      <xdr:spPr>
        <a:xfrm flipH="1">
          <a:off x="4906434" y="1332794"/>
          <a:ext cx="705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1412</xdr:colOff>
      <xdr:row>6</xdr:row>
      <xdr:rowOff>177800</xdr:rowOff>
    </xdr:from>
    <xdr:to>
      <xdr:col>11</xdr:col>
      <xdr:colOff>8467</xdr:colOff>
      <xdr:row>9</xdr:row>
      <xdr:rowOff>177800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DA9F473-3DF1-4CEE-A16E-E01C27B0E726}"/>
            </a:ext>
          </a:extLst>
        </xdr:cNvPr>
        <xdr:cNvCxnSpPr/>
      </xdr:nvCxnSpPr>
      <xdr:spPr>
        <a:xfrm flipH="1">
          <a:off x="8434212" y="1365250"/>
          <a:ext cx="705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6</xdr:row>
      <xdr:rowOff>91722</xdr:rowOff>
    </xdr:from>
    <xdr:to>
      <xdr:col>14</xdr:col>
      <xdr:colOff>28222</xdr:colOff>
      <xdr:row>9</xdr:row>
      <xdr:rowOff>91722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6DB71B4-CE5C-494E-9982-6CE0CA80C2E7}"/>
            </a:ext>
          </a:extLst>
        </xdr:cNvPr>
        <xdr:cNvCxnSpPr/>
      </xdr:nvCxnSpPr>
      <xdr:spPr>
        <a:xfrm flipH="1">
          <a:off x="10035117" y="1279172"/>
          <a:ext cx="705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127001</xdr:rowOff>
    </xdr:from>
    <xdr:to>
      <xdr:col>14</xdr:col>
      <xdr:colOff>7055</xdr:colOff>
      <xdr:row>14</xdr:row>
      <xdr:rowOff>112890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84C34D4-E452-48DD-9574-0C0A7BE2CD51}"/>
            </a:ext>
          </a:extLst>
        </xdr:cNvPr>
        <xdr:cNvCxnSpPr/>
      </xdr:nvCxnSpPr>
      <xdr:spPr>
        <a:xfrm flipH="1">
          <a:off x="10013950" y="2463801"/>
          <a:ext cx="7055" cy="589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7055</xdr:colOff>
      <xdr:row>11</xdr:row>
      <xdr:rowOff>105834</xdr:rowOff>
    </xdr:from>
    <xdr:to>
      <xdr:col>11</xdr:col>
      <xdr:colOff>14110</xdr:colOff>
      <xdr:row>14</xdr:row>
      <xdr:rowOff>91723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2BB1511-7C7A-4CFA-9454-58E0E9D42D36}"/>
            </a:ext>
          </a:extLst>
        </xdr:cNvPr>
        <xdr:cNvCxnSpPr/>
      </xdr:nvCxnSpPr>
      <xdr:spPr>
        <a:xfrm flipH="1">
          <a:off x="8439855" y="2442634"/>
          <a:ext cx="7055" cy="589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5773</xdr:colOff>
      <xdr:row>11</xdr:row>
      <xdr:rowOff>190500</xdr:rowOff>
    </xdr:from>
    <xdr:to>
      <xdr:col>7</xdr:col>
      <xdr:colOff>11545</xdr:colOff>
      <xdr:row>14</xdr:row>
      <xdr:rowOff>80819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DEFB61A-E951-40BF-B135-54EE91725CE0}"/>
            </a:ext>
          </a:extLst>
        </xdr:cNvPr>
        <xdr:cNvCxnSpPr/>
      </xdr:nvCxnSpPr>
      <xdr:spPr>
        <a:xfrm>
          <a:off x="4907973" y="2527300"/>
          <a:ext cx="5772" cy="4935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575734</xdr:colOff>
      <xdr:row>11</xdr:row>
      <xdr:rowOff>145345</xdr:rowOff>
    </xdr:from>
    <xdr:to>
      <xdr:col>4</xdr:col>
      <xdr:colOff>582789</xdr:colOff>
      <xdr:row>14</xdr:row>
      <xdr:rowOff>131234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7AC4546-737D-42BE-AE27-C028C8474699}"/>
            </a:ext>
          </a:extLst>
        </xdr:cNvPr>
        <xdr:cNvCxnSpPr/>
      </xdr:nvCxnSpPr>
      <xdr:spPr>
        <a:xfrm flipH="1">
          <a:off x="3014134" y="2482145"/>
          <a:ext cx="7055" cy="589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98778</xdr:rowOff>
    </xdr:from>
    <xdr:to>
      <xdr:col>14</xdr:col>
      <xdr:colOff>7055</xdr:colOff>
      <xdr:row>17</xdr:row>
      <xdr:rowOff>112889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7B7EB2D-59AD-466C-B4CC-2CD1C81B10FC}"/>
            </a:ext>
          </a:extLst>
        </xdr:cNvPr>
        <xdr:cNvCxnSpPr/>
      </xdr:nvCxnSpPr>
      <xdr:spPr>
        <a:xfrm flipH="1">
          <a:off x="10013950" y="3038828"/>
          <a:ext cx="7055" cy="5919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14</xdr:row>
      <xdr:rowOff>112890</xdr:rowOff>
    </xdr:from>
    <xdr:to>
      <xdr:col>4</xdr:col>
      <xdr:colOff>578555</xdr:colOff>
      <xdr:row>17</xdr:row>
      <xdr:rowOff>127001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D1C3145-E6F8-4663-A3B9-4D89C053618C}"/>
            </a:ext>
          </a:extLst>
        </xdr:cNvPr>
        <xdr:cNvCxnSpPr/>
      </xdr:nvCxnSpPr>
      <xdr:spPr>
        <a:xfrm flipH="1">
          <a:off x="3009900" y="3052940"/>
          <a:ext cx="7055" cy="5919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366713</xdr:colOff>
      <xdr:row>4</xdr:row>
      <xdr:rowOff>142875</xdr:rowOff>
    </xdr:from>
    <xdr:to>
      <xdr:col>12</xdr:col>
      <xdr:colOff>111125</xdr:colOff>
      <xdr:row>10</xdr:row>
      <xdr:rowOff>327024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D5F073C-ACBF-4034-A4FD-5D95AAA305D7}"/>
            </a:ext>
          </a:extLst>
        </xdr:cNvPr>
        <xdr:cNvCxnSpPr/>
      </xdr:nvCxnSpPr>
      <xdr:spPr>
        <a:xfrm flipH="1">
          <a:off x="7916863" y="930275"/>
          <a:ext cx="1236662" cy="14033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ip Jena" refreshedDate="45374.625073842595" createdVersion="8" refreshedVersion="8" minRefreshableVersion="3" recordCount="114" xr:uid="{B96AC80B-ED3B-4160-B776-8AC71ADBEC66}">
  <cacheSource type="worksheet">
    <worksheetSource ref="B2:I116" sheet="Sheet1"/>
  </cacheSource>
  <cacheFields count="8">
    <cacheField name="SL No." numFmtId="0">
      <sharedItems containsMixedTypes="1" containsNumber="1" containsInteger="1" minValue="1" maxValue="97"/>
    </cacheField>
    <cacheField name="Loc. No." numFmtId="0">
      <sharedItems/>
    </cacheField>
    <cacheField name="T.0.T" numFmtId="0">
      <sharedItems count="29">
        <s v="QA+0"/>
        <s v="QA+9"/>
        <s v="QA+6"/>
        <s v="QA+3"/>
        <s v="QD45+6"/>
        <s v="QC1+0"/>
        <s v="QD45+3"/>
        <s v="QD60+3"/>
        <s v="QD45+9"/>
        <s v="QD60+0"/>
        <s v="QD60+9"/>
        <s v="QD45+0"/>
        <s v="QCT1+3"/>
        <s v="QC1+9"/>
        <s v="QD60+18"/>
        <s v="QB2+6"/>
        <s v="QD60+25"/>
        <s v="QC2+0"/>
        <s v="QC2+9"/>
        <s v="QB1+6"/>
        <s v="QC1+3"/>
        <s v="QB1+0"/>
        <s v="QC2+18"/>
        <s v="QC2+25"/>
        <s v="QD60+6"/>
        <s v="QD60+3 RC"/>
        <s v="QB2+0"/>
        <s v="QB2+3"/>
        <s v="QC2+3"/>
      </sharedItems>
    </cacheField>
    <cacheField name="Classification" numFmtId="0">
      <sharedItems count="9">
        <s v="WET"/>
        <s v="DRY"/>
        <s v="DFR"/>
        <s v="WFR(3M RC)"/>
        <s v="PS"/>
        <s v="WFR,3M RC"/>
        <s v="WFR"/>
        <s v="WET PADDY"/>
        <s v="WBC"/>
      </sharedItems>
    </cacheField>
    <cacheField name="Start Date" numFmtId="0">
      <sharedItems containsNonDate="0" containsDate="1" containsString="0" containsBlank="1" minDate="2022-10-11T00:00:00" maxDate="2024-03-15T00:00:00"/>
    </cacheField>
    <cacheField name="RCC Qty" numFmtId="0">
      <sharedItems containsString="0" containsBlank="1" containsNumber="1" minValue="55.116" maxValue="484.71600000000001"/>
    </cacheField>
    <cacheField name="PCC Qty." numFmtId="0">
      <sharedItems containsString="0" containsBlank="1" containsNumber="1" minValue="5.1210000000000004" maxValue="31.2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1"/>
    <s v="20/4"/>
    <x v="0"/>
    <x v="0"/>
    <d v="2022-11-12T00:00:00"/>
    <n v="87.86"/>
    <n v="8.66"/>
    <s v="Completed"/>
  </r>
  <r>
    <n v="2"/>
    <s v="20/5"/>
    <x v="1"/>
    <x v="0"/>
    <d v="2022-11-02T00:00:00"/>
    <n v="97.036000000000001"/>
    <n v="9.577"/>
    <s v="Completed"/>
  </r>
  <r>
    <n v="3"/>
    <s v="20/6"/>
    <x v="1"/>
    <x v="0"/>
    <d v="2022-10-11T00:00:00"/>
    <n v="97.036000000000001"/>
    <n v="9.577"/>
    <s v="Completed"/>
  </r>
  <r>
    <n v="4"/>
    <s v="27/2"/>
    <x v="1"/>
    <x v="0"/>
    <d v="2022-11-10T00:00:00"/>
    <n v="97.036000000000001"/>
    <n v="9.577"/>
    <s v="Completed"/>
  </r>
  <r>
    <n v="5"/>
    <s v="27/3"/>
    <x v="1"/>
    <x v="0"/>
    <d v="2022-10-27T00:00:00"/>
    <n v="97.036000000000001"/>
    <n v="9.577"/>
    <s v="Completed"/>
  </r>
  <r>
    <n v="6"/>
    <s v="20/1"/>
    <x v="2"/>
    <x v="0"/>
    <d v="2022-11-27T00:00:00"/>
    <n v="97.036000000000001"/>
    <n v="9.577"/>
    <s v="Completed"/>
  </r>
  <r>
    <n v="7"/>
    <s v="20/2"/>
    <x v="2"/>
    <x v="0"/>
    <d v="2022-12-07T00:00:00"/>
    <n v="97.036000000000001"/>
    <n v="9.577"/>
    <s v="Completed"/>
  </r>
  <r>
    <n v="8"/>
    <s v="43/1"/>
    <x v="1"/>
    <x v="0"/>
    <d v="2022-11-27T00:00:00"/>
    <n v="97.036000000000001"/>
    <n v="9.577"/>
    <s v="Completed"/>
  </r>
  <r>
    <n v="9"/>
    <s v="43/2"/>
    <x v="1"/>
    <x v="1"/>
    <d v="2022-12-11T00:00:00"/>
    <n v="60.886000000000003"/>
    <n v="5.7"/>
    <s v="Completed"/>
  </r>
  <r>
    <n v="10"/>
    <s v="58/1"/>
    <x v="3"/>
    <x v="0"/>
    <d v="2022-12-22T00:00:00"/>
    <n v="97.036000000000001"/>
    <n v="9.577"/>
    <s v="Completed"/>
  </r>
  <r>
    <n v="11"/>
    <s v="20/0"/>
    <x v="4"/>
    <x v="0"/>
    <d v="2023-02-27T00:00:00"/>
    <n v="284.20800000000003"/>
    <n v="23.545000000000002"/>
    <s v="Completed"/>
  </r>
  <r>
    <n v="12"/>
    <s v="71/0"/>
    <x v="5"/>
    <x v="2"/>
    <d v="2023-05-19T00:00:00"/>
    <n v="113.572"/>
    <n v="9.6329999999999991"/>
    <s v="Completed"/>
  </r>
  <r>
    <n v="13"/>
    <s v="70B/0"/>
    <x v="6"/>
    <x v="2"/>
    <d v="2023-05-19T00:00:00"/>
    <n v="193.828"/>
    <n v="14.689"/>
    <s v="Completed"/>
  </r>
  <r>
    <n v="14"/>
    <s v="41/5"/>
    <x v="2"/>
    <x v="2"/>
    <d v="2023-08-21T00:00:00"/>
    <n v="61.048000000000002"/>
    <n v="5.7249999999999996"/>
    <s v="Completed"/>
  </r>
  <r>
    <n v="15"/>
    <s v="74A/0"/>
    <x v="7"/>
    <x v="3"/>
    <d v="2023-08-07T00:00:00"/>
    <n v="484.71600000000001"/>
    <n v="30.013000000000002"/>
    <s v="Completed"/>
  </r>
  <r>
    <n v="16"/>
    <s v="74/0"/>
    <x v="8"/>
    <x v="3"/>
    <d v="2023-09-02T00:00:00"/>
    <n v="263.5"/>
    <n v="20.808"/>
    <s v="Completed, Raft, Pyramid and chimney casting is completed, on dated-28/09/2023 (Awaited for RC Stub supply)"/>
  </r>
  <r>
    <n v="17"/>
    <s v="80/0"/>
    <x v="9"/>
    <x v="0"/>
    <d v="2023-10-05T00:00:00"/>
    <n v="434.93200000000002"/>
    <n v="26.45"/>
    <s v="Completed"/>
  </r>
  <r>
    <n v="18"/>
    <s v="79/0"/>
    <x v="10"/>
    <x v="0"/>
    <d v="2023-10-09T00:00:00"/>
    <n v="473.75299999999999"/>
    <n v="30.013000000000002"/>
    <s v="Completed"/>
  </r>
  <r>
    <n v="19"/>
    <s v="78/0"/>
    <x v="11"/>
    <x v="0"/>
    <d v="2023-10-20T00:00:00"/>
    <n v="272.22800000000001"/>
    <n v="22.472000000000001"/>
    <s v="Completed"/>
  </r>
  <r>
    <n v="20"/>
    <s v="77/0"/>
    <x v="11"/>
    <x v="0"/>
    <d v="2023-10-27T00:00:00"/>
    <n v="272.22800000000001"/>
    <n v="22.472000000000001"/>
    <s v="Completed"/>
  </r>
  <r>
    <n v="21"/>
    <s v="56/0"/>
    <x v="6"/>
    <x v="4"/>
    <d v="2023-11-10T00:00:00"/>
    <n v="391.05599999999998"/>
    <n v="31.25"/>
    <s v="Completed"/>
  </r>
  <r>
    <n v="22"/>
    <s v="76/0"/>
    <x v="6"/>
    <x v="0"/>
    <d v="2023-11-03T00:00:00"/>
    <n v="284.20800000000003"/>
    <n v="23.545000000000002"/>
    <s v="Completed"/>
  </r>
  <r>
    <n v="23"/>
    <s v="75/3"/>
    <x v="0"/>
    <x v="1"/>
    <d v="2023-11-21T00:00:00"/>
    <n v="55.116"/>
    <n v="5.1210000000000004"/>
    <s v="Completed"/>
  </r>
  <r>
    <n v="24"/>
    <s v="75/2"/>
    <x v="1"/>
    <x v="1"/>
    <d v="2023-11-25T00:00:00"/>
    <n v="60.886000000000003"/>
    <n v="5.7"/>
    <s v="Completed"/>
  </r>
  <r>
    <n v="25"/>
    <s v="74B/1"/>
    <x v="12"/>
    <x v="5"/>
    <d v="2023-07-20T00:00:00"/>
    <n v="175.77600000000001"/>
    <n v="14.792"/>
    <s v="Completed, Raft, Pyramid and chimney casting is completed, on dated-10/12/2023 (Awaited for RC Stub supply)"/>
  </r>
  <r>
    <n v="26"/>
    <s v="75/1"/>
    <x v="2"/>
    <x v="1"/>
    <d v="2023-11-23T00:00:00"/>
    <n v="60.886000000000003"/>
    <n v="5.7"/>
    <s v="Completed"/>
  </r>
  <r>
    <n v="27"/>
    <s v="24/0"/>
    <x v="13"/>
    <x v="6"/>
    <d v="2023-12-02T00:00:00"/>
    <n v="179.672"/>
    <n v="18.818000000000001"/>
    <s v="Completed"/>
  </r>
  <r>
    <n v="28"/>
    <s v="23/0"/>
    <x v="14"/>
    <x v="2"/>
    <d v="2023-12-02T00:00:00"/>
    <n v="323.83799999999997"/>
    <n v="14.792"/>
    <s v="Completed"/>
  </r>
  <r>
    <n v="29"/>
    <s v="75/0"/>
    <x v="4"/>
    <x v="1"/>
    <d v="2023-12-13T00:00:00"/>
    <n v="196.488"/>
    <n v="15.664999999999999"/>
    <s v="Completed"/>
  </r>
  <r>
    <n v="30"/>
    <s v="41/1"/>
    <x v="1"/>
    <x v="0"/>
    <d v="2023-12-14T00:00:00"/>
    <n v="97.036000000000001"/>
    <n v="9.577"/>
    <s v="Completed"/>
  </r>
  <r>
    <n v="31"/>
    <s v="27/0"/>
    <x v="10"/>
    <x v="0"/>
    <d v="2023-12-05T00:00:00"/>
    <n v="443.74"/>
    <n v="30.013000000000002"/>
    <s v="Completed"/>
  </r>
  <r>
    <n v="32"/>
    <s v="28/0"/>
    <x v="15"/>
    <x v="1"/>
    <d v="2023-12-08T00:00:00"/>
    <n v="127.16800000000001"/>
    <n v="12.961"/>
    <s v="Completed"/>
  </r>
  <r>
    <n v="33"/>
    <s v="38/5"/>
    <x v="2"/>
    <x v="6"/>
    <d v="2023-12-19T00:00:00"/>
    <n v="83.031999999999996"/>
    <n v="8.5809999999999995"/>
    <s v="Completed"/>
  </r>
  <r>
    <n v="34"/>
    <s v="41/2"/>
    <x v="1"/>
    <x v="0"/>
    <d v="2023-12-14T00:00:00"/>
    <n v="97.036000000000001"/>
    <n v="9.577"/>
    <s v="Completed"/>
  </r>
  <r>
    <n v="35"/>
    <s v="30/0"/>
    <x v="16"/>
    <x v="2"/>
    <d v="2023-12-15T00:00:00"/>
    <n v="305.02"/>
    <n v="18.818000000000001"/>
    <s v="Completed"/>
  </r>
  <r>
    <n v="36"/>
    <s v="40/1"/>
    <x v="0"/>
    <x v="6"/>
    <d v="2023-12-16T00:00:00"/>
    <n v="75.8"/>
    <n v="7.8129999999999997"/>
    <s v="Completed"/>
  </r>
  <r>
    <n v="37"/>
    <s v="41/3"/>
    <x v="2"/>
    <x v="1"/>
    <d v="2023-12-15T00:00:00"/>
    <n v="60.886000000000003"/>
    <n v="5.7"/>
    <s v="Completed"/>
  </r>
  <r>
    <n v="38"/>
    <s v="39/0"/>
    <x v="17"/>
    <x v="6"/>
    <d v="2023-12-15T00:00:00"/>
    <n v="185.66800000000001"/>
    <n v="15.842000000000001"/>
    <s v="Completed"/>
  </r>
  <r>
    <n v="39"/>
    <s v="25/0"/>
    <x v="18"/>
    <x v="0"/>
    <d v="2023-12-03T00:00:00"/>
    <n v="219.16399999999999"/>
    <n v="19.013000000000002"/>
    <s v="Completed"/>
  </r>
  <r>
    <n v="40"/>
    <s v="39/1"/>
    <x v="3"/>
    <x v="2"/>
    <d v="2023-12-30T00:00:00"/>
    <n v="61.048000000000002"/>
    <n v="5.7249999999999996"/>
    <s v="Completed"/>
  </r>
  <r>
    <n v="41"/>
    <s v="30/1"/>
    <x v="19"/>
    <x v="0"/>
    <d v="2023-12-25T00:00:00"/>
    <n v="114.1"/>
    <n v="11.552"/>
    <s v="Completed"/>
  </r>
  <r>
    <n v="42"/>
    <s v="27/1"/>
    <x v="3"/>
    <x v="0"/>
    <d v="2023-12-06T00:00:00"/>
    <n v="97.036000000000001"/>
    <n v="9.577"/>
    <s v="Completed"/>
  </r>
  <r>
    <n v="43"/>
    <s v="41/0"/>
    <x v="20"/>
    <x v="6"/>
    <d v="2023-12-18T00:00:00"/>
    <n v="164.88800000000001"/>
    <n v="14.792"/>
    <s v="Completed"/>
  </r>
  <r>
    <n v="44"/>
    <s v="41/4"/>
    <x v="19"/>
    <x v="6"/>
    <d v="2023-12-16T00:00:00"/>
    <n v="104.916"/>
    <n v="10.368"/>
    <s v="Completed"/>
  </r>
  <r>
    <n v="45"/>
    <s v="22/0"/>
    <x v="10"/>
    <x v="2"/>
    <d v="2023-12-30T00:00:00"/>
    <n v="238.97200000000001"/>
    <n v="18.05"/>
    <s v="Completed"/>
  </r>
  <r>
    <n v="46"/>
    <s v="38/4"/>
    <x v="3"/>
    <x v="6"/>
    <d v="2023-12-21T00:00:00"/>
    <n v="83.031999999999996"/>
    <n v="8.5809999999999995"/>
    <s v="Completed"/>
  </r>
  <r>
    <n v="47"/>
    <s v="40/0"/>
    <x v="8"/>
    <x v="0"/>
    <d v="2023-12-27T00:00:00"/>
    <n v="284.20800000000003"/>
    <n v="23.545000000000002"/>
    <s v="Completed"/>
  </r>
  <r>
    <n v="48"/>
    <s v="30/2"/>
    <x v="21"/>
    <x v="0"/>
    <d v="2023-12-16T00:00:00"/>
    <n v="107.164"/>
    <n v="10.657999999999999"/>
    <s v="Completed"/>
  </r>
  <r>
    <n v="49"/>
    <s v="29/0"/>
    <x v="16"/>
    <x v="6"/>
    <d v="2023-12-13T00:00:00"/>
    <n v="422.17599999999999"/>
    <n v="26.588000000000001"/>
    <s v="Completed"/>
  </r>
  <r>
    <n v="50"/>
    <s v="37/4"/>
    <x v="0"/>
    <x v="0"/>
    <d v="2024-01-11T00:00:00"/>
    <n v="87.86"/>
    <n v="8.66"/>
    <s v="Completed"/>
  </r>
  <r>
    <n v="51"/>
    <s v="30C/1"/>
    <x v="1"/>
    <x v="0"/>
    <d v="2024-01-10T00:00:00"/>
    <n v="97.036000000000001"/>
    <n v="9.577"/>
    <s v="Completed"/>
  </r>
  <r>
    <n v="52"/>
    <s v="30C/4"/>
    <x v="3"/>
    <x v="0"/>
    <d v="2024-01-13T00:00:00"/>
    <n v="97.036000000000001"/>
    <n v="9.577"/>
    <s v="Completed"/>
  </r>
  <r>
    <n v="53"/>
    <s v="37/2"/>
    <x v="0"/>
    <x v="1"/>
    <d v="2024-01-11T00:00:00"/>
    <n v="55.116"/>
    <n v="5.1210000000000004"/>
    <s v="Completed"/>
  </r>
  <r>
    <n v="54"/>
    <s v="42/0"/>
    <x v="22"/>
    <x v="2"/>
    <d v="2023-12-18T00:00:00"/>
    <n v="159.244"/>
    <n v="12.545"/>
    <s v="Completed"/>
  </r>
  <r>
    <n v="55"/>
    <s v="27/4"/>
    <x v="1"/>
    <x v="2"/>
    <d v="2024-01-05T00:00:00"/>
    <n v="61.048000000000002"/>
    <n v="5.7249999999999996"/>
    <s v="Completed"/>
  </r>
  <r>
    <n v="56"/>
    <s v="43/0"/>
    <x v="6"/>
    <x v="0"/>
    <d v="2024-01-07T00:00:00"/>
    <n v="284.20800000000003"/>
    <n v="23.545000000000002"/>
    <s v="Completed"/>
  </r>
  <r>
    <n v="57"/>
    <s v="37/3"/>
    <x v="2"/>
    <x v="0"/>
    <d v="2024-01-11T00:00:00"/>
    <n v="97.036000000000001"/>
    <n v="9.577"/>
    <s v="Completed"/>
  </r>
  <r>
    <n v="58"/>
    <s v="22/2"/>
    <x v="1"/>
    <x v="2"/>
    <d v="2024-01-04T00:00:00"/>
    <n v="61.048000000000002"/>
    <n v="5.7249999999999996"/>
    <s v="Completed"/>
  </r>
  <r>
    <n v="59"/>
    <s v="42/1"/>
    <x v="23"/>
    <x v="0"/>
    <d v="2024-01-06T00:00:00"/>
    <n v="241.28"/>
    <n v="20.321000000000002"/>
    <s v="Completed"/>
  </r>
  <r>
    <n v="60"/>
    <s v="30C/2"/>
    <x v="3"/>
    <x v="6"/>
    <d v="2024-01-15T00:00:00"/>
    <n v="83.031999999999996"/>
    <n v="8.5809999999999995"/>
    <s v="Completed"/>
  </r>
  <r>
    <n v="61"/>
    <s v="37/5"/>
    <x v="0"/>
    <x v="0"/>
    <d v="2024-01-12T00:00:00"/>
    <n v="87.86"/>
    <n v="8.66"/>
    <s v="Completed"/>
  </r>
  <r>
    <n v="62"/>
    <s v="22/1"/>
    <x v="2"/>
    <x v="2"/>
    <d v="2024-01-04T00:00:00"/>
    <n v="61.048000000000002"/>
    <n v="5.7249999999999996"/>
    <s v="Completed"/>
  </r>
  <r>
    <n v="63"/>
    <s v="30C/3"/>
    <x v="3"/>
    <x v="6"/>
    <d v="2024-01-12T00:00:00"/>
    <n v="83.031999999999996"/>
    <n v="8.5809999999999995"/>
    <s v="Completed"/>
  </r>
  <r>
    <n v="64"/>
    <s v="37/1"/>
    <x v="2"/>
    <x v="1"/>
    <d v="2024-01-17T00:00:00"/>
    <n v="60.884"/>
    <n v="5.7030000000000003"/>
    <s v="Completed"/>
  </r>
  <r>
    <n v="65"/>
    <s v="42A/0"/>
    <x v="7"/>
    <x v="0"/>
    <d v="2024-01-18T00:00:00"/>
    <n v="443.74"/>
    <n v="30.013000000000002"/>
    <s v="Completed"/>
  </r>
  <r>
    <n v="66"/>
    <s v="42/2"/>
    <x v="3"/>
    <x v="1"/>
    <d v="2024-01-27T00:00:00"/>
    <n v="60.884"/>
    <n v="5.7030000000000003"/>
    <s v="Completed"/>
  </r>
  <r>
    <n v="67"/>
    <s v="30A/0"/>
    <x v="22"/>
    <x v="0"/>
    <d v="2024-01-09T00:00:00"/>
    <n v="241.28"/>
    <n v="20.321000000000002"/>
    <s v="Completed"/>
  </r>
  <r>
    <n v="68"/>
    <s v="30C/0"/>
    <x v="15"/>
    <x v="0"/>
    <d v="2024-01-19T00:00:00"/>
    <n v="134.56399999999999"/>
    <n v="13.911"/>
    <s v="Completed"/>
  </r>
  <r>
    <n v="69"/>
    <s v="42/3"/>
    <x v="0"/>
    <x v="1"/>
    <d v="2024-01-29T00:00:00"/>
    <n v="55.116"/>
    <n v="5.1210000000000004"/>
    <s v="Completed"/>
  </r>
  <r>
    <n v="70"/>
    <s v="30C/7"/>
    <x v="0"/>
    <x v="1"/>
    <d v="2024-01-12T00:00:00"/>
    <n v="55.116"/>
    <n v="5.1210000000000004"/>
    <s v="Completed"/>
  </r>
  <r>
    <n v="71"/>
    <s v="35/0"/>
    <x v="6"/>
    <x v="0"/>
    <d v="2024-01-21T00:00:00"/>
    <n v="284.20800000000003"/>
    <n v="23.545000000000002"/>
    <s v="Completed"/>
  </r>
  <r>
    <n v="72"/>
    <s v="38/1"/>
    <x v="1"/>
    <x v="0"/>
    <d v="2024-01-22T00:00:00"/>
    <n v="97.036000000000001"/>
    <n v="9.577"/>
    <s v="Completed"/>
  </r>
  <r>
    <n v="73"/>
    <s v="34/1"/>
    <x v="2"/>
    <x v="1"/>
    <d v="2024-02-05T00:00:00"/>
    <n v="60.884"/>
    <n v="5.7030000000000003"/>
    <s v="Completed"/>
  </r>
  <r>
    <n v="74"/>
    <s v="36/0"/>
    <x v="11"/>
    <x v="0"/>
    <d v="2024-01-20T00:00:00"/>
    <n v="272.22800000000001"/>
    <n v="22.472000000000001"/>
    <s v="Completed"/>
  </r>
  <r>
    <n v="75"/>
    <s v="30C/6"/>
    <x v="2"/>
    <x v="0"/>
    <d v="2024-01-12T00:00:00"/>
    <n v="97.036000000000001"/>
    <n v="9.577"/>
    <s v="Completed"/>
  </r>
  <r>
    <n v="76"/>
    <s v="27/5"/>
    <x v="0"/>
    <x v="2"/>
    <d v="2024-01-09T00:00:00"/>
    <n v="55.74"/>
    <n v="5.202"/>
    <s v="Completed"/>
  </r>
  <r>
    <n v="77"/>
    <s v="32/0"/>
    <x v="16"/>
    <x v="0"/>
    <d v="2024-01-28T00:00:00"/>
    <n v="474.88799999999998"/>
    <n v="30.062000000000001"/>
    <s v="Completed"/>
  </r>
  <r>
    <n v="78"/>
    <s v="36/2"/>
    <x v="0"/>
    <x v="1"/>
    <d v="2024-01-30T00:00:00"/>
    <n v="55.116"/>
    <n v="5.1210000000000004"/>
    <s v="Completed"/>
  </r>
  <r>
    <n v="79"/>
    <s v="45/0"/>
    <x v="16"/>
    <x v="0"/>
    <d v="2024-01-28T00:00:00"/>
    <n v="474.88799999999998"/>
    <n v="30.062000000000001"/>
    <s v="Completed"/>
  </r>
  <r>
    <n v="80"/>
    <s v="36/3"/>
    <x v="0"/>
    <x v="2"/>
    <d v="2024-02-10T00:00:00"/>
    <n v="55.74"/>
    <n v="5.202"/>
    <s v="Completed"/>
  </r>
  <r>
    <n v="81"/>
    <s v="34/2"/>
    <x v="1"/>
    <x v="1"/>
    <d v="2024-02-10T00:00:00"/>
    <n v="60.884"/>
    <n v="5.7030000000000003"/>
    <s v="Completed"/>
  </r>
  <r>
    <n v="82"/>
    <s v="30C/8"/>
    <x v="1"/>
    <x v="0"/>
    <d v="2024-01-23T00:00:00"/>
    <n v="97.036000000000001"/>
    <n v="9.577"/>
    <s v="Completed"/>
  </r>
  <r>
    <n v="83"/>
    <s v="30C/5"/>
    <x v="3"/>
    <x v="1"/>
    <d v="2024-01-12T00:00:00"/>
    <n v="60.884"/>
    <n v="5.7030000000000003"/>
    <s v="Completed"/>
  </r>
  <r>
    <n v="84"/>
    <s v="35/1"/>
    <x v="2"/>
    <x v="1"/>
    <d v="2024-02-07T00:00:00"/>
    <n v="60.884"/>
    <n v="5.7030000000000003"/>
    <s v="Completed"/>
  </r>
  <r>
    <n v="85"/>
    <s v="46/0"/>
    <x v="16"/>
    <x v="0"/>
    <d v="2024-02-15T00:00:00"/>
    <n v="474.88799999999998"/>
    <n v="30.062000000000001"/>
    <s v="Completed"/>
  </r>
  <r>
    <n v="86"/>
    <s v="33/1"/>
    <x v="2"/>
    <x v="1"/>
    <d v="2024-02-16T00:00:00"/>
    <n v="60.884"/>
    <n v="5.7030000000000003"/>
    <s v="Completed"/>
  </r>
  <r>
    <n v="87"/>
    <s v="31/0"/>
    <x v="16"/>
    <x v="0"/>
    <d v="2024-01-27T00:00:00"/>
    <n v="474.88799999999998"/>
    <n v="30.062000000000001"/>
    <s v="Completed"/>
  </r>
  <r>
    <n v="88"/>
    <s v="36/1"/>
    <x v="1"/>
    <x v="7"/>
    <d v="2024-02-25T00:00:00"/>
    <n v="59.287999999999997"/>
    <n v="5.8970000000000002"/>
    <s v="Completed"/>
  </r>
  <r>
    <n v="89"/>
    <s v="54/0"/>
    <x v="8"/>
    <x v="0"/>
    <d v="2024-02-27T00:00:00"/>
    <n v="284.20800000000003"/>
    <n v="23.545000000000002"/>
    <s v="Completed"/>
  </r>
  <r>
    <n v="90"/>
    <s v="55/0"/>
    <x v="13"/>
    <x v="0"/>
    <d v="2024-02-19T00:00:00"/>
    <n v="184.416"/>
    <n v="16.745000000000001"/>
    <s v="Completed"/>
  </r>
  <r>
    <n v="91"/>
    <s v="64/1"/>
    <x v="0"/>
    <x v="1"/>
    <d v="2024-02-29T00:00:00"/>
    <n v="55.116"/>
    <n v="5.1210000000000004"/>
    <s v="Completed"/>
  </r>
  <r>
    <n v="92"/>
    <s v="47/0"/>
    <x v="20"/>
    <x v="0"/>
    <d v="2024-02-26T00:00:00"/>
    <n v="184.416"/>
    <n v="16.745000000000001"/>
    <s v="Completed"/>
  </r>
  <r>
    <n v="93"/>
    <s v="34/0"/>
    <x v="17"/>
    <x v="0"/>
    <d v="2024-02-27T00:00:00"/>
    <n v="206.976"/>
    <n v="17.861000000000001"/>
    <s v="Completed"/>
  </r>
  <r>
    <n v="94"/>
    <s v="63/0"/>
    <x v="24"/>
    <x v="0"/>
    <d v="2024-02-25T00:00:00"/>
    <n v="443.74"/>
    <n v="30.013000000000002"/>
    <s v="Completed"/>
  </r>
  <r>
    <n v="95"/>
    <s v="33/0"/>
    <x v="24"/>
    <x v="0"/>
    <d v="2024-03-02T00:00:00"/>
    <n v="443.74"/>
    <n v="30.013000000000002"/>
    <s v="Completed"/>
  </r>
  <r>
    <n v="96"/>
    <s v="65/0"/>
    <x v="5"/>
    <x v="0"/>
    <d v="2024-03-03T00:00:00"/>
    <n v="173.608"/>
    <n v="15.664999999999999"/>
    <s v="Completed"/>
  </r>
  <r>
    <n v="97"/>
    <s v="19/0"/>
    <x v="25"/>
    <x v="8"/>
    <d v="2024-03-01T00:00:00"/>
    <n v="478.315"/>
    <n v="31.25"/>
    <s v="Pit Marking &amp; trial Pit done,Excavation WIP."/>
  </r>
  <r>
    <e v="#REF!"/>
    <s v="20/7"/>
    <x v="3"/>
    <x v="2"/>
    <m/>
    <n v="61.048000000000002"/>
    <n v="5.7249999999999996"/>
    <s v="Pit Marking &amp; Trial Pit done, Three Pit in ROW."/>
  </r>
  <r>
    <e v="#REF!"/>
    <s v="21/0"/>
    <x v="10"/>
    <x v="2"/>
    <d v="2024-02-25T00:00:00"/>
    <n v="238.97200000000001"/>
    <n v="18.05"/>
    <s v="Pit Marking &amp; trial Pit done,Excavation WIP."/>
  </r>
  <r>
    <e v="#REF!"/>
    <s v="37/0"/>
    <x v="26"/>
    <x v="2"/>
    <d v="2024-02-09T00:00:00"/>
    <n v="87.86"/>
    <n v="7.8879999999999999"/>
    <s v="Excavation-2/4"/>
  </r>
  <r>
    <e v="#REF!"/>
    <s v="38/0"/>
    <x v="5"/>
    <x v="0"/>
    <m/>
    <n v="173.608"/>
    <n v="15.664999999999999"/>
    <s v="Kindly Arrange Work front"/>
  </r>
  <r>
    <e v="#REF!"/>
    <s v="42B/0"/>
    <x v="14"/>
    <x v="0"/>
    <d v="2024-01-24T00:00:00"/>
    <n v="474.88799999999998"/>
    <n v="30.062000000000001"/>
    <s v="Excavation-3/4, PCC-3/4, Raft-3/4 Pyramid-3/4, Chimney-3/4.Completed. "/>
  </r>
  <r>
    <e v="#REF!"/>
    <s v="48/0"/>
    <x v="27"/>
    <x v="0"/>
    <d v="2024-03-06T00:00:00"/>
    <n v="134.56399999999999"/>
    <n v="13.911"/>
    <s v="Pit Marking &amp; trial Pit done, Tree cutting WIP."/>
  </r>
  <r>
    <e v="#REF!"/>
    <s v="49/1"/>
    <x v="1"/>
    <x v="0"/>
    <m/>
    <n v="97.036000000000001"/>
    <n v="9.577"/>
    <s v="Pit Marking &amp; trial Pit done, Tree cutting pending."/>
  </r>
  <r>
    <e v="#REF!"/>
    <s v="50/0"/>
    <x v="10"/>
    <x v="4"/>
    <m/>
    <n v="443.74"/>
    <n v="30.013000000000002"/>
    <s v="Pit marking done and trial Pit done,"/>
  </r>
  <r>
    <e v="#REF!"/>
    <s v="52/0"/>
    <x v="28"/>
    <x v="0"/>
    <m/>
    <n v="219.16399999999999"/>
    <n v="19.013000000000002"/>
    <s v="Pit marking done and trial Pit done, Excavation WIP"/>
  </r>
  <r>
    <e v="#REF!"/>
    <s v="53/0"/>
    <x v="4"/>
    <x v="0"/>
    <m/>
    <n v="284.20800000000003"/>
    <n v="23.545000000000002"/>
    <s v="Pit marking done and trial Pit done, Excavation-4/4, PCC-4/4"/>
  </r>
  <r>
    <e v="#REF!"/>
    <s v="58/0"/>
    <x v="26"/>
    <x v="1"/>
    <d v="2024-03-09T00:00:00"/>
    <n v="93.504000000000005"/>
    <n v="8.0649999999999995"/>
    <s v="Excavation-4/4, PCC-2/4, Raft-4/4 Pyramid-0/4, Chimney-0/4.Completed. "/>
  </r>
  <r>
    <e v="#REF!"/>
    <s v="60/0"/>
    <x v="22"/>
    <x v="0"/>
    <d v="2024-03-12T00:00:00"/>
    <n v="241.28"/>
    <n v="20.321000000000002"/>
    <s v="Excavation-4/4,  PCC-4/4, Raft-2/4"/>
  </r>
  <r>
    <e v="#REF!"/>
    <s v="61/1"/>
    <x v="0"/>
    <x v="1"/>
    <d v="2024-03-08T00:00:00"/>
    <n v="55.116"/>
    <n v="5.1210000000000004"/>
    <s v="Pit marking done and trial Pit done, Tree cutting pending."/>
  </r>
  <r>
    <e v="#REF!"/>
    <s v="65/1"/>
    <x v="2"/>
    <x v="1"/>
    <d v="2024-03-02T00:00:00"/>
    <n v="60.884"/>
    <n v="5.7030000000000003"/>
    <s v="Excavation-4/4, PCC-4/4, Raft-4/4 Pyramid-2/4, Chimney-2/4.Completed. "/>
  </r>
  <r>
    <e v="#REF!"/>
    <s v="66/0"/>
    <x v="22"/>
    <x v="0"/>
    <d v="2024-03-02T00:00:00"/>
    <n v="241.28"/>
    <n v="20.321000000000002"/>
    <s v="Excavation -2/4, PCC-1/4"/>
  </r>
  <r>
    <e v="#REF!"/>
    <s v="68/0"/>
    <x v="9"/>
    <x v="2"/>
    <d v="2024-03-14T00:00:00"/>
    <m/>
    <m/>
    <s v="Pit marking done and trial Pit done, Excavation-4/4"/>
  </r>
  <r>
    <e v="#REF!"/>
    <s v="69/1"/>
    <x v="1"/>
    <x v="2"/>
    <d v="2024-03-14T00:00:00"/>
    <n v="61.048000000000002"/>
    <n v="5.7249999999999996"/>
    <s v="Pit marking done and trial Pit done, Excavation-3/4, PCC-3/4, Raft-3/4, Pyramid-3/4, Chimney-3/4. Completed.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8C930-36CA-4EF1-8E8B-7ABA05C70E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34" firstHeaderRow="1" firstDataRow="2" firstDataCol="1"/>
  <pivotFields count="8">
    <pivotField showAll="0"/>
    <pivotField showAll="0"/>
    <pivotField axis="axisRow" showAll="0">
      <items count="30">
        <item x="0"/>
        <item x="3"/>
        <item x="2"/>
        <item x="1"/>
        <item x="21"/>
        <item x="19"/>
        <item x="26"/>
        <item x="27"/>
        <item x="15"/>
        <item x="5"/>
        <item x="20"/>
        <item x="13"/>
        <item x="17"/>
        <item x="22"/>
        <item x="23"/>
        <item x="28"/>
        <item x="18"/>
        <item x="12"/>
        <item x="11"/>
        <item x="6"/>
        <item x="4"/>
        <item x="8"/>
        <item x="9"/>
        <item x="14"/>
        <item x="16"/>
        <item x="7"/>
        <item x="25"/>
        <item x="24"/>
        <item x="10"/>
        <item t="default"/>
      </items>
    </pivotField>
    <pivotField axis="axisCol" dataField="1" showAll="0">
      <items count="10">
        <item x="2"/>
        <item x="1"/>
        <item x="4"/>
        <item x="8"/>
        <item x="0"/>
        <item x="7"/>
        <item x="6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Classification" fld="3" subtotal="count" baseField="0" baseItem="0"/>
  </dataFields>
  <formats count="10"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3" type="button" dataOnly="0" labelOnly="1" outline="0" axis="axisCol" fieldPosition="0"/>
    </format>
    <format dxfId="104">
      <pivotArea type="topRight" dataOnly="0" labelOnly="1" outline="0" fieldPosition="0"/>
    </format>
    <format dxfId="103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69CE-43CD-4AC7-B14C-98810B6BB73D}">
  <dimension ref="B1:K33"/>
  <sheetViews>
    <sheetView view="pageBreakPreview" topLeftCell="A25" zoomScaleNormal="100" zoomScaleSheetLayoutView="100" workbookViewId="0">
      <selection activeCell="A43" sqref="A43"/>
    </sheetView>
  </sheetViews>
  <sheetFormatPr defaultRowHeight="14.5"/>
  <cols>
    <col min="1" max="1" width="3.1796875" customWidth="1"/>
    <col min="2" max="2" width="19.81640625" bestFit="1" customWidth="1"/>
    <col min="3" max="3" width="29.08984375" bestFit="1" customWidth="1"/>
    <col min="4" max="4" width="26.54296875" customWidth="1"/>
    <col min="5" max="5" width="13.6328125" customWidth="1"/>
    <col min="6" max="6" width="20.453125" customWidth="1"/>
    <col min="7" max="7" width="10" bestFit="1" customWidth="1"/>
    <col min="258" max="258" width="11.81640625" customWidth="1"/>
    <col min="259" max="259" width="15.81640625" customWidth="1"/>
    <col min="260" max="260" width="14.1796875" customWidth="1"/>
    <col min="261" max="261" width="16.54296875" customWidth="1"/>
    <col min="263" max="263" width="25.81640625" customWidth="1"/>
    <col min="514" max="514" width="11.81640625" customWidth="1"/>
    <col min="515" max="515" width="15.81640625" customWidth="1"/>
    <col min="516" max="516" width="14.1796875" customWidth="1"/>
    <col min="517" max="517" width="16.54296875" customWidth="1"/>
    <col min="519" max="519" width="25.81640625" customWidth="1"/>
    <col min="770" max="770" width="11.81640625" customWidth="1"/>
    <col min="771" max="771" width="15.81640625" customWidth="1"/>
    <col min="772" max="772" width="14.1796875" customWidth="1"/>
    <col min="773" max="773" width="16.54296875" customWidth="1"/>
    <col min="775" max="775" width="25.81640625" customWidth="1"/>
    <col min="1026" max="1026" width="11.81640625" customWidth="1"/>
    <col min="1027" max="1027" width="15.81640625" customWidth="1"/>
    <col min="1028" max="1028" width="14.1796875" customWidth="1"/>
    <col min="1029" max="1029" width="16.54296875" customWidth="1"/>
    <col min="1031" max="1031" width="25.81640625" customWidth="1"/>
    <col min="1282" max="1282" width="11.81640625" customWidth="1"/>
    <col min="1283" max="1283" width="15.81640625" customWidth="1"/>
    <col min="1284" max="1284" width="14.1796875" customWidth="1"/>
    <col min="1285" max="1285" width="16.54296875" customWidth="1"/>
    <col min="1287" max="1287" width="25.81640625" customWidth="1"/>
    <col min="1538" max="1538" width="11.81640625" customWidth="1"/>
    <col min="1539" max="1539" width="15.81640625" customWidth="1"/>
    <col min="1540" max="1540" width="14.1796875" customWidth="1"/>
    <col min="1541" max="1541" width="16.54296875" customWidth="1"/>
    <col min="1543" max="1543" width="25.81640625" customWidth="1"/>
    <col min="1794" max="1794" width="11.81640625" customWidth="1"/>
    <col min="1795" max="1795" width="15.81640625" customWidth="1"/>
    <col min="1796" max="1796" width="14.1796875" customWidth="1"/>
    <col min="1797" max="1797" width="16.54296875" customWidth="1"/>
    <col min="1799" max="1799" width="25.81640625" customWidth="1"/>
    <col min="2050" max="2050" width="11.81640625" customWidth="1"/>
    <col min="2051" max="2051" width="15.81640625" customWidth="1"/>
    <col min="2052" max="2052" width="14.1796875" customWidth="1"/>
    <col min="2053" max="2053" width="16.54296875" customWidth="1"/>
    <col min="2055" max="2055" width="25.81640625" customWidth="1"/>
    <col min="2306" max="2306" width="11.81640625" customWidth="1"/>
    <col min="2307" max="2307" width="15.81640625" customWidth="1"/>
    <col min="2308" max="2308" width="14.1796875" customWidth="1"/>
    <col min="2309" max="2309" width="16.54296875" customWidth="1"/>
    <col min="2311" max="2311" width="25.81640625" customWidth="1"/>
    <col min="2562" max="2562" width="11.81640625" customWidth="1"/>
    <col min="2563" max="2563" width="15.81640625" customWidth="1"/>
    <col min="2564" max="2564" width="14.1796875" customWidth="1"/>
    <col min="2565" max="2565" width="16.54296875" customWidth="1"/>
    <col min="2567" max="2567" width="25.81640625" customWidth="1"/>
    <col min="2818" max="2818" width="11.81640625" customWidth="1"/>
    <col min="2819" max="2819" width="15.81640625" customWidth="1"/>
    <col min="2820" max="2820" width="14.1796875" customWidth="1"/>
    <col min="2821" max="2821" width="16.54296875" customWidth="1"/>
    <col min="2823" max="2823" width="25.81640625" customWidth="1"/>
    <col min="3074" max="3074" width="11.81640625" customWidth="1"/>
    <col min="3075" max="3075" width="15.81640625" customWidth="1"/>
    <col min="3076" max="3076" width="14.1796875" customWidth="1"/>
    <col min="3077" max="3077" width="16.54296875" customWidth="1"/>
    <col min="3079" max="3079" width="25.81640625" customWidth="1"/>
    <col min="3330" max="3330" width="11.81640625" customWidth="1"/>
    <col min="3331" max="3331" width="15.81640625" customWidth="1"/>
    <col min="3332" max="3332" width="14.1796875" customWidth="1"/>
    <col min="3333" max="3333" width="16.54296875" customWidth="1"/>
    <col min="3335" max="3335" width="25.81640625" customWidth="1"/>
    <col min="3586" max="3586" width="11.81640625" customWidth="1"/>
    <col min="3587" max="3587" width="15.81640625" customWidth="1"/>
    <col min="3588" max="3588" width="14.1796875" customWidth="1"/>
    <col min="3589" max="3589" width="16.54296875" customWidth="1"/>
    <col min="3591" max="3591" width="25.81640625" customWidth="1"/>
    <col min="3842" max="3842" width="11.81640625" customWidth="1"/>
    <col min="3843" max="3843" width="15.81640625" customWidth="1"/>
    <col min="3844" max="3844" width="14.1796875" customWidth="1"/>
    <col min="3845" max="3845" width="16.54296875" customWidth="1"/>
    <col min="3847" max="3847" width="25.81640625" customWidth="1"/>
    <col min="4098" max="4098" width="11.81640625" customWidth="1"/>
    <col min="4099" max="4099" width="15.81640625" customWidth="1"/>
    <col min="4100" max="4100" width="14.1796875" customWidth="1"/>
    <col min="4101" max="4101" width="16.54296875" customWidth="1"/>
    <col min="4103" max="4103" width="25.81640625" customWidth="1"/>
    <col min="4354" max="4354" width="11.81640625" customWidth="1"/>
    <col min="4355" max="4355" width="15.81640625" customWidth="1"/>
    <col min="4356" max="4356" width="14.1796875" customWidth="1"/>
    <col min="4357" max="4357" width="16.54296875" customWidth="1"/>
    <col min="4359" max="4359" width="25.81640625" customWidth="1"/>
    <col min="4610" max="4610" width="11.81640625" customWidth="1"/>
    <col min="4611" max="4611" width="15.81640625" customWidth="1"/>
    <col min="4612" max="4612" width="14.1796875" customWidth="1"/>
    <col min="4613" max="4613" width="16.54296875" customWidth="1"/>
    <col min="4615" max="4615" width="25.81640625" customWidth="1"/>
    <col min="4866" max="4866" width="11.81640625" customWidth="1"/>
    <col min="4867" max="4867" width="15.81640625" customWidth="1"/>
    <col min="4868" max="4868" width="14.1796875" customWidth="1"/>
    <col min="4869" max="4869" width="16.54296875" customWidth="1"/>
    <col min="4871" max="4871" width="25.81640625" customWidth="1"/>
    <col min="5122" max="5122" width="11.81640625" customWidth="1"/>
    <col min="5123" max="5123" width="15.81640625" customWidth="1"/>
    <col min="5124" max="5124" width="14.1796875" customWidth="1"/>
    <col min="5125" max="5125" width="16.54296875" customWidth="1"/>
    <col min="5127" max="5127" width="25.81640625" customWidth="1"/>
    <col min="5378" max="5378" width="11.81640625" customWidth="1"/>
    <col min="5379" max="5379" width="15.81640625" customWidth="1"/>
    <col min="5380" max="5380" width="14.1796875" customWidth="1"/>
    <col min="5381" max="5381" width="16.54296875" customWidth="1"/>
    <col min="5383" max="5383" width="25.81640625" customWidth="1"/>
    <col min="5634" max="5634" width="11.81640625" customWidth="1"/>
    <col min="5635" max="5635" width="15.81640625" customWidth="1"/>
    <col min="5636" max="5636" width="14.1796875" customWidth="1"/>
    <col min="5637" max="5637" width="16.54296875" customWidth="1"/>
    <col min="5639" max="5639" width="25.81640625" customWidth="1"/>
    <col min="5890" max="5890" width="11.81640625" customWidth="1"/>
    <col min="5891" max="5891" width="15.81640625" customWidth="1"/>
    <col min="5892" max="5892" width="14.1796875" customWidth="1"/>
    <col min="5893" max="5893" width="16.54296875" customWidth="1"/>
    <col min="5895" max="5895" width="25.81640625" customWidth="1"/>
    <col min="6146" max="6146" width="11.81640625" customWidth="1"/>
    <col min="6147" max="6147" width="15.81640625" customWidth="1"/>
    <col min="6148" max="6148" width="14.1796875" customWidth="1"/>
    <col min="6149" max="6149" width="16.54296875" customWidth="1"/>
    <col min="6151" max="6151" width="25.81640625" customWidth="1"/>
    <col min="6402" max="6402" width="11.81640625" customWidth="1"/>
    <col min="6403" max="6403" width="15.81640625" customWidth="1"/>
    <col min="6404" max="6404" width="14.1796875" customWidth="1"/>
    <col min="6405" max="6405" width="16.54296875" customWidth="1"/>
    <col min="6407" max="6407" width="25.81640625" customWidth="1"/>
    <col min="6658" max="6658" width="11.81640625" customWidth="1"/>
    <col min="6659" max="6659" width="15.81640625" customWidth="1"/>
    <col min="6660" max="6660" width="14.1796875" customWidth="1"/>
    <col min="6661" max="6661" width="16.54296875" customWidth="1"/>
    <col min="6663" max="6663" width="25.81640625" customWidth="1"/>
    <col min="6914" max="6914" width="11.81640625" customWidth="1"/>
    <col min="6915" max="6915" width="15.81640625" customWidth="1"/>
    <col min="6916" max="6916" width="14.1796875" customWidth="1"/>
    <col min="6917" max="6917" width="16.54296875" customWidth="1"/>
    <col min="6919" max="6919" width="25.81640625" customWidth="1"/>
    <col min="7170" max="7170" width="11.81640625" customWidth="1"/>
    <col min="7171" max="7171" width="15.81640625" customWidth="1"/>
    <col min="7172" max="7172" width="14.1796875" customWidth="1"/>
    <col min="7173" max="7173" width="16.54296875" customWidth="1"/>
    <col min="7175" max="7175" width="25.81640625" customWidth="1"/>
    <col min="7426" max="7426" width="11.81640625" customWidth="1"/>
    <col min="7427" max="7427" width="15.81640625" customWidth="1"/>
    <col min="7428" max="7428" width="14.1796875" customWidth="1"/>
    <col min="7429" max="7429" width="16.54296875" customWidth="1"/>
    <col min="7431" max="7431" width="25.81640625" customWidth="1"/>
    <col min="7682" max="7682" width="11.81640625" customWidth="1"/>
    <col min="7683" max="7683" width="15.81640625" customWidth="1"/>
    <col min="7684" max="7684" width="14.1796875" customWidth="1"/>
    <col min="7685" max="7685" width="16.54296875" customWidth="1"/>
    <col min="7687" max="7687" width="25.81640625" customWidth="1"/>
    <col min="7938" max="7938" width="11.81640625" customWidth="1"/>
    <col min="7939" max="7939" width="15.81640625" customWidth="1"/>
    <col min="7940" max="7940" width="14.1796875" customWidth="1"/>
    <col min="7941" max="7941" width="16.54296875" customWidth="1"/>
    <col min="7943" max="7943" width="25.81640625" customWidth="1"/>
    <col min="8194" max="8194" width="11.81640625" customWidth="1"/>
    <col min="8195" max="8195" width="15.81640625" customWidth="1"/>
    <col min="8196" max="8196" width="14.1796875" customWidth="1"/>
    <col min="8197" max="8197" width="16.54296875" customWidth="1"/>
    <col min="8199" max="8199" width="25.81640625" customWidth="1"/>
    <col min="8450" max="8450" width="11.81640625" customWidth="1"/>
    <col min="8451" max="8451" width="15.81640625" customWidth="1"/>
    <col min="8452" max="8452" width="14.1796875" customWidth="1"/>
    <col min="8453" max="8453" width="16.54296875" customWidth="1"/>
    <col min="8455" max="8455" width="25.81640625" customWidth="1"/>
    <col min="8706" max="8706" width="11.81640625" customWidth="1"/>
    <col min="8707" max="8707" width="15.81640625" customWidth="1"/>
    <col min="8708" max="8708" width="14.1796875" customWidth="1"/>
    <col min="8709" max="8709" width="16.54296875" customWidth="1"/>
    <col min="8711" max="8711" width="25.81640625" customWidth="1"/>
    <col min="8962" max="8962" width="11.81640625" customWidth="1"/>
    <col min="8963" max="8963" width="15.81640625" customWidth="1"/>
    <col min="8964" max="8964" width="14.1796875" customWidth="1"/>
    <col min="8965" max="8965" width="16.54296875" customWidth="1"/>
    <col min="8967" max="8967" width="25.81640625" customWidth="1"/>
    <col min="9218" max="9218" width="11.81640625" customWidth="1"/>
    <col min="9219" max="9219" width="15.81640625" customWidth="1"/>
    <col min="9220" max="9220" width="14.1796875" customWidth="1"/>
    <col min="9221" max="9221" width="16.54296875" customWidth="1"/>
    <col min="9223" max="9223" width="25.81640625" customWidth="1"/>
    <col min="9474" max="9474" width="11.81640625" customWidth="1"/>
    <col min="9475" max="9475" width="15.81640625" customWidth="1"/>
    <col min="9476" max="9476" width="14.1796875" customWidth="1"/>
    <col min="9477" max="9477" width="16.54296875" customWidth="1"/>
    <col min="9479" max="9479" width="25.81640625" customWidth="1"/>
    <col min="9730" max="9730" width="11.81640625" customWidth="1"/>
    <col min="9731" max="9731" width="15.81640625" customWidth="1"/>
    <col min="9732" max="9732" width="14.1796875" customWidth="1"/>
    <col min="9733" max="9733" width="16.54296875" customWidth="1"/>
    <col min="9735" max="9735" width="25.81640625" customWidth="1"/>
    <col min="9986" max="9986" width="11.81640625" customWidth="1"/>
    <col min="9987" max="9987" width="15.81640625" customWidth="1"/>
    <col min="9988" max="9988" width="14.1796875" customWidth="1"/>
    <col min="9989" max="9989" width="16.54296875" customWidth="1"/>
    <col min="9991" max="9991" width="25.81640625" customWidth="1"/>
    <col min="10242" max="10242" width="11.81640625" customWidth="1"/>
    <col min="10243" max="10243" width="15.81640625" customWidth="1"/>
    <col min="10244" max="10244" width="14.1796875" customWidth="1"/>
    <col min="10245" max="10245" width="16.54296875" customWidth="1"/>
    <col min="10247" max="10247" width="25.81640625" customWidth="1"/>
    <col min="10498" max="10498" width="11.81640625" customWidth="1"/>
    <col min="10499" max="10499" width="15.81640625" customWidth="1"/>
    <col min="10500" max="10500" width="14.1796875" customWidth="1"/>
    <col min="10501" max="10501" width="16.54296875" customWidth="1"/>
    <col min="10503" max="10503" width="25.81640625" customWidth="1"/>
    <col min="10754" max="10754" width="11.81640625" customWidth="1"/>
    <col min="10755" max="10755" width="15.81640625" customWidth="1"/>
    <col min="10756" max="10756" width="14.1796875" customWidth="1"/>
    <col min="10757" max="10757" width="16.54296875" customWidth="1"/>
    <col min="10759" max="10759" width="25.81640625" customWidth="1"/>
    <col min="11010" max="11010" width="11.81640625" customWidth="1"/>
    <col min="11011" max="11011" width="15.81640625" customWidth="1"/>
    <col min="11012" max="11012" width="14.1796875" customWidth="1"/>
    <col min="11013" max="11013" width="16.54296875" customWidth="1"/>
    <col min="11015" max="11015" width="25.81640625" customWidth="1"/>
    <col min="11266" max="11266" width="11.81640625" customWidth="1"/>
    <col min="11267" max="11267" width="15.81640625" customWidth="1"/>
    <col min="11268" max="11268" width="14.1796875" customWidth="1"/>
    <col min="11269" max="11269" width="16.54296875" customWidth="1"/>
    <col min="11271" max="11271" width="25.81640625" customWidth="1"/>
    <col min="11522" max="11522" width="11.81640625" customWidth="1"/>
    <col min="11523" max="11523" width="15.81640625" customWidth="1"/>
    <col min="11524" max="11524" width="14.1796875" customWidth="1"/>
    <col min="11525" max="11525" width="16.54296875" customWidth="1"/>
    <col min="11527" max="11527" width="25.81640625" customWidth="1"/>
    <col min="11778" max="11778" width="11.81640625" customWidth="1"/>
    <col min="11779" max="11779" width="15.81640625" customWidth="1"/>
    <col min="11780" max="11780" width="14.1796875" customWidth="1"/>
    <col min="11781" max="11781" width="16.54296875" customWidth="1"/>
    <col min="11783" max="11783" width="25.81640625" customWidth="1"/>
    <col min="12034" max="12034" width="11.81640625" customWidth="1"/>
    <col min="12035" max="12035" width="15.81640625" customWidth="1"/>
    <col min="12036" max="12036" width="14.1796875" customWidth="1"/>
    <col min="12037" max="12037" width="16.54296875" customWidth="1"/>
    <col min="12039" max="12039" width="25.81640625" customWidth="1"/>
    <col min="12290" max="12290" width="11.81640625" customWidth="1"/>
    <col min="12291" max="12291" width="15.81640625" customWidth="1"/>
    <col min="12292" max="12292" width="14.1796875" customWidth="1"/>
    <col min="12293" max="12293" width="16.54296875" customWidth="1"/>
    <col min="12295" max="12295" width="25.81640625" customWidth="1"/>
    <col min="12546" max="12546" width="11.81640625" customWidth="1"/>
    <col min="12547" max="12547" width="15.81640625" customWidth="1"/>
    <col min="12548" max="12548" width="14.1796875" customWidth="1"/>
    <col min="12549" max="12549" width="16.54296875" customWidth="1"/>
    <col min="12551" max="12551" width="25.81640625" customWidth="1"/>
    <col min="12802" max="12802" width="11.81640625" customWidth="1"/>
    <col min="12803" max="12803" width="15.81640625" customWidth="1"/>
    <col min="12804" max="12804" width="14.1796875" customWidth="1"/>
    <col min="12805" max="12805" width="16.54296875" customWidth="1"/>
    <col min="12807" max="12807" width="25.81640625" customWidth="1"/>
    <col min="13058" max="13058" width="11.81640625" customWidth="1"/>
    <col min="13059" max="13059" width="15.81640625" customWidth="1"/>
    <col min="13060" max="13060" width="14.1796875" customWidth="1"/>
    <col min="13061" max="13061" width="16.54296875" customWidth="1"/>
    <col min="13063" max="13063" width="25.81640625" customWidth="1"/>
    <col min="13314" max="13314" width="11.81640625" customWidth="1"/>
    <col min="13315" max="13315" width="15.81640625" customWidth="1"/>
    <col min="13316" max="13316" width="14.1796875" customWidth="1"/>
    <col min="13317" max="13317" width="16.54296875" customWidth="1"/>
    <col min="13319" max="13319" width="25.81640625" customWidth="1"/>
    <col min="13570" max="13570" width="11.81640625" customWidth="1"/>
    <col min="13571" max="13571" width="15.81640625" customWidth="1"/>
    <col min="13572" max="13572" width="14.1796875" customWidth="1"/>
    <col min="13573" max="13573" width="16.54296875" customWidth="1"/>
    <col min="13575" max="13575" width="25.81640625" customWidth="1"/>
    <col min="13826" max="13826" width="11.81640625" customWidth="1"/>
    <col min="13827" max="13827" width="15.81640625" customWidth="1"/>
    <col min="13828" max="13828" width="14.1796875" customWidth="1"/>
    <col min="13829" max="13829" width="16.54296875" customWidth="1"/>
    <col min="13831" max="13831" width="25.81640625" customWidth="1"/>
    <col min="14082" max="14082" width="11.81640625" customWidth="1"/>
    <col min="14083" max="14083" width="15.81640625" customWidth="1"/>
    <col min="14084" max="14084" width="14.1796875" customWidth="1"/>
    <col min="14085" max="14085" width="16.54296875" customWidth="1"/>
    <col min="14087" max="14087" width="25.81640625" customWidth="1"/>
    <col min="14338" max="14338" width="11.81640625" customWidth="1"/>
    <col min="14339" max="14339" width="15.81640625" customWidth="1"/>
    <col min="14340" max="14340" width="14.1796875" customWidth="1"/>
    <col min="14341" max="14341" width="16.54296875" customWidth="1"/>
    <col min="14343" max="14343" width="25.81640625" customWidth="1"/>
    <col min="14594" max="14594" width="11.81640625" customWidth="1"/>
    <col min="14595" max="14595" width="15.81640625" customWidth="1"/>
    <col min="14596" max="14596" width="14.1796875" customWidth="1"/>
    <col min="14597" max="14597" width="16.54296875" customWidth="1"/>
    <col min="14599" max="14599" width="25.81640625" customWidth="1"/>
    <col min="14850" max="14850" width="11.81640625" customWidth="1"/>
    <col min="14851" max="14851" width="15.81640625" customWidth="1"/>
    <col min="14852" max="14852" width="14.1796875" customWidth="1"/>
    <col min="14853" max="14853" width="16.54296875" customWidth="1"/>
    <col min="14855" max="14855" width="25.81640625" customWidth="1"/>
    <col min="15106" max="15106" width="11.81640625" customWidth="1"/>
    <col min="15107" max="15107" width="15.81640625" customWidth="1"/>
    <col min="15108" max="15108" width="14.1796875" customWidth="1"/>
    <col min="15109" max="15109" width="16.54296875" customWidth="1"/>
    <col min="15111" max="15111" width="25.81640625" customWidth="1"/>
    <col min="15362" max="15362" width="11.81640625" customWidth="1"/>
    <col min="15363" max="15363" width="15.81640625" customWidth="1"/>
    <col min="15364" max="15364" width="14.1796875" customWidth="1"/>
    <col min="15365" max="15365" width="16.54296875" customWidth="1"/>
    <col min="15367" max="15367" width="25.81640625" customWidth="1"/>
    <col min="15618" max="15618" width="11.81640625" customWidth="1"/>
    <col min="15619" max="15619" width="15.81640625" customWidth="1"/>
    <col min="15620" max="15620" width="14.1796875" customWidth="1"/>
    <col min="15621" max="15621" width="16.54296875" customWidth="1"/>
    <col min="15623" max="15623" width="25.81640625" customWidth="1"/>
    <col min="15874" max="15874" width="11.81640625" customWidth="1"/>
    <col min="15875" max="15875" width="15.81640625" customWidth="1"/>
    <col min="15876" max="15876" width="14.1796875" customWidth="1"/>
    <col min="15877" max="15877" width="16.54296875" customWidth="1"/>
    <col min="15879" max="15879" width="25.81640625" customWidth="1"/>
    <col min="16130" max="16130" width="11.81640625" customWidth="1"/>
    <col min="16131" max="16131" width="15.81640625" customWidth="1"/>
    <col min="16132" max="16132" width="14.1796875" customWidth="1"/>
    <col min="16133" max="16133" width="16.54296875" customWidth="1"/>
    <col min="16135" max="16135" width="25.81640625" customWidth="1"/>
  </cols>
  <sheetData>
    <row r="1" spans="2:11" ht="15" thickBot="1"/>
    <row r="2" spans="2:11" ht="19" thickBot="1">
      <c r="B2" s="699" t="s">
        <v>491</v>
      </c>
      <c r="C2" s="700"/>
      <c r="D2" s="700"/>
      <c r="E2" s="700"/>
      <c r="F2" s="700"/>
      <c r="G2" s="701"/>
    </row>
    <row r="3" spans="2:11" ht="16" thickBot="1">
      <c r="B3" s="702" t="s">
        <v>492</v>
      </c>
      <c r="C3" s="703"/>
      <c r="D3" s="703"/>
      <c r="E3" s="703"/>
      <c r="F3" s="703"/>
      <c r="G3" s="410">
        <f>'NKTL DPR'!J1</f>
        <v>46034</v>
      </c>
    </row>
    <row r="4" spans="2:11" ht="16" thickBot="1">
      <c r="B4" s="409" t="s">
        <v>493</v>
      </c>
      <c r="C4" s="717" t="s">
        <v>383</v>
      </c>
      <c r="D4" s="717"/>
      <c r="E4" s="717"/>
      <c r="F4" s="717"/>
      <c r="G4" s="718"/>
    </row>
    <row r="5" spans="2:11" ht="16" customHeight="1" thickBot="1">
      <c r="B5" s="409" t="s">
        <v>511</v>
      </c>
      <c r="C5" s="719" t="s">
        <v>510</v>
      </c>
      <c r="D5" s="719"/>
      <c r="E5" s="719"/>
      <c r="F5" s="719"/>
      <c r="G5" s="720"/>
    </row>
    <row r="6" spans="2:11" ht="16" thickBot="1">
      <c r="B6" s="704"/>
      <c r="C6" s="705"/>
      <c r="D6" s="705"/>
      <c r="E6" s="705"/>
      <c r="F6" s="705"/>
      <c r="G6" s="706"/>
    </row>
    <row r="7" spans="2:11" s="388" customFormat="1" ht="15" thickBot="1">
      <c r="B7" s="707" t="s">
        <v>494</v>
      </c>
      <c r="C7" s="708"/>
      <c r="D7" s="708"/>
      <c r="E7" s="708"/>
      <c r="F7" s="708"/>
      <c r="G7" s="709"/>
    </row>
    <row r="8" spans="2:11">
      <c r="B8" s="389" t="s">
        <v>495</v>
      </c>
      <c r="C8" s="390" t="s">
        <v>496</v>
      </c>
      <c r="D8" s="390" t="s">
        <v>497</v>
      </c>
      <c r="E8" s="390" t="s">
        <v>498</v>
      </c>
      <c r="F8" s="697" t="s">
        <v>499</v>
      </c>
      <c r="G8" s="698"/>
    </row>
    <row r="9" spans="2:11" ht="15" thickBot="1">
      <c r="B9" s="391">
        <f>'NKTL DPR'!E11</f>
        <v>8.5719999999999992</v>
      </c>
      <c r="C9" s="392">
        <f>B9</f>
        <v>8.5719999999999992</v>
      </c>
      <c r="D9" s="392">
        <v>0</v>
      </c>
      <c r="E9" s="392">
        <f>C9</f>
        <v>8.5719999999999992</v>
      </c>
      <c r="F9" s="710">
        <f>B9-C9</f>
        <v>0</v>
      </c>
      <c r="G9" s="711"/>
    </row>
    <row r="10" spans="2:11" ht="15" thickBot="1">
      <c r="B10" s="712" t="s">
        <v>500</v>
      </c>
      <c r="C10" s="713"/>
      <c r="D10" s="713"/>
      <c r="E10" s="713"/>
      <c r="F10" s="713"/>
      <c r="G10" s="714"/>
    </row>
    <row r="11" spans="2:11">
      <c r="B11" s="393" t="s">
        <v>495</v>
      </c>
      <c r="C11" s="394" t="s">
        <v>496</v>
      </c>
      <c r="D11" s="394" t="s">
        <v>497</v>
      </c>
      <c r="E11" s="394" t="s">
        <v>498</v>
      </c>
      <c r="F11" s="697" t="s">
        <v>499</v>
      </c>
      <c r="G11" s="698"/>
    </row>
    <row r="12" spans="2:11" ht="15" thickBot="1">
      <c r="B12" s="391">
        <v>14</v>
      </c>
      <c r="C12" s="392">
        <v>10</v>
      </c>
      <c r="D12" s="392">
        <v>0</v>
      </c>
      <c r="E12" s="392">
        <f>C12</f>
        <v>10</v>
      </c>
      <c r="F12" s="715">
        <f>B12-C12</f>
        <v>4</v>
      </c>
      <c r="G12" s="716"/>
    </row>
    <row r="13" spans="2:11" ht="15" thickBot="1">
      <c r="B13" s="712" t="s">
        <v>501</v>
      </c>
      <c r="C13" s="713"/>
      <c r="D13" s="713"/>
      <c r="E13" s="713"/>
      <c r="F13" s="713"/>
      <c r="G13" s="714"/>
    </row>
    <row r="14" spans="2:11">
      <c r="B14" s="393" t="s">
        <v>495</v>
      </c>
      <c r="C14" s="394" t="s">
        <v>496</v>
      </c>
      <c r="D14" s="394" t="s">
        <v>497</v>
      </c>
      <c r="E14" s="394" t="s">
        <v>498</v>
      </c>
      <c r="F14" s="697" t="s">
        <v>499</v>
      </c>
      <c r="G14" s="698"/>
    </row>
    <row r="15" spans="2:11" ht="15" thickBot="1">
      <c r="B15" s="396">
        <f>B9</f>
        <v>8.5719999999999992</v>
      </c>
      <c r="C15" s="392">
        <f>C9</f>
        <v>8.5719999999999992</v>
      </c>
      <c r="D15" s="392">
        <v>0</v>
      </c>
      <c r="E15" s="392">
        <f>E9</f>
        <v>8.5719999999999992</v>
      </c>
      <c r="F15" s="710">
        <f>F9</f>
        <v>0</v>
      </c>
      <c r="G15" s="711"/>
      <c r="K15" s="397"/>
    </row>
    <row r="16" spans="2:11" ht="15" thickBot="1">
      <c r="B16" s="712" t="s">
        <v>502</v>
      </c>
      <c r="C16" s="713"/>
      <c r="D16" s="713"/>
      <c r="E16" s="713"/>
      <c r="F16" s="713"/>
      <c r="G16" s="714"/>
    </row>
    <row r="17" spans="2:11">
      <c r="B17" s="393" t="s">
        <v>495</v>
      </c>
      <c r="C17" s="394" t="s">
        <v>496</v>
      </c>
      <c r="D17" s="394" t="s">
        <v>497</v>
      </c>
      <c r="E17" s="394" t="s">
        <v>498</v>
      </c>
      <c r="F17" s="697" t="s">
        <v>499</v>
      </c>
      <c r="G17" s="698"/>
    </row>
    <row r="18" spans="2:11" ht="15" thickBot="1">
      <c r="B18" s="396">
        <f>B15</f>
        <v>8.5719999999999992</v>
      </c>
      <c r="C18" s="392">
        <f>C15</f>
        <v>8.5719999999999992</v>
      </c>
      <c r="D18" s="392">
        <v>0</v>
      </c>
      <c r="E18" s="392">
        <f>C18</f>
        <v>8.5719999999999992</v>
      </c>
      <c r="F18" s="710">
        <f>F15</f>
        <v>0</v>
      </c>
      <c r="G18" s="711"/>
      <c r="K18" s="398"/>
    </row>
    <row r="19" spans="2:11" ht="15" thickBot="1">
      <c r="B19" s="712" t="s">
        <v>503</v>
      </c>
      <c r="C19" s="713"/>
      <c r="D19" s="713"/>
      <c r="E19" s="713"/>
      <c r="F19" s="713"/>
      <c r="G19" s="714"/>
      <c r="I19" s="397"/>
    </row>
    <row r="20" spans="2:11">
      <c r="B20" s="399" t="s">
        <v>495</v>
      </c>
      <c r="C20" s="400" t="s">
        <v>496</v>
      </c>
      <c r="D20" s="400" t="s">
        <v>497</v>
      </c>
      <c r="E20" s="400" t="s">
        <v>498</v>
      </c>
      <c r="F20" s="697" t="s">
        <v>499</v>
      </c>
      <c r="G20" s="698"/>
      <c r="K20" s="401"/>
    </row>
    <row r="21" spans="2:11" ht="15" thickBot="1">
      <c r="B21" s="402">
        <v>37</v>
      </c>
      <c r="C21" s="395">
        <v>23</v>
      </c>
      <c r="D21" s="395">
        <v>2</v>
      </c>
      <c r="E21" s="403">
        <f>D21+C21</f>
        <v>25</v>
      </c>
      <c r="F21" s="715">
        <f>B21-E21</f>
        <v>12</v>
      </c>
      <c r="G21" s="716"/>
    </row>
    <row r="22" spans="2:11" ht="15" thickBot="1">
      <c r="B22" s="712" t="s">
        <v>504</v>
      </c>
      <c r="C22" s="713"/>
      <c r="D22" s="713"/>
      <c r="E22" s="713"/>
      <c r="F22" s="713"/>
      <c r="G22" s="714"/>
    </row>
    <row r="23" spans="2:11">
      <c r="B23" s="399" t="s">
        <v>505</v>
      </c>
      <c r="C23" s="400" t="s">
        <v>496</v>
      </c>
      <c r="D23" s="400" t="s">
        <v>497</v>
      </c>
      <c r="E23" s="400" t="s">
        <v>498</v>
      </c>
      <c r="F23" s="697" t="s">
        <v>499</v>
      </c>
      <c r="G23" s="698"/>
    </row>
    <row r="24" spans="2:11" ht="15" thickBot="1">
      <c r="B24" s="391">
        <v>37</v>
      </c>
      <c r="C24" s="395">
        <v>5</v>
      </c>
      <c r="D24" s="395">
        <v>0</v>
      </c>
      <c r="E24" s="403">
        <v>5</v>
      </c>
      <c r="F24" s="715">
        <v>32</v>
      </c>
      <c r="G24" s="716"/>
    </row>
    <row r="25" spans="2:11" ht="15" thickBot="1">
      <c r="B25" s="712" t="s">
        <v>506</v>
      </c>
      <c r="C25" s="713"/>
      <c r="D25" s="713"/>
      <c r="E25" s="713"/>
      <c r="F25" s="713"/>
      <c r="G25" s="714"/>
    </row>
    <row r="26" spans="2:11">
      <c r="B26" s="399" t="s">
        <v>505</v>
      </c>
      <c r="C26" s="400" t="s">
        <v>496</v>
      </c>
      <c r="D26" s="400" t="s">
        <v>497</v>
      </c>
      <c r="E26" s="400" t="s">
        <v>498</v>
      </c>
      <c r="F26" s="697" t="s">
        <v>499</v>
      </c>
      <c r="G26" s="698"/>
    </row>
    <row r="27" spans="2:11" ht="15" thickBot="1">
      <c r="B27" s="391">
        <v>37</v>
      </c>
      <c r="C27" s="395">
        <v>0</v>
      </c>
      <c r="D27" s="395">
        <v>0</v>
      </c>
      <c r="E27" s="404">
        <v>0</v>
      </c>
      <c r="F27" s="715">
        <v>37</v>
      </c>
      <c r="G27" s="716"/>
    </row>
    <row r="28" spans="2:11" ht="15" thickBot="1">
      <c r="B28" s="712" t="s">
        <v>507</v>
      </c>
      <c r="C28" s="713"/>
      <c r="D28" s="713"/>
      <c r="E28" s="713"/>
      <c r="F28" s="713"/>
      <c r="G28" s="714"/>
    </row>
    <row r="29" spans="2:11">
      <c r="B29" s="399" t="s">
        <v>505</v>
      </c>
      <c r="C29" s="400" t="s">
        <v>496</v>
      </c>
      <c r="D29" s="400" t="s">
        <v>497</v>
      </c>
      <c r="E29" s="400" t="s">
        <v>498</v>
      </c>
      <c r="F29" s="697" t="s">
        <v>508</v>
      </c>
      <c r="G29" s="698"/>
    </row>
    <row r="30" spans="2:11" ht="15" thickBot="1">
      <c r="B30" s="396">
        <f>B18</f>
        <v>8.5719999999999992</v>
      </c>
      <c r="C30" s="405">
        <v>0</v>
      </c>
      <c r="D30" s="405">
        <v>0</v>
      </c>
      <c r="E30" s="406">
        <v>0</v>
      </c>
      <c r="F30" s="710">
        <f>B30-E30</f>
        <v>8.5719999999999992</v>
      </c>
      <c r="G30" s="711"/>
    </row>
    <row r="31" spans="2:11" ht="15" thickBot="1">
      <c r="B31" s="712" t="s">
        <v>509</v>
      </c>
      <c r="C31" s="713"/>
      <c r="D31" s="713"/>
      <c r="E31" s="713"/>
      <c r="F31" s="713"/>
      <c r="G31" s="714"/>
    </row>
    <row r="32" spans="2:11">
      <c r="B32" s="399" t="s">
        <v>505</v>
      </c>
      <c r="C32" s="400" t="s">
        <v>496</v>
      </c>
      <c r="D32" s="400" t="s">
        <v>497</v>
      </c>
      <c r="E32" s="400" t="s">
        <v>498</v>
      </c>
      <c r="F32" s="697" t="s">
        <v>499</v>
      </c>
      <c r="G32" s="698"/>
    </row>
    <row r="33" spans="2:7" ht="15" thickBot="1">
      <c r="B33" s="407">
        <f>B30</f>
        <v>8.5719999999999992</v>
      </c>
      <c r="C33" s="408">
        <v>0</v>
      </c>
      <c r="D33" s="408">
        <v>0</v>
      </c>
      <c r="E33" s="408">
        <v>0</v>
      </c>
      <c r="F33" s="710">
        <f>B33-E33</f>
        <v>8.5719999999999992</v>
      </c>
      <c r="G33" s="711"/>
    </row>
  </sheetData>
  <mergeCells count="32">
    <mergeCell ref="F30:G30"/>
    <mergeCell ref="B31:G31"/>
    <mergeCell ref="F32:G32"/>
    <mergeCell ref="F33:G33"/>
    <mergeCell ref="C4:G4"/>
    <mergeCell ref="C5:G5"/>
    <mergeCell ref="F24:G24"/>
    <mergeCell ref="B25:G25"/>
    <mergeCell ref="F26:G26"/>
    <mergeCell ref="F27:G27"/>
    <mergeCell ref="B28:G28"/>
    <mergeCell ref="F29:G29"/>
    <mergeCell ref="F18:G18"/>
    <mergeCell ref="B19:G19"/>
    <mergeCell ref="F20:G20"/>
    <mergeCell ref="F21:G21"/>
    <mergeCell ref="B22:G22"/>
    <mergeCell ref="F23:G23"/>
    <mergeCell ref="F12:G12"/>
    <mergeCell ref="B13:G13"/>
    <mergeCell ref="F14:G14"/>
    <mergeCell ref="F15:G15"/>
    <mergeCell ref="B16:G16"/>
    <mergeCell ref="F17:G17"/>
    <mergeCell ref="F11:G11"/>
    <mergeCell ref="B2:G2"/>
    <mergeCell ref="B3:F3"/>
    <mergeCell ref="B6:G6"/>
    <mergeCell ref="B7:G7"/>
    <mergeCell ref="F8:G8"/>
    <mergeCell ref="F9:G9"/>
    <mergeCell ref="B10:G10"/>
  </mergeCells>
  <pageMargins left="0.7" right="0.7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D084-22DB-4669-A81A-AF57C536123A}">
  <sheetPr>
    <pageSetUpPr fitToPage="1"/>
  </sheetPr>
  <dimension ref="A1:Y55"/>
  <sheetViews>
    <sheetView view="pageBreakPreview" zoomScale="30" zoomScaleNormal="60" zoomScaleSheetLayoutView="30" workbookViewId="0">
      <selection activeCell="G16" sqref="G16"/>
    </sheetView>
  </sheetViews>
  <sheetFormatPr defaultColWidth="9.90625" defaultRowHeight="15" customHeight="1"/>
  <cols>
    <col min="1" max="1" width="20.81640625" style="651" customWidth="1"/>
    <col min="2" max="2" width="20.81640625" style="652" customWidth="1"/>
    <col min="3" max="3" width="20.81640625" style="651" customWidth="1"/>
    <col min="4" max="4" width="20.81640625" style="652" customWidth="1"/>
    <col min="5" max="5" width="20.81640625" style="651" customWidth="1"/>
    <col min="6" max="6" width="20.81640625" style="652" customWidth="1"/>
    <col min="7" max="7" width="20.81640625" style="651" customWidth="1"/>
    <col min="8" max="8" width="20.81640625" style="652" customWidth="1"/>
    <col min="9" max="9" width="20.81640625" style="651" customWidth="1"/>
    <col min="10" max="10" width="20.81640625" style="652" customWidth="1"/>
    <col min="11" max="11" width="20.81640625" style="651" customWidth="1"/>
    <col min="12" max="12" width="20.81640625" style="652" customWidth="1"/>
    <col min="13" max="13" width="20.81640625" style="651" customWidth="1"/>
    <col min="14" max="14" width="20.81640625" style="652" customWidth="1"/>
    <col min="15" max="15" width="20.81640625" style="651" customWidth="1"/>
    <col min="16" max="16" width="20.81640625" style="652" customWidth="1"/>
    <col min="17" max="17" width="20.81640625" style="651" customWidth="1"/>
    <col min="18" max="18" width="20.81640625" style="652" customWidth="1"/>
    <col min="19" max="19" width="20.81640625" style="651" customWidth="1"/>
    <col min="20" max="20" width="20.81640625" style="652" customWidth="1"/>
    <col min="21" max="21" width="20.81640625" style="651" customWidth="1"/>
    <col min="22" max="22" width="20.81640625" style="652" customWidth="1"/>
    <col min="23" max="23" width="20.81640625" style="651" customWidth="1"/>
    <col min="24" max="24" width="20.81640625" style="652" customWidth="1"/>
    <col min="25" max="25" width="27.36328125" style="653" bestFit="1" customWidth="1"/>
    <col min="26" max="16384" width="9.90625" style="654"/>
  </cols>
  <sheetData>
    <row r="1" spans="1:25" s="655" customFormat="1" ht="57" customHeight="1">
      <c r="A1" s="730" t="s">
        <v>550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</row>
    <row r="2" spans="1:25" s="273" customFormat="1" ht="30.5" customHeight="1">
      <c r="A2" s="572" t="s">
        <v>100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3" t="s">
        <v>1</v>
      </c>
      <c r="X2" s="731">
        <f>'NKTL DPR'!J1</f>
        <v>46034</v>
      </c>
      <c r="Y2" s="731"/>
    </row>
    <row r="3" spans="1:25" s="273" customFormat="1" ht="30.5" customHeight="1">
      <c r="A3" s="574" t="s">
        <v>101</v>
      </c>
      <c r="C3" s="575"/>
      <c r="D3" s="576"/>
      <c r="E3" s="575"/>
      <c r="F3" s="576"/>
      <c r="G3" s="575"/>
      <c r="H3" s="577"/>
      <c r="I3" s="575"/>
      <c r="J3" s="578"/>
      <c r="K3" s="575"/>
      <c r="L3" s="578"/>
      <c r="N3" s="736" t="s">
        <v>102</v>
      </c>
      <c r="O3" s="736"/>
      <c r="P3" s="736"/>
      <c r="Q3" s="736"/>
      <c r="R3" s="736"/>
      <c r="S3" s="736"/>
      <c r="T3" s="736"/>
      <c r="U3" s="736"/>
      <c r="V3" s="736"/>
      <c r="W3" s="736"/>
      <c r="X3" s="736"/>
      <c r="Y3" s="736"/>
    </row>
    <row r="4" spans="1:25" s="581" customFormat="1" ht="65.5" customHeight="1">
      <c r="A4" s="579"/>
      <c r="B4" s="580"/>
      <c r="C4" s="579"/>
      <c r="D4" s="580"/>
      <c r="E4" s="579"/>
      <c r="G4" s="582"/>
      <c r="H4" s="580"/>
      <c r="I4" s="579"/>
      <c r="J4" s="583"/>
      <c r="K4" s="579"/>
      <c r="L4" s="583"/>
      <c r="N4" s="584" t="s">
        <v>103</v>
      </c>
      <c r="O4" s="737" t="s">
        <v>104</v>
      </c>
      <c r="P4" s="737"/>
      <c r="Q4" s="585" t="s">
        <v>19</v>
      </c>
      <c r="R4" s="585" t="s">
        <v>105</v>
      </c>
      <c r="S4" s="585" t="s">
        <v>97</v>
      </c>
      <c r="T4" s="585" t="s">
        <v>616</v>
      </c>
      <c r="U4" s="585" t="s">
        <v>421</v>
      </c>
      <c r="V4" s="585" t="s">
        <v>22</v>
      </c>
      <c r="W4" s="586" t="s">
        <v>24</v>
      </c>
      <c r="X4" s="585" t="s">
        <v>367</v>
      </c>
      <c r="Y4" s="585" t="s">
        <v>42</v>
      </c>
    </row>
    <row r="5" spans="1:25" s="273" customFormat="1" ht="30.5" customHeight="1">
      <c r="A5" s="587"/>
      <c r="B5" s="588" t="s">
        <v>108</v>
      </c>
      <c r="C5" s="575"/>
      <c r="D5" s="576"/>
      <c r="E5" s="575"/>
      <c r="F5" s="588" t="s">
        <v>120</v>
      </c>
      <c r="G5" s="575"/>
      <c r="H5" s="577"/>
      <c r="I5" s="589"/>
      <c r="J5" s="576"/>
      <c r="K5" s="574" t="s">
        <v>112</v>
      </c>
      <c r="N5" s="590" t="s">
        <v>109</v>
      </c>
      <c r="O5" s="721" t="s">
        <v>541</v>
      </c>
      <c r="P5" s="721"/>
      <c r="Q5" s="591" t="s">
        <v>110</v>
      </c>
      <c r="R5" s="592">
        <v>29</v>
      </c>
      <c r="S5" s="592">
        <v>4</v>
      </c>
      <c r="T5" s="592"/>
      <c r="U5" s="593">
        <f>'NKTL DPR'!O14-U7</f>
        <v>22</v>
      </c>
      <c r="V5" s="593">
        <f>R5-U5</f>
        <v>7</v>
      </c>
      <c r="W5" s="593">
        <v>2</v>
      </c>
      <c r="X5" s="593">
        <v>1</v>
      </c>
      <c r="Y5" s="586"/>
    </row>
    <row r="6" spans="1:25" s="273" customFormat="1" ht="30.5" customHeight="1">
      <c r="A6" s="594"/>
      <c r="B6" s="588" t="s">
        <v>111</v>
      </c>
      <c r="C6" s="575"/>
      <c r="D6" s="576"/>
      <c r="E6" s="575"/>
      <c r="G6" s="589"/>
      <c r="H6" s="577"/>
      <c r="I6" s="575"/>
      <c r="J6" s="576"/>
      <c r="L6" s="576"/>
      <c r="N6" s="590"/>
      <c r="O6" s="722"/>
      <c r="P6" s="722"/>
      <c r="Q6" s="591"/>
      <c r="R6" s="592"/>
      <c r="S6" s="585"/>
      <c r="T6" s="592"/>
      <c r="U6" s="592"/>
      <c r="V6" s="592"/>
      <c r="W6" s="596"/>
      <c r="X6" s="595"/>
      <c r="Y6" s="597"/>
    </row>
    <row r="7" spans="1:25" s="273" customFormat="1" ht="30.5" customHeight="1">
      <c r="A7" s="598"/>
      <c r="B7" s="588" t="s">
        <v>113</v>
      </c>
      <c r="C7" s="575"/>
      <c r="D7" s="576"/>
      <c r="E7" s="575"/>
      <c r="F7" s="576"/>
      <c r="G7" s="574"/>
      <c r="H7" s="577"/>
      <c r="I7" s="575"/>
      <c r="J7" s="576"/>
      <c r="K7" s="574" t="s">
        <v>115</v>
      </c>
      <c r="L7" s="588"/>
      <c r="N7" s="590" t="s">
        <v>114</v>
      </c>
      <c r="O7" s="738" t="s">
        <v>542</v>
      </c>
      <c r="P7" s="738"/>
      <c r="Q7" s="591" t="s">
        <v>110</v>
      </c>
      <c r="R7" s="592">
        <v>8</v>
      </c>
      <c r="S7" s="592">
        <v>1</v>
      </c>
      <c r="T7" s="592"/>
      <c r="U7" s="593">
        <v>3</v>
      </c>
      <c r="V7" s="593">
        <f>R7-U7</f>
        <v>5</v>
      </c>
      <c r="W7" s="593">
        <v>1</v>
      </c>
      <c r="X7" s="593">
        <v>1</v>
      </c>
      <c r="Y7" s="586" t="s">
        <v>686</v>
      </c>
    </row>
    <row r="8" spans="1:25" s="273" customFormat="1" ht="30.5" customHeight="1">
      <c r="A8" s="594"/>
      <c r="B8" s="588"/>
      <c r="C8" s="575"/>
      <c r="D8" s="576"/>
      <c r="E8" s="575"/>
      <c r="F8" s="588" t="s">
        <v>124</v>
      </c>
      <c r="G8" s="575"/>
      <c r="H8" s="577"/>
      <c r="I8" s="575"/>
      <c r="J8" s="576"/>
      <c r="N8" s="590"/>
      <c r="O8" s="722"/>
      <c r="P8" s="722"/>
      <c r="Q8" s="591"/>
      <c r="R8" s="592"/>
      <c r="S8" s="592"/>
      <c r="T8" s="592"/>
      <c r="U8" s="592"/>
      <c r="V8" s="592"/>
      <c r="W8" s="596"/>
      <c r="X8" s="595"/>
      <c r="Y8" s="597"/>
    </row>
    <row r="9" spans="1:25" s="273" customFormat="1" ht="30.5" customHeight="1">
      <c r="A9" s="598"/>
      <c r="C9" s="575"/>
      <c r="D9" s="576"/>
      <c r="E9" s="575"/>
      <c r="F9" s="576"/>
      <c r="G9" s="589"/>
      <c r="I9" s="575"/>
      <c r="J9" s="576"/>
      <c r="K9" s="574" t="s">
        <v>119</v>
      </c>
      <c r="L9" s="588"/>
      <c r="N9" s="590" t="s">
        <v>116</v>
      </c>
      <c r="O9" s="738" t="s">
        <v>543</v>
      </c>
      <c r="P9" s="738"/>
      <c r="Q9" s="591" t="s">
        <v>110</v>
      </c>
      <c r="R9" s="592">
        <v>29</v>
      </c>
      <c r="S9" s="592"/>
      <c r="T9" s="599">
        <v>0</v>
      </c>
      <c r="U9" s="599">
        <v>0</v>
      </c>
      <c r="V9" s="599">
        <f>S9-U9</f>
        <v>0</v>
      </c>
      <c r="W9" s="593"/>
      <c r="X9" s="593"/>
      <c r="Y9" s="586"/>
    </row>
    <row r="10" spans="1:25" s="273" customFormat="1" ht="30.5" customHeight="1">
      <c r="A10" s="575"/>
      <c r="C10" s="575"/>
      <c r="D10" s="576"/>
      <c r="E10" s="575"/>
      <c r="F10" s="576"/>
      <c r="G10" s="575"/>
      <c r="H10" s="577"/>
      <c r="I10" s="575"/>
      <c r="J10" s="576"/>
      <c r="M10" s="575"/>
      <c r="N10" s="590"/>
      <c r="O10" s="722"/>
      <c r="P10" s="722"/>
      <c r="Q10" s="591"/>
      <c r="R10" s="592"/>
      <c r="S10" s="592"/>
      <c r="T10" s="592"/>
      <c r="U10" s="592"/>
      <c r="V10" s="592"/>
      <c r="W10" s="596"/>
      <c r="X10" s="595"/>
      <c r="Y10" s="597"/>
    </row>
    <row r="11" spans="1:25" s="273" customFormat="1" ht="30.5" customHeight="1">
      <c r="A11" s="575"/>
      <c r="B11" s="576"/>
      <c r="C11" s="575"/>
      <c r="D11" s="576"/>
      <c r="E11" s="575"/>
      <c r="F11" s="588" t="s">
        <v>128</v>
      </c>
      <c r="G11" s="589"/>
      <c r="H11" s="577"/>
      <c r="I11" s="575"/>
      <c r="J11" s="576"/>
      <c r="K11" s="588" t="s">
        <v>121</v>
      </c>
      <c r="L11" s="576"/>
      <c r="M11" s="600"/>
      <c r="N11" s="590" t="s">
        <v>528</v>
      </c>
      <c r="O11" s="721" t="s">
        <v>544</v>
      </c>
      <c r="P11" s="721"/>
      <c r="Q11" s="591" t="s">
        <v>110</v>
      </c>
      <c r="R11" s="593">
        <v>8</v>
      </c>
      <c r="S11" s="593"/>
      <c r="T11" s="599">
        <v>0</v>
      </c>
      <c r="U11" s="599">
        <v>0</v>
      </c>
      <c r="V11" s="599">
        <f>S11-U11</f>
        <v>0</v>
      </c>
      <c r="W11" s="593"/>
      <c r="X11" s="593"/>
      <c r="Y11" s="586"/>
    </row>
    <row r="12" spans="1:25" s="273" customFormat="1" ht="30.5" customHeight="1">
      <c r="A12" s="601"/>
      <c r="B12" s="576"/>
      <c r="C12" s="575"/>
      <c r="D12" s="576"/>
      <c r="E12" s="575"/>
      <c r="G12" s="574"/>
      <c r="H12" s="576"/>
      <c r="I12" s="575"/>
      <c r="L12" s="576"/>
      <c r="M12" s="575"/>
      <c r="N12" s="595"/>
      <c r="O12" s="722"/>
      <c r="P12" s="722"/>
      <c r="Q12" s="595"/>
      <c r="R12" s="595"/>
      <c r="S12" s="595"/>
      <c r="T12" s="595"/>
      <c r="U12" s="595"/>
      <c r="V12" s="602"/>
      <c r="W12" s="596"/>
      <c r="X12" s="595"/>
      <c r="Y12" s="597"/>
    </row>
    <row r="13" spans="1:25" s="273" customFormat="1" ht="30.5" customHeight="1">
      <c r="A13" s="603"/>
      <c r="B13" s="588" t="s">
        <v>122</v>
      </c>
      <c r="C13" s="575"/>
      <c r="D13" s="576"/>
      <c r="E13" s="575"/>
      <c r="F13" s="576"/>
      <c r="G13" s="575"/>
      <c r="H13" s="576"/>
      <c r="I13" s="589" t="s">
        <v>126</v>
      </c>
      <c r="J13" s="576"/>
      <c r="K13" s="574" t="s">
        <v>127</v>
      </c>
      <c r="M13" s="600"/>
      <c r="N13" s="590" t="s">
        <v>540</v>
      </c>
      <c r="O13" s="721" t="s">
        <v>354</v>
      </c>
      <c r="P13" s="721"/>
      <c r="Q13" s="591" t="s">
        <v>117</v>
      </c>
      <c r="R13" s="604">
        <v>8.5719999999999992</v>
      </c>
      <c r="S13" s="604"/>
      <c r="T13" s="599">
        <v>0</v>
      </c>
      <c r="U13" s="599">
        <v>0</v>
      </c>
      <c r="V13" s="599">
        <f>S13-U13</f>
        <v>0</v>
      </c>
      <c r="W13" s="604"/>
      <c r="X13" s="593"/>
      <c r="Y13" s="586"/>
    </row>
    <row r="14" spans="1:25" s="273" customFormat="1" ht="30.5" customHeight="1">
      <c r="A14" s="601"/>
      <c r="B14" s="588" t="s">
        <v>123</v>
      </c>
      <c r="C14" s="575"/>
      <c r="D14" s="576"/>
      <c r="F14" s="588" t="s">
        <v>118</v>
      </c>
      <c r="G14" s="589"/>
      <c r="H14" s="576"/>
      <c r="I14" s="575"/>
      <c r="J14" s="576"/>
      <c r="K14" s="575"/>
      <c r="L14" s="576"/>
      <c r="M14" s="575"/>
      <c r="N14" s="605"/>
      <c r="O14" s="606"/>
      <c r="P14" s="607"/>
      <c r="Q14" s="606"/>
      <c r="R14" s="608"/>
      <c r="S14" s="606"/>
      <c r="T14" s="609"/>
      <c r="U14" s="610"/>
      <c r="W14" s="589"/>
      <c r="Y14" s="611"/>
    </row>
    <row r="15" spans="1:25" s="273" customFormat="1" ht="30.5" customHeight="1">
      <c r="A15" s="603"/>
      <c r="B15" s="588" t="s">
        <v>125</v>
      </c>
      <c r="C15" s="575"/>
      <c r="D15" s="576"/>
      <c r="E15" s="575"/>
      <c r="F15" s="576"/>
      <c r="G15" s="575"/>
      <c r="H15" s="576"/>
      <c r="J15" s="576"/>
      <c r="K15" s="273" t="s">
        <v>458</v>
      </c>
      <c r="M15" s="574"/>
      <c r="N15" s="576"/>
      <c r="O15" s="725"/>
      <c r="P15" s="725"/>
      <c r="Q15" s="726"/>
      <c r="R15" s="726"/>
      <c r="S15" s="727"/>
      <c r="T15" s="727"/>
      <c r="U15" s="728"/>
      <c r="V15" s="728"/>
      <c r="W15" s="732"/>
      <c r="X15" s="732"/>
      <c r="Y15" s="611"/>
    </row>
    <row r="16" spans="1:25" s="273" customFormat="1" ht="30.5" customHeight="1">
      <c r="C16" s="573"/>
      <c r="D16" s="573"/>
      <c r="E16" s="589"/>
      <c r="G16" s="589"/>
      <c r="I16" s="589"/>
      <c r="K16" s="589"/>
      <c r="M16" s="589"/>
      <c r="O16" s="589"/>
      <c r="Q16" s="589"/>
      <c r="S16" s="573"/>
      <c r="T16" s="612"/>
      <c r="U16" s="573"/>
      <c r="W16" s="589"/>
      <c r="Y16" s="611"/>
    </row>
    <row r="17" spans="1:25" s="273" customFormat="1" ht="30.5" customHeight="1">
      <c r="A17" s="610"/>
      <c r="B17" s="610"/>
      <c r="C17" s="610"/>
      <c r="D17" s="610"/>
      <c r="E17" s="610"/>
      <c r="F17" s="610"/>
      <c r="G17" s="610"/>
      <c r="H17" s="610"/>
      <c r="I17" s="610"/>
      <c r="J17" s="610"/>
      <c r="K17" s="610"/>
      <c r="L17" s="610"/>
      <c r="M17" s="610"/>
      <c r="N17" s="610"/>
      <c r="O17" s="610"/>
      <c r="P17" s="610"/>
      <c r="Q17" s="610"/>
      <c r="R17" s="610"/>
      <c r="S17" s="610"/>
      <c r="T17" s="610"/>
      <c r="U17" s="610"/>
      <c r="V17" s="610"/>
      <c r="W17" s="610"/>
      <c r="X17" s="610"/>
      <c r="Y17" s="613"/>
    </row>
    <row r="18" spans="1:25" s="273" customFormat="1" ht="30.5" customHeight="1">
      <c r="A18" s="610"/>
      <c r="B18" s="610"/>
      <c r="C18" s="610"/>
      <c r="D18" s="610"/>
      <c r="E18" s="610"/>
      <c r="F18" s="610"/>
      <c r="G18" s="610"/>
      <c r="H18" s="610"/>
      <c r="I18" s="610"/>
      <c r="J18" s="610"/>
      <c r="K18" s="610"/>
      <c r="L18" s="610"/>
      <c r="M18" s="610"/>
      <c r="N18" s="610"/>
      <c r="O18" s="610"/>
      <c r="P18" s="610"/>
      <c r="Q18" s="610"/>
      <c r="R18" s="610"/>
      <c r="S18" s="610"/>
      <c r="T18" s="610"/>
      <c r="U18" s="610"/>
      <c r="V18" s="610"/>
      <c r="W18" s="610"/>
      <c r="X18" s="610"/>
      <c r="Y18" s="613"/>
    </row>
    <row r="19" spans="1:25" s="614" customFormat="1" ht="30.5" customHeight="1">
      <c r="A19" s="614" t="s">
        <v>353</v>
      </c>
      <c r="B19" s="615"/>
      <c r="C19" s="616">
        <v>275.47800000000001</v>
      </c>
      <c r="D19" s="617">
        <v>17</v>
      </c>
      <c r="E19" s="616">
        <v>192.959</v>
      </c>
      <c r="F19" s="617">
        <v>4</v>
      </c>
      <c r="G19" s="616">
        <v>229.77500000000001</v>
      </c>
      <c r="H19" s="617">
        <v>14</v>
      </c>
      <c r="I19" s="616">
        <v>263.916</v>
      </c>
      <c r="J19" s="618"/>
      <c r="K19" s="616">
        <v>253.672</v>
      </c>
      <c r="L19" s="617">
        <v>3</v>
      </c>
      <c r="M19" s="616">
        <v>266.29599999999999</v>
      </c>
      <c r="N19" s="617">
        <v>5</v>
      </c>
      <c r="O19" s="616">
        <v>325.85899999999998</v>
      </c>
      <c r="P19" s="617">
        <v>9</v>
      </c>
      <c r="Q19" s="616">
        <v>143.60900000000001</v>
      </c>
      <c r="R19" s="617">
        <v>6</v>
      </c>
      <c r="S19" s="616">
        <v>203.18799999999999</v>
      </c>
      <c r="T19" s="617">
        <v>7</v>
      </c>
      <c r="U19" s="616">
        <v>110.476</v>
      </c>
      <c r="V19" s="617">
        <v>8</v>
      </c>
      <c r="W19" s="616">
        <v>90.61</v>
      </c>
      <c r="X19" s="617">
        <v>2</v>
      </c>
      <c r="Y19" s="616">
        <v>155.95099999999999</v>
      </c>
    </row>
    <row r="20" spans="1:25" s="273" customFormat="1" ht="30.5" customHeight="1">
      <c r="A20" s="610"/>
      <c r="B20" s="615" t="s">
        <v>63</v>
      </c>
      <c r="C20" s="610"/>
      <c r="D20" s="619" t="s">
        <v>75</v>
      </c>
      <c r="E20" s="610"/>
      <c r="F20" s="619" t="s">
        <v>63</v>
      </c>
      <c r="G20" s="610"/>
      <c r="H20" s="619"/>
      <c r="I20" s="610"/>
      <c r="J20" s="620"/>
      <c r="K20" s="610"/>
      <c r="L20" s="619" t="s">
        <v>70</v>
      </c>
      <c r="M20" s="610"/>
      <c r="N20" s="619" t="s">
        <v>70</v>
      </c>
      <c r="O20" s="610"/>
      <c r="P20" s="619" t="s">
        <v>75</v>
      </c>
      <c r="Q20" s="610"/>
      <c r="R20" s="619" t="s">
        <v>70</v>
      </c>
      <c r="S20" s="610"/>
      <c r="T20" s="619" t="s">
        <v>75</v>
      </c>
      <c r="U20" s="610"/>
      <c r="V20" s="619" t="s">
        <v>75</v>
      </c>
      <c r="W20" s="610"/>
      <c r="X20" s="619" t="s">
        <v>70</v>
      </c>
      <c r="Y20" s="613"/>
    </row>
    <row r="21" spans="1:25" s="273" customFormat="1" ht="30.5" customHeight="1">
      <c r="A21" s="610"/>
      <c r="B21" s="621" t="s">
        <v>411</v>
      </c>
      <c r="C21" s="610"/>
      <c r="D21" s="622" t="s">
        <v>384</v>
      </c>
      <c r="E21" s="610"/>
      <c r="F21" s="622" t="s">
        <v>271</v>
      </c>
      <c r="G21" s="610"/>
      <c r="H21" s="622" t="s">
        <v>272</v>
      </c>
      <c r="I21" s="610"/>
      <c r="J21" s="623" t="s">
        <v>273</v>
      </c>
      <c r="K21" s="610"/>
      <c r="L21" s="622" t="s">
        <v>82</v>
      </c>
      <c r="M21" s="610"/>
      <c r="N21" s="622" t="s">
        <v>274</v>
      </c>
      <c r="O21" s="610"/>
      <c r="P21" s="622" t="s">
        <v>68</v>
      </c>
      <c r="Q21" s="610"/>
      <c r="R21" s="622" t="s">
        <v>277</v>
      </c>
      <c r="S21" s="610"/>
      <c r="T21" s="622" t="s">
        <v>390</v>
      </c>
      <c r="U21" s="610"/>
      <c r="V21" s="622" t="s">
        <v>392</v>
      </c>
      <c r="W21" s="610"/>
      <c r="X21" s="622" t="s">
        <v>393</v>
      </c>
      <c r="Y21" s="613"/>
    </row>
    <row r="22" spans="1:25" s="273" customFormat="1" ht="30.5" customHeight="1">
      <c r="A22" s="610"/>
      <c r="B22" s="615" t="s">
        <v>136</v>
      </c>
      <c r="C22" s="624"/>
      <c r="D22" s="619" t="s">
        <v>385</v>
      </c>
      <c r="E22" s="624"/>
      <c r="F22" s="619" t="s">
        <v>386</v>
      </c>
      <c r="G22" s="624"/>
      <c r="H22" s="619" t="s">
        <v>387</v>
      </c>
      <c r="I22" s="624"/>
      <c r="J22" s="623" t="s">
        <v>388</v>
      </c>
      <c r="K22" s="624"/>
      <c r="L22" s="619" t="s">
        <v>386</v>
      </c>
      <c r="M22" s="624"/>
      <c r="N22" s="619" t="s">
        <v>386</v>
      </c>
      <c r="O22" s="624"/>
      <c r="P22" s="619" t="s">
        <v>389</v>
      </c>
      <c r="Q22" s="624"/>
      <c r="R22" s="619" t="s">
        <v>386</v>
      </c>
      <c r="S22" s="624"/>
      <c r="T22" s="619" t="s">
        <v>391</v>
      </c>
      <c r="U22" s="624"/>
      <c r="V22" s="619" t="s">
        <v>391</v>
      </c>
      <c r="W22" s="624"/>
      <c r="X22" s="619" t="s">
        <v>386</v>
      </c>
      <c r="Y22" s="624"/>
    </row>
    <row r="23" spans="1:25" s="611" customFormat="1" ht="30.5" customHeight="1">
      <c r="A23" s="625"/>
      <c r="B23" s="626"/>
      <c r="C23" s="627"/>
      <c r="D23" s="626"/>
      <c r="E23" s="625"/>
      <c r="F23" s="626"/>
      <c r="G23" s="625"/>
      <c r="H23" s="613"/>
      <c r="I23" s="625"/>
      <c r="J23" s="626"/>
      <c r="K23" s="625"/>
      <c r="L23" s="626"/>
      <c r="M23" s="625"/>
      <c r="N23" s="626"/>
      <c r="O23" s="625"/>
      <c r="P23" s="626"/>
      <c r="Q23" s="625"/>
      <c r="R23" s="626"/>
      <c r="S23" s="628" t="s">
        <v>522</v>
      </c>
      <c r="T23" s="626"/>
      <c r="U23" s="627"/>
      <c r="V23" s="626"/>
      <c r="W23" s="627"/>
      <c r="X23" s="626"/>
      <c r="Y23" s="613"/>
    </row>
    <row r="24" spans="1:25" s="629" customFormat="1" ht="30.5" customHeight="1">
      <c r="A24" s="723" t="s">
        <v>288</v>
      </c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3"/>
      <c r="P24" s="723"/>
      <c r="Q24" s="723"/>
      <c r="R24" s="723"/>
      <c r="S24" s="723"/>
      <c r="T24" s="723"/>
      <c r="U24" s="723"/>
      <c r="V24" s="723"/>
      <c r="W24" s="723"/>
      <c r="X24" s="723"/>
      <c r="Y24" s="723"/>
    </row>
    <row r="25" spans="1:25" s="634" customFormat="1" ht="30.5" customHeight="1">
      <c r="A25" s="630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Q25" s="632"/>
      <c r="R25" s="632"/>
      <c r="S25" s="632"/>
      <c r="T25" s="632"/>
      <c r="U25" s="632"/>
      <c r="V25" s="632"/>
      <c r="W25" s="632"/>
      <c r="X25" s="632"/>
      <c r="Y25" s="633"/>
    </row>
    <row r="26" spans="1:25" s="273" customFormat="1" ht="30.5" customHeight="1">
      <c r="A26" s="610"/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3"/>
    </row>
    <row r="27" spans="1:25" s="273" customFormat="1" ht="30.5" customHeight="1">
      <c r="A27" s="610"/>
      <c r="B27" s="610"/>
      <c r="C27" s="610"/>
      <c r="D27" s="610"/>
      <c r="E27" s="610"/>
      <c r="F27" s="610"/>
      <c r="G27" s="610"/>
      <c r="H27" s="610"/>
      <c r="I27" s="610"/>
      <c r="J27" s="610"/>
      <c r="K27" s="610"/>
      <c r="L27" s="610"/>
      <c r="M27" s="610"/>
      <c r="N27" s="610"/>
      <c r="O27" s="610"/>
      <c r="P27" s="610"/>
      <c r="Q27" s="610"/>
      <c r="R27" s="610"/>
      <c r="S27" s="610"/>
      <c r="T27" s="610"/>
      <c r="U27" s="610"/>
      <c r="V27" s="610"/>
      <c r="W27" s="610"/>
      <c r="X27" s="610"/>
      <c r="Y27" s="613"/>
    </row>
    <row r="28" spans="1:25" s="614" customFormat="1" ht="30.5" customHeight="1">
      <c r="A28" s="614" t="s">
        <v>353</v>
      </c>
      <c r="B28" s="617">
        <v>1</v>
      </c>
      <c r="C28" s="616">
        <v>295.70600000000002</v>
      </c>
      <c r="D28" s="594"/>
      <c r="E28" s="616">
        <v>169.148</v>
      </c>
      <c r="F28" s="594"/>
      <c r="G28" s="616">
        <v>320.24599999999998</v>
      </c>
      <c r="H28" s="594">
        <v>1</v>
      </c>
      <c r="I28" s="635">
        <v>218.01599999999999</v>
      </c>
      <c r="J28" s="617">
        <v>21</v>
      </c>
      <c r="K28" s="635">
        <v>214.69300000000001</v>
      </c>
      <c r="L28" s="617">
        <v>16</v>
      </c>
      <c r="M28" s="635">
        <v>319.85500000000002</v>
      </c>
      <c r="N28" s="617">
        <v>13</v>
      </c>
      <c r="O28" s="635">
        <v>195.03100000000001</v>
      </c>
      <c r="P28" s="617">
        <v>23</v>
      </c>
      <c r="Q28" s="635">
        <v>253.495</v>
      </c>
      <c r="R28" s="617">
        <v>18</v>
      </c>
      <c r="S28" s="635">
        <f>374.687/2</f>
        <v>187.34350000000001</v>
      </c>
      <c r="T28" s="617">
        <v>11</v>
      </c>
      <c r="U28" s="635">
        <f>374.687/2</f>
        <v>187.34350000000001</v>
      </c>
      <c r="V28" s="636"/>
      <c r="W28" s="635">
        <v>250.18799999999999</v>
      </c>
      <c r="X28" s="637" t="s">
        <v>678</v>
      </c>
      <c r="Y28" s="635">
        <v>367.45400000000001</v>
      </c>
    </row>
    <row r="29" spans="1:25" s="273" customFormat="1" ht="30.5" customHeight="1">
      <c r="A29" s="610"/>
      <c r="B29" s="619" t="s">
        <v>70</v>
      </c>
      <c r="C29" s="610"/>
      <c r="D29" s="638"/>
      <c r="E29" s="610"/>
      <c r="F29" s="638"/>
      <c r="G29" s="610"/>
      <c r="H29" s="638"/>
      <c r="I29" s="610"/>
      <c r="J29" s="619"/>
      <c r="K29" s="610"/>
      <c r="L29" s="619" t="s">
        <v>52</v>
      </c>
      <c r="M29" s="610"/>
      <c r="N29" s="619" t="s">
        <v>75</v>
      </c>
      <c r="O29" s="610"/>
      <c r="P29" s="619" t="s">
        <v>75</v>
      </c>
      <c r="Q29" s="610"/>
      <c r="R29" s="619" t="s">
        <v>75</v>
      </c>
      <c r="S29" s="610"/>
      <c r="T29" s="619" t="s">
        <v>75</v>
      </c>
      <c r="U29" s="610"/>
      <c r="V29" s="639" t="s">
        <v>602</v>
      </c>
      <c r="W29" s="610"/>
      <c r="X29" s="620"/>
      <c r="Y29" s="613"/>
    </row>
    <row r="30" spans="1:25" s="273" customFormat="1" ht="30.5" customHeight="1">
      <c r="A30" s="610"/>
      <c r="B30" s="622" t="s">
        <v>278</v>
      </c>
      <c r="C30" s="624"/>
      <c r="D30" s="623" t="s">
        <v>281</v>
      </c>
      <c r="E30" s="624"/>
      <c r="F30" s="623" t="s">
        <v>394</v>
      </c>
      <c r="G30" s="624"/>
      <c r="H30" s="623" t="s">
        <v>378</v>
      </c>
      <c r="I30" s="640"/>
      <c r="J30" s="622" t="s">
        <v>396</v>
      </c>
      <c r="K30" s="640"/>
      <c r="L30" s="622" t="s">
        <v>398</v>
      </c>
      <c r="M30" s="640"/>
      <c r="N30" s="622" t="s">
        <v>291</v>
      </c>
      <c r="O30" s="640"/>
      <c r="P30" s="622" t="s">
        <v>292</v>
      </c>
      <c r="Q30" s="640"/>
      <c r="R30" s="622" t="s">
        <v>400</v>
      </c>
      <c r="S30" s="640"/>
      <c r="T30" s="622" t="s">
        <v>515</v>
      </c>
      <c r="V30" s="641" t="s">
        <v>293</v>
      </c>
      <c r="W30" s="640"/>
      <c r="X30" s="642" t="s">
        <v>401</v>
      </c>
      <c r="Y30" s="640"/>
    </row>
    <row r="31" spans="1:25" s="273" customFormat="1" ht="30.5" customHeight="1">
      <c r="A31" s="610"/>
      <c r="B31" s="619" t="s">
        <v>375</v>
      </c>
      <c r="C31" s="624"/>
      <c r="D31" s="623" t="s">
        <v>387</v>
      </c>
      <c r="E31" s="624"/>
      <c r="F31" s="643" t="s">
        <v>513</v>
      </c>
      <c r="G31" s="733" t="s">
        <v>527</v>
      </c>
      <c r="H31" s="623" t="s">
        <v>387</v>
      </c>
      <c r="I31" s="640"/>
      <c r="J31" s="619" t="s">
        <v>388</v>
      </c>
      <c r="K31" s="640"/>
      <c r="L31" s="619" t="s">
        <v>374</v>
      </c>
      <c r="M31" s="640"/>
      <c r="N31" s="619" t="s">
        <v>399</v>
      </c>
      <c r="O31" s="640"/>
      <c r="P31" s="619" t="s">
        <v>374</v>
      </c>
      <c r="Q31" s="640"/>
      <c r="R31" s="619" t="s">
        <v>374</v>
      </c>
      <c r="S31" s="640"/>
      <c r="T31" s="619" t="s">
        <v>374</v>
      </c>
      <c r="V31" s="641" t="s">
        <v>539</v>
      </c>
      <c r="W31" s="640"/>
      <c r="X31" s="642" t="s">
        <v>539</v>
      </c>
      <c r="Y31" s="640"/>
    </row>
    <row r="32" spans="1:25" s="611" customFormat="1" ht="30.5" customHeight="1">
      <c r="A32" s="625"/>
      <c r="B32" s="625"/>
      <c r="C32" s="627"/>
      <c r="D32" s="625"/>
      <c r="E32" s="625"/>
      <c r="F32" s="734" t="s">
        <v>416</v>
      </c>
      <c r="G32" s="733"/>
      <c r="H32" s="613" t="s">
        <v>514</v>
      </c>
      <c r="I32" s="625"/>
      <c r="J32" s="613"/>
      <c r="K32" s="625"/>
      <c r="L32" s="625"/>
      <c r="M32" s="625"/>
      <c r="N32" s="625"/>
      <c r="O32" s="625"/>
      <c r="P32" s="644"/>
      <c r="Q32" s="625"/>
      <c r="R32" s="625"/>
      <c r="S32" s="625"/>
      <c r="T32" s="625"/>
      <c r="V32" s="626" t="s">
        <v>414</v>
      </c>
      <c r="W32" s="729" t="s">
        <v>523</v>
      </c>
      <c r="X32" s="626" t="s">
        <v>414</v>
      </c>
      <c r="Y32" s="627"/>
    </row>
    <row r="33" spans="1:25" s="273" customFormat="1" ht="30.5" customHeight="1">
      <c r="A33" s="610"/>
      <c r="B33" s="645">
        <v>3</v>
      </c>
      <c r="C33" s="610"/>
      <c r="D33" s="610"/>
      <c r="E33" s="627"/>
      <c r="F33" s="735"/>
      <c r="G33" s="610"/>
      <c r="H33" s="646"/>
      <c r="I33" s="610"/>
      <c r="J33" s="610"/>
      <c r="K33" s="610"/>
      <c r="L33" s="609"/>
      <c r="M33" s="610"/>
      <c r="N33" s="609"/>
      <c r="O33" s="610"/>
      <c r="Q33" s="610"/>
      <c r="R33" s="609"/>
      <c r="S33" s="610"/>
      <c r="T33" s="609"/>
      <c r="U33" s="628"/>
      <c r="V33" s="644"/>
      <c r="W33" s="729"/>
      <c r="X33" s="644"/>
      <c r="Y33" s="613"/>
    </row>
    <row r="34" spans="1:25" s="629" customFormat="1" ht="30.5" customHeight="1">
      <c r="A34" s="723" t="s">
        <v>288</v>
      </c>
      <c r="B34" s="723"/>
      <c r="C34" s="723"/>
      <c r="D34" s="723"/>
      <c r="E34" s="723"/>
      <c r="F34" s="723"/>
      <c r="G34" s="723"/>
      <c r="H34" s="723"/>
      <c r="I34" s="723"/>
      <c r="J34" s="723"/>
      <c r="K34" s="723"/>
      <c r="L34" s="723"/>
      <c r="M34" s="723"/>
      <c r="N34" s="723"/>
      <c r="O34" s="723"/>
      <c r="P34" s="723"/>
      <c r="Q34" s="723"/>
      <c r="R34" s="723"/>
      <c r="S34" s="723"/>
      <c r="T34" s="723"/>
      <c r="U34" s="723"/>
      <c r="V34" s="723"/>
      <c r="W34" s="723"/>
      <c r="X34" s="723"/>
      <c r="Y34" s="723"/>
    </row>
    <row r="35" spans="1:25" s="634" customFormat="1" ht="30.5" customHeight="1">
      <c r="A35" s="631"/>
      <c r="B35" s="631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1"/>
      <c r="P35" s="631"/>
      <c r="Q35" s="631"/>
      <c r="R35" s="631"/>
      <c r="S35" s="631"/>
      <c r="T35" s="631"/>
      <c r="U35" s="631"/>
      <c r="V35" s="631"/>
      <c r="W35" s="631"/>
      <c r="X35" s="631"/>
      <c r="Y35" s="631"/>
    </row>
    <row r="36" spans="1:25" s="634" customFormat="1" ht="30.5" customHeight="1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1"/>
      <c r="P36" s="631"/>
      <c r="Q36" s="631"/>
      <c r="R36" s="631"/>
      <c r="S36" s="631"/>
      <c r="T36" s="631"/>
      <c r="U36" s="631"/>
      <c r="V36" s="631"/>
      <c r="W36" s="631"/>
      <c r="X36" s="631"/>
      <c r="Y36" s="631"/>
    </row>
    <row r="37" spans="1:25" s="634" customFormat="1" ht="30.5" customHeight="1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44" t="s">
        <v>525</v>
      </c>
      <c r="M37" s="631"/>
      <c r="N37" s="637" t="s">
        <v>680</v>
      </c>
      <c r="O37" s="635">
        <v>614.49300000000005</v>
      </c>
      <c r="P37" s="617">
        <v>15</v>
      </c>
      <c r="Q37" s="631"/>
      <c r="R37" s="631"/>
      <c r="S37" s="631"/>
      <c r="T37" s="631"/>
      <c r="U37" s="631"/>
      <c r="V37" s="631"/>
      <c r="W37" s="631"/>
      <c r="X37" s="631"/>
      <c r="Y37" s="631"/>
    </row>
    <row r="38" spans="1:25" s="634" customFormat="1" ht="30.5" customHeight="1">
      <c r="A38" s="631"/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44" t="s">
        <v>524</v>
      </c>
      <c r="M38" s="631"/>
      <c r="N38" s="620"/>
      <c r="O38" s="610"/>
      <c r="P38" s="619" t="s">
        <v>52</v>
      </c>
      <c r="Q38" s="631"/>
      <c r="R38" s="631"/>
      <c r="S38" s="631"/>
      <c r="T38" s="631"/>
      <c r="U38" s="631"/>
      <c r="V38" s="631"/>
      <c r="W38" s="631"/>
      <c r="X38" s="631"/>
      <c r="Y38" s="631"/>
    </row>
    <row r="39" spans="1:25" s="634" customFormat="1" ht="30.5" customHeight="1">
      <c r="A39" s="631"/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41" t="s">
        <v>518</v>
      </c>
      <c r="O39" s="640"/>
      <c r="P39" s="622" t="s">
        <v>519</v>
      </c>
      <c r="Q39" s="631"/>
      <c r="R39" s="631"/>
      <c r="S39" s="631"/>
      <c r="T39" s="631"/>
      <c r="U39" s="631"/>
      <c r="V39" s="631"/>
      <c r="W39" s="631"/>
      <c r="X39" s="631"/>
      <c r="Y39" s="631"/>
    </row>
    <row r="40" spans="1:25" s="634" customFormat="1" ht="30.5" customHeight="1">
      <c r="A40" s="631"/>
      <c r="B40" s="631"/>
      <c r="C40" s="631"/>
      <c r="D40" s="631"/>
      <c r="E40" s="631"/>
      <c r="F40" s="631"/>
      <c r="G40" s="631"/>
      <c r="H40" s="631"/>
      <c r="I40" s="631"/>
      <c r="J40" s="631"/>
      <c r="K40" s="631"/>
      <c r="L40" s="647" t="b">
        <v>0</v>
      </c>
      <c r="M40" s="631"/>
      <c r="N40" s="623" t="s">
        <v>516</v>
      </c>
      <c r="O40" s="624" t="s">
        <v>177</v>
      </c>
      <c r="P40" s="619" t="s">
        <v>516</v>
      </c>
      <c r="Q40" s="631"/>
      <c r="R40" s="631"/>
      <c r="S40" s="631"/>
      <c r="T40" s="631"/>
      <c r="U40" s="631"/>
      <c r="V40" s="631"/>
      <c r="W40" s="631"/>
      <c r="X40" s="631"/>
      <c r="Y40" s="631"/>
    </row>
    <row r="41" spans="1:25" s="634" customFormat="1" ht="30.5" customHeight="1">
      <c r="A41" s="631"/>
      <c r="B41" s="631"/>
      <c r="C41" s="631"/>
      <c r="D41" s="631"/>
      <c r="E41" s="631"/>
      <c r="F41" s="631"/>
      <c r="G41" s="631"/>
      <c r="H41" s="631"/>
      <c r="I41" s="631"/>
      <c r="J41" s="631"/>
      <c r="K41" s="631"/>
      <c r="L41" s="631"/>
      <c r="M41" s="631"/>
      <c r="N41" s="631"/>
      <c r="O41" s="632"/>
      <c r="P41" s="632"/>
      <c r="Q41" s="632"/>
      <c r="R41" s="632"/>
      <c r="S41" s="632"/>
      <c r="T41" s="632"/>
      <c r="U41" s="632"/>
      <c r="V41" s="632"/>
      <c r="W41" s="633"/>
      <c r="X41" s="633"/>
      <c r="Y41" s="633"/>
    </row>
    <row r="42" spans="1:25" s="273" customFormat="1" ht="30.5" customHeight="1">
      <c r="A42" s="610"/>
      <c r="B42" s="610"/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48"/>
      <c r="P42" s="610"/>
      <c r="Q42" s="610"/>
      <c r="R42" s="610"/>
      <c r="S42" s="610"/>
      <c r="T42" s="610"/>
      <c r="U42" s="610"/>
      <c r="V42" s="610"/>
      <c r="W42" s="613"/>
      <c r="X42" s="613"/>
      <c r="Y42" s="613"/>
    </row>
    <row r="43" spans="1:25" s="273" customFormat="1" ht="30.5" customHeight="1">
      <c r="A43" s="610"/>
      <c r="B43" s="610"/>
      <c r="C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10"/>
      <c r="P43" s="610"/>
      <c r="Q43" s="610"/>
      <c r="R43" s="610"/>
      <c r="S43" s="610"/>
      <c r="T43" s="610"/>
      <c r="U43" s="610"/>
      <c r="V43" s="610"/>
      <c r="W43" s="613"/>
      <c r="X43" s="613"/>
      <c r="Y43" s="613"/>
    </row>
    <row r="44" spans="1:25" s="614" customFormat="1" ht="30.5" customHeight="1">
      <c r="A44" s="616"/>
      <c r="B44" s="617">
        <v>25</v>
      </c>
      <c r="C44" s="635">
        <v>241.75899999999999</v>
      </c>
      <c r="D44" s="637" t="s">
        <v>679</v>
      </c>
      <c r="E44" s="635">
        <v>138.29</v>
      </c>
      <c r="F44" s="617">
        <v>22</v>
      </c>
      <c r="G44" s="635">
        <v>158.822</v>
      </c>
      <c r="H44" s="617">
        <v>20</v>
      </c>
      <c r="I44" s="635">
        <v>354.23200000000003</v>
      </c>
      <c r="J44" s="617">
        <v>10</v>
      </c>
      <c r="K44" s="635">
        <v>281.33999999999997</v>
      </c>
      <c r="L44" s="617">
        <v>19</v>
      </c>
      <c r="M44" s="635">
        <v>369.33699999999999</v>
      </c>
      <c r="N44" s="637" t="s">
        <v>681</v>
      </c>
      <c r="O44" s="635">
        <v>614.49300000000005</v>
      </c>
      <c r="P44" s="594">
        <v>2</v>
      </c>
      <c r="Q44" s="649">
        <v>275.99599999999998</v>
      </c>
      <c r="R44" s="617">
        <v>12</v>
      </c>
      <c r="S44" s="635">
        <v>321.28100000000001</v>
      </c>
      <c r="T44" s="594">
        <v>3</v>
      </c>
      <c r="U44" s="635">
        <v>312.66199999999998</v>
      </c>
      <c r="V44" s="637"/>
      <c r="W44" s="635"/>
      <c r="X44" s="635"/>
      <c r="Y44" s="635"/>
    </row>
    <row r="45" spans="1:25" s="273" customFormat="1" ht="30.5" customHeight="1">
      <c r="A45" s="609"/>
      <c r="B45" s="619"/>
      <c r="C45" s="610"/>
      <c r="D45" s="620"/>
      <c r="E45" s="610"/>
      <c r="F45" s="619" t="s">
        <v>325</v>
      </c>
      <c r="G45" s="610"/>
      <c r="H45" s="619" t="s">
        <v>75</v>
      </c>
      <c r="I45" s="610"/>
      <c r="J45" s="619" t="s">
        <v>52</v>
      </c>
      <c r="K45" s="610"/>
      <c r="L45" s="619" t="s">
        <v>52</v>
      </c>
      <c r="M45" s="610"/>
      <c r="N45" s="620"/>
      <c r="O45" s="610"/>
      <c r="P45" s="638" t="s">
        <v>52</v>
      </c>
      <c r="Q45" s="610"/>
      <c r="R45" s="619" t="s">
        <v>52</v>
      </c>
      <c r="S45" s="610"/>
      <c r="T45" s="638" t="s">
        <v>52</v>
      </c>
      <c r="U45" s="610"/>
      <c r="V45" s="615" t="s">
        <v>52</v>
      </c>
      <c r="W45" s="610"/>
      <c r="X45" s="610"/>
      <c r="Y45" s="610"/>
    </row>
    <row r="46" spans="1:25" s="273" customFormat="1" ht="30.5" customHeight="1">
      <c r="A46" s="609"/>
      <c r="B46" s="622" t="s">
        <v>294</v>
      </c>
      <c r="C46" s="640"/>
      <c r="D46" s="641" t="s">
        <v>295</v>
      </c>
      <c r="E46" s="640"/>
      <c r="F46" s="622" t="s">
        <v>402</v>
      </c>
      <c r="G46" s="640"/>
      <c r="H46" s="622" t="s">
        <v>403</v>
      </c>
      <c r="I46" s="640"/>
      <c r="J46" s="622" t="s">
        <v>404</v>
      </c>
      <c r="K46" s="640"/>
      <c r="L46" s="622" t="s">
        <v>405</v>
      </c>
      <c r="M46" s="640"/>
      <c r="N46" s="641" t="s">
        <v>406</v>
      </c>
      <c r="O46" s="640"/>
      <c r="P46" s="641" t="s">
        <v>408</v>
      </c>
      <c r="Q46" s="640"/>
      <c r="R46" s="622" t="s">
        <v>409</v>
      </c>
      <c r="S46" s="640"/>
      <c r="T46" s="641" t="s">
        <v>410</v>
      </c>
      <c r="U46" s="640"/>
      <c r="V46" s="650" t="s">
        <v>412</v>
      </c>
      <c r="W46" s="640"/>
      <c r="X46" s="640"/>
      <c r="Y46" s="640"/>
    </row>
    <row r="47" spans="1:25" s="273" customFormat="1" ht="30.5" customHeight="1">
      <c r="A47" s="609"/>
      <c r="B47" s="619" t="s">
        <v>388</v>
      </c>
      <c r="C47" s="640"/>
      <c r="D47" s="641" t="s">
        <v>388</v>
      </c>
      <c r="E47" s="640"/>
      <c r="F47" s="619" t="s">
        <v>374</v>
      </c>
      <c r="G47" s="640"/>
      <c r="H47" s="619" t="s">
        <v>377</v>
      </c>
      <c r="I47" s="624"/>
      <c r="J47" s="619" t="s">
        <v>374</v>
      </c>
      <c r="K47" s="624"/>
      <c r="L47" s="619" t="s">
        <v>374</v>
      </c>
      <c r="M47" s="624"/>
      <c r="N47" s="623" t="s">
        <v>516</v>
      </c>
      <c r="O47" s="624"/>
      <c r="P47" s="623" t="s">
        <v>516</v>
      </c>
      <c r="Q47" s="624"/>
      <c r="R47" s="619" t="s">
        <v>517</v>
      </c>
      <c r="S47" s="624"/>
      <c r="T47" s="641" t="s">
        <v>385</v>
      </c>
      <c r="U47" s="640"/>
      <c r="V47" s="615" t="s">
        <v>413</v>
      </c>
      <c r="W47" s="640"/>
      <c r="X47" s="640"/>
      <c r="Y47" s="640"/>
    </row>
    <row r="48" spans="1:25" s="611" customFormat="1" ht="30.5" customHeight="1">
      <c r="A48" s="613"/>
      <c r="B48" s="626"/>
      <c r="C48" s="627"/>
      <c r="D48" s="625" t="s">
        <v>97</v>
      </c>
      <c r="E48" s="625"/>
      <c r="F48" s="625"/>
      <c r="G48" s="625"/>
      <c r="H48" s="626" t="s">
        <v>415</v>
      </c>
      <c r="I48" s="625"/>
      <c r="J48" s="625"/>
      <c r="K48" s="625"/>
      <c r="L48" s="625"/>
      <c r="M48" s="625"/>
      <c r="N48" s="613"/>
      <c r="O48" s="625"/>
      <c r="P48" s="626"/>
      <c r="Q48" s="625"/>
      <c r="R48" s="625"/>
      <c r="S48" s="625"/>
      <c r="T48" s="625"/>
      <c r="U48" s="627"/>
      <c r="V48" s="626"/>
      <c r="W48" s="627"/>
      <c r="X48" s="627"/>
      <c r="Y48" s="627"/>
    </row>
    <row r="49" spans="1:25" s="611" customFormat="1" ht="30.5" customHeight="1">
      <c r="A49" s="613"/>
      <c r="B49" s="626"/>
      <c r="C49" s="627"/>
      <c r="D49" s="625"/>
      <c r="E49" s="625"/>
      <c r="F49" s="625"/>
      <c r="G49" s="625"/>
      <c r="H49" s="626"/>
      <c r="I49" s="625"/>
      <c r="J49" s="625"/>
      <c r="K49" s="625"/>
      <c r="L49" s="625"/>
      <c r="M49" s="625"/>
      <c r="N49" s="613"/>
      <c r="O49" s="625"/>
      <c r="P49" s="613"/>
      <c r="Q49" s="625"/>
      <c r="R49" s="625"/>
      <c r="S49" s="625"/>
      <c r="T49" s="625"/>
      <c r="U49" s="627"/>
      <c r="V49" s="626"/>
      <c r="W49" s="627"/>
      <c r="X49" s="627"/>
      <c r="Y49" s="627"/>
    </row>
    <row r="50" spans="1:25" s="613" customFormat="1" ht="30.5" customHeight="1">
      <c r="B50" s="626"/>
      <c r="C50" s="729" t="s">
        <v>450</v>
      </c>
      <c r="D50" s="625"/>
      <c r="E50" s="625"/>
      <c r="F50" s="626"/>
      <c r="G50" s="625"/>
      <c r="H50" s="626"/>
      <c r="I50" s="625"/>
      <c r="J50" s="626"/>
      <c r="K50" s="625"/>
      <c r="L50" s="626"/>
      <c r="M50" s="625"/>
      <c r="N50" s="637" t="s">
        <v>682</v>
      </c>
      <c r="O50" s="635">
        <v>614.49300000000005</v>
      </c>
      <c r="P50" s="617">
        <v>24</v>
      </c>
      <c r="Q50" s="625"/>
      <c r="S50" s="625"/>
      <c r="U50" s="628" t="s">
        <v>526</v>
      </c>
      <c r="V50" s="626"/>
      <c r="W50" s="627"/>
      <c r="X50" s="627"/>
      <c r="Y50" s="627"/>
    </row>
    <row r="51" spans="1:25" s="613" customFormat="1" ht="30.5" customHeight="1">
      <c r="B51" s="626"/>
      <c r="C51" s="729"/>
      <c r="D51" s="625"/>
      <c r="E51" s="625"/>
      <c r="F51" s="626"/>
      <c r="G51" s="625"/>
      <c r="H51" s="626"/>
      <c r="I51" s="625"/>
      <c r="J51" s="626"/>
      <c r="K51" s="625"/>
      <c r="L51" s="626"/>
      <c r="M51" s="625"/>
      <c r="N51" s="620"/>
      <c r="O51" s="610"/>
      <c r="P51" s="619" t="s">
        <v>52</v>
      </c>
      <c r="Q51" s="625"/>
      <c r="S51" s="625"/>
      <c r="U51" s="627"/>
      <c r="V51" s="626"/>
      <c r="W51" s="627"/>
      <c r="X51" s="627"/>
      <c r="Y51" s="627"/>
    </row>
    <row r="52" spans="1:25" s="613" customFormat="1" ht="30.5" customHeight="1">
      <c r="B52" s="626"/>
      <c r="C52" s="627"/>
      <c r="D52" s="625"/>
      <c r="E52" s="625"/>
      <c r="F52" s="626"/>
      <c r="G52" s="625"/>
      <c r="H52" s="626"/>
      <c r="I52" s="625"/>
      <c r="J52" s="626"/>
      <c r="K52" s="625"/>
      <c r="L52" s="626"/>
      <c r="M52" s="625"/>
      <c r="N52" s="641" t="s">
        <v>520</v>
      </c>
      <c r="O52" s="640"/>
      <c r="P52" s="622" t="s">
        <v>521</v>
      </c>
      <c r="Q52" s="625"/>
      <c r="S52" s="625"/>
      <c r="U52" s="627"/>
      <c r="V52" s="626"/>
      <c r="W52" s="627"/>
      <c r="X52" s="627"/>
      <c r="Y52" s="627"/>
    </row>
    <row r="53" spans="1:25" s="613" customFormat="1" ht="30.5" customHeight="1">
      <c r="B53" s="626"/>
      <c r="C53" s="627"/>
      <c r="D53" s="625"/>
      <c r="E53" s="625"/>
      <c r="F53" s="626"/>
      <c r="G53" s="625"/>
      <c r="H53" s="626"/>
      <c r="I53" s="625"/>
      <c r="J53" s="626"/>
      <c r="K53" s="625"/>
      <c r="L53" s="626"/>
      <c r="M53" s="625"/>
      <c r="N53" s="623" t="s">
        <v>516</v>
      </c>
      <c r="O53" s="624" t="s">
        <v>192</v>
      </c>
      <c r="P53" s="619" t="s">
        <v>516</v>
      </c>
      <c r="Q53" s="625"/>
      <c r="S53" s="625"/>
      <c r="U53" s="627"/>
      <c r="V53" s="626"/>
      <c r="W53" s="627"/>
      <c r="X53" s="627"/>
      <c r="Y53" s="627"/>
    </row>
    <row r="54" spans="1:25" s="613" customFormat="1" ht="30.5" customHeight="1">
      <c r="B54" s="626"/>
      <c r="C54" s="627"/>
      <c r="D54" s="625"/>
      <c r="E54" s="625"/>
      <c r="F54" s="626"/>
      <c r="G54" s="625"/>
      <c r="H54" s="626"/>
      <c r="I54" s="625"/>
      <c r="J54" s="626"/>
      <c r="K54" s="625"/>
      <c r="L54" s="626"/>
      <c r="M54" s="625"/>
      <c r="O54" s="625"/>
      <c r="P54" s="626"/>
      <c r="Q54" s="625"/>
      <c r="S54" s="625"/>
      <c r="U54" s="627"/>
      <c r="V54" s="626"/>
      <c r="W54" s="627"/>
      <c r="X54" s="627"/>
      <c r="Y54" s="627"/>
    </row>
    <row r="55" spans="1:25" s="629" customFormat="1" ht="30.5" customHeight="1">
      <c r="A55" s="723" t="s">
        <v>288</v>
      </c>
      <c r="B55" s="723"/>
      <c r="C55" s="723"/>
      <c r="D55" s="723"/>
      <c r="E55" s="723"/>
      <c r="F55" s="723"/>
      <c r="G55" s="723"/>
      <c r="H55" s="723"/>
      <c r="I55" s="723"/>
      <c r="J55" s="723"/>
      <c r="K55" s="723"/>
      <c r="L55" s="723"/>
      <c r="M55" s="723"/>
      <c r="N55" s="723"/>
      <c r="O55" s="723"/>
      <c r="P55" s="723"/>
      <c r="Q55" s="723"/>
      <c r="R55" s="723"/>
      <c r="S55" s="723"/>
      <c r="T55" s="723"/>
      <c r="U55" s="723"/>
      <c r="V55" s="723"/>
      <c r="W55" s="723"/>
      <c r="X55" s="723"/>
      <c r="Y55" s="724"/>
    </row>
  </sheetData>
  <mergeCells count="25">
    <mergeCell ref="A1:Y1"/>
    <mergeCell ref="X2:Y2"/>
    <mergeCell ref="A24:Y24"/>
    <mergeCell ref="A34:Y34"/>
    <mergeCell ref="W15:X15"/>
    <mergeCell ref="W32:W33"/>
    <mergeCell ref="G31:G32"/>
    <mergeCell ref="F32:F33"/>
    <mergeCell ref="N3:Y3"/>
    <mergeCell ref="O4:P4"/>
    <mergeCell ref="O5:P5"/>
    <mergeCell ref="O7:P7"/>
    <mergeCell ref="O6:P6"/>
    <mergeCell ref="O8:P8"/>
    <mergeCell ref="O9:P9"/>
    <mergeCell ref="O10:P10"/>
    <mergeCell ref="O11:P11"/>
    <mergeCell ref="O13:P13"/>
    <mergeCell ref="O12:P12"/>
    <mergeCell ref="A55:Y55"/>
    <mergeCell ref="O15:P15"/>
    <mergeCell ref="Q15:R15"/>
    <mergeCell ref="S15:T15"/>
    <mergeCell ref="U15:V15"/>
    <mergeCell ref="C50:C51"/>
  </mergeCells>
  <phoneticPr fontId="39" type="noConversion"/>
  <conditionalFormatting sqref="A2:X2">
    <cfRule type="containsText" dxfId="98" priority="213" operator="containsText" text="FALSE">
      <formula>NOT(ISERROR(SEARCH("FALSE",A2)))</formula>
    </cfRule>
  </conditionalFormatting>
  <conditionalFormatting sqref="A1:Y1 A3:L4 B5:L5 A5:A10 B6:J6 L6 B7:L7 B8:J8 B9:L9 C10:J10 A12:E12 G12:J12 L12:N12 A12:A15 B14:D14 F14:U14 B15:H15 J15 L15:O15 B16:E16 G16:H16 C31:I31 K31 M31 O31 Q31 S31 V31:Y32 A32:F32 A34 U45 W45 V45:V47 C47:E47 G47 I47 K47 M47:Q47 S47:U47 W47 B48:W49 B50:O50 B51 D51:M51 B52:M53 N53:O53 B54:W54">
    <cfRule type="containsText" dxfId="97" priority="71" operator="containsText" text="FALSE">
      <formula>NOT(ISERROR(SEARCH("FALSE",A1)))</formula>
    </cfRule>
  </conditionalFormatting>
  <conditionalFormatting sqref="A17:Y23 A43:W43 A44 U44:W44">
    <cfRule type="containsText" dxfId="96" priority="37" operator="containsText" text="FALSE">
      <formula>NOT(ISERROR(SEARCH("FALSE",A17)))</formula>
    </cfRule>
  </conditionalFormatting>
  <conditionalFormatting sqref="A26:Y27 A33:E33 X33:Y33">
    <cfRule type="containsText" dxfId="95" priority="69" operator="containsText" text="FALSE">
      <formula>NOT(ISERROR(SEARCH("FALSE",A26)))</formula>
    </cfRule>
  </conditionalFormatting>
  <conditionalFormatting sqref="A56:Y1048576">
    <cfRule type="containsText" dxfId="94" priority="194" operator="containsText" text="FALSE">
      <formula>NOT(ISERROR(SEARCH("FALSE",A56)))</formula>
    </cfRule>
  </conditionalFormatting>
  <conditionalFormatting sqref="B44:B47">
    <cfRule type="containsText" dxfId="93" priority="1" operator="containsText" text="FALSE">
      <formula>NOT(ISERROR(SEARCH("FALSE",B44)))</formula>
    </cfRule>
  </conditionalFormatting>
  <conditionalFormatting sqref="C44:E45 G44:G45 I44:I45">
    <cfRule type="containsText" dxfId="92" priority="12" operator="containsText" text="FALSE">
      <formula>NOT(ISERROR(SEARCH("FALSE",C44)))</formula>
    </cfRule>
  </conditionalFormatting>
  <conditionalFormatting sqref="C28:I29 K28:K29 M28:M29 O28:O29 Q28:Q29 S28:S29">
    <cfRule type="containsText" dxfId="91" priority="22" operator="containsText" text="FALSE">
      <formula>NOT(ISERROR(SEARCH("FALSE",C28)))</formula>
    </cfRule>
  </conditionalFormatting>
  <conditionalFormatting sqref="F44:F47">
    <cfRule type="containsText" dxfId="90" priority="4" operator="containsText" text="FALSE">
      <formula>NOT(ISERROR(SEARCH("FALSE",F44)))</formula>
    </cfRule>
  </conditionalFormatting>
  <conditionalFormatting sqref="H44:H47">
    <cfRule type="containsText" dxfId="89" priority="7" operator="containsText" text="FALSE">
      <formula>NOT(ISERROR(SEARCH("FALSE",H44)))</formula>
    </cfRule>
  </conditionalFormatting>
  <conditionalFormatting sqref="H32:T32 G33:O33 Q33:V33 A42:N42 X42:Y45 X47:Y54 A55">
    <cfRule type="containsText" dxfId="88" priority="67" operator="containsText" text="FALSE">
      <formula>NOT(ISERROR(SEARCH("FALSE",A32)))</formula>
    </cfRule>
  </conditionalFormatting>
  <conditionalFormatting sqref="J28:J31">
    <cfRule type="containsText" dxfId="87" priority="6" operator="containsText" text="FALSE">
      <formula>NOT(ISERROR(SEARCH("FALSE",J28)))</formula>
    </cfRule>
  </conditionalFormatting>
  <conditionalFormatting sqref="J44:J47">
    <cfRule type="containsText" dxfId="86" priority="28" operator="containsText" text="FALSE">
      <formula>NOT(ISERROR(SEARCH("FALSE",J44)))</formula>
    </cfRule>
  </conditionalFormatting>
  <conditionalFormatting sqref="J16:Y16">
    <cfRule type="containsText" dxfId="85" priority="211" operator="containsText" text="FALSE">
      <formula>NOT(ISERROR(SEARCH("FALSE",J16)))</formula>
    </cfRule>
  </conditionalFormatting>
  <conditionalFormatting sqref="K44:K45">
    <cfRule type="containsText" dxfId="84" priority="11" operator="containsText" text="FALSE">
      <formula>NOT(ISERROR(SEARCH("FALSE",K44)))</formula>
    </cfRule>
  </conditionalFormatting>
  <conditionalFormatting sqref="L28:L31">
    <cfRule type="containsText" dxfId="83" priority="15" operator="containsText" text="FALSE">
      <formula>NOT(ISERROR(SEARCH("FALSE",L28)))</formula>
    </cfRule>
  </conditionalFormatting>
  <conditionalFormatting sqref="L44:L47">
    <cfRule type="containsText" dxfId="82" priority="9" operator="containsText" text="FALSE">
      <formula>NOT(ISERROR(SEARCH("FALSE",L44)))</formula>
    </cfRule>
  </conditionalFormatting>
  <conditionalFormatting sqref="M44:Q45">
    <cfRule type="containsText" dxfId="81" priority="8" operator="containsText" text="FALSE">
      <formula>NOT(ISERROR(SEARCH("FALSE",M44)))</formula>
    </cfRule>
  </conditionalFormatting>
  <conditionalFormatting sqref="N3:N11 O4:O5 Q4:R11 O7 O9 M10 Q10:Y10 A11:M11 O11 A13:O13 A28:B31">
    <cfRule type="containsText" dxfId="80" priority="54" operator="containsText" text="FALSE">
      <formula>NOT(ISERROR(SEARCH("FALSE",A3)))</formula>
    </cfRule>
  </conditionalFormatting>
  <conditionalFormatting sqref="N28:N31">
    <cfRule type="containsText" dxfId="79" priority="18" operator="containsText" text="FALSE">
      <formula>NOT(ISERROR(SEARCH("FALSE",N28)))</formula>
    </cfRule>
  </conditionalFormatting>
  <conditionalFormatting sqref="N37:O38">
    <cfRule type="containsText" dxfId="78" priority="19" operator="containsText" text="FALSE">
      <formula>NOT(ISERROR(SEARCH("FALSE",N37)))</formula>
    </cfRule>
  </conditionalFormatting>
  <conditionalFormatting sqref="N40:O40">
    <cfRule type="containsText" dxfId="77" priority="36" operator="containsText" text="FALSE">
      <formula>NOT(ISERROR(SEARCH("FALSE",N40)))</formula>
    </cfRule>
  </conditionalFormatting>
  <conditionalFormatting sqref="N50:O51">
    <cfRule type="containsText" dxfId="76" priority="17" operator="containsText" text="FALSE">
      <formula>NOT(ISERROR(SEARCH("FALSE",N50)))</formula>
    </cfRule>
  </conditionalFormatting>
  <conditionalFormatting sqref="O41">
    <cfRule type="containsText" dxfId="75" priority="72" operator="containsText" text="FALSE">
      <formula>NOT(ISERROR(SEARCH("FALSE",O41)))</formula>
    </cfRule>
  </conditionalFormatting>
  <conditionalFormatting sqref="P28:P31">
    <cfRule type="containsText" dxfId="74" priority="3" operator="containsText" text="FALSE">
      <formula>NOT(ISERROR(SEARCH("FALSE",P28)))</formula>
    </cfRule>
  </conditionalFormatting>
  <conditionalFormatting sqref="P37:P40">
    <cfRule type="containsText" dxfId="73" priority="16" operator="containsText" text="FALSE">
      <formula>NOT(ISERROR(SEARCH("FALSE",P37)))</formula>
    </cfRule>
  </conditionalFormatting>
  <conditionalFormatting sqref="P42:W42">
    <cfRule type="containsText" dxfId="72" priority="65" operator="containsText" text="FALSE">
      <formula>NOT(ISERROR(SEARCH("FALSE",P42)))</formula>
    </cfRule>
  </conditionalFormatting>
  <conditionalFormatting sqref="P50:W53">
    <cfRule type="containsText" dxfId="71" priority="2" operator="containsText" text="FALSE">
      <formula>NOT(ISERROR(SEARCH("FALSE",P50)))</formula>
    </cfRule>
  </conditionalFormatting>
  <conditionalFormatting sqref="Q11 V12:Y12 A24 A25:B25">
    <cfRule type="containsText" dxfId="70" priority="212" operator="containsText" text="FALSE">
      <formula>NOT(ISERROR(SEARCH("FALSE",A11)))</formula>
    </cfRule>
  </conditionalFormatting>
  <conditionalFormatting sqref="Q15 S15 U15">
    <cfRule type="containsText" dxfId="69" priority="149" operator="containsText" text="FALSE">
      <formula>NOT(ISERROR(SEARCH("FALSE",Q15)))</formula>
    </cfRule>
  </conditionalFormatting>
  <conditionalFormatting sqref="Q25">
    <cfRule type="containsText" dxfId="68" priority="214" operator="containsText" text="FALSE">
      <formula>NOT(ISERROR(SEARCH("FALSE",Q25)))</formula>
    </cfRule>
  </conditionalFormatting>
  <conditionalFormatting sqref="Q13:V13">
    <cfRule type="containsText" dxfId="67" priority="5" operator="containsText" text="FALSE">
      <formula>NOT(ISERROR(SEARCH("FALSE",Q13)))</formula>
    </cfRule>
  </conditionalFormatting>
  <conditionalFormatting sqref="R28:R31">
    <cfRule type="containsText" dxfId="66" priority="10" operator="containsText" text="FALSE">
      <formula>NOT(ISERROR(SEARCH("FALSE",R28)))</formula>
    </cfRule>
  </conditionalFormatting>
  <conditionalFormatting sqref="R44:R47">
    <cfRule type="containsText" dxfId="65" priority="26" operator="containsText" text="FALSE">
      <formula>NOT(ISERROR(SEARCH("FALSE",R44)))</formula>
    </cfRule>
  </conditionalFormatting>
  <conditionalFormatting sqref="S5:S11">
    <cfRule type="containsText" dxfId="64" priority="64" operator="containsText" text="FALSE">
      <formula>NOT(ISERROR(SEARCH("FALSE",S5)))</formula>
    </cfRule>
  </conditionalFormatting>
  <conditionalFormatting sqref="S44:T45">
    <cfRule type="containsText" dxfId="63" priority="24" operator="containsText" text="FALSE">
      <formula>NOT(ISERROR(SEARCH("FALSE",S44)))</formula>
    </cfRule>
  </conditionalFormatting>
  <conditionalFormatting sqref="T28:T31">
    <cfRule type="containsText" dxfId="62" priority="27" operator="containsText" text="FALSE">
      <formula>NOT(ISERROR(SEARCH("FALSE",T28)))</formula>
    </cfRule>
  </conditionalFormatting>
  <conditionalFormatting sqref="T4:Y11">
    <cfRule type="containsText" dxfId="61" priority="20" operator="containsText" text="FALSE">
      <formula>NOT(ISERROR(SEARCH("FALSE",T4)))</formula>
    </cfRule>
  </conditionalFormatting>
  <conditionalFormatting sqref="U28:Y29">
    <cfRule type="containsText" dxfId="60" priority="50" operator="containsText" text="FALSE">
      <formula>NOT(ISERROR(SEARCH("FALSE",U28)))</formula>
    </cfRule>
  </conditionalFormatting>
  <conditionalFormatting sqref="W15">
    <cfRule type="containsText" dxfId="59" priority="148" operator="containsText" text="FALSE">
      <formula>NOT(ISERROR(SEARCH("FALSE",W15)))</formula>
    </cfRule>
  </conditionalFormatting>
  <conditionalFormatting sqref="W13:Y14">
    <cfRule type="containsText" dxfId="58" priority="32" operator="containsText" text="FALSE">
      <formula>NOT(ISERROR(SEARCH("FALSE",W13)))</formula>
    </cfRule>
  </conditionalFormatting>
  <conditionalFormatting sqref="Y15">
    <cfRule type="containsText" dxfId="57" priority="210" operator="containsText" text="FALSE">
      <formula>NOT(ISERROR(SEARCH("FALSE",Y15)))</formula>
    </cfRule>
  </conditionalFormatting>
  <printOptions horizontalCentered="1" verticalCentered="1"/>
  <pageMargins left="0" right="0" top="0" bottom="0" header="0" footer="0"/>
  <pageSetup paperSize="9" scale="27" orientation="landscape" horizontalDpi="1200" verticalDpi="1200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41"/>
  <sheetViews>
    <sheetView tabSelected="1" view="pageBreakPreview" topLeftCell="A55" zoomScaleNormal="80" zoomScaleSheetLayoutView="100" workbookViewId="0">
      <selection activeCell="J12" sqref="J12"/>
    </sheetView>
  </sheetViews>
  <sheetFormatPr defaultColWidth="9.1796875" defaultRowHeight="13"/>
  <cols>
    <col min="1" max="1" width="6" style="276" customWidth="1"/>
    <col min="2" max="2" width="8.7265625" style="276" customWidth="1"/>
    <col min="3" max="3" width="9.90625" style="304" customWidth="1"/>
    <col min="4" max="4" width="17.6328125" style="305" customWidth="1"/>
    <col min="5" max="5" width="9.08984375" style="306" customWidth="1"/>
    <col min="6" max="6" width="9.90625" style="276" customWidth="1"/>
    <col min="7" max="7" width="11.81640625" style="276" customWidth="1"/>
    <col min="8" max="8" width="7.453125" style="276" customWidth="1"/>
    <col min="9" max="9" width="9.6328125" style="303" bestFit="1" customWidth="1"/>
    <col min="10" max="10" width="9.36328125" style="304" bestFit="1" customWidth="1"/>
    <col min="11" max="11" width="7.54296875" style="276" bestFit="1" customWidth="1"/>
    <col min="12" max="12" width="7.7265625" style="276" bestFit="1" customWidth="1"/>
    <col min="13" max="13" width="9.1796875" style="276" bestFit="1" customWidth="1"/>
    <col min="14" max="14" width="9.36328125" style="262" bestFit="1" customWidth="1"/>
    <col min="15" max="15" width="18.7265625" style="304" customWidth="1"/>
    <col min="16" max="16" width="7.453125" style="262" customWidth="1"/>
    <col min="17" max="17" width="6.7265625" style="303" customWidth="1"/>
    <col min="18" max="18" width="9.7265625" style="529" customWidth="1"/>
    <col min="19" max="19" width="12.26953125" style="262" bestFit="1" customWidth="1"/>
    <col min="20" max="20" width="11.6328125" style="262" bestFit="1" customWidth="1"/>
    <col min="21" max="21" width="14" style="276" customWidth="1"/>
    <col min="22" max="16384" width="9.1796875" style="276"/>
  </cols>
  <sheetData>
    <row r="1" spans="1:20" ht="14.5" customHeight="1">
      <c r="A1" s="770" t="s">
        <v>350</v>
      </c>
      <c r="B1" s="770"/>
      <c r="C1" s="770"/>
      <c r="D1" s="770"/>
      <c r="E1" s="767" t="s">
        <v>0</v>
      </c>
      <c r="F1" s="767"/>
      <c r="G1" s="767"/>
      <c r="H1" s="767"/>
      <c r="I1" s="347" t="s">
        <v>1</v>
      </c>
      <c r="J1" s="348">
        <v>46034</v>
      </c>
      <c r="K1" s="761" t="s">
        <v>2</v>
      </c>
      <c r="L1" s="761"/>
      <c r="M1" s="763">
        <v>44784</v>
      </c>
      <c r="N1" s="764"/>
      <c r="O1" s="765" t="s">
        <v>477</v>
      </c>
      <c r="P1" s="765"/>
      <c r="Q1" s="764" t="s">
        <v>364</v>
      </c>
      <c r="R1" s="764"/>
      <c r="S1" s="246"/>
      <c r="T1" s="246"/>
    </row>
    <row r="2" spans="1:20">
      <c r="A2" s="761" t="s">
        <v>3</v>
      </c>
      <c r="B2" s="761"/>
      <c r="C2" s="761"/>
      <c r="D2" s="761"/>
      <c r="E2" s="773" t="s">
        <v>383</v>
      </c>
      <c r="F2" s="774"/>
      <c r="G2" s="774"/>
      <c r="H2" s="775"/>
      <c r="I2" s="350"/>
      <c r="J2" s="350"/>
      <c r="K2" s="761"/>
      <c r="L2" s="761"/>
      <c r="M2" s="760"/>
      <c r="N2" s="760"/>
      <c r="O2" s="765" t="s">
        <v>538</v>
      </c>
      <c r="P2" s="765"/>
      <c r="Q2" s="764" t="s">
        <v>365</v>
      </c>
      <c r="R2" s="764"/>
      <c r="S2" s="246"/>
      <c r="T2" s="246"/>
    </row>
    <row r="3" spans="1:20">
      <c r="A3" s="761" t="s">
        <v>4</v>
      </c>
      <c r="B3" s="761"/>
      <c r="C3" s="761"/>
      <c r="D3" s="761"/>
      <c r="E3" s="762" t="s">
        <v>5</v>
      </c>
      <c r="F3" s="762"/>
      <c r="G3" s="762"/>
      <c r="H3" s="762"/>
      <c r="I3" s="351" t="s">
        <v>6</v>
      </c>
      <c r="J3" s="351" t="s">
        <v>626</v>
      </c>
      <c r="K3" s="761" t="s">
        <v>7</v>
      </c>
      <c r="L3" s="761"/>
      <c r="M3" s="763">
        <v>45240</v>
      </c>
      <c r="N3" s="764"/>
      <c r="O3" s="765" t="s">
        <v>366</v>
      </c>
      <c r="P3" s="765"/>
      <c r="Q3" s="764" t="s">
        <v>551</v>
      </c>
      <c r="R3" s="764"/>
      <c r="S3" s="246"/>
      <c r="T3" s="246"/>
    </row>
    <row r="4" spans="1:20" ht="13" customHeight="1">
      <c r="A4" s="761" t="s">
        <v>8</v>
      </c>
      <c r="B4" s="761"/>
      <c r="C4" s="761"/>
      <c r="D4" s="761"/>
      <c r="E4" s="772" t="s">
        <v>9</v>
      </c>
      <c r="F4" s="772"/>
      <c r="G4" s="772"/>
      <c r="H4" s="772"/>
      <c r="I4" s="352">
        <f>2083623222/10000000</f>
        <v>208.36232219999999</v>
      </c>
      <c r="J4" s="352">
        <f>2425046924/10000000</f>
        <v>242.50469240000001</v>
      </c>
      <c r="K4" s="761"/>
      <c r="L4" s="761"/>
      <c r="M4" s="767"/>
      <c r="N4" s="767"/>
      <c r="O4" s="765" t="s">
        <v>12</v>
      </c>
      <c r="P4" s="765"/>
      <c r="Q4" s="767" t="s">
        <v>512</v>
      </c>
      <c r="R4" s="767"/>
      <c r="S4" s="246"/>
      <c r="T4" s="246"/>
    </row>
    <row r="5" spans="1:20" ht="26" customHeight="1">
      <c r="A5" s="761"/>
      <c r="B5" s="761"/>
      <c r="C5" s="761"/>
      <c r="D5" s="761"/>
      <c r="E5" s="772" t="s">
        <v>10</v>
      </c>
      <c r="F5" s="772"/>
      <c r="G5" s="772"/>
      <c r="H5" s="772"/>
      <c r="I5" s="352">
        <f>31806198/10000000</f>
        <v>3.1806198000000001</v>
      </c>
      <c r="J5" s="352">
        <f>42274925/10000000</f>
        <v>4.2274925000000003</v>
      </c>
      <c r="K5" s="761" t="s">
        <v>11</v>
      </c>
      <c r="L5" s="761"/>
      <c r="M5" s="777">
        <v>46112</v>
      </c>
      <c r="N5" s="767"/>
      <c r="O5" s="765" t="s">
        <v>335</v>
      </c>
      <c r="P5" s="765"/>
      <c r="Q5" s="767"/>
      <c r="R5" s="767"/>
      <c r="S5" s="246"/>
      <c r="T5" s="246"/>
    </row>
    <row r="6" spans="1:20">
      <c r="A6" s="761"/>
      <c r="B6" s="761"/>
      <c r="C6" s="761"/>
      <c r="D6" s="761"/>
      <c r="E6" s="772" t="s">
        <v>13</v>
      </c>
      <c r="F6" s="772"/>
      <c r="G6" s="772"/>
      <c r="H6" s="772"/>
      <c r="I6" s="352">
        <f>741209972/10000000</f>
        <v>74.120997200000005</v>
      </c>
      <c r="J6" s="352">
        <f>1247376651/10000000</f>
        <v>124.7376651</v>
      </c>
      <c r="K6" s="761"/>
      <c r="L6" s="761"/>
      <c r="M6" s="776"/>
      <c r="N6" s="776"/>
      <c r="O6" s="765" t="s">
        <v>17</v>
      </c>
      <c r="P6" s="765"/>
      <c r="Q6" s="767" t="s">
        <v>379</v>
      </c>
      <c r="R6" s="767"/>
      <c r="S6" s="246"/>
      <c r="T6" s="246"/>
    </row>
    <row r="7" spans="1:20">
      <c r="A7" s="761"/>
      <c r="B7" s="761"/>
      <c r="C7" s="761"/>
      <c r="D7" s="761"/>
      <c r="E7" s="772" t="s">
        <v>14</v>
      </c>
      <c r="F7" s="772"/>
      <c r="G7" s="772"/>
      <c r="H7" s="772"/>
      <c r="I7" s="352">
        <f>SUM(I4:I6)</f>
        <v>285.66393919999996</v>
      </c>
      <c r="J7" s="352">
        <f>SUM(J4:J6)</f>
        <v>371.46985000000001</v>
      </c>
      <c r="K7" s="761"/>
      <c r="L7" s="761"/>
      <c r="M7" s="767"/>
      <c r="N7" s="767"/>
      <c r="O7" s="765" t="s">
        <v>15</v>
      </c>
      <c r="P7" s="761"/>
      <c r="Q7" s="767" t="s">
        <v>16</v>
      </c>
      <c r="R7" s="767"/>
      <c r="S7" s="246"/>
      <c r="T7" s="246"/>
    </row>
    <row r="8" spans="1:20" s="346" customFormat="1" ht="14.5" customHeight="1">
      <c r="A8" s="766" t="s">
        <v>558</v>
      </c>
      <c r="B8" s="766"/>
      <c r="C8" s="766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766"/>
      <c r="O8" s="766"/>
      <c r="P8" s="766"/>
      <c r="Q8" s="766"/>
      <c r="R8" s="766"/>
      <c r="S8" s="345"/>
      <c r="T8" s="345"/>
    </row>
    <row r="9" spans="1:20" s="262" customFormat="1" ht="39">
      <c r="A9" s="765" t="s">
        <v>18</v>
      </c>
      <c r="B9" s="765"/>
      <c r="C9" s="349" t="s">
        <v>19</v>
      </c>
      <c r="D9" s="349" t="s">
        <v>20</v>
      </c>
      <c r="E9" s="354" t="s">
        <v>21</v>
      </c>
      <c r="F9" s="349" t="s">
        <v>621</v>
      </c>
      <c r="G9" s="349" t="s">
        <v>623</v>
      </c>
      <c r="H9" s="355" t="s">
        <v>22</v>
      </c>
      <c r="I9" s="349" t="s">
        <v>622</v>
      </c>
      <c r="J9" s="349" t="s">
        <v>624</v>
      </c>
      <c r="K9" s="349" t="s">
        <v>23</v>
      </c>
      <c r="L9" s="356" t="s">
        <v>625</v>
      </c>
      <c r="M9" s="349" t="s">
        <v>24</v>
      </c>
      <c r="N9" s="349" t="s">
        <v>25</v>
      </c>
      <c r="O9" s="349" t="s">
        <v>26</v>
      </c>
      <c r="P9" s="349" t="s">
        <v>27</v>
      </c>
      <c r="Q9" s="765" t="s">
        <v>28</v>
      </c>
      <c r="R9" s="765"/>
      <c r="S9" s="246"/>
      <c r="T9" s="246"/>
    </row>
    <row r="10" spans="1:20" ht="15" customHeight="1">
      <c r="A10" s="740" t="s">
        <v>29</v>
      </c>
      <c r="B10" s="740"/>
      <c r="C10" s="357"/>
      <c r="D10" s="358"/>
      <c r="E10" s="358"/>
      <c r="F10" s="358"/>
      <c r="G10" s="359"/>
      <c r="H10" s="360"/>
      <c r="I10" s="361"/>
      <c r="J10" s="361"/>
      <c r="K10" s="361"/>
      <c r="L10" s="361"/>
      <c r="M10" s="361"/>
      <c r="N10" s="361"/>
      <c r="O10" s="361"/>
      <c r="P10" s="361"/>
      <c r="Q10" s="744"/>
      <c r="R10" s="744"/>
      <c r="S10" s="246"/>
      <c r="T10" s="246"/>
    </row>
    <row r="11" spans="1:20" ht="15" customHeight="1">
      <c r="A11" s="771" t="s">
        <v>30</v>
      </c>
      <c r="B11" s="771"/>
      <c r="C11" s="362" t="s">
        <v>31</v>
      </c>
      <c r="D11" s="362">
        <v>8.5719999999999992</v>
      </c>
      <c r="E11" s="362">
        <f>D11</f>
        <v>8.5719999999999992</v>
      </c>
      <c r="F11" s="363">
        <v>0</v>
      </c>
      <c r="G11" s="364">
        <f>E11</f>
        <v>8.5719999999999992</v>
      </c>
      <c r="H11" s="362">
        <v>0</v>
      </c>
      <c r="I11" s="365">
        <v>0</v>
      </c>
      <c r="J11" s="365">
        <v>0</v>
      </c>
      <c r="K11" s="366">
        <v>0</v>
      </c>
      <c r="L11" s="366">
        <v>0</v>
      </c>
      <c r="M11" s="366">
        <v>0</v>
      </c>
      <c r="N11" s="366">
        <v>0</v>
      </c>
      <c r="O11" s="367">
        <f>L11+G11</f>
        <v>8.5719999999999992</v>
      </c>
      <c r="P11" s="362">
        <f>E11-O11</f>
        <v>0</v>
      </c>
      <c r="Q11" s="768"/>
      <c r="R11" s="768"/>
      <c r="S11" s="246"/>
      <c r="T11" s="246"/>
    </row>
    <row r="12" spans="1:20" ht="15" customHeight="1">
      <c r="A12" s="771" t="s">
        <v>32</v>
      </c>
      <c r="B12" s="771"/>
      <c r="C12" s="362" t="s">
        <v>31</v>
      </c>
      <c r="D12" s="362">
        <v>8.5719999999999992</v>
      </c>
      <c r="E12" s="362">
        <f>D12</f>
        <v>8.5719999999999992</v>
      </c>
      <c r="F12" s="363">
        <v>0</v>
      </c>
      <c r="G12" s="364">
        <f>E12</f>
        <v>8.5719999999999992</v>
      </c>
      <c r="H12" s="362">
        <v>0</v>
      </c>
      <c r="I12" s="365">
        <v>0</v>
      </c>
      <c r="J12" s="365">
        <v>0</v>
      </c>
      <c r="K12" s="366">
        <v>0</v>
      </c>
      <c r="L12" s="366">
        <v>0</v>
      </c>
      <c r="M12" s="366">
        <v>0</v>
      </c>
      <c r="N12" s="366">
        <v>0</v>
      </c>
      <c r="O12" s="367">
        <f t="shared" ref="O12:O17" si="0">L12+G12</f>
        <v>8.5719999999999992</v>
      </c>
      <c r="P12" s="362">
        <f>E12-O12</f>
        <v>0</v>
      </c>
      <c r="Q12" s="769"/>
      <c r="R12" s="769"/>
      <c r="S12" s="246"/>
      <c r="T12" s="246"/>
    </row>
    <row r="13" spans="1:20" ht="15" customHeight="1">
      <c r="A13" s="771" t="s">
        <v>33</v>
      </c>
      <c r="B13" s="771"/>
      <c r="C13" s="362" t="s">
        <v>31</v>
      </c>
      <c r="D13" s="362">
        <v>8.5719999999999992</v>
      </c>
      <c r="E13" s="362">
        <f>D13</f>
        <v>8.5719999999999992</v>
      </c>
      <c r="F13" s="363">
        <v>0</v>
      </c>
      <c r="G13" s="364">
        <f>E13</f>
        <v>8.5719999999999992</v>
      </c>
      <c r="H13" s="362">
        <v>0</v>
      </c>
      <c r="I13" s="365">
        <v>0</v>
      </c>
      <c r="J13" s="365">
        <v>0</v>
      </c>
      <c r="K13" s="366">
        <v>0</v>
      </c>
      <c r="L13" s="366">
        <v>0</v>
      </c>
      <c r="M13" s="366">
        <v>0</v>
      </c>
      <c r="N13" s="366">
        <v>0</v>
      </c>
      <c r="O13" s="367">
        <f t="shared" si="0"/>
        <v>8.5719999999999992</v>
      </c>
      <c r="P13" s="362">
        <f>E13-O13</f>
        <v>0</v>
      </c>
      <c r="Q13" s="769"/>
      <c r="R13" s="769"/>
      <c r="S13" s="246"/>
      <c r="T13" s="246"/>
    </row>
    <row r="14" spans="1:20">
      <c r="A14" s="740" t="s">
        <v>34</v>
      </c>
      <c r="B14" s="740"/>
      <c r="C14" s="353" t="s">
        <v>35</v>
      </c>
      <c r="D14" s="353">
        <v>37</v>
      </c>
      <c r="E14" s="353">
        <v>37</v>
      </c>
      <c r="F14" s="368">
        <v>0</v>
      </c>
      <c r="G14" s="369">
        <v>23</v>
      </c>
      <c r="H14" s="353">
        <f t="shared" ref="H14:H19" si="1">E14-G14</f>
        <v>14</v>
      </c>
      <c r="I14" s="370">
        <v>0</v>
      </c>
      <c r="J14" s="371">
        <v>5</v>
      </c>
      <c r="K14" s="353"/>
      <c r="L14" s="353">
        <v>2</v>
      </c>
      <c r="M14" s="353">
        <v>3</v>
      </c>
      <c r="N14" s="353">
        <v>3</v>
      </c>
      <c r="O14" s="368">
        <f>L14+G14</f>
        <v>25</v>
      </c>
      <c r="P14" s="353">
        <f t="shared" ref="P14:P17" si="2">E14-O14</f>
        <v>12</v>
      </c>
      <c r="Q14" s="744"/>
      <c r="R14" s="744"/>
      <c r="S14" s="744"/>
      <c r="T14" s="744"/>
    </row>
    <row r="15" spans="1:20" s="270" customFormat="1" ht="21.5" customHeight="1">
      <c r="A15" s="754" t="s">
        <v>545</v>
      </c>
      <c r="B15" s="754"/>
      <c r="C15" s="347" t="s">
        <v>35</v>
      </c>
      <c r="D15" s="362">
        <v>7</v>
      </c>
      <c r="E15" s="362">
        <v>7</v>
      </c>
      <c r="F15" s="363">
        <v>0</v>
      </c>
      <c r="G15" s="372">
        <v>2</v>
      </c>
      <c r="H15" s="362">
        <f t="shared" si="1"/>
        <v>5</v>
      </c>
      <c r="I15" s="373">
        <v>0</v>
      </c>
      <c r="J15" s="362"/>
      <c r="K15" s="374">
        <v>0</v>
      </c>
      <c r="L15" s="347"/>
      <c r="M15" s="362"/>
      <c r="N15" s="362"/>
      <c r="O15" s="362">
        <f t="shared" si="0"/>
        <v>2</v>
      </c>
      <c r="P15" s="362">
        <f t="shared" si="2"/>
        <v>5</v>
      </c>
      <c r="Q15" s="757"/>
      <c r="R15" s="757"/>
      <c r="S15" s="375"/>
      <c r="T15" s="375"/>
    </row>
    <row r="16" spans="1:20" s="270" customFormat="1" ht="21.5" customHeight="1">
      <c r="A16" s="754" t="s">
        <v>334</v>
      </c>
      <c r="B16" s="754"/>
      <c r="C16" s="347" t="s">
        <v>35</v>
      </c>
      <c r="D16" s="362">
        <v>30</v>
      </c>
      <c r="E16" s="362">
        <v>30</v>
      </c>
      <c r="F16" s="363">
        <v>0</v>
      </c>
      <c r="G16" s="372">
        <v>8</v>
      </c>
      <c r="H16" s="362">
        <f t="shared" si="1"/>
        <v>22</v>
      </c>
      <c r="I16" s="373">
        <v>0</v>
      </c>
      <c r="J16" s="362">
        <v>5</v>
      </c>
      <c r="K16" s="374">
        <v>0</v>
      </c>
      <c r="L16" s="366"/>
      <c r="M16" s="362"/>
      <c r="N16" s="362"/>
      <c r="O16" s="362">
        <f t="shared" si="0"/>
        <v>8</v>
      </c>
      <c r="P16" s="362">
        <f t="shared" si="2"/>
        <v>22</v>
      </c>
      <c r="Q16" s="757"/>
      <c r="R16" s="757"/>
      <c r="S16" s="375"/>
      <c r="T16" s="375"/>
    </row>
    <row r="17" spans="1:26">
      <c r="A17" s="740" t="s">
        <v>36</v>
      </c>
      <c r="B17" s="740"/>
      <c r="C17" s="353" t="s">
        <v>35</v>
      </c>
      <c r="D17" s="353">
        <v>37</v>
      </c>
      <c r="E17" s="353">
        <v>37</v>
      </c>
      <c r="F17" s="368">
        <v>0</v>
      </c>
      <c r="G17" s="369">
        <v>0</v>
      </c>
      <c r="H17" s="353">
        <f t="shared" si="1"/>
        <v>37</v>
      </c>
      <c r="I17" s="370">
        <v>0</v>
      </c>
      <c r="J17" s="371">
        <v>6</v>
      </c>
      <c r="K17" s="376"/>
      <c r="L17" s="370">
        <v>0</v>
      </c>
      <c r="M17" s="353"/>
      <c r="N17" s="353"/>
      <c r="O17" s="353">
        <f t="shared" si="0"/>
        <v>0</v>
      </c>
      <c r="P17" s="353">
        <f t="shared" si="2"/>
        <v>37</v>
      </c>
      <c r="Q17" s="744"/>
      <c r="R17" s="744"/>
      <c r="S17" s="743"/>
      <c r="T17" s="743"/>
    </row>
    <row r="18" spans="1:26" s="270" customFormat="1" ht="15" hidden="1" customHeight="1">
      <c r="A18" s="741" t="s">
        <v>37</v>
      </c>
      <c r="B18" s="741"/>
      <c r="C18" s="275" t="s">
        <v>35</v>
      </c>
      <c r="D18" s="278">
        <v>134</v>
      </c>
      <c r="E18" s="277">
        <v>8.8219999999999992</v>
      </c>
      <c r="F18" s="278">
        <v>134</v>
      </c>
      <c r="G18" s="279">
        <f>35+17</f>
        <v>52</v>
      </c>
      <c r="H18" s="277">
        <f t="shared" si="1"/>
        <v>-43.177999999999997</v>
      </c>
      <c r="I18" s="280">
        <v>0</v>
      </c>
      <c r="J18" s="280">
        <v>0</v>
      </c>
      <c r="K18" s="280">
        <v>0</v>
      </c>
      <c r="L18" s="275"/>
      <c r="M18" s="278">
        <v>1</v>
      </c>
      <c r="N18" s="278">
        <v>1</v>
      </c>
      <c r="O18" s="278">
        <f>L18+G18</f>
        <v>52</v>
      </c>
      <c r="P18" s="277">
        <f>D18-O18</f>
        <v>82</v>
      </c>
      <c r="Q18" s="785"/>
      <c r="R18" s="785"/>
      <c r="S18" s="256"/>
      <c r="T18" s="256"/>
    </row>
    <row r="19" spans="1:26">
      <c r="A19" s="740" t="s">
        <v>38</v>
      </c>
      <c r="B19" s="740"/>
      <c r="C19" s="353" t="s">
        <v>31</v>
      </c>
      <c r="D19" s="353">
        <f>D13</f>
        <v>8.5719999999999992</v>
      </c>
      <c r="E19" s="377">
        <f>E13</f>
        <v>8.5719999999999992</v>
      </c>
      <c r="F19" s="368">
        <v>0</v>
      </c>
      <c r="G19" s="369">
        <v>0</v>
      </c>
      <c r="H19" s="353">
        <f t="shared" si="1"/>
        <v>8.5719999999999992</v>
      </c>
      <c r="I19" s="370">
        <v>0</v>
      </c>
      <c r="J19" s="370">
        <v>0</v>
      </c>
      <c r="K19" s="378"/>
      <c r="L19" s="370">
        <v>0</v>
      </c>
      <c r="M19" s="377"/>
      <c r="N19" s="353"/>
      <c r="O19" s="368">
        <f>L19+G19</f>
        <v>0</v>
      </c>
      <c r="P19" s="353">
        <f>E19-O19</f>
        <v>8.5719999999999992</v>
      </c>
      <c r="Q19" s="755"/>
      <c r="R19" s="755"/>
      <c r="S19" s="739"/>
      <c r="T19" s="739"/>
    </row>
    <row r="20" spans="1:26" ht="11.5" hidden="1">
      <c r="A20" s="758" t="s">
        <v>39</v>
      </c>
      <c r="B20" s="759"/>
      <c r="C20" s="278" t="s">
        <v>31</v>
      </c>
      <c r="D20" s="278">
        <v>52.39</v>
      </c>
      <c r="E20" s="278">
        <v>52.875999999999998</v>
      </c>
      <c r="F20" s="275">
        <v>52.39</v>
      </c>
      <c r="G20" s="281">
        <v>15.15814</v>
      </c>
      <c r="H20" s="282">
        <f>F20-G20</f>
        <v>37.231859999999998</v>
      </c>
      <c r="I20" s="278"/>
      <c r="J20" s="278"/>
      <c r="K20" s="278"/>
      <c r="L20" s="278"/>
      <c r="M20" s="278"/>
      <c r="N20" s="278"/>
      <c r="O20" s="278">
        <f t="shared" ref="O20:O22" si="3">L20+G20</f>
        <v>15.15814</v>
      </c>
      <c r="P20" s="278">
        <v>50.853000000000002</v>
      </c>
      <c r="Q20" s="756"/>
      <c r="R20" s="756"/>
    </row>
    <row r="21" spans="1:26" ht="11.5" hidden="1">
      <c r="A21" s="758" t="s">
        <v>40</v>
      </c>
      <c r="B21" s="759"/>
      <c r="C21" s="278" t="s">
        <v>31</v>
      </c>
      <c r="D21" s="278">
        <v>52.39</v>
      </c>
      <c r="E21" s="278">
        <v>52.875999999999998</v>
      </c>
      <c r="F21" s="275">
        <v>52.39</v>
      </c>
      <c r="G21" s="281">
        <v>15.15814</v>
      </c>
      <c r="H21" s="283">
        <f>E21-G21</f>
        <v>37.717860000000002</v>
      </c>
      <c r="I21" s="278"/>
      <c r="J21" s="278"/>
      <c r="K21" s="278"/>
      <c r="L21" s="278"/>
      <c r="M21" s="278"/>
      <c r="N21" s="278"/>
      <c r="O21" s="278">
        <f t="shared" si="3"/>
        <v>15.15814</v>
      </c>
      <c r="P21" s="278">
        <v>50.853000000000002</v>
      </c>
      <c r="Q21" s="756"/>
      <c r="R21" s="756"/>
    </row>
    <row r="22" spans="1:26">
      <c r="A22" s="740" t="s">
        <v>41</v>
      </c>
      <c r="B22" s="740"/>
      <c r="C22" s="353" t="s">
        <v>31</v>
      </c>
      <c r="D22" s="353">
        <v>8.5719999999999992</v>
      </c>
      <c r="E22" s="377">
        <v>8.5719999999999992</v>
      </c>
      <c r="F22" s="368">
        <v>0</v>
      </c>
      <c r="G22" s="369">
        <v>0</v>
      </c>
      <c r="H22" s="353">
        <f>E22-G22</f>
        <v>8.5719999999999992</v>
      </c>
      <c r="I22" s="370"/>
      <c r="J22" s="370"/>
      <c r="K22" s="378"/>
      <c r="L22" s="370"/>
      <c r="M22" s="377"/>
      <c r="N22" s="353"/>
      <c r="O22" s="368">
        <f t="shared" si="3"/>
        <v>0</v>
      </c>
      <c r="P22" s="353">
        <f>E22-L22</f>
        <v>8.5719999999999992</v>
      </c>
      <c r="Q22" s="755"/>
      <c r="R22" s="755"/>
      <c r="S22" s="739"/>
      <c r="T22" s="739"/>
    </row>
    <row r="23" spans="1:26">
      <c r="A23" s="753" t="s">
        <v>34</v>
      </c>
      <c r="B23" s="753"/>
      <c r="C23" s="753"/>
      <c r="D23" s="753"/>
      <c r="E23" s="753"/>
      <c r="F23" s="753"/>
      <c r="G23" s="753"/>
      <c r="H23" s="753"/>
      <c r="I23" s="753"/>
      <c r="J23" s="753"/>
      <c r="K23" s="753"/>
      <c r="L23" s="753"/>
      <c r="M23" s="753"/>
      <c r="N23" s="753"/>
      <c r="O23" s="753"/>
      <c r="P23" s="753"/>
      <c r="Q23" s="753"/>
      <c r="R23" s="753"/>
      <c r="S23" s="752" t="s">
        <v>419</v>
      </c>
      <c r="T23" s="752" t="s">
        <v>420</v>
      </c>
      <c r="U23" s="742" t="s">
        <v>562</v>
      </c>
    </row>
    <row r="24" spans="1:26" s="262" customFormat="1" ht="25" customHeight="1">
      <c r="A24" s="380" t="s">
        <v>43</v>
      </c>
      <c r="B24" s="380" t="s">
        <v>44</v>
      </c>
      <c r="C24" s="380" t="s">
        <v>336</v>
      </c>
      <c r="D24" s="380" t="s">
        <v>531</v>
      </c>
      <c r="E24" s="380" t="s">
        <v>557</v>
      </c>
      <c r="F24" s="380" t="s">
        <v>418</v>
      </c>
      <c r="G24" s="380" t="s">
        <v>45</v>
      </c>
      <c r="H24" s="380" t="s">
        <v>351</v>
      </c>
      <c r="I24" s="380" t="s">
        <v>352</v>
      </c>
      <c r="J24" s="780" t="s">
        <v>46</v>
      </c>
      <c r="K24" s="781"/>
      <c r="L24" s="781"/>
      <c r="M24" s="782"/>
      <c r="N24" s="380" t="s">
        <v>47</v>
      </c>
      <c r="O24" s="379" t="s">
        <v>48</v>
      </c>
      <c r="P24" s="380" t="s">
        <v>368</v>
      </c>
      <c r="Q24" s="380" t="s">
        <v>363</v>
      </c>
      <c r="R24" s="381" t="s">
        <v>28</v>
      </c>
      <c r="S24" s="752"/>
      <c r="T24" s="752"/>
      <c r="U24" s="742"/>
    </row>
    <row r="25" spans="1:26" s="266" customFormat="1">
      <c r="A25" s="257">
        <v>1</v>
      </c>
      <c r="B25" s="507" t="s">
        <v>384</v>
      </c>
      <c r="C25" s="506" t="s">
        <v>385</v>
      </c>
      <c r="D25" s="692" t="s">
        <v>533</v>
      </c>
      <c r="E25" s="257" t="s">
        <v>75</v>
      </c>
      <c r="F25" s="458">
        <v>45946</v>
      </c>
      <c r="G25" s="458">
        <v>45976</v>
      </c>
      <c r="H25" s="457">
        <v>125.96</v>
      </c>
      <c r="I25" s="466">
        <v>8.5299999999999994</v>
      </c>
      <c r="J25" s="783" t="s">
        <v>417</v>
      </c>
      <c r="K25" s="779"/>
      <c r="L25" s="779"/>
      <c r="M25" s="779"/>
      <c r="N25" s="458">
        <v>45984</v>
      </c>
      <c r="O25" s="467" t="s">
        <v>546</v>
      </c>
      <c r="Q25" s="257"/>
      <c r="R25" s="508"/>
      <c r="S25" s="459"/>
      <c r="T25" s="459"/>
      <c r="U25" s="258"/>
      <c r="V25" s="258"/>
      <c r="W25" s="258"/>
      <c r="X25" s="258"/>
      <c r="Y25" s="258"/>
      <c r="Z25" s="258"/>
    </row>
    <row r="26" spans="1:26" s="266" customFormat="1" ht="13.5" customHeight="1">
      <c r="A26" s="257">
        <f>A25+1</f>
        <v>2</v>
      </c>
      <c r="B26" s="507" t="s">
        <v>271</v>
      </c>
      <c r="C26" s="506" t="s">
        <v>386</v>
      </c>
      <c r="D26" s="257" t="s">
        <v>532</v>
      </c>
      <c r="E26" s="257" t="s">
        <v>63</v>
      </c>
      <c r="F26" s="458">
        <v>45780</v>
      </c>
      <c r="G26" s="458">
        <v>45782</v>
      </c>
      <c r="H26" s="457">
        <v>63.39</v>
      </c>
      <c r="I26" s="466">
        <v>5.55</v>
      </c>
      <c r="J26" s="783" t="s">
        <v>417</v>
      </c>
      <c r="K26" s="779"/>
      <c r="L26" s="779"/>
      <c r="M26" s="779"/>
      <c r="N26" s="458">
        <v>45815</v>
      </c>
      <c r="O26" s="467" t="s">
        <v>546</v>
      </c>
      <c r="Q26" s="257"/>
      <c r="R26" s="508"/>
      <c r="S26" s="459">
        <v>435.35</v>
      </c>
      <c r="T26" s="459">
        <v>3.613</v>
      </c>
      <c r="U26" s="258" t="s">
        <v>563</v>
      </c>
      <c r="V26" s="258"/>
      <c r="W26" s="258"/>
      <c r="X26" s="258"/>
      <c r="Y26" s="258"/>
      <c r="Z26" s="258"/>
    </row>
    <row r="27" spans="1:26" s="266" customFormat="1" ht="22.5" customHeight="1">
      <c r="A27" s="506">
        <f t="shared" ref="A27:A61" si="4">A26+1</f>
        <v>3</v>
      </c>
      <c r="B27" s="507" t="s">
        <v>272</v>
      </c>
      <c r="C27" s="506" t="s">
        <v>387</v>
      </c>
      <c r="D27" s="467" t="s">
        <v>554</v>
      </c>
      <c r="E27" s="467"/>
      <c r="F27" s="264"/>
      <c r="G27" s="264">
        <v>45923</v>
      </c>
      <c r="H27" s="465">
        <v>148</v>
      </c>
      <c r="I27" s="459">
        <v>0</v>
      </c>
      <c r="J27" s="783" t="s">
        <v>417</v>
      </c>
      <c r="K27" s="779"/>
      <c r="L27" s="779"/>
      <c r="M27" s="779"/>
      <c r="N27" s="264">
        <v>45970</v>
      </c>
      <c r="O27" s="467" t="s">
        <v>603</v>
      </c>
      <c r="Q27" s="265"/>
      <c r="R27" s="508"/>
      <c r="S27" s="459"/>
      <c r="T27" s="459"/>
    </row>
    <row r="28" spans="1:26" s="511" customFormat="1" ht="22.5" customHeight="1">
      <c r="A28" s="656">
        <f t="shared" si="4"/>
        <v>4</v>
      </c>
      <c r="B28" s="657" t="s">
        <v>273</v>
      </c>
      <c r="C28" s="656" t="s">
        <v>388</v>
      </c>
      <c r="D28" s="658" t="s">
        <v>555</v>
      </c>
      <c r="E28" s="658"/>
      <c r="F28" s="659"/>
      <c r="G28" s="659"/>
      <c r="H28" s="660"/>
      <c r="I28" s="661"/>
      <c r="J28" s="784" t="s">
        <v>619</v>
      </c>
      <c r="K28" s="784"/>
      <c r="L28" s="784"/>
      <c r="M28" s="784"/>
      <c r="N28" s="659"/>
      <c r="O28" s="668" t="s">
        <v>603</v>
      </c>
      <c r="P28" s="662"/>
      <c r="Q28" s="662"/>
      <c r="R28" s="662" t="s">
        <v>571</v>
      </c>
      <c r="S28" s="510"/>
      <c r="T28" s="510"/>
    </row>
    <row r="29" spans="1:26" s="266" customFormat="1" ht="13" customHeight="1">
      <c r="A29" s="257">
        <f t="shared" si="4"/>
        <v>5</v>
      </c>
      <c r="B29" s="459" t="s">
        <v>82</v>
      </c>
      <c r="C29" s="257" t="s">
        <v>386</v>
      </c>
      <c r="D29" s="257" t="s">
        <v>532</v>
      </c>
      <c r="E29" s="257" t="s">
        <v>70</v>
      </c>
      <c r="F29" s="264">
        <v>45804</v>
      </c>
      <c r="G29" s="264">
        <f>F29</f>
        <v>45804</v>
      </c>
      <c r="H29" s="457">
        <v>62.68</v>
      </c>
      <c r="I29" s="465">
        <v>5.45</v>
      </c>
      <c r="J29" s="783" t="s">
        <v>417</v>
      </c>
      <c r="K29" s="779"/>
      <c r="L29" s="779"/>
      <c r="M29" s="779"/>
      <c r="N29" s="264">
        <v>45810</v>
      </c>
      <c r="O29" s="467" t="s">
        <v>546</v>
      </c>
      <c r="P29" s="257"/>
      <c r="Q29" s="257"/>
      <c r="R29" s="508"/>
      <c r="S29" s="459">
        <v>321.77999999999997</v>
      </c>
      <c r="T29" s="459">
        <v>3.556</v>
      </c>
      <c r="U29" s="266" t="s">
        <v>563</v>
      </c>
      <c r="V29" s="258"/>
      <c r="W29" s="258"/>
      <c r="X29" s="258"/>
      <c r="Y29" s="258"/>
      <c r="Z29" s="258"/>
    </row>
    <row r="30" spans="1:26" s="266" customFormat="1" ht="13" customHeight="1">
      <c r="A30" s="257">
        <f t="shared" si="4"/>
        <v>6</v>
      </c>
      <c r="B30" s="459" t="s">
        <v>274</v>
      </c>
      <c r="C30" s="257" t="s">
        <v>386</v>
      </c>
      <c r="D30" s="257" t="s">
        <v>532</v>
      </c>
      <c r="E30" s="257" t="s">
        <v>70</v>
      </c>
      <c r="F30" s="264">
        <v>45811</v>
      </c>
      <c r="G30" s="264">
        <v>45817</v>
      </c>
      <c r="H30" s="457">
        <v>62.68</v>
      </c>
      <c r="I30" s="465">
        <v>5.45</v>
      </c>
      <c r="J30" s="783" t="s">
        <v>417</v>
      </c>
      <c r="K30" s="779"/>
      <c r="L30" s="779"/>
      <c r="M30" s="779"/>
      <c r="N30" s="264">
        <v>45822</v>
      </c>
      <c r="O30" s="467" t="s">
        <v>546</v>
      </c>
      <c r="P30" s="257"/>
      <c r="Q30" s="257"/>
      <c r="R30" s="508"/>
      <c r="S30" s="459">
        <v>321.77999999999997</v>
      </c>
      <c r="T30" s="459">
        <v>3.556</v>
      </c>
      <c r="U30" s="266" t="s">
        <v>563</v>
      </c>
    </row>
    <row r="31" spans="1:26" s="266" customFormat="1" ht="13" customHeight="1" thickBot="1">
      <c r="A31" s="257">
        <f t="shared" si="4"/>
        <v>7</v>
      </c>
      <c r="B31" s="459" t="s">
        <v>68</v>
      </c>
      <c r="C31" s="257" t="s">
        <v>389</v>
      </c>
      <c r="D31" s="257" t="s">
        <v>532</v>
      </c>
      <c r="E31" s="257" t="s">
        <v>75</v>
      </c>
      <c r="F31" s="264">
        <v>45874</v>
      </c>
      <c r="G31" s="264">
        <v>45877</v>
      </c>
      <c r="H31" s="459">
        <v>46.37</v>
      </c>
      <c r="I31" s="459">
        <v>5.26</v>
      </c>
      <c r="J31" s="778" t="s">
        <v>417</v>
      </c>
      <c r="K31" s="779"/>
      <c r="L31" s="779"/>
      <c r="M31" s="779"/>
      <c r="N31" s="264">
        <v>45903</v>
      </c>
      <c r="O31" s="467" t="s">
        <v>546</v>
      </c>
      <c r="P31" s="265"/>
      <c r="Q31" s="265"/>
      <c r="R31" s="508"/>
      <c r="S31" s="459">
        <v>317.14</v>
      </c>
      <c r="T31" s="468">
        <v>2.8540000000000001</v>
      </c>
    </row>
    <row r="32" spans="1:26" s="266" customFormat="1" ht="13" customHeight="1">
      <c r="A32" s="257">
        <f t="shared" si="4"/>
        <v>8</v>
      </c>
      <c r="B32" s="459" t="s">
        <v>277</v>
      </c>
      <c r="C32" s="257" t="s">
        <v>386</v>
      </c>
      <c r="D32" s="257" t="s">
        <v>532</v>
      </c>
      <c r="E32" s="257" t="s">
        <v>70</v>
      </c>
      <c r="F32" s="264">
        <v>45873</v>
      </c>
      <c r="G32" s="264">
        <v>45873</v>
      </c>
      <c r="H32" s="457">
        <v>62.68</v>
      </c>
      <c r="I32" s="465">
        <v>5.45</v>
      </c>
      <c r="J32" s="778" t="s">
        <v>417</v>
      </c>
      <c r="K32" s="779"/>
      <c r="L32" s="779"/>
      <c r="M32" s="779"/>
      <c r="N32" s="264">
        <v>45883</v>
      </c>
      <c r="O32" s="467" t="s">
        <v>546</v>
      </c>
      <c r="P32" s="257"/>
      <c r="Q32" s="257"/>
      <c r="R32" s="508"/>
      <c r="S32" s="459">
        <v>321.77999999999997</v>
      </c>
      <c r="T32" s="459">
        <v>3.556</v>
      </c>
      <c r="U32" s="266" t="s">
        <v>563</v>
      </c>
    </row>
    <row r="33" spans="1:26" s="266" customFormat="1" ht="13" customHeight="1">
      <c r="A33" s="257">
        <f t="shared" si="4"/>
        <v>9</v>
      </c>
      <c r="B33" s="459" t="s">
        <v>390</v>
      </c>
      <c r="C33" s="257" t="s">
        <v>391</v>
      </c>
      <c r="D33" s="257" t="s">
        <v>535</v>
      </c>
      <c r="E33" s="257" t="s">
        <v>75</v>
      </c>
      <c r="F33" s="264">
        <v>45864</v>
      </c>
      <c r="G33" s="264">
        <v>45868</v>
      </c>
      <c r="H33" s="457">
        <v>47.11</v>
      </c>
      <c r="I33" s="457">
        <v>4.2699999999999996</v>
      </c>
      <c r="J33" s="779" t="s">
        <v>417</v>
      </c>
      <c r="K33" s="779"/>
      <c r="L33" s="779"/>
      <c r="M33" s="779"/>
      <c r="N33" s="458">
        <v>45890</v>
      </c>
      <c r="O33" s="467" t="s">
        <v>546</v>
      </c>
      <c r="P33" s="265"/>
      <c r="Q33" s="265"/>
      <c r="R33" s="508"/>
      <c r="S33" s="459">
        <v>252.83</v>
      </c>
      <c r="T33" s="459">
        <v>3.6070000000000002</v>
      </c>
      <c r="U33" s="266" t="s">
        <v>563</v>
      </c>
      <c r="V33" s="258"/>
      <c r="W33" s="258"/>
      <c r="X33" s="258"/>
      <c r="Y33" s="258"/>
      <c r="Z33" s="258"/>
    </row>
    <row r="34" spans="1:26" s="266" customFormat="1" ht="13" customHeight="1">
      <c r="A34" s="257">
        <f t="shared" si="4"/>
        <v>10</v>
      </c>
      <c r="B34" s="459" t="s">
        <v>392</v>
      </c>
      <c r="C34" s="257" t="s">
        <v>391</v>
      </c>
      <c r="D34" s="257" t="s">
        <v>535</v>
      </c>
      <c r="E34" s="257" t="s">
        <v>75</v>
      </c>
      <c r="F34" s="264">
        <v>45874</v>
      </c>
      <c r="G34" s="264">
        <v>45890</v>
      </c>
      <c r="H34" s="457">
        <v>47.11</v>
      </c>
      <c r="I34" s="457">
        <v>4.2699999999999996</v>
      </c>
      <c r="J34" s="779" t="s">
        <v>417</v>
      </c>
      <c r="K34" s="779"/>
      <c r="L34" s="779"/>
      <c r="M34" s="779"/>
      <c r="N34" s="458">
        <v>45898</v>
      </c>
      <c r="O34" s="467" t="s">
        <v>546</v>
      </c>
      <c r="P34" s="257"/>
      <c r="Q34" s="257"/>
      <c r="R34" s="508"/>
      <c r="S34" s="459"/>
      <c r="T34" s="459"/>
      <c r="U34" s="258"/>
      <c r="V34" s="258"/>
      <c r="W34" s="258"/>
      <c r="X34" s="258"/>
      <c r="Y34" s="258"/>
      <c r="Z34" s="258"/>
    </row>
    <row r="35" spans="1:26" s="263" customFormat="1" ht="13" customHeight="1">
      <c r="A35" s="257">
        <f t="shared" si="4"/>
        <v>11</v>
      </c>
      <c r="B35" s="459" t="s">
        <v>393</v>
      </c>
      <c r="C35" s="257" t="s">
        <v>386</v>
      </c>
      <c r="D35" s="257" t="s">
        <v>532</v>
      </c>
      <c r="E35" s="459" t="s">
        <v>70</v>
      </c>
      <c r="F35" s="469">
        <v>45799</v>
      </c>
      <c r="G35" s="469">
        <v>45799</v>
      </c>
      <c r="H35" s="457">
        <v>62.68</v>
      </c>
      <c r="I35" s="465">
        <v>5.45</v>
      </c>
      <c r="J35" s="783" t="s">
        <v>417</v>
      </c>
      <c r="K35" s="779"/>
      <c r="L35" s="779"/>
      <c r="M35" s="779"/>
      <c r="N35" s="264">
        <v>45807</v>
      </c>
      <c r="O35" s="467" t="s">
        <v>546</v>
      </c>
      <c r="P35" s="257"/>
      <c r="Q35" s="257"/>
      <c r="R35" s="508"/>
      <c r="S35" s="459">
        <v>321.77999999999997</v>
      </c>
      <c r="T35" s="459">
        <v>3.556</v>
      </c>
      <c r="U35" s="266" t="s">
        <v>563</v>
      </c>
    </row>
    <row r="36" spans="1:26" s="263" customFormat="1" ht="13" customHeight="1">
      <c r="A36" s="257">
        <f t="shared" si="4"/>
        <v>12</v>
      </c>
      <c r="B36" s="459" t="s">
        <v>278</v>
      </c>
      <c r="C36" s="257" t="s">
        <v>375</v>
      </c>
      <c r="D36" s="257" t="s">
        <v>532</v>
      </c>
      <c r="E36" s="470" t="s">
        <v>70</v>
      </c>
      <c r="F36" s="469">
        <v>45778</v>
      </c>
      <c r="G36" s="469">
        <v>45778</v>
      </c>
      <c r="H36" s="471">
        <v>69.72</v>
      </c>
      <c r="I36" s="471">
        <v>6.18</v>
      </c>
      <c r="J36" s="783" t="s">
        <v>417</v>
      </c>
      <c r="K36" s="779"/>
      <c r="L36" s="779"/>
      <c r="M36" s="779"/>
      <c r="N36" s="264">
        <v>45805</v>
      </c>
      <c r="O36" s="467" t="s">
        <v>546</v>
      </c>
      <c r="P36" s="257"/>
      <c r="Q36" s="257"/>
      <c r="R36" s="508"/>
      <c r="S36" s="459">
        <v>369.37</v>
      </c>
      <c r="T36" s="459">
        <v>4.0670000000000002</v>
      </c>
      <c r="U36" s="266" t="s">
        <v>563</v>
      </c>
      <c r="V36" s="259"/>
      <c r="W36" s="259"/>
      <c r="X36" s="259"/>
      <c r="Y36" s="259"/>
      <c r="Z36" s="259"/>
    </row>
    <row r="37" spans="1:26" s="266" customFormat="1" ht="13" customHeight="1">
      <c r="A37" s="506">
        <f>+A36+1</f>
        <v>13</v>
      </c>
      <c r="B37" s="507" t="s">
        <v>291</v>
      </c>
      <c r="C37" s="506" t="s">
        <v>399</v>
      </c>
      <c r="D37" s="257" t="s">
        <v>532</v>
      </c>
      <c r="E37" s="459" t="s">
        <v>75</v>
      </c>
      <c r="F37" s="469">
        <v>45953</v>
      </c>
      <c r="G37" s="469">
        <v>45954</v>
      </c>
      <c r="H37" s="465">
        <v>61.71</v>
      </c>
      <c r="I37" s="459">
        <v>6.61</v>
      </c>
      <c r="J37" s="783" t="s">
        <v>417</v>
      </c>
      <c r="K37" s="779"/>
      <c r="L37" s="779"/>
      <c r="M37" s="779"/>
      <c r="N37" s="512">
        <v>45965</v>
      </c>
      <c r="O37" s="508" t="s">
        <v>546</v>
      </c>
      <c r="P37" s="257"/>
      <c r="Q37" s="257"/>
      <c r="R37" s="508"/>
      <c r="S37" s="459"/>
      <c r="T37" s="459"/>
    </row>
    <row r="38" spans="1:26" s="263" customFormat="1" ht="36.5" customHeight="1">
      <c r="A38" s="344">
        <v>14</v>
      </c>
      <c r="B38" s="74" t="s">
        <v>281</v>
      </c>
      <c r="C38" s="344" t="s">
        <v>387</v>
      </c>
      <c r="D38" s="671" t="s">
        <v>556</v>
      </c>
      <c r="E38" s="691" t="s">
        <v>602</v>
      </c>
      <c r="F38" s="288"/>
      <c r="G38" s="288">
        <v>45993</v>
      </c>
      <c r="H38" s="311"/>
      <c r="I38" s="312"/>
      <c r="J38" s="786" t="s">
        <v>677</v>
      </c>
      <c r="K38" s="786"/>
      <c r="L38" s="786"/>
      <c r="M38" s="786"/>
      <c r="N38" s="310"/>
      <c r="O38" s="520" t="s">
        <v>546</v>
      </c>
      <c r="P38" s="431"/>
      <c r="Q38" s="431"/>
      <c r="R38" s="552"/>
      <c r="S38" s="285"/>
      <c r="T38" s="285"/>
    </row>
    <row r="39" spans="1:26" s="263" customFormat="1" ht="30.5" customHeight="1">
      <c r="A39" s="344">
        <f t="shared" si="4"/>
        <v>15</v>
      </c>
      <c r="B39" s="74" t="s">
        <v>394</v>
      </c>
      <c r="C39" s="344" t="s">
        <v>395</v>
      </c>
      <c r="D39" s="671" t="s">
        <v>556</v>
      </c>
      <c r="E39" s="691" t="s">
        <v>602</v>
      </c>
      <c r="F39" s="288"/>
      <c r="G39" s="288">
        <v>45998</v>
      </c>
      <c r="H39" s="290"/>
      <c r="I39" s="285"/>
      <c r="J39" s="786" t="s">
        <v>683</v>
      </c>
      <c r="K39" s="786"/>
      <c r="L39" s="786"/>
      <c r="M39" s="786"/>
      <c r="N39" s="310"/>
      <c r="O39" s="520" t="s">
        <v>546</v>
      </c>
      <c r="P39" s="431"/>
      <c r="Q39" s="413"/>
      <c r="R39" s="552"/>
      <c r="S39" s="285"/>
      <c r="T39" s="285"/>
    </row>
    <row r="40" spans="1:26" s="511" customFormat="1" ht="42" customHeight="1">
      <c r="A40" s="412">
        <f t="shared" si="4"/>
        <v>16</v>
      </c>
      <c r="B40" s="464" t="s">
        <v>378</v>
      </c>
      <c r="C40" s="412" t="s">
        <v>387</v>
      </c>
      <c r="D40" s="505" t="s">
        <v>555</v>
      </c>
      <c r="E40" s="382" t="s">
        <v>617</v>
      </c>
      <c r="F40" s="540"/>
      <c r="G40" s="540" t="s">
        <v>620</v>
      </c>
      <c r="H40" s="503"/>
      <c r="I40" s="504"/>
      <c r="J40" s="787" t="s">
        <v>689</v>
      </c>
      <c r="K40" s="787"/>
      <c r="L40" s="787"/>
      <c r="M40" s="787"/>
      <c r="N40" s="696" t="s">
        <v>559</v>
      </c>
      <c r="O40" s="505" t="s">
        <v>603</v>
      </c>
      <c r="P40" s="382" t="s">
        <v>530</v>
      </c>
      <c r="Q40" s="382">
        <v>11</v>
      </c>
      <c r="R40" s="541" t="str">
        <f>N40</f>
        <v>WIP-1</v>
      </c>
      <c r="S40" s="510"/>
      <c r="T40" s="510"/>
    </row>
    <row r="41" spans="1:26" s="266" customFormat="1" ht="29" customHeight="1">
      <c r="A41" s="506">
        <f t="shared" si="4"/>
        <v>17</v>
      </c>
      <c r="B41" s="507" t="s">
        <v>396</v>
      </c>
      <c r="C41" s="506" t="s">
        <v>397</v>
      </c>
      <c r="D41" s="467" t="s">
        <v>554</v>
      </c>
      <c r="E41" s="257" t="s">
        <v>618</v>
      </c>
      <c r="F41" s="469"/>
      <c r="G41" s="469">
        <v>45958</v>
      </c>
      <c r="H41" s="465"/>
      <c r="I41" s="459"/>
      <c r="J41" s="783" t="s">
        <v>417</v>
      </c>
      <c r="K41" s="779"/>
      <c r="L41" s="779"/>
      <c r="M41" s="779"/>
      <c r="N41" s="512">
        <v>45997</v>
      </c>
      <c r="O41" s="467" t="s">
        <v>603</v>
      </c>
      <c r="P41" s="257"/>
      <c r="Q41" s="257"/>
      <c r="R41" s="531"/>
      <c r="S41" s="459"/>
      <c r="T41" s="459"/>
    </row>
    <row r="42" spans="1:26" s="266" customFormat="1" ht="15.5" customHeight="1">
      <c r="A42" s="506">
        <f t="shared" si="4"/>
        <v>18</v>
      </c>
      <c r="B42" s="507" t="s">
        <v>398</v>
      </c>
      <c r="C42" s="506" t="s">
        <v>374</v>
      </c>
      <c r="D42" s="257" t="s">
        <v>532</v>
      </c>
      <c r="E42" s="257" t="s">
        <v>52</v>
      </c>
      <c r="F42" s="458">
        <v>45946</v>
      </c>
      <c r="G42" s="458">
        <v>45951</v>
      </c>
      <c r="H42" s="457">
        <v>89.54</v>
      </c>
      <c r="I42" s="459">
        <v>9.33</v>
      </c>
      <c r="J42" s="783" t="s">
        <v>552</v>
      </c>
      <c r="K42" s="779"/>
      <c r="L42" s="779"/>
      <c r="M42" s="779"/>
      <c r="N42" s="512">
        <v>45975</v>
      </c>
      <c r="O42" s="508" t="s">
        <v>546</v>
      </c>
      <c r="Q42" s="257"/>
      <c r="R42" s="508"/>
      <c r="S42" s="459"/>
      <c r="T42" s="459"/>
      <c r="U42" s="258"/>
      <c r="V42" s="258"/>
      <c r="W42" s="258"/>
      <c r="X42" s="258"/>
      <c r="Y42" s="258"/>
      <c r="Z42" s="258"/>
    </row>
    <row r="43" spans="1:26" s="266" customFormat="1" ht="15.5" customHeight="1">
      <c r="A43" s="506">
        <v>19</v>
      </c>
      <c r="B43" s="507" t="s">
        <v>292</v>
      </c>
      <c r="C43" s="506" t="s">
        <v>374</v>
      </c>
      <c r="D43" s="257" t="s">
        <v>532</v>
      </c>
      <c r="E43" s="459" t="s">
        <v>75</v>
      </c>
      <c r="F43" s="469">
        <v>46008</v>
      </c>
      <c r="G43" s="469">
        <f>F43+1</f>
        <v>46009</v>
      </c>
      <c r="H43" s="530">
        <v>81.63</v>
      </c>
      <c r="I43" s="530">
        <v>8.24</v>
      </c>
      <c r="J43" s="783" t="s">
        <v>552</v>
      </c>
      <c r="K43" s="779"/>
      <c r="L43" s="779"/>
      <c r="M43" s="779"/>
      <c r="N43" s="512">
        <v>46014</v>
      </c>
      <c r="O43" s="508" t="s">
        <v>546</v>
      </c>
      <c r="P43" s="459"/>
      <c r="Q43" s="257"/>
      <c r="R43" s="506"/>
      <c r="S43" s="459"/>
      <c r="T43" s="459"/>
    </row>
    <row r="44" spans="1:26" s="266" customFormat="1" ht="15.5" customHeight="1">
      <c r="A44" s="506">
        <f t="shared" si="4"/>
        <v>20</v>
      </c>
      <c r="B44" s="507" t="s">
        <v>400</v>
      </c>
      <c r="C44" s="506" t="s">
        <v>374</v>
      </c>
      <c r="D44" s="257" t="s">
        <v>532</v>
      </c>
      <c r="E44" s="506" t="s">
        <v>75</v>
      </c>
      <c r="F44" s="509">
        <v>45810</v>
      </c>
      <c r="G44" s="509">
        <v>45810</v>
      </c>
      <c r="H44" s="530">
        <v>81.63</v>
      </c>
      <c r="I44" s="530">
        <v>8.24</v>
      </c>
      <c r="J44" s="783" t="s">
        <v>417</v>
      </c>
      <c r="K44" s="779"/>
      <c r="L44" s="779"/>
      <c r="M44" s="779"/>
      <c r="N44" s="531">
        <v>45987</v>
      </c>
      <c r="O44" s="508" t="s">
        <v>546</v>
      </c>
      <c r="P44" s="257"/>
      <c r="Q44" s="257"/>
      <c r="R44" s="506"/>
      <c r="S44" s="507">
        <v>321.77999999999997</v>
      </c>
      <c r="T44" s="507">
        <v>3.556</v>
      </c>
    </row>
    <row r="45" spans="1:26" s="266" customFormat="1" ht="15.5" customHeight="1">
      <c r="A45" s="506">
        <f>A44+1</f>
        <v>21</v>
      </c>
      <c r="B45" s="507" t="s">
        <v>515</v>
      </c>
      <c r="C45" s="506" t="s">
        <v>374</v>
      </c>
      <c r="D45" s="257" t="s">
        <v>532</v>
      </c>
      <c r="E45" s="506" t="s">
        <v>75</v>
      </c>
      <c r="F45" s="509">
        <v>45918</v>
      </c>
      <c r="G45" s="509">
        <v>45927</v>
      </c>
      <c r="H45" s="530">
        <v>81.63</v>
      </c>
      <c r="I45" s="530">
        <v>8.24</v>
      </c>
      <c r="J45" s="783" t="s">
        <v>552</v>
      </c>
      <c r="K45" s="779"/>
      <c r="L45" s="779"/>
      <c r="M45" s="779"/>
      <c r="N45" s="509">
        <v>45943</v>
      </c>
      <c r="O45" s="508" t="s">
        <v>546</v>
      </c>
      <c r="P45" s="506"/>
      <c r="Q45" s="506"/>
      <c r="R45" s="508"/>
      <c r="S45" s="507"/>
      <c r="T45" s="507"/>
    </row>
    <row r="46" spans="1:26" s="263" customFormat="1" ht="23" customHeight="1">
      <c r="A46" s="344">
        <f t="shared" si="4"/>
        <v>22</v>
      </c>
      <c r="B46" s="74" t="s">
        <v>293</v>
      </c>
      <c r="C46" s="344" t="s">
        <v>539</v>
      </c>
      <c r="D46" s="286" t="s">
        <v>533</v>
      </c>
      <c r="E46" s="286" t="s">
        <v>602</v>
      </c>
      <c r="F46" s="288"/>
      <c r="G46" s="288"/>
      <c r="H46" s="290"/>
      <c r="I46" s="285"/>
      <c r="J46" s="786" t="s">
        <v>633</v>
      </c>
      <c r="K46" s="786"/>
      <c r="L46" s="786"/>
      <c r="M46" s="786"/>
      <c r="N46" s="310"/>
      <c r="O46" s="520" t="s">
        <v>546</v>
      </c>
      <c r="P46" s="286"/>
      <c r="Q46" s="285"/>
      <c r="R46" s="520"/>
      <c r="S46" s="285"/>
      <c r="T46" s="285"/>
    </row>
    <row r="47" spans="1:26" s="511" customFormat="1" ht="26" customHeight="1">
      <c r="A47" s="656">
        <f t="shared" si="4"/>
        <v>23</v>
      </c>
      <c r="B47" s="657" t="s">
        <v>401</v>
      </c>
      <c r="C47" s="656" t="s">
        <v>539</v>
      </c>
      <c r="D47" s="662" t="s">
        <v>533</v>
      </c>
      <c r="E47" s="662"/>
      <c r="F47" s="659"/>
      <c r="G47" s="659"/>
      <c r="H47" s="664"/>
      <c r="I47" s="665"/>
      <c r="J47" s="784" t="s">
        <v>638</v>
      </c>
      <c r="K47" s="784"/>
      <c r="L47" s="784"/>
      <c r="M47" s="784"/>
      <c r="N47" s="666" t="str">
        <f>R47</f>
        <v>ROW-1</v>
      </c>
      <c r="O47" s="669" t="s">
        <v>546</v>
      </c>
      <c r="P47" s="661"/>
      <c r="Q47" s="662"/>
      <c r="R47" s="656" t="s">
        <v>376</v>
      </c>
      <c r="S47" s="510"/>
      <c r="T47" s="510"/>
    </row>
    <row r="48" spans="1:26" s="266" customFormat="1" ht="23">
      <c r="A48" s="506">
        <f t="shared" si="4"/>
        <v>24</v>
      </c>
      <c r="B48" s="507" t="s">
        <v>294</v>
      </c>
      <c r="C48" s="506" t="s">
        <v>388</v>
      </c>
      <c r="D48" s="467" t="s">
        <v>554</v>
      </c>
      <c r="E48" s="467"/>
      <c r="F48" s="469"/>
      <c r="G48" s="469">
        <v>45986</v>
      </c>
      <c r="H48" s="465"/>
      <c r="I48" s="459"/>
      <c r="J48" s="783" t="s">
        <v>552</v>
      </c>
      <c r="K48" s="783"/>
      <c r="L48" s="783"/>
      <c r="M48" s="783"/>
      <c r="N48" s="458">
        <v>46031</v>
      </c>
      <c r="O48" s="467" t="s">
        <v>603</v>
      </c>
      <c r="P48" s="459" t="s">
        <v>573</v>
      </c>
      <c r="Q48" s="257">
        <v>11</v>
      </c>
      <c r="R48" s="531"/>
      <c r="S48" s="459"/>
      <c r="T48" s="459"/>
      <c r="U48" s="791" t="s">
        <v>572</v>
      </c>
      <c r="V48" s="791"/>
      <c r="W48" s="791"/>
      <c r="X48" s="791"/>
    </row>
    <row r="49" spans="1:26" s="511" customFormat="1" ht="22.5" customHeight="1">
      <c r="A49" s="656">
        <f t="shared" si="4"/>
        <v>25</v>
      </c>
      <c r="B49" s="657" t="s">
        <v>295</v>
      </c>
      <c r="C49" s="656" t="s">
        <v>388</v>
      </c>
      <c r="D49" s="658" t="s">
        <v>554</v>
      </c>
      <c r="E49" s="658"/>
      <c r="F49" s="666"/>
      <c r="G49" s="666"/>
      <c r="H49" s="664"/>
      <c r="I49" s="661"/>
      <c r="J49" s="788" t="s">
        <v>638</v>
      </c>
      <c r="K49" s="789"/>
      <c r="L49" s="789"/>
      <c r="M49" s="790"/>
      <c r="N49" s="659" t="str">
        <f>R49</f>
        <v>ROW-2</v>
      </c>
      <c r="O49" s="663" t="s">
        <v>546</v>
      </c>
      <c r="P49" s="661"/>
      <c r="Q49" s="662"/>
      <c r="R49" s="656" t="s">
        <v>567</v>
      </c>
      <c r="S49" s="510"/>
      <c r="T49" s="510"/>
    </row>
    <row r="50" spans="1:26" s="266" customFormat="1" ht="14" customHeight="1">
      <c r="A50" s="506">
        <f t="shared" si="4"/>
        <v>26</v>
      </c>
      <c r="B50" s="507" t="s">
        <v>402</v>
      </c>
      <c r="C50" s="506" t="s">
        <v>374</v>
      </c>
      <c r="D50" s="257" t="s">
        <v>532</v>
      </c>
      <c r="E50" s="459" t="s">
        <v>325</v>
      </c>
      <c r="F50" s="469">
        <v>46000</v>
      </c>
      <c r="G50" s="469">
        <v>46004</v>
      </c>
      <c r="H50" s="465"/>
      <c r="I50" s="459"/>
      <c r="J50" s="783" t="s">
        <v>417</v>
      </c>
      <c r="K50" s="779"/>
      <c r="L50" s="779"/>
      <c r="M50" s="779"/>
      <c r="N50" s="458">
        <v>46010</v>
      </c>
      <c r="O50" s="508" t="s">
        <v>546</v>
      </c>
      <c r="P50" s="459"/>
      <c r="Q50" s="257"/>
      <c r="R50" s="531"/>
      <c r="S50" s="459"/>
      <c r="T50" s="459"/>
    </row>
    <row r="51" spans="1:26" s="266" customFormat="1" ht="22.5" customHeight="1">
      <c r="A51" s="506">
        <f t="shared" si="4"/>
        <v>27</v>
      </c>
      <c r="B51" s="507" t="s">
        <v>403</v>
      </c>
      <c r="C51" s="506" t="s">
        <v>377</v>
      </c>
      <c r="D51" s="257" t="s">
        <v>532</v>
      </c>
      <c r="E51" s="257" t="s">
        <v>75</v>
      </c>
      <c r="F51" s="458">
        <v>45975</v>
      </c>
      <c r="G51" s="458">
        <v>45984</v>
      </c>
      <c r="H51" s="571">
        <v>34.9</v>
      </c>
      <c r="I51" s="571">
        <v>3.78</v>
      </c>
      <c r="J51" s="783" t="s">
        <v>612</v>
      </c>
      <c r="K51" s="783"/>
      <c r="L51" s="783"/>
      <c r="M51" s="783"/>
      <c r="N51" s="458">
        <v>45994</v>
      </c>
      <c r="O51" s="508" t="s">
        <v>546</v>
      </c>
      <c r="P51" s="257"/>
      <c r="Q51" s="257"/>
      <c r="R51" s="531"/>
      <c r="S51" s="459"/>
      <c r="T51" s="459"/>
    </row>
    <row r="52" spans="1:26" s="266" customFormat="1" ht="14.5" customHeight="1">
      <c r="A52" s="506">
        <f t="shared" si="4"/>
        <v>28</v>
      </c>
      <c r="B52" s="507" t="s">
        <v>404</v>
      </c>
      <c r="C52" s="506" t="s">
        <v>374</v>
      </c>
      <c r="D52" s="257" t="s">
        <v>532</v>
      </c>
      <c r="E52" s="459" t="s">
        <v>52</v>
      </c>
      <c r="F52" s="469">
        <v>45920</v>
      </c>
      <c r="G52" s="469">
        <v>45924</v>
      </c>
      <c r="H52" s="457">
        <v>89.54</v>
      </c>
      <c r="I52" s="459">
        <v>9.33</v>
      </c>
      <c r="J52" s="783" t="s">
        <v>417</v>
      </c>
      <c r="K52" s="779"/>
      <c r="L52" s="779"/>
      <c r="M52" s="779"/>
      <c r="N52" s="264">
        <v>45933</v>
      </c>
      <c r="O52" s="508" t="s">
        <v>546</v>
      </c>
      <c r="P52" s="257"/>
      <c r="Q52" s="257"/>
      <c r="R52" s="508"/>
      <c r="S52" s="459"/>
      <c r="T52" s="459"/>
    </row>
    <row r="53" spans="1:26" s="266" customFormat="1" ht="14" customHeight="1">
      <c r="A53" s="506">
        <f t="shared" si="4"/>
        <v>29</v>
      </c>
      <c r="B53" s="507" t="s">
        <v>405</v>
      </c>
      <c r="C53" s="506" t="s">
        <v>374</v>
      </c>
      <c r="D53" s="257" t="s">
        <v>532</v>
      </c>
      <c r="E53" s="257" t="s">
        <v>52</v>
      </c>
      <c r="F53" s="264">
        <v>45975</v>
      </c>
      <c r="G53" s="264">
        <v>45986</v>
      </c>
      <c r="H53" s="457">
        <v>89.54</v>
      </c>
      <c r="I53" s="459">
        <v>9.33</v>
      </c>
      <c r="J53" s="783" t="s">
        <v>417</v>
      </c>
      <c r="K53" s="779"/>
      <c r="L53" s="779"/>
      <c r="M53" s="779"/>
      <c r="N53" s="458">
        <v>45991</v>
      </c>
      <c r="O53" s="508" t="s">
        <v>546</v>
      </c>
      <c r="Q53" s="265"/>
      <c r="R53" s="257"/>
      <c r="S53" s="459"/>
      <c r="T53" s="459"/>
    </row>
    <row r="54" spans="1:26" s="511" customFormat="1" ht="22.5" customHeight="1">
      <c r="A54" s="656">
        <f t="shared" si="4"/>
        <v>30</v>
      </c>
      <c r="B54" s="657" t="s">
        <v>518</v>
      </c>
      <c r="C54" s="656" t="s">
        <v>516</v>
      </c>
      <c r="D54" s="662" t="s">
        <v>534</v>
      </c>
      <c r="E54" s="662"/>
      <c r="F54" s="659"/>
      <c r="G54" s="659"/>
      <c r="H54" s="660"/>
      <c r="I54" s="665"/>
      <c r="J54" s="788" t="s">
        <v>638</v>
      </c>
      <c r="K54" s="789"/>
      <c r="L54" s="789"/>
      <c r="M54" s="790"/>
      <c r="N54" s="667" t="str">
        <f>R54</f>
        <v>ROW-3</v>
      </c>
      <c r="O54" s="663" t="s">
        <v>546</v>
      </c>
      <c r="P54" s="662"/>
      <c r="Q54" s="662"/>
      <c r="R54" s="656" t="s">
        <v>568</v>
      </c>
      <c r="S54" s="510"/>
      <c r="T54" s="510"/>
      <c r="U54" s="516"/>
      <c r="V54" s="516"/>
      <c r="W54" s="516"/>
      <c r="X54" s="516"/>
      <c r="Y54" s="516"/>
      <c r="Z54" s="516"/>
    </row>
    <row r="55" spans="1:26" s="511" customFormat="1" ht="22.5" customHeight="1">
      <c r="A55" s="656">
        <f t="shared" si="4"/>
        <v>31</v>
      </c>
      <c r="B55" s="657" t="s">
        <v>406</v>
      </c>
      <c r="C55" s="656" t="s">
        <v>516</v>
      </c>
      <c r="D55" s="662" t="s">
        <v>534</v>
      </c>
      <c r="E55" s="662"/>
      <c r="F55" s="659"/>
      <c r="G55" s="659"/>
      <c r="H55" s="664"/>
      <c r="I55" s="661"/>
      <c r="J55" s="788" t="s">
        <v>638</v>
      </c>
      <c r="K55" s="789"/>
      <c r="L55" s="789"/>
      <c r="M55" s="790"/>
      <c r="N55" s="659" t="str">
        <f>R55</f>
        <v>ROW-4</v>
      </c>
      <c r="O55" s="663" t="s">
        <v>546</v>
      </c>
      <c r="P55" s="661"/>
      <c r="Q55" s="662"/>
      <c r="R55" s="656" t="s">
        <v>569</v>
      </c>
      <c r="S55" s="510"/>
      <c r="T55" s="510"/>
    </row>
    <row r="56" spans="1:26" s="511" customFormat="1" ht="22.5" customHeight="1">
      <c r="A56" s="656">
        <f t="shared" si="4"/>
        <v>32</v>
      </c>
      <c r="B56" s="657" t="s">
        <v>520</v>
      </c>
      <c r="C56" s="656" t="s">
        <v>516</v>
      </c>
      <c r="D56" s="662" t="s">
        <v>534</v>
      </c>
      <c r="E56" s="662"/>
      <c r="F56" s="659"/>
      <c r="G56" s="659"/>
      <c r="H56" s="664"/>
      <c r="I56" s="661"/>
      <c r="J56" s="788" t="s">
        <v>638</v>
      </c>
      <c r="K56" s="789"/>
      <c r="L56" s="789"/>
      <c r="M56" s="790"/>
      <c r="N56" s="659" t="str">
        <f>R56</f>
        <v>ROW-5</v>
      </c>
      <c r="O56" s="663" t="s">
        <v>546</v>
      </c>
      <c r="P56" s="661"/>
      <c r="Q56" s="662"/>
      <c r="R56" s="656" t="s">
        <v>570</v>
      </c>
      <c r="S56" s="510"/>
      <c r="T56" s="510"/>
    </row>
    <row r="57" spans="1:26" s="266" customFormat="1" ht="22.5" customHeight="1">
      <c r="A57" s="506">
        <f t="shared" si="4"/>
        <v>33</v>
      </c>
      <c r="B57" s="507" t="s">
        <v>519</v>
      </c>
      <c r="C57" s="506" t="s">
        <v>516</v>
      </c>
      <c r="D57" s="257" t="s">
        <v>534</v>
      </c>
      <c r="E57" s="257" t="s">
        <v>52</v>
      </c>
      <c r="F57" s="264">
        <v>45942</v>
      </c>
      <c r="G57" s="264">
        <v>45942</v>
      </c>
      <c r="H57" s="530">
        <v>93.055999999999997</v>
      </c>
      <c r="I57" s="530">
        <v>8.1660000000000004</v>
      </c>
      <c r="J57" s="783" t="s">
        <v>417</v>
      </c>
      <c r="K57" s="779"/>
      <c r="L57" s="779"/>
      <c r="M57" s="779"/>
      <c r="N57" s="264">
        <v>45970</v>
      </c>
      <c r="O57" s="508" t="s">
        <v>546</v>
      </c>
      <c r="P57" s="459"/>
      <c r="Q57" s="257"/>
      <c r="R57" s="506"/>
      <c r="S57" s="459"/>
      <c r="T57" s="459"/>
    </row>
    <row r="58" spans="1:26" s="263" customFormat="1" ht="30" customHeight="1">
      <c r="A58" s="412">
        <f t="shared" si="4"/>
        <v>34</v>
      </c>
      <c r="B58" s="464" t="s">
        <v>408</v>
      </c>
      <c r="C58" s="412" t="s">
        <v>516</v>
      </c>
      <c r="D58" s="382" t="s">
        <v>534</v>
      </c>
      <c r="E58" s="382" t="s">
        <v>52</v>
      </c>
      <c r="F58" s="540">
        <v>45969</v>
      </c>
      <c r="G58" s="540">
        <v>46030</v>
      </c>
      <c r="H58" s="693">
        <v>93.055999999999997</v>
      </c>
      <c r="I58" s="693">
        <v>8.1660000000000004</v>
      </c>
      <c r="J58" s="795" t="s">
        <v>688</v>
      </c>
      <c r="K58" s="796"/>
      <c r="L58" s="796"/>
      <c r="M58" s="797"/>
      <c r="N58" s="540" t="s">
        <v>560</v>
      </c>
      <c r="O58" s="694" t="s">
        <v>546</v>
      </c>
      <c r="P58" s="504"/>
      <c r="Q58" s="382"/>
      <c r="R58" s="540" t="s">
        <v>560</v>
      </c>
      <c r="S58" s="285"/>
      <c r="T58" s="285"/>
    </row>
    <row r="59" spans="1:26" s="266" customFormat="1" ht="22.5" customHeight="1">
      <c r="A59" s="506">
        <f t="shared" si="4"/>
        <v>35</v>
      </c>
      <c r="B59" s="507" t="s">
        <v>521</v>
      </c>
      <c r="C59" s="506" t="s">
        <v>516</v>
      </c>
      <c r="D59" s="257" t="s">
        <v>534</v>
      </c>
      <c r="E59" s="257" t="s">
        <v>52</v>
      </c>
      <c r="F59" s="264">
        <v>45969</v>
      </c>
      <c r="G59" s="264">
        <v>45966</v>
      </c>
      <c r="H59" s="530">
        <v>93.055999999999997</v>
      </c>
      <c r="I59" s="530">
        <v>8.1660000000000004</v>
      </c>
      <c r="J59" s="798" t="s">
        <v>676</v>
      </c>
      <c r="K59" s="799"/>
      <c r="L59" s="799"/>
      <c r="M59" s="778"/>
      <c r="N59" s="264">
        <v>46031</v>
      </c>
      <c r="O59" s="508" t="s">
        <v>546</v>
      </c>
      <c r="P59" s="459"/>
      <c r="Q59" s="257"/>
      <c r="R59" s="506"/>
      <c r="S59" s="459"/>
      <c r="T59" s="459"/>
    </row>
    <row r="60" spans="1:26" s="266" customFormat="1" ht="22.5" customHeight="1">
      <c r="A60" s="506">
        <f t="shared" si="4"/>
        <v>36</v>
      </c>
      <c r="B60" s="507" t="s">
        <v>409</v>
      </c>
      <c r="C60" s="506" t="s">
        <v>517</v>
      </c>
      <c r="D60" s="257" t="s">
        <v>533</v>
      </c>
      <c r="E60" s="257" t="s">
        <v>52</v>
      </c>
      <c r="F60" s="264">
        <v>45936</v>
      </c>
      <c r="G60" s="264" t="s">
        <v>553</v>
      </c>
      <c r="H60" s="457">
        <v>113.03</v>
      </c>
      <c r="I60" s="459">
        <v>7.54</v>
      </c>
      <c r="J60" s="783" t="s">
        <v>417</v>
      </c>
      <c r="K60" s="779"/>
      <c r="L60" s="779"/>
      <c r="M60" s="779"/>
      <c r="N60" s="264">
        <v>45949</v>
      </c>
      <c r="O60" s="508" t="s">
        <v>546</v>
      </c>
      <c r="P60" s="459"/>
      <c r="Q60" s="257"/>
      <c r="R60" s="506"/>
      <c r="S60" s="459">
        <v>580.63</v>
      </c>
      <c r="T60" s="459">
        <v>4.1369999999999996</v>
      </c>
    </row>
    <row r="61" spans="1:26" s="263" customFormat="1" ht="33" customHeight="1">
      <c r="A61" s="412">
        <f t="shared" si="4"/>
        <v>37</v>
      </c>
      <c r="B61" s="464" t="s">
        <v>410</v>
      </c>
      <c r="C61" s="412" t="s">
        <v>385</v>
      </c>
      <c r="D61" s="382" t="s">
        <v>533</v>
      </c>
      <c r="E61" s="382" t="s">
        <v>52</v>
      </c>
      <c r="F61" s="540">
        <v>45944</v>
      </c>
      <c r="G61" s="540">
        <v>45949</v>
      </c>
      <c r="H61" s="695"/>
      <c r="I61" s="504"/>
      <c r="J61" s="795" t="s">
        <v>687</v>
      </c>
      <c r="K61" s="796"/>
      <c r="L61" s="796"/>
      <c r="M61" s="797"/>
      <c r="N61" s="540" t="s">
        <v>561</v>
      </c>
      <c r="O61" s="694" t="s">
        <v>546</v>
      </c>
      <c r="P61" s="504"/>
      <c r="Q61" s="382"/>
      <c r="R61" s="540" t="s">
        <v>561</v>
      </c>
      <c r="S61" s="285"/>
      <c r="T61" s="285"/>
    </row>
    <row r="62" spans="1:26" s="263" customFormat="1" ht="13" customHeight="1">
      <c r="A62" s="344"/>
      <c r="B62" s="74"/>
      <c r="C62" s="344"/>
      <c r="D62" s="286"/>
      <c r="E62" s="286"/>
      <c r="F62" s="288"/>
      <c r="G62" s="288"/>
      <c r="H62" s="311"/>
      <c r="I62" s="285"/>
      <c r="J62" s="289"/>
      <c r="K62" s="287"/>
      <c r="L62" s="287"/>
      <c r="M62" s="287"/>
      <c r="N62" s="288"/>
      <c r="O62" s="289"/>
      <c r="P62" s="285"/>
      <c r="Q62" s="286"/>
      <c r="R62" s="520"/>
      <c r="S62" s="285"/>
      <c r="T62" s="285"/>
    </row>
    <row r="63" spans="1:26" s="263" customFormat="1" ht="13" customHeight="1">
      <c r="A63" s="344"/>
      <c r="B63" s="460"/>
      <c r="C63" s="461"/>
      <c r="D63" s="286"/>
      <c r="E63" s="286"/>
      <c r="F63" s="288"/>
      <c r="G63" s="288"/>
      <c r="H63" s="311"/>
      <c r="I63" s="285"/>
      <c r="J63" s="289"/>
      <c r="K63" s="287"/>
      <c r="L63" s="287"/>
      <c r="M63" s="287"/>
      <c r="N63" s="288"/>
      <c r="O63" s="289"/>
      <c r="P63" s="285"/>
      <c r="Q63" s="286"/>
      <c r="R63" s="520"/>
      <c r="S63" s="285"/>
      <c r="T63" s="285"/>
    </row>
    <row r="64" spans="1:26" s="295" customFormat="1">
      <c r="A64" s="292" t="s">
        <v>94</v>
      </c>
      <c r="B64" s="291"/>
      <c r="C64" s="291"/>
      <c r="D64" s="291"/>
      <c r="E64" s="291"/>
      <c r="F64" s="291"/>
      <c r="G64" s="292"/>
      <c r="H64" s="291"/>
      <c r="I64" s="291"/>
      <c r="J64" s="291"/>
      <c r="K64" s="291"/>
      <c r="L64" s="291"/>
      <c r="M64" s="291"/>
      <c r="N64" s="284"/>
      <c r="O64" s="284"/>
      <c r="P64" s="291"/>
      <c r="Q64" s="291"/>
      <c r="R64" s="517"/>
      <c r="S64" s="293"/>
      <c r="T64" s="294"/>
    </row>
    <row r="65" spans="1:26" ht="26">
      <c r="A65" s="380" t="s">
        <v>43</v>
      </c>
      <c r="B65" s="380" t="s">
        <v>44</v>
      </c>
      <c r="C65" s="380" t="s">
        <v>336</v>
      </c>
      <c r="D65" s="380" t="s">
        <v>531</v>
      </c>
      <c r="E65" s="261" t="s">
        <v>45</v>
      </c>
      <c r="F65" s="261" t="s">
        <v>95</v>
      </c>
      <c r="G65" s="751" t="s">
        <v>46</v>
      </c>
      <c r="H65" s="751"/>
      <c r="I65" s="751"/>
      <c r="J65" s="751"/>
      <c r="K65" s="751"/>
      <c r="L65" s="261" t="s">
        <v>47</v>
      </c>
      <c r="M65" s="296" t="s">
        <v>48</v>
      </c>
      <c r="N65" s="261" t="s">
        <v>363</v>
      </c>
      <c r="O65" s="261" t="s">
        <v>49</v>
      </c>
      <c r="P65" s="296" t="s">
        <v>28</v>
      </c>
      <c r="Q65" s="296"/>
      <c r="R65" s="518"/>
      <c r="S65" s="296"/>
      <c r="T65" s="296"/>
    </row>
    <row r="66" spans="1:26" s="263" customFormat="1">
      <c r="A66" s="286">
        <v>1</v>
      </c>
      <c r="B66" s="314" t="s">
        <v>384</v>
      </c>
      <c r="C66" s="337" t="s">
        <v>385</v>
      </c>
      <c r="D66" s="286" t="s">
        <v>533</v>
      </c>
      <c r="E66" s="288">
        <v>46031</v>
      </c>
      <c r="F66" s="421">
        <v>62.923564000000006</v>
      </c>
      <c r="G66" s="287" t="s">
        <v>684</v>
      </c>
      <c r="H66" s="287"/>
      <c r="I66" s="289"/>
      <c r="J66" s="286"/>
      <c r="K66" s="289"/>
      <c r="L66" s="288"/>
      <c r="M66" s="287" t="s">
        <v>685</v>
      </c>
      <c r="N66" s="285">
        <v>30</v>
      </c>
      <c r="O66" s="286"/>
      <c r="P66" s="287"/>
      <c r="Q66" s="287"/>
      <c r="R66" s="520"/>
      <c r="S66" s="285"/>
      <c r="T66" s="285"/>
    </row>
    <row r="67" spans="1:26" s="263" customFormat="1" ht="23">
      <c r="A67" s="344">
        <f>A66+1</f>
        <v>2</v>
      </c>
      <c r="B67" s="314" t="s">
        <v>271</v>
      </c>
      <c r="C67" s="316" t="s">
        <v>386</v>
      </c>
      <c r="D67" s="286" t="s">
        <v>532</v>
      </c>
      <c r="E67" s="288"/>
      <c r="F67" s="421">
        <v>24.557673999999999</v>
      </c>
      <c r="G67" s="287"/>
      <c r="H67" s="289"/>
      <c r="I67" s="289"/>
      <c r="J67" s="289"/>
      <c r="K67" s="289"/>
      <c r="L67" s="288"/>
      <c r="M67" s="287"/>
      <c r="N67" s="285"/>
      <c r="O67" s="286"/>
      <c r="P67" s="287"/>
      <c r="Q67" s="287"/>
      <c r="R67" s="520"/>
      <c r="S67" s="285"/>
      <c r="T67" s="285"/>
      <c r="U67" s="259"/>
      <c r="V67" s="259"/>
      <c r="W67" s="259"/>
      <c r="X67" s="259"/>
      <c r="Y67" s="259"/>
      <c r="Z67" s="259"/>
    </row>
    <row r="68" spans="1:26" s="263" customFormat="1">
      <c r="A68" s="344">
        <f t="shared" ref="A68:A102" si="5">A67+1</f>
        <v>3</v>
      </c>
      <c r="B68" s="314" t="s">
        <v>272</v>
      </c>
      <c r="C68" s="316" t="s">
        <v>387</v>
      </c>
      <c r="D68" s="286" t="s">
        <v>529</v>
      </c>
      <c r="E68" s="288"/>
      <c r="F68" s="421">
        <v>67.687559999999991</v>
      </c>
      <c r="G68" s="287"/>
      <c r="H68" s="289"/>
      <c r="I68" s="289"/>
      <c r="J68" s="289"/>
      <c r="K68" s="289"/>
      <c r="L68" s="288"/>
      <c r="M68" s="287"/>
      <c r="N68" s="285"/>
      <c r="O68" s="421"/>
      <c r="P68" s="287"/>
      <c r="Q68" s="287"/>
      <c r="R68" s="520"/>
      <c r="S68" s="285"/>
      <c r="T68" s="285"/>
    </row>
    <row r="69" spans="1:26" s="263" customFormat="1">
      <c r="A69" s="344">
        <f t="shared" si="5"/>
        <v>4</v>
      </c>
      <c r="B69" s="314" t="s">
        <v>273</v>
      </c>
      <c r="C69" s="316" t="s">
        <v>388</v>
      </c>
      <c r="D69" s="286" t="s">
        <v>529</v>
      </c>
      <c r="E69" s="288"/>
      <c r="F69" s="421">
        <v>55.3996578</v>
      </c>
      <c r="G69" s="287"/>
      <c r="H69" s="289"/>
      <c r="I69" s="289"/>
      <c r="J69" s="289"/>
      <c r="K69" s="289"/>
      <c r="L69" s="288"/>
      <c r="M69" s="287"/>
      <c r="N69" s="285"/>
      <c r="O69" s="421"/>
      <c r="P69" s="287"/>
      <c r="Q69" s="287"/>
      <c r="R69" s="520"/>
      <c r="S69" s="285"/>
      <c r="T69" s="285"/>
    </row>
    <row r="70" spans="1:26" s="263" customFormat="1" ht="23">
      <c r="A70" s="344">
        <f t="shared" si="5"/>
        <v>5</v>
      </c>
      <c r="B70" s="314" t="s">
        <v>82</v>
      </c>
      <c r="C70" s="316" t="s">
        <v>386</v>
      </c>
      <c r="D70" s="286" t="s">
        <v>532</v>
      </c>
      <c r="E70" s="422"/>
      <c r="F70" s="421">
        <v>24.557673999999999</v>
      </c>
      <c r="G70" s="287"/>
      <c r="H70" s="274"/>
      <c r="I70" s="274"/>
      <c r="J70" s="424"/>
      <c r="K70" s="422"/>
      <c r="L70" s="422"/>
      <c r="M70" s="411"/>
      <c r="N70" s="287"/>
      <c r="O70" s="424"/>
      <c r="P70" s="274"/>
      <c r="Q70" s="274"/>
      <c r="R70" s="521"/>
      <c r="S70" s="423"/>
      <c r="T70" s="423"/>
      <c r="U70" s="298"/>
      <c r="V70" s="298"/>
      <c r="W70" s="298"/>
      <c r="X70" s="298"/>
      <c r="Y70" s="298"/>
      <c r="Z70" s="298"/>
    </row>
    <row r="71" spans="1:26" s="263" customFormat="1" ht="23">
      <c r="A71" s="344">
        <f t="shared" si="5"/>
        <v>6</v>
      </c>
      <c r="B71" s="314" t="s">
        <v>274</v>
      </c>
      <c r="C71" s="316" t="s">
        <v>386</v>
      </c>
      <c r="D71" s="286" t="s">
        <v>532</v>
      </c>
      <c r="E71" s="288"/>
      <c r="F71" s="421">
        <v>24.557673999999999</v>
      </c>
      <c r="G71" s="287"/>
      <c r="H71" s="289"/>
      <c r="I71" s="289"/>
      <c r="J71" s="289"/>
      <c r="K71" s="289"/>
      <c r="L71" s="288"/>
      <c r="M71" s="287"/>
      <c r="N71" s="285"/>
      <c r="O71" s="421"/>
      <c r="P71" s="287"/>
      <c r="Q71" s="287"/>
      <c r="R71" s="520"/>
      <c r="S71" s="285"/>
      <c r="T71" s="285"/>
    </row>
    <row r="72" spans="1:26" s="263" customFormat="1" ht="23">
      <c r="A72" s="344">
        <f t="shared" si="5"/>
        <v>7</v>
      </c>
      <c r="B72" s="314" t="s">
        <v>68</v>
      </c>
      <c r="C72" s="316" t="s">
        <v>389</v>
      </c>
      <c r="D72" s="286" t="s">
        <v>532</v>
      </c>
      <c r="E72" s="288"/>
      <c r="F72" s="421">
        <v>18.404468000000001</v>
      </c>
      <c r="G72" s="287"/>
      <c r="H72" s="289"/>
      <c r="I72" s="289"/>
      <c r="J72" s="289"/>
      <c r="K72" s="289"/>
      <c r="L72" s="288"/>
      <c r="M72" s="287"/>
      <c r="N72" s="285"/>
      <c r="O72" s="421"/>
      <c r="P72" s="287"/>
      <c r="Q72" s="287"/>
      <c r="R72" s="520"/>
      <c r="S72" s="285"/>
      <c r="T72" s="285"/>
    </row>
    <row r="73" spans="1:26" s="263" customFormat="1" ht="23">
      <c r="A73" s="344">
        <f t="shared" si="5"/>
        <v>8</v>
      </c>
      <c r="B73" s="314" t="s">
        <v>277</v>
      </c>
      <c r="C73" s="316" t="s">
        <v>386</v>
      </c>
      <c r="D73" s="286" t="s">
        <v>532</v>
      </c>
      <c r="E73" s="425"/>
      <c r="F73" s="421">
        <v>24.557673999999999</v>
      </c>
      <c r="G73" s="426"/>
      <c r="H73" s="427"/>
      <c r="I73" s="427"/>
      <c r="J73" s="427"/>
      <c r="K73" s="427"/>
      <c r="L73" s="425"/>
      <c r="M73" s="426"/>
      <c r="N73" s="428"/>
      <c r="O73" s="421"/>
      <c r="P73" s="426"/>
      <c r="Q73" s="426"/>
      <c r="R73" s="520"/>
      <c r="S73" s="428"/>
      <c r="T73" s="428"/>
    </row>
    <row r="74" spans="1:26" s="263" customFormat="1" ht="14.5" customHeight="1">
      <c r="A74" s="344">
        <f t="shared" si="5"/>
        <v>9</v>
      </c>
      <c r="B74" s="314" t="s">
        <v>390</v>
      </c>
      <c r="C74" s="316" t="s">
        <v>391</v>
      </c>
      <c r="D74" s="286" t="s">
        <v>535</v>
      </c>
      <c r="E74" s="429"/>
      <c r="F74" s="421">
        <v>33.095880999999991</v>
      </c>
      <c r="G74" s="430"/>
      <c r="H74" s="430"/>
      <c r="I74" s="431"/>
      <c r="J74" s="413"/>
      <c r="K74" s="430"/>
      <c r="L74" s="429"/>
      <c r="M74" s="432"/>
      <c r="N74" s="433"/>
      <c r="O74" s="286"/>
      <c r="P74" s="432"/>
      <c r="Q74" s="432"/>
      <c r="R74" s="522"/>
      <c r="S74" s="433"/>
      <c r="T74" s="433"/>
      <c r="U74" s="298"/>
      <c r="V74" s="298"/>
      <c r="W74" s="298"/>
      <c r="X74" s="298"/>
      <c r="Y74" s="298"/>
      <c r="Z74" s="298"/>
    </row>
    <row r="75" spans="1:26" s="263" customFormat="1">
      <c r="A75" s="344">
        <f t="shared" si="5"/>
        <v>10</v>
      </c>
      <c r="B75" s="314" t="s">
        <v>392</v>
      </c>
      <c r="C75" s="316" t="s">
        <v>391</v>
      </c>
      <c r="D75" s="286" t="s">
        <v>535</v>
      </c>
      <c r="E75" s="434"/>
      <c r="F75" s="421">
        <v>33.095880999999991</v>
      </c>
      <c r="G75" s="287"/>
      <c r="H75" s="287"/>
      <c r="I75" s="289"/>
      <c r="J75" s="286"/>
      <c r="K75" s="287"/>
      <c r="L75" s="288"/>
      <c r="M75" s="300"/>
      <c r="N75" s="285"/>
      <c r="O75" s="286"/>
      <c r="P75" s="287"/>
      <c r="Q75" s="287"/>
      <c r="R75" s="520"/>
      <c r="S75" s="285"/>
      <c r="T75" s="285"/>
    </row>
    <row r="76" spans="1:26" s="263" customFormat="1" ht="23">
      <c r="A76" s="344">
        <f t="shared" si="5"/>
        <v>11</v>
      </c>
      <c r="B76" s="314" t="s">
        <v>393</v>
      </c>
      <c r="C76" s="316" t="s">
        <v>386</v>
      </c>
      <c r="D76" s="286" t="s">
        <v>532</v>
      </c>
      <c r="E76" s="288"/>
      <c r="F76" s="421">
        <v>24.557673999999999</v>
      </c>
      <c r="G76" s="287"/>
      <c r="H76" s="289"/>
      <c r="I76" s="289"/>
      <c r="J76" s="289"/>
      <c r="K76" s="289"/>
      <c r="L76" s="288"/>
      <c r="M76" s="287"/>
      <c r="N76" s="285"/>
      <c r="O76" s="286"/>
      <c r="P76" s="287"/>
      <c r="Q76" s="287"/>
      <c r="R76" s="520"/>
      <c r="S76" s="285"/>
      <c r="T76" s="285"/>
      <c r="U76" s="259"/>
      <c r="V76" s="259"/>
      <c r="W76" s="259"/>
      <c r="X76" s="259"/>
      <c r="Y76" s="259"/>
      <c r="Z76" s="259"/>
    </row>
    <row r="77" spans="1:26" s="263" customFormat="1" ht="23">
      <c r="A77" s="344">
        <f t="shared" si="5"/>
        <v>12</v>
      </c>
      <c r="B77" s="74" t="s">
        <v>278</v>
      </c>
      <c r="C77" s="344" t="s">
        <v>375</v>
      </c>
      <c r="D77" s="286" t="s">
        <v>532</v>
      </c>
      <c r="E77" s="288"/>
      <c r="F77" s="421">
        <v>28.584662000000005</v>
      </c>
      <c r="G77" s="287"/>
      <c r="H77" s="289"/>
      <c r="I77" s="289"/>
      <c r="J77" s="289"/>
      <c r="K77" s="289"/>
      <c r="L77" s="288"/>
      <c r="M77" s="287"/>
      <c r="N77" s="285"/>
      <c r="O77" s="286"/>
      <c r="P77" s="287"/>
      <c r="Q77" s="287"/>
      <c r="R77" s="520"/>
      <c r="S77" s="285"/>
      <c r="T77" s="285"/>
      <c r="U77" s="259"/>
      <c r="V77" s="259"/>
      <c r="W77" s="259"/>
      <c r="X77" s="259"/>
      <c r="Y77" s="259"/>
      <c r="Z77" s="259"/>
    </row>
    <row r="78" spans="1:26" s="263" customFormat="1">
      <c r="A78" s="344">
        <f t="shared" si="5"/>
        <v>13</v>
      </c>
      <c r="B78" s="314" t="s">
        <v>281</v>
      </c>
      <c r="C78" s="316" t="s">
        <v>387</v>
      </c>
      <c r="D78" s="286" t="s">
        <v>529</v>
      </c>
      <c r="E78" s="425"/>
      <c r="F78" s="421">
        <v>68.980140000000006</v>
      </c>
      <c r="G78" s="287"/>
      <c r="H78" s="427"/>
      <c r="I78" s="427"/>
      <c r="J78" s="427"/>
      <c r="K78" s="427"/>
      <c r="L78" s="425"/>
      <c r="M78" s="426"/>
      <c r="N78" s="433"/>
      <c r="O78" s="286"/>
      <c r="P78" s="426"/>
      <c r="Q78" s="426"/>
      <c r="R78" s="520"/>
      <c r="S78" s="428"/>
      <c r="T78" s="428"/>
      <c r="U78" s="435"/>
      <c r="V78" s="435"/>
      <c r="W78" s="435"/>
      <c r="X78" s="435"/>
      <c r="Y78" s="435"/>
      <c r="Z78" s="435"/>
    </row>
    <row r="79" spans="1:26" s="263" customFormat="1">
      <c r="A79" s="344">
        <f t="shared" si="5"/>
        <v>14</v>
      </c>
      <c r="B79" s="314" t="s">
        <v>394</v>
      </c>
      <c r="C79" s="316" t="s">
        <v>395</v>
      </c>
      <c r="D79" s="286" t="s">
        <v>529</v>
      </c>
      <c r="E79" s="288"/>
      <c r="F79" s="421">
        <v>152.96823000000001</v>
      </c>
      <c r="G79" s="287"/>
      <c r="H79" s="289"/>
      <c r="I79" s="289"/>
      <c r="J79" s="289"/>
      <c r="K79" s="289"/>
      <c r="L79" s="288"/>
      <c r="M79" s="287"/>
      <c r="N79" s="285"/>
      <c r="O79" s="286"/>
      <c r="P79" s="287"/>
      <c r="Q79" s="287"/>
      <c r="R79" s="520"/>
      <c r="S79" s="285"/>
      <c r="T79" s="285"/>
    </row>
    <row r="80" spans="1:26" s="263" customFormat="1">
      <c r="A80" s="344">
        <f t="shared" si="5"/>
        <v>15</v>
      </c>
      <c r="B80" s="314" t="s">
        <v>378</v>
      </c>
      <c r="C80" s="316" t="s">
        <v>387</v>
      </c>
      <c r="D80" s="286" t="s">
        <v>529</v>
      </c>
      <c r="E80" s="288"/>
      <c r="F80" s="421">
        <v>73.938240000000008</v>
      </c>
      <c r="G80" s="287"/>
      <c r="H80" s="289"/>
      <c r="I80" s="289"/>
      <c r="J80" s="289"/>
      <c r="K80" s="289"/>
      <c r="L80" s="288"/>
      <c r="M80" s="287"/>
      <c r="N80" s="285"/>
      <c r="O80" s="286"/>
      <c r="P80" s="287"/>
      <c r="Q80" s="287"/>
      <c r="R80" s="520"/>
      <c r="S80" s="285"/>
      <c r="T80" s="285"/>
      <c r="U80" s="259"/>
      <c r="V80" s="259"/>
      <c r="W80" s="259"/>
      <c r="X80" s="259"/>
      <c r="Y80" s="259"/>
      <c r="Z80" s="259"/>
    </row>
    <row r="81" spans="1:26" s="285" customFormat="1">
      <c r="A81" s="344">
        <f t="shared" si="5"/>
        <v>16</v>
      </c>
      <c r="B81" s="315" t="s">
        <v>396</v>
      </c>
      <c r="C81" s="337" t="s">
        <v>397</v>
      </c>
      <c r="D81" s="286" t="s">
        <v>529</v>
      </c>
      <c r="E81" s="288"/>
      <c r="F81" s="421">
        <v>57.709069999999997</v>
      </c>
      <c r="G81" s="287"/>
      <c r="H81" s="289"/>
      <c r="I81" s="289"/>
      <c r="J81" s="289"/>
      <c r="K81" s="289"/>
      <c r="L81" s="288"/>
      <c r="M81" s="287"/>
      <c r="O81" s="286"/>
      <c r="P81" s="287"/>
      <c r="Q81" s="287"/>
      <c r="R81" s="520"/>
    </row>
    <row r="82" spans="1:26" s="436" customFormat="1" ht="13.5" customHeight="1">
      <c r="A82" s="344">
        <f t="shared" si="5"/>
        <v>17</v>
      </c>
      <c r="B82" s="314" t="s">
        <v>398</v>
      </c>
      <c r="C82" s="316" t="s">
        <v>374</v>
      </c>
      <c r="D82" s="286" t="s">
        <v>532</v>
      </c>
      <c r="E82" s="288"/>
      <c r="F82" s="421">
        <v>27.143050000000002</v>
      </c>
      <c r="G82" s="287"/>
      <c r="H82" s="287"/>
      <c r="I82" s="287"/>
      <c r="J82" s="286"/>
      <c r="K82" s="287"/>
      <c r="L82" s="288"/>
      <c r="M82" s="411"/>
      <c r="N82" s="285"/>
      <c r="O82" s="286"/>
      <c r="P82" s="287"/>
      <c r="Q82" s="287"/>
      <c r="R82" s="520"/>
      <c r="S82" s="285"/>
      <c r="T82" s="285"/>
      <c r="U82" s="263"/>
      <c r="V82" s="263"/>
      <c r="W82" s="263"/>
      <c r="X82" s="263"/>
      <c r="Y82" s="263"/>
      <c r="Z82" s="263"/>
    </row>
    <row r="83" spans="1:26" s="259" customFormat="1" ht="23">
      <c r="A83" s="344">
        <f t="shared" si="5"/>
        <v>18</v>
      </c>
      <c r="B83" s="315" t="s">
        <v>291</v>
      </c>
      <c r="C83" s="337" t="s">
        <v>399</v>
      </c>
      <c r="D83" s="286" t="s">
        <v>532</v>
      </c>
      <c r="E83" s="288"/>
      <c r="F83" s="421">
        <v>26.316290000000002</v>
      </c>
      <c r="G83" s="287"/>
      <c r="H83" s="289"/>
      <c r="I83" s="289"/>
      <c r="J83" s="289"/>
      <c r="K83" s="289"/>
      <c r="L83" s="288"/>
      <c r="M83" s="287"/>
      <c r="N83" s="285"/>
      <c r="O83" s="286"/>
      <c r="P83" s="287"/>
      <c r="Q83" s="287"/>
      <c r="R83" s="520"/>
      <c r="S83" s="285"/>
      <c r="T83" s="285"/>
    </row>
    <row r="84" spans="1:26" s="259" customFormat="1" ht="23">
      <c r="A84" s="344">
        <f t="shared" si="5"/>
        <v>19</v>
      </c>
      <c r="B84" s="315" t="s">
        <v>292</v>
      </c>
      <c r="C84" s="337" t="s">
        <v>374</v>
      </c>
      <c r="D84" s="286" t="s">
        <v>532</v>
      </c>
      <c r="E84" s="429"/>
      <c r="F84" s="421">
        <v>27.143050000000002</v>
      </c>
      <c r="G84" s="430"/>
      <c r="H84" s="431"/>
      <c r="I84" s="431"/>
      <c r="J84" s="431"/>
      <c r="K84" s="431"/>
      <c r="L84" s="429"/>
      <c r="M84" s="430"/>
      <c r="N84" s="433"/>
      <c r="O84" s="413"/>
      <c r="P84" s="433"/>
      <c r="Q84" s="433"/>
      <c r="R84" s="523"/>
      <c r="S84" s="433"/>
      <c r="T84" s="433"/>
      <c r="U84" s="263"/>
      <c r="V84" s="263"/>
      <c r="W84" s="263"/>
      <c r="X84" s="263"/>
      <c r="Y84" s="263"/>
      <c r="Z84" s="263"/>
    </row>
    <row r="85" spans="1:26" s="259" customFormat="1" ht="11.5" customHeight="1">
      <c r="A85" s="344">
        <f t="shared" si="5"/>
        <v>20</v>
      </c>
      <c r="B85" s="74" t="s">
        <v>400</v>
      </c>
      <c r="C85" s="344" t="s">
        <v>374</v>
      </c>
      <c r="D85" s="286" t="s">
        <v>532</v>
      </c>
      <c r="E85" s="288"/>
      <c r="F85" s="421">
        <v>27.143050000000002</v>
      </c>
      <c r="G85" s="287"/>
      <c r="H85" s="289"/>
      <c r="I85" s="289"/>
      <c r="J85" s="289"/>
      <c r="K85" s="289"/>
      <c r="L85" s="288"/>
      <c r="M85" s="287"/>
      <c r="N85" s="285"/>
      <c r="O85" s="286"/>
      <c r="P85" s="285"/>
      <c r="Q85" s="285"/>
      <c r="R85" s="344"/>
      <c r="S85" s="285"/>
      <c r="T85" s="285"/>
      <c r="U85" s="263"/>
      <c r="V85" s="263"/>
      <c r="W85" s="263"/>
      <c r="X85" s="263"/>
      <c r="Y85" s="263"/>
      <c r="Z85" s="263"/>
    </row>
    <row r="86" spans="1:26" s="259" customFormat="1" ht="11.5" customHeight="1">
      <c r="A86" s="344">
        <f>A85+1</f>
        <v>21</v>
      </c>
      <c r="B86" s="74" t="s">
        <v>515</v>
      </c>
      <c r="C86" s="344" t="s">
        <v>374</v>
      </c>
      <c r="D86" s="286" t="s">
        <v>532</v>
      </c>
      <c r="E86" s="288"/>
      <c r="F86" s="421">
        <v>27.143050000000002</v>
      </c>
      <c r="G86" s="287"/>
      <c r="H86" s="289"/>
      <c r="I86" s="289"/>
      <c r="J86" s="289"/>
      <c r="K86" s="289"/>
      <c r="L86" s="288"/>
      <c r="M86" s="287"/>
      <c r="N86" s="285"/>
      <c r="O86" s="286"/>
      <c r="P86" s="300"/>
      <c r="Q86" s="300"/>
      <c r="R86" s="522"/>
      <c r="S86" s="285"/>
      <c r="T86" s="285"/>
      <c r="U86" s="263"/>
      <c r="V86" s="263"/>
      <c r="W86" s="263"/>
      <c r="X86" s="263"/>
      <c r="Y86" s="263"/>
      <c r="Z86" s="263"/>
    </row>
    <row r="87" spans="1:26" s="259" customFormat="1">
      <c r="A87" s="344">
        <f t="shared" si="5"/>
        <v>22</v>
      </c>
      <c r="B87" s="315" t="s">
        <v>293</v>
      </c>
      <c r="C87" s="337"/>
      <c r="D87" s="286" t="s">
        <v>533</v>
      </c>
      <c r="E87" s="425"/>
      <c r="F87" s="421">
        <v>66.487549999999985</v>
      </c>
      <c r="G87" s="426"/>
      <c r="H87" s="427"/>
      <c r="I87" s="427"/>
      <c r="J87" s="427"/>
      <c r="K87" s="427"/>
      <c r="L87" s="425"/>
      <c r="M87" s="426"/>
      <c r="N87" s="428"/>
      <c r="O87" s="437"/>
      <c r="P87" s="438"/>
      <c r="Q87" s="438"/>
      <c r="R87" s="524"/>
      <c r="S87" s="428"/>
      <c r="T87" s="428"/>
      <c r="U87" s="263"/>
      <c r="V87" s="263"/>
      <c r="W87" s="263"/>
      <c r="X87" s="263"/>
      <c r="Y87" s="263"/>
      <c r="Z87" s="263"/>
    </row>
    <row r="88" spans="1:26" s="259" customFormat="1">
      <c r="A88" s="344">
        <f t="shared" si="5"/>
        <v>23</v>
      </c>
      <c r="B88" s="315" t="s">
        <v>401</v>
      </c>
      <c r="C88" s="337"/>
      <c r="D88" s="286" t="s">
        <v>533</v>
      </c>
      <c r="E88" s="429"/>
      <c r="F88" s="421">
        <v>66.487549999999985</v>
      </c>
      <c r="G88" s="430"/>
      <c r="H88" s="430"/>
      <c r="I88" s="430"/>
      <c r="J88" s="431"/>
      <c r="K88" s="430"/>
      <c r="L88" s="429"/>
      <c r="M88" s="430"/>
      <c r="N88" s="433"/>
      <c r="O88" s="413"/>
      <c r="P88" s="432"/>
      <c r="Q88" s="432"/>
      <c r="R88" s="525"/>
      <c r="S88" s="433"/>
      <c r="T88" s="433"/>
      <c r="U88" s="263"/>
      <c r="V88" s="263"/>
      <c r="W88" s="263"/>
      <c r="X88" s="263"/>
      <c r="Y88" s="263"/>
      <c r="Z88" s="263"/>
    </row>
    <row r="89" spans="1:26" s="259" customFormat="1">
      <c r="A89" s="344">
        <f t="shared" si="5"/>
        <v>24</v>
      </c>
      <c r="B89" s="315" t="s">
        <v>294</v>
      </c>
      <c r="C89" s="337" t="s">
        <v>388</v>
      </c>
      <c r="D89" s="286" t="s">
        <v>529</v>
      </c>
      <c r="E89" s="288"/>
      <c r="F89" s="421">
        <v>57.709069999999997</v>
      </c>
      <c r="G89" s="287"/>
      <c r="H89" s="287"/>
      <c r="I89" s="287"/>
      <c r="J89" s="289"/>
      <c r="K89" s="287"/>
      <c r="L89" s="288"/>
      <c r="M89" s="300"/>
      <c r="N89" s="285"/>
      <c r="O89" s="286"/>
      <c r="P89" s="300"/>
      <c r="Q89" s="300"/>
      <c r="R89" s="522"/>
      <c r="S89" s="285"/>
      <c r="T89" s="285"/>
      <c r="U89" s="263"/>
      <c r="V89" s="263"/>
      <c r="W89" s="263"/>
      <c r="X89" s="263"/>
      <c r="Y89" s="263"/>
      <c r="Z89" s="263"/>
    </row>
    <row r="90" spans="1:26" s="435" customFormat="1">
      <c r="A90" s="344">
        <f t="shared" si="5"/>
        <v>25</v>
      </c>
      <c r="B90" s="315" t="s">
        <v>295</v>
      </c>
      <c r="C90" s="337" t="s">
        <v>388</v>
      </c>
      <c r="D90" s="286" t="s">
        <v>529</v>
      </c>
      <c r="E90" s="288"/>
      <c r="F90" s="421">
        <v>57.709069999999997</v>
      </c>
      <c r="G90" s="287"/>
      <c r="H90" s="289"/>
      <c r="I90" s="289"/>
      <c r="J90" s="289"/>
      <c r="K90" s="289"/>
      <c r="L90" s="288"/>
      <c r="M90" s="287"/>
      <c r="N90" s="285"/>
      <c r="O90" s="286"/>
      <c r="P90" s="300"/>
      <c r="Q90" s="300"/>
      <c r="R90" s="522"/>
      <c r="S90" s="285"/>
      <c r="T90" s="285"/>
      <c r="U90" s="263"/>
      <c r="V90" s="263"/>
      <c r="W90" s="263"/>
      <c r="X90" s="263"/>
      <c r="Y90" s="263"/>
      <c r="Z90" s="263"/>
    </row>
    <row r="91" spans="1:26" s="259" customFormat="1" ht="11.5" customHeight="1">
      <c r="A91" s="344">
        <f t="shared" si="5"/>
        <v>26</v>
      </c>
      <c r="B91" s="315" t="s">
        <v>402</v>
      </c>
      <c r="C91" s="337" t="s">
        <v>374</v>
      </c>
      <c r="D91" s="286" t="s">
        <v>532</v>
      </c>
      <c r="E91" s="288"/>
      <c r="F91" s="421">
        <v>27.143050000000002</v>
      </c>
      <c r="G91" s="287"/>
      <c r="H91" s="287"/>
      <c r="I91" s="289"/>
      <c r="J91" s="286"/>
      <c r="K91" s="287"/>
      <c r="L91" s="288"/>
      <c r="M91" s="287"/>
      <c r="N91" s="285"/>
      <c r="O91" s="286"/>
      <c r="P91" s="285"/>
      <c r="Q91" s="289"/>
      <c r="R91" s="520"/>
      <c r="S91" s="285"/>
      <c r="T91" s="285"/>
      <c r="U91" s="439"/>
      <c r="V91" s="439"/>
      <c r="W91" s="439"/>
      <c r="X91" s="439"/>
      <c r="Y91" s="439"/>
      <c r="Z91" s="439"/>
    </row>
    <row r="92" spans="1:26" s="263" customFormat="1" ht="23">
      <c r="A92" s="344">
        <f t="shared" si="5"/>
        <v>27</v>
      </c>
      <c r="B92" s="315" t="s">
        <v>403</v>
      </c>
      <c r="C92" s="316" t="s">
        <v>377</v>
      </c>
      <c r="D92" s="286" t="s">
        <v>532</v>
      </c>
      <c r="E92" s="425"/>
      <c r="F92" s="421">
        <v>20.523902000000003</v>
      </c>
      <c r="G92" s="426"/>
      <c r="H92" s="427"/>
      <c r="I92" s="427"/>
      <c r="J92" s="427"/>
      <c r="K92" s="427"/>
      <c r="L92" s="425"/>
      <c r="M92" s="426"/>
      <c r="N92" s="428"/>
      <c r="O92" s="437"/>
      <c r="P92" s="438"/>
      <c r="Q92" s="438"/>
      <c r="R92" s="524"/>
      <c r="S92" s="428"/>
      <c r="T92" s="428"/>
    </row>
    <row r="93" spans="1:26" s="263" customFormat="1" ht="23">
      <c r="A93" s="344">
        <f t="shared" si="5"/>
        <v>28</v>
      </c>
      <c r="B93" s="315" t="s">
        <v>404</v>
      </c>
      <c r="C93" s="337" t="s">
        <v>374</v>
      </c>
      <c r="D93" s="286" t="s">
        <v>532</v>
      </c>
      <c r="E93" s="429"/>
      <c r="F93" s="421">
        <v>27.143050000000002</v>
      </c>
      <c r="G93" s="430"/>
      <c r="H93" s="430"/>
      <c r="I93" s="431"/>
      <c r="J93" s="413"/>
      <c r="K93" s="430"/>
      <c r="L93" s="429"/>
      <c r="M93" s="432"/>
      <c r="N93" s="433"/>
      <c r="O93" s="413"/>
      <c r="P93" s="432"/>
      <c r="Q93" s="432"/>
      <c r="R93" s="525"/>
      <c r="S93" s="433"/>
      <c r="T93" s="433"/>
      <c r="U93" s="298"/>
      <c r="V93" s="298"/>
      <c r="W93" s="298"/>
      <c r="X93" s="298"/>
      <c r="Y93" s="298"/>
      <c r="Z93" s="298"/>
    </row>
    <row r="94" spans="1:26" s="263" customFormat="1" ht="23">
      <c r="A94" s="344">
        <f t="shared" si="5"/>
        <v>29</v>
      </c>
      <c r="B94" s="315" t="s">
        <v>405</v>
      </c>
      <c r="C94" s="337" t="s">
        <v>374</v>
      </c>
      <c r="D94" s="286" t="s">
        <v>532</v>
      </c>
      <c r="E94" s="288"/>
      <c r="F94" s="421">
        <v>27.143050000000002</v>
      </c>
      <c r="G94" s="287"/>
      <c r="H94" s="289"/>
      <c r="I94" s="289"/>
      <c r="J94" s="289"/>
      <c r="K94" s="289"/>
      <c r="L94" s="288"/>
      <c r="M94" s="300"/>
      <c r="N94" s="285"/>
      <c r="O94" s="286"/>
      <c r="P94" s="300"/>
      <c r="Q94" s="300"/>
      <c r="R94" s="522"/>
      <c r="S94" s="285"/>
      <c r="T94" s="285"/>
    </row>
    <row r="95" spans="1:26" s="263" customFormat="1">
      <c r="A95" s="344">
        <f t="shared" si="5"/>
        <v>30</v>
      </c>
      <c r="B95" s="315" t="s">
        <v>518</v>
      </c>
      <c r="C95" s="337" t="s">
        <v>516</v>
      </c>
      <c r="D95" s="286" t="s">
        <v>534</v>
      </c>
      <c r="E95" s="288"/>
      <c r="F95" s="421">
        <v>39.268587999999994</v>
      </c>
      <c r="G95" s="287"/>
      <c r="H95" s="287"/>
      <c r="I95" s="287"/>
      <c r="J95" s="289"/>
      <c r="K95" s="287"/>
      <c r="L95" s="288"/>
      <c r="M95" s="289"/>
      <c r="N95" s="286"/>
      <c r="O95" s="286"/>
      <c r="P95" s="300"/>
      <c r="Q95" s="300"/>
      <c r="R95" s="522"/>
      <c r="S95" s="285"/>
      <c r="T95" s="285"/>
    </row>
    <row r="96" spans="1:26" s="263" customFormat="1">
      <c r="A96" s="344">
        <f t="shared" si="5"/>
        <v>31</v>
      </c>
      <c r="B96" s="315" t="s">
        <v>406</v>
      </c>
      <c r="C96" s="337" t="s">
        <v>516</v>
      </c>
      <c r="D96" s="286" t="s">
        <v>534</v>
      </c>
      <c r="E96" s="440"/>
      <c r="F96" s="421">
        <v>39.268587999999994</v>
      </c>
      <c r="G96" s="441"/>
      <c r="H96" s="442"/>
      <c r="I96" s="442"/>
      <c r="J96" s="442"/>
      <c r="K96" s="442"/>
      <c r="L96" s="440"/>
      <c r="M96" s="441"/>
      <c r="N96" s="443"/>
      <c r="O96" s="444"/>
      <c r="P96" s="443"/>
      <c r="Q96" s="443"/>
      <c r="R96" s="526"/>
      <c r="S96" s="443"/>
      <c r="T96" s="443"/>
    </row>
    <row r="97" spans="1:26" s="263" customFormat="1">
      <c r="A97" s="344">
        <f t="shared" si="5"/>
        <v>32</v>
      </c>
      <c r="B97" s="315" t="s">
        <v>520</v>
      </c>
      <c r="C97" s="337" t="s">
        <v>516</v>
      </c>
      <c r="D97" s="286" t="s">
        <v>534</v>
      </c>
      <c r="E97" s="288"/>
      <c r="F97" s="421">
        <v>39.268587999999994</v>
      </c>
      <c r="G97" s="287"/>
      <c r="H97" s="289"/>
      <c r="I97" s="289"/>
      <c r="J97" s="289"/>
      <c r="K97" s="289"/>
      <c r="L97" s="288"/>
      <c r="M97" s="287"/>
      <c r="N97" s="285"/>
      <c r="O97" s="286"/>
      <c r="P97" s="285"/>
      <c r="Q97" s="285"/>
      <c r="R97" s="344"/>
      <c r="S97" s="285"/>
      <c r="T97" s="285"/>
    </row>
    <row r="98" spans="1:26" s="263" customFormat="1">
      <c r="A98" s="344">
        <f t="shared" si="5"/>
        <v>33</v>
      </c>
      <c r="B98" s="315" t="s">
        <v>519</v>
      </c>
      <c r="C98" s="337" t="s">
        <v>516</v>
      </c>
      <c r="D98" s="286" t="s">
        <v>534</v>
      </c>
      <c r="E98" s="288"/>
      <c r="F98" s="421">
        <v>39.268587999999994</v>
      </c>
      <c r="G98" s="287"/>
      <c r="H98" s="289"/>
      <c r="I98" s="289"/>
      <c r="J98" s="289"/>
      <c r="K98" s="289"/>
      <c r="L98" s="288"/>
      <c r="M98" s="287"/>
      <c r="N98" s="285"/>
      <c r="O98" s="286"/>
      <c r="P98" s="300"/>
      <c r="Q98" s="300"/>
      <c r="R98" s="522"/>
      <c r="S98" s="285"/>
      <c r="T98" s="285"/>
    </row>
    <row r="99" spans="1:26" s="263" customFormat="1">
      <c r="A99" s="344">
        <f t="shared" si="5"/>
        <v>34</v>
      </c>
      <c r="B99" s="315" t="s">
        <v>408</v>
      </c>
      <c r="C99" s="337" t="s">
        <v>516</v>
      </c>
      <c r="D99" s="286" t="s">
        <v>534</v>
      </c>
      <c r="E99" s="288"/>
      <c r="F99" s="421">
        <v>39.268587999999994</v>
      </c>
      <c r="G99" s="287"/>
      <c r="H99" s="289"/>
      <c r="I99" s="289"/>
      <c r="J99" s="289"/>
      <c r="K99" s="289"/>
      <c r="L99" s="288"/>
      <c r="M99" s="287"/>
      <c r="N99" s="285"/>
      <c r="O99" s="286"/>
      <c r="P99" s="300"/>
      <c r="Q99" s="300"/>
      <c r="R99" s="522"/>
      <c r="S99" s="285"/>
      <c r="T99" s="285"/>
    </row>
    <row r="100" spans="1:26" s="259" customFormat="1" ht="13.5" customHeight="1">
      <c r="A100" s="344">
        <f t="shared" si="5"/>
        <v>35</v>
      </c>
      <c r="B100" s="315" t="s">
        <v>521</v>
      </c>
      <c r="C100" s="337" t="s">
        <v>516</v>
      </c>
      <c r="D100" s="286" t="s">
        <v>534</v>
      </c>
      <c r="E100" s="288"/>
      <c r="F100" s="421">
        <v>39.268587999999994</v>
      </c>
      <c r="G100" s="287"/>
      <c r="H100" s="289"/>
      <c r="I100" s="289"/>
      <c r="J100" s="289"/>
      <c r="K100" s="289"/>
      <c r="L100" s="288"/>
      <c r="M100" s="287"/>
      <c r="N100" s="313"/>
      <c r="O100" s="286"/>
      <c r="P100" s="285"/>
      <c r="Q100" s="300"/>
      <c r="R100" s="520"/>
      <c r="S100" s="285"/>
      <c r="T100" s="285"/>
    </row>
    <row r="101" spans="1:26" s="259" customFormat="1" ht="13.5" customHeight="1">
      <c r="A101" s="344">
        <f t="shared" si="5"/>
        <v>36</v>
      </c>
      <c r="B101" s="315" t="s">
        <v>409</v>
      </c>
      <c r="C101" s="337" t="s">
        <v>517</v>
      </c>
      <c r="D101" s="286" t="s">
        <v>533</v>
      </c>
      <c r="E101" s="288"/>
      <c r="F101" s="421">
        <v>48.579970000000003</v>
      </c>
      <c r="G101" s="287"/>
      <c r="H101" s="289"/>
      <c r="I101" s="289"/>
      <c r="J101" s="289"/>
      <c r="K101" s="289"/>
      <c r="L101" s="288"/>
      <c r="M101" s="287"/>
      <c r="N101" s="313"/>
      <c r="O101" s="286"/>
      <c r="P101" s="285"/>
      <c r="Q101" s="300"/>
      <c r="R101" s="520"/>
    </row>
    <row r="102" spans="1:26" s="445" customFormat="1">
      <c r="A102" s="344">
        <f t="shared" si="5"/>
        <v>37</v>
      </c>
      <c r="B102" s="315" t="s">
        <v>410</v>
      </c>
      <c r="C102" s="337" t="s">
        <v>385</v>
      </c>
      <c r="D102" s="286" t="s">
        <v>533</v>
      </c>
      <c r="E102" s="288"/>
      <c r="F102" s="421">
        <v>62.923564000000006</v>
      </c>
      <c r="G102" s="287"/>
      <c r="H102" s="289"/>
      <c r="I102" s="289"/>
      <c r="J102" s="289"/>
      <c r="K102" s="289"/>
      <c r="L102" s="288"/>
      <c r="M102" s="287"/>
      <c r="N102" s="313"/>
      <c r="O102" s="286"/>
      <c r="P102" s="285"/>
      <c r="Q102" s="300"/>
      <c r="R102" s="520"/>
      <c r="S102" s="259"/>
      <c r="T102" s="259"/>
    </row>
    <row r="103" spans="1:26" s="263" customFormat="1">
      <c r="A103" s="285"/>
      <c r="B103" s="446"/>
      <c r="C103" s="462"/>
      <c r="D103" s="447"/>
      <c r="E103" s="288"/>
      <c r="F103" s="290"/>
      <c r="G103" s="287"/>
      <c r="H103" s="287"/>
      <c r="I103" s="289"/>
      <c r="J103" s="286"/>
      <c r="K103" s="287"/>
      <c r="L103" s="288"/>
      <c r="M103" s="287"/>
      <c r="N103" s="420"/>
      <c r="O103" s="286"/>
      <c r="P103" s="287"/>
      <c r="Q103" s="287"/>
      <c r="R103" s="520"/>
      <c r="S103" s="259"/>
      <c r="T103" s="259"/>
    </row>
    <row r="104" spans="1:26" s="445" customFormat="1">
      <c r="A104" s="448" t="s">
        <v>38</v>
      </c>
      <c r="B104" s="449"/>
      <c r="C104" s="449"/>
      <c r="D104" s="449"/>
      <c r="E104" s="449"/>
      <c r="F104" s="449"/>
      <c r="G104" s="448"/>
      <c r="H104" s="449"/>
      <c r="I104" s="449"/>
      <c r="J104" s="449"/>
      <c r="K104" s="449"/>
      <c r="L104" s="449"/>
      <c r="M104" s="449"/>
      <c r="N104" s="450"/>
      <c r="O104" s="450"/>
      <c r="P104" s="449"/>
      <c r="Q104" s="449"/>
      <c r="R104" s="519"/>
      <c r="S104" s="451"/>
      <c r="T104" s="451"/>
    </row>
    <row r="105" spans="1:26" s="445" customFormat="1" ht="15" customHeight="1">
      <c r="A105" s="747" t="s">
        <v>43</v>
      </c>
      <c r="B105" s="794" t="s">
        <v>302</v>
      </c>
      <c r="C105" s="794"/>
      <c r="D105" s="747" t="s">
        <v>362</v>
      </c>
      <c r="E105" s="800" t="s">
        <v>531</v>
      </c>
      <c r="F105" s="749" t="s">
        <v>381</v>
      </c>
      <c r="G105" s="750"/>
      <c r="H105" s="749" t="s">
        <v>380</v>
      </c>
      <c r="I105" s="750"/>
      <c r="J105" s="749" t="s">
        <v>372</v>
      </c>
      <c r="K105" s="750"/>
      <c r="L105" s="802" t="s">
        <v>46</v>
      </c>
      <c r="M105" s="803"/>
      <c r="N105" s="804"/>
      <c r="O105" s="808" t="s">
        <v>48</v>
      </c>
      <c r="P105" s="747" t="s">
        <v>363</v>
      </c>
      <c r="Q105" s="747" t="s">
        <v>373</v>
      </c>
      <c r="R105" s="792" t="s">
        <v>28</v>
      </c>
      <c r="S105" s="453"/>
      <c r="T105" s="745"/>
      <c r="U105" s="746"/>
    </row>
    <row r="106" spans="1:26" s="445" customFormat="1" ht="15" customHeight="1">
      <c r="A106" s="748"/>
      <c r="B106" s="452" t="s">
        <v>536</v>
      </c>
      <c r="C106" s="452" t="s">
        <v>537</v>
      </c>
      <c r="D106" s="748"/>
      <c r="E106" s="801"/>
      <c r="F106" s="452" t="s">
        <v>382</v>
      </c>
      <c r="G106" s="452" t="s">
        <v>372</v>
      </c>
      <c r="H106" s="452" t="s">
        <v>45</v>
      </c>
      <c r="I106" s="452" t="s">
        <v>47</v>
      </c>
      <c r="J106" s="452" t="s">
        <v>45</v>
      </c>
      <c r="K106" s="452" t="s">
        <v>47</v>
      </c>
      <c r="L106" s="805"/>
      <c r="M106" s="806"/>
      <c r="N106" s="807"/>
      <c r="O106" s="809"/>
      <c r="P106" s="748"/>
      <c r="Q106" s="748"/>
      <c r="R106" s="793"/>
      <c r="S106" s="456"/>
      <c r="T106" s="454"/>
      <c r="U106" s="455"/>
    </row>
    <row r="107" spans="1:26" s="263" customFormat="1">
      <c r="A107" s="299">
        <v>1</v>
      </c>
      <c r="B107" s="286" t="s">
        <v>270</v>
      </c>
      <c r="C107" s="316" t="s">
        <v>384</v>
      </c>
      <c r="D107" s="290">
        <v>275.47800000000001</v>
      </c>
      <c r="E107" s="286"/>
      <c r="F107" s="310"/>
      <c r="G107" s="310"/>
      <c r="H107" s="310"/>
      <c r="I107" s="310"/>
      <c r="J107" s="411"/>
      <c r="K107" s="414"/>
      <c r="L107" s="414"/>
      <c r="M107" s="411"/>
      <c r="N107" s="286"/>
      <c r="O107" s="286"/>
      <c r="P107" s="413"/>
      <c r="Q107" s="302"/>
      <c r="R107" s="527"/>
      <c r="S107" s="297"/>
      <c r="T107" s="297"/>
      <c r="U107" s="298"/>
      <c r="V107" s="298"/>
      <c r="W107" s="298"/>
      <c r="X107" s="298"/>
      <c r="Y107" s="298"/>
      <c r="Z107" s="298"/>
    </row>
    <row r="108" spans="1:26" s="263" customFormat="1">
      <c r="A108" s="415">
        <f>A107+1</f>
        <v>2</v>
      </c>
      <c r="B108" s="314" t="s">
        <v>384</v>
      </c>
      <c r="C108" s="316" t="s">
        <v>271</v>
      </c>
      <c r="D108" s="290">
        <v>192.96</v>
      </c>
      <c r="E108" s="286"/>
      <c r="F108" s="310"/>
      <c r="G108" s="310"/>
      <c r="H108" s="310"/>
      <c r="I108" s="310"/>
      <c r="J108" s="411"/>
      <c r="K108" s="414"/>
      <c r="L108" s="414"/>
      <c r="M108" s="411"/>
      <c r="N108" s="286"/>
      <c r="O108" s="286"/>
      <c r="P108" s="413"/>
      <c r="Q108" s="302"/>
      <c r="R108" s="528"/>
      <c r="S108" s="297"/>
      <c r="T108" s="297"/>
      <c r="U108" s="298"/>
      <c r="V108" s="298"/>
      <c r="W108" s="298"/>
      <c r="X108" s="298"/>
      <c r="Y108" s="298"/>
      <c r="Z108" s="298"/>
    </row>
    <row r="109" spans="1:26" s="263" customFormat="1">
      <c r="A109" s="415">
        <f t="shared" ref="A109:A140" si="6">A108+1</f>
        <v>3</v>
      </c>
      <c r="B109" s="314" t="s">
        <v>271</v>
      </c>
      <c r="C109" s="316" t="s">
        <v>272</v>
      </c>
      <c r="D109" s="290">
        <v>229.77500000000001</v>
      </c>
      <c r="E109" s="286"/>
      <c r="F109" s="310"/>
      <c r="G109" s="310"/>
      <c r="H109" s="310"/>
      <c r="I109" s="310"/>
      <c r="J109" s="411"/>
      <c r="K109" s="414"/>
      <c r="L109" s="414"/>
      <c r="M109" s="411"/>
      <c r="N109" s="286"/>
      <c r="O109" s="286"/>
      <c r="P109" s="413"/>
      <c r="Q109" s="302"/>
      <c r="R109" s="528"/>
      <c r="S109" s="297"/>
      <c r="T109" s="297"/>
      <c r="U109" s="298"/>
      <c r="V109" s="298"/>
      <c r="W109" s="298"/>
      <c r="X109" s="298"/>
      <c r="Y109" s="298"/>
      <c r="Z109" s="298"/>
    </row>
    <row r="110" spans="1:26" s="263" customFormat="1" ht="13" customHeight="1">
      <c r="A110" s="415">
        <f t="shared" si="6"/>
        <v>4</v>
      </c>
      <c r="B110" s="314" t="s">
        <v>272</v>
      </c>
      <c r="C110" s="316" t="s">
        <v>273</v>
      </c>
      <c r="D110" s="286">
        <v>263.916</v>
      </c>
      <c r="E110" s="286"/>
      <c r="F110" s="310"/>
      <c r="G110" s="310"/>
      <c r="H110" s="310"/>
      <c r="I110" s="310"/>
      <c r="J110" s="411"/>
      <c r="K110" s="287"/>
      <c r="L110" s="287"/>
      <c r="M110" s="411"/>
      <c r="N110" s="415"/>
      <c r="O110" s="286"/>
      <c r="P110" s="413"/>
      <c r="Q110" s="416"/>
      <c r="R110" s="528"/>
      <c r="S110" s="259"/>
      <c r="T110" s="259"/>
    </row>
    <row r="111" spans="1:26" s="263" customFormat="1" ht="13" customHeight="1">
      <c r="A111" s="415">
        <f t="shared" si="6"/>
        <v>5</v>
      </c>
      <c r="B111" s="314" t="s">
        <v>273</v>
      </c>
      <c r="C111" s="316" t="s">
        <v>82</v>
      </c>
      <c r="D111" s="286">
        <v>253.62700000000001</v>
      </c>
      <c r="E111" s="286"/>
      <c r="F111" s="310"/>
      <c r="G111" s="310"/>
      <c r="H111" s="310"/>
      <c r="I111" s="310"/>
      <c r="J111" s="411"/>
      <c r="K111" s="287"/>
      <c r="L111" s="287"/>
      <c r="M111" s="411"/>
      <c r="N111" s="415"/>
      <c r="O111" s="286"/>
      <c r="P111" s="413"/>
      <c r="Q111" s="416"/>
      <c r="R111" s="528"/>
      <c r="S111" s="259"/>
      <c r="T111" s="259"/>
    </row>
    <row r="112" spans="1:26" s="263" customFormat="1" ht="13" customHeight="1">
      <c r="A112" s="415">
        <f t="shared" si="6"/>
        <v>6</v>
      </c>
      <c r="B112" s="314" t="s">
        <v>82</v>
      </c>
      <c r="C112" s="316" t="s">
        <v>274</v>
      </c>
      <c r="D112" s="286">
        <v>266.29599999999999</v>
      </c>
      <c r="E112" s="286"/>
      <c r="F112" s="310"/>
      <c r="G112" s="310"/>
      <c r="H112" s="310"/>
      <c r="I112" s="310"/>
      <c r="J112" s="411"/>
      <c r="K112" s="287"/>
      <c r="L112" s="287"/>
      <c r="M112" s="411"/>
      <c r="N112" s="299"/>
      <c r="O112" s="286"/>
      <c r="P112" s="413"/>
      <c r="Q112" s="416"/>
      <c r="R112" s="528"/>
      <c r="S112" s="259"/>
      <c r="T112" s="259"/>
    </row>
    <row r="113" spans="1:26" s="263" customFormat="1">
      <c r="A113" s="415">
        <f t="shared" si="6"/>
        <v>7</v>
      </c>
      <c r="B113" s="314" t="s">
        <v>274</v>
      </c>
      <c r="C113" s="316" t="s">
        <v>68</v>
      </c>
      <c r="D113" s="312">
        <v>325.85899999999998</v>
      </c>
      <c r="E113" s="286"/>
      <c r="F113" s="310"/>
      <c r="G113" s="310"/>
      <c r="H113" s="310"/>
      <c r="I113" s="310"/>
      <c r="J113" s="411"/>
      <c r="K113" s="411"/>
      <c r="L113" s="411"/>
      <c r="M113" s="411"/>
      <c r="N113" s="286"/>
      <c r="O113" s="286"/>
      <c r="P113" s="413"/>
      <c r="Q113" s="416"/>
      <c r="R113" s="528"/>
      <c r="S113" s="259"/>
      <c r="T113" s="259"/>
    </row>
    <row r="114" spans="1:26" s="263" customFormat="1" ht="10" customHeight="1">
      <c r="A114" s="415">
        <f t="shared" si="6"/>
        <v>8</v>
      </c>
      <c r="B114" s="314" t="s">
        <v>68</v>
      </c>
      <c r="C114" s="316" t="s">
        <v>277</v>
      </c>
      <c r="D114" s="312">
        <v>143.60900000000001</v>
      </c>
      <c r="E114" s="286"/>
      <c r="F114" s="310"/>
      <c r="G114" s="310"/>
      <c r="H114" s="310"/>
      <c r="I114" s="310"/>
      <c r="J114" s="411"/>
      <c r="K114" s="411"/>
      <c r="L114" s="411"/>
      <c r="M114" s="411"/>
      <c r="N114" s="286"/>
      <c r="O114" s="286"/>
      <c r="P114" s="413"/>
      <c r="Q114" s="416"/>
      <c r="R114" s="528"/>
      <c r="S114" s="259"/>
      <c r="T114" s="259"/>
    </row>
    <row r="115" spans="1:26" s="263" customFormat="1">
      <c r="A115" s="415">
        <f t="shared" si="6"/>
        <v>9</v>
      </c>
      <c r="B115" s="314" t="s">
        <v>277</v>
      </c>
      <c r="C115" s="316" t="s">
        <v>390</v>
      </c>
      <c r="D115" s="312">
        <v>203.18799999999999</v>
      </c>
      <c r="E115" s="286"/>
      <c r="F115" s="310"/>
      <c r="G115" s="310"/>
      <c r="H115" s="310"/>
      <c r="I115" s="310"/>
      <c r="J115" s="411"/>
      <c r="K115" s="411"/>
      <c r="L115" s="411"/>
      <c r="M115" s="300"/>
      <c r="N115" s="286"/>
      <c r="O115" s="286"/>
      <c r="P115" s="413"/>
      <c r="Q115" s="416"/>
      <c r="R115" s="528"/>
      <c r="S115" s="259"/>
      <c r="T115" s="259"/>
    </row>
    <row r="116" spans="1:26" s="263" customFormat="1">
      <c r="A116" s="415">
        <f t="shared" si="6"/>
        <v>10</v>
      </c>
      <c r="B116" s="314" t="s">
        <v>390</v>
      </c>
      <c r="C116" s="316" t="s">
        <v>392</v>
      </c>
      <c r="D116" s="286">
        <v>110.476</v>
      </c>
      <c r="E116" s="286"/>
      <c r="F116" s="310"/>
      <c r="G116" s="310"/>
      <c r="H116" s="310"/>
      <c r="I116" s="310"/>
      <c r="J116" s="411"/>
      <c r="K116" s="287"/>
      <c r="L116" s="287"/>
      <c r="M116" s="411"/>
      <c r="N116" s="299"/>
      <c r="O116" s="286"/>
      <c r="P116" s="413"/>
      <c r="Q116" s="416"/>
      <c r="R116" s="528"/>
      <c r="S116" s="259"/>
      <c r="T116" s="259"/>
    </row>
    <row r="117" spans="1:26" s="298" customFormat="1" ht="11.5" customHeight="1">
      <c r="A117" s="415">
        <f t="shared" si="6"/>
        <v>11</v>
      </c>
      <c r="B117" s="314" t="s">
        <v>392</v>
      </c>
      <c r="C117" s="316" t="s">
        <v>393</v>
      </c>
      <c r="D117" s="286">
        <v>90.61</v>
      </c>
      <c r="E117" s="286"/>
      <c r="F117" s="310"/>
      <c r="G117" s="310"/>
      <c r="H117" s="310"/>
      <c r="I117" s="310"/>
      <c r="J117" s="411"/>
      <c r="K117" s="287"/>
      <c r="L117" s="287"/>
      <c r="M117" s="411"/>
      <c r="N117" s="299"/>
      <c r="O117" s="286"/>
      <c r="P117" s="413"/>
      <c r="Q117" s="416"/>
      <c r="R117" s="528"/>
      <c r="S117" s="259"/>
      <c r="T117" s="259"/>
      <c r="U117" s="263"/>
      <c r="V117" s="263"/>
      <c r="W117" s="263"/>
      <c r="X117" s="263"/>
      <c r="Y117" s="263"/>
      <c r="Z117" s="263"/>
    </row>
    <row r="118" spans="1:26" s="298" customFormat="1" ht="11.5" customHeight="1">
      <c r="A118" s="415">
        <f t="shared" si="6"/>
        <v>12</v>
      </c>
      <c r="B118" s="314" t="s">
        <v>393</v>
      </c>
      <c r="C118" s="344" t="s">
        <v>278</v>
      </c>
      <c r="D118" s="290">
        <v>155.95099999999999</v>
      </c>
      <c r="E118" s="286"/>
      <c r="F118" s="310"/>
      <c r="G118" s="310"/>
      <c r="H118" s="310"/>
      <c r="I118" s="310"/>
      <c r="J118" s="411"/>
      <c r="K118" s="287"/>
      <c r="L118" s="287"/>
      <c r="M118" s="411"/>
      <c r="N118" s="299"/>
      <c r="O118" s="286"/>
      <c r="P118" s="413"/>
      <c r="Q118" s="416"/>
      <c r="R118" s="528"/>
      <c r="S118" s="259"/>
      <c r="T118" s="259"/>
      <c r="U118" s="263"/>
      <c r="V118" s="263"/>
      <c r="W118" s="263"/>
      <c r="X118" s="263"/>
      <c r="Y118" s="263"/>
      <c r="Z118" s="263"/>
    </row>
    <row r="119" spans="1:26" s="298" customFormat="1" ht="11.5" customHeight="1">
      <c r="A119" s="415">
        <f t="shared" si="6"/>
        <v>13</v>
      </c>
      <c r="B119" s="74" t="s">
        <v>278</v>
      </c>
      <c r="C119" s="316" t="s">
        <v>281</v>
      </c>
      <c r="D119" s="286">
        <v>295.70600000000002</v>
      </c>
      <c r="E119" s="286"/>
      <c r="F119" s="310"/>
      <c r="G119" s="310"/>
      <c r="H119" s="310"/>
      <c r="I119" s="310"/>
      <c r="J119" s="411"/>
      <c r="K119" s="287"/>
      <c r="L119" s="287"/>
      <c r="M119" s="417"/>
      <c r="N119" s="299"/>
      <c r="O119" s="286"/>
      <c r="P119" s="413"/>
      <c r="Q119" s="416"/>
      <c r="R119" s="528"/>
      <c r="S119" s="259"/>
      <c r="T119" s="259"/>
      <c r="U119" s="263"/>
      <c r="V119" s="263"/>
      <c r="W119" s="263"/>
      <c r="X119" s="263"/>
      <c r="Y119" s="263"/>
      <c r="Z119" s="263"/>
    </row>
    <row r="120" spans="1:26" s="298" customFormat="1" ht="11.5" customHeight="1">
      <c r="A120" s="415">
        <f t="shared" si="6"/>
        <v>14</v>
      </c>
      <c r="B120" s="314" t="s">
        <v>281</v>
      </c>
      <c r="C120" s="316" t="s">
        <v>394</v>
      </c>
      <c r="D120" s="286">
        <v>169.148</v>
      </c>
      <c r="E120" s="286"/>
      <c r="F120" s="310"/>
      <c r="G120" s="310"/>
      <c r="H120" s="310"/>
      <c r="I120" s="310"/>
      <c r="J120" s="411"/>
      <c r="K120" s="287"/>
      <c r="L120" s="287"/>
      <c r="M120" s="411"/>
      <c r="N120" s="299"/>
      <c r="O120" s="286"/>
      <c r="P120" s="413"/>
      <c r="Q120" s="416"/>
      <c r="R120" s="528"/>
      <c r="S120" s="259"/>
      <c r="T120" s="259"/>
      <c r="U120" s="263"/>
      <c r="V120" s="263"/>
      <c r="W120" s="263"/>
      <c r="X120" s="263"/>
      <c r="Y120" s="263"/>
      <c r="Z120" s="263"/>
    </row>
    <row r="121" spans="1:26" s="298" customFormat="1" ht="11.5" customHeight="1">
      <c r="A121" s="415">
        <f t="shared" si="6"/>
        <v>15</v>
      </c>
      <c r="B121" s="314" t="s">
        <v>394</v>
      </c>
      <c r="C121" s="316" t="s">
        <v>378</v>
      </c>
      <c r="D121" s="286">
        <v>320.24700000000001</v>
      </c>
      <c r="E121" s="286"/>
      <c r="F121" s="310"/>
      <c r="G121" s="310"/>
      <c r="H121" s="310"/>
      <c r="I121" s="310"/>
      <c r="J121" s="411"/>
      <c r="K121" s="287"/>
      <c r="L121" s="287"/>
      <c r="M121" s="411"/>
      <c r="N121" s="299"/>
      <c r="O121" s="286"/>
      <c r="P121" s="413"/>
      <c r="Q121" s="416"/>
      <c r="R121" s="527"/>
      <c r="S121" s="259"/>
      <c r="T121" s="259"/>
      <c r="U121" s="263"/>
      <c r="V121" s="263"/>
      <c r="W121" s="263"/>
      <c r="X121" s="263"/>
      <c r="Y121" s="263"/>
      <c r="Z121" s="263"/>
    </row>
    <row r="122" spans="1:26" s="298" customFormat="1" ht="11.5" customHeight="1">
      <c r="A122" s="415">
        <f t="shared" si="6"/>
        <v>16</v>
      </c>
      <c r="B122" s="314" t="s">
        <v>378</v>
      </c>
      <c r="C122" s="316" t="s">
        <v>396</v>
      </c>
      <c r="D122" s="286">
        <v>218.01599999999999</v>
      </c>
      <c r="E122" s="286"/>
      <c r="F122" s="310"/>
      <c r="G122" s="310"/>
      <c r="H122" s="310"/>
      <c r="I122" s="310"/>
      <c r="J122" s="411"/>
      <c r="K122" s="287"/>
      <c r="L122" s="287"/>
      <c r="M122" s="411"/>
      <c r="N122" s="299"/>
      <c r="O122" s="286"/>
      <c r="P122" s="413"/>
      <c r="Q122" s="416"/>
      <c r="R122" s="527"/>
      <c r="S122" s="259"/>
      <c r="T122" s="259"/>
      <c r="U122" s="263"/>
      <c r="V122" s="263"/>
      <c r="W122" s="263"/>
      <c r="X122" s="263"/>
      <c r="Y122" s="263"/>
      <c r="Z122" s="263"/>
    </row>
    <row r="123" spans="1:26" s="298" customFormat="1" ht="11.5" customHeight="1">
      <c r="A123" s="415">
        <f t="shared" si="6"/>
        <v>17</v>
      </c>
      <c r="B123" s="314" t="s">
        <v>396</v>
      </c>
      <c r="C123" s="316" t="s">
        <v>398</v>
      </c>
      <c r="D123" s="290">
        <v>214.69300000000001</v>
      </c>
      <c r="E123" s="286"/>
      <c r="F123" s="310"/>
      <c r="G123" s="310"/>
      <c r="H123" s="310"/>
      <c r="I123" s="310"/>
      <c r="J123" s="411"/>
      <c r="K123" s="414"/>
      <c r="L123" s="414"/>
      <c r="M123" s="411"/>
      <c r="N123" s="286"/>
      <c r="O123" s="286"/>
      <c r="P123" s="413"/>
      <c r="Q123" s="302"/>
      <c r="R123" s="527"/>
      <c r="S123" s="297"/>
      <c r="T123" s="297"/>
    </row>
    <row r="124" spans="1:26" s="263" customFormat="1" ht="11.5" customHeight="1">
      <c r="A124" s="415">
        <f t="shared" si="6"/>
        <v>18</v>
      </c>
      <c r="B124" s="314" t="s">
        <v>398</v>
      </c>
      <c r="C124" s="316" t="s">
        <v>291</v>
      </c>
      <c r="D124" s="290">
        <v>319.85500000000002</v>
      </c>
      <c r="E124" s="286"/>
      <c r="F124" s="310"/>
      <c r="G124" s="310"/>
      <c r="H124" s="310"/>
      <c r="I124" s="310"/>
      <c r="J124" s="411"/>
      <c r="K124" s="414"/>
      <c r="L124" s="414"/>
      <c r="M124" s="411"/>
      <c r="N124" s="299"/>
      <c r="O124" s="286"/>
      <c r="P124" s="413"/>
      <c r="Q124" s="302"/>
      <c r="R124" s="528"/>
      <c r="S124" s="297"/>
      <c r="T124" s="297"/>
      <c r="U124" s="298"/>
      <c r="V124" s="298"/>
      <c r="W124" s="298"/>
      <c r="X124" s="298"/>
      <c r="Y124" s="298"/>
      <c r="Z124" s="298"/>
    </row>
    <row r="125" spans="1:26" s="263" customFormat="1" ht="11.5" customHeight="1">
      <c r="A125" s="415">
        <f t="shared" si="6"/>
        <v>19</v>
      </c>
      <c r="B125" s="314" t="s">
        <v>291</v>
      </c>
      <c r="C125" s="316" t="s">
        <v>292</v>
      </c>
      <c r="D125" s="290">
        <v>195.03100000000001</v>
      </c>
      <c r="E125" s="286"/>
      <c r="F125" s="310"/>
      <c r="G125" s="310"/>
      <c r="H125" s="310"/>
      <c r="I125" s="310"/>
      <c r="J125" s="411"/>
      <c r="K125" s="414"/>
      <c r="L125" s="414"/>
      <c r="M125" s="411"/>
      <c r="N125" s="286"/>
      <c r="O125" s="286"/>
      <c r="P125" s="413"/>
      <c r="Q125" s="302"/>
      <c r="R125" s="528"/>
      <c r="S125" s="297"/>
      <c r="T125" s="297"/>
      <c r="U125" s="298"/>
      <c r="V125" s="298"/>
      <c r="W125" s="298"/>
      <c r="X125" s="298"/>
      <c r="Y125" s="298"/>
      <c r="Z125" s="298"/>
    </row>
    <row r="126" spans="1:26" s="263" customFormat="1" ht="11.5" customHeight="1">
      <c r="A126" s="415">
        <f t="shared" si="6"/>
        <v>20</v>
      </c>
      <c r="B126" s="314" t="s">
        <v>292</v>
      </c>
      <c r="C126" s="344" t="s">
        <v>400</v>
      </c>
      <c r="D126" s="290">
        <v>253.495</v>
      </c>
      <c r="E126" s="286"/>
      <c r="F126" s="308"/>
      <c r="G126" s="308"/>
      <c r="H126" s="308"/>
      <c r="I126" s="308"/>
      <c r="J126" s="411"/>
      <c r="K126" s="411"/>
      <c r="L126" s="411"/>
      <c r="M126" s="418"/>
      <c r="N126" s="286"/>
      <c r="O126" s="286"/>
      <c r="P126" s="413"/>
      <c r="Q126" s="416"/>
      <c r="R126" s="527"/>
      <c r="S126" s="259"/>
      <c r="T126" s="259"/>
    </row>
    <row r="127" spans="1:26" s="263" customFormat="1" ht="11.5" customHeight="1">
      <c r="A127" s="415">
        <f t="shared" si="6"/>
        <v>21</v>
      </c>
      <c r="B127" s="74" t="s">
        <v>400</v>
      </c>
      <c r="C127" s="344" t="s">
        <v>515</v>
      </c>
      <c r="D127" s="290">
        <v>247.82599999999999</v>
      </c>
      <c r="E127" s="286"/>
      <c r="F127" s="308"/>
      <c r="G127" s="308"/>
      <c r="H127" s="308"/>
      <c r="I127" s="308"/>
      <c r="J127" s="411"/>
      <c r="K127" s="300"/>
      <c r="L127" s="300"/>
      <c r="M127" s="418"/>
      <c r="N127" s="286"/>
      <c r="O127" s="286"/>
      <c r="P127" s="413"/>
      <c r="Q127" s="416"/>
      <c r="R127" s="527"/>
      <c r="S127" s="259"/>
      <c r="T127" s="259"/>
    </row>
    <row r="128" spans="1:26" s="263" customFormat="1" ht="11.5" customHeight="1">
      <c r="A128" s="415">
        <f t="shared" si="6"/>
        <v>22</v>
      </c>
      <c r="B128" s="74" t="s">
        <v>515</v>
      </c>
      <c r="C128" s="316" t="s">
        <v>293</v>
      </c>
      <c r="D128" s="290">
        <v>149.16999999999999</v>
      </c>
      <c r="E128" s="286"/>
      <c r="F128" s="310"/>
      <c r="G128" s="310"/>
      <c r="H128" s="310"/>
      <c r="I128" s="310"/>
      <c r="J128" s="411"/>
      <c r="K128" s="414"/>
      <c r="L128" s="414"/>
      <c r="M128" s="411"/>
      <c r="N128" s="286"/>
      <c r="O128" s="286"/>
      <c r="P128" s="413"/>
      <c r="Q128" s="302"/>
      <c r="R128" s="520"/>
      <c r="S128" s="297"/>
      <c r="T128" s="297"/>
      <c r="U128" s="298"/>
      <c r="V128" s="298"/>
      <c r="W128" s="298"/>
      <c r="X128" s="298"/>
      <c r="Y128" s="298"/>
      <c r="Z128" s="298"/>
    </row>
    <row r="129" spans="1:26" s="298" customFormat="1" ht="11.5" customHeight="1">
      <c r="A129" s="415">
        <f t="shared" si="6"/>
        <v>23</v>
      </c>
      <c r="B129" s="314" t="s">
        <v>293</v>
      </c>
      <c r="C129" s="316" t="s">
        <v>401</v>
      </c>
      <c r="D129" s="290">
        <v>182.476</v>
      </c>
      <c r="E129" s="286"/>
      <c r="F129" s="310"/>
      <c r="G129" s="310"/>
      <c r="H129" s="310"/>
      <c r="I129" s="310"/>
      <c r="J129" s="411"/>
      <c r="K129" s="414"/>
      <c r="L129" s="414"/>
      <c r="M129" s="411"/>
      <c r="N129" s="286"/>
      <c r="O129" s="286"/>
      <c r="P129" s="413"/>
      <c r="Q129" s="302"/>
      <c r="R129" s="520"/>
      <c r="S129" s="297"/>
      <c r="T129" s="297"/>
    </row>
    <row r="130" spans="1:26" s="263" customFormat="1" ht="12" customHeight="1">
      <c r="A130" s="415">
        <f t="shared" si="6"/>
        <v>24</v>
      </c>
      <c r="B130" s="314" t="s">
        <v>401</v>
      </c>
      <c r="C130" s="316" t="s">
        <v>294</v>
      </c>
      <c r="D130" s="290">
        <v>426.82</v>
      </c>
      <c r="E130" s="286"/>
      <c r="F130" s="310"/>
      <c r="G130" s="310"/>
      <c r="H130" s="310"/>
      <c r="I130" s="310"/>
      <c r="J130" s="411"/>
      <c r="K130" s="411"/>
      <c r="L130" s="411"/>
      <c r="M130" s="411"/>
      <c r="N130" s="286"/>
      <c r="O130" s="286"/>
      <c r="P130" s="413"/>
      <c r="Q130" s="287"/>
      <c r="R130" s="521"/>
      <c r="S130" s="259"/>
      <c r="T130" s="259"/>
    </row>
    <row r="131" spans="1:26" s="263" customFormat="1" ht="11.5" customHeight="1">
      <c r="A131" s="415">
        <f t="shared" si="6"/>
        <v>25</v>
      </c>
      <c r="B131" s="314" t="s">
        <v>294</v>
      </c>
      <c r="C131" s="316" t="s">
        <v>295</v>
      </c>
      <c r="D131" s="290">
        <v>241.75899999999999</v>
      </c>
      <c r="E131" s="286"/>
      <c r="F131" s="310"/>
      <c r="G131" s="310"/>
      <c r="H131" s="310"/>
      <c r="I131" s="310"/>
      <c r="J131" s="411"/>
      <c r="K131" s="411"/>
      <c r="L131" s="411"/>
      <c r="M131" s="411"/>
      <c r="N131" s="286"/>
      <c r="O131" s="286"/>
      <c r="P131" s="413"/>
      <c r="Q131" s="287"/>
      <c r="R131" s="520"/>
      <c r="S131" s="259"/>
      <c r="T131" s="259"/>
    </row>
    <row r="132" spans="1:26" s="263" customFormat="1" ht="11.5" customHeight="1">
      <c r="A132" s="415">
        <f t="shared" si="6"/>
        <v>26</v>
      </c>
      <c r="B132" s="314" t="s">
        <v>295</v>
      </c>
      <c r="C132" s="316" t="s">
        <v>402</v>
      </c>
      <c r="D132" s="290">
        <v>138.29</v>
      </c>
      <c r="E132" s="286"/>
      <c r="F132" s="310"/>
      <c r="G132" s="310"/>
      <c r="H132" s="310"/>
      <c r="I132" s="310"/>
      <c r="J132" s="411"/>
      <c r="K132" s="414"/>
      <c r="L132" s="414"/>
      <c r="M132" s="411"/>
      <c r="N132" s="286"/>
      <c r="O132" s="286"/>
      <c r="P132" s="413"/>
      <c r="Q132" s="274"/>
      <c r="R132" s="520"/>
      <c r="S132" s="297"/>
      <c r="T132" s="297"/>
      <c r="U132" s="298"/>
      <c r="V132" s="298"/>
      <c r="W132" s="298"/>
      <c r="X132" s="298"/>
      <c r="Y132" s="298"/>
      <c r="Z132" s="298"/>
    </row>
    <row r="133" spans="1:26" s="263" customFormat="1" ht="11.5" customHeight="1">
      <c r="A133" s="415">
        <f t="shared" si="6"/>
        <v>27</v>
      </c>
      <c r="B133" s="314" t="s">
        <v>402</v>
      </c>
      <c r="C133" s="316" t="s">
        <v>403</v>
      </c>
      <c r="D133" s="419">
        <v>158.822</v>
      </c>
      <c r="E133" s="286"/>
      <c r="F133" s="310"/>
      <c r="G133" s="310"/>
      <c r="H133" s="310"/>
      <c r="I133" s="310"/>
      <c r="J133" s="411"/>
      <c r="K133" s="287"/>
      <c r="L133" s="287"/>
      <c r="M133" s="411"/>
      <c r="N133" s="286"/>
      <c r="O133" s="286"/>
      <c r="P133" s="413"/>
      <c r="Q133" s="287"/>
      <c r="R133" s="528"/>
      <c r="S133" s="259"/>
      <c r="T133" s="259"/>
    </row>
    <row r="134" spans="1:26" s="263" customFormat="1" ht="11.5" customHeight="1">
      <c r="A134" s="415">
        <f t="shared" si="6"/>
        <v>28</v>
      </c>
      <c r="B134" s="314" t="s">
        <v>403</v>
      </c>
      <c r="C134" s="316" t="s">
        <v>404</v>
      </c>
      <c r="D134" s="286">
        <v>354.23200000000003</v>
      </c>
      <c r="E134" s="286"/>
      <c r="F134" s="310"/>
      <c r="G134" s="310"/>
      <c r="H134" s="310"/>
      <c r="I134" s="310"/>
      <c r="J134" s="411"/>
      <c r="K134" s="287"/>
      <c r="L134" s="287"/>
      <c r="M134" s="411"/>
      <c r="N134" s="286"/>
      <c r="O134" s="286"/>
      <c r="P134" s="413"/>
      <c r="Q134" s="287"/>
      <c r="R134" s="528"/>
      <c r="S134" s="259"/>
      <c r="T134" s="259"/>
    </row>
    <row r="135" spans="1:26" s="263" customFormat="1" ht="11.5" customHeight="1">
      <c r="A135" s="415">
        <f t="shared" si="6"/>
        <v>29</v>
      </c>
      <c r="B135" s="314" t="s">
        <v>404</v>
      </c>
      <c r="C135" s="316" t="s">
        <v>405</v>
      </c>
      <c r="D135" s="286">
        <v>281.33999999999997</v>
      </c>
      <c r="E135" s="286"/>
      <c r="F135" s="310"/>
      <c r="G135" s="310"/>
      <c r="H135" s="310"/>
      <c r="I135" s="310"/>
      <c r="J135" s="411"/>
      <c r="K135" s="287"/>
      <c r="L135" s="287"/>
      <c r="M135" s="411"/>
      <c r="N135" s="411"/>
      <c r="O135" s="286"/>
      <c r="P135" s="413"/>
      <c r="Q135" s="416"/>
      <c r="R135" s="528"/>
      <c r="S135" s="259"/>
      <c r="T135" s="259"/>
    </row>
    <row r="136" spans="1:26" s="263" customFormat="1" ht="11.5" customHeight="1">
      <c r="A136" s="415">
        <f t="shared" si="6"/>
        <v>30</v>
      </c>
      <c r="B136" s="314" t="s">
        <v>405</v>
      </c>
      <c r="C136" s="316" t="s">
        <v>406</v>
      </c>
      <c r="D136" s="286">
        <v>369.33699999999999</v>
      </c>
      <c r="E136" s="286"/>
      <c r="F136" s="310"/>
      <c r="G136" s="310"/>
      <c r="H136" s="310"/>
      <c r="I136" s="310"/>
      <c r="J136" s="411"/>
      <c r="K136" s="287"/>
      <c r="L136" s="287"/>
      <c r="M136" s="411"/>
      <c r="N136" s="286"/>
      <c r="O136" s="286"/>
      <c r="P136" s="413"/>
      <c r="Q136" s="416"/>
      <c r="R136" s="527"/>
      <c r="S136" s="259"/>
      <c r="T136" s="259"/>
    </row>
    <row r="137" spans="1:26" s="263" customFormat="1" ht="11.5" customHeight="1">
      <c r="A137" s="415">
        <f t="shared" si="6"/>
        <v>31</v>
      </c>
      <c r="B137" s="314" t="s">
        <v>406</v>
      </c>
      <c r="C137" s="316" t="s">
        <v>408</v>
      </c>
      <c r="D137" s="286">
        <v>614.49300000000005</v>
      </c>
      <c r="E137" s="286"/>
      <c r="F137" s="310"/>
      <c r="G137" s="310"/>
      <c r="H137" s="310"/>
      <c r="I137" s="310"/>
      <c r="J137" s="411"/>
      <c r="K137" s="287"/>
      <c r="L137" s="287"/>
      <c r="M137" s="411"/>
      <c r="N137" s="286"/>
      <c r="O137" s="286"/>
      <c r="P137" s="413"/>
      <c r="Q137" s="416"/>
      <c r="R137" s="528"/>
      <c r="S137" s="259"/>
      <c r="T137" s="259"/>
    </row>
    <row r="138" spans="1:26" s="263" customFormat="1" ht="11.5" customHeight="1">
      <c r="A138" s="415">
        <f t="shared" si="6"/>
        <v>32</v>
      </c>
      <c r="B138" s="314" t="s">
        <v>408</v>
      </c>
      <c r="C138" s="316" t="s">
        <v>409</v>
      </c>
      <c r="D138" s="419">
        <v>275.99599999999998</v>
      </c>
      <c r="E138" s="286"/>
      <c r="F138" s="308"/>
      <c r="G138" s="308"/>
      <c r="H138" s="308"/>
      <c r="I138" s="308"/>
      <c r="J138" s="411"/>
      <c r="K138" s="411"/>
      <c r="L138" s="411"/>
      <c r="M138" s="418"/>
      <c r="N138" s="309"/>
      <c r="O138" s="286"/>
      <c r="P138" s="413"/>
      <c r="Q138" s="416"/>
      <c r="R138" s="528"/>
      <c r="S138" s="259"/>
      <c r="T138" s="259"/>
    </row>
    <row r="139" spans="1:26" s="263" customFormat="1" ht="11.5" customHeight="1">
      <c r="A139" s="415">
        <f t="shared" si="6"/>
        <v>33</v>
      </c>
      <c r="B139" s="314" t="s">
        <v>409</v>
      </c>
      <c r="C139" s="316" t="s">
        <v>410</v>
      </c>
      <c r="D139" s="290">
        <v>321.28100000000001</v>
      </c>
      <c r="E139" s="286"/>
      <c r="F139" s="308"/>
      <c r="G139" s="308"/>
      <c r="H139" s="308"/>
      <c r="I139" s="308"/>
      <c r="J139" s="411"/>
      <c r="K139" s="411"/>
      <c r="L139" s="411"/>
      <c r="M139" s="418"/>
      <c r="N139" s="309"/>
      <c r="O139" s="286"/>
      <c r="P139" s="413"/>
      <c r="Q139" s="416"/>
      <c r="R139" s="528"/>
      <c r="S139" s="259"/>
      <c r="T139" s="259"/>
    </row>
    <row r="140" spans="1:26" s="263" customFormat="1" ht="11.5" customHeight="1">
      <c r="A140" s="415">
        <f t="shared" si="6"/>
        <v>34</v>
      </c>
      <c r="B140" s="314" t="s">
        <v>410</v>
      </c>
      <c r="C140" s="419" t="s">
        <v>291</v>
      </c>
      <c r="D140" s="419">
        <v>312.66300000000001</v>
      </c>
      <c r="E140" s="286"/>
      <c r="F140" s="308"/>
      <c r="G140" s="308"/>
      <c r="H140" s="308"/>
      <c r="I140" s="308"/>
      <c r="J140" s="411"/>
      <c r="K140" s="411"/>
      <c r="L140" s="411"/>
      <c r="M140" s="411"/>
      <c r="N140" s="309"/>
      <c r="O140" s="76"/>
      <c r="P140" s="413"/>
      <c r="Q140" s="416"/>
      <c r="R140" s="528"/>
      <c r="S140" s="259"/>
      <c r="T140" s="259"/>
    </row>
    <row r="141" spans="1:26">
      <c r="A141" s="268"/>
      <c r="B141" s="272"/>
      <c r="C141" s="463"/>
      <c r="D141" s="271">
        <f>SUM(D107:D140)</f>
        <v>8572.4410000000007</v>
      </c>
      <c r="E141" s="286"/>
      <c r="F141" s="268"/>
      <c r="G141" s="268"/>
      <c r="H141" s="268"/>
      <c r="I141" s="269"/>
      <c r="J141" s="267"/>
      <c r="K141" s="268"/>
      <c r="L141" s="268"/>
      <c r="M141" s="268"/>
      <c r="N141" s="307"/>
      <c r="O141" s="269"/>
      <c r="P141" s="301"/>
      <c r="Q141" s="302"/>
    </row>
  </sheetData>
  <mergeCells count="129">
    <mergeCell ref="U48:X48"/>
    <mergeCell ref="J53:M53"/>
    <mergeCell ref="J54:M54"/>
    <mergeCell ref="R105:R106"/>
    <mergeCell ref="J55:M55"/>
    <mergeCell ref="B105:C105"/>
    <mergeCell ref="J56:M56"/>
    <mergeCell ref="J57:M57"/>
    <mergeCell ref="J58:M58"/>
    <mergeCell ref="J59:M59"/>
    <mergeCell ref="J60:M60"/>
    <mergeCell ref="J61:M61"/>
    <mergeCell ref="E105:E106"/>
    <mergeCell ref="P105:P106"/>
    <mergeCell ref="Q105:Q106"/>
    <mergeCell ref="L105:N106"/>
    <mergeCell ref="O105:O106"/>
    <mergeCell ref="J35:M35"/>
    <mergeCell ref="J36:M36"/>
    <mergeCell ref="J38:M38"/>
    <mergeCell ref="J39:M39"/>
    <mergeCell ref="J40:M40"/>
    <mergeCell ref="J41:M41"/>
    <mergeCell ref="J50:M50"/>
    <mergeCell ref="J51:M51"/>
    <mergeCell ref="J52:M52"/>
    <mergeCell ref="J46:M46"/>
    <mergeCell ref="J48:M48"/>
    <mergeCell ref="J49:M49"/>
    <mergeCell ref="J42:M42"/>
    <mergeCell ref="J37:M37"/>
    <mergeCell ref="J43:M43"/>
    <mergeCell ref="J44:M44"/>
    <mergeCell ref="J45:M45"/>
    <mergeCell ref="J47:M47"/>
    <mergeCell ref="J32:M32"/>
    <mergeCell ref="J33:M33"/>
    <mergeCell ref="J34:M34"/>
    <mergeCell ref="Q17:R17"/>
    <mergeCell ref="J24:M24"/>
    <mergeCell ref="J25:M25"/>
    <mergeCell ref="J26:M26"/>
    <mergeCell ref="J27:M27"/>
    <mergeCell ref="J28:M28"/>
    <mergeCell ref="J29:M29"/>
    <mergeCell ref="J30:M30"/>
    <mergeCell ref="J31:M31"/>
    <mergeCell ref="Q19:R19"/>
    <mergeCell ref="Q20:R20"/>
    <mergeCell ref="Q18:R18"/>
    <mergeCell ref="A1:D1"/>
    <mergeCell ref="A12:B12"/>
    <mergeCell ref="A13:B13"/>
    <mergeCell ref="A4:D7"/>
    <mergeCell ref="E5:H5"/>
    <mergeCell ref="E7:H7"/>
    <mergeCell ref="K7:L7"/>
    <mergeCell ref="M7:N7"/>
    <mergeCell ref="A10:B10"/>
    <mergeCell ref="A11:B11"/>
    <mergeCell ref="E1:H1"/>
    <mergeCell ref="K1:L1"/>
    <mergeCell ref="M1:N1"/>
    <mergeCell ref="E2:H2"/>
    <mergeCell ref="E6:H6"/>
    <mergeCell ref="K6:L6"/>
    <mergeCell ref="M6:N6"/>
    <mergeCell ref="E4:H4"/>
    <mergeCell ref="K4:L4"/>
    <mergeCell ref="M4:N4"/>
    <mergeCell ref="K5:L5"/>
    <mergeCell ref="M5:N5"/>
    <mergeCell ref="K2:L2"/>
    <mergeCell ref="O1:P1"/>
    <mergeCell ref="Q1:R1"/>
    <mergeCell ref="O2:P2"/>
    <mergeCell ref="Q2:R2"/>
    <mergeCell ref="Q6:R6"/>
    <mergeCell ref="O6:P6"/>
    <mergeCell ref="O3:P3"/>
    <mergeCell ref="Q3:R3"/>
    <mergeCell ref="O5:P5"/>
    <mergeCell ref="O4:P4"/>
    <mergeCell ref="Q4:R4"/>
    <mergeCell ref="Q5:R5"/>
    <mergeCell ref="A20:B20"/>
    <mergeCell ref="A21:B21"/>
    <mergeCell ref="Q15:R15"/>
    <mergeCell ref="M2:N2"/>
    <mergeCell ref="A3:D3"/>
    <mergeCell ref="E3:H3"/>
    <mergeCell ref="K3:L3"/>
    <mergeCell ref="M3:N3"/>
    <mergeCell ref="Q9:R9"/>
    <mergeCell ref="O7:P7"/>
    <mergeCell ref="A8:R8"/>
    <mergeCell ref="A9:B9"/>
    <mergeCell ref="Q7:R7"/>
    <mergeCell ref="Q10:R10"/>
    <mergeCell ref="Q11:R11"/>
    <mergeCell ref="Q12:R12"/>
    <mergeCell ref="Q13:R13"/>
    <mergeCell ref="A14:B14"/>
    <mergeCell ref="A2:D2"/>
    <mergeCell ref="A19:B19"/>
    <mergeCell ref="S22:T22"/>
    <mergeCell ref="A22:B22"/>
    <mergeCell ref="A18:B18"/>
    <mergeCell ref="U23:U24"/>
    <mergeCell ref="S17:T17"/>
    <mergeCell ref="S14:T14"/>
    <mergeCell ref="T105:U105"/>
    <mergeCell ref="A105:A106"/>
    <mergeCell ref="D105:D106"/>
    <mergeCell ref="F105:G105"/>
    <mergeCell ref="G65:K65"/>
    <mergeCell ref="T23:T24"/>
    <mergeCell ref="S23:S24"/>
    <mergeCell ref="A23:R23"/>
    <mergeCell ref="A15:B15"/>
    <mergeCell ref="A16:B16"/>
    <mergeCell ref="A17:B17"/>
    <mergeCell ref="S19:T19"/>
    <mergeCell ref="Q22:R22"/>
    <mergeCell ref="Q14:R14"/>
    <mergeCell ref="Q21:R21"/>
    <mergeCell ref="Q16:R16"/>
    <mergeCell ref="H105:I105"/>
    <mergeCell ref="J105:K105"/>
  </mergeCells>
  <phoneticPr fontId="22" type="noConversion"/>
  <conditionalFormatting sqref="B107">
    <cfRule type="duplicateValues" dxfId="56" priority="425"/>
  </conditionalFormatting>
  <conditionalFormatting sqref="D121 D133:D136">
    <cfRule type="expression" dxfId="55" priority="30" stopIfTrue="1">
      <formula>AND(COUNTIF(#REF!, D121)+COUNTIF(#REF!, D121)+COUNTIF(#REF!, D121)+COUNTIF(#REF!, D121)+COUNTIF(#REF!, D121)+COUNTIF(#REF!, D121)&gt;1,NOT(ISBLANK(D121)))</formula>
    </cfRule>
    <cfRule type="expression" dxfId="54" priority="31" stopIfTrue="1">
      <formula>AND(COUNTIF(#REF!, D121)+COUNTIF(#REF!, D121)+COUNTIF(#REF!, D121)+COUNTIF(#REF!, D121)+COUNTIF(#REF!, D121)&gt;1,NOT(ISBLANK(D121)))</formula>
    </cfRule>
  </conditionalFormatting>
  <conditionalFormatting sqref="D124:D128">
    <cfRule type="expression" dxfId="53" priority="3" stopIfTrue="1">
      <formula>AND(COUNTIF(#REF!, D124)+COUNTIF(#REF!, D124)+COUNTIF(#REF!, D124)+COUNTIF(#REF!, D124)+COUNTIF(#REF!, D124)+COUNTIF(#REF!, D124)&gt;1,NOT(ISBLANK(D124)))</formula>
    </cfRule>
    <cfRule type="expression" dxfId="52" priority="4" stopIfTrue="1">
      <formula>AND(COUNTIF(#REF!, D124)+COUNTIF(#REF!, D124)+COUNTIF(#REF!, D124)+COUNTIF(#REF!, D124)+COUNTIF(#REF!, D124)&gt;1,NOT(ISBLANK(D124)))</formula>
    </cfRule>
  </conditionalFormatting>
  <printOptions horizontalCentered="1" verticalCentered="1"/>
  <pageMargins left="0" right="0" top="0" bottom="0" header="0" footer="0"/>
  <pageSetup paperSize="9" scale="57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0D66-E933-4058-8919-2ED37D74B19D}">
  <dimension ref="A3:K34"/>
  <sheetViews>
    <sheetView topLeftCell="A15" workbookViewId="0">
      <selection activeCell="A3" sqref="A3:K34"/>
    </sheetView>
  </sheetViews>
  <sheetFormatPr defaultRowHeight="14.5"/>
  <cols>
    <col min="1" max="1" width="19.54296875" bestFit="1" customWidth="1"/>
    <col min="2" max="2" width="15.36328125" bestFit="1" customWidth="1"/>
    <col min="3" max="3" width="4.1796875" bestFit="1" customWidth="1"/>
    <col min="4" max="4" width="2.81640625" bestFit="1" customWidth="1"/>
    <col min="5" max="5" width="4.81640625" bestFit="1" customWidth="1"/>
    <col min="6" max="6" width="4.54296875" bestFit="1" customWidth="1"/>
    <col min="7" max="7" width="10.7265625" bestFit="1" customWidth="1"/>
    <col min="8" max="8" width="4.54296875" bestFit="1" customWidth="1"/>
    <col min="9" max="9" width="11.26953125" bestFit="1" customWidth="1"/>
    <col min="10" max="10" width="10.453125" bestFit="1" customWidth="1"/>
    <col min="11" max="11" width="10.7265625" bestFit="1" customWidth="1"/>
  </cols>
  <sheetData>
    <row r="3" spans="1:11">
      <c r="A3" s="69" t="s">
        <v>360</v>
      </c>
      <c r="B3" s="69" t="s">
        <v>361</v>
      </c>
      <c r="C3" s="70"/>
      <c r="D3" s="70"/>
      <c r="E3" s="70"/>
      <c r="F3" s="70"/>
      <c r="G3" s="70"/>
      <c r="H3" s="70"/>
      <c r="I3" s="70"/>
      <c r="J3" s="70"/>
      <c r="K3" s="70"/>
    </row>
    <row r="4" spans="1:11">
      <c r="A4" s="69" t="s">
        <v>358</v>
      </c>
      <c r="B4" s="70" t="s">
        <v>70</v>
      </c>
      <c r="C4" s="70" t="s">
        <v>63</v>
      </c>
      <c r="D4" s="70" t="s">
        <v>325</v>
      </c>
      <c r="E4" s="70" t="s">
        <v>326</v>
      </c>
      <c r="F4" s="70" t="s">
        <v>52</v>
      </c>
      <c r="G4" s="70" t="s">
        <v>324</v>
      </c>
      <c r="H4" s="70" t="s">
        <v>75</v>
      </c>
      <c r="I4" s="70" t="s">
        <v>93</v>
      </c>
      <c r="J4" s="70" t="s">
        <v>337</v>
      </c>
      <c r="K4" s="70" t="s">
        <v>359</v>
      </c>
    </row>
    <row r="5" spans="1:11">
      <c r="A5" s="71" t="s">
        <v>51</v>
      </c>
      <c r="B5" s="70">
        <v>2</v>
      </c>
      <c r="C5" s="70">
        <v>7</v>
      </c>
      <c r="D5" s="70"/>
      <c r="E5" s="70"/>
      <c r="F5" s="70">
        <v>3</v>
      </c>
      <c r="G5" s="70"/>
      <c r="H5" s="70">
        <v>1</v>
      </c>
      <c r="I5" s="70"/>
      <c r="J5" s="70"/>
      <c r="K5" s="70">
        <v>13</v>
      </c>
    </row>
    <row r="6" spans="1:11">
      <c r="A6" s="71" t="s">
        <v>65</v>
      </c>
      <c r="B6" s="70">
        <v>2</v>
      </c>
      <c r="C6" s="70">
        <v>2</v>
      </c>
      <c r="D6" s="70"/>
      <c r="E6" s="70"/>
      <c r="F6" s="70">
        <v>3</v>
      </c>
      <c r="G6" s="70"/>
      <c r="H6" s="70">
        <v>3</v>
      </c>
      <c r="I6" s="70"/>
      <c r="J6" s="70"/>
      <c r="K6" s="70">
        <v>10</v>
      </c>
    </row>
    <row r="7" spans="1:11">
      <c r="A7" s="71" t="s">
        <v>59</v>
      </c>
      <c r="B7" s="70">
        <v>2</v>
      </c>
      <c r="C7" s="70">
        <v>7</v>
      </c>
      <c r="D7" s="70"/>
      <c r="E7" s="70"/>
      <c r="F7" s="70">
        <v>4</v>
      </c>
      <c r="G7" s="70"/>
      <c r="H7" s="70">
        <v>1</v>
      </c>
      <c r="I7" s="70"/>
      <c r="J7" s="70"/>
      <c r="K7" s="70">
        <v>14</v>
      </c>
    </row>
    <row r="8" spans="1:11">
      <c r="A8" s="71" t="s">
        <v>54</v>
      </c>
      <c r="B8" s="70">
        <v>3</v>
      </c>
      <c r="C8" s="70">
        <v>3</v>
      </c>
      <c r="D8" s="70"/>
      <c r="E8" s="70"/>
      <c r="F8" s="70">
        <v>11</v>
      </c>
      <c r="G8" s="70">
        <v>1</v>
      </c>
      <c r="H8" s="70"/>
      <c r="I8" s="70"/>
      <c r="J8" s="70"/>
      <c r="K8" s="70">
        <v>18</v>
      </c>
    </row>
    <row r="9" spans="1:11">
      <c r="A9" s="71" t="s">
        <v>173</v>
      </c>
      <c r="B9" s="70"/>
      <c r="C9" s="70"/>
      <c r="D9" s="70"/>
      <c r="E9" s="70"/>
      <c r="F9" s="70">
        <v>1</v>
      </c>
      <c r="G9" s="70"/>
      <c r="H9" s="70"/>
      <c r="I9" s="70"/>
      <c r="J9" s="70"/>
      <c r="K9" s="70">
        <v>1</v>
      </c>
    </row>
    <row r="10" spans="1:11">
      <c r="A10" s="71" t="s">
        <v>172</v>
      </c>
      <c r="B10" s="70"/>
      <c r="C10" s="70"/>
      <c r="D10" s="70"/>
      <c r="E10" s="70"/>
      <c r="F10" s="70">
        <v>1</v>
      </c>
      <c r="G10" s="70"/>
      <c r="H10" s="70">
        <v>1</v>
      </c>
      <c r="I10" s="70"/>
      <c r="J10" s="70"/>
      <c r="K10" s="70">
        <v>2</v>
      </c>
    </row>
    <row r="11" spans="1:11">
      <c r="A11" s="71" t="s">
        <v>207</v>
      </c>
      <c r="B11" s="70">
        <v>1</v>
      </c>
      <c r="C11" s="70">
        <v>1</v>
      </c>
      <c r="D11" s="70"/>
      <c r="E11" s="70"/>
      <c r="F11" s="70"/>
      <c r="G11" s="70"/>
      <c r="H11" s="70"/>
      <c r="I11" s="70"/>
      <c r="J11" s="70"/>
      <c r="K11" s="70">
        <v>2</v>
      </c>
    </row>
    <row r="12" spans="1:11">
      <c r="A12" s="71" t="s">
        <v>241</v>
      </c>
      <c r="B12" s="70"/>
      <c r="C12" s="70"/>
      <c r="D12" s="70"/>
      <c r="E12" s="70"/>
      <c r="F12" s="70">
        <v>1</v>
      </c>
      <c r="G12" s="70"/>
      <c r="H12" s="70"/>
      <c r="I12" s="70"/>
      <c r="J12" s="70"/>
      <c r="K12" s="70">
        <v>1</v>
      </c>
    </row>
    <row r="13" spans="1:11">
      <c r="A13" s="71" t="s">
        <v>155</v>
      </c>
      <c r="B13" s="70"/>
      <c r="C13" s="70">
        <v>1</v>
      </c>
      <c r="D13" s="70"/>
      <c r="E13" s="70"/>
      <c r="F13" s="70">
        <v>1</v>
      </c>
      <c r="G13" s="70"/>
      <c r="H13" s="70"/>
      <c r="I13" s="70"/>
      <c r="J13" s="70"/>
      <c r="K13" s="70">
        <v>2</v>
      </c>
    </row>
    <row r="14" spans="1:11">
      <c r="A14" s="71" t="s">
        <v>69</v>
      </c>
      <c r="B14" s="70">
        <v>1</v>
      </c>
      <c r="C14" s="70"/>
      <c r="D14" s="70"/>
      <c r="E14" s="70"/>
      <c r="F14" s="70">
        <v>2</v>
      </c>
      <c r="G14" s="70"/>
      <c r="H14" s="70"/>
      <c r="I14" s="70"/>
      <c r="J14" s="70"/>
      <c r="K14" s="70">
        <v>3</v>
      </c>
    </row>
    <row r="15" spans="1:11">
      <c r="A15" s="71" t="s">
        <v>74</v>
      </c>
      <c r="B15" s="70"/>
      <c r="C15" s="70"/>
      <c r="D15" s="70"/>
      <c r="E15" s="70"/>
      <c r="F15" s="70">
        <v>1</v>
      </c>
      <c r="G15" s="70"/>
      <c r="H15" s="70">
        <v>1</v>
      </c>
      <c r="I15" s="70"/>
      <c r="J15" s="70"/>
      <c r="K15" s="70">
        <v>2</v>
      </c>
    </row>
    <row r="16" spans="1:11">
      <c r="A16" s="71" t="s">
        <v>153</v>
      </c>
      <c r="B16" s="70"/>
      <c r="C16" s="70"/>
      <c r="D16" s="70"/>
      <c r="E16" s="70"/>
      <c r="F16" s="70">
        <v>1</v>
      </c>
      <c r="G16" s="70"/>
      <c r="H16" s="70">
        <v>1</v>
      </c>
      <c r="I16" s="70"/>
      <c r="J16" s="70"/>
      <c r="K16" s="70">
        <v>2</v>
      </c>
    </row>
    <row r="17" spans="1:11">
      <c r="A17" s="71" t="s">
        <v>191</v>
      </c>
      <c r="B17" s="70"/>
      <c r="C17" s="70"/>
      <c r="D17" s="70"/>
      <c r="E17" s="70"/>
      <c r="F17" s="70">
        <v>1</v>
      </c>
      <c r="G17" s="70"/>
      <c r="H17" s="70">
        <v>1</v>
      </c>
      <c r="I17" s="70"/>
      <c r="J17" s="70"/>
      <c r="K17" s="70">
        <v>2</v>
      </c>
    </row>
    <row r="18" spans="1:11">
      <c r="A18" s="71" t="s">
        <v>174</v>
      </c>
      <c r="B18" s="70">
        <v>1</v>
      </c>
      <c r="C18" s="70"/>
      <c r="D18" s="70"/>
      <c r="E18" s="70"/>
      <c r="F18" s="70">
        <v>3</v>
      </c>
      <c r="G18" s="70"/>
      <c r="H18" s="70"/>
      <c r="I18" s="70"/>
      <c r="J18" s="70"/>
      <c r="K18" s="70">
        <v>4</v>
      </c>
    </row>
    <row r="19" spans="1:11">
      <c r="A19" s="71" t="s">
        <v>227</v>
      </c>
      <c r="B19" s="70"/>
      <c r="C19" s="70"/>
      <c r="D19" s="70"/>
      <c r="E19" s="70"/>
      <c r="F19" s="70">
        <v>1</v>
      </c>
      <c r="G19" s="70"/>
      <c r="H19" s="70"/>
      <c r="I19" s="70"/>
      <c r="J19" s="70"/>
      <c r="K19" s="70">
        <v>1</v>
      </c>
    </row>
    <row r="20" spans="1:11">
      <c r="A20" s="71" t="s">
        <v>253</v>
      </c>
      <c r="B20" s="70"/>
      <c r="C20" s="70"/>
      <c r="D20" s="70"/>
      <c r="E20" s="70"/>
      <c r="F20" s="70">
        <v>1</v>
      </c>
      <c r="G20" s="70"/>
      <c r="H20" s="70"/>
      <c r="I20" s="70"/>
      <c r="J20" s="70"/>
      <c r="K20" s="70">
        <v>1</v>
      </c>
    </row>
    <row r="21" spans="1:11">
      <c r="A21" s="71" t="s">
        <v>154</v>
      </c>
      <c r="B21" s="70"/>
      <c r="C21" s="70"/>
      <c r="D21" s="70"/>
      <c r="E21" s="70"/>
      <c r="F21" s="70">
        <v>1</v>
      </c>
      <c r="G21" s="70"/>
      <c r="H21" s="70"/>
      <c r="I21" s="70"/>
      <c r="J21" s="70"/>
      <c r="K21" s="70">
        <v>1</v>
      </c>
    </row>
    <row r="22" spans="1:11">
      <c r="A22" s="71" t="s">
        <v>333</v>
      </c>
      <c r="B22" s="70"/>
      <c r="C22" s="70"/>
      <c r="D22" s="70"/>
      <c r="E22" s="70"/>
      <c r="F22" s="70"/>
      <c r="G22" s="70"/>
      <c r="H22" s="70"/>
      <c r="I22" s="70"/>
      <c r="J22" s="70">
        <v>1</v>
      </c>
      <c r="K22" s="70">
        <v>1</v>
      </c>
    </row>
    <row r="23" spans="1:11">
      <c r="A23" s="71" t="s">
        <v>206</v>
      </c>
      <c r="B23" s="70"/>
      <c r="C23" s="70"/>
      <c r="D23" s="70"/>
      <c r="E23" s="70"/>
      <c r="F23" s="70">
        <v>3</v>
      </c>
      <c r="G23" s="70"/>
      <c r="H23" s="70"/>
      <c r="I23" s="70"/>
      <c r="J23" s="70"/>
      <c r="K23" s="70">
        <v>3</v>
      </c>
    </row>
    <row r="24" spans="1:11">
      <c r="A24" s="71" t="s">
        <v>72</v>
      </c>
      <c r="B24" s="70">
        <v>1</v>
      </c>
      <c r="C24" s="70"/>
      <c r="D24" s="70">
        <v>1</v>
      </c>
      <c r="E24" s="70"/>
      <c r="F24" s="70">
        <v>3</v>
      </c>
      <c r="G24" s="70"/>
      <c r="H24" s="70"/>
      <c r="I24" s="70"/>
      <c r="J24" s="70"/>
      <c r="K24" s="70">
        <v>5</v>
      </c>
    </row>
    <row r="25" spans="1:11">
      <c r="A25" s="71" t="s">
        <v>67</v>
      </c>
      <c r="B25" s="70"/>
      <c r="C25" s="70">
        <v>1</v>
      </c>
      <c r="D25" s="70"/>
      <c r="E25" s="70"/>
      <c r="F25" s="70">
        <v>2</v>
      </c>
      <c r="G25" s="70"/>
      <c r="H25" s="70"/>
      <c r="I25" s="70"/>
      <c r="J25" s="70"/>
      <c r="K25" s="70">
        <v>3</v>
      </c>
    </row>
    <row r="26" spans="1:11">
      <c r="A26" s="71" t="s">
        <v>219</v>
      </c>
      <c r="B26" s="70"/>
      <c r="C26" s="70"/>
      <c r="D26" s="70"/>
      <c r="E26" s="70"/>
      <c r="F26" s="70">
        <v>2</v>
      </c>
      <c r="G26" s="70"/>
      <c r="H26" s="70"/>
      <c r="I26" s="70">
        <v>1</v>
      </c>
      <c r="J26" s="70"/>
      <c r="K26" s="70">
        <v>3</v>
      </c>
    </row>
    <row r="27" spans="1:11">
      <c r="A27" s="71" t="s">
        <v>275</v>
      </c>
      <c r="B27" s="70">
        <v>1</v>
      </c>
      <c r="C27" s="70"/>
      <c r="D27" s="70"/>
      <c r="E27" s="70"/>
      <c r="F27" s="70">
        <v>1</v>
      </c>
      <c r="G27" s="70"/>
      <c r="H27" s="70"/>
      <c r="I27" s="70"/>
      <c r="J27" s="70"/>
      <c r="K27" s="70">
        <v>2</v>
      </c>
    </row>
    <row r="28" spans="1:11">
      <c r="A28" s="71" t="s">
        <v>152</v>
      </c>
      <c r="B28" s="70">
        <v>1</v>
      </c>
      <c r="C28" s="70"/>
      <c r="D28" s="70"/>
      <c r="E28" s="70"/>
      <c r="F28" s="70">
        <v>1</v>
      </c>
      <c r="G28" s="70"/>
      <c r="H28" s="70"/>
      <c r="I28" s="70"/>
      <c r="J28" s="70"/>
      <c r="K28" s="70">
        <v>2</v>
      </c>
    </row>
    <row r="29" spans="1:11">
      <c r="A29" s="71" t="s">
        <v>171</v>
      </c>
      <c r="B29" s="70">
        <v>1</v>
      </c>
      <c r="C29" s="70"/>
      <c r="D29" s="70"/>
      <c r="E29" s="70"/>
      <c r="F29" s="70">
        <v>4</v>
      </c>
      <c r="G29" s="70"/>
      <c r="H29" s="70">
        <v>1</v>
      </c>
      <c r="I29" s="70"/>
      <c r="J29" s="70"/>
      <c r="K29" s="70">
        <v>6</v>
      </c>
    </row>
    <row r="30" spans="1:11">
      <c r="A30" s="71" t="s">
        <v>92</v>
      </c>
      <c r="B30" s="70"/>
      <c r="C30" s="70"/>
      <c r="D30" s="70"/>
      <c r="E30" s="70"/>
      <c r="F30" s="70">
        <v>1</v>
      </c>
      <c r="G30" s="70"/>
      <c r="H30" s="70"/>
      <c r="I30" s="70">
        <v>1</v>
      </c>
      <c r="J30" s="70"/>
      <c r="K30" s="70">
        <v>2</v>
      </c>
    </row>
    <row r="31" spans="1:11">
      <c r="A31" s="71" t="s">
        <v>357</v>
      </c>
      <c r="B31" s="70"/>
      <c r="C31" s="70"/>
      <c r="D31" s="70"/>
      <c r="E31" s="70">
        <v>1</v>
      </c>
      <c r="F31" s="70"/>
      <c r="G31" s="70"/>
      <c r="H31" s="70"/>
      <c r="I31" s="70"/>
      <c r="J31" s="70"/>
      <c r="K31" s="70">
        <v>1</v>
      </c>
    </row>
    <row r="32" spans="1:11">
      <c r="A32" s="71" t="s">
        <v>190</v>
      </c>
      <c r="B32" s="70"/>
      <c r="C32" s="70"/>
      <c r="D32" s="70"/>
      <c r="E32" s="70"/>
      <c r="F32" s="70">
        <v>2</v>
      </c>
      <c r="G32" s="70"/>
      <c r="H32" s="70"/>
      <c r="I32" s="70"/>
      <c r="J32" s="70"/>
      <c r="K32" s="70">
        <v>2</v>
      </c>
    </row>
    <row r="33" spans="1:11">
      <c r="A33" s="71" t="s">
        <v>136</v>
      </c>
      <c r="B33" s="70">
        <v>2</v>
      </c>
      <c r="C33" s="70"/>
      <c r="D33" s="70">
        <v>1</v>
      </c>
      <c r="E33" s="70"/>
      <c r="F33" s="70">
        <v>2</v>
      </c>
      <c r="G33" s="70"/>
      <c r="H33" s="70"/>
      <c r="I33" s="70"/>
      <c r="J33" s="70"/>
      <c r="K33" s="70">
        <v>5</v>
      </c>
    </row>
    <row r="34" spans="1:11">
      <c r="A34" s="71" t="s">
        <v>359</v>
      </c>
      <c r="B34" s="70">
        <v>18</v>
      </c>
      <c r="C34" s="70">
        <v>22</v>
      </c>
      <c r="D34" s="70">
        <v>2</v>
      </c>
      <c r="E34" s="70">
        <v>1</v>
      </c>
      <c r="F34" s="70">
        <v>57</v>
      </c>
      <c r="G34" s="70">
        <v>1</v>
      </c>
      <c r="H34" s="70">
        <v>10</v>
      </c>
      <c r="I34" s="70">
        <v>2</v>
      </c>
      <c r="J34" s="70">
        <v>1</v>
      </c>
      <c r="K34" s="70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7937-C494-4EB9-8C82-297FD01873C0}">
  <dimension ref="B2:L32"/>
  <sheetViews>
    <sheetView showFormulas="1" workbookViewId="0">
      <selection activeCell="L26" sqref="L26"/>
    </sheetView>
  </sheetViews>
  <sheetFormatPr defaultRowHeight="14.5"/>
  <cols>
    <col min="1" max="1" width="3.7265625" customWidth="1"/>
    <col min="2" max="12" width="5.54296875" style="1" customWidth="1"/>
  </cols>
  <sheetData>
    <row r="2" spans="2:12" ht="25" customHeight="1">
      <c r="B2" s="73" t="s">
        <v>358</v>
      </c>
      <c r="C2" s="72" t="s">
        <v>70</v>
      </c>
      <c r="D2" s="73" t="s">
        <v>63</v>
      </c>
      <c r="E2" s="73" t="s">
        <v>325</v>
      </c>
      <c r="F2" s="73" t="s">
        <v>326</v>
      </c>
      <c r="G2" s="73" t="s">
        <v>52</v>
      </c>
      <c r="H2" s="73" t="s">
        <v>324</v>
      </c>
      <c r="I2" s="73" t="s">
        <v>75</v>
      </c>
      <c r="J2" s="73" t="s">
        <v>93</v>
      </c>
      <c r="K2" s="73" t="s">
        <v>337</v>
      </c>
      <c r="L2" s="73" t="s">
        <v>359</v>
      </c>
    </row>
    <row r="3" spans="2:12">
      <c r="B3" s="73" t="s">
        <v>51</v>
      </c>
      <c r="C3" s="72">
        <v>2</v>
      </c>
      <c r="D3" s="73">
        <v>7</v>
      </c>
      <c r="E3" s="73"/>
      <c r="F3" s="73"/>
      <c r="G3" s="73">
        <v>3</v>
      </c>
      <c r="H3" s="73"/>
      <c r="I3" s="73">
        <v>1</v>
      </c>
      <c r="J3" s="73"/>
      <c r="K3" s="73"/>
      <c r="L3" s="73">
        <v>13</v>
      </c>
    </row>
    <row r="4" spans="2:12">
      <c r="B4" s="73" t="s">
        <v>65</v>
      </c>
      <c r="C4" s="72">
        <v>2</v>
      </c>
      <c r="D4" s="73">
        <v>2</v>
      </c>
      <c r="E4" s="73"/>
      <c r="F4" s="73"/>
      <c r="G4" s="73">
        <v>3</v>
      </c>
      <c r="H4" s="73"/>
      <c r="I4" s="73">
        <v>3</v>
      </c>
      <c r="J4" s="73"/>
      <c r="K4" s="73"/>
      <c r="L4" s="73">
        <v>10</v>
      </c>
    </row>
    <row r="5" spans="2:12">
      <c r="B5" s="73" t="s">
        <v>59</v>
      </c>
      <c r="C5" s="72">
        <v>2</v>
      </c>
      <c r="D5" s="73">
        <v>7</v>
      </c>
      <c r="E5" s="73"/>
      <c r="F5" s="73"/>
      <c r="G5" s="73">
        <v>4</v>
      </c>
      <c r="H5" s="73"/>
      <c r="I5" s="73">
        <v>1</v>
      </c>
      <c r="J5" s="73"/>
      <c r="K5" s="73"/>
      <c r="L5" s="73">
        <v>14</v>
      </c>
    </row>
    <row r="6" spans="2:12">
      <c r="B6" s="73" t="s">
        <v>54</v>
      </c>
      <c r="C6" s="72">
        <v>3</v>
      </c>
      <c r="D6" s="73">
        <v>3</v>
      </c>
      <c r="E6" s="73"/>
      <c r="F6" s="73"/>
      <c r="G6" s="73">
        <v>11</v>
      </c>
      <c r="H6" s="73">
        <v>1</v>
      </c>
      <c r="I6" s="73"/>
      <c r="J6" s="73"/>
      <c r="K6" s="73"/>
      <c r="L6" s="73">
        <v>18</v>
      </c>
    </row>
    <row r="7" spans="2:12">
      <c r="B7" s="73" t="s">
        <v>173</v>
      </c>
      <c r="C7" s="72"/>
      <c r="D7" s="73"/>
      <c r="E7" s="73"/>
      <c r="F7" s="73"/>
      <c r="G7" s="73">
        <v>1</v>
      </c>
      <c r="H7" s="73"/>
      <c r="I7" s="73"/>
      <c r="J7" s="73"/>
      <c r="K7" s="73"/>
      <c r="L7" s="73">
        <v>1</v>
      </c>
    </row>
    <row r="8" spans="2:12">
      <c r="B8" s="73" t="s">
        <v>172</v>
      </c>
      <c r="C8" s="72"/>
      <c r="D8" s="73"/>
      <c r="E8" s="73"/>
      <c r="F8" s="73"/>
      <c r="G8" s="73">
        <v>1</v>
      </c>
      <c r="H8" s="73"/>
      <c r="I8" s="73">
        <v>1</v>
      </c>
      <c r="J8" s="73"/>
      <c r="K8" s="73"/>
      <c r="L8" s="73">
        <v>2</v>
      </c>
    </row>
    <row r="9" spans="2:12">
      <c r="B9" s="73" t="s">
        <v>207</v>
      </c>
      <c r="C9" s="73">
        <v>1</v>
      </c>
      <c r="D9" s="73">
        <v>1</v>
      </c>
      <c r="E9" s="73"/>
      <c r="F9" s="73"/>
      <c r="G9" s="73"/>
      <c r="H9" s="73"/>
      <c r="I9" s="73"/>
      <c r="J9" s="73"/>
      <c r="K9" s="73"/>
      <c r="L9" s="73">
        <v>2</v>
      </c>
    </row>
    <row r="10" spans="2:12">
      <c r="B10" s="73" t="s">
        <v>241</v>
      </c>
      <c r="C10" s="73"/>
      <c r="D10" s="73"/>
      <c r="E10" s="73"/>
      <c r="F10" s="73"/>
      <c r="G10" s="73">
        <v>1</v>
      </c>
      <c r="H10" s="73"/>
      <c r="I10" s="73"/>
      <c r="J10" s="73"/>
      <c r="K10" s="73"/>
      <c r="L10" s="73">
        <v>1</v>
      </c>
    </row>
    <row r="11" spans="2:12">
      <c r="B11" s="73" t="s">
        <v>155</v>
      </c>
      <c r="C11" s="73"/>
      <c r="D11" s="73">
        <v>1</v>
      </c>
      <c r="E11" s="73"/>
      <c r="F11" s="73"/>
      <c r="G11" s="73">
        <v>1</v>
      </c>
      <c r="H11" s="73"/>
      <c r="I11" s="73"/>
      <c r="J11" s="73"/>
      <c r="K11" s="73"/>
      <c r="L11" s="73">
        <v>2</v>
      </c>
    </row>
    <row r="12" spans="2:12">
      <c r="B12" s="73" t="s">
        <v>69</v>
      </c>
      <c r="C12" s="73">
        <v>1</v>
      </c>
      <c r="D12" s="73"/>
      <c r="E12" s="73"/>
      <c r="F12" s="73"/>
      <c r="G12" s="73">
        <v>2</v>
      </c>
      <c r="H12" s="73"/>
      <c r="I12" s="73"/>
      <c r="J12" s="73"/>
      <c r="K12" s="73"/>
      <c r="L12" s="73">
        <v>3</v>
      </c>
    </row>
    <row r="13" spans="2:12">
      <c r="B13" s="73" t="s">
        <v>74</v>
      </c>
      <c r="C13" s="73"/>
      <c r="D13" s="73"/>
      <c r="E13" s="73"/>
      <c r="F13" s="73"/>
      <c r="G13" s="73">
        <v>1</v>
      </c>
      <c r="H13" s="73"/>
      <c r="I13" s="73">
        <v>1</v>
      </c>
      <c r="J13" s="73"/>
      <c r="K13" s="73"/>
      <c r="L13" s="73">
        <v>2</v>
      </c>
    </row>
    <row r="14" spans="2:12">
      <c r="B14" s="73" t="s">
        <v>153</v>
      </c>
      <c r="C14" s="73"/>
      <c r="D14" s="73"/>
      <c r="E14" s="73"/>
      <c r="F14" s="73"/>
      <c r="G14" s="73">
        <v>1</v>
      </c>
      <c r="H14" s="73"/>
      <c r="I14" s="73">
        <v>1</v>
      </c>
      <c r="J14" s="73"/>
      <c r="K14" s="73"/>
      <c r="L14" s="73">
        <v>2</v>
      </c>
    </row>
    <row r="15" spans="2:12">
      <c r="B15" s="73" t="s">
        <v>191</v>
      </c>
      <c r="C15" s="73"/>
      <c r="D15" s="73"/>
      <c r="E15" s="73"/>
      <c r="F15" s="73"/>
      <c r="G15" s="73">
        <v>1</v>
      </c>
      <c r="H15" s="73"/>
      <c r="I15" s="73">
        <v>1</v>
      </c>
      <c r="J15" s="73"/>
      <c r="K15" s="73"/>
      <c r="L15" s="73">
        <v>2</v>
      </c>
    </row>
    <row r="16" spans="2:12">
      <c r="B16" s="73" t="s">
        <v>174</v>
      </c>
      <c r="C16" s="73">
        <v>1</v>
      </c>
      <c r="D16" s="73"/>
      <c r="E16" s="73"/>
      <c r="F16" s="73"/>
      <c r="G16" s="73">
        <v>3</v>
      </c>
      <c r="H16" s="73"/>
      <c r="I16" s="73"/>
      <c r="J16" s="73"/>
      <c r="K16" s="73"/>
      <c r="L16" s="73">
        <v>4</v>
      </c>
    </row>
    <row r="17" spans="2:12">
      <c r="B17" s="73" t="s">
        <v>227</v>
      </c>
      <c r="C17" s="73"/>
      <c r="D17" s="73"/>
      <c r="E17" s="73"/>
      <c r="F17" s="73"/>
      <c r="G17" s="73">
        <v>1</v>
      </c>
      <c r="H17" s="73"/>
      <c r="I17" s="73"/>
      <c r="J17" s="73"/>
      <c r="K17" s="73"/>
      <c r="L17" s="73">
        <v>1</v>
      </c>
    </row>
    <row r="18" spans="2:12">
      <c r="B18" s="73" t="s">
        <v>253</v>
      </c>
      <c r="C18" s="73"/>
      <c r="D18" s="73"/>
      <c r="E18" s="73"/>
      <c r="F18" s="73"/>
      <c r="G18" s="73">
        <v>1</v>
      </c>
      <c r="H18" s="73"/>
      <c r="I18" s="73"/>
      <c r="J18" s="73"/>
      <c r="K18" s="73"/>
      <c r="L18" s="73">
        <v>1</v>
      </c>
    </row>
    <row r="19" spans="2:12">
      <c r="B19" s="73" t="s">
        <v>154</v>
      </c>
      <c r="C19" s="73"/>
      <c r="D19" s="73"/>
      <c r="E19" s="73"/>
      <c r="F19" s="73"/>
      <c r="G19" s="73">
        <v>1</v>
      </c>
      <c r="H19" s="73"/>
      <c r="I19" s="73"/>
      <c r="J19" s="73"/>
      <c r="K19" s="73"/>
      <c r="L19" s="73">
        <v>1</v>
      </c>
    </row>
    <row r="20" spans="2:12">
      <c r="B20" s="73" t="s">
        <v>333</v>
      </c>
      <c r="C20" s="73"/>
      <c r="D20" s="73"/>
      <c r="E20" s="73"/>
      <c r="F20" s="73"/>
      <c r="G20" s="73"/>
      <c r="H20" s="73"/>
      <c r="I20" s="73"/>
      <c r="J20" s="73"/>
      <c r="K20" s="73">
        <v>1</v>
      </c>
      <c r="L20" s="73">
        <v>1</v>
      </c>
    </row>
    <row r="21" spans="2:12">
      <c r="B21" s="73" t="s">
        <v>206</v>
      </c>
      <c r="C21" s="73"/>
      <c r="D21" s="73"/>
      <c r="E21" s="73"/>
      <c r="F21" s="73"/>
      <c r="G21" s="73">
        <v>3</v>
      </c>
      <c r="H21" s="73"/>
      <c r="I21" s="73"/>
      <c r="J21" s="73"/>
      <c r="K21" s="73"/>
      <c r="L21" s="73">
        <v>3</v>
      </c>
    </row>
    <row r="22" spans="2:12">
      <c r="B22" s="73" t="s">
        <v>72</v>
      </c>
      <c r="C22" s="73">
        <v>1</v>
      </c>
      <c r="D22" s="73"/>
      <c r="E22" s="73">
        <v>1</v>
      </c>
      <c r="F22" s="73"/>
      <c r="G22" s="73">
        <v>3</v>
      </c>
      <c r="H22" s="73"/>
      <c r="I22" s="73"/>
      <c r="J22" s="73"/>
      <c r="K22" s="73"/>
      <c r="L22" s="73">
        <v>5</v>
      </c>
    </row>
    <row r="23" spans="2:12">
      <c r="B23" s="73" t="s">
        <v>67</v>
      </c>
      <c r="C23" s="73"/>
      <c r="D23" s="73">
        <v>1</v>
      </c>
      <c r="E23" s="73"/>
      <c r="F23" s="73"/>
      <c r="G23" s="73">
        <v>2</v>
      </c>
      <c r="H23" s="73"/>
      <c r="I23" s="73"/>
      <c r="J23" s="73"/>
      <c r="K23" s="73"/>
      <c r="L23" s="73">
        <v>3</v>
      </c>
    </row>
    <row r="24" spans="2:12">
      <c r="B24" s="73" t="s">
        <v>219</v>
      </c>
      <c r="C24" s="73"/>
      <c r="D24" s="73"/>
      <c r="E24" s="73"/>
      <c r="F24" s="73"/>
      <c r="G24" s="73">
        <v>2</v>
      </c>
      <c r="H24" s="73"/>
      <c r="I24" s="73"/>
      <c r="J24" s="73">
        <v>1</v>
      </c>
      <c r="K24" s="73"/>
      <c r="L24" s="73">
        <v>3</v>
      </c>
    </row>
    <row r="25" spans="2:12">
      <c r="B25" s="73" t="s">
        <v>275</v>
      </c>
      <c r="C25" s="73">
        <v>1</v>
      </c>
      <c r="D25" s="73"/>
      <c r="E25" s="73"/>
      <c r="F25" s="73"/>
      <c r="G25" s="73">
        <v>1</v>
      </c>
      <c r="H25" s="73"/>
      <c r="I25" s="73"/>
      <c r="J25" s="73"/>
      <c r="K25" s="73"/>
      <c r="L25" s="73">
        <v>2</v>
      </c>
    </row>
    <row r="26" spans="2:12">
      <c r="B26" s="73" t="s">
        <v>152</v>
      </c>
      <c r="C26" s="73">
        <v>1</v>
      </c>
      <c r="D26" s="73"/>
      <c r="E26" s="73"/>
      <c r="F26" s="73"/>
      <c r="G26" s="73">
        <v>1</v>
      </c>
      <c r="H26" s="73"/>
      <c r="I26" s="73"/>
      <c r="J26" s="73"/>
      <c r="K26" s="73"/>
      <c r="L26" s="73">
        <v>2</v>
      </c>
    </row>
    <row r="27" spans="2:12">
      <c r="B27" s="73" t="s">
        <v>171</v>
      </c>
      <c r="C27" s="73">
        <v>1</v>
      </c>
      <c r="D27" s="73"/>
      <c r="E27" s="73"/>
      <c r="F27" s="73"/>
      <c r="G27" s="73">
        <v>4</v>
      </c>
      <c r="H27" s="73"/>
      <c r="I27" s="73">
        <v>1</v>
      </c>
      <c r="J27" s="73"/>
      <c r="K27" s="73"/>
      <c r="L27" s="73">
        <v>6</v>
      </c>
    </row>
    <row r="28" spans="2:12">
      <c r="B28" s="73" t="s">
        <v>92</v>
      </c>
      <c r="C28" s="73"/>
      <c r="D28" s="73"/>
      <c r="E28" s="73"/>
      <c r="F28" s="73"/>
      <c r="G28" s="73">
        <v>1</v>
      </c>
      <c r="H28" s="73"/>
      <c r="I28" s="73"/>
      <c r="J28" s="73">
        <v>1</v>
      </c>
      <c r="K28" s="73"/>
      <c r="L28" s="73">
        <v>2</v>
      </c>
    </row>
    <row r="29" spans="2:12">
      <c r="B29" s="73" t="s">
        <v>357</v>
      </c>
      <c r="C29" s="73"/>
      <c r="D29" s="73"/>
      <c r="E29" s="73"/>
      <c r="F29" s="73">
        <v>1</v>
      </c>
      <c r="G29" s="73"/>
      <c r="H29" s="73"/>
      <c r="I29" s="73"/>
      <c r="J29" s="73"/>
      <c r="K29" s="73"/>
      <c r="L29" s="73">
        <v>1</v>
      </c>
    </row>
    <row r="30" spans="2:12">
      <c r="B30" s="73" t="s">
        <v>190</v>
      </c>
      <c r="C30" s="73"/>
      <c r="D30" s="73"/>
      <c r="E30" s="73"/>
      <c r="F30" s="73"/>
      <c r="G30" s="73">
        <v>2</v>
      </c>
      <c r="H30" s="73"/>
      <c r="I30" s="73"/>
      <c r="J30" s="73"/>
      <c r="K30" s="73"/>
      <c r="L30" s="73">
        <v>2</v>
      </c>
    </row>
    <row r="31" spans="2:12">
      <c r="B31" s="73" t="s">
        <v>136</v>
      </c>
      <c r="C31" s="73">
        <v>2</v>
      </c>
      <c r="D31" s="73"/>
      <c r="E31" s="73">
        <v>1</v>
      </c>
      <c r="F31" s="73"/>
      <c r="G31" s="73">
        <v>2</v>
      </c>
      <c r="H31" s="73"/>
      <c r="I31" s="73"/>
      <c r="J31" s="73"/>
      <c r="K31" s="73"/>
      <c r="L31" s="73">
        <v>5</v>
      </c>
    </row>
    <row r="32" spans="2:12">
      <c r="B32" s="73" t="s">
        <v>359</v>
      </c>
      <c r="C32" s="73">
        <v>18</v>
      </c>
      <c r="D32" s="73">
        <v>22</v>
      </c>
      <c r="E32" s="73">
        <v>2</v>
      </c>
      <c r="F32" s="73">
        <v>1</v>
      </c>
      <c r="G32" s="73">
        <v>57</v>
      </c>
      <c r="H32" s="73">
        <v>1</v>
      </c>
      <c r="I32" s="73">
        <v>10</v>
      </c>
      <c r="J32" s="73">
        <v>2</v>
      </c>
      <c r="K32" s="73">
        <v>1</v>
      </c>
      <c r="L32" s="73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287"/>
  <sheetViews>
    <sheetView view="pageBreakPreview" topLeftCell="B225" zoomScale="80" zoomScaleNormal="40" zoomScaleSheetLayoutView="80" workbookViewId="0">
      <selection activeCell="G286" sqref="G286"/>
    </sheetView>
  </sheetViews>
  <sheetFormatPr defaultColWidth="8.7265625" defaultRowHeight="14.5"/>
  <cols>
    <col min="1" max="1" width="6.81640625" hidden="1" customWidth="1"/>
    <col min="2" max="2" width="8.7265625" style="211" customWidth="1"/>
    <col min="3" max="3" width="7.81640625" style="206" customWidth="1"/>
    <col min="4" max="4" width="7.81640625" style="211" customWidth="1"/>
    <col min="5" max="5" width="7.81640625" style="206" customWidth="1"/>
    <col min="6" max="6" width="7.81640625" style="211" customWidth="1"/>
    <col min="7" max="7" width="7.81640625" style="206" customWidth="1"/>
    <col min="8" max="8" width="7.81640625" style="211" customWidth="1"/>
    <col min="9" max="9" width="7.81640625" style="206" customWidth="1"/>
    <col min="10" max="10" width="7.81640625" style="211" customWidth="1"/>
    <col min="11" max="11" width="7.81640625" style="206" customWidth="1"/>
    <col min="12" max="12" width="7.81640625" style="211" customWidth="1"/>
    <col min="13" max="13" width="7.81640625" style="206" customWidth="1"/>
    <col min="14" max="14" width="7.81640625" style="211" customWidth="1"/>
    <col min="15" max="15" width="7.81640625" style="206" customWidth="1"/>
    <col min="16" max="16" width="7.81640625" style="211" customWidth="1"/>
    <col min="17" max="17" width="7.81640625" style="206" customWidth="1"/>
    <col min="18" max="18" width="7.81640625" style="211" customWidth="1"/>
    <col min="19" max="19" width="7.81640625" style="206" customWidth="1"/>
    <col min="20" max="20" width="7.81640625" style="211" customWidth="1"/>
    <col min="21" max="21" width="7.81640625" style="206" customWidth="1"/>
    <col min="22" max="22" width="7.81640625" style="211" customWidth="1"/>
    <col min="23" max="23" width="7.81640625" style="206" customWidth="1"/>
    <col min="24" max="24" width="7.81640625" style="211" customWidth="1"/>
    <col min="25" max="25" width="7.81640625" style="206" customWidth="1"/>
    <col min="26" max="26" width="9.6328125" style="212" customWidth="1"/>
    <col min="27" max="27" width="5.54296875" style="207" customWidth="1"/>
    <col min="28" max="28" width="19.54296875" style="207" bestFit="1" customWidth="1"/>
    <col min="29" max="31" width="8.7265625" style="213"/>
    <col min="32" max="32" width="16.1796875" style="213" bestFit="1" customWidth="1"/>
    <col min="33" max="33" width="14.36328125" style="213" customWidth="1"/>
    <col min="34" max="34" width="29.08984375" style="213" bestFit="1" customWidth="1"/>
    <col min="35" max="35" width="8.7265625" style="213"/>
    <col min="36" max="36" width="10.7265625" style="213" bestFit="1" customWidth="1"/>
    <col min="37" max="37" width="22.90625" style="214" bestFit="1" customWidth="1"/>
    <col min="38" max="38" width="24.453125" style="214" bestFit="1" customWidth="1"/>
    <col min="39" max="39" width="25.54296875" style="214" bestFit="1" customWidth="1"/>
    <col min="40" max="40" width="18.1796875" style="214" bestFit="1" customWidth="1"/>
    <col min="41" max="41" width="9.54296875" style="213" bestFit="1" customWidth="1"/>
    <col min="42" max="42" width="11.81640625" style="213" bestFit="1" customWidth="1"/>
    <col min="43" max="43" width="11.81640625" style="213" customWidth="1"/>
    <col min="44" max="44" width="32.81640625" style="213" bestFit="1" customWidth="1"/>
    <col min="45" max="16384" width="8.7265625" style="213"/>
  </cols>
  <sheetData>
    <row r="1" spans="1:44" s="87" customFormat="1" ht="20.149999999999999" customHeight="1">
      <c r="A1" s="79">
        <v>1</v>
      </c>
      <c r="B1" s="817" t="s">
        <v>98</v>
      </c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7"/>
      <c r="W1" s="817"/>
      <c r="X1" s="817"/>
      <c r="Y1" s="817"/>
      <c r="Z1" s="818"/>
      <c r="AA1" s="86"/>
      <c r="AB1" s="86"/>
      <c r="AK1" s="88"/>
      <c r="AL1" s="88"/>
      <c r="AM1" s="88"/>
      <c r="AN1" s="88"/>
    </row>
    <row r="2" spans="1:44" s="92" customFormat="1" ht="20.149999999999999" customHeight="1">
      <c r="A2" s="79">
        <f>A1+1</f>
        <v>2</v>
      </c>
      <c r="B2" s="819" t="s">
        <v>99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  <c r="T2" s="819"/>
      <c r="U2" s="819"/>
      <c r="V2" s="819"/>
      <c r="W2" s="819"/>
      <c r="X2" s="819"/>
      <c r="Y2" s="819"/>
      <c r="Z2" s="819"/>
      <c r="AA2" s="86"/>
      <c r="AB2" s="86"/>
      <c r="AK2" s="86"/>
      <c r="AL2" s="86"/>
      <c r="AM2" s="86"/>
      <c r="AN2" s="86"/>
    </row>
    <row r="3" spans="1:44" s="92" customFormat="1" ht="20.149999999999999" customHeight="1">
      <c r="A3" s="79">
        <f t="shared" ref="A3:A28" si="0">A2+1</f>
        <v>3</v>
      </c>
      <c r="B3" s="89" t="s">
        <v>100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 t="s">
        <v>1</v>
      </c>
      <c r="Y3" s="822">
        <f>'NKTL DPR'!J1</f>
        <v>46034</v>
      </c>
      <c r="Z3" s="822"/>
      <c r="AA3" s="86"/>
      <c r="AB3" s="86"/>
      <c r="AK3" s="86"/>
      <c r="AL3" s="86"/>
      <c r="AM3" s="86"/>
      <c r="AN3" s="86"/>
    </row>
    <row r="4" spans="1:44" s="92" customFormat="1" ht="20.149999999999999" customHeight="1">
      <c r="A4" s="79">
        <f t="shared" si="0"/>
        <v>4</v>
      </c>
      <c r="B4" s="91" t="s">
        <v>101</v>
      </c>
      <c r="D4" s="93"/>
      <c r="E4" s="94"/>
      <c r="F4" s="93"/>
      <c r="G4" s="94"/>
      <c r="H4" s="93"/>
      <c r="I4" s="95"/>
      <c r="J4" s="93"/>
      <c r="K4" s="96"/>
      <c r="L4" s="93"/>
      <c r="M4" s="96"/>
      <c r="N4" s="93"/>
      <c r="P4" s="823" t="s">
        <v>102</v>
      </c>
      <c r="Q4" s="823"/>
      <c r="R4" s="823"/>
      <c r="S4" s="823"/>
      <c r="T4" s="823"/>
      <c r="U4" s="823"/>
      <c r="V4" s="823"/>
      <c r="W4" s="823"/>
      <c r="X4" s="823"/>
      <c r="Y4" s="823"/>
      <c r="Z4" s="824"/>
      <c r="AA4" s="86"/>
      <c r="AB4" s="86"/>
      <c r="AG4" s="827" t="s">
        <v>99</v>
      </c>
      <c r="AH4" s="827"/>
      <c r="AI4" s="827"/>
      <c r="AJ4" s="827"/>
      <c r="AK4" s="827"/>
      <c r="AL4" s="827"/>
      <c r="AM4" s="827"/>
      <c r="AN4" s="827"/>
      <c r="AO4" s="827"/>
      <c r="AP4" s="827"/>
      <c r="AQ4" s="97" t="s">
        <v>300</v>
      </c>
      <c r="AR4" s="235">
        <v>45419</v>
      </c>
    </row>
    <row r="5" spans="1:44" s="199" customFormat="1" ht="20.149999999999999" customHeight="1">
      <c r="A5" s="79">
        <f t="shared" si="0"/>
        <v>5</v>
      </c>
      <c r="B5" s="197"/>
      <c r="C5" s="198"/>
      <c r="D5" s="197"/>
      <c r="E5" s="198"/>
      <c r="F5" s="197"/>
      <c r="H5" s="200"/>
      <c r="I5" s="198"/>
      <c r="J5" s="197"/>
      <c r="K5" s="201"/>
      <c r="L5" s="197"/>
      <c r="M5" s="201"/>
      <c r="N5" s="197"/>
      <c r="P5" s="202" t="s">
        <v>103</v>
      </c>
      <c r="Q5" s="820" t="s">
        <v>104</v>
      </c>
      <c r="R5" s="820"/>
      <c r="S5" s="203" t="s">
        <v>19</v>
      </c>
      <c r="T5" s="203" t="s">
        <v>105</v>
      </c>
      <c r="U5" s="203" t="s">
        <v>106</v>
      </c>
      <c r="V5" s="203" t="s">
        <v>107</v>
      </c>
      <c r="W5" s="203" t="s">
        <v>22</v>
      </c>
      <c r="X5" s="204" t="s">
        <v>24</v>
      </c>
      <c r="Y5" s="203" t="s">
        <v>97</v>
      </c>
      <c r="Z5" s="203" t="s">
        <v>367</v>
      </c>
      <c r="AG5" s="203" t="s">
        <v>103</v>
      </c>
      <c r="AH5" s="203" t="s">
        <v>104</v>
      </c>
      <c r="AI5" s="203"/>
      <c r="AJ5" s="203" t="s">
        <v>19</v>
      </c>
      <c r="AK5" s="203" t="s">
        <v>105</v>
      </c>
      <c r="AL5" s="203" t="s">
        <v>106</v>
      </c>
      <c r="AM5" s="203" t="s">
        <v>107</v>
      </c>
      <c r="AN5" s="203" t="s">
        <v>22</v>
      </c>
      <c r="AO5" s="203" t="s">
        <v>24</v>
      </c>
      <c r="AP5" s="203" t="s">
        <v>97</v>
      </c>
      <c r="AQ5" s="205" t="s">
        <v>368</v>
      </c>
      <c r="AR5" s="203" t="s">
        <v>367</v>
      </c>
    </row>
    <row r="6" spans="1:44" s="208" customFormat="1" ht="15" customHeight="1">
      <c r="A6" s="79">
        <f t="shared" si="0"/>
        <v>6</v>
      </c>
      <c r="B6" s="102"/>
      <c r="C6" s="110" t="s">
        <v>108</v>
      </c>
      <c r="D6" s="102"/>
      <c r="E6" s="103"/>
      <c r="F6" s="102"/>
      <c r="G6" s="105"/>
      <c r="H6" s="102"/>
      <c r="I6" s="104"/>
      <c r="J6" s="111"/>
      <c r="K6" s="103"/>
      <c r="L6" s="111"/>
      <c r="M6" s="101"/>
      <c r="N6" s="102"/>
      <c r="O6" s="101"/>
      <c r="P6" s="112" t="s">
        <v>109</v>
      </c>
      <c r="Q6" s="821" t="s">
        <v>34</v>
      </c>
      <c r="R6" s="821"/>
      <c r="S6" s="113" t="s">
        <v>110</v>
      </c>
      <c r="T6" s="114">
        <v>152</v>
      </c>
      <c r="U6" s="114">
        <v>134</v>
      </c>
      <c r="V6" s="114">
        <f>'NKTL DPR'!O14</f>
        <v>25</v>
      </c>
      <c r="W6" s="114">
        <f>T6-V6</f>
        <v>127</v>
      </c>
      <c r="X6" s="115">
        <v>2</v>
      </c>
      <c r="Y6" s="115">
        <f>W6-X6-Z6</f>
        <v>123</v>
      </c>
      <c r="Z6" s="108">
        <v>2</v>
      </c>
      <c r="AA6" s="98"/>
      <c r="AB6" s="98"/>
      <c r="AG6" s="210" t="s">
        <v>109</v>
      </c>
      <c r="AH6" s="210" t="s">
        <v>34</v>
      </c>
      <c r="AI6" s="210"/>
      <c r="AJ6" s="210" t="s">
        <v>110</v>
      </c>
      <c r="AK6" s="209">
        <v>151</v>
      </c>
      <c r="AL6" s="209">
        <v>134</v>
      </c>
      <c r="AM6" s="209">
        <v>118</v>
      </c>
      <c r="AN6" s="209">
        <v>33</v>
      </c>
      <c r="AO6" s="209">
        <v>6</v>
      </c>
      <c r="AP6" s="209">
        <v>26</v>
      </c>
      <c r="AQ6" s="209">
        <v>6</v>
      </c>
      <c r="AR6" s="209">
        <v>1</v>
      </c>
    </row>
    <row r="7" spans="1:44" s="101" customFormat="1" ht="11.15" customHeight="1">
      <c r="A7" s="79">
        <f t="shared" si="0"/>
        <v>7</v>
      </c>
      <c r="B7" s="116"/>
      <c r="C7" s="110" t="s">
        <v>111</v>
      </c>
      <c r="D7" s="102"/>
      <c r="E7" s="103"/>
      <c r="F7" s="102"/>
      <c r="H7" s="111"/>
      <c r="I7" s="104"/>
      <c r="J7" s="102"/>
      <c r="K7" s="103"/>
      <c r="L7" s="100" t="s">
        <v>112</v>
      </c>
      <c r="M7" s="103"/>
      <c r="N7" s="102"/>
      <c r="P7" s="112"/>
      <c r="Q7" s="821"/>
      <c r="R7" s="821"/>
      <c r="S7" s="113"/>
      <c r="T7" s="114"/>
      <c r="U7" s="114"/>
      <c r="V7" s="114"/>
      <c r="W7" s="114"/>
      <c r="X7" s="117"/>
      <c r="Y7" s="118"/>
      <c r="Z7" s="119"/>
      <c r="AA7" s="98"/>
      <c r="AB7" s="98"/>
      <c r="AG7" s="118"/>
      <c r="AH7" s="118"/>
      <c r="AI7" s="118"/>
      <c r="AJ7" s="118"/>
      <c r="AK7" s="114"/>
      <c r="AL7" s="114"/>
      <c r="AM7" s="114"/>
      <c r="AN7" s="114"/>
      <c r="AO7" s="114"/>
      <c r="AP7" s="114"/>
      <c r="AQ7" s="114"/>
      <c r="AR7" s="118"/>
    </row>
    <row r="8" spans="1:44" s="101" customFormat="1" ht="11.15" customHeight="1">
      <c r="A8" s="79">
        <f t="shared" si="0"/>
        <v>8</v>
      </c>
      <c r="B8" s="120"/>
      <c r="C8" s="110" t="s">
        <v>113</v>
      </c>
      <c r="D8" s="102"/>
      <c r="E8" s="103"/>
      <c r="F8" s="102"/>
      <c r="G8" s="103"/>
      <c r="H8" s="100"/>
      <c r="I8" s="104"/>
      <c r="J8" s="102"/>
      <c r="K8" s="103"/>
      <c r="L8" s="102"/>
      <c r="M8" s="103"/>
      <c r="N8" s="102"/>
      <c r="P8" s="112" t="s">
        <v>114</v>
      </c>
      <c r="Q8" s="821" t="s">
        <v>94</v>
      </c>
      <c r="R8" s="821"/>
      <c r="S8" s="113" t="s">
        <v>110</v>
      </c>
      <c r="T8" s="114">
        <v>152</v>
      </c>
      <c r="U8" s="114">
        <v>134</v>
      </c>
      <c r="V8" s="114">
        <f>'NKTL DPR'!O17</f>
        <v>0</v>
      </c>
      <c r="W8" s="114">
        <f>T8-V8</f>
        <v>152</v>
      </c>
      <c r="X8" s="115">
        <v>2</v>
      </c>
      <c r="Y8" s="115">
        <f>W8-X8-Z8</f>
        <v>149</v>
      </c>
      <c r="Z8" s="109">
        <v>1</v>
      </c>
      <c r="AA8" s="98"/>
      <c r="AB8" s="98"/>
      <c r="AG8" s="118" t="s">
        <v>114</v>
      </c>
      <c r="AH8" s="118" t="s">
        <v>94</v>
      </c>
      <c r="AI8" s="118"/>
      <c r="AJ8" s="118" t="s">
        <v>110</v>
      </c>
      <c r="AK8" s="114">
        <v>151</v>
      </c>
      <c r="AL8" s="114">
        <v>134</v>
      </c>
      <c r="AM8" s="114">
        <v>68</v>
      </c>
      <c r="AN8" s="114">
        <v>83</v>
      </c>
      <c r="AO8" s="114">
        <v>5</v>
      </c>
      <c r="AP8" s="114">
        <v>38</v>
      </c>
      <c r="AQ8" s="114">
        <v>6</v>
      </c>
      <c r="AR8" s="118"/>
    </row>
    <row r="9" spans="1:44" s="101" customFormat="1" ht="11.15" customHeight="1">
      <c r="A9" s="79">
        <f t="shared" si="0"/>
        <v>9</v>
      </c>
      <c r="B9" s="116"/>
      <c r="C9" s="110"/>
      <c r="D9" s="102"/>
      <c r="E9" s="103"/>
      <c r="F9" s="102"/>
      <c r="G9" s="110"/>
      <c r="H9" s="102"/>
      <c r="I9" s="104"/>
      <c r="J9" s="102"/>
      <c r="K9" s="103"/>
      <c r="L9" s="100" t="s">
        <v>115</v>
      </c>
      <c r="M9" s="110"/>
      <c r="N9" s="102"/>
      <c r="P9" s="112"/>
      <c r="Q9" s="828"/>
      <c r="R9" s="828"/>
      <c r="S9" s="113"/>
      <c r="T9" s="114"/>
      <c r="U9" s="114"/>
      <c r="V9" s="114"/>
      <c r="W9" s="114"/>
      <c r="X9" s="117"/>
      <c r="Y9" s="118"/>
      <c r="Z9" s="119"/>
      <c r="AA9" s="98"/>
      <c r="AB9" s="98"/>
      <c r="AG9" s="118"/>
      <c r="AH9" s="118"/>
      <c r="AI9" s="118"/>
      <c r="AJ9" s="118"/>
      <c r="AK9" s="114"/>
      <c r="AL9" s="114"/>
      <c r="AM9" s="114"/>
      <c r="AN9" s="114"/>
      <c r="AO9" s="114"/>
      <c r="AP9" s="114"/>
      <c r="AQ9" s="114"/>
      <c r="AR9" s="118"/>
    </row>
    <row r="10" spans="1:44" s="101" customFormat="1" ht="11.15" customHeight="1">
      <c r="A10" s="79">
        <f t="shared" si="0"/>
        <v>10</v>
      </c>
      <c r="B10" s="120"/>
      <c r="D10" s="102"/>
      <c r="E10" s="103"/>
      <c r="F10" s="102"/>
      <c r="G10" s="103"/>
      <c r="H10" s="111"/>
      <c r="J10" s="102"/>
      <c r="K10" s="103"/>
      <c r="L10" s="102"/>
      <c r="M10" s="110"/>
      <c r="N10" s="102"/>
      <c r="P10" s="112" t="s">
        <v>116</v>
      </c>
      <c r="Q10" s="829" t="s">
        <v>354</v>
      </c>
      <c r="R10" s="829"/>
      <c r="S10" s="113" t="s">
        <v>117</v>
      </c>
      <c r="T10" s="121">
        <v>52.821033</v>
      </c>
      <c r="U10" s="122">
        <v>52.39</v>
      </c>
      <c r="V10" s="121">
        <f>'NKTL DPR'!O19</f>
        <v>0</v>
      </c>
      <c r="W10" s="121">
        <f>T10-V10</f>
        <v>52.821033</v>
      </c>
      <c r="X10" s="121">
        <f>'NKTL DPR'!M19</f>
        <v>0</v>
      </c>
      <c r="Y10" s="118"/>
      <c r="Z10" s="119"/>
      <c r="AA10" s="98"/>
      <c r="AB10" s="98"/>
      <c r="AG10" s="118" t="s">
        <v>116</v>
      </c>
      <c r="AH10" s="118" t="s">
        <v>354</v>
      </c>
      <c r="AI10" s="118"/>
      <c r="AJ10" s="118" t="s">
        <v>117</v>
      </c>
      <c r="AK10" s="114">
        <v>52.816000000000003</v>
      </c>
      <c r="AL10" s="114">
        <v>39</v>
      </c>
      <c r="AM10" s="114">
        <v>0</v>
      </c>
      <c r="AN10" s="114">
        <v>52.816000000000003</v>
      </c>
      <c r="AO10" s="114">
        <v>2</v>
      </c>
      <c r="AP10" s="114"/>
      <c r="AQ10" s="114">
        <v>4</v>
      </c>
      <c r="AR10" s="118"/>
    </row>
    <row r="11" spans="1:44" s="101" customFormat="1" ht="11.15" customHeight="1">
      <c r="A11" s="79">
        <f t="shared" si="0"/>
        <v>11</v>
      </c>
      <c r="B11" s="102"/>
      <c r="C11" s="110" t="s">
        <v>118</v>
      </c>
      <c r="D11" s="102"/>
      <c r="E11" s="103"/>
      <c r="F11" s="102"/>
      <c r="G11" s="103"/>
      <c r="H11" s="102"/>
      <c r="I11" s="104"/>
      <c r="J11" s="102"/>
      <c r="K11" s="103"/>
      <c r="L11" s="100" t="s">
        <v>119</v>
      </c>
      <c r="M11" s="110"/>
      <c r="N11" s="102"/>
      <c r="O11" s="103"/>
      <c r="P11" s="102"/>
      <c r="Q11" s="103"/>
      <c r="R11" s="102"/>
      <c r="S11" s="110"/>
      <c r="T11" s="102"/>
      <c r="V11" s="111"/>
      <c r="X11" s="111"/>
      <c r="Z11" s="123"/>
      <c r="AA11" s="98"/>
      <c r="AB11" s="98"/>
      <c r="AK11" s="98"/>
      <c r="AL11" s="98"/>
      <c r="AM11" s="98"/>
      <c r="AN11" s="98"/>
    </row>
    <row r="12" spans="1:44" s="101" customFormat="1" ht="11.15" customHeight="1">
      <c r="A12" s="79">
        <f t="shared" si="0"/>
        <v>12</v>
      </c>
      <c r="B12" s="102"/>
      <c r="C12" s="103"/>
      <c r="D12" s="102"/>
      <c r="E12" s="103"/>
      <c r="F12" s="102"/>
      <c r="G12" s="110" t="s">
        <v>120</v>
      </c>
      <c r="H12" s="111"/>
      <c r="I12" s="104"/>
      <c r="J12" s="102"/>
      <c r="K12" s="103"/>
      <c r="L12" s="102"/>
      <c r="M12" s="103"/>
      <c r="N12" s="124"/>
      <c r="O12" s="103"/>
      <c r="P12" s="102"/>
      <c r="Q12" s="103"/>
      <c r="R12" s="102"/>
      <c r="S12" s="110"/>
      <c r="T12" s="102"/>
      <c r="V12" s="111"/>
      <c r="X12" s="111"/>
      <c r="Z12" s="123"/>
      <c r="AA12" s="98"/>
      <c r="AB12" s="98"/>
      <c r="AK12" s="98"/>
      <c r="AL12" s="98"/>
      <c r="AM12" s="98"/>
      <c r="AN12" s="98"/>
    </row>
    <row r="13" spans="1:44" s="101" customFormat="1" ht="11.15" customHeight="1">
      <c r="A13" s="79">
        <f t="shared" si="0"/>
        <v>13</v>
      </c>
      <c r="B13" s="102"/>
      <c r="C13" s="103"/>
      <c r="D13" s="102"/>
      <c r="E13" s="103"/>
      <c r="F13" s="102"/>
      <c r="G13" s="103"/>
      <c r="H13" s="100"/>
      <c r="I13" s="103"/>
      <c r="J13" s="102"/>
      <c r="L13" s="110" t="s">
        <v>121</v>
      </c>
      <c r="M13" s="103"/>
      <c r="N13" s="102"/>
      <c r="O13" s="125"/>
      <c r="P13" s="126"/>
      <c r="Q13" s="127"/>
      <c r="R13" s="126"/>
      <c r="S13" s="125"/>
      <c r="T13" s="126"/>
      <c r="U13" s="128"/>
      <c r="V13" s="129"/>
      <c r="W13" s="128"/>
      <c r="X13" s="111"/>
      <c r="Z13" s="123"/>
      <c r="AA13" s="98"/>
      <c r="AB13" s="98"/>
      <c r="AK13" s="98"/>
      <c r="AL13" s="98"/>
      <c r="AM13" s="98"/>
      <c r="AN13" s="98"/>
    </row>
    <row r="14" spans="1:44" s="101" customFormat="1" ht="11.15" customHeight="1">
      <c r="A14" s="79">
        <f t="shared" si="0"/>
        <v>14</v>
      </c>
      <c r="B14" s="102"/>
      <c r="C14" s="110" t="s">
        <v>122</v>
      </c>
      <c r="D14" s="102"/>
      <c r="E14" s="103"/>
      <c r="F14" s="102"/>
      <c r="G14" s="103"/>
      <c r="H14" s="102"/>
      <c r="I14" s="103"/>
      <c r="J14" s="102"/>
      <c r="K14" s="103"/>
      <c r="L14" s="102"/>
      <c r="N14" s="102"/>
      <c r="O14" s="125"/>
      <c r="P14" s="126"/>
      <c r="Q14" s="127"/>
      <c r="R14" s="126"/>
      <c r="S14" s="130"/>
      <c r="T14" s="126"/>
      <c r="U14" s="128"/>
      <c r="V14" s="129"/>
      <c r="W14" s="128"/>
      <c r="X14" s="111"/>
      <c r="Z14" s="123"/>
      <c r="AA14" s="98"/>
      <c r="AB14" s="98"/>
      <c r="AK14" s="98"/>
      <c r="AL14" s="98"/>
      <c r="AM14" s="98"/>
      <c r="AN14" s="98"/>
    </row>
    <row r="15" spans="1:44" s="101" customFormat="1" ht="11.15" customHeight="1">
      <c r="A15" s="79">
        <f t="shared" si="0"/>
        <v>15</v>
      </c>
      <c r="B15" s="131"/>
      <c r="C15" s="110" t="s">
        <v>123</v>
      </c>
      <c r="D15" s="102"/>
      <c r="E15" s="103"/>
      <c r="F15" s="102"/>
      <c r="G15" s="110" t="s">
        <v>124</v>
      </c>
      <c r="H15" s="111"/>
      <c r="I15" s="103"/>
      <c r="J15" s="102"/>
      <c r="K15" s="103"/>
      <c r="L15" s="102"/>
      <c r="M15" s="103"/>
      <c r="N15" s="102"/>
      <c r="O15" s="125"/>
      <c r="P15" s="126"/>
      <c r="Q15" s="127"/>
      <c r="R15" s="126"/>
      <c r="S15" s="130"/>
      <c r="T15" s="126"/>
      <c r="U15" s="128"/>
      <c r="V15" s="129"/>
      <c r="X15" s="111"/>
      <c r="Z15" s="123"/>
      <c r="AA15" s="98"/>
      <c r="AB15" s="98"/>
      <c r="AK15" s="98"/>
      <c r="AL15" s="98"/>
      <c r="AM15" s="98"/>
      <c r="AN15" s="98"/>
    </row>
    <row r="16" spans="1:44" s="101" customFormat="1" ht="11.15" customHeight="1">
      <c r="A16" s="79">
        <f t="shared" si="0"/>
        <v>16</v>
      </c>
      <c r="B16" s="132"/>
      <c r="C16" s="110" t="s">
        <v>125</v>
      </c>
      <c r="D16" s="102"/>
      <c r="E16" s="103"/>
      <c r="F16" s="102"/>
      <c r="G16" s="103"/>
      <c r="H16" s="102"/>
      <c r="I16" s="103"/>
      <c r="J16" s="111" t="s">
        <v>126</v>
      </c>
      <c r="K16" s="103"/>
      <c r="L16" s="100" t="s">
        <v>127</v>
      </c>
      <c r="N16" s="102"/>
      <c r="O16" s="103"/>
      <c r="P16" s="102"/>
      <c r="Q16" s="103"/>
      <c r="R16" s="102"/>
      <c r="S16" s="110"/>
      <c r="T16" s="102"/>
      <c r="V16" s="111"/>
      <c r="X16" s="111"/>
      <c r="Z16" s="123"/>
      <c r="AA16" s="98"/>
      <c r="AB16" s="98"/>
      <c r="AK16" s="98"/>
      <c r="AL16" s="98"/>
      <c r="AM16" s="98"/>
      <c r="AN16" s="98"/>
    </row>
    <row r="17" spans="1:40" s="101" customFormat="1" ht="11.15" customHeight="1">
      <c r="A17" s="79">
        <f t="shared" si="0"/>
        <v>17</v>
      </c>
      <c r="B17" s="131"/>
      <c r="D17" s="99"/>
      <c r="E17" s="99"/>
      <c r="F17" s="111"/>
      <c r="G17" s="110" t="s">
        <v>128</v>
      </c>
      <c r="H17" s="111"/>
      <c r="J17" s="111"/>
      <c r="L17" s="111"/>
      <c r="N17" s="111"/>
      <c r="P17" s="111"/>
      <c r="R17" s="111"/>
      <c r="T17" s="99"/>
      <c r="U17" s="98"/>
      <c r="V17" s="99"/>
      <c r="X17" s="111"/>
      <c r="Z17" s="123"/>
      <c r="AA17" s="98"/>
      <c r="AB17" s="98"/>
      <c r="AK17" s="98"/>
      <c r="AL17" s="98"/>
      <c r="AM17" s="98"/>
      <c r="AN17" s="98"/>
    </row>
    <row r="18" spans="1:40" s="101" customFormat="1" ht="11.15" customHeight="1">
      <c r="A18" s="79">
        <f t="shared" si="0"/>
        <v>18</v>
      </c>
      <c r="B18" s="132"/>
      <c r="C18" s="111"/>
      <c r="D18" s="111"/>
      <c r="E18" s="111"/>
      <c r="F18" s="111"/>
      <c r="G18" s="111"/>
      <c r="H18" s="111"/>
      <c r="I18" s="111"/>
      <c r="J18" s="111" t="s">
        <v>353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33"/>
      <c r="AA18" s="98"/>
      <c r="AB18" s="98"/>
      <c r="AK18" s="98"/>
      <c r="AL18" s="98"/>
      <c r="AM18" s="98"/>
      <c r="AN18" s="98"/>
    </row>
    <row r="19" spans="1:40" s="236" customFormat="1" ht="11.15" customHeight="1">
      <c r="A19" s="79">
        <f t="shared" si="0"/>
        <v>19</v>
      </c>
      <c r="B19" s="134"/>
      <c r="C19" s="135"/>
      <c r="D19" s="135"/>
      <c r="E19" s="136">
        <v>1</v>
      </c>
      <c r="F19" s="136"/>
      <c r="G19" s="136">
        <f>E19+1</f>
        <v>2</v>
      </c>
      <c r="H19" s="136"/>
      <c r="I19" s="136">
        <f>G19+1</f>
        <v>3</v>
      </c>
      <c r="J19" s="136"/>
      <c r="K19" s="136">
        <f>I19+1</f>
        <v>4</v>
      </c>
      <c r="L19" s="136"/>
      <c r="M19" s="136">
        <f>K19+1</f>
        <v>5</v>
      </c>
      <c r="N19" s="136"/>
      <c r="O19" s="136">
        <f>M19+1</f>
        <v>6</v>
      </c>
      <c r="P19" s="136"/>
      <c r="Q19" s="136">
        <f>O19+1</f>
        <v>7</v>
      </c>
      <c r="R19" s="135"/>
      <c r="S19" s="136">
        <f>Q19+1</f>
        <v>8</v>
      </c>
      <c r="T19" s="135"/>
      <c r="U19" s="136">
        <f>S19+1</f>
        <v>9</v>
      </c>
      <c r="V19" s="135"/>
      <c r="W19" s="136">
        <f>U19+1</f>
        <v>10</v>
      </c>
      <c r="X19" s="135"/>
      <c r="Y19" s="136">
        <f>W19+1</f>
        <v>11</v>
      </c>
      <c r="Z19" s="137"/>
      <c r="AA19" s="138"/>
      <c r="AB19" s="138"/>
      <c r="AK19" s="138"/>
      <c r="AL19" s="138"/>
      <c r="AM19" s="138"/>
      <c r="AN19" s="138"/>
    </row>
    <row r="20" spans="1:40" s="101" customFormat="1" ht="11.15" customHeight="1">
      <c r="A20" s="79">
        <f t="shared" si="0"/>
        <v>20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23"/>
      <c r="AA20" s="108" t="s">
        <v>129</v>
      </c>
      <c r="AB20" s="108" t="s">
        <v>130</v>
      </c>
      <c r="AK20" s="98"/>
      <c r="AL20" s="98"/>
      <c r="AM20" s="98"/>
      <c r="AN20" s="98"/>
    </row>
    <row r="21" spans="1:40" s="101" customFormat="1" ht="11.15" customHeight="1">
      <c r="A21" s="79">
        <f t="shared" si="0"/>
        <v>21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23"/>
      <c r="AA21" s="114"/>
      <c r="AB21" s="114"/>
      <c r="AK21" s="98"/>
      <c r="AL21" s="98"/>
      <c r="AM21" s="98"/>
      <c r="AN21" s="98"/>
    </row>
    <row r="22" spans="1:40" s="139" customFormat="1" ht="11.15" customHeight="1">
      <c r="A22" s="79">
        <f t="shared" si="0"/>
        <v>22</v>
      </c>
      <c r="B22" s="139" t="s">
        <v>353</v>
      </c>
      <c r="C22" s="140">
        <v>1</v>
      </c>
      <c r="D22" s="141">
        <v>184.71600000000001</v>
      </c>
      <c r="E22" s="140">
        <f>C22+1</f>
        <v>2</v>
      </c>
      <c r="F22" s="141">
        <v>365</v>
      </c>
      <c r="G22" s="140">
        <f>E22+1</f>
        <v>3</v>
      </c>
      <c r="H22" s="141">
        <v>370</v>
      </c>
      <c r="I22" s="140">
        <f>G22+1</f>
        <v>4</v>
      </c>
      <c r="J22" s="141">
        <v>392</v>
      </c>
      <c r="K22" s="140">
        <f>I22+1</f>
        <v>5</v>
      </c>
      <c r="L22" s="141">
        <v>387</v>
      </c>
      <c r="M22" s="140">
        <f>K22+1</f>
        <v>6</v>
      </c>
      <c r="N22" s="141">
        <v>426</v>
      </c>
      <c r="O22" s="140">
        <f>M22+1</f>
        <v>7</v>
      </c>
      <c r="P22" s="141">
        <v>402</v>
      </c>
      <c r="Q22" s="140">
        <f>O22+1</f>
        <v>8</v>
      </c>
      <c r="R22" s="141">
        <v>424</v>
      </c>
      <c r="S22" s="140">
        <f>Q22+1</f>
        <v>9</v>
      </c>
      <c r="T22" s="141">
        <v>394.83100000000002</v>
      </c>
      <c r="U22" s="140">
        <f>S22+1</f>
        <v>10</v>
      </c>
      <c r="V22" s="141">
        <v>292.86799999999999</v>
      </c>
      <c r="W22" s="140">
        <f>U22+1</f>
        <v>11</v>
      </c>
      <c r="X22" s="141">
        <v>428</v>
      </c>
      <c r="Y22" s="140">
        <f>W22+1</f>
        <v>12</v>
      </c>
      <c r="Z22" s="141">
        <v>392</v>
      </c>
      <c r="AA22" s="142">
        <v>4458.4189999999999</v>
      </c>
      <c r="AB22" s="121">
        <v>12</v>
      </c>
      <c r="AK22" s="237"/>
      <c r="AL22" s="237"/>
      <c r="AM22" s="237"/>
      <c r="AN22" s="237"/>
    </row>
    <row r="23" spans="1:40" s="101" customFormat="1" ht="11.15" customHeight="1">
      <c r="A23" s="79">
        <f t="shared" si="0"/>
        <v>23</v>
      </c>
      <c r="B23" s="111"/>
      <c r="C23" s="143" t="s">
        <v>326</v>
      </c>
      <c r="D23" s="111"/>
      <c r="E23" s="143" t="s">
        <v>52</v>
      </c>
      <c r="F23" s="111"/>
      <c r="G23" s="143" t="s">
        <v>52</v>
      </c>
      <c r="H23" s="111"/>
      <c r="I23" s="143" t="s">
        <v>52</v>
      </c>
      <c r="J23" s="111"/>
      <c r="K23" s="143" t="s">
        <v>63</v>
      </c>
      <c r="L23" s="111"/>
      <c r="M23" s="143" t="s">
        <v>52</v>
      </c>
      <c r="N23" s="111"/>
      <c r="O23" s="143" t="s">
        <v>52</v>
      </c>
      <c r="P23" s="111"/>
      <c r="Q23" s="143" t="s">
        <v>52</v>
      </c>
      <c r="R23" s="111"/>
      <c r="S23" s="143" t="s">
        <v>70</v>
      </c>
      <c r="T23" s="111"/>
      <c r="U23" s="143" t="s">
        <v>70</v>
      </c>
      <c r="V23" s="111"/>
      <c r="W23" s="143" t="s">
        <v>70</v>
      </c>
      <c r="X23" s="111"/>
      <c r="Y23" s="143" t="s">
        <v>70</v>
      </c>
      <c r="Z23" s="123"/>
      <c r="AA23" s="114"/>
      <c r="AB23" s="114"/>
      <c r="AK23" s="98"/>
      <c r="AL23" s="98"/>
      <c r="AM23" s="98"/>
      <c r="AN23" s="98"/>
    </row>
    <row r="24" spans="1:40" s="101" customFormat="1" ht="11.15" customHeight="1">
      <c r="A24" s="79">
        <f t="shared" si="0"/>
        <v>24</v>
      </c>
      <c r="B24" s="111"/>
      <c r="C24" s="144" t="s">
        <v>131</v>
      </c>
      <c r="D24" s="145"/>
      <c r="E24" s="144" t="s">
        <v>66</v>
      </c>
      <c r="F24" s="145"/>
      <c r="G24" s="144" t="s">
        <v>58</v>
      </c>
      <c r="H24" s="145"/>
      <c r="I24" s="144" t="s">
        <v>60</v>
      </c>
      <c r="J24" s="145"/>
      <c r="K24" s="144" t="s">
        <v>86</v>
      </c>
      <c r="L24" s="145"/>
      <c r="M24" s="144" t="s">
        <v>50</v>
      </c>
      <c r="N24" s="145"/>
      <c r="O24" s="144" t="s">
        <v>53</v>
      </c>
      <c r="P24" s="146"/>
      <c r="Q24" s="144" t="s">
        <v>55</v>
      </c>
      <c r="R24" s="145"/>
      <c r="S24" s="144" t="s">
        <v>87</v>
      </c>
      <c r="T24" s="145"/>
      <c r="U24" s="144" t="s">
        <v>132</v>
      </c>
      <c r="V24" s="145"/>
      <c r="W24" s="144" t="s">
        <v>133</v>
      </c>
      <c r="X24" s="145"/>
      <c r="Y24" s="144" t="s">
        <v>134</v>
      </c>
      <c r="Z24" s="123"/>
      <c r="AA24" s="114"/>
      <c r="AB24" s="114"/>
      <c r="AK24" s="98"/>
      <c r="AL24" s="98"/>
      <c r="AM24" s="98"/>
      <c r="AN24" s="98"/>
    </row>
    <row r="25" spans="1:40" s="101" customFormat="1" ht="11.15" customHeight="1">
      <c r="A25" s="79">
        <f t="shared" si="0"/>
        <v>25</v>
      </c>
      <c r="B25" s="111"/>
      <c r="C25" s="143" t="s">
        <v>92</v>
      </c>
      <c r="D25" s="98"/>
      <c r="E25" s="143" t="s">
        <v>67</v>
      </c>
      <c r="F25" s="98"/>
      <c r="G25" s="143" t="s">
        <v>59</v>
      </c>
      <c r="H25" s="98"/>
      <c r="I25" s="143" t="s">
        <v>59</v>
      </c>
      <c r="J25" s="98"/>
      <c r="K25" s="143" t="s">
        <v>135</v>
      </c>
      <c r="L25" s="98"/>
      <c r="M25" s="143" t="s">
        <v>51</v>
      </c>
      <c r="N25" s="98"/>
      <c r="O25" s="143" t="s">
        <v>54</v>
      </c>
      <c r="P25" s="146"/>
      <c r="Q25" s="143" t="s">
        <v>54</v>
      </c>
      <c r="R25" s="98"/>
      <c r="S25" s="143" t="s">
        <v>65</v>
      </c>
      <c r="T25" s="98"/>
      <c r="U25" s="143" t="s">
        <v>136</v>
      </c>
      <c r="V25" s="98"/>
      <c r="W25" s="143" t="s">
        <v>136</v>
      </c>
      <c r="X25" s="98"/>
      <c r="Y25" s="143" t="s">
        <v>59</v>
      </c>
      <c r="Z25" s="123"/>
      <c r="AA25" s="114"/>
      <c r="AB25" s="114"/>
      <c r="AK25" s="98"/>
      <c r="AL25" s="98"/>
      <c r="AM25" s="98"/>
      <c r="AN25" s="98"/>
    </row>
    <row r="26" spans="1:40" s="101" customFormat="1" ht="11.15" customHeight="1">
      <c r="A26" s="79">
        <f t="shared" si="0"/>
        <v>26</v>
      </c>
      <c r="B26" s="111"/>
      <c r="C26" s="98" t="s">
        <v>137</v>
      </c>
      <c r="D26" s="99" t="s">
        <v>138</v>
      </c>
      <c r="E26" s="111"/>
      <c r="F26" s="111"/>
      <c r="H26" s="111"/>
      <c r="J26" s="111"/>
      <c r="K26" s="101" t="s">
        <v>140</v>
      </c>
      <c r="L26" s="111"/>
      <c r="N26" s="111"/>
      <c r="P26" s="111"/>
      <c r="R26" s="111"/>
      <c r="T26" s="111"/>
      <c r="V26" s="99" t="s">
        <v>139</v>
      </c>
      <c r="W26" s="98"/>
      <c r="X26" s="99"/>
      <c r="Z26" s="123"/>
      <c r="AA26" s="114"/>
      <c r="AB26" s="114"/>
      <c r="AK26" s="98"/>
      <c r="AL26" s="98"/>
      <c r="AM26" s="98"/>
      <c r="AN26" s="98"/>
    </row>
    <row r="27" spans="1:40" s="101" customFormat="1" ht="11.15" customHeight="1">
      <c r="A27" s="79">
        <f t="shared" si="0"/>
        <v>27</v>
      </c>
      <c r="B27" s="111"/>
      <c r="C27" s="147">
        <v>3</v>
      </c>
      <c r="D27" s="111"/>
      <c r="E27" s="111"/>
      <c r="F27" s="107"/>
      <c r="H27" s="111"/>
      <c r="J27" s="111"/>
      <c r="K27" s="111"/>
      <c r="L27" s="111"/>
      <c r="N27" s="111"/>
      <c r="P27" s="111"/>
      <c r="R27" s="111"/>
      <c r="T27" s="111"/>
      <c r="V27" s="99"/>
      <c r="W27" s="98"/>
      <c r="X27" s="99"/>
      <c r="Y27" s="98"/>
      <c r="Z27" s="123"/>
      <c r="AA27" s="114"/>
      <c r="AB27" s="114"/>
      <c r="AK27" s="98"/>
      <c r="AL27" s="98"/>
      <c r="AM27" s="98"/>
      <c r="AN27" s="98"/>
    </row>
    <row r="28" spans="1:40" s="238" customFormat="1" ht="11.15" customHeight="1">
      <c r="A28" s="79">
        <f t="shared" si="0"/>
        <v>28</v>
      </c>
      <c r="B28" s="148">
        <v>0</v>
      </c>
      <c r="C28" s="830" t="s">
        <v>141</v>
      </c>
      <c r="D28" s="830"/>
      <c r="E28" s="830"/>
      <c r="F28" s="830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  <c r="R28" s="831" t="s">
        <v>142</v>
      </c>
      <c r="S28" s="831"/>
      <c r="T28" s="831"/>
      <c r="U28" s="831"/>
      <c r="V28" s="831"/>
      <c r="W28" s="831"/>
      <c r="X28" s="831"/>
      <c r="Y28" s="831"/>
      <c r="Z28" s="832"/>
      <c r="AA28" s="149"/>
      <c r="AB28" s="150"/>
      <c r="AK28" s="239"/>
      <c r="AL28" s="239"/>
      <c r="AM28" s="239"/>
      <c r="AN28" s="239"/>
    </row>
    <row r="29" spans="1:40" s="229" customFormat="1" ht="9" hidden="1" customHeight="1">
      <c r="A29" s="20">
        <v>30</v>
      </c>
      <c r="B29" s="167">
        <v>1</v>
      </c>
      <c r="C29" s="228"/>
      <c r="D29" s="215">
        <v>184.71600000000001</v>
      </c>
      <c r="E29" s="215"/>
      <c r="F29" s="215">
        <v>365</v>
      </c>
      <c r="G29" s="215"/>
      <c r="H29" s="215">
        <v>370</v>
      </c>
      <c r="I29" s="215"/>
      <c r="J29" s="215">
        <v>392</v>
      </c>
      <c r="K29" s="215"/>
      <c r="L29" s="215">
        <v>387</v>
      </c>
      <c r="M29" s="215"/>
      <c r="N29" s="215">
        <v>426</v>
      </c>
      <c r="O29" s="215"/>
      <c r="P29" s="215">
        <v>402</v>
      </c>
      <c r="Q29" s="215"/>
      <c r="R29" s="215">
        <v>424</v>
      </c>
      <c r="S29" s="215"/>
      <c r="T29" s="215">
        <v>394.83100000000002</v>
      </c>
      <c r="U29" s="215"/>
      <c r="V29" s="215">
        <v>292.86799999999999</v>
      </c>
      <c r="W29" s="215"/>
      <c r="X29" s="215">
        <v>428</v>
      </c>
      <c r="Y29" s="215"/>
      <c r="Z29" s="215">
        <v>392</v>
      </c>
      <c r="AA29" s="149"/>
      <c r="AB29" s="150"/>
    </row>
    <row r="30" spans="1:40" s="229" customFormat="1" ht="9" hidden="1" customHeight="1">
      <c r="A30" s="21">
        <v>31</v>
      </c>
      <c r="B30" s="167">
        <v>2</v>
      </c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30"/>
      <c r="S30" s="230"/>
      <c r="T30" s="230"/>
      <c r="U30" s="230"/>
      <c r="V30" s="230"/>
      <c r="W30" s="230"/>
      <c r="X30" s="230"/>
      <c r="Y30" s="230"/>
      <c r="Z30" s="230"/>
      <c r="AA30" s="149"/>
      <c r="AB30" s="150"/>
    </row>
    <row r="31" spans="1:40" s="229" customFormat="1" ht="9" hidden="1" customHeight="1">
      <c r="A31" s="22">
        <v>32</v>
      </c>
      <c r="B31" s="167">
        <v>3</v>
      </c>
      <c r="C31" s="216" t="s">
        <v>131</v>
      </c>
      <c r="D31" s="216"/>
      <c r="E31" s="216" t="s">
        <v>66</v>
      </c>
      <c r="F31" s="216"/>
      <c r="G31" s="216" t="s">
        <v>58</v>
      </c>
      <c r="H31" s="216"/>
      <c r="I31" s="216" t="s">
        <v>60</v>
      </c>
      <c r="J31" s="216"/>
      <c r="K31" s="216" t="s">
        <v>86</v>
      </c>
      <c r="L31" s="216"/>
      <c r="M31" s="216" t="s">
        <v>50</v>
      </c>
      <c r="N31" s="216"/>
      <c r="O31" s="216" t="s">
        <v>53</v>
      </c>
      <c r="P31" s="216"/>
      <c r="Q31" s="216" t="s">
        <v>55</v>
      </c>
      <c r="R31" s="216"/>
      <c r="S31" s="216" t="s">
        <v>87</v>
      </c>
      <c r="T31" s="216"/>
      <c r="U31" s="216" t="s">
        <v>132</v>
      </c>
      <c r="V31" s="216"/>
      <c r="W31" s="216" t="s">
        <v>133</v>
      </c>
      <c r="X31" s="216"/>
      <c r="Y31" s="216" t="s">
        <v>134</v>
      </c>
      <c r="Z31" s="216"/>
      <c r="AA31" s="216"/>
      <c r="AB31" s="216"/>
    </row>
    <row r="32" spans="1:40" s="229" customFormat="1" ht="9" hidden="1" customHeight="1">
      <c r="A32" s="20">
        <v>33</v>
      </c>
      <c r="B32" s="167">
        <v>4</v>
      </c>
      <c r="C32" s="217" t="s">
        <v>92</v>
      </c>
      <c r="D32" s="216"/>
      <c r="E32" s="216" t="s">
        <v>67</v>
      </c>
      <c r="F32" s="216"/>
      <c r="G32" s="216" t="s">
        <v>59</v>
      </c>
      <c r="H32" s="216"/>
      <c r="I32" s="216" t="s">
        <v>59</v>
      </c>
      <c r="J32" s="216"/>
      <c r="K32" s="216" t="s">
        <v>135</v>
      </c>
      <c r="L32" s="216"/>
      <c r="M32" s="216" t="s">
        <v>51</v>
      </c>
      <c r="N32" s="216"/>
      <c r="O32" s="216" t="s">
        <v>54</v>
      </c>
      <c r="P32" s="216"/>
      <c r="Q32" s="216" t="s">
        <v>54</v>
      </c>
      <c r="R32" s="216"/>
      <c r="S32" s="216" t="s">
        <v>65</v>
      </c>
      <c r="T32" s="216"/>
      <c r="U32" s="216" t="s">
        <v>136</v>
      </c>
      <c r="V32" s="216"/>
      <c r="W32" s="216" t="s">
        <v>136</v>
      </c>
      <c r="X32" s="216"/>
      <c r="Y32" s="216" t="s">
        <v>59</v>
      </c>
      <c r="Z32" s="216"/>
      <c r="AA32" s="216"/>
      <c r="AB32" s="216"/>
    </row>
    <row r="33" spans="1:40" s="229" customFormat="1" ht="9" hidden="1" customHeight="1">
      <c r="A33" s="21">
        <v>34</v>
      </c>
      <c r="B33" s="167">
        <v>5</v>
      </c>
      <c r="C33" s="228" t="b">
        <f t="shared" ref="C33:Z33" si="1">C29=C22</f>
        <v>0</v>
      </c>
      <c r="D33" s="228" t="b">
        <f t="shared" si="1"/>
        <v>1</v>
      </c>
      <c r="E33" s="228" t="b">
        <f t="shared" si="1"/>
        <v>0</v>
      </c>
      <c r="F33" s="228" t="b">
        <f t="shared" si="1"/>
        <v>1</v>
      </c>
      <c r="G33" s="228" t="b">
        <f t="shared" si="1"/>
        <v>0</v>
      </c>
      <c r="H33" s="228" t="b">
        <f t="shared" si="1"/>
        <v>1</v>
      </c>
      <c r="I33" s="228" t="b">
        <f t="shared" si="1"/>
        <v>0</v>
      </c>
      <c r="J33" s="228" t="b">
        <f t="shared" si="1"/>
        <v>1</v>
      </c>
      <c r="K33" s="228" t="b">
        <f t="shared" si="1"/>
        <v>0</v>
      </c>
      <c r="L33" s="228" t="b">
        <f t="shared" si="1"/>
        <v>1</v>
      </c>
      <c r="M33" s="228" t="b">
        <f t="shared" si="1"/>
        <v>0</v>
      </c>
      <c r="N33" s="228" t="b">
        <f t="shared" si="1"/>
        <v>1</v>
      </c>
      <c r="O33" s="228" t="b">
        <f t="shared" si="1"/>
        <v>0</v>
      </c>
      <c r="P33" s="228" t="b">
        <f t="shared" si="1"/>
        <v>1</v>
      </c>
      <c r="Q33" s="228" t="b">
        <f t="shared" si="1"/>
        <v>0</v>
      </c>
      <c r="R33" s="228" t="b">
        <f t="shared" si="1"/>
        <v>1</v>
      </c>
      <c r="S33" s="228" t="b">
        <f t="shared" si="1"/>
        <v>0</v>
      </c>
      <c r="T33" s="228" t="b">
        <f t="shared" si="1"/>
        <v>1</v>
      </c>
      <c r="U33" s="228" t="b">
        <f t="shared" si="1"/>
        <v>0</v>
      </c>
      <c r="V33" s="228" t="b">
        <f t="shared" si="1"/>
        <v>1</v>
      </c>
      <c r="W33" s="228" t="b">
        <f t="shared" si="1"/>
        <v>0</v>
      </c>
      <c r="X33" s="228" t="b">
        <f t="shared" si="1"/>
        <v>1</v>
      </c>
      <c r="Y33" s="228" t="b">
        <f t="shared" si="1"/>
        <v>0</v>
      </c>
      <c r="Z33" s="228" t="b">
        <f t="shared" si="1"/>
        <v>1</v>
      </c>
      <c r="AA33" s="149"/>
      <c r="AB33" s="150"/>
    </row>
    <row r="34" spans="1:40" s="229" customFormat="1" ht="9" hidden="1" customHeight="1">
      <c r="A34" s="20">
        <v>35</v>
      </c>
      <c r="B34" s="167">
        <v>6</v>
      </c>
      <c r="C34" s="228" t="b">
        <f t="shared" ref="C34:V34" si="2">C30=C23</f>
        <v>0</v>
      </c>
      <c r="D34" s="228" t="b">
        <f t="shared" si="2"/>
        <v>1</v>
      </c>
      <c r="E34" s="228" t="b">
        <f t="shared" si="2"/>
        <v>0</v>
      </c>
      <c r="F34" s="228" t="b">
        <f t="shared" si="2"/>
        <v>1</v>
      </c>
      <c r="G34" s="228" t="b">
        <f t="shared" si="2"/>
        <v>0</v>
      </c>
      <c r="H34" s="228" t="b">
        <f t="shared" si="2"/>
        <v>1</v>
      </c>
      <c r="I34" s="228" t="b">
        <f t="shared" si="2"/>
        <v>0</v>
      </c>
      <c r="J34" s="228" t="b">
        <f t="shared" si="2"/>
        <v>1</v>
      </c>
      <c r="K34" s="228" t="b">
        <f t="shared" si="2"/>
        <v>0</v>
      </c>
      <c r="L34" s="228" t="b">
        <f t="shared" si="2"/>
        <v>1</v>
      </c>
      <c r="M34" s="228" t="b">
        <f t="shared" si="2"/>
        <v>0</v>
      </c>
      <c r="N34" s="228" t="b">
        <f t="shared" si="2"/>
        <v>1</v>
      </c>
      <c r="O34" s="228" t="b">
        <f t="shared" si="2"/>
        <v>0</v>
      </c>
      <c r="P34" s="228" t="b">
        <f t="shared" si="2"/>
        <v>1</v>
      </c>
      <c r="Q34" s="228" t="b">
        <f t="shared" si="2"/>
        <v>0</v>
      </c>
      <c r="R34" s="228" t="b">
        <f t="shared" si="2"/>
        <v>1</v>
      </c>
      <c r="S34" s="228" t="b">
        <f t="shared" si="2"/>
        <v>0</v>
      </c>
      <c r="T34" s="228" t="b">
        <f t="shared" si="2"/>
        <v>1</v>
      </c>
      <c r="U34" s="228" t="b">
        <f t="shared" si="2"/>
        <v>0</v>
      </c>
      <c r="V34" s="228" t="b">
        <f t="shared" si="2"/>
        <v>1</v>
      </c>
      <c r="W34" s="228"/>
      <c r="X34" s="228" t="b">
        <f t="shared" ref="X34:Z36" si="3">X30=X23</f>
        <v>1</v>
      </c>
      <c r="Y34" s="228" t="b">
        <f t="shared" si="3"/>
        <v>0</v>
      </c>
      <c r="Z34" s="228" t="b">
        <f t="shared" si="3"/>
        <v>1</v>
      </c>
      <c r="AA34" s="149"/>
      <c r="AB34" s="150"/>
    </row>
    <row r="35" spans="1:40" s="229" customFormat="1" ht="9" hidden="1" customHeight="1">
      <c r="A35" s="21">
        <v>36</v>
      </c>
      <c r="B35" s="167">
        <v>7</v>
      </c>
      <c r="C35" s="228" t="b">
        <f t="shared" ref="C35:V35" si="4">C31=C24</f>
        <v>1</v>
      </c>
      <c r="D35" s="228" t="b">
        <f t="shared" si="4"/>
        <v>1</v>
      </c>
      <c r="E35" s="228" t="b">
        <f t="shared" si="4"/>
        <v>1</v>
      </c>
      <c r="F35" s="228" t="b">
        <f t="shared" si="4"/>
        <v>1</v>
      </c>
      <c r="G35" s="228" t="b">
        <f t="shared" si="4"/>
        <v>1</v>
      </c>
      <c r="H35" s="228" t="b">
        <f t="shared" si="4"/>
        <v>1</v>
      </c>
      <c r="I35" s="228" t="b">
        <f t="shared" si="4"/>
        <v>1</v>
      </c>
      <c r="J35" s="228" t="b">
        <f t="shared" si="4"/>
        <v>1</v>
      </c>
      <c r="K35" s="228" t="b">
        <f t="shared" si="4"/>
        <v>1</v>
      </c>
      <c r="L35" s="228" t="b">
        <f t="shared" si="4"/>
        <v>1</v>
      </c>
      <c r="M35" s="228" t="b">
        <f t="shared" si="4"/>
        <v>1</v>
      </c>
      <c r="N35" s="228" t="b">
        <f t="shared" si="4"/>
        <v>1</v>
      </c>
      <c r="O35" s="228" t="b">
        <f t="shared" si="4"/>
        <v>1</v>
      </c>
      <c r="P35" s="228" t="b">
        <f t="shared" si="4"/>
        <v>1</v>
      </c>
      <c r="Q35" s="228" t="b">
        <f t="shared" si="4"/>
        <v>1</v>
      </c>
      <c r="R35" s="228" t="b">
        <f t="shared" si="4"/>
        <v>1</v>
      </c>
      <c r="S35" s="228" t="b">
        <f t="shared" si="4"/>
        <v>1</v>
      </c>
      <c r="T35" s="228" t="b">
        <f t="shared" si="4"/>
        <v>1</v>
      </c>
      <c r="U35" s="228" t="b">
        <f t="shared" si="4"/>
        <v>1</v>
      </c>
      <c r="V35" s="228" t="b">
        <f t="shared" si="4"/>
        <v>1</v>
      </c>
      <c r="W35" s="228" t="b">
        <f>W31=W24</f>
        <v>1</v>
      </c>
      <c r="X35" s="228" t="b">
        <f t="shared" si="3"/>
        <v>1</v>
      </c>
      <c r="Y35" s="228" t="b">
        <f t="shared" si="3"/>
        <v>1</v>
      </c>
      <c r="Z35" s="228" t="b">
        <f t="shared" si="3"/>
        <v>1</v>
      </c>
      <c r="AA35" s="149"/>
      <c r="AB35" s="150"/>
    </row>
    <row r="36" spans="1:40" s="229" customFormat="1" ht="9" hidden="1" customHeight="1">
      <c r="A36" s="22">
        <v>37</v>
      </c>
      <c r="B36" s="167">
        <v>8</v>
      </c>
      <c r="C36" s="228" t="b">
        <f t="shared" ref="C36:V36" si="5">C32=C25</f>
        <v>1</v>
      </c>
      <c r="D36" s="228" t="b">
        <f t="shared" si="5"/>
        <v>1</v>
      </c>
      <c r="E36" s="228" t="b">
        <f t="shared" si="5"/>
        <v>1</v>
      </c>
      <c r="F36" s="228" t="b">
        <f t="shared" si="5"/>
        <v>1</v>
      </c>
      <c r="G36" s="228" t="b">
        <f t="shared" si="5"/>
        <v>1</v>
      </c>
      <c r="H36" s="228" t="b">
        <f t="shared" si="5"/>
        <v>1</v>
      </c>
      <c r="I36" s="228" t="b">
        <f t="shared" si="5"/>
        <v>1</v>
      </c>
      <c r="J36" s="228" t="b">
        <f t="shared" si="5"/>
        <v>1</v>
      </c>
      <c r="K36" s="228" t="b">
        <f t="shared" si="5"/>
        <v>1</v>
      </c>
      <c r="L36" s="228" t="b">
        <f t="shared" si="5"/>
        <v>1</v>
      </c>
      <c r="M36" s="228" t="b">
        <f t="shared" si="5"/>
        <v>1</v>
      </c>
      <c r="N36" s="228" t="b">
        <f t="shared" si="5"/>
        <v>1</v>
      </c>
      <c r="O36" s="228" t="b">
        <f t="shared" si="5"/>
        <v>1</v>
      </c>
      <c r="P36" s="228" t="b">
        <f t="shared" si="5"/>
        <v>1</v>
      </c>
      <c r="Q36" s="228" t="b">
        <f t="shared" si="5"/>
        <v>1</v>
      </c>
      <c r="R36" s="228" t="b">
        <f t="shared" si="5"/>
        <v>1</v>
      </c>
      <c r="S36" s="228" t="b">
        <f t="shared" si="5"/>
        <v>1</v>
      </c>
      <c r="T36" s="228" t="b">
        <f t="shared" si="5"/>
        <v>1</v>
      </c>
      <c r="U36" s="228" t="b">
        <f t="shared" si="5"/>
        <v>1</v>
      </c>
      <c r="V36" s="228" t="b">
        <f t="shared" si="5"/>
        <v>1</v>
      </c>
      <c r="W36" s="228" t="b">
        <f>W32=W25</f>
        <v>1</v>
      </c>
      <c r="X36" s="228" t="b">
        <f t="shared" si="3"/>
        <v>1</v>
      </c>
      <c r="Y36" s="228" t="b">
        <f t="shared" si="3"/>
        <v>1</v>
      </c>
      <c r="Z36" s="228" t="b">
        <f t="shared" si="3"/>
        <v>1</v>
      </c>
      <c r="AA36" s="149"/>
      <c r="AB36" s="150"/>
    </row>
    <row r="37" spans="1:40" s="229" customFormat="1" ht="9" hidden="1" customHeight="1">
      <c r="A37" s="20">
        <v>38</v>
      </c>
      <c r="B37" s="167">
        <v>9</v>
      </c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149"/>
      <c r="AB37" s="150"/>
    </row>
    <row r="38" spans="1:40" s="229" customFormat="1" ht="9" hidden="1" customHeight="1">
      <c r="A38" s="21">
        <v>39</v>
      </c>
      <c r="B38" s="167">
        <v>10</v>
      </c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149"/>
      <c r="AB38" s="150"/>
    </row>
    <row r="39" spans="1:40" s="101" customFormat="1" ht="11.15" customHeight="1">
      <c r="A39" s="79">
        <f t="shared" ref="A39:A48" si="6">A38+1</f>
        <v>40</v>
      </c>
      <c r="B39" s="111"/>
      <c r="C39" s="99">
        <f>Y19+1</f>
        <v>12</v>
      </c>
      <c r="D39" s="111"/>
      <c r="E39" s="99">
        <f>C39+1</f>
        <v>13</v>
      </c>
      <c r="F39" s="111"/>
      <c r="G39" s="99">
        <f>E39+1</f>
        <v>14</v>
      </c>
      <c r="H39" s="99"/>
      <c r="I39" s="99">
        <f>G39+1</f>
        <v>15</v>
      </c>
      <c r="J39" s="111"/>
      <c r="L39" s="111"/>
      <c r="M39" s="99">
        <f>I39+1</f>
        <v>16</v>
      </c>
      <c r="N39" s="111"/>
      <c r="O39" s="99">
        <f>M39+1</f>
        <v>17</v>
      </c>
      <c r="P39" s="111"/>
      <c r="Q39" s="99">
        <f>O39+1</f>
        <v>18</v>
      </c>
      <c r="R39" s="111"/>
      <c r="S39" s="99">
        <f>Q39+1</f>
        <v>19</v>
      </c>
      <c r="T39" s="111"/>
      <c r="U39" s="99">
        <f>S39+1</f>
        <v>20</v>
      </c>
      <c r="V39" s="111"/>
      <c r="W39" s="99">
        <f>U39+1</f>
        <v>21</v>
      </c>
      <c r="X39" s="111"/>
      <c r="Y39" s="99">
        <f>W39+1</f>
        <v>22</v>
      </c>
      <c r="Z39" s="123"/>
      <c r="AA39" s="114"/>
      <c r="AB39" s="114"/>
      <c r="AK39" s="98"/>
      <c r="AL39" s="98"/>
      <c r="AM39" s="98"/>
      <c r="AN39" s="98"/>
    </row>
    <row r="40" spans="1:40" s="101" customFormat="1" ht="11.15" customHeight="1">
      <c r="A40" s="79">
        <f t="shared" si="6"/>
        <v>41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23"/>
      <c r="AA40" s="114"/>
      <c r="AB40" s="114"/>
      <c r="AK40" s="98"/>
      <c r="AL40" s="98"/>
      <c r="AM40" s="98"/>
      <c r="AN40" s="98"/>
    </row>
    <row r="41" spans="1:40" s="101" customFormat="1" ht="11.15" customHeight="1">
      <c r="A41" s="79">
        <f t="shared" si="6"/>
        <v>42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23"/>
      <c r="AA41" s="114"/>
      <c r="AB41" s="114"/>
      <c r="AK41" s="98"/>
      <c r="AL41" s="98"/>
      <c r="AM41" s="98"/>
      <c r="AN41" s="98"/>
    </row>
    <row r="42" spans="1:40" s="151" customFormat="1" ht="11.15" customHeight="1">
      <c r="A42" s="79">
        <f t="shared" si="6"/>
        <v>43</v>
      </c>
      <c r="C42" s="140">
        <f>Y22+1</f>
        <v>13</v>
      </c>
      <c r="D42" s="107">
        <v>337.41899999999998</v>
      </c>
      <c r="E42" s="140">
        <f>C42+1</f>
        <v>14</v>
      </c>
      <c r="F42" s="107">
        <v>481.36900000000003</v>
      </c>
      <c r="G42" s="140">
        <f>E42+1</f>
        <v>15</v>
      </c>
      <c r="H42" s="107">
        <v>384.66199999999998</v>
      </c>
      <c r="I42" s="140">
        <f>G42+1</f>
        <v>16</v>
      </c>
      <c r="J42" s="107">
        <v>431.029</v>
      </c>
      <c r="K42" s="140">
        <f>I42+1</f>
        <v>17</v>
      </c>
      <c r="L42" s="107">
        <v>249.61500000000001</v>
      </c>
      <c r="M42" s="140">
        <f>K42+1</f>
        <v>18</v>
      </c>
      <c r="N42" s="107">
        <v>360</v>
      </c>
      <c r="O42" s="140">
        <f>M42+1</f>
        <v>19</v>
      </c>
      <c r="P42" s="141">
        <v>425</v>
      </c>
      <c r="Q42" s="140">
        <f>O42+1</f>
        <v>20</v>
      </c>
      <c r="R42" s="141">
        <v>303</v>
      </c>
      <c r="S42" s="140">
        <f>Q42+1</f>
        <v>21</v>
      </c>
      <c r="T42" s="107">
        <v>402</v>
      </c>
      <c r="U42" s="140">
        <f>S42+1</f>
        <v>22</v>
      </c>
      <c r="V42" s="107">
        <v>375</v>
      </c>
      <c r="W42" s="140">
        <f>U42+1</f>
        <v>23</v>
      </c>
      <c r="X42" s="107">
        <v>364.58</v>
      </c>
      <c r="Y42" s="140">
        <f>W42+1</f>
        <v>24</v>
      </c>
      <c r="Z42" s="152">
        <v>164.91399999999999</v>
      </c>
      <c r="AA42" s="153">
        <v>4282.924</v>
      </c>
      <c r="AB42" s="154">
        <v>12</v>
      </c>
      <c r="AK42" s="240"/>
      <c r="AL42" s="240"/>
      <c r="AM42" s="240"/>
      <c r="AN42" s="240"/>
    </row>
    <row r="43" spans="1:40" s="101" customFormat="1" ht="11.15" customHeight="1">
      <c r="A43" s="79">
        <f t="shared" si="6"/>
        <v>44</v>
      </c>
      <c r="B43" s="111"/>
      <c r="C43" s="143" t="s">
        <v>70</v>
      </c>
      <c r="D43" s="111"/>
      <c r="E43" s="143" t="s">
        <v>70</v>
      </c>
      <c r="F43" s="111"/>
      <c r="G43" s="143" t="s">
        <v>75</v>
      </c>
      <c r="H43" s="111"/>
      <c r="I43" s="143" t="s">
        <v>52</v>
      </c>
      <c r="J43" s="111"/>
      <c r="K43" s="143" t="s">
        <v>52</v>
      </c>
      <c r="L43" s="111"/>
      <c r="M43" s="143" t="s">
        <v>52</v>
      </c>
      <c r="N43" s="111"/>
      <c r="O43" s="143" t="s">
        <v>52</v>
      </c>
      <c r="P43" s="111"/>
      <c r="Q43" s="143" t="s">
        <v>52</v>
      </c>
      <c r="R43" s="111"/>
      <c r="S43" s="143" t="s">
        <v>52</v>
      </c>
      <c r="T43" s="111"/>
      <c r="U43" s="143" t="s">
        <v>70</v>
      </c>
      <c r="V43" s="111"/>
      <c r="W43" s="143" t="s">
        <v>70</v>
      </c>
      <c r="X43" s="111"/>
      <c r="Y43" s="143" t="s">
        <v>63</v>
      </c>
      <c r="Z43" s="123"/>
      <c r="AA43" s="114"/>
      <c r="AB43" s="114"/>
      <c r="AK43" s="98"/>
      <c r="AL43" s="98"/>
      <c r="AM43" s="98"/>
      <c r="AN43" s="98"/>
    </row>
    <row r="44" spans="1:40" s="101" customFormat="1" ht="11.15" customHeight="1">
      <c r="A44" s="79">
        <f t="shared" si="6"/>
        <v>45</v>
      </c>
      <c r="B44" s="111"/>
      <c r="C44" s="144" t="s">
        <v>88</v>
      </c>
      <c r="D44" s="98"/>
      <c r="E44" s="144" t="s">
        <v>143</v>
      </c>
      <c r="F44" s="98"/>
      <c r="G44" s="144" t="s">
        <v>144</v>
      </c>
      <c r="H44" s="98"/>
      <c r="I44" s="144" t="s">
        <v>145</v>
      </c>
      <c r="J44" s="98"/>
      <c r="K44" s="144" t="s">
        <v>146</v>
      </c>
      <c r="L44" s="98"/>
      <c r="M44" s="144" t="s">
        <v>147</v>
      </c>
      <c r="N44" s="98"/>
      <c r="O44" s="144" t="s">
        <v>148</v>
      </c>
      <c r="P44" s="98"/>
      <c r="Q44" s="144" t="s">
        <v>56</v>
      </c>
      <c r="R44" s="98"/>
      <c r="S44" s="144" t="s">
        <v>57</v>
      </c>
      <c r="T44" s="98"/>
      <c r="U44" s="144" t="s">
        <v>149</v>
      </c>
      <c r="V44" s="98"/>
      <c r="W44" s="144" t="s">
        <v>150</v>
      </c>
      <c r="X44" s="98"/>
      <c r="Y44" s="144" t="s">
        <v>151</v>
      </c>
      <c r="Z44" s="123"/>
      <c r="AA44" s="114"/>
      <c r="AB44" s="114"/>
      <c r="AK44" s="98"/>
      <c r="AL44" s="98"/>
      <c r="AM44" s="98"/>
      <c r="AN44" s="98"/>
    </row>
    <row r="45" spans="1:40" s="101" customFormat="1" ht="11.15" customHeight="1">
      <c r="A45" s="79">
        <f t="shared" si="6"/>
        <v>46</v>
      </c>
      <c r="B45" s="111"/>
      <c r="C45" s="143" t="s">
        <v>54</v>
      </c>
      <c r="D45" s="98"/>
      <c r="E45" s="143" t="s">
        <v>152</v>
      </c>
      <c r="F45" s="98"/>
      <c r="G45" s="143" t="s">
        <v>153</v>
      </c>
      <c r="H45" s="98"/>
      <c r="I45" s="143" t="s">
        <v>154</v>
      </c>
      <c r="J45" s="98"/>
      <c r="K45" s="143" t="s">
        <v>136</v>
      </c>
      <c r="L45" s="98"/>
      <c r="M45" s="143" t="s">
        <v>136</v>
      </c>
      <c r="N45" s="98"/>
      <c r="O45" s="143" t="s">
        <v>65</v>
      </c>
      <c r="P45" s="98"/>
      <c r="Q45" s="143" t="s">
        <v>54</v>
      </c>
      <c r="R45" s="98"/>
      <c r="S45" s="143" t="s">
        <v>54</v>
      </c>
      <c r="T45" s="98"/>
      <c r="U45" s="143" t="s">
        <v>54</v>
      </c>
      <c r="V45" s="98"/>
      <c r="W45" s="143" t="s">
        <v>51</v>
      </c>
      <c r="X45" s="98"/>
      <c r="Y45" s="143" t="s">
        <v>155</v>
      </c>
      <c r="Z45" s="123"/>
      <c r="AA45" s="114"/>
      <c r="AB45" s="114"/>
      <c r="AK45" s="98"/>
      <c r="AL45" s="98"/>
      <c r="AM45" s="98"/>
      <c r="AN45" s="98"/>
    </row>
    <row r="46" spans="1:40" s="101" customFormat="1" ht="11.15" customHeight="1">
      <c r="A46" s="79">
        <f t="shared" si="6"/>
        <v>47</v>
      </c>
      <c r="B46" s="111"/>
      <c r="C46" s="98"/>
      <c r="D46" s="111"/>
      <c r="E46" s="111"/>
      <c r="F46" s="111"/>
      <c r="H46" s="111"/>
      <c r="I46" s="98"/>
      <c r="J46" s="111"/>
      <c r="K46" s="98"/>
      <c r="L46" s="99" t="s">
        <v>156</v>
      </c>
      <c r="N46" s="111"/>
      <c r="P46" s="111"/>
      <c r="R46" s="111" t="s">
        <v>158</v>
      </c>
      <c r="T46" s="111"/>
      <c r="V46" s="99"/>
      <c r="W46" s="98"/>
      <c r="X46" s="99"/>
      <c r="Z46" s="123" t="s">
        <v>157</v>
      </c>
      <c r="AA46" s="114"/>
      <c r="AB46" s="114"/>
      <c r="AK46" s="98"/>
      <c r="AL46" s="98"/>
      <c r="AM46" s="98"/>
      <c r="AN46" s="98"/>
    </row>
    <row r="47" spans="1:40" s="101" customFormat="1" ht="11.15" customHeight="1">
      <c r="A47" s="79">
        <f t="shared" si="6"/>
        <v>48</v>
      </c>
      <c r="B47" s="111"/>
      <c r="C47" s="98"/>
      <c r="D47" s="111"/>
      <c r="E47" s="111"/>
      <c r="F47" s="111"/>
      <c r="H47" s="111"/>
      <c r="I47" s="98"/>
      <c r="J47" s="111"/>
      <c r="K47" s="98"/>
      <c r="L47" s="99"/>
      <c r="N47" s="111"/>
      <c r="P47" s="111"/>
      <c r="R47" s="111"/>
      <c r="T47" s="111"/>
      <c r="V47" s="99"/>
      <c r="W47" s="98"/>
      <c r="X47" s="99"/>
      <c r="Z47" s="123"/>
      <c r="AA47" s="114"/>
      <c r="AB47" s="114"/>
      <c r="AK47" s="98"/>
      <c r="AL47" s="98"/>
      <c r="AM47" s="98"/>
      <c r="AN47" s="98"/>
    </row>
    <row r="48" spans="1:40" s="238" customFormat="1" ht="11.15" customHeight="1">
      <c r="A48" s="79">
        <f t="shared" si="6"/>
        <v>49</v>
      </c>
      <c r="B48" s="177">
        <v>0</v>
      </c>
      <c r="C48" s="825" t="s">
        <v>142</v>
      </c>
      <c r="D48" s="825"/>
      <c r="E48" s="825"/>
      <c r="F48" s="825"/>
      <c r="G48" s="825"/>
      <c r="H48" s="825"/>
      <c r="I48" s="825"/>
      <c r="J48" s="825"/>
      <c r="K48" s="825"/>
      <c r="L48" s="825"/>
      <c r="M48" s="825"/>
      <c r="N48" s="825"/>
      <c r="O48" s="825"/>
      <c r="P48" s="825"/>
      <c r="Q48" s="825"/>
      <c r="R48" s="825"/>
      <c r="S48" s="825"/>
      <c r="T48" s="825"/>
      <c r="U48" s="825"/>
      <c r="V48" s="825"/>
      <c r="W48" s="825"/>
      <c r="X48" s="825"/>
      <c r="Y48" s="825"/>
      <c r="Z48" s="826"/>
      <c r="AA48" s="150"/>
      <c r="AB48" s="150"/>
      <c r="AK48" s="239"/>
      <c r="AL48" s="239"/>
      <c r="AM48" s="239"/>
      <c r="AN48" s="239"/>
    </row>
    <row r="49" spans="1:40" s="229" customFormat="1" ht="9" hidden="1" customHeight="1">
      <c r="A49" s="20">
        <v>50</v>
      </c>
      <c r="B49" s="167">
        <v>1</v>
      </c>
      <c r="C49" s="228"/>
      <c r="D49" s="218">
        <v>337.41899999999998</v>
      </c>
      <c r="E49" s="218"/>
      <c r="F49" s="218">
        <v>481.36900000000003</v>
      </c>
      <c r="G49" s="218"/>
      <c r="H49" s="218">
        <v>384.66199999999998</v>
      </c>
      <c r="I49" s="218"/>
      <c r="J49" s="218">
        <v>431.029</v>
      </c>
      <c r="K49" s="218"/>
      <c r="L49" s="218">
        <v>249.61500000000001</v>
      </c>
      <c r="M49" s="218"/>
      <c r="N49" s="218">
        <v>360</v>
      </c>
      <c r="O49" s="218"/>
      <c r="P49" s="218">
        <v>425</v>
      </c>
      <c r="Q49" s="218"/>
      <c r="R49" s="218">
        <v>303</v>
      </c>
      <c r="S49" s="218"/>
      <c r="T49" s="218">
        <v>402</v>
      </c>
      <c r="U49" s="218"/>
      <c r="V49" s="218">
        <v>375</v>
      </c>
      <c r="W49" s="218"/>
      <c r="X49" s="218">
        <v>364.58</v>
      </c>
      <c r="Y49" s="219"/>
      <c r="Z49" s="219">
        <v>164.91399999999999</v>
      </c>
      <c r="AA49" s="150"/>
      <c r="AB49" s="150"/>
    </row>
    <row r="50" spans="1:40" s="229" customFormat="1" ht="9" hidden="1" customHeight="1">
      <c r="A50" s="21">
        <v>51</v>
      </c>
      <c r="B50" s="167">
        <v>2</v>
      </c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30"/>
      <c r="S50" s="230"/>
      <c r="T50" s="230"/>
      <c r="U50" s="230"/>
      <c r="V50" s="230"/>
      <c r="W50" s="230"/>
      <c r="X50" s="230"/>
      <c r="Y50" s="230"/>
      <c r="Z50" s="230"/>
      <c r="AA50" s="150"/>
      <c r="AB50" s="150"/>
    </row>
    <row r="51" spans="1:40" s="229" customFormat="1" ht="9" hidden="1" customHeight="1">
      <c r="A51" s="20">
        <v>52</v>
      </c>
      <c r="B51" s="167">
        <v>3</v>
      </c>
      <c r="C51" s="220" t="s">
        <v>88</v>
      </c>
      <c r="D51" s="220"/>
      <c r="E51" s="220" t="s">
        <v>143</v>
      </c>
      <c r="F51" s="220"/>
      <c r="G51" s="220" t="s">
        <v>144</v>
      </c>
      <c r="H51" s="220"/>
      <c r="I51" s="220" t="s">
        <v>145</v>
      </c>
      <c r="J51" s="220"/>
      <c r="K51" s="220" t="s">
        <v>146</v>
      </c>
      <c r="L51" s="220"/>
      <c r="M51" s="220" t="s">
        <v>147</v>
      </c>
      <c r="N51" s="220"/>
      <c r="O51" s="220" t="s">
        <v>148</v>
      </c>
      <c r="P51" s="220"/>
      <c r="Q51" s="220" t="s">
        <v>56</v>
      </c>
      <c r="R51" s="220"/>
      <c r="S51" s="220" t="s">
        <v>57</v>
      </c>
      <c r="T51" s="220"/>
      <c r="U51" s="220" t="s">
        <v>149</v>
      </c>
      <c r="V51" s="220"/>
      <c r="W51" s="220" t="s">
        <v>150</v>
      </c>
      <c r="X51" s="220"/>
      <c r="Y51" s="220" t="s">
        <v>151</v>
      </c>
      <c r="Z51" s="220"/>
      <c r="AA51" s="150"/>
      <c r="AB51" s="150"/>
    </row>
    <row r="52" spans="1:40" s="229" customFormat="1" ht="9" hidden="1" customHeight="1">
      <c r="A52" s="21">
        <v>53</v>
      </c>
      <c r="B52" s="167">
        <v>4</v>
      </c>
      <c r="C52" s="220" t="s">
        <v>54</v>
      </c>
      <c r="D52" s="220"/>
      <c r="E52" s="220" t="s">
        <v>152</v>
      </c>
      <c r="F52" s="220"/>
      <c r="G52" s="220" t="s">
        <v>153</v>
      </c>
      <c r="H52" s="220"/>
      <c r="I52" s="220" t="s">
        <v>154</v>
      </c>
      <c r="J52" s="220"/>
      <c r="K52" s="220" t="s">
        <v>136</v>
      </c>
      <c r="L52" s="220"/>
      <c r="M52" s="220" t="s">
        <v>92</v>
      </c>
      <c r="N52" s="220"/>
      <c r="O52" s="220" t="s">
        <v>65</v>
      </c>
      <c r="P52" s="220"/>
      <c r="Q52" s="220" t="s">
        <v>54</v>
      </c>
      <c r="R52" s="220"/>
      <c r="S52" s="220" t="s">
        <v>54</v>
      </c>
      <c r="T52" s="220"/>
      <c r="U52" s="220" t="s">
        <v>54</v>
      </c>
      <c r="V52" s="220"/>
      <c r="W52" s="220" t="s">
        <v>51</v>
      </c>
      <c r="X52" s="220"/>
      <c r="Y52" s="220" t="s">
        <v>155</v>
      </c>
      <c r="Z52" s="220"/>
      <c r="AA52" s="150"/>
      <c r="AB52" s="150"/>
    </row>
    <row r="53" spans="1:40" s="229" customFormat="1" ht="9" hidden="1" customHeight="1">
      <c r="A53" s="22">
        <v>54</v>
      </c>
      <c r="B53" s="167">
        <v>5</v>
      </c>
      <c r="C53" s="228" t="b">
        <f t="shared" ref="C53:Z53" si="7">C49=C42</f>
        <v>0</v>
      </c>
      <c r="D53" s="228" t="b">
        <f t="shared" si="7"/>
        <v>1</v>
      </c>
      <c r="E53" s="228" t="b">
        <f t="shared" si="7"/>
        <v>0</v>
      </c>
      <c r="F53" s="228" t="b">
        <f t="shared" si="7"/>
        <v>1</v>
      </c>
      <c r="G53" s="228" t="b">
        <f t="shared" si="7"/>
        <v>0</v>
      </c>
      <c r="H53" s="228" t="b">
        <f t="shared" si="7"/>
        <v>1</v>
      </c>
      <c r="I53" s="228" t="b">
        <f t="shared" si="7"/>
        <v>0</v>
      </c>
      <c r="J53" s="228" t="b">
        <f t="shared" si="7"/>
        <v>1</v>
      </c>
      <c r="K53" s="228" t="b">
        <f t="shared" si="7"/>
        <v>0</v>
      </c>
      <c r="L53" s="228" t="b">
        <f t="shared" si="7"/>
        <v>1</v>
      </c>
      <c r="M53" s="228" t="b">
        <f t="shared" si="7"/>
        <v>0</v>
      </c>
      <c r="N53" s="228" t="b">
        <f t="shared" si="7"/>
        <v>1</v>
      </c>
      <c r="O53" s="228" t="b">
        <f t="shared" si="7"/>
        <v>0</v>
      </c>
      <c r="P53" s="228" t="b">
        <f t="shared" si="7"/>
        <v>1</v>
      </c>
      <c r="Q53" s="228" t="b">
        <f t="shared" si="7"/>
        <v>0</v>
      </c>
      <c r="R53" s="228" t="b">
        <f t="shared" si="7"/>
        <v>1</v>
      </c>
      <c r="S53" s="228" t="b">
        <f t="shared" si="7"/>
        <v>0</v>
      </c>
      <c r="T53" s="228" t="b">
        <f t="shared" si="7"/>
        <v>1</v>
      </c>
      <c r="U53" s="228" t="b">
        <f t="shared" si="7"/>
        <v>0</v>
      </c>
      <c r="V53" s="228" t="b">
        <f t="shared" si="7"/>
        <v>1</v>
      </c>
      <c r="W53" s="228" t="b">
        <f t="shared" si="7"/>
        <v>0</v>
      </c>
      <c r="X53" s="228" t="b">
        <f t="shared" si="7"/>
        <v>1</v>
      </c>
      <c r="Y53" s="228" t="b">
        <f t="shared" si="7"/>
        <v>0</v>
      </c>
      <c r="Z53" s="228" t="b">
        <f t="shared" si="7"/>
        <v>1</v>
      </c>
      <c r="AA53" s="150"/>
      <c r="AB53" s="150"/>
    </row>
    <row r="54" spans="1:40" s="229" customFormat="1" ht="9" hidden="1" customHeight="1">
      <c r="A54" s="20">
        <v>55</v>
      </c>
      <c r="B54" s="167">
        <v>6</v>
      </c>
      <c r="C54" s="228" t="b">
        <f t="shared" ref="C54:Z54" si="8">C50=C43</f>
        <v>0</v>
      </c>
      <c r="D54" s="228" t="b">
        <f t="shared" si="8"/>
        <v>1</v>
      </c>
      <c r="E54" s="228" t="b">
        <f t="shared" si="8"/>
        <v>0</v>
      </c>
      <c r="F54" s="228" t="b">
        <f t="shared" si="8"/>
        <v>1</v>
      </c>
      <c r="G54" s="228" t="b">
        <f t="shared" si="8"/>
        <v>0</v>
      </c>
      <c r="H54" s="228" t="b">
        <f t="shared" si="8"/>
        <v>1</v>
      </c>
      <c r="I54" s="228" t="b">
        <f t="shared" si="8"/>
        <v>0</v>
      </c>
      <c r="J54" s="228" t="b">
        <f t="shared" si="8"/>
        <v>1</v>
      </c>
      <c r="K54" s="228" t="b">
        <f t="shared" si="8"/>
        <v>0</v>
      </c>
      <c r="L54" s="228" t="b">
        <f t="shared" si="8"/>
        <v>1</v>
      </c>
      <c r="M54" s="228" t="b">
        <f t="shared" si="8"/>
        <v>0</v>
      </c>
      <c r="N54" s="228" t="b">
        <f t="shared" si="8"/>
        <v>1</v>
      </c>
      <c r="O54" s="228" t="b">
        <f t="shared" si="8"/>
        <v>0</v>
      </c>
      <c r="P54" s="228" t="b">
        <f t="shared" si="8"/>
        <v>1</v>
      </c>
      <c r="Q54" s="228" t="b">
        <f t="shared" si="8"/>
        <v>0</v>
      </c>
      <c r="R54" s="228" t="b">
        <f t="shared" si="8"/>
        <v>1</v>
      </c>
      <c r="S54" s="228" t="b">
        <f t="shared" si="8"/>
        <v>0</v>
      </c>
      <c r="T54" s="228" t="b">
        <f t="shared" si="8"/>
        <v>1</v>
      </c>
      <c r="U54" s="228" t="b">
        <f t="shared" si="8"/>
        <v>0</v>
      </c>
      <c r="V54" s="228" t="b">
        <f t="shared" si="8"/>
        <v>1</v>
      </c>
      <c r="W54" s="228" t="b">
        <f t="shared" si="8"/>
        <v>0</v>
      </c>
      <c r="X54" s="228" t="b">
        <f t="shared" si="8"/>
        <v>1</v>
      </c>
      <c r="Y54" s="228" t="b">
        <f t="shared" si="8"/>
        <v>0</v>
      </c>
      <c r="Z54" s="228" t="b">
        <f t="shared" si="8"/>
        <v>1</v>
      </c>
      <c r="AA54" s="150"/>
      <c r="AB54" s="150"/>
    </row>
    <row r="55" spans="1:40" s="229" customFormat="1" ht="9" hidden="1" customHeight="1">
      <c r="A55" s="21">
        <v>56</v>
      </c>
      <c r="B55" s="167">
        <v>7</v>
      </c>
      <c r="C55" s="228" t="b">
        <f t="shared" ref="C55:Z55" si="9">C51=C44</f>
        <v>1</v>
      </c>
      <c r="D55" s="228" t="b">
        <f t="shared" si="9"/>
        <v>1</v>
      </c>
      <c r="E55" s="228" t="b">
        <f t="shared" si="9"/>
        <v>1</v>
      </c>
      <c r="F55" s="228" t="b">
        <f t="shared" si="9"/>
        <v>1</v>
      </c>
      <c r="G55" s="228" t="b">
        <f t="shared" si="9"/>
        <v>1</v>
      </c>
      <c r="H55" s="228" t="b">
        <f t="shared" si="9"/>
        <v>1</v>
      </c>
      <c r="I55" s="228" t="b">
        <f t="shared" si="9"/>
        <v>1</v>
      </c>
      <c r="J55" s="228" t="b">
        <f t="shared" si="9"/>
        <v>1</v>
      </c>
      <c r="K55" s="228" t="b">
        <f t="shared" si="9"/>
        <v>1</v>
      </c>
      <c r="L55" s="228" t="b">
        <f t="shared" si="9"/>
        <v>1</v>
      </c>
      <c r="M55" s="228" t="b">
        <f t="shared" si="9"/>
        <v>1</v>
      </c>
      <c r="N55" s="228" t="b">
        <f t="shared" si="9"/>
        <v>1</v>
      </c>
      <c r="O55" s="228" t="b">
        <f t="shared" si="9"/>
        <v>1</v>
      </c>
      <c r="P55" s="228" t="b">
        <f t="shared" si="9"/>
        <v>1</v>
      </c>
      <c r="Q55" s="228" t="b">
        <f t="shared" si="9"/>
        <v>1</v>
      </c>
      <c r="R55" s="228" t="b">
        <f t="shared" si="9"/>
        <v>1</v>
      </c>
      <c r="S55" s="228" t="b">
        <f t="shared" si="9"/>
        <v>1</v>
      </c>
      <c r="T55" s="228" t="b">
        <f t="shared" si="9"/>
        <v>1</v>
      </c>
      <c r="U55" s="228" t="b">
        <f t="shared" si="9"/>
        <v>1</v>
      </c>
      <c r="V55" s="228" t="b">
        <f t="shared" si="9"/>
        <v>1</v>
      </c>
      <c r="W55" s="228" t="b">
        <f t="shared" si="9"/>
        <v>1</v>
      </c>
      <c r="X55" s="228" t="b">
        <f t="shared" si="9"/>
        <v>1</v>
      </c>
      <c r="Y55" s="228" t="b">
        <f t="shared" si="9"/>
        <v>1</v>
      </c>
      <c r="Z55" s="228" t="b">
        <f t="shared" si="9"/>
        <v>1</v>
      </c>
      <c r="AA55" s="150"/>
      <c r="AB55" s="150"/>
    </row>
    <row r="56" spans="1:40" s="229" customFormat="1" ht="9" hidden="1" customHeight="1">
      <c r="A56" s="22">
        <v>57</v>
      </c>
      <c r="B56" s="167">
        <v>8</v>
      </c>
      <c r="C56" s="228" t="b">
        <f t="shared" ref="C56:Z56" si="10">C52=C45</f>
        <v>1</v>
      </c>
      <c r="D56" s="228" t="b">
        <f t="shared" si="10"/>
        <v>1</v>
      </c>
      <c r="E56" s="228" t="b">
        <f t="shared" si="10"/>
        <v>1</v>
      </c>
      <c r="F56" s="228" t="b">
        <f t="shared" si="10"/>
        <v>1</v>
      </c>
      <c r="G56" s="228" t="b">
        <f t="shared" si="10"/>
        <v>1</v>
      </c>
      <c r="H56" s="228" t="b">
        <f t="shared" si="10"/>
        <v>1</v>
      </c>
      <c r="I56" s="228" t="b">
        <f t="shared" si="10"/>
        <v>1</v>
      </c>
      <c r="J56" s="228" t="b">
        <f t="shared" si="10"/>
        <v>1</v>
      </c>
      <c r="K56" s="228" t="b">
        <f t="shared" si="10"/>
        <v>1</v>
      </c>
      <c r="L56" s="228" t="b">
        <f t="shared" si="10"/>
        <v>1</v>
      </c>
      <c r="M56" s="228" t="b">
        <f t="shared" si="10"/>
        <v>0</v>
      </c>
      <c r="N56" s="228" t="b">
        <f t="shared" si="10"/>
        <v>1</v>
      </c>
      <c r="O56" s="228" t="b">
        <f t="shared" si="10"/>
        <v>1</v>
      </c>
      <c r="P56" s="228" t="b">
        <f t="shared" si="10"/>
        <v>1</v>
      </c>
      <c r="Q56" s="228" t="b">
        <f t="shared" si="10"/>
        <v>1</v>
      </c>
      <c r="R56" s="228" t="b">
        <f t="shared" si="10"/>
        <v>1</v>
      </c>
      <c r="S56" s="228" t="b">
        <f t="shared" si="10"/>
        <v>1</v>
      </c>
      <c r="T56" s="228" t="b">
        <f t="shared" si="10"/>
        <v>1</v>
      </c>
      <c r="U56" s="228" t="b">
        <f t="shared" si="10"/>
        <v>1</v>
      </c>
      <c r="V56" s="228" t="b">
        <f t="shared" si="10"/>
        <v>1</v>
      </c>
      <c r="W56" s="228" t="b">
        <f t="shared" si="10"/>
        <v>1</v>
      </c>
      <c r="X56" s="228" t="b">
        <f t="shared" si="10"/>
        <v>1</v>
      </c>
      <c r="Y56" s="228" t="b">
        <f t="shared" si="10"/>
        <v>1</v>
      </c>
      <c r="Z56" s="228" t="b">
        <f t="shared" si="10"/>
        <v>1</v>
      </c>
      <c r="AA56" s="150"/>
      <c r="AB56" s="150"/>
    </row>
    <row r="57" spans="1:40" s="229" customFormat="1" ht="9" hidden="1" customHeight="1">
      <c r="A57" s="20">
        <v>58</v>
      </c>
      <c r="B57" s="167">
        <v>9</v>
      </c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150"/>
      <c r="AB57" s="150"/>
    </row>
    <row r="58" spans="1:40" s="229" customFormat="1" ht="9" hidden="1" customHeight="1">
      <c r="A58" s="21">
        <v>59</v>
      </c>
      <c r="B58" s="167">
        <v>10</v>
      </c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150"/>
      <c r="AB58" s="150"/>
    </row>
    <row r="59" spans="1:40" s="231" customFormat="1" ht="11.15" customHeight="1">
      <c r="A59" s="79">
        <f t="shared" ref="A59:A67" si="11">A58+1</f>
        <v>60</v>
      </c>
      <c r="B59" s="155"/>
      <c r="C59" s="99">
        <f>Y39+1</f>
        <v>23</v>
      </c>
      <c r="D59" s="156"/>
      <c r="E59" s="99">
        <f>C59+1</f>
        <v>24</v>
      </c>
      <c r="F59" s="156"/>
      <c r="G59" s="99">
        <f>E59+1</f>
        <v>25</v>
      </c>
      <c r="H59" s="156"/>
      <c r="I59" s="99">
        <f>G59+1</f>
        <v>26</v>
      </c>
      <c r="J59" s="156"/>
      <c r="K59" s="99">
        <f>I59+1</f>
        <v>27</v>
      </c>
      <c r="L59" s="156"/>
      <c r="M59" s="99">
        <f>K59+1</f>
        <v>28</v>
      </c>
      <c r="N59" s="156"/>
      <c r="O59" s="99">
        <f>M59+1</f>
        <v>29</v>
      </c>
      <c r="P59" s="156"/>
      <c r="Q59" s="157">
        <f>O59+1</f>
        <v>30</v>
      </c>
      <c r="R59" s="156"/>
      <c r="S59" s="157">
        <f>Q59+1</f>
        <v>31</v>
      </c>
      <c r="T59" s="156"/>
      <c r="U59" s="157">
        <f>S59+1</f>
        <v>32</v>
      </c>
      <c r="V59" s="156"/>
      <c r="W59" s="157">
        <f>U59+1</f>
        <v>33</v>
      </c>
      <c r="X59" s="156"/>
      <c r="Y59" s="157">
        <f>W59+1</f>
        <v>34</v>
      </c>
      <c r="Z59" s="158"/>
      <c r="AA59" s="149"/>
      <c r="AB59" s="149"/>
      <c r="AK59" s="156"/>
      <c r="AL59" s="156"/>
      <c r="AM59" s="156"/>
      <c r="AN59" s="156"/>
    </row>
    <row r="60" spans="1:40" s="101" customFormat="1" ht="11.15" customHeight="1">
      <c r="A60" s="79">
        <f t="shared" si="11"/>
        <v>61</v>
      </c>
      <c r="B60" s="186"/>
      <c r="C60" s="111"/>
      <c r="D60" s="111"/>
      <c r="E60" s="111"/>
      <c r="F60" s="111"/>
      <c r="G60" s="111" t="s">
        <v>353</v>
      </c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23"/>
      <c r="AA60" s="114"/>
      <c r="AB60" s="114"/>
      <c r="AK60" s="98"/>
      <c r="AL60" s="98"/>
      <c r="AM60" s="98"/>
      <c r="AN60" s="98"/>
    </row>
    <row r="61" spans="1:40" s="101" customFormat="1" ht="11.15" customHeight="1">
      <c r="A61" s="79">
        <f t="shared" si="11"/>
        <v>62</v>
      </c>
      <c r="B61" s="186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23"/>
      <c r="AA61" s="114"/>
      <c r="AB61" s="114"/>
      <c r="AK61" s="98"/>
      <c r="AL61" s="98"/>
      <c r="AM61" s="98"/>
      <c r="AN61" s="98"/>
    </row>
    <row r="62" spans="1:40" s="159" customFormat="1" ht="11.15" customHeight="1">
      <c r="A62" s="79">
        <f t="shared" si="11"/>
        <v>63</v>
      </c>
      <c r="B62" s="248"/>
      <c r="C62" s="140">
        <f>Y42+1</f>
        <v>25</v>
      </c>
      <c r="D62" s="152">
        <v>266.19600000000003</v>
      </c>
      <c r="E62" s="140">
        <f>C62+1</f>
        <v>26</v>
      </c>
      <c r="F62" s="152">
        <v>169.548</v>
      </c>
      <c r="G62" s="140">
        <f>E62+1</f>
        <v>27</v>
      </c>
      <c r="H62" s="141">
        <v>262.60000000000002</v>
      </c>
      <c r="I62" s="140">
        <f>G62+1</f>
        <v>28</v>
      </c>
      <c r="J62" s="152">
        <v>263.029</v>
      </c>
      <c r="K62" s="140">
        <f>I62+1</f>
        <v>29</v>
      </c>
      <c r="L62" s="141">
        <v>410.65300000000002</v>
      </c>
      <c r="M62" s="140">
        <f>K62+1</f>
        <v>30</v>
      </c>
      <c r="N62" s="141">
        <v>426.947</v>
      </c>
      <c r="O62" s="140">
        <f>M62+1</f>
        <v>31</v>
      </c>
      <c r="P62" s="141">
        <v>395.00099999999998</v>
      </c>
      <c r="Q62" s="140">
        <f>O62+1</f>
        <v>32</v>
      </c>
      <c r="R62" s="141">
        <v>355</v>
      </c>
      <c r="S62" s="140">
        <f>Q62+1</f>
        <v>33</v>
      </c>
      <c r="T62" s="141">
        <v>308</v>
      </c>
      <c r="U62" s="140">
        <f>S62+1</f>
        <v>34</v>
      </c>
      <c r="V62" s="141">
        <v>342</v>
      </c>
      <c r="W62" s="140">
        <f>U62+1</f>
        <v>35</v>
      </c>
      <c r="X62" s="141">
        <v>344</v>
      </c>
      <c r="Y62" s="140">
        <f>W62+1</f>
        <v>36</v>
      </c>
      <c r="Z62" s="152">
        <v>374</v>
      </c>
      <c r="AA62" s="160">
        <v>3911.4769999999999</v>
      </c>
      <c r="AB62" s="121">
        <v>12</v>
      </c>
      <c r="AK62" s="241"/>
      <c r="AL62" s="241"/>
      <c r="AM62" s="241"/>
      <c r="AN62" s="241"/>
    </row>
    <row r="63" spans="1:40" s="101" customFormat="1" ht="11.15" customHeight="1">
      <c r="A63" s="79">
        <f t="shared" si="11"/>
        <v>64</v>
      </c>
      <c r="B63" s="186"/>
      <c r="C63" s="143" t="s">
        <v>75</v>
      </c>
      <c r="D63" s="111"/>
      <c r="E63" s="143" t="s">
        <v>70</v>
      </c>
      <c r="F63" s="111"/>
      <c r="G63" s="143" t="s">
        <v>52</v>
      </c>
      <c r="H63" s="111"/>
      <c r="I63" s="143" t="s">
        <v>52</v>
      </c>
      <c r="J63" s="111"/>
      <c r="K63" s="143" t="s">
        <v>52</v>
      </c>
      <c r="L63" s="111"/>
      <c r="M63" s="143" t="s">
        <v>52</v>
      </c>
      <c r="N63" s="111"/>
      <c r="O63" s="143" t="s">
        <v>52</v>
      </c>
      <c r="P63" s="111"/>
      <c r="Q63" s="143" t="s">
        <v>52</v>
      </c>
      <c r="R63" s="111"/>
      <c r="S63" s="143" t="s">
        <v>75</v>
      </c>
      <c r="T63" s="111"/>
      <c r="U63" s="143" t="s">
        <v>75</v>
      </c>
      <c r="V63" s="111"/>
      <c r="W63" s="143" t="s">
        <v>52</v>
      </c>
      <c r="X63" s="111"/>
      <c r="Y63" s="143" t="s">
        <v>63</v>
      </c>
      <c r="Z63" s="123"/>
      <c r="AA63" s="114"/>
      <c r="AB63" s="114"/>
      <c r="AK63" s="98"/>
      <c r="AL63" s="98"/>
      <c r="AM63" s="98"/>
      <c r="AN63" s="98"/>
    </row>
    <row r="64" spans="1:40" s="128" customFormat="1" ht="11.15" customHeight="1">
      <c r="A64" s="79">
        <f t="shared" si="11"/>
        <v>65</v>
      </c>
      <c r="B64" s="155"/>
      <c r="C64" s="144" t="s">
        <v>159</v>
      </c>
      <c r="D64" s="161"/>
      <c r="E64" s="144" t="s">
        <v>160</v>
      </c>
      <c r="F64" s="161"/>
      <c r="G64" s="144" t="s">
        <v>161</v>
      </c>
      <c r="H64" s="161"/>
      <c r="I64" s="144" t="s">
        <v>162</v>
      </c>
      <c r="J64" s="145"/>
      <c r="K64" s="144" t="s">
        <v>163</v>
      </c>
      <c r="L64" s="145"/>
      <c r="M64" s="144" t="s">
        <v>164</v>
      </c>
      <c r="N64" s="145"/>
      <c r="O64" s="144" t="s">
        <v>165</v>
      </c>
      <c r="P64" s="145"/>
      <c r="Q64" s="144" t="s">
        <v>166</v>
      </c>
      <c r="R64" s="145"/>
      <c r="S64" s="144" t="s">
        <v>167</v>
      </c>
      <c r="T64" s="145"/>
      <c r="U64" s="144" t="s">
        <v>168</v>
      </c>
      <c r="V64" s="145"/>
      <c r="W64" s="144" t="s">
        <v>169</v>
      </c>
      <c r="X64" s="145"/>
      <c r="Y64" s="144" t="s">
        <v>170</v>
      </c>
      <c r="Z64" s="162"/>
      <c r="AA64" s="75"/>
      <c r="AB64" s="75"/>
      <c r="AK64" s="145"/>
      <c r="AL64" s="145"/>
      <c r="AM64" s="145"/>
      <c r="AN64" s="145"/>
    </row>
    <row r="65" spans="1:40" s="101" customFormat="1" ht="11.15" customHeight="1">
      <c r="A65" s="79">
        <f t="shared" si="11"/>
        <v>66</v>
      </c>
      <c r="B65" s="186"/>
      <c r="C65" s="143" t="s">
        <v>171</v>
      </c>
      <c r="D65" s="98"/>
      <c r="E65" s="143" t="s">
        <v>171</v>
      </c>
      <c r="F65" s="145"/>
      <c r="G65" s="143" t="s">
        <v>172</v>
      </c>
      <c r="H65" s="163"/>
      <c r="I65" s="143" t="s">
        <v>173</v>
      </c>
      <c r="J65" s="163"/>
      <c r="K65" s="143" t="s">
        <v>174</v>
      </c>
      <c r="L65" s="163"/>
      <c r="M65" s="143" t="s">
        <v>175</v>
      </c>
      <c r="N65" s="163"/>
      <c r="O65" s="143" t="s">
        <v>155</v>
      </c>
      <c r="P65" s="163"/>
      <c r="Q65" s="143" t="s">
        <v>54</v>
      </c>
      <c r="R65" s="163"/>
      <c r="S65" s="143" t="s">
        <v>65</v>
      </c>
      <c r="T65" s="163"/>
      <c r="U65" s="143" t="s">
        <v>65</v>
      </c>
      <c r="V65" s="163"/>
      <c r="W65" s="143" t="s">
        <v>65</v>
      </c>
      <c r="X65" s="163"/>
      <c r="Y65" s="143" t="s">
        <v>65</v>
      </c>
      <c r="Z65" s="123"/>
      <c r="AA65" s="114"/>
      <c r="AB65" s="114"/>
      <c r="AK65" s="98"/>
      <c r="AL65" s="98"/>
      <c r="AM65" s="98"/>
      <c r="AN65" s="98"/>
    </row>
    <row r="66" spans="1:40" s="101" customFormat="1" ht="11.15" customHeight="1">
      <c r="A66" s="79">
        <f t="shared" si="11"/>
        <v>67</v>
      </c>
      <c r="B66" s="186"/>
      <c r="D66" s="101" t="s">
        <v>176</v>
      </c>
      <c r="E66" s="111"/>
      <c r="F66" s="111"/>
      <c r="H66" s="111"/>
      <c r="J66" s="111"/>
      <c r="L66" s="111" t="s">
        <v>177</v>
      </c>
      <c r="N66" s="111"/>
      <c r="P66" s="111"/>
      <c r="R66" s="111"/>
      <c r="T66" s="111"/>
      <c r="V66" s="99"/>
      <c r="W66" s="98"/>
      <c r="X66" s="99"/>
      <c r="Z66" s="123"/>
      <c r="AA66" s="114"/>
      <c r="AB66" s="114"/>
      <c r="AK66" s="98"/>
      <c r="AL66" s="98"/>
      <c r="AM66" s="98"/>
      <c r="AN66" s="98"/>
    </row>
    <row r="67" spans="1:40" s="238" customFormat="1" ht="11.15" customHeight="1">
      <c r="A67" s="79">
        <f t="shared" si="11"/>
        <v>68</v>
      </c>
      <c r="B67" s="177">
        <v>0</v>
      </c>
      <c r="C67" s="825" t="s">
        <v>142</v>
      </c>
      <c r="D67" s="825"/>
      <c r="E67" s="825"/>
      <c r="F67" s="825"/>
      <c r="G67" s="825"/>
      <c r="H67" s="825"/>
      <c r="I67" s="825"/>
      <c r="J67" s="825"/>
      <c r="K67" s="825"/>
      <c r="L67" s="825"/>
      <c r="M67" s="825"/>
      <c r="N67" s="825"/>
      <c r="O67" s="825"/>
      <c r="P67" s="825"/>
      <c r="Q67" s="825"/>
      <c r="R67" s="825"/>
      <c r="S67" s="825"/>
      <c r="T67" s="825"/>
      <c r="U67" s="825"/>
      <c r="V67" s="825"/>
      <c r="W67" s="825"/>
      <c r="X67" s="825"/>
      <c r="Y67" s="825"/>
      <c r="Z67" s="826"/>
      <c r="AA67" s="150"/>
      <c r="AB67" s="150"/>
      <c r="AF67" s="242" t="e">
        <f>#REF!*#REF!/100</f>
        <v>#REF!</v>
      </c>
      <c r="AK67" s="239"/>
      <c r="AL67" s="239"/>
      <c r="AM67" s="239"/>
      <c r="AN67" s="239"/>
    </row>
    <row r="68" spans="1:40" s="229" customFormat="1" ht="9" hidden="1" customHeight="1">
      <c r="A68" s="21">
        <v>70</v>
      </c>
      <c r="B68" s="167">
        <v>1</v>
      </c>
      <c r="C68" s="228"/>
      <c r="D68" s="221">
        <v>266.19600000000003</v>
      </c>
      <c r="E68" s="221"/>
      <c r="F68" s="222">
        <v>169.548</v>
      </c>
      <c r="G68" s="222"/>
      <c r="H68" s="222">
        <v>262.60000000000002</v>
      </c>
      <c r="I68" s="222"/>
      <c r="J68" s="222">
        <v>263.029</v>
      </c>
      <c r="K68" s="222"/>
      <c r="L68" s="222">
        <v>410.65300000000002</v>
      </c>
      <c r="M68" s="222"/>
      <c r="N68" s="222">
        <v>426.947</v>
      </c>
      <c r="O68" s="222"/>
      <c r="P68" s="222">
        <v>395.00099999999998</v>
      </c>
      <c r="Q68" s="222"/>
      <c r="R68" s="222">
        <v>355</v>
      </c>
      <c r="S68" s="222"/>
      <c r="T68" s="222">
        <v>308</v>
      </c>
      <c r="U68" s="222"/>
      <c r="V68" s="222">
        <v>342</v>
      </c>
      <c r="W68" s="222"/>
      <c r="X68" s="222">
        <v>344</v>
      </c>
      <c r="Y68" s="222"/>
      <c r="Z68" s="222">
        <v>374</v>
      </c>
      <c r="AA68" s="150"/>
      <c r="AB68" s="150"/>
    </row>
    <row r="69" spans="1:40" s="229" customFormat="1" ht="9" hidden="1" customHeight="1">
      <c r="A69" s="22">
        <v>71</v>
      </c>
      <c r="B69" s="167">
        <v>2</v>
      </c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30"/>
      <c r="S69" s="230"/>
      <c r="T69" s="230"/>
      <c r="U69" s="230"/>
      <c r="V69" s="230"/>
      <c r="W69" s="230"/>
      <c r="X69" s="230"/>
      <c r="Y69" s="230"/>
      <c r="Z69" s="230"/>
      <c r="AA69" s="150"/>
      <c r="AB69" s="150"/>
    </row>
    <row r="70" spans="1:40" s="229" customFormat="1" ht="9" hidden="1" customHeight="1">
      <c r="A70" s="20">
        <v>72</v>
      </c>
      <c r="B70" s="167">
        <v>3</v>
      </c>
      <c r="C70" s="223" t="s">
        <v>159</v>
      </c>
      <c r="D70" s="223"/>
      <c r="E70" s="223" t="s">
        <v>160</v>
      </c>
      <c r="F70" s="223"/>
      <c r="G70" s="223" t="s">
        <v>161</v>
      </c>
      <c r="H70" s="223"/>
      <c r="I70" s="223" t="s">
        <v>162</v>
      </c>
      <c r="J70" s="223"/>
      <c r="K70" s="223" t="s">
        <v>163</v>
      </c>
      <c r="L70" s="223"/>
      <c r="M70" s="223" t="s">
        <v>164</v>
      </c>
      <c r="N70" s="223"/>
      <c r="O70" s="223" t="s">
        <v>165</v>
      </c>
      <c r="P70" s="223"/>
      <c r="Q70" s="223" t="s">
        <v>166</v>
      </c>
      <c r="R70" s="223"/>
      <c r="S70" s="223" t="s">
        <v>167</v>
      </c>
      <c r="T70" s="223"/>
      <c r="U70" s="223" t="s">
        <v>168</v>
      </c>
      <c r="V70" s="223"/>
      <c r="W70" s="223" t="s">
        <v>169</v>
      </c>
      <c r="X70" s="223"/>
      <c r="Y70" s="223" t="s">
        <v>170</v>
      </c>
      <c r="Z70" s="216"/>
      <c r="AA70" s="150"/>
      <c r="AB70" s="150"/>
    </row>
    <row r="71" spans="1:40" s="229" customFormat="1" ht="9" hidden="1" customHeight="1">
      <c r="A71" s="21">
        <v>73</v>
      </c>
      <c r="B71" s="167">
        <v>4</v>
      </c>
      <c r="C71" s="223" t="s">
        <v>171</v>
      </c>
      <c r="D71" s="223"/>
      <c r="E71" s="223" t="s">
        <v>171</v>
      </c>
      <c r="F71" s="223"/>
      <c r="G71" s="223" t="s">
        <v>172</v>
      </c>
      <c r="H71" s="223"/>
      <c r="I71" s="223" t="s">
        <v>173</v>
      </c>
      <c r="J71" s="223"/>
      <c r="K71" s="223" t="s">
        <v>174</v>
      </c>
      <c r="L71" s="223"/>
      <c r="M71" s="223" t="s">
        <v>175</v>
      </c>
      <c r="N71" s="223"/>
      <c r="O71" s="223" t="s">
        <v>155</v>
      </c>
      <c r="P71" s="223"/>
      <c r="Q71" s="223" t="s">
        <v>54</v>
      </c>
      <c r="R71" s="223"/>
      <c r="S71" s="223" t="s">
        <v>65</v>
      </c>
      <c r="T71" s="223"/>
      <c r="U71" s="223" t="s">
        <v>65</v>
      </c>
      <c r="V71" s="223"/>
      <c r="W71" s="223" t="s">
        <v>65</v>
      </c>
      <c r="X71" s="223"/>
      <c r="Y71" s="223" t="s">
        <v>65</v>
      </c>
      <c r="Z71" s="216"/>
      <c r="AA71" s="150"/>
      <c r="AB71" s="150"/>
    </row>
    <row r="72" spans="1:40" s="229" customFormat="1" ht="9" hidden="1" customHeight="1">
      <c r="A72" s="22">
        <v>74</v>
      </c>
      <c r="B72" s="167">
        <v>5</v>
      </c>
      <c r="C72" s="228" t="b">
        <f t="shared" ref="C72:Z72" si="12">C68=C62</f>
        <v>0</v>
      </c>
      <c r="D72" s="228" t="b">
        <f t="shared" si="12"/>
        <v>1</v>
      </c>
      <c r="E72" s="228" t="b">
        <f t="shared" si="12"/>
        <v>0</v>
      </c>
      <c r="F72" s="228" t="b">
        <f t="shared" si="12"/>
        <v>1</v>
      </c>
      <c r="G72" s="228" t="b">
        <f t="shared" si="12"/>
        <v>0</v>
      </c>
      <c r="H72" s="228" t="b">
        <f t="shared" si="12"/>
        <v>1</v>
      </c>
      <c r="I72" s="228" t="b">
        <f t="shared" si="12"/>
        <v>0</v>
      </c>
      <c r="J72" s="228" t="b">
        <f t="shared" si="12"/>
        <v>1</v>
      </c>
      <c r="K72" s="228" t="b">
        <f t="shared" si="12"/>
        <v>0</v>
      </c>
      <c r="L72" s="228" t="b">
        <f t="shared" si="12"/>
        <v>1</v>
      </c>
      <c r="M72" s="228" t="b">
        <f t="shared" si="12"/>
        <v>0</v>
      </c>
      <c r="N72" s="228" t="b">
        <f t="shared" si="12"/>
        <v>1</v>
      </c>
      <c r="O72" s="228" t="b">
        <f t="shared" si="12"/>
        <v>0</v>
      </c>
      <c r="P72" s="228" t="b">
        <f t="shared" si="12"/>
        <v>1</v>
      </c>
      <c r="Q72" s="228" t="b">
        <f t="shared" si="12"/>
        <v>0</v>
      </c>
      <c r="R72" s="228" t="b">
        <f t="shared" si="12"/>
        <v>1</v>
      </c>
      <c r="S72" s="228" t="b">
        <f t="shared" si="12"/>
        <v>0</v>
      </c>
      <c r="T72" s="228" t="b">
        <f t="shared" si="12"/>
        <v>1</v>
      </c>
      <c r="U72" s="228" t="b">
        <f t="shared" si="12"/>
        <v>0</v>
      </c>
      <c r="V72" s="228" t="b">
        <f t="shared" si="12"/>
        <v>1</v>
      </c>
      <c r="W72" s="228" t="b">
        <f t="shared" si="12"/>
        <v>0</v>
      </c>
      <c r="X72" s="228" t="b">
        <f t="shared" si="12"/>
        <v>1</v>
      </c>
      <c r="Y72" s="228" t="b">
        <f t="shared" si="12"/>
        <v>0</v>
      </c>
      <c r="Z72" s="228" t="b">
        <f t="shared" si="12"/>
        <v>1</v>
      </c>
      <c r="AA72" s="150"/>
      <c r="AB72" s="150"/>
    </row>
    <row r="73" spans="1:40" s="229" customFormat="1" ht="9" hidden="1" customHeight="1">
      <c r="A73" s="20">
        <v>75</v>
      </c>
      <c r="B73" s="167">
        <v>6</v>
      </c>
      <c r="C73" s="228" t="b">
        <f t="shared" ref="C73:Z73" si="13">C69=C63</f>
        <v>0</v>
      </c>
      <c r="D73" s="228" t="b">
        <f t="shared" si="13"/>
        <v>1</v>
      </c>
      <c r="E73" s="228" t="b">
        <f t="shared" si="13"/>
        <v>0</v>
      </c>
      <c r="F73" s="228" t="b">
        <f t="shared" si="13"/>
        <v>1</v>
      </c>
      <c r="G73" s="228" t="b">
        <f t="shared" si="13"/>
        <v>0</v>
      </c>
      <c r="H73" s="228" t="b">
        <f t="shared" si="13"/>
        <v>1</v>
      </c>
      <c r="I73" s="228" t="b">
        <f t="shared" si="13"/>
        <v>0</v>
      </c>
      <c r="J73" s="228" t="b">
        <f t="shared" si="13"/>
        <v>1</v>
      </c>
      <c r="K73" s="228" t="b">
        <f t="shared" si="13"/>
        <v>0</v>
      </c>
      <c r="L73" s="228" t="b">
        <f t="shared" si="13"/>
        <v>1</v>
      </c>
      <c r="M73" s="228" t="b">
        <f t="shared" si="13"/>
        <v>0</v>
      </c>
      <c r="N73" s="228" t="b">
        <f t="shared" si="13"/>
        <v>1</v>
      </c>
      <c r="O73" s="228" t="b">
        <f t="shared" si="13"/>
        <v>0</v>
      </c>
      <c r="P73" s="228" t="b">
        <f t="shared" si="13"/>
        <v>1</v>
      </c>
      <c r="Q73" s="228" t="b">
        <f t="shared" si="13"/>
        <v>0</v>
      </c>
      <c r="R73" s="228" t="b">
        <f t="shared" si="13"/>
        <v>1</v>
      </c>
      <c r="S73" s="228" t="b">
        <f t="shared" si="13"/>
        <v>0</v>
      </c>
      <c r="T73" s="228" t="b">
        <f t="shared" si="13"/>
        <v>1</v>
      </c>
      <c r="U73" s="228" t="b">
        <f t="shared" si="13"/>
        <v>0</v>
      </c>
      <c r="V73" s="228" t="b">
        <f t="shared" si="13"/>
        <v>1</v>
      </c>
      <c r="W73" s="228" t="b">
        <f t="shared" si="13"/>
        <v>0</v>
      </c>
      <c r="X73" s="228" t="b">
        <f t="shared" si="13"/>
        <v>1</v>
      </c>
      <c r="Y73" s="228" t="b">
        <f t="shared" si="13"/>
        <v>0</v>
      </c>
      <c r="Z73" s="228" t="b">
        <f t="shared" si="13"/>
        <v>1</v>
      </c>
      <c r="AA73" s="150"/>
      <c r="AB73" s="150"/>
    </row>
    <row r="74" spans="1:40" s="229" customFormat="1" ht="9" hidden="1" customHeight="1">
      <c r="A74" s="21">
        <v>76</v>
      </c>
      <c r="B74" s="167">
        <v>7</v>
      </c>
      <c r="C74" s="228" t="b">
        <f t="shared" ref="C74:Z74" si="14">C70=C64</f>
        <v>1</v>
      </c>
      <c r="D74" s="228" t="b">
        <f t="shared" si="14"/>
        <v>1</v>
      </c>
      <c r="E74" s="228" t="b">
        <f t="shared" si="14"/>
        <v>1</v>
      </c>
      <c r="F74" s="228" t="b">
        <f t="shared" si="14"/>
        <v>1</v>
      </c>
      <c r="G74" s="228" t="b">
        <f t="shared" si="14"/>
        <v>1</v>
      </c>
      <c r="H74" s="228" t="b">
        <f t="shared" si="14"/>
        <v>1</v>
      </c>
      <c r="I74" s="228" t="b">
        <f t="shared" si="14"/>
        <v>1</v>
      </c>
      <c r="J74" s="228" t="b">
        <f t="shared" si="14"/>
        <v>1</v>
      </c>
      <c r="K74" s="228" t="b">
        <f t="shared" si="14"/>
        <v>1</v>
      </c>
      <c r="L74" s="228" t="b">
        <f t="shared" si="14"/>
        <v>1</v>
      </c>
      <c r="M74" s="228" t="b">
        <f t="shared" si="14"/>
        <v>1</v>
      </c>
      <c r="N74" s="228" t="b">
        <f t="shared" si="14"/>
        <v>1</v>
      </c>
      <c r="O74" s="228" t="b">
        <f t="shared" si="14"/>
        <v>1</v>
      </c>
      <c r="P74" s="228" t="b">
        <f t="shared" si="14"/>
        <v>1</v>
      </c>
      <c r="Q74" s="228" t="b">
        <f t="shared" si="14"/>
        <v>1</v>
      </c>
      <c r="R74" s="228" t="b">
        <f t="shared" si="14"/>
        <v>1</v>
      </c>
      <c r="S74" s="228" t="b">
        <f t="shared" si="14"/>
        <v>1</v>
      </c>
      <c r="T74" s="228" t="b">
        <f t="shared" si="14"/>
        <v>1</v>
      </c>
      <c r="U74" s="228" t="b">
        <f t="shared" si="14"/>
        <v>1</v>
      </c>
      <c r="V74" s="228" t="b">
        <f t="shared" si="14"/>
        <v>1</v>
      </c>
      <c r="W74" s="228" t="b">
        <f t="shared" si="14"/>
        <v>1</v>
      </c>
      <c r="X74" s="228" t="b">
        <f t="shared" si="14"/>
        <v>1</v>
      </c>
      <c r="Y74" s="228" t="b">
        <f t="shared" si="14"/>
        <v>1</v>
      </c>
      <c r="Z74" s="228" t="b">
        <f t="shared" si="14"/>
        <v>1</v>
      </c>
      <c r="AA74" s="150"/>
      <c r="AB74" s="150"/>
    </row>
    <row r="75" spans="1:40" s="229" customFormat="1" ht="9" hidden="1" customHeight="1">
      <c r="A75" s="22">
        <v>77</v>
      </c>
      <c r="B75" s="167">
        <v>8</v>
      </c>
      <c r="C75" s="228" t="b">
        <f t="shared" ref="C75:Z75" si="15">C71=C65</f>
        <v>1</v>
      </c>
      <c r="D75" s="228" t="b">
        <f t="shared" si="15"/>
        <v>1</v>
      </c>
      <c r="E75" s="228" t="b">
        <f t="shared" si="15"/>
        <v>1</v>
      </c>
      <c r="F75" s="228" t="b">
        <f t="shared" si="15"/>
        <v>1</v>
      </c>
      <c r="G75" s="228" t="b">
        <f t="shared" si="15"/>
        <v>1</v>
      </c>
      <c r="H75" s="228" t="b">
        <f t="shared" si="15"/>
        <v>1</v>
      </c>
      <c r="I75" s="228" t="b">
        <f t="shared" si="15"/>
        <v>1</v>
      </c>
      <c r="J75" s="228" t="b">
        <f t="shared" si="15"/>
        <v>1</v>
      </c>
      <c r="K75" s="228" t="b">
        <f t="shared" si="15"/>
        <v>1</v>
      </c>
      <c r="L75" s="228" t="b">
        <f t="shared" si="15"/>
        <v>1</v>
      </c>
      <c r="M75" s="228" t="b">
        <f t="shared" si="15"/>
        <v>1</v>
      </c>
      <c r="N75" s="228" t="b">
        <f t="shared" si="15"/>
        <v>1</v>
      </c>
      <c r="O75" s="228" t="b">
        <f t="shared" si="15"/>
        <v>1</v>
      </c>
      <c r="P75" s="228" t="b">
        <f t="shared" si="15"/>
        <v>1</v>
      </c>
      <c r="Q75" s="228" t="b">
        <f t="shared" si="15"/>
        <v>1</v>
      </c>
      <c r="R75" s="228" t="b">
        <f t="shared" si="15"/>
        <v>1</v>
      </c>
      <c r="S75" s="228" t="b">
        <f t="shared" si="15"/>
        <v>1</v>
      </c>
      <c r="T75" s="228" t="b">
        <f t="shared" si="15"/>
        <v>1</v>
      </c>
      <c r="U75" s="228" t="b">
        <f t="shared" si="15"/>
        <v>1</v>
      </c>
      <c r="V75" s="228" t="b">
        <f t="shared" si="15"/>
        <v>1</v>
      </c>
      <c r="W75" s="228" t="b">
        <f t="shared" si="15"/>
        <v>1</v>
      </c>
      <c r="X75" s="228" t="b">
        <f t="shared" si="15"/>
        <v>1</v>
      </c>
      <c r="Y75" s="228" t="b">
        <f t="shared" si="15"/>
        <v>1</v>
      </c>
      <c r="Z75" s="228" t="b">
        <f t="shared" si="15"/>
        <v>1</v>
      </c>
      <c r="AA75" s="150"/>
      <c r="AB75" s="150"/>
    </row>
    <row r="76" spans="1:40" s="229" customFormat="1" ht="9" hidden="1" customHeight="1">
      <c r="A76" s="20">
        <v>78</v>
      </c>
      <c r="B76" s="167">
        <v>9</v>
      </c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150"/>
      <c r="AB76" s="150"/>
    </row>
    <row r="77" spans="1:40" s="229" customFormat="1" ht="9" hidden="1" customHeight="1">
      <c r="A77" s="21">
        <v>79</v>
      </c>
      <c r="B77" s="167">
        <v>10</v>
      </c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150"/>
      <c r="AB77" s="150"/>
    </row>
    <row r="78" spans="1:40" s="101" customFormat="1" ht="11.15" customHeight="1">
      <c r="A78" s="79">
        <f t="shared" ref="A78:A86" si="16">A77+1</f>
        <v>80</v>
      </c>
      <c r="B78" s="186"/>
      <c r="C78" s="99">
        <f>Y59+1</f>
        <v>35</v>
      </c>
      <c r="D78" s="111"/>
      <c r="E78" s="99">
        <f>C78+1</f>
        <v>36</v>
      </c>
      <c r="F78" s="111"/>
      <c r="G78" s="99">
        <f>E78+1</f>
        <v>37</v>
      </c>
      <c r="H78" s="111"/>
      <c r="I78" s="99">
        <f>G78+1</f>
        <v>38</v>
      </c>
      <c r="J78" s="111"/>
      <c r="K78" s="99">
        <f>I78+1</f>
        <v>39</v>
      </c>
      <c r="L78" s="111"/>
      <c r="M78" s="99">
        <f>K78+1</f>
        <v>40</v>
      </c>
      <c r="N78" s="111"/>
      <c r="O78" s="99">
        <f>M78+1</f>
        <v>41</v>
      </c>
      <c r="P78" s="111"/>
      <c r="Q78" s="98" t="s">
        <v>97</v>
      </c>
      <c r="R78" s="99"/>
      <c r="S78" s="99">
        <f>O78+1</f>
        <v>42</v>
      </c>
      <c r="T78" s="111"/>
      <c r="U78" s="99">
        <f>S78+1</f>
        <v>43</v>
      </c>
      <c r="V78" s="99"/>
      <c r="W78" s="99">
        <f>U78+1</f>
        <v>44</v>
      </c>
      <c r="X78" s="99"/>
      <c r="Y78" s="157">
        <f>W78+1</f>
        <v>45</v>
      </c>
      <c r="Z78" s="123"/>
      <c r="AA78" s="114"/>
      <c r="AB78" s="114"/>
      <c r="AK78" s="98"/>
      <c r="AL78" s="98"/>
      <c r="AM78" s="98"/>
      <c r="AN78" s="98"/>
    </row>
    <row r="79" spans="1:40" s="101" customFormat="1" ht="11.15" customHeight="1">
      <c r="A79" s="79">
        <f t="shared" si="16"/>
        <v>81</v>
      </c>
      <c r="B79" s="186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29"/>
      <c r="S79" s="129"/>
      <c r="T79" s="129"/>
      <c r="U79" s="129"/>
      <c r="V79" s="129"/>
      <c r="W79" s="129"/>
      <c r="X79" s="129"/>
      <c r="Y79" s="129"/>
      <c r="Z79" s="162"/>
      <c r="AA79" s="114"/>
      <c r="AB79" s="114"/>
      <c r="AK79" s="98"/>
      <c r="AL79" s="98"/>
      <c r="AM79" s="98"/>
      <c r="AN79" s="98"/>
    </row>
    <row r="80" spans="1:40" s="101" customFormat="1" ht="11.15" customHeight="1">
      <c r="A80" s="79">
        <f t="shared" si="16"/>
        <v>82</v>
      </c>
      <c r="B80" s="186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29"/>
      <c r="S80" s="129"/>
      <c r="T80" s="129"/>
      <c r="U80" s="129"/>
      <c r="V80" s="129"/>
      <c r="W80" s="129"/>
      <c r="X80" s="129"/>
      <c r="Y80" s="129"/>
      <c r="Z80" s="162"/>
      <c r="AA80" s="114"/>
      <c r="AB80" s="114"/>
      <c r="AK80" s="98"/>
      <c r="AL80" s="98"/>
      <c r="AM80" s="98"/>
      <c r="AN80" s="98"/>
    </row>
    <row r="81" spans="1:40" s="101" customFormat="1" ht="11.15" customHeight="1">
      <c r="A81" s="79">
        <f t="shared" si="16"/>
        <v>83</v>
      </c>
      <c r="B81" s="155"/>
      <c r="C81" s="140">
        <f>Y62+1</f>
        <v>37</v>
      </c>
      <c r="D81" s="141">
        <v>319</v>
      </c>
      <c r="E81" s="140">
        <f>C81+1</f>
        <v>38</v>
      </c>
      <c r="F81" s="141">
        <v>351</v>
      </c>
      <c r="G81" s="140">
        <f>E81+1</f>
        <v>39</v>
      </c>
      <c r="H81" s="107">
        <v>399.33</v>
      </c>
      <c r="I81" s="140">
        <f>G81+1</f>
        <v>40</v>
      </c>
      <c r="J81" s="107">
        <v>357.62799999999999</v>
      </c>
      <c r="K81" s="140">
        <f>I81+1</f>
        <v>41</v>
      </c>
      <c r="L81" s="107">
        <v>285.00700000000001</v>
      </c>
      <c r="M81" s="140">
        <f>K81+1</f>
        <v>42</v>
      </c>
      <c r="N81" s="107">
        <v>410</v>
      </c>
      <c r="O81" s="140">
        <f>M81+1</f>
        <v>43</v>
      </c>
      <c r="P81" s="107">
        <v>348.41500000000002</v>
      </c>
      <c r="Q81" s="140">
        <f>O81+1</f>
        <v>44</v>
      </c>
      <c r="R81" s="141">
        <v>397</v>
      </c>
      <c r="S81" s="140">
        <f>Q81+1</f>
        <v>45</v>
      </c>
      <c r="T81" s="141">
        <v>406</v>
      </c>
      <c r="U81" s="140">
        <f>S81+1</f>
        <v>46</v>
      </c>
      <c r="V81" s="141">
        <v>437.67</v>
      </c>
      <c r="W81" s="140">
        <f>U81+1</f>
        <v>47</v>
      </c>
      <c r="X81" s="141">
        <v>370</v>
      </c>
      <c r="Y81" s="140">
        <f>W81+1</f>
        <v>48</v>
      </c>
      <c r="Z81" s="141">
        <v>369.149</v>
      </c>
      <c r="AA81" s="164">
        <v>4450.1989999999996</v>
      </c>
      <c r="AB81" s="114">
        <v>12</v>
      </c>
      <c r="AK81" s="98"/>
      <c r="AL81" s="98"/>
      <c r="AM81" s="98"/>
      <c r="AN81" s="98"/>
    </row>
    <row r="82" spans="1:40" s="101" customFormat="1" ht="11.15" customHeight="1">
      <c r="A82" s="79">
        <f t="shared" si="16"/>
        <v>84</v>
      </c>
      <c r="B82" s="155"/>
      <c r="C82" s="143" t="s">
        <v>52</v>
      </c>
      <c r="D82" s="129"/>
      <c r="E82" s="143" t="s">
        <v>63</v>
      </c>
      <c r="F82" s="129"/>
      <c r="G82" s="143" t="s">
        <v>52</v>
      </c>
      <c r="H82" s="111"/>
      <c r="I82" s="143" t="s">
        <v>52</v>
      </c>
      <c r="J82" s="111"/>
      <c r="K82" s="143" t="s">
        <v>52</v>
      </c>
      <c r="L82" s="111"/>
      <c r="M82" s="143" t="s">
        <v>52</v>
      </c>
      <c r="N82" s="111"/>
      <c r="O82" s="143" t="s">
        <v>63</v>
      </c>
      <c r="P82" s="111"/>
      <c r="Q82" s="143" t="s">
        <v>52</v>
      </c>
      <c r="R82" s="129"/>
      <c r="S82" s="143" t="s">
        <v>63</v>
      </c>
      <c r="T82" s="129"/>
      <c r="U82" s="143" t="s">
        <v>63</v>
      </c>
      <c r="V82" s="129"/>
      <c r="W82" s="143" t="s">
        <v>52</v>
      </c>
      <c r="X82" s="129"/>
      <c r="Y82" s="143" t="s">
        <v>63</v>
      </c>
      <c r="Z82" s="165"/>
      <c r="AA82" s="114"/>
      <c r="AB82" s="114"/>
      <c r="AK82" s="98"/>
      <c r="AL82" s="98"/>
      <c r="AM82" s="98"/>
      <c r="AN82" s="98"/>
    </row>
    <row r="83" spans="1:40" s="128" customFormat="1" ht="11.15" customHeight="1">
      <c r="A83" s="79">
        <f t="shared" si="16"/>
        <v>85</v>
      </c>
      <c r="B83" s="155"/>
      <c r="C83" s="144" t="s">
        <v>178</v>
      </c>
      <c r="D83" s="161"/>
      <c r="E83" s="144" t="s">
        <v>179</v>
      </c>
      <c r="F83" s="161"/>
      <c r="G83" s="144" t="s">
        <v>180</v>
      </c>
      <c r="H83" s="161"/>
      <c r="I83" s="144" t="s">
        <v>181</v>
      </c>
      <c r="J83" s="161"/>
      <c r="K83" s="144" t="s">
        <v>182</v>
      </c>
      <c r="L83" s="161"/>
      <c r="M83" s="144" t="s">
        <v>183</v>
      </c>
      <c r="N83" s="161"/>
      <c r="O83" s="144" t="s">
        <v>184</v>
      </c>
      <c r="P83" s="161"/>
      <c r="Q83" s="144" t="s">
        <v>185</v>
      </c>
      <c r="R83" s="161"/>
      <c r="S83" s="144" t="s">
        <v>186</v>
      </c>
      <c r="T83" s="161"/>
      <c r="U83" s="144" t="s">
        <v>187</v>
      </c>
      <c r="V83" s="161"/>
      <c r="W83" s="144" t="s">
        <v>188</v>
      </c>
      <c r="X83" s="161"/>
      <c r="Y83" s="144" t="s">
        <v>189</v>
      </c>
      <c r="Z83" s="166"/>
      <c r="AA83" s="75"/>
      <c r="AB83" s="75"/>
      <c r="AK83" s="145"/>
      <c r="AL83" s="145"/>
      <c r="AM83" s="145"/>
      <c r="AN83" s="145"/>
    </row>
    <row r="84" spans="1:40" s="101" customFormat="1" ht="11.15" customHeight="1">
      <c r="A84" s="79">
        <f t="shared" si="16"/>
        <v>86</v>
      </c>
      <c r="B84" s="155"/>
      <c r="C84" s="143" t="s">
        <v>59</v>
      </c>
      <c r="D84" s="161"/>
      <c r="E84" s="143" t="s">
        <v>51</v>
      </c>
      <c r="F84" s="161"/>
      <c r="G84" s="143" t="s">
        <v>54</v>
      </c>
      <c r="H84" s="163"/>
      <c r="I84" s="143" t="s">
        <v>171</v>
      </c>
      <c r="J84" s="163"/>
      <c r="K84" s="143" t="s">
        <v>171</v>
      </c>
      <c r="L84" s="163"/>
      <c r="M84" s="143" t="s">
        <v>190</v>
      </c>
      <c r="N84" s="163"/>
      <c r="O84" s="143" t="s">
        <v>59</v>
      </c>
      <c r="P84" s="163"/>
      <c r="Q84" s="143" t="s">
        <v>191</v>
      </c>
      <c r="R84" s="161"/>
      <c r="S84" s="143" t="s">
        <v>59</v>
      </c>
      <c r="T84" s="161"/>
      <c r="U84" s="143" t="s">
        <v>54</v>
      </c>
      <c r="V84" s="161"/>
      <c r="W84" s="143" t="s">
        <v>72</v>
      </c>
      <c r="X84" s="161"/>
      <c r="Y84" s="143" t="s">
        <v>59</v>
      </c>
      <c r="Z84" s="166"/>
      <c r="AA84" s="114"/>
      <c r="AB84" s="114"/>
      <c r="AK84" s="98"/>
      <c r="AL84" s="98"/>
      <c r="AM84" s="98"/>
      <c r="AN84" s="98"/>
    </row>
    <row r="85" spans="1:40" s="101" customFormat="1" ht="11.15" customHeight="1">
      <c r="A85" s="79">
        <f t="shared" si="16"/>
        <v>87</v>
      </c>
      <c r="B85" s="155"/>
      <c r="C85" s="128"/>
      <c r="D85" s="129"/>
      <c r="E85" s="129"/>
      <c r="F85" s="129"/>
      <c r="G85" s="128"/>
      <c r="H85" s="111"/>
      <c r="J85" s="99" t="s">
        <v>192</v>
      </c>
      <c r="L85" s="99" t="s">
        <v>356</v>
      </c>
      <c r="N85" s="111"/>
      <c r="P85" s="111"/>
      <c r="R85" s="111"/>
      <c r="T85" s="111"/>
      <c r="V85" s="99"/>
      <c r="W85" s="98"/>
      <c r="X85" s="99"/>
      <c r="Z85" s="123"/>
      <c r="AA85" s="114"/>
      <c r="AB85" s="114"/>
      <c r="AK85" s="98"/>
      <c r="AL85" s="98"/>
      <c r="AM85" s="98"/>
      <c r="AN85" s="98"/>
    </row>
    <row r="86" spans="1:40" s="238" customFormat="1" ht="11.15" customHeight="1">
      <c r="A86" s="79">
        <f t="shared" si="16"/>
        <v>88</v>
      </c>
      <c r="B86" s="177">
        <v>0</v>
      </c>
      <c r="C86" s="825" t="s">
        <v>142</v>
      </c>
      <c r="D86" s="825"/>
      <c r="E86" s="825"/>
      <c r="F86" s="825"/>
      <c r="G86" s="825"/>
      <c r="H86" s="825"/>
      <c r="I86" s="825"/>
      <c r="J86" s="825"/>
      <c r="K86" s="825"/>
      <c r="L86" s="825"/>
      <c r="M86" s="825"/>
      <c r="N86" s="825"/>
      <c r="O86" s="825"/>
      <c r="P86" s="825"/>
      <c r="Q86" s="825"/>
      <c r="R86" s="825"/>
      <c r="S86" s="825"/>
      <c r="T86" s="825"/>
      <c r="U86" s="825"/>
      <c r="V86" s="825"/>
      <c r="W86" s="825"/>
      <c r="X86" s="825"/>
      <c r="Y86" s="825"/>
      <c r="Z86" s="826"/>
      <c r="AA86" s="150"/>
      <c r="AB86" s="150"/>
      <c r="AK86" s="239"/>
      <c r="AL86" s="239"/>
      <c r="AM86" s="239"/>
      <c r="AN86" s="239"/>
    </row>
    <row r="87" spans="1:40" s="229" customFormat="1" ht="9" hidden="1" customHeight="1">
      <c r="A87" s="21">
        <v>90</v>
      </c>
      <c r="B87" s="167">
        <v>1</v>
      </c>
      <c r="C87" s="228"/>
      <c r="D87" s="224">
        <v>319</v>
      </c>
      <c r="E87" s="224"/>
      <c r="F87" s="224">
        <v>351</v>
      </c>
      <c r="G87" s="224"/>
      <c r="H87" s="224">
        <v>399.33</v>
      </c>
      <c r="I87" s="224"/>
      <c r="J87" s="224">
        <v>357.62799999999999</v>
      </c>
      <c r="K87" s="224"/>
      <c r="L87" s="224">
        <v>285.00700000000001</v>
      </c>
      <c r="M87" s="224"/>
      <c r="N87" s="224">
        <v>410</v>
      </c>
      <c r="O87" s="224"/>
      <c r="P87" s="224">
        <v>348.41500000000002</v>
      </c>
      <c r="Q87" s="224"/>
      <c r="R87" s="224">
        <v>397</v>
      </c>
      <c r="S87" s="224"/>
      <c r="T87" s="224">
        <v>406</v>
      </c>
      <c r="U87" s="224"/>
      <c r="V87" s="224">
        <v>437.67</v>
      </c>
      <c r="W87" s="224"/>
      <c r="X87" s="224">
        <v>370</v>
      </c>
      <c r="Y87" s="224"/>
      <c r="Z87" s="224">
        <v>369.149</v>
      </c>
      <c r="AA87" s="150"/>
      <c r="AB87" s="150"/>
    </row>
    <row r="88" spans="1:40" s="229" customFormat="1" ht="9" hidden="1" customHeight="1">
      <c r="A88" s="22">
        <v>91</v>
      </c>
      <c r="B88" s="167">
        <v>2</v>
      </c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30"/>
      <c r="S88" s="230"/>
      <c r="T88" s="230"/>
      <c r="U88" s="230"/>
      <c r="V88" s="230"/>
      <c r="W88" s="230"/>
      <c r="X88" s="230"/>
      <c r="Y88" s="230"/>
      <c r="Z88" s="230"/>
      <c r="AA88" s="150"/>
      <c r="AB88" s="150"/>
    </row>
    <row r="89" spans="1:40" s="229" customFormat="1" ht="9" hidden="1" customHeight="1">
      <c r="A89" s="20">
        <v>92</v>
      </c>
      <c r="B89" s="167">
        <v>3</v>
      </c>
      <c r="C89" s="225" t="s">
        <v>178</v>
      </c>
      <c r="D89" s="225"/>
      <c r="E89" s="225" t="s">
        <v>179</v>
      </c>
      <c r="F89" s="225"/>
      <c r="G89" s="225" t="s">
        <v>180</v>
      </c>
      <c r="H89" s="225"/>
      <c r="I89" s="225" t="s">
        <v>181</v>
      </c>
      <c r="J89" s="225"/>
      <c r="K89" s="225" t="s">
        <v>182</v>
      </c>
      <c r="L89" s="225"/>
      <c r="M89" s="225" t="s">
        <v>183</v>
      </c>
      <c r="N89" s="225"/>
      <c r="O89" s="225" t="s">
        <v>184</v>
      </c>
      <c r="P89" s="225"/>
      <c r="Q89" s="225" t="s">
        <v>185</v>
      </c>
      <c r="R89" s="225"/>
      <c r="S89" s="225" t="s">
        <v>186</v>
      </c>
      <c r="T89" s="225"/>
      <c r="U89" s="225" t="s">
        <v>187</v>
      </c>
      <c r="V89" s="225"/>
      <c r="W89" s="225" t="s">
        <v>188</v>
      </c>
      <c r="X89" s="225"/>
      <c r="Y89" s="225" t="s">
        <v>189</v>
      </c>
      <c r="Z89" s="216"/>
      <c r="AA89" s="150"/>
      <c r="AB89" s="150"/>
    </row>
    <row r="90" spans="1:40" s="229" customFormat="1" ht="9" hidden="1" customHeight="1">
      <c r="A90" s="21">
        <v>93</v>
      </c>
      <c r="B90" s="167">
        <v>4</v>
      </c>
      <c r="C90" s="225" t="s">
        <v>59</v>
      </c>
      <c r="D90" s="225"/>
      <c r="E90" s="225" t="s">
        <v>51</v>
      </c>
      <c r="F90" s="225"/>
      <c r="G90" s="225" t="s">
        <v>54</v>
      </c>
      <c r="H90" s="225"/>
      <c r="I90" s="225" t="s">
        <v>171</v>
      </c>
      <c r="J90" s="225"/>
      <c r="K90" s="225" t="s">
        <v>171</v>
      </c>
      <c r="L90" s="225"/>
      <c r="M90" s="225" t="s">
        <v>190</v>
      </c>
      <c r="N90" s="225"/>
      <c r="O90" s="225" t="s">
        <v>59</v>
      </c>
      <c r="P90" s="225"/>
      <c r="Q90" s="225" t="s">
        <v>191</v>
      </c>
      <c r="R90" s="225"/>
      <c r="S90" s="225" t="s">
        <v>59</v>
      </c>
      <c r="T90" s="225"/>
      <c r="U90" s="225" t="s">
        <v>54</v>
      </c>
      <c r="V90" s="225"/>
      <c r="W90" s="225" t="s">
        <v>72</v>
      </c>
      <c r="X90" s="225"/>
      <c r="Y90" s="225" t="s">
        <v>59</v>
      </c>
      <c r="Z90" s="216"/>
      <c r="AA90" s="150"/>
      <c r="AB90" s="150"/>
    </row>
    <row r="91" spans="1:40" s="229" customFormat="1" ht="9" hidden="1" customHeight="1">
      <c r="A91" s="22">
        <v>94</v>
      </c>
      <c r="B91" s="167">
        <v>5</v>
      </c>
      <c r="C91" s="228" t="b">
        <f t="shared" ref="C91:H94" si="17">C87=C81</f>
        <v>0</v>
      </c>
      <c r="D91" s="228" t="b">
        <f t="shared" si="17"/>
        <v>1</v>
      </c>
      <c r="E91" s="228" t="b">
        <f t="shared" si="17"/>
        <v>0</v>
      </c>
      <c r="F91" s="228" t="b">
        <f t="shared" si="17"/>
        <v>1</v>
      </c>
      <c r="G91" s="228" t="b">
        <f t="shared" si="17"/>
        <v>0</v>
      </c>
      <c r="H91" s="228" t="b">
        <f t="shared" si="17"/>
        <v>1</v>
      </c>
      <c r="I91" s="228" t="b">
        <f>I87=K100</f>
        <v>0</v>
      </c>
      <c r="J91" s="228" t="b">
        <f t="shared" ref="J91:Z91" si="18">J87=J81</f>
        <v>1</v>
      </c>
      <c r="K91" s="228" t="b">
        <f t="shared" si="18"/>
        <v>0</v>
      </c>
      <c r="L91" s="228" t="b">
        <f t="shared" si="18"/>
        <v>1</v>
      </c>
      <c r="M91" s="228" t="b">
        <f t="shared" si="18"/>
        <v>0</v>
      </c>
      <c r="N91" s="228" t="b">
        <f t="shared" si="18"/>
        <v>1</v>
      </c>
      <c r="O91" s="228" t="b">
        <f t="shared" si="18"/>
        <v>0</v>
      </c>
      <c r="P91" s="228" t="b">
        <f t="shared" si="18"/>
        <v>1</v>
      </c>
      <c r="Q91" s="228" t="b">
        <f t="shared" si="18"/>
        <v>0</v>
      </c>
      <c r="R91" s="228" t="b">
        <f t="shared" si="18"/>
        <v>1</v>
      </c>
      <c r="S91" s="228" t="b">
        <f t="shared" si="18"/>
        <v>0</v>
      </c>
      <c r="T91" s="228" t="b">
        <f t="shared" si="18"/>
        <v>1</v>
      </c>
      <c r="U91" s="228" t="b">
        <f t="shared" si="18"/>
        <v>0</v>
      </c>
      <c r="V91" s="228" t="b">
        <f t="shared" si="18"/>
        <v>1</v>
      </c>
      <c r="W91" s="228" t="b">
        <f t="shared" si="18"/>
        <v>0</v>
      </c>
      <c r="X91" s="228" t="b">
        <f t="shared" si="18"/>
        <v>1</v>
      </c>
      <c r="Y91" s="228" t="b">
        <f t="shared" si="18"/>
        <v>0</v>
      </c>
      <c r="Z91" s="228" t="b">
        <f t="shared" si="18"/>
        <v>1</v>
      </c>
      <c r="AA91" s="150"/>
      <c r="AB91" s="150"/>
    </row>
    <row r="92" spans="1:40" s="229" customFormat="1" ht="9" hidden="1" customHeight="1">
      <c r="A92" s="20">
        <v>95</v>
      </c>
      <c r="B92" s="167">
        <v>6</v>
      </c>
      <c r="C92" s="228" t="b">
        <f t="shared" si="17"/>
        <v>0</v>
      </c>
      <c r="D92" s="228" t="b">
        <f t="shared" si="17"/>
        <v>1</v>
      </c>
      <c r="E92" s="228" t="b">
        <f t="shared" si="17"/>
        <v>0</v>
      </c>
      <c r="F92" s="228" t="b">
        <f t="shared" si="17"/>
        <v>1</v>
      </c>
      <c r="G92" s="228" t="b">
        <f t="shared" si="17"/>
        <v>0</v>
      </c>
      <c r="H92" s="228" t="b">
        <f t="shared" si="17"/>
        <v>1</v>
      </c>
      <c r="I92" s="228" t="b">
        <f>I88=K101</f>
        <v>0</v>
      </c>
      <c r="J92" s="228" t="b">
        <f t="shared" ref="J92:Z92" si="19">J88=J82</f>
        <v>1</v>
      </c>
      <c r="K92" s="228" t="b">
        <f t="shared" si="19"/>
        <v>0</v>
      </c>
      <c r="L92" s="228" t="b">
        <f t="shared" si="19"/>
        <v>1</v>
      </c>
      <c r="M92" s="228" t="b">
        <f t="shared" si="19"/>
        <v>0</v>
      </c>
      <c r="N92" s="228" t="b">
        <f t="shared" si="19"/>
        <v>1</v>
      </c>
      <c r="O92" s="228" t="b">
        <f t="shared" si="19"/>
        <v>0</v>
      </c>
      <c r="P92" s="228" t="b">
        <f t="shared" si="19"/>
        <v>1</v>
      </c>
      <c r="Q92" s="228" t="b">
        <f t="shared" si="19"/>
        <v>0</v>
      </c>
      <c r="R92" s="228" t="b">
        <f t="shared" si="19"/>
        <v>1</v>
      </c>
      <c r="S92" s="228" t="b">
        <f t="shared" si="19"/>
        <v>0</v>
      </c>
      <c r="T92" s="228" t="b">
        <f t="shared" si="19"/>
        <v>1</v>
      </c>
      <c r="U92" s="228" t="b">
        <f t="shared" si="19"/>
        <v>0</v>
      </c>
      <c r="V92" s="228" t="b">
        <f t="shared" si="19"/>
        <v>1</v>
      </c>
      <c r="W92" s="228" t="b">
        <f t="shared" si="19"/>
        <v>0</v>
      </c>
      <c r="X92" s="228" t="b">
        <f t="shared" si="19"/>
        <v>1</v>
      </c>
      <c r="Y92" s="228" t="b">
        <f t="shared" si="19"/>
        <v>0</v>
      </c>
      <c r="Z92" s="228" t="b">
        <f t="shared" si="19"/>
        <v>1</v>
      </c>
      <c r="AA92" s="150"/>
      <c r="AB92" s="150"/>
    </row>
    <row r="93" spans="1:40" s="229" customFormat="1" ht="9" hidden="1" customHeight="1">
      <c r="A93" s="21">
        <v>96</v>
      </c>
      <c r="B93" s="167">
        <v>7</v>
      </c>
      <c r="C93" s="228" t="b">
        <f t="shared" si="17"/>
        <v>1</v>
      </c>
      <c r="D93" s="228" t="b">
        <f t="shared" si="17"/>
        <v>1</v>
      </c>
      <c r="E93" s="228" t="b">
        <f t="shared" si="17"/>
        <v>1</v>
      </c>
      <c r="F93" s="228" t="b">
        <f t="shared" si="17"/>
        <v>1</v>
      </c>
      <c r="G93" s="228" t="b">
        <f t="shared" si="17"/>
        <v>1</v>
      </c>
      <c r="H93" s="228" t="b">
        <f t="shared" si="17"/>
        <v>1</v>
      </c>
      <c r="I93" s="228" t="b">
        <f>I89=I83</f>
        <v>1</v>
      </c>
      <c r="J93" s="228" t="b">
        <f t="shared" ref="J93:Z93" si="20">J89=J83</f>
        <v>1</v>
      </c>
      <c r="K93" s="228" t="b">
        <f t="shared" si="20"/>
        <v>1</v>
      </c>
      <c r="L93" s="228" t="b">
        <f t="shared" si="20"/>
        <v>1</v>
      </c>
      <c r="M93" s="228" t="b">
        <f t="shared" si="20"/>
        <v>1</v>
      </c>
      <c r="N93" s="228" t="b">
        <f t="shared" si="20"/>
        <v>1</v>
      </c>
      <c r="O93" s="228" t="b">
        <f t="shared" si="20"/>
        <v>1</v>
      </c>
      <c r="P93" s="228" t="b">
        <f t="shared" si="20"/>
        <v>1</v>
      </c>
      <c r="Q93" s="228" t="b">
        <f t="shared" si="20"/>
        <v>1</v>
      </c>
      <c r="R93" s="228" t="b">
        <f t="shared" si="20"/>
        <v>1</v>
      </c>
      <c r="S93" s="228" t="b">
        <f t="shared" si="20"/>
        <v>1</v>
      </c>
      <c r="T93" s="228" t="b">
        <f t="shared" si="20"/>
        <v>1</v>
      </c>
      <c r="U93" s="228" t="b">
        <f t="shared" si="20"/>
        <v>1</v>
      </c>
      <c r="V93" s="228" t="b">
        <f t="shared" si="20"/>
        <v>1</v>
      </c>
      <c r="W93" s="228" t="b">
        <f t="shared" si="20"/>
        <v>1</v>
      </c>
      <c r="X93" s="228" t="b">
        <f t="shared" si="20"/>
        <v>1</v>
      </c>
      <c r="Y93" s="228" t="b">
        <f t="shared" si="20"/>
        <v>1</v>
      </c>
      <c r="Z93" s="228" t="b">
        <f t="shared" si="20"/>
        <v>1</v>
      </c>
      <c r="AA93" s="150"/>
      <c r="AB93" s="150"/>
    </row>
    <row r="94" spans="1:40" s="229" customFormat="1" ht="9" hidden="1" customHeight="1">
      <c r="A94" s="22">
        <v>97</v>
      </c>
      <c r="B94" s="167">
        <v>8</v>
      </c>
      <c r="C94" s="228" t="b">
        <f t="shared" si="17"/>
        <v>1</v>
      </c>
      <c r="D94" s="228" t="b">
        <f t="shared" si="17"/>
        <v>1</v>
      </c>
      <c r="E94" s="228" t="b">
        <f t="shared" si="17"/>
        <v>1</v>
      </c>
      <c r="F94" s="228" t="b">
        <f t="shared" si="17"/>
        <v>1</v>
      </c>
      <c r="G94" s="228" t="b">
        <f t="shared" si="17"/>
        <v>1</v>
      </c>
      <c r="H94" s="228" t="b">
        <f t="shared" si="17"/>
        <v>1</v>
      </c>
      <c r="I94" s="228" t="b">
        <f>I90=I84</f>
        <v>1</v>
      </c>
      <c r="J94" s="228" t="b">
        <f t="shared" ref="J94:Z94" si="21">J90=J84</f>
        <v>1</v>
      </c>
      <c r="K94" s="228" t="b">
        <f t="shared" si="21"/>
        <v>1</v>
      </c>
      <c r="L94" s="228" t="b">
        <f t="shared" si="21"/>
        <v>1</v>
      </c>
      <c r="M94" s="228" t="b">
        <f t="shared" si="21"/>
        <v>1</v>
      </c>
      <c r="N94" s="228" t="b">
        <f t="shared" si="21"/>
        <v>1</v>
      </c>
      <c r="O94" s="228" t="b">
        <f t="shared" si="21"/>
        <v>1</v>
      </c>
      <c r="P94" s="228" t="b">
        <f t="shared" si="21"/>
        <v>1</v>
      </c>
      <c r="Q94" s="228" t="b">
        <f t="shared" si="21"/>
        <v>1</v>
      </c>
      <c r="R94" s="228" t="b">
        <f t="shared" si="21"/>
        <v>1</v>
      </c>
      <c r="S94" s="228" t="b">
        <f t="shared" si="21"/>
        <v>1</v>
      </c>
      <c r="T94" s="228" t="b">
        <f t="shared" si="21"/>
        <v>1</v>
      </c>
      <c r="U94" s="228" t="b">
        <f t="shared" si="21"/>
        <v>1</v>
      </c>
      <c r="V94" s="228" t="b">
        <f t="shared" si="21"/>
        <v>1</v>
      </c>
      <c r="W94" s="228" t="b">
        <f t="shared" si="21"/>
        <v>1</v>
      </c>
      <c r="X94" s="228" t="b">
        <f t="shared" si="21"/>
        <v>1</v>
      </c>
      <c r="Y94" s="228" t="b">
        <f t="shared" si="21"/>
        <v>1</v>
      </c>
      <c r="Z94" s="228" t="b">
        <f t="shared" si="21"/>
        <v>1</v>
      </c>
      <c r="AA94" s="150"/>
      <c r="AB94" s="150"/>
    </row>
    <row r="95" spans="1:40" s="229" customFormat="1" ht="9" hidden="1" customHeight="1">
      <c r="A95" s="20">
        <v>98</v>
      </c>
      <c r="B95" s="167">
        <v>9</v>
      </c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150"/>
      <c r="AB95" s="150"/>
    </row>
    <row r="96" spans="1:40" s="229" customFormat="1" ht="9" hidden="1" customHeight="1">
      <c r="A96" s="21">
        <v>99</v>
      </c>
      <c r="B96" s="167">
        <v>10</v>
      </c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150"/>
      <c r="AB96" s="150"/>
    </row>
    <row r="97" spans="1:40" s="243" customFormat="1" ht="11.15" customHeight="1">
      <c r="A97" s="79">
        <f t="shared" ref="A97:A105" si="22">A96+1</f>
        <v>100</v>
      </c>
      <c r="B97" s="186"/>
      <c r="C97" s="168">
        <f>Y78+1</f>
        <v>46</v>
      </c>
      <c r="D97" s="169"/>
      <c r="E97" s="99">
        <f>C97+1</f>
        <v>47</v>
      </c>
      <c r="F97" s="169"/>
      <c r="G97" s="99">
        <f>E97+1</f>
        <v>48</v>
      </c>
      <c r="H97" s="169"/>
      <c r="I97" s="99">
        <f>G97+1</f>
        <v>49</v>
      </c>
      <c r="J97" s="169"/>
      <c r="K97" s="99">
        <f>I97+1</f>
        <v>50</v>
      </c>
      <c r="L97" s="169"/>
      <c r="M97" s="99">
        <f>K97+1</f>
        <v>51</v>
      </c>
      <c r="N97" s="169"/>
      <c r="O97" s="99">
        <f>M97+1</f>
        <v>52</v>
      </c>
      <c r="P97" s="169"/>
      <c r="Q97" s="168">
        <f>O97+1</f>
        <v>53</v>
      </c>
      <c r="R97" s="169"/>
      <c r="S97" s="168">
        <f>Q97+1</f>
        <v>54</v>
      </c>
      <c r="T97" s="169"/>
      <c r="U97" s="169"/>
      <c r="V97" s="169"/>
      <c r="W97" s="168">
        <f>S97+1</f>
        <v>55</v>
      </c>
      <c r="X97" s="169"/>
      <c r="Y97" s="168">
        <f>W97+1</f>
        <v>56</v>
      </c>
      <c r="Z97" s="170"/>
      <c r="AA97" s="171"/>
      <c r="AB97" s="171"/>
      <c r="AK97" s="244"/>
      <c r="AL97" s="244"/>
      <c r="AM97" s="244"/>
      <c r="AN97" s="244"/>
    </row>
    <row r="98" spans="1:40" s="101" customFormat="1" ht="11.15" customHeight="1">
      <c r="A98" s="79">
        <f t="shared" si="22"/>
        <v>101</v>
      </c>
      <c r="B98" s="186"/>
      <c r="Z98" s="123"/>
      <c r="AA98" s="114"/>
      <c r="AB98" s="114"/>
      <c r="AK98" s="98"/>
      <c r="AL98" s="98"/>
      <c r="AM98" s="98"/>
      <c r="AN98" s="98"/>
    </row>
    <row r="99" spans="1:40" s="101" customFormat="1" ht="11.15" customHeight="1">
      <c r="A99" s="79">
        <f t="shared" si="22"/>
        <v>102</v>
      </c>
      <c r="B99" s="186"/>
      <c r="C99" s="111"/>
      <c r="D99" s="111"/>
      <c r="E99" s="111" t="s">
        <v>353</v>
      </c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29"/>
      <c r="S99" s="111"/>
      <c r="T99" s="111"/>
      <c r="U99" s="111"/>
      <c r="V99" s="111"/>
      <c r="W99" s="111"/>
      <c r="X99" s="111"/>
      <c r="Y99" s="111"/>
      <c r="Z99" s="172"/>
      <c r="AA99" s="114"/>
      <c r="AB99" s="114"/>
      <c r="AK99" s="98"/>
      <c r="AL99" s="98"/>
      <c r="AM99" s="98"/>
      <c r="AN99" s="98"/>
    </row>
    <row r="100" spans="1:40" s="101" customFormat="1" ht="11.15" customHeight="1">
      <c r="A100" s="79">
        <f t="shared" si="22"/>
        <v>103</v>
      </c>
      <c r="B100" s="186"/>
      <c r="C100" s="140">
        <f>Y81+1</f>
        <v>49</v>
      </c>
      <c r="D100" s="141">
        <v>386</v>
      </c>
      <c r="E100" s="140">
        <f>C100+1</f>
        <v>50</v>
      </c>
      <c r="F100" s="141">
        <v>432</v>
      </c>
      <c r="G100" s="140">
        <f>E100+1</f>
        <v>51</v>
      </c>
      <c r="H100" s="141">
        <v>348</v>
      </c>
      <c r="I100" s="140">
        <f>G100+1</f>
        <v>52</v>
      </c>
      <c r="J100" s="141">
        <v>373.23500000000001</v>
      </c>
      <c r="K100" s="140">
        <f>I100+1</f>
        <v>53</v>
      </c>
      <c r="L100" s="141">
        <v>326</v>
      </c>
      <c r="M100" s="140">
        <f>K100+1</f>
        <v>54</v>
      </c>
      <c r="N100" s="141">
        <v>357</v>
      </c>
      <c r="O100" s="140">
        <f>M100+1</f>
        <v>55</v>
      </c>
      <c r="P100" s="141">
        <v>328</v>
      </c>
      <c r="Q100" s="140">
        <f>O100+1</f>
        <v>56</v>
      </c>
      <c r="R100" s="141">
        <v>348</v>
      </c>
      <c r="S100" s="140">
        <f>Q100+1</f>
        <v>57</v>
      </c>
      <c r="T100" s="141">
        <v>289</v>
      </c>
      <c r="U100" s="140">
        <f>S100+1</f>
        <v>58</v>
      </c>
      <c r="V100" s="141">
        <v>311.11900000000003</v>
      </c>
      <c r="W100" s="140">
        <f>U100+1</f>
        <v>59</v>
      </c>
      <c r="X100" s="152">
        <v>355.5</v>
      </c>
      <c r="Y100" s="140">
        <f>W100+1</f>
        <v>60</v>
      </c>
      <c r="Z100" s="152">
        <v>448.5</v>
      </c>
      <c r="AA100" s="173">
        <v>4302.3540000000003</v>
      </c>
      <c r="AB100" s="114">
        <v>12</v>
      </c>
      <c r="AK100" s="98"/>
      <c r="AL100" s="98"/>
      <c r="AM100" s="98"/>
      <c r="AN100" s="98"/>
    </row>
    <row r="101" spans="1:40" s="101" customFormat="1" ht="11.15" customHeight="1">
      <c r="A101" s="79">
        <f t="shared" si="22"/>
        <v>104</v>
      </c>
      <c r="B101" s="186"/>
      <c r="C101" s="143" t="s">
        <v>52</v>
      </c>
      <c r="D101" s="129"/>
      <c r="E101" s="143" t="s">
        <v>355</v>
      </c>
      <c r="F101" s="129"/>
      <c r="G101" s="143" t="s">
        <v>63</v>
      </c>
      <c r="H101" s="129"/>
      <c r="I101" s="143" t="s">
        <v>70</v>
      </c>
      <c r="J101" s="129"/>
      <c r="K101" s="143" t="s">
        <v>63</v>
      </c>
      <c r="L101" s="129"/>
      <c r="M101" s="143" t="s">
        <v>63</v>
      </c>
      <c r="N101" s="129"/>
      <c r="O101" s="143" t="s">
        <v>63</v>
      </c>
      <c r="P101" s="129"/>
      <c r="Q101" s="143" t="s">
        <v>52</v>
      </c>
      <c r="R101" s="155"/>
      <c r="S101" s="143" t="s">
        <v>52</v>
      </c>
      <c r="T101" s="155"/>
      <c r="U101" s="143" t="s">
        <v>52</v>
      </c>
      <c r="V101" s="129"/>
      <c r="W101" s="143" t="s">
        <v>63</v>
      </c>
      <c r="X101" s="128"/>
      <c r="Y101" s="143" t="s">
        <v>52</v>
      </c>
      <c r="Z101" s="162"/>
      <c r="AA101" s="114"/>
      <c r="AB101" s="114"/>
      <c r="AK101" s="98"/>
      <c r="AL101" s="98"/>
      <c r="AM101" s="98"/>
      <c r="AN101" s="98"/>
    </row>
    <row r="102" spans="1:40" s="101" customFormat="1" ht="11.15" customHeight="1">
      <c r="A102" s="79">
        <f t="shared" si="22"/>
        <v>105</v>
      </c>
      <c r="B102" s="186"/>
      <c r="C102" s="144" t="s">
        <v>194</v>
      </c>
      <c r="D102" s="161"/>
      <c r="E102" s="144" t="s">
        <v>195</v>
      </c>
      <c r="F102" s="161"/>
      <c r="G102" s="144" t="s">
        <v>196</v>
      </c>
      <c r="H102" s="161"/>
      <c r="I102" s="144" t="s">
        <v>197</v>
      </c>
      <c r="J102" s="161"/>
      <c r="K102" s="144" t="s">
        <v>198</v>
      </c>
      <c r="L102" s="161"/>
      <c r="M102" s="144" t="s">
        <v>199</v>
      </c>
      <c r="N102" s="161"/>
      <c r="O102" s="144" t="s">
        <v>200</v>
      </c>
      <c r="P102" s="161"/>
      <c r="Q102" s="144" t="s">
        <v>201</v>
      </c>
      <c r="R102" s="161"/>
      <c r="S102" s="144" t="s">
        <v>202</v>
      </c>
      <c r="T102" s="161"/>
      <c r="U102" s="144" t="s">
        <v>203</v>
      </c>
      <c r="V102" s="161"/>
      <c r="W102" s="144" t="s">
        <v>204</v>
      </c>
      <c r="X102" s="128"/>
      <c r="Y102" s="144" t="s">
        <v>205</v>
      </c>
      <c r="Z102" s="162"/>
      <c r="AA102" s="114"/>
      <c r="AB102" s="114"/>
      <c r="AK102" s="98"/>
      <c r="AL102" s="98"/>
      <c r="AM102" s="98"/>
      <c r="AN102" s="98"/>
    </row>
    <row r="103" spans="1:40" s="101" customFormat="1" ht="11.15" customHeight="1">
      <c r="A103" s="79">
        <f t="shared" si="22"/>
        <v>106</v>
      </c>
      <c r="B103" s="186"/>
      <c r="C103" s="143" t="s">
        <v>206</v>
      </c>
      <c r="D103" s="161"/>
      <c r="E103" s="143" t="s">
        <v>54</v>
      </c>
      <c r="F103" s="161"/>
      <c r="G103" s="143" t="s">
        <v>51</v>
      </c>
      <c r="H103" s="145"/>
      <c r="I103" s="143" t="s">
        <v>51</v>
      </c>
      <c r="J103" s="145"/>
      <c r="K103" s="143" t="s">
        <v>207</v>
      </c>
      <c r="L103" s="145"/>
      <c r="M103" s="143" t="s">
        <v>59</v>
      </c>
      <c r="N103" s="145"/>
      <c r="O103" s="143" t="s">
        <v>51</v>
      </c>
      <c r="P103" s="145"/>
      <c r="Q103" s="143" t="s">
        <v>59</v>
      </c>
      <c r="R103" s="145"/>
      <c r="S103" s="143" t="s">
        <v>51</v>
      </c>
      <c r="T103" s="145"/>
      <c r="U103" s="143" t="s">
        <v>51</v>
      </c>
      <c r="V103" s="145"/>
      <c r="W103" s="143" t="s">
        <v>69</v>
      </c>
      <c r="X103" s="145"/>
      <c r="Y103" s="143" t="s">
        <v>54</v>
      </c>
      <c r="Z103" s="174"/>
      <c r="AA103" s="114"/>
      <c r="AB103" s="114"/>
      <c r="AK103" s="98"/>
      <c r="AL103" s="98"/>
      <c r="AM103" s="98"/>
      <c r="AN103" s="98"/>
    </row>
    <row r="104" spans="1:40" s="101" customFormat="1" ht="11.15" customHeight="1">
      <c r="A104" s="79">
        <f t="shared" si="22"/>
        <v>107</v>
      </c>
      <c r="B104" s="186"/>
      <c r="D104" s="111"/>
      <c r="F104" s="111"/>
      <c r="H104" s="111"/>
      <c r="J104" s="111"/>
      <c r="K104" s="111"/>
      <c r="L104" s="111"/>
      <c r="N104" s="111"/>
      <c r="P104" s="111"/>
      <c r="R104" s="111"/>
      <c r="T104" s="111"/>
      <c r="V104" s="111"/>
      <c r="X104" s="111"/>
      <c r="Z104" s="106" t="s">
        <v>138</v>
      </c>
      <c r="AA104" s="114"/>
      <c r="AB104" s="114"/>
      <c r="AK104" s="98"/>
      <c r="AL104" s="98"/>
      <c r="AM104" s="98"/>
      <c r="AN104" s="98"/>
    </row>
    <row r="105" spans="1:40" s="238" customFormat="1" ht="11.15" customHeight="1">
      <c r="A105" s="79">
        <f t="shared" si="22"/>
        <v>108</v>
      </c>
      <c r="B105" s="177">
        <v>0</v>
      </c>
      <c r="C105" s="825" t="s">
        <v>142</v>
      </c>
      <c r="D105" s="825"/>
      <c r="E105" s="825"/>
      <c r="F105" s="825"/>
      <c r="G105" s="825"/>
      <c r="H105" s="825"/>
      <c r="I105" s="825"/>
      <c r="J105" s="825"/>
      <c r="K105" s="825"/>
      <c r="L105" s="825"/>
      <c r="M105" s="825"/>
      <c r="N105" s="825"/>
      <c r="O105" s="825"/>
      <c r="P105" s="825"/>
      <c r="Q105" s="825"/>
      <c r="R105" s="825"/>
      <c r="S105" s="825"/>
      <c r="T105" s="825"/>
      <c r="U105" s="825"/>
      <c r="V105" s="825"/>
      <c r="W105" s="825"/>
      <c r="X105" s="825"/>
      <c r="Y105" s="825"/>
      <c r="Z105" s="826"/>
      <c r="AA105" s="150"/>
      <c r="AB105" s="150"/>
      <c r="AK105" s="239"/>
      <c r="AL105" s="239"/>
      <c r="AM105" s="239"/>
      <c r="AN105" s="239"/>
    </row>
    <row r="106" spans="1:40" s="229" customFormat="1" ht="9" hidden="1" customHeight="1">
      <c r="A106" s="21">
        <v>110</v>
      </c>
      <c r="B106" s="167">
        <v>1</v>
      </c>
      <c r="C106" s="228"/>
      <c r="D106" s="224">
        <v>386</v>
      </c>
      <c r="E106" s="224"/>
      <c r="F106" s="224">
        <v>432</v>
      </c>
      <c r="G106" s="224"/>
      <c r="H106" s="224">
        <v>348</v>
      </c>
      <c r="I106" s="224"/>
      <c r="J106" s="224">
        <v>373.23500000000001</v>
      </c>
      <c r="K106" s="224"/>
      <c r="L106" s="224">
        <v>326</v>
      </c>
      <c r="M106" s="224"/>
      <c r="N106" s="224">
        <v>357</v>
      </c>
      <c r="O106" s="224"/>
      <c r="P106" s="224">
        <v>328</v>
      </c>
      <c r="Q106" s="224"/>
      <c r="R106" s="224">
        <v>348</v>
      </c>
      <c r="S106" s="224"/>
      <c r="T106" s="224">
        <v>289</v>
      </c>
      <c r="U106" s="224"/>
      <c r="V106" s="224">
        <v>311.11900000000003</v>
      </c>
      <c r="W106" s="224"/>
      <c r="X106" s="224">
        <v>355.5</v>
      </c>
      <c r="Y106" s="224"/>
      <c r="Z106" s="224">
        <v>448.5</v>
      </c>
      <c r="AA106" s="150"/>
      <c r="AB106" s="150"/>
    </row>
    <row r="107" spans="1:40" s="229" customFormat="1" ht="9" hidden="1" customHeight="1">
      <c r="A107" s="22">
        <v>111</v>
      </c>
      <c r="B107" s="167">
        <v>2</v>
      </c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30"/>
      <c r="S107" s="230"/>
      <c r="T107" s="230"/>
      <c r="U107" s="230"/>
      <c r="V107" s="230"/>
      <c r="W107" s="230"/>
      <c r="X107" s="230"/>
      <c r="Y107" s="230"/>
      <c r="Z107" s="230"/>
      <c r="AA107" s="150"/>
      <c r="AB107" s="150"/>
    </row>
    <row r="108" spans="1:40" s="229" customFormat="1" ht="9" hidden="1" customHeight="1">
      <c r="A108" s="20">
        <v>112</v>
      </c>
      <c r="B108" s="167">
        <v>3</v>
      </c>
      <c r="C108" s="225" t="s">
        <v>194</v>
      </c>
      <c r="D108" s="225"/>
      <c r="E108" s="225" t="s">
        <v>195</v>
      </c>
      <c r="F108" s="225"/>
      <c r="G108" s="225" t="s">
        <v>196</v>
      </c>
      <c r="H108" s="225"/>
      <c r="I108" s="225" t="s">
        <v>197</v>
      </c>
      <c r="J108" s="225"/>
      <c r="K108" s="225" t="s">
        <v>198</v>
      </c>
      <c r="L108" s="225"/>
      <c r="M108" s="225" t="s">
        <v>199</v>
      </c>
      <c r="N108" s="225"/>
      <c r="O108" s="225" t="s">
        <v>200</v>
      </c>
      <c r="P108" s="225"/>
      <c r="Q108" s="225" t="s">
        <v>201</v>
      </c>
      <c r="R108" s="225"/>
      <c r="S108" s="225" t="s">
        <v>202</v>
      </c>
      <c r="T108" s="225"/>
      <c r="U108" s="225" t="s">
        <v>203</v>
      </c>
      <c r="V108" s="225"/>
      <c r="W108" s="225" t="s">
        <v>204</v>
      </c>
      <c r="X108" s="225"/>
      <c r="Y108" s="225" t="s">
        <v>205</v>
      </c>
      <c r="Z108" s="216"/>
      <c r="AA108" s="150"/>
      <c r="AB108" s="150"/>
    </row>
    <row r="109" spans="1:40" s="229" customFormat="1" ht="9" hidden="1" customHeight="1">
      <c r="A109" s="21">
        <v>113</v>
      </c>
      <c r="B109" s="167">
        <v>4</v>
      </c>
      <c r="C109" s="225" t="s">
        <v>206</v>
      </c>
      <c r="D109" s="225"/>
      <c r="E109" s="225" t="s">
        <v>54</v>
      </c>
      <c r="F109" s="225"/>
      <c r="G109" s="225" t="s">
        <v>51</v>
      </c>
      <c r="H109" s="225"/>
      <c r="I109" s="225" t="s">
        <v>51</v>
      </c>
      <c r="J109" s="225"/>
      <c r="K109" s="225" t="s">
        <v>207</v>
      </c>
      <c r="L109" s="225"/>
      <c r="M109" s="225" t="s">
        <v>59</v>
      </c>
      <c r="N109" s="225"/>
      <c r="O109" s="225" t="s">
        <v>51</v>
      </c>
      <c r="P109" s="225"/>
      <c r="Q109" s="225" t="s">
        <v>59</v>
      </c>
      <c r="R109" s="225"/>
      <c r="S109" s="225" t="s">
        <v>51</v>
      </c>
      <c r="T109" s="225"/>
      <c r="U109" s="225" t="s">
        <v>51</v>
      </c>
      <c r="V109" s="225"/>
      <c r="W109" s="225" t="s">
        <v>69</v>
      </c>
      <c r="X109" s="225"/>
      <c r="Y109" s="225" t="s">
        <v>54</v>
      </c>
      <c r="Z109" s="216"/>
      <c r="AA109" s="150"/>
      <c r="AB109" s="150"/>
    </row>
    <row r="110" spans="1:40" s="229" customFormat="1" ht="9" hidden="1" customHeight="1">
      <c r="A110" s="22">
        <v>114</v>
      </c>
      <c r="B110" s="167">
        <v>5</v>
      </c>
      <c r="C110" s="228" t="b">
        <f t="shared" ref="C110:J113" si="23">C106=C100</f>
        <v>0</v>
      </c>
      <c r="D110" s="228" t="b">
        <f t="shared" si="23"/>
        <v>1</v>
      </c>
      <c r="E110" s="228" t="b">
        <f t="shared" si="23"/>
        <v>0</v>
      </c>
      <c r="F110" s="228" t="b">
        <f t="shared" si="23"/>
        <v>1</v>
      </c>
      <c r="G110" s="228" t="b">
        <f t="shared" si="23"/>
        <v>0</v>
      </c>
      <c r="H110" s="228" t="b">
        <f t="shared" si="23"/>
        <v>1</v>
      </c>
      <c r="I110" s="228" t="b">
        <f t="shared" si="23"/>
        <v>0</v>
      </c>
      <c r="J110" s="228" t="b">
        <f t="shared" si="23"/>
        <v>1</v>
      </c>
      <c r="K110" s="228" t="e">
        <f>K106=#REF!</f>
        <v>#REF!</v>
      </c>
      <c r="L110" s="228" t="b">
        <f t="shared" ref="L110:Z110" si="24">L106=L100</f>
        <v>1</v>
      </c>
      <c r="M110" s="228" t="b">
        <f t="shared" si="24"/>
        <v>0</v>
      </c>
      <c r="N110" s="228" t="b">
        <f t="shared" si="24"/>
        <v>1</v>
      </c>
      <c r="O110" s="228" t="b">
        <f t="shared" si="24"/>
        <v>0</v>
      </c>
      <c r="P110" s="228" t="b">
        <f t="shared" si="24"/>
        <v>1</v>
      </c>
      <c r="Q110" s="228" t="b">
        <f t="shared" si="24"/>
        <v>0</v>
      </c>
      <c r="R110" s="228" t="b">
        <f t="shared" si="24"/>
        <v>1</v>
      </c>
      <c r="S110" s="228" t="b">
        <f t="shared" si="24"/>
        <v>0</v>
      </c>
      <c r="T110" s="228" t="b">
        <f t="shared" si="24"/>
        <v>1</v>
      </c>
      <c r="U110" s="228" t="b">
        <f t="shared" si="24"/>
        <v>0</v>
      </c>
      <c r="V110" s="228" t="b">
        <f t="shared" si="24"/>
        <v>1</v>
      </c>
      <c r="W110" s="228" t="b">
        <f t="shared" si="24"/>
        <v>0</v>
      </c>
      <c r="X110" s="228" t="b">
        <f t="shared" si="24"/>
        <v>1</v>
      </c>
      <c r="Y110" s="228" t="b">
        <f t="shared" si="24"/>
        <v>0</v>
      </c>
      <c r="Z110" s="228" t="b">
        <f t="shared" si="24"/>
        <v>1</v>
      </c>
      <c r="AA110" s="150"/>
      <c r="AB110" s="150"/>
    </row>
    <row r="111" spans="1:40" s="229" customFormat="1" ht="9" hidden="1" customHeight="1">
      <c r="A111" s="20">
        <v>115</v>
      </c>
      <c r="B111" s="167">
        <v>6</v>
      </c>
      <c r="C111" s="228" t="b">
        <f t="shared" si="23"/>
        <v>0</v>
      </c>
      <c r="D111" s="228" t="b">
        <f t="shared" si="23"/>
        <v>1</v>
      </c>
      <c r="E111" s="228" t="b">
        <f t="shared" si="23"/>
        <v>0</v>
      </c>
      <c r="F111" s="228" t="b">
        <f t="shared" si="23"/>
        <v>1</v>
      </c>
      <c r="G111" s="228" t="b">
        <f t="shared" si="23"/>
        <v>0</v>
      </c>
      <c r="H111" s="228" t="b">
        <f t="shared" si="23"/>
        <v>1</v>
      </c>
      <c r="I111" s="228" t="b">
        <f t="shared" si="23"/>
        <v>0</v>
      </c>
      <c r="J111" s="228" t="b">
        <f t="shared" si="23"/>
        <v>1</v>
      </c>
      <c r="K111" s="228" t="e">
        <f>K107=#REF!</f>
        <v>#REF!</v>
      </c>
      <c r="L111" s="228" t="b">
        <f t="shared" ref="L111:Z111" si="25">L107=L101</f>
        <v>1</v>
      </c>
      <c r="M111" s="228" t="b">
        <f t="shared" si="25"/>
        <v>0</v>
      </c>
      <c r="N111" s="228" t="b">
        <f t="shared" si="25"/>
        <v>1</v>
      </c>
      <c r="O111" s="228" t="b">
        <f t="shared" si="25"/>
        <v>0</v>
      </c>
      <c r="P111" s="228" t="b">
        <f t="shared" si="25"/>
        <v>1</v>
      </c>
      <c r="Q111" s="228" t="b">
        <f t="shared" si="25"/>
        <v>0</v>
      </c>
      <c r="R111" s="228" t="b">
        <f t="shared" si="25"/>
        <v>1</v>
      </c>
      <c r="S111" s="228" t="b">
        <f t="shared" si="25"/>
        <v>0</v>
      </c>
      <c r="T111" s="228" t="b">
        <f t="shared" si="25"/>
        <v>1</v>
      </c>
      <c r="U111" s="228" t="b">
        <f t="shared" si="25"/>
        <v>0</v>
      </c>
      <c r="V111" s="228" t="b">
        <f t="shared" si="25"/>
        <v>1</v>
      </c>
      <c r="W111" s="228" t="b">
        <f t="shared" si="25"/>
        <v>0</v>
      </c>
      <c r="X111" s="228" t="b">
        <f t="shared" si="25"/>
        <v>1</v>
      </c>
      <c r="Y111" s="228" t="b">
        <f t="shared" si="25"/>
        <v>0</v>
      </c>
      <c r="Z111" s="228" t="b">
        <f t="shared" si="25"/>
        <v>1</v>
      </c>
      <c r="AA111" s="150"/>
      <c r="AB111" s="150"/>
    </row>
    <row r="112" spans="1:40" s="229" customFormat="1" ht="9" hidden="1" customHeight="1">
      <c r="A112" s="21">
        <v>116</v>
      </c>
      <c r="B112" s="167">
        <v>7</v>
      </c>
      <c r="C112" s="228" t="b">
        <f t="shared" si="23"/>
        <v>1</v>
      </c>
      <c r="D112" s="228" t="b">
        <f t="shared" si="23"/>
        <v>1</v>
      </c>
      <c r="E112" s="228" t="b">
        <f t="shared" si="23"/>
        <v>1</v>
      </c>
      <c r="F112" s="228" t="b">
        <f t="shared" si="23"/>
        <v>1</v>
      </c>
      <c r="G112" s="228" t="b">
        <f t="shared" si="23"/>
        <v>1</v>
      </c>
      <c r="H112" s="228" t="b">
        <f t="shared" si="23"/>
        <v>1</v>
      </c>
      <c r="I112" s="228" t="b">
        <f t="shared" si="23"/>
        <v>1</v>
      </c>
      <c r="J112" s="228" t="b">
        <f t="shared" si="23"/>
        <v>1</v>
      </c>
      <c r="K112" s="228" t="b">
        <f>K108=K102</f>
        <v>1</v>
      </c>
      <c r="L112" s="228" t="b">
        <f t="shared" ref="L112:Z112" si="26">L108=L102</f>
        <v>1</v>
      </c>
      <c r="M112" s="228" t="b">
        <f t="shared" si="26"/>
        <v>1</v>
      </c>
      <c r="N112" s="228" t="b">
        <f t="shared" si="26"/>
        <v>1</v>
      </c>
      <c r="O112" s="228" t="b">
        <f t="shared" si="26"/>
        <v>1</v>
      </c>
      <c r="P112" s="228" t="b">
        <f t="shared" si="26"/>
        <v>1</v>
      </c>
      <c r="Q112" s="228" t="b">
        <f t="shared" si="26"/>
        <v>1</v>
      </c>
      <c r="R112" s="228" t="b">
        <f t="shared" si="26"/>
        <v>1</v>
      </c>
      <c r="S112" s="228" t="b">
        <f t="shared" si="26"/>
        <v>1</v>
      </c>
      <c r="T112" s="228" t="b">
        <f t="shared" si="26"/>
        <v>1</v>
      </c>
      <c r="U112" s="228" t="b">
        <f t="shared" si="26"/>
        <v>1</v>
      </c>
      <c r="V112" s="228" t="b">
        <f t="shared" si="26"/>
        <v>1</v>
      </c>
      <c r="W112" s="228" t="b">
        <f t="shared" si="26"/>
        <v>1</v>
      </c>
      <c r="X112" s="228" t="b">
        <f t="shared" si="26"/>
        <v>1</v>
      </c>
      <c r="Y112" s="228" t="b">
        <f t="shared" si="26"/>
        <v>1</v>
      </c>
      <c r="Z112" s="228" t="b">
        <f t="shared" si="26"/>
        <v>1</v>
      </c>
      <c r="AA112" s="150"/>
      <c r="AB112" s="150"/>
    </row>
    <row r="113" spans="1:40" s="229" customFormat="1" ht="9" hidden="1" customHeight="1">
      <c r="A113" s="22">
        <v>117</v>
      </c>
      <c r="B113" s="167">
        <v>8</v>
      </c>
      <c r="C113" s="228" t="b">
        <f t="shared" si="23"/>
        <v>1</v>
      </c>
      <c r="D113" s="228" t="b">
        <f t="shared" si="23"/>
        <v>1</v>
      </c>
      <c r="E113" s="228" t="b">
        <f t="shared" si="23"/>
        <v>1</v>
      </c>
      <c r="F113" s="228" t="b">
        <f t="shared" si="23"/>
        <v>1</v>
      </c>
      <c r="G113" s="228" t="b">
        <f t="shared" si="23"/>
        <v>1</v>
      </c>
      <c r="H113" s="228" t="b">
        <f t="shared" si="23"/>
        <v>1</v>
      </c>
      <c r="I113" s="228" t="b">
        <f t="shared" si="23"/>
        <v>1</v>
      </c>
      <c r="J113" s="228" t="b">
        <f t="shared" si="23"/>
        <v>1</v>
      </c>
      <c r="K113" s="228" t="b">
        <f>K109=K103</f>
        <v>1</v>
      </c>
      <c r="L113" s="228" t="b">
        <f t="shared" ref="L113:Z113" si="27">L109=L103</f>
        <v>1</v>
      </c>
      <c r="M113" s="228" t="b">
        <f t="shared" si="27"/>
        <v>1</v>
      </c>
      <c r="N113" s="228" t="b">
        <f t="shared" si="27"/>
        <v>1</v>
      </c>
      <c r="O113" s="228" t="b">
        <f t="shared" si="27"/>
        <v>1</v>
      </c>
      <c r="P113" s="228" t="b">
        <f t="shared" si="27"/>
        <v>1</v>
      </c>
      <c r="Q113" s="228" t="b">
        <f t="shared" si="27"/>
        <v>1</v>
      </c>
      <c r="R113" s="228" t="b">
        <f t="shared" si="27"/>
        <v>1</v>
      </c>
      <c r="S113" s="228" t="b">
        <f t="shared" si="27"/>
        <v>1</v>
      </c>
      <c r="T113" s="228" t="b">
        <f t="shared" si="27"/>
        <v>1</v>
      </c>
      <c r="U113" s="228" t="b">
        <f t="shared" si="27"/>
        <v>1</v>
      </c>
      <c r="V113" s="228" t="b">
        <f t="shared" si="27"/>
        <v>1</v>
      </c>
      <c r="W113" s="228" t="b">
        <f t="shared" si="27"/>
        <v>1</v>
      </c>
      <c r="X113" s="228" t="b">
        <f t="shared" si="27"/>
        <v>1</v>
      </c>
      <c r="Y113" s="228" t="b">
        <f t="shared" si="27"/>
        <v>1</v>
      </c>
      <c r="Z113" s="228" t="b">
        <f t="shared" si="27"/>
        <v>1</v>
      </c>
      <c r="AA113" s="150"/>
      <c r="AB113" s="150"/>
    </row>
    <row r="114" spans="1:40" s="229" customFormat="1" ht="9" hidden="1" customHeight="1">
      <c r="A114" s="20">
        <v>118</v>
      </c>
      <c r="B114" s="167">
        <v>9</v>
      </c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150"/>
      <c r="AB114" s="150"/>
    </row>
    <row r="115" spans="1:40" s="229" customFormat="1" ht="9" hidden="1" customHeight="1">
      <c r="A115" s="21">
        <v>119</v>
      </c>
      <c r="B115" s="167">
        <v>10</v>
      </c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150"/>
      <c r="AB115" s="150"/>
    </row>
    <row r="116" spans="1:40" s="231" customFormat="1" ht="11.15" customHeight="1">
      <c r="A116" s="79">
        <f t="shared" ref="A116:A177" si="28">A115+1</f>
        <v>120</v>
      </c>
      <c r="B116" s="155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8"/>
      <c r="AA116" s="149"/>
      <c r="AB116" s="149"/>
      <c r="AK116" s="156"/>
      <c r="AL116" s="156"/>
      <c r="AM116" s="156"/>
      <c r="AN116" s="156"/>
    </row>
    <row r="117" spans="1:40" s="101" customFormat="1" ht="11.15" customHeight="1">
      <c r="A117" s="79">
        <f t="shared" si="28"/>
        <v>121</v>
      </c>
      <c r="B117" s="186"/>
      <c r="C117" s="99">
        <f>Y97+1</f>
        <v>57</v>
      </c>
      <c r="D117" s="111"/>
      <c r="E117" s="99">
        <f>C117+1</f>
        <v>58</v>
      </c>
      <c r="F117" s="111"/>
      <c r="G117" s="99">
        <f>E117+1</f>
        <v>59</v>
      </c>
      <c r="H117" s="111"/>
      <c r="I117" s="99">
        <f>G117+1</f>
        <v>60</v>
      </c>
      <c r="J117" s="111"/>
      <c r="K117" s="99">
        <f>I117+1</f>
        <v>61</v>
      </c>
      <c r="L117" s="111"/>
      <c r="M117" s="99">
        <f>K117+1</f>
        <v>62</v>
      </c>
      <c r="N117" s="111"/>
      <c r="O117" s="99">
        <f>M117+1</f>
        <v>63</v>
      </c>
      <c r="P117" s="111"/>
      <c r="Q117" s="99">
        <f>O117+1</f>
        <v>64</v>
      </c>
      <c r="R117" s="111"/>
      <c r="S117" s="99">
        <f>Q117+1</f>
        <v>65</v>
      </c>
      <c r="T117" s="111"/>
      <c r="U117" s="99">
        <f>S117+1</f>
        <v>66</v>
      </c>
      <c r="V117" s="111"/>
      <c r="W117" s="99">
        <f>U117+1</f>
        <v>67</v>
      </c>
      <c r="X117" s="111"/>
      <c r="Y117" s="99">
        <f>W117+1</f>
        <v>68</v>
      </c>
      <c r="Z117" s="123"/>
      <c r="AA117" s="114"/>
      <c r="AB117" s="114"/>
      <c r="AK117" s="98"/>
      <c r="AL117" s="98"/>
      <c r="AM117" s="98"/>
      <c r="AN117" s="98"/>
    </row>
    <row r="118" spans="1:40" s="101" customFormat="1" ht="11.15" customHeight="1">
      <c r="A118" s="79">
        <f t="shared" si="28"/>
        <v>122</v>
      </c>
      <c r="B118" s="186"/>
      <c r="C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72"/>
      <c r="AA118" s="114"/>
      <c r="AB118" s="114"/>
      <c r="AK118" s="98"/>
      <c r="AL118" s="98"/>
      <c r="AM118" s="98"/>
      <c r="AN118" s="98"/>
    </row>
    <row r="119" spans="1:40" s="101" customFormat="1" ht="11.15" customHeight="1">
      <c r="A119" s="79">
        <f t="shared" si="28"/>
        <v>123</v>
      </c>
      <c r="B119" s="186"/>
      <c r="C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72"/>
      <c r="AA119" s="114"/>
      <c r="AB119" s="114"/>
      <c r="AK119" s="98"/>
      <c r="AL119" s="98"/>
      <c r="AM119" s="98"/>
      <c r="AN119" s="98"/>
    </row>
    <row r="120" spans="1:40" s="101" customFormat="1" ht="11.15" customHeight="1">
      <c r="A120" s="79">
        <f t="shared" si="28"/>
        <v>124</v>
      </c>
      <c r="B120" s="186"/>
      <c r="C120" s="140">
        <f>Y100+1</f>
        <v>61</v>
      </c>
      <c r="D120" s="107">
        <v>395</v>
      </c>
      <c r="E120" s="140">
        <f>C120+1</f>
        <v>62</v>
      </c>
      <c r="F120" s="107">
        <v>420</v>
      </c>
      <c r="G120" s="140">
        <f>E120+1</f>
        <v>63</v>
      </c>
      <c r="H120" s="107">
        <v>399</v>
      </c>
      <c r="I120" s="140">
        <f>G120+1</f>
        <v>64</v>
      </c>
      <c r="J120" s="107">
        <v>394.01</v>
      </c>
      <c r="K120" s="140">
        <f>I120+1</f>
        <v>65</v>
      </c>
      <c r="L120" s="107">
        <v>348.995</v>
      </c>
      <c r="M120" s="140">
        <f>K120+1</f>
        <v>66</v>
      </c>
      <c r="N120" s="107">
        <v>410</v>
      </c>
      <c r="O120" s="140">
        <f>M120+1</f>
        <v>67</v>
      </c>
      <c r="P120" s="107">
        <v>472.76799999999997</v>
      </c>
      <c r="Q120" s="140">
        <f>O120+1</f>
        <v>68</v>
      </c>
      <c r="R120" s="107">
        <v>320</v>
      </c>
      <c r="S120" s="140">
        <f>Q120+1</f>
        <v>69</v>
      </c>
      <c r="T120" s="107">
        <v>282.72199999999998</v>
      </c>
      <c r="U120" s="140">
        <f>S120+1</f>
        <v>70</v>
      </c>
      <c r="V120" s="107">
        <v>425.00099999999998</v>
      </c>
      <c r="W120" s="140">
        <f>U120+1</f>
        <v>71</v>
      </c>
      <c r="X120" s="107">
        <v>408</v>
      </c>
      <c r="Y120" s="140">
        <f>W120+1</f>
        <v>72</v>
      </c>
      <c r="Z120" s="141">
        <v>435</v>
      </c>
      <c r="AA120" s="164">
        <v>4710.4849999999997</v>
      </c>
      <c r="AB120" s="114">
        <v>12</v>
      </c>
      <c r="AK120" s="98"/>
      <c r="AL120" s="98"/>
      <c r="AM120" s="98"/>
      <c r="AN120" s="98"/>
    </row>
    <row r="121" spans="1:40" s="101" customFormat="1" ht="11.15" customHeight="1">
      <c r="A121" s="79">
        <f t="shared" si="28"/>
        <v>125</v>
      </c>
      <c r="B121" s="186"/>
      <c r="C121" s="143" t="s">
        <v>63</v>
      </c>
      <c r="D121" s="111"/>
      <c r="E121" s="143" t="s">
        <v>63</v>
      </c>
      <c r="F121" s="111"/>
      <c r="G121" s="143" t="s">
        <v>75</v>
      </c>
      <c r="H121" s="111"/>
      <c r="I121" s="143" t="s">
        <v>75</v>
      </c>
      <c r="J121" s="111"/>
      <c r="K121" s="143" t="s">
        <v>75</v>
      </c>
      <c r="L121" s="111"/>
      <c r="M121" s="143" t="s">
        <v>70</v>
      </c>
      <c r="N121" s="111"/>
      <c r="O121" s="143" t="s">
        <v>70</v>
      </c>
      <c r="P121" s="111"/>
      <c r="Q121" s="143" t="s">
        <v>52</v>
      </c>
      <c r="R121" s="111"/>
      <c r="S121" s="143" t="s">
        <v>75</v>
      </c>
      <c r="T121" s="111"/>
      <c r="U121" s="143" t="s">
        <v>75</v>
      </c>
      <c r="V121" s="111"/>
      <c r="W121" s="143" t="s">
        <v>52</v>
      </c>
      <c r="X121" s="111"/>
      <c r="Y121" s="143" t="s">
        <v>52</v>
      </c>
      <c r="Z121" s="123"/>
      <c r="AA121" s="114"/>
      <c r="AB121" s="114"/>
      <c r="AK121" s="98"/>
      <c r="AL121" s="98"/>
      <c r="AM121" s="98"/>
      <c r="AN121" s="98"/>
    </row>
    <row r="122" spans="1:40" s="101" customFormat="1" ht="11.15" customHeight="1">
      <c r="A122" s="79">
        <f t="shared" si="28"/>
        <v>126</v>
      </c>
      <c r="B122" s="186"/>
      <c r="C122" s="144" t="s">
        <v>208</v>
      </c>
      <c r="D122" s="98"/>
      <c r="E122" s="144" t="s">
        <v>209</v>
      </c>
      <c r="F122" s="98"/>
      <c r="G122" s="144" t="s">
        <v>210</v>
      </c>
      <c r="H122" s="98"/>
      <c r="I122" s="144" t="s">
        <v>211</v>
      </c>
      <c r="J122" s="98"/>
      <c r="K122" s="144" t="s">
        <v>212</v>
      </c>
      <c r="L122" s="98"/>
      <c r="M122" s="144" t="s">
        <v>213</v>
      </c>
      <c r="N122" s="98"/>
      <c r="O122" s="144" t="s">
        <v>214</v>
      </c>
      <c r="P122" s="98"/>
      <c r="Q122" s="144" t="s">
        <v>215</v>
      </c>
      <c r="R122" s="98"/>
      <c r="S122" s="144" t="s">
        <v>216</v>
      </c>
      <c r="T122" s="98"/>
      <c r="U122" s="144" t="s">
        <v>217</v>
      </c>
      <c r="V122" s="98"/>
      <c r="W122" s="144" t="s">
        <v>76</v>
      </c>
      <c r="X122" s="99"/>
      <c r="Y122" s="144" t="s">
        <v>77</v>
      </c>
      <c r="Z122" s="106"/>
      <c r="AA122" s="114"/>
      <c r="AB122" s="114"/>
      <c r="AK122" s="98"/>
      <c r="AL122" s="98"/>
      <c r="AM122" s="98"/>
      <c r="AN122" s="98"/>
    </row>
    <row r="123" spans="1:40" s="101" customFormat="1" ht="11.15" customHeight="1">
      <c r="A123" s="79">
        <f t="shared" si="28"/>
        <v>127</v>
      </c>
      <c r="B123" s="186"/>
      <c r="C123" s="143" t="s">
        <v>54</v>
      </c>
      <c r="D123" s="98"/>
      <c r="E123" s="143" t="s">
        <v>59</v>
      </c>
      <c r="F123" s="99" t="s">
        <v>177</v>
      </c>
      <c r="G123" s="143" t="s">
        <v>65</v>
      </c>
      <c r="H123" s="98"/>
      <c r="I123" s="143" t="s">
        <v>59</v>
      </c>
      <c r="J123" s="98"/>
      <c r="K123" s="143" t="s">
        <v>191</v>
      </c>
      <c r="L123" s="98"/>
      <c r="M123" s="143" t="s">
        <v>65</v>
      </c>
      <c r="N123" s="98"/>
      <c r="O123" s="143" t="s">
        <v>218</v>
      </c>
      <c r="P123" s="98"/>
      <c r="Q123" s="143" t="s">
        <v>219</v>
      </c>
      <c r="R123" s="98"/>
      <c r="S123" s="143" t="s">
        <v>51</v>
      </c>
      <c r="T123" s="98"/>
      <c r="U123" s="143" t="s">
        <v>74</v>
      </c>
      <c r="V123" s="98"/>
      <c r="W123" s="143" t="s">
        <v>54</v>
      </c>
      <c r="X123" s="99"/>
      <c r="Y123" s="143" t="s">
        <v>54</v>
      </c>
      <c r="Z123" s="106"/>
      <c r="AA123" s="114"/>
      <c r="AB123" s="114"/>
      <c r="AK123" s="98"/>
      <c r="AL123" s="98"/>
      <c r="AM123" s="98"/>
      <c r="AN123" s="98"/>
    </row>
    <row r="124" spans="1:40" s="101" customFormat="1" ht="11.15" customHeight="1">
      <c r="A124" s="79">
        <f t="shared" si="28"/>
        <v>128</v>
      </c>
      <c r="B124" s="186"/>
      <c r="C124" s="111"/>
      <c r="D124" s="99"/>
      <c r="E124" s="111"/>
      <c r="F124" s="111"/>
      <c r="H124" s="111"/>
      <c r="J124" s="111"/>
      <c r="L124" s="111"/>
      <c r="N124" s="111"/>
      <c r="O124" s="111"/>
      <c r="P124" s="111"/>
      <c r="R124" s="111"/>
      <c r="T124" s="111"/>
      <c r="V124" s="99"/>
      <c r="W124" s="98"/>
      <c r="X124" s="99"/>
      <c r="Z124" s="123"/>
      <c r="AA124" s="114"/>
      <c r="AB124" s="114"/>
      <c r="AK124" s="98"/>
      <c r="AL124" s="98"/>
      <c r="AM124" s="98"/>
      <c r="AN124" s="98"/>
    </row>
    <row r="125" spans="1:40" s="238" customFormat="1" ht="11.15" customHeight="1">
      <c r="A125" s="79" t="e">
        <f>#REF!+1</f>
        <v>#REF!</v>
      </c>
      <c r="B125" s="177">
        <v>0</v>
      </c>
      <c r="C125" s="825" t="s">
        <v>142</v>
      </c>
      <c r="D125" s="825"/>
      <c r="E125" s="825"/>
      <c r="F125" s="825"/>
      <c r="G125" s="825"/>
      <c r="H125" s="825"/>
      <c r="I125" s="825"/>
      <c r="J125" s="825"/>
      <c r="K125" s="825"/>
      <c r="L125" s="825"/>
      <c r="M125" s="825"/>
      <c r="N125" s="825"/>
      <c r="O125" s="825"/>
      <c r="P125" s="825"/>
      <c r="Q125" s="825"/>
      <c r="R125" s="825"/>
      <c r="S125" s="825"/>
      <c r="T125" s="825"/>
      <c r="U125" s="825"/>
      <c r="V125" s="825"/>
      <c r="W125" s="825"/>
      <c r="X125" s="825"/>
      <c r="Y125" s="825"/>
      <c r="Z125" s="826"/>
      <c r="AA125" s="150"/>
      <c r="AB125" s="150"/>
      <c r="AK125" s="239"/>
      <c r="AL125" s="239"/>
      <c r="AM125" s="239"/>
      <c r="AN125" s="239"/>
    </row>
    <row r="126" spans="1:40" s="229" customFormat="1" ht="9" hidden="1" customHeight="1">
      <c r="A126" s="79" t="e">
        <f t="shared" si="28"/>
        <v>#REF!</v>
      </c>
      <c r="B126" s="167">
        <v>1</v>
      </c>
      <c r="C126" s="228"/>
      <c r="D126" s="224">
        <v>395</v>
      </c>
      <c r="E126" s="224"/>
      <c r="F126" s="224">
        <v>420</v>
      </c>
      <c r="G126" s="224"/>
      <c r="H126" s="224">
        <v>399</v>
      </c>
      <c r="I126" s="224"/>
      <c r="J126" s="224">
        <v>394.01</v>
      </c>
      <c r="K126" s="224"/>
      <c r="L126" s="224">
        <v>348.995</v>
      </c>
      <c r="M126" s="224"/>
      <c r="N126" s="224">
        <v>410</v>
      </c>
      <c r="O126" s="224"/>
      <c r="P126" s="224">
        <v>472.76799999999997</v>
      </c>
      <c r="Q126" s="224"/>
      <c r="R126" s="224">
        <v>320</v>
      </c>
      <c r="S126" s="224"/>
      <c r="T126" s="224">
        <v>282.72199999999998</v>
      </c>
      <c r="U126" s="224"/>
      <c r="V126" s="224">
        <v>425.00099999999998</v>
      </c>
      <c r="W126" s="224"/>
      <c r="X126" s="224">
        <v>408</v>
      </c>
      <c r="Y126" s="224"/>
      <c r="Z126" s="224">
        <v>435</v>
      </c>
      <c r="AA126" s="150"/>
      <c r="AB126" s="150"/>
    </row>
    <row r="127" spans="1:40" s="229" customFormat="1" ht="9" hidden="1" customHeight="1">
      <c r="A127" s="79" t="e">
        <f t="shared" si="28"/>
        <v>#REF!</v>
      </c>
      <c r="B127" s="167">
        <v>2</v>
      </c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30"/>
      <c r="S127" s="230"/>
      <c r="T127" s="230"/>
      <c r="U127" s="230"/>
      <c r="V127" s="230"/>
      <c r="W127" s="230"/>
      <c r="X127" s="230"/>
      <c r="Y127" s="230"/>
      <c r="Z127" s="230"/>
      <c r="AA127" s="150"/>
      <c r="AB127" s="150"/>
    </row>
    <row r="128" spans="1:40" s="229" customFormat="1" ht="9" hidden="1" customHeight="1">
      <c r="A128" s="79" t="e">
        <f t="shared" si="28"/>
        <v>#REF!</v>
      </c>
      <c r="B128" s="167">
        <v>3</v>
      </c>
      <c r="C128" s="225" t="s">
        <v>208</v>
      </c>
      <c r="D128" s="225"/>
      <c r="E128" s="225" t="s">
        <v>209</v>
      </c>
      <c r="F128" s="225"/>
      <c r="G128" s="225" t="s">
        <v>210</v>
      </c>
      <c r="H128" s="225"/>
      <c r="I128" s="225" t="s">
        <v>211</v>
      </c>
      <c r="J128" s="225"/>
      <c r="K128" s="225" t="s">
        <v>212</v>
      </c>
      <c r="L128" s="225"/>
      <c r="M128" s="225" t="s">
        <v>213</v>
      </c>
      <c r="N128" s="225"/>
      <c r="O128" s="225" t="s">
        <v>214</v>
      </c>
      <c r="P128" s="225"/>
      <c r="Q128" s="225" t="s">
        <v>215</v>
      </c>
      <c r="R128" s="225"/>
      <c r="S128" s="225" t="s">
        <v>216</v>
      </c>
      <c r="T128" s="225"/>
      <c r="U128" s="225" t="s">
        <v>217</v>
      </c>
      <c r="V128" s="225"/>
      <c r="W128" s="225" t="s">
        <v>76</v>
      </c>
      <c r="X128" s="225"/>
      <c r="Y128" s="225" t="s">
        <v>77</v>
      </c>
      <c r="Z128" s="216"/>
      <c r="AA128" s="150"/>
      <c r="AB128" s="150"/>
    </row>
    <row r="129" spans="1:40" s="229" customFormat="1" ht="9" hidden="1" customHeight="1">
      <c r="A129" s="79" t="e">
        <f t="shared" si="28"/>
        <v>#REF!</v>
      </c>
      <c r="B129" s="167">
        <v>4</v>
      </c>
      <c r="C129" s="225" t="s">
        <v>54</v>
      </c>
      <c r="D129" s="225"/>
      <c r="E129" s="225" t="s">
        <v>59</v>
      </c>
      <c r="F129" s="225"/>
      <c r="G129" s="225" t="s">
        <v>65</v>
      </c>
      <c r="H129" s="225"/>
      <c r="I129" s="225" t="s">
        <v>59</v>
      </c>
      <c r="J129" s="225"/>
      <c r="K129" s="225" t="s">
        <v>191</v>
      </c>
      <c r="L129" s="225"/>
      <c r="M129" s="225" t="s">
        <v>65</v>
      </c>
      <c r="N129" s="225"/>
      <c r="O129" s="225" t="s">
        <v>218</v>
      </c>
      <c r="P129" s="225"/>
      <c r="Q129" s="225" t="s">
        <v>219</v>
      </c>
      <c r="R129" s="225"/>
      <c r="S129" s="225" t="s">
        <v>51</v>
      </c>
      <c r="T129" s="225"/>
      <c r="U129" s="225" t="s">
        <v>74</v>
      </c>
      <c r="V129" s="225"/>
      <c r="W129" s="225" t="s">
        <v>54</v>
      </c>
      <c r="X129" s="225"/>
      <c r="Y129" s="225" t="s">
        <v>54</v>
      </c>
      <c r="Z129" s="216"/>
      <c r="AA129" s="150"/>
      <c r="AB129" s="150"/>
    </row>
    <row r="130" spans="1:40" s="229" customFormat="1" ht="9" hidden="1" customHeight="1">
      <c r="A130" s="79" t="e">
        <f t="shared" si="28"/>
        <v>#REF!</v>
      </c>
      <c r="B130" s="167">
        <v>5</v>
      </c>
      <c r="C130" s="228" t="b">
        <f t="shared" ref="C130:Z130" si="29">C126=C120</f>
        <v>0</v>
      </c>
      <c r="D130" s="228" t="b">
        <f t="shared" si="29"/>
        <v>1</v>
      </c>
      <c r="E130" s="228" t="b">
        <f t="shared" si="29"/>
        <v>0</v>
      </c>
      <c r="F130" s="228" t="b">
        <f t="shared" si="29"/>
        <v>1</v>
      </c>
      <c r="G130" s="228" t="b">
        <f t="shared" si="29"/>
        <v>0</v>
      </c>
      <c r="H130" s="228" t="b">
        <f t="shared" si="29"/>
        <v>1</v>
      </c>
      <c r="I130" s="228" t="b">
        <f t="shared" si="29"/>
        <v>0</v>
      </c>
      <c r="J130" s="228" t="b">
        <f t="shared" si="29"/>
        <v>1</v>
      </c>
      <c r="K130" s="228" t="b">
        <f t="shared" si="29"/>
        <v>0</v>
      </c>
      <c r="L130" s="228" t="b">
        <f t="shared" si="29"/>
        <v>1</v>
      </c>
      <c r="M130" s="228" t="b">
        <f t="shared" si="29"/>
        <v>0</v>
      </c>
      <c r="N130" s="228" t="b">
        <f t="shared" si="29"/>
        <v>1</v>
      </c>
      <c r="O130" s="228" t="b">
        <f t="shared" si="29"/>
        <v>0</v>
      </c>
      <c r="P130" s="228" t="b">
        <f t="shared" si="29"/>
        <v>1</v>
      </c>
      <c r="Q130" s="228" t="b">
        <f t="shared" si="29"/>
        <v>0</v>
      </c>
      <c r="R130" s="228" t="b">
        <f t="shared" si="29"/>
        <v>1</v>
      </c>
      <c r="S130" s="228" t="b">
        <f t="shared" si="29"/>
        <v>0</v>
      </c>
      <c r="T130" s="228" t="b">
        <f t="shared" si="29"/>
        <v>1</v>
      </c>
      <c r="U130" s="228" t="b">
        <f t="shared" si="29"/>
        <v>0</v>
      </c>
      <c r="V130" s="228" t="b">
        <f t="shared" si="29"/>
        <v>1</v>
      </c>
      <c r="W130" s="228" t="b">
        <f t="shared" si="29"/>
        <v>0</v>
      </c>
      <c r="X130" s="228" t="b">
        <f t="shared" si="29"/>
        <v>1</v>
      </c>
      <c r="Y130" s="228" t="b">
        <f t="shared" si="29"/>
        <v>0</v>
      </c>
      <c r="Z130" s="228" t="b">
        <f t="shared" si="29"/>
        <v>1</v>
      </c>
      <c r="AA130" s="150"/>
      <c r="AB130" s="150"/>
    </row>
    <row r="131" spans="1:40" s="229" customFormat="1" ht="9" hidden="1" customHeight="1">
      <c r="A131" s="79" t="e">
        <f t="shared" si="28"/>
        <v>#REF!</v>
      </c>
      <c r="B131" s="167">
        <v>6</v>
      </c>
      <c r="C131" s="228" t="b">
        <f t="shared" ref="C131:Z131" si="30">C127=C121</f>
        <v>0</v>
      </c>
      <c r="D131" s="228" t="b">
        <f t="shared" si="30"/>
        <v>1</v>
      </c>
      <c r="E131" s="228" t="b">
        <f t="shared" si="30"/>
        <v>0</v>
      </c>
      <c r="F131" s="228" t="b">
        <f t="shared" si="30"/>
        <v>1</v>
      </c>
      <c r="G131" s="228" t="b">
        <f t="shared" si="30"/>
        <v>0</v>
      </c>
      <c r="H131" s="228" t="b">
        <f t="shared" si="30"/>
        <v>1</v>
      </c>
      <c r="I131" s="228" t="b">
        <f t="shared" si="30"/>
        <v>0</v>
      </c>
      <c r="J131" s="228" t="b">
        <f t="shared" si="30"/>
        <v>1</v>
      </c>
      <c r="K131" s="228" t="b">
        <f t="shared" si="30"/>
        <v>0</v>
      </c>
      <c r="L131" s="228" t="b">
        <f t="shared" si="30"/>
        <v>1</v>
      </c>
      <c r="M131" s="228" t="b">
        <f t="shared" si="30"/>
        <v>0</v>
      </c>
      <c r="N131" s="228" t="b">
        <f t="shared" si="30"/>
        <v>1</v>
      </c>
      <c r="O131" s="228" t="b">
        <f t="shared" si="30"/>
        <v>0</v>
      </c>
      <c r="P131" s="228" t="b">
        <f t="shared" si="30"/>
        <v>1</v>
      </c>
      <c r="Q131" s="228" t="b">
        <f t="shared" si="30"/>
        <v>0</v>
      </c>
      <c r="R131" s="228" t="b">
        <f t="shared" si="30"/>
        <v>1</v>
      </c>
      <c r="S131" s="228" t="b">
        <f t="shared" si="30"/>
        <v>0</v>
      </c>
      <c r="T131" s="228" t="b">
        <f t="shared" si="30"/>
        <v>1</v>
      </c>
      <c r="U131" s="228" t="b">
        <f t="shared" si="30"/>
        <v>0</v>
      </c>
      <c r="V131" s="228" t="b">
        <f t="shared" si="30"/>
        <v>1</v>
      </c>
      <c r="W131" s="228" t="b">
        <f t="shared" si="30"/>
        <v>0</v>
      </c>
      <c r="X131" s="228" t="b">
        <f t="shared" si="30"/>
        <v>1</v>
      </c>
      <c r="Y131" s="228" t="b">
        <f t="shared" si="30"/>
        <v>0</v>
      </c>
      <c r="Z131" s="228" t="b">
        <f t="shared" si="30"/>
        <v>1</v>
      </c>
      <c r="AA131" s="150"/>
      <c r="AB131" s="150"/>
    </row>
    <row r="132" spans="1:40" s="229" customFormat="1" ht="9" hidden="1" customHeight="1">
      <c r="A132" s="79" t="e">
        <f t="shared" si="28"/>
        <v>#REF!</v>
      </c>
      <c r="B132" s="167">
        <v>7</v>
      </c>
      <c r="C132" s="228" t="b">
        <f t="shared" ref="C132:Z132" si="31">C128=C122</f>
        <v>1</v>
      </c>
      <c r="D132" s="228" t="b">
        <f t="shared" si="31"/>
        <v>1</v>
      </c>
      <c r="E132" s="228" t="b">
        <f t="shared" si="31"/>
        <v>1</v>
      </c>
      <c r="F132" s="228" t="b">
        <f t="shared" si="31"/>
        <v>1</v>
      </c>
      <c r="G132" s="228" t="b">
        <f t="shared" si="31"/>
        <v>1</v>
      </c>
      <c r="H132" s="228" t="b">
        <f t="shared" si="31"/>
        <v>1</v>
      </c>
      <c r="I132" s="228" t="b">
        <f t="shared" si="31"/>
        <v>1</v>
      </c>
      <c r="J132" s="228" t="b">
        <f t="shared" si="31"/>
        <v>1</v>
      </c>
      <c r="K132" s="228" t="b">
        <f t="shared" si="31"/>
        <v>1</v>
      </c>
      <c r="L132" s="228" t="b">
        <f t="shared" si="31"/>
        <v>1</v>
      </c>
      <c r="M132" s="228" t="b">
        <f t="shared" si="31"/>
        <v>1</v>
      </c>
      <c r="N132" s="228" t="b">
        <f t="shared" si="31"/>
        <v>1</v>
      </c>
      <c r="O132" s="228" t="b">
        <f t="shared" si="31"/>
        <v>1</v>
      </c>
      <c r="P132" s="228" t="b">
        <f t="shared" si="31"/>
        <v>1</v>
      </c>
      <c r="Q132" s="228" t="b">
        <f t="shared" si="31"/>
        <v>1</v>
      </c>
      <c r="R132" s="228" t="b">
        <f t="shared" si="31"/>
        <v>1</v>
      </c>
      <c r="S132" s="228" t="b">
        <f t="shared" si="31"/>
        <v>1</v>
      </c>
      <c r="T132" s="228" t="b">
        <f t="shared" si="31"/>
        <v>1</v>
      </c>
      <c r="U132" s="228" t="b">
        <f t="shared" si="31"/>
        <v>1</v>
      </c>
      <c r="V132" s="228" t="b">
        <f t="shared" si="31"/>
        <v>1</v>
      </c>
      <c r="W132" s="228" t="b">
        <f t="shared" si="31"/>
        <v>1</v>
      </c>
      <c r="X132" s="228" t="b">
        <f t="shared" si="31"/>
        <v>1</v>
      </c>
      <c r="Y132" s="228" t="b">
        <f t="shared" si="31"/>
        <v>1</v>
      </c>
      <c r="Z132" s="228" t="b">
        <f t="shared" si="31"/>
        <v>1</v>
      </c>
      <c r="AA132" s="150"/>
      <c r="AB132" s="150"/>
    </row>
    <row r="133" spans="1:40" s="229" customFormat="1" ht="9" hidden="1" customHeight="1">
      <c r="A133" s="79" t="e">
        <f t="shared" si="28"/>
        <v>#REF!</v>
      </c>
      <c r="B133" s="167">
        <v>8</v>
      </c>
      <c r="C133" s="228" t="b">
        <f t="shared" ref="C133:Z133" si="32">C129=C123</f>
        <v>1</v>
      </c>
      <c r="D133" s="228" t="b">
        <f t="shared" si="32"/>
        <v>1</v>
      </c>
      <c r="E133" s="228" t="b">
        <f t="shared" si="32"/>
        <v>1</v>
      </c>
      <c r="F133" s="228" t="b">
        <f t="shared" si="32"/>
        <v>0</v>
      </c>
      <c r="G133" s="228" t="b">
        <f t="shared" si="32"/>
        <v>1</v>
      </c>
      <c r="H133" s="228" t="b">
        <f t="shared" si="32"/>
        <v>1</v>
      </c>
      <c r="I133" s="228" t="b">
        <f t="shared" si="32"/>
        <v>1</v>
      </c>
      <c r="J133" s="228" t="b">
        <f t="shared" si="32"/>
        <v>1</v>
      </c>
      <c r="K133" s="228" t="b">
        <f t="shared" si="32"/>
        <v>1</v>
      </c>
      <c r="L133" s="228" t="b">
        <f t="shared" si="32"/>
        <v>1</v>
      </c>
      <c r="M133" s="228" t="b">
        <f t="shared" si="32"/>
        <v>1</v>
      </c>
      <c r="N133" s="228" t="b">
        <f t="shared" si="32"/>
        <v>1</v>
      </c>
      <c r="O133" s="228" t="b">
        <f t="shared" si="32"/>
        <v>1</v>
      </c>
      <c r="P133" s="228" t="b">
        <f t="shared" si="32"/>
        <v>1</v>
      </c>
      <c r="Q133" s="228" t="b">
        <f t="shared" si="32"/>
        <v>1</v>
      </c>
      <c r="R133" s="228" t="b">
        <f t="shared" si="32"/>
        <v>1</v>
      </c>
      <c r="S133" s="228" t="b">
        <f t="shared" si="32"/>
        <v>1</v>
      </c>
      <c r="T133" s="228" t="b">
        <f t="shared" si="32"/>
        <v>1</v>
      </c>
      <c r="U133" s="228" t="b">
        <f t="shared" si="32"/>
        <v>1</v>
      </c>
      <c r="V133" s="228" t="b">
        <f t="shared" si="32"/>
        <v>1</v>
      </c>
      <c r="W133" s="228" t="b">
        <f t="shared" si="32"/>
        <v>1</v>
      </c>
      <c r="X133" s="228" t="b">
        <f t="shared" si="32"/>
        <v>1</v>
      </c>
      <c r="Y133" s="228" t="b">
        <f t="shared" si="32"/>
        <v>1</v>
      </c>
      <c r="Z133" s="228" t="b">
        <f t="shared" si="32"/>
        <v>1</v>
      </c>
      <c r="AA133" s="150"/>
      <c r="AB133" s="150"/>
    </row>
    <row r="134" spans="1:40" s="229" customFormat="1" ht="9" hidden="1" customHeight="1">
      <c r="A134" s="79" t="e">
        <f t="shared" si="28"/>
        <v>#REF!</v>
      </c>
      <c r="B134" s="167">
        <v>9</v>
      </c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150"/>
      <c r="AB134" s="150"/>
    </row>
    <row r="135" spans="1:40" s="229" customFormat="1" ht="9" hidden="1" customHeight="1">
      <c r="A135" s="79" t="e">
        <f t="shared" si="28"/>
        <v>#REF!</v>
      </c>
      <c r="B135" s="167">
        <v>10</v>
      </c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150"/>
      <c r="AB135" s="150"/>
    </row>
    <row r="136" spans="1:40" s="101" customFormat="1" ht="11.15" customHeight="1">
      <c r="A136" s="79" t="e">
        <f t="shared" si="28"/>
        <v>#REF!</v>
      </c>
      <c r="B136" s="238"/>
      <c r="C136" s="99">
        <f>Y117+1</f>
        <v>69</v>
      </c>
      <c r="E136" s="99">
        <f>C136+1</f>
        <v>70</v>
      </c>
      <c r="G136" s="99">
        <f>E136+1</f>
        <v>71</v>
      </c>
      <c r="I136" s="99">
        <f>G136+1</f>
        <v>72</v>
      </c>
      <c r="K136" s="99">
        <f>I136+1</f>
        <v>73</v>
      </c>
      <c r="M136" s="99">
        <f>K136+1</f>
        <v>74</v>
      </c>
      <c r="O136" s="99">
        <f>M136+1</f>
        <v>75</v>
      </c>
      <c r="Q136" s="99">
        <f>O136+1</f>
        <v>76</v>
      </c>
      <c r="S136" s="99">
        <f>Q136+1</f>
        <v>77</v>
      </c>
      <c r="U136" s="99">
        <f>S136+1</f>
        <v>78</v>
      </c>
      <c r="W136" s="99">
        <f>U136+1</f>
        <v>79</v>
      </c>
      <c r="Y136" s="99">
        <f>W136+1</f>
        <v>80</v>
      </c>
      <c r="Z136" s="123"/>
      <c r="AA136" s="114"/>
      <c r="AB136" s="114"/>
      <c r="AK136" s="98"/>
      <c r="AL136" s="98"/>
      <c r="AM136" s="98"/>
      <c r="AN136" s="98"/>
    </row>
    <row r="137" spans="1:40" s="101" customFormat="1" ht="11.15" customHeight="1">
      <c r="A137" s="79" t="e">
        <f t="shared" si="28"/>
        <v>#REF!</v>
      </c>
      <c r="B137" s="238"/>
      <c r="Z137" s="123"/>
      <c r="AA137" s="114"/>
      <c r="AB137" s="114"/>
      <c r="AK137" s="98"/>
      <c r="AL137" s="98"/>
      <c r="AM137" s="98"/>
      <c r="AN137" s="98"/>
    </row>
    <row r="138" spans="1:40" s="101" customFormat="1" ht="11.15" customHeight="1">
      <c r="A138" s="79" t="e">
        <f t="shared" si="28"/>
        <v>#REF!</v>
      </c>
      <c r="B138" s="186"/>
      <c r="C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72"/>
      <c r="AA138" s="114"/>
      <c r="AB138" s="114"/>
      <c r="AK138" s="98"/>
      <c r="AL138" s="98"/>
      <c r="AM138" s="98"/>
      <c r="AN138" s="98"/>
    </row>
    <row r="139" spans="1:40" s="101" customFormat="1" ht="11.15" customHeight="1">
      <c r="A139" s="79" t="e">
        <f t="shared" si="28"/>
        <v>#REF!</v>
      </c>
      <c r="B139" s="186"/>
      <c r="C139" s="140">
        <f>Y120+1</f>
        <v>73</v>
      </c>
      <c r="D139" s="141">
        <v>408</v>
      </c>
      <c r="E139" s="140">
        <f>C139+1</f>
        <v>74</v>
      </c>
      <c r="F139" s="141">
        <v>453</v>
      </c>
      <c r="G139" s="140">
        <f>E139+1</f>
        <v>75</v>
      </c>
      <c r="H139" s="141">
        <v>389.79300000000001</v>
      </c>
      <c r="I139" s="140">
        <f>G139+1</f>
        <v>76</v>
      </c>
      <c r="J139" s="141">
        <v>392</v>
      </c>
      <c r="K139" s="140">
        <f>I139+1</f>
        <v>77</v>
      </c>
      <c r="L139" s="141">
        <v>432</v>
      </c>
      <c r="M139" s="140">
        <f>K139+1</f>
        <v>78</v>
      </c>
      <c r="N139" s="141">
        <v>358</v>
      </c>
      <c r="O139" s="140">
        <f>M139+1</f>
        <v>79</v>
      </c>
      <c r="P139" s="141">
        <v>344</v>
      </c>
      <c r="Q139" s="140">
        <f>O139+1</f>
        <v>80</v>
      </c>
      <c r="R139" s="141">
        <v>250.001</v>
      </c>
      <c r="S139" s="140">
        <f>Q139+1</f>
        <v>81</v>
      </c>
      <c r="T139" s="141">
        <v>543.99900000000002</v>
      </c>
      <c r="U139" s="140">
        <f>S139+1</f>
        <v>82</v>
      </c>
      <c r="V139" s="141">
        <v>428.85899999999998</v>
      </c>
      <c r="W139" s="140">
        <f>U139+1</f>
        <v>83</v>
      </c>
      <c r="X139" s="141">
        <v>400</v>
      </c>
      <c r="Y139" s="140">
        <f>W139+1</f>
        <v>84</v>
      </c>
      <c r="Z139" s="107">
        <v>405</v>
      </c>
      <c r="AA139" s="164">
        <v>4804.652</v>
      </c>
      <c r="AB139" s="114">
        <v>12</v>
      </c>
      <c r="AK139" s="98"/>
      <c r="AL139" s="98"/>
      <c r="AM139" s="98"/>
      <c r="AN139" s="98"/>
    </row>
    <row r="140" spans="1:40" s="101" customFormat="1" ht="11.15" customHeight="1">
      <c r="A140" s="79" t="e">
        <f t="shared" si="28"/>
        <v>#REF!</v>
      </c>
      <c r="B140" s="186"/>
      <c r="C140" s="143" t="s">
        <v>63</v>
      </c>
      <c r="D140" s="111"/>
      <c r="E140" s="143" t="s">
        <v>75</v>
      </c>
      <c r="F140" s="111"/>
      <c r="G140" s="143" t="s">
        <v>70</v>
      </c>
      <c r="H140" s="111"/>
      <c r="I140" s="143" t="s">
        <v>70</v>
      </c>
      <c r="J140" s="111"/>
      <c r="K140" s="143" t="s">
        <v>52</v>
      </c>
      <c r="L140" s="111"/>
      <c r="M140" s="143" t="s">
        <v>63</v>
      </c>
      <c r="N140" s="111"/>
      <c r="O140" s="143" t="s">
        <v>63</v>
      </c>
      <c r="P140" s="111"/>
      <c r="Q140" s="143" t="s">
        <v>52</v>
      </c>
      <c r="R140" s="111"/>
      <c r="S140" s="143" t="s">
        <v>52</v>
      </c>
      <c r="T140" s="111"/>
      <c r="U140" s="143" t="s">
        <v>52</v>
      </c>
      <c r="V140" s="111"/>
      <c r="W140" s="143" t="s">
        <v>52</v>
      </c>
      <c r="X140" s="111"/>
      <c r="Y140" s="143" t="s">
        <v>52</v>
      </c>
      <c r="Z140" s="172"/>
      <c r="AA140" s="114"/>
      <c r="AB140" s="114"/>
      <c r="AK140" s="98"/>
      <c r="AL140" s="98"/>
      <c r="AM140" s="98"/>
      <c r="AN140" s="98"/>
    </row>
    <row r="141" spans="1:40" s="101" customFormat="1" ht="11.15" customHeight="1">
      <c r="A141" s="79" t="e">
        <f t="shared" si="28"/>
        <v>#REF!</v>
      </c>
      <c r="B141" s="186"/>
      <c r="C141" s="144" t="s">
        <v>78</v>
      </c>
      <c r="D141" s="98"/>
      <c r="E141" s="144" t="s">
        <v>220</v>
      </c>
      <c r="F141" s="98"/>
      <c r="G141" s="144" t="s">
        <v>79</v>
      </c>
      <c r="H141" s="98"/>
      <c r="I141" s="144" t="s">
        <v>221</v>
      </c>
      <c r="J141" s="98"/>
      <c r="K141" s="144" t="s">
        <v>222</v>
      </c>
      <c r="L141" s="98"/>
      <c r="M141" s="144" t="s">
        <v>80</v>
      </c>
      <c r="N141" s="98"/>
      <c r="O141" s="144" t="s">
        <v>81</v>
      </c>
      <c r="P141" s="98"/>
      <c r="Q141" s="144" t="s">
        <v>223</v>
      </c>
      <c r="R141" s="98"/>
      <c r="S141" s="144" t="s">
        <v>224</v>
      </c>
      <c r="T141" s="98"/>
      <c r="U141" s="144" t="s">
        <v>225</v>
      </c>
      <c r="V141" s="98"/>
      <c r="W141" s="144" t="s">
        <v>226</v>
      </c>
      <c r="X141" s="99"/>
      <c r="Y141" s="144" t="s">
        <v>61</v>
      </c>
      <c r="Z141" s="174"/>
      <c r="AA141" s="114"/>
      <c r="AB141" s="114"/>
      <c r="AK141" s="98"/>
      <c r="AL141" s="98"/>
      <c r="AM141" s="98"/>
      <c r="AN141" s="98"/>
    </row>
    <row r="142" spans="1:40" s="101" customFormat="1" ht="11.15" customHeight="1">
      <c r="A142" s="79" t="e">
        <f t="shared" si="28"/>
        <v>#REF!</v>
      </c>
      <c r="B142" s="186"/>
      <c r="C142" s="143" t="s">
        <v>59</v>
      </c>
      <c r="D142" s="98"/>
      <c r="E142" s="143" t="s">
        <v>172</v>
      </c>
      <c r="F142" s="98"/>
      <c r="G142" s="143" t="s">
        <v>59</v>
      </c>
      <c r="H142" s="98"/>
      <c r="I142" s="143" t="s">
        <v>174</v>
      </c>
      <c r="J142" s="99" t="s">
        <v>177</v>
      </c>
      <c r="K142" s="143" t="s">
        <v>227</v>
      </c>
      <c r="L142" s="98"/>
      <c r="M142" s="143" t="s">
        <v>65</v>
      </c>
      <c r="N142" s="98"/>
      <c r="O142" s="143" t="s">
        <v>51</v>
      </c>
      <c r="P142" s="98"/>
      <c r="Q142" s="143" t="s">
        <v>92</v>
      </c>
      <c r="R142" s="98"/>
      <c r="S142" s="143" t="s">
        <v>152</v>
      </c>
      <c r="T142" s="98"/>
      <c r="U142" s="143" t="s">
        <v>228</v>
      </c>
      <c r="V142" s="98"/>
      <c r="W142" s="143" t="s">
        <v>72</v>
      </c>
      <c r="X142" s="111"/>
      <c r="Y142" s="143" t="s">
        <v>54</v>
      </c>
      <c r="Z142" s="174"/>
      <c r="AA142" s="114"/>
      <c r="AB142" s="114"/>
      <c r="AK142" s="98"/>
      <c r="AL142" s="98"/>
      <c r="AM142" s="98"/>
      <c r="AN142" s="98"/>
    </row>
    <row r="143" spans="1:40" s="101" customFormat="1" ht="11.15" customHeight="1">
      <c r="A143" s="79" t="e">
        <f t="shared" si="28"/>
        <v>#REF!</v>
      </c>
      <c r="B143" s="186"/>
      <c r="C143" s="111"/>
      <c r="D143" s="111"/>
      <c r="F143" s="111"/>
      <c r="H143" s="111"/>
      <c r="J143" s="111"/>
      <c r="L143" s="111"/>
      <c r="M143" s="99"/>
      <c r="N143" s="111"/>
      <c r="P143" s="111"/>
      <c r="Q143" s="98"/>
      <c r="R143" s="99" t="s">
        <v>156</v>
      </c>
      <c r="S143" s="98"/>
      <c r="T143" s="99"/>
      <c r="U143" s="98"/>
      <c r="V143" s="99"/>
      <c r="Z143" s="172"/>
      <c r="AA143" s="114"/>
      <c r="AB143" s="114"/>
      <c r="AK143" s="98"/>
      <c r="AL143" s="98"/>
      <c r="AM143" s="98"/>
      <c r="AN143" s="98"/>
    </row>
    <row r="144" spans="1:40" s="101" customFormat="1" ht="11.15" customHeight="1">
      <c r="A144" s="79" t="e">
        <f t="shared" si="28"/>
        <v>#REF!</v>
      </c>
      <c r="B144" s="186"/>
      <c r="C144" s="111"/>
      <c r="D144" s="111"/>
      <c r="F144" s="111"/>
      <c r="H144" s="111"/>
      <c r="J144" s="111"/>
      <c r="L144" s="111"/>
      <c r="M144" s="99"/>
      <c r="N144" s="111"/>
      <c r="P144" s="111"/>
      <c r="Q144" s="98"/>
      <c r="R144" s="99"/>
      <c r="S144" s="98"/>
      <c r="T144" s="99"/>
      <c r="U144" s="98"/>
      <c r="V144" s="99"/>
      <c r="Z144" s="172"/>
      <c r="AA144" s="114"/>
      <c r="AB144" s="114"/>
      <c r="AK144" s="98"/>
      <c r="AL144" s="98"/>
      <c r="AM144" s="98"/>
      <c r="AN144" s="98"/>
    </row>
    <row r="145" spans="1:40" s="238" customFormat="1" ht="11.15" customHeight="1">
      <c r="A145" s="79" t="e">
        <f t="shared" si="28"/>
        <v>#REF!</v>
      </c>
      <c r="B145" s="177">
        <v>0</v>
      </c>
      <c r="C145" s="825" t="s">
        <v>142</v>
      </c>
      <c r="D145" s="825"/>
      <c r="E145" s="825"/>
      <c r="F145" s="825"/>
      <c r="G145" s="825"/>
      <c r="H145" s="825"/>
      <c r="I145" s="825"/>
      <c r="J145" s="825"/>
      <c r="K145" s="825"/>
      <c r="L145" s="825"/>
      <c r="M145" s="825"/>
      <c r="N145" s="825"/>
      <c r="O145" s="825"/>
      <c r="P145" s="825"/>
      <c r="Q145" s="825"/>
      <c r="R145" s="825"/>
      <c r="S145" s="825"/>
      <c r="T145" s="825"/>
      <c r="U145" s="825"/>
      <c r="V145" s="825"/>
      <c r="W145" s="825"/>
      <c r="X145" s="825"/>
      <c r="Y145" s="825"/>
      <c r="Z145" s="826"/>
      <c r="AA145" s="150"/>
      <c r="AB145" s="150"/>
      <c r="AK145" s="239"/>
      <c r="AL145" s="239"/>
      <c r="AM145" s="239"/>
      <c r="AN145" s="239"/>
    </row>
    <row r="146" spans="1:40" s="229" customFormat="1" ht="9" hidden="1" customHeight="1">
      <c r="A146" s="79" t="e">
        <f t="shared" si="28"/>
        <v>#REF!</v>
      </c>
      <c r="B146" s="167">
        <v>1</v>
      </c>
      <c r="C146" s="228"/>
      <c r="D146" s="224">
        <v>408</v>
      </c>
      <c r="E146" s="224"/>
      <c r="F146" s="224">
        <v>453</v>
      </c>
      <c r="G146" s="224"/>
      <c r="H146" s="224">
        <v>389.79300000000001</v>
      </c>
      <c r="I146" s="224"/>
      <c r="J146" s="224">
        <v>392</v>
      </c>
      <c r="K146" s="224"/>
      <c r="L146" s="224">
        <v>432</v>
      </c>
      <c r="M146" s="224"/>
      <c r="N146" s="224">
        <v>358</v>
      </c>
      <c r="O146" s="224"/>
      <c r="P146" s="224">
        <v>344</v>
      </c>
      <c r="Q146" s="224"/>
      <c r="R146" s="224">
        <v>250.001</v>
      </c>
      <c r="S146" s="224"/>
      <c r="T146" s="224">
        <v>543.99900000000002</v>
      </c>
      <c r="U146" s="224"/>
      <c r="V146" s="224">
        <v>428.85899999999998</v>
      </c>
      <c r="W146" s="224"/>
      <c r="X146" s="224">
        <v>400</v>
      </c>
      <c r="Y146" s="224"/>
      <c r="Z146" s="224">
        <v>405</v>
      </c>
      <c r="AA146" s="150"/>
      <c r="AB146" s="150"/>
    </row>
    <row r="147" spans="1:40" s="229" customFormat="1" ht="9" hidden="1" customHeight="1">
      <c r="A147" s="79" t="e">
        <f t="shared" si="28"/>
        <v>#REF!</v>
      </c>
      <c r="B147" s="167">
        <v>2</v>
      </c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30"/>
      <c r="S147" s="230"/>
      <c r="T147" s="230"/>
      <c r="U147" s="230"/>
      <c r="V147" s="230"/>
      <c r="W147" s="230"/>
      <c r="X147" s="230"/>
      <c r="Y147" s="230"/>
      <c r="Z147" s="230"/>
      <c r="AA147" s="150"/>
      <c r="AB147" s="150"/>
    </row>
    <row r="148" spans="1:40" s="229" customFormat="1" ht="9" hidden="1" customHeight="1">
      <c r="A148" s="79" t="e">
        <f t="shared" si="28"/>
        <v>#REF!</v>
      </c>
      <c r="B148" s="167">
        <v>3</v>
      </c>
      <c r="C148" s="225" t="s">
        <v>78</v>
      </c>
      <c r="D148" s="225"/>
      <c r="E148" s="225" t="s">
        <v>220</v>
      </c>
      <c r="F148" s="225"/>
      <c r="G148" s="225" t="s">
        <v>79</v>
      </c>
      <c r="H148" s="225"/>
      <c r="I148" s="225" t="s">
        <v>221</v>
      </c>
      <c r="J148" s="225"/>
      <c r="K148" s="225" t="s">
        <v>222</v>
      </c>
      <c r="L148" s="225"/>
      <c r="M148" s="225" t="s">
        <v>80</v>
      </c>
      <c r="N148" s="225"/>
      <c r="O148" s="225" t="s">
        <v>81</v>
      </c>
      <c r="P148" s="225"/>
      <c r="Q148" s="225" t="s">
        <v>223</v>
      </c>
      <c r="R148" s="225"/>
      <c r="S148" s="225" t="s">
        <v>224</v>
      </c>
      <c r="T148" s="225"/>
      <c r="U148" s="225" t="s">
        <v>225</v>
      </c>
      <c r="V148" s="225"/>
      <c r="W148" s="225" t="s">
        <v>226</v>
      </c>
      <c r="X148" s="225"/>
      <c r="Y148" s="225" t="s">
        <v>61</v>
      </c>
      <c r="Z148" s="216"/>
      <c r="AA148" s="150"/>
      <c r="AB148" s="150"/>
    </row>
    <row r="149" spans="1:40" s="229" customFormat="1" ht="9" hidden="1" customHeight="1">
      <c r="A149" s="79" t="e">
        <f t="shared" si="28"/>
        <v>#REF!</v>
      </c>
      <c r="B149" s="167">
        <v>4</v>
      </c>
      <c r="C149" s="225" t="s">
        <v>59</v>
      </c>
      <c r="D149" s="225"/>
      <c r="E149" s="225" t="s">
        <v>172</v>
      </c>
      <c r="F149" s="225"/>
      <c r="G149" s="225" t="s">
        <v>59</v>
      </c>
      <c r="H149" s="225"/>
      <c r="I149" s="225" t="s">
        <v>174</v>
      </c>
      <c r="J149" s="225"/>
      <c r="K149" s="225" t="s">
        <v>227</v>
      </c>
      <c r="L149" s="225"/>
      <c r="M149" s="225" t="s">
        <v>65</v>
      </c>
      <c r="N149" s="225"/>
      <c r="O149" s="225" t="s">
        <v>51</v>
      </c>
      <c r="P149" s="225"/>
      <c r="Q149" s="225" t="s">
        <v>92</v>
      </c>
      <c r="R149" s="225"/>
      <c r="S149" s="225" t="s">
        <v>152</v>
      </c>
      <c r="T149" s="225"/>
      <c r="U149" s="225" t="s">
        <v>228</v>
      </c>
      <c r="V149" s="225"/>
      <c r="W149" s="225" t="s">
        <v>72</v>
      </c>
      <c r="X149" s="225"/>
      <c r="Y149" s="225" t="s">
        <v>54</v>
      </c>
      <c r="Z149" s="216"/>
      <c r="AA149" s="150"/>
      <c r="AB149" s="150"/>
    </row>
    <row r="150" spans="1:40" s="229" customFormat="1" ht="9" hidden="1" customHeight="1">
      <c r="A150" s="79" t="e">
        <f t="shared" si="28"/>
        <v>#REF!</v>
      </c>
      <c r="B150" s="167">
        <v>5</v>
      </c>
      <c r="C150" s="228" t="b">
        <f t="shared" ref="C150:Z150" si="33">C139=C146</f>
        <v>0</v>
      </c>
      <c r="D150" s="228" t="b">
        <f t="shared" si="33"/>
        <v>1</v>
      </c>
      <c r="E150" s="228" t="b">
        <f t="shared" si="33"/>
        <v>0</v>
      </c>
      <c r="F150" s="228" t="b">
        <f t="shared" si="33"/>
        <v>1</v>
      </c>
      <c r="G150" s="228" t="b">
        <f t="shared" si="33"/>
        <v>0</v>
      </c>
      <c r="H150" s="228" t="b">
        <f t="shared" si="33"/>
        <v>1</v>
      </c>
      <c r="I150" s="228" t="b">
        <f t="shared" si="33"/>
        <v>0</v>
      </c>
      <c r="J150" s="228" t="b">
        <f t="shared" si="33"/>
        <v>1</v>
      </c>
      <c r="K150" s="228" t="b">
        <f t="shared" si="33"/>
        <v>0</v>
      </c>
      <c r="L150" s="228" t="b">
        <f t="shared" si="33"/>
        <v>1</v>
      </c>
      <c r="M150" s="228" t="b">
        <f t="shared" si="33"/>
        <v>0</v>
      </c>
      <c r="N150" s="228" t="b">
        <f t="shared" si="33"/>
        <v>1</v>
      </c>
      <c r="O150" s="228" t="b">
        <f t="shared" si="33"/>
        <v>0</v>
      </c>
      <c r="P150" s="228" t="b">
        <f t="shared" si="33"/>
        <v>1</v>
      </c>
      <c r="Q150" s="228" t="b">
        <f t="shared" si="33"/>
        <v>0</v>
      </c>
      <c r="R150" s="228" t="b">
        <f t="shared" si="33"/>
        <v>1</v>
      </c>
      <c r="S150" s="228" t="b">
        <f t="shared" si="33"/>
        <v>0</v>
      </c>
      <c r="T150" s="228" t="b">
        <f t="shared" si="33"/>
        <v>1</v>
      </c>
      <c r="U150" s="228" t="b">
        <f t="shared" si="33"/>
        <v>0</v>
      </c>
      <c r="V150" s="228" t="b">
        <f t="shared" si="33"/>
        <v>1</v>
      </c>
      <c r="W150" s="228" t="b">
        <f t="shared" si="33"/>
        <v>0</v>
      </c>
      <c r="X150" s="228" t="b">
        <f t="shared" si="33"/>
        <v>1</v>
      </c>
      <c r="Y150" s="228" t="b">
        <f t="shared" si="33"/>
        <v>0</v>
      </c>
      <c r="Z150" s="228" t="b">
        <f t="shared" si="33"/>
        <v>1</v>
      </c>
      <c r="AA150" s="150"/>
      <c r="AB150" s="150"/>
    </row>
    <row r="151" spans="1:40" s="229" customFormat="1" ht="9" hidden="1" customHeight="1">
      <c r="A151" s="79" t="e">
        <f t="shared" si="28"/>
        <v>#REF!</v>
      </c>
      <c r="B151" s="167">
        <v>6</v>
      </c>
      <c r="C151" s="228" t="b">
        <f t="shared" ref="C151:Z151" si="34">C140=C147</f>
        <v>0</v>
      </c>
      <c r="D151" s="228" t="b">
        <f t="shared" si="34"/>
        <v>1</v>
      </c>
      <c r="E151" s="228" t="b">
        <f t="shared" si="34"/>
        <v>0</v>
      </c>
      <c r="F151" s="228" t="b">
        <f t="shared" si="34"/>
        <v>1</v>
      </c>
      <c r="G151" s="228" t="b">
        <f t="shared" si="34"/>
        <v>0</v>
      </c>
      <c r="H151" s="228" t="b">
        <f t="shared" si="34"/>
        <v>1</v>
      </c>
      <c r="I151" s="228" t="b">
        <f t="shared" si="34"/>
        <v>0</v>
      </c>
      <c r="J151" s="228" t="b">
        <f t="shared" si="34"/>
        <v>1</v>
      </c>
      <c r="K151" s="228" t="b">
        <f t="shared" si="34"/>
        <v>0</v>
      </c>
      <c r="L151" s="228" t="b">
        <f t="shared" si="34"/>
        <v>1</v>
      </c>
      <c r="M151" s="228" t="b">
        <f t="shared" si="34"/>
        <v>0</v>
      </c>
      <c r="N151" s="228" t="b">
        <f t="shared" si="34"/>
        <v>1</v>
      </c>
      <c r="O151" s="228" t="b">
        <f t="shared" si="34"/>
        <v>0</v>
      </c>
      <c r="P151" s="228" t="b">
        <f t="shared" si="34"/>
        <v>1</v>
      </c>
      <c r="Q151" s="228" t="b">
        <f t="shared" si="34"/>
        <v>0</v>
      </c>
      <c r="R151" s="228" t="b">
        <f t="shared" si="34"/>
        <v>1</v>
      </c>
      <c r="S151" s="228" t="b">
        <f t="shared" si="34"/>
        <v>0</v>
      </c>
      <c r="T151" s="228" t="b">
        <f t="shared" si="34"/>
        <v>1</v>
      </c>
      <c r="U151" s="228" t="b">
        <f t="shared" si="34"/>
        <v>0</v>
      </c>
      <c r="V151" s="228" t="b">
        <f t="shared" si="34"/>
        <v>1</v>
      </c>
      <c r="W151" s="228" t="b">
        <f t="shared" si="34"/>
        <v>0</v>
      </c>
      <c r="X151" s="228" t="b">
        <f t="shared" si="34"/>
        <v>1</v>
      </c>
      <c r="Y151" s="228" t="b">
        <f t="shared" si="34"/>
        <v>0</v>
      </c>
      <c r="Z151" s="228" t="b">
        <f t="shared" si="34"/>
        <v>1</v>
      </c>
      <c r="AA151" s="150"/>
      <c r="AB151" s="150"/>
    </row>
    <row r="152" spans="1:40" s="229" customFormat="1" ht="9" hidden="1" customHeight="1">
      <c r="A152" s="79" t="e">
        <f t="shared" si="28"/>
        <v>#REF!</v>
      </c>
      <c r="B152" s="167">
        <v>7</v>
      </c>
      <c r="C152" s="228" t="b">
        <f t="shared" ref="C152:Z152" si="35">C141=C148</f>
        <v>1</v>
      </c>
      <c r="D152" s="228" t="b">
        <f t="shared" si="35"/>
        <v>1</v>
      </c>
      <c r="E152" s="228" t="b">
        <f t="shared" si="35"/>
        <v>1</v>
      </c>
      <c r="F152" s="228" t="b">
        <f t="shared" si="35"/>
        <v>1</v>
      </c>
      <c r="G152" s="228" t="b">
        <f t="shared" si="35"/>
        <v>1</v>
      </c>
      <c r="H152" s="228" t="b">
        <f t="shared" si="35"/>
        <v>1</v>
      </c>
      <c r="I152" s="228" t="b">
        <f t="shared" si="35"/>
        <v>1</v>
      </c>
      <c r="J152" s="228" t="b">
        <f t="shared" si="35"/>
        <v>1</v>
      </c>
      <c r="K152" s="228" t="b">
        <f t="shared" si="35"/>
        <v>1</v>
      </c>
      <c r="L152" s="228" t="b">
        <f t="shared" si="35"/>
        <v>1</v>
      </c>
      <c r="M152" s="228" t="b">
        <f t="shared" si="35"/>
        <v>1</v>
      </c>
      <c r="N152" s="228" t="b">
        <f t="shared" si="35"/>
        <v>1</v>
      </c>
      <c r="O152" s="228" t="b">
        <f t="shared" si="35"/>
        <v>1</v>
      </c>
      <c r="P152" s="228" t="b">
        <f t="shared" si="35"/>
        <v>1</v>
      </c>
      <c r="Q152" s="228" t="b">
        <f t="shared" si="35"/>
        <v>1</v>
      </c>
      <c r="R152" s="228" t="b">
        <f t="shared" si="35"/>
        <v>1</v>
      </c>
      <c r="S152" s="228" t="b">
        <f t="shared" si="35"/>
        <v>1</v>
      </c>
      <c r="T152" s="228" t="b">
        <f t="shared" si="35"/>
        <v>1</v>
      </c>
      <c r="U152" s="228" t="b">
        <f t="shared" si="35"/>
        <v>1</v>
      </c>
      <c r="V152" s="228" t="b">
        <f t="shared" si="35"/>
        <v>1</v>
      </c>
      <c r="W152" s="228" t="b">
        <f t="shared" si="35"/>
        <v>1</v>
      </c>
      <c r="X152" s="228" t="b">
        <f t="shared" si="35"/>
        <v>1</v>
      </c>
      <c r="Y152" s="228" t="b">
        <f t="shared" si="35"/>
        <v>1</v>
      </c>
      <c r="Z152" s="228" t="b">
        <f t="shared" si="35"/>
        <v>1</v>
      </c>
      <c r="AA152" s="150"/>
      <c r="AB152" s="150"/>
    </row>
    <row r="153" spans="1:40" s="229" customFormat="1" ht="9" hidden="1" customHeight="1">
      <c r="A153" s="79" t="e">
        <f t="shared" si="28"/>
        <v>#REF!</v>
      </c>
      <c r="B153" s="167">
        <v>8</v>
      </c>
      <c r="C153" s="228" t="b">
        <f t="shared" ref="C153:Z153" si="36">C142=C149</f>
        <v>1</v>
      </c>
      <c r="D153" s="228" t="b">
        <f t="shared" si="36"/>
        <v>1</v>
      </c>
      <c r="E153" s="228" t="b">
        <f t="shared" si="36"/>
        <v>1</v>
      </c>
      <c r="F153" s="228" t="b">
        <f t="shared" si="36"/>
        <v>1</v>
      </c>
      <c r="G153" s="228" t="b">
        <f t="shared" si="36"/>
        <v>1</v>
      </c>
      <c r="H153" s="228" t="b">
        <f t="shared" si="36"/>
        <v>1</v>
      </c>
      <c r="I153" s="228" t="b">
        <f t="shared" si="36"/>
        <v>1</v>
      </c>
      <c r="J153" s="228" t="b">
        <f t="shared" si="36"/>
        <v>0</v>
      </c>
      <c r="K153" s="228" t="b">
        <f t="shared" si="36"/>
        <v>1</v>
      </c>
      <c r="L153" s="228" t="b">
        <f t="shared" si="36"/>
        <v>1</v>
      </c>
      <c r="M153" s="228" t="b">
        <f t="shared" si="36"/>
        <v>1</v>
      </c>
      <c r="N153" s="228" t="b">
        <f t="shared" si="36"/>
        <v>1</v>
      </c>
      <c r="O153" s="228" t="b">
        <f t="shared" si="36"/>
        <v>1</v>
      </c>
      <c r="P153" s="228" t="b">
        <f t="shared" si="36"/>
        <v>1</v>
      </c>
      <c r="Q153" s="228" t="b">
        <f t="shared" si="36"/>
        <v>1</v>
      </c>
      <c r="R153" s="228" t="b">
        <f t="shared" si="36"/>
        <v>1</v>
      </c>
      <c r="S153" s="228" t="b">
        <f t="shared" si="36"/>
        <v>1</v>
      </c>
      <c r="T153" s="228" t="b">
        <f t="shared" si="36"/>
        <v>1</v>
      </c>
      <c r="U153" s="228" t="b">
        <f t="shared" si="36"/>
        <v>1</v>
      </c>
      <c r="V153" s="228" t="b">
        <f t="shared" si="36"/>
        <v>1</v>
      </c>
      <c r="W153" s="228" t="b">
        <f t="shared" si="36"/>
        <v>1</v>
      </c>
      <c r="X153" s="228" t="b">
        <f t="shared" si="36"/>
        <v>1</v>
      </c>
      <c r="Y153" s="228" t="b">
        <f t="shared" si="36"/>
        <v>1</v>
      </c>
      <c r="Z153" s="228" t="b">
        <f t="shared" si="36"/>
        <v>1</v>
      </c>
      <c r="AA153" s="150"/>
      <c r="AB153" s="150"/>
    </row>
    <row r="154" spans="1:40" s="229" customFormat="1" ht="9" hidden="1" customHeight="1">
      <c r="A154" s="79" t="e">
        <f t="shared" si="28"/>
        <v>#REF!</v>
      </c>
      <c r="B154" s="167">
        <v>9</v>
      </c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150"/>
      <c r="AB154" s="150"/>
    </row>
    <row r="155" spans="1:40" s="229" customFormat="1" ht="9" hidden="1" customHeight="1">
      <c r="A155" s="79" t="e">
        <f t="shared" si="28"/>
        <v>#REF!</v>
      </c>
      <c r="B155" s="167">
        <v>10</v>
      </c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150"/>
      <c r="AB155" s="150"/>
    </row>
    <row r="156" spans="1:40" s="101" customFormat="1" ht="11.15" customHeight="1">
      <c r="A156" s="79" t="e">
        <f t="shared" si="28"/>
        <v>#REF!</v>
      </c>
      <c r="B156" s="186"/>
      <c r="C156" s="98" t="s">
        <v>97</v>
      </c>
      <c r="D156" s="98"/>
      <c r="E156" s="98" t="s">
        <v>97</v>
      </c>
      <c r="F156" s="98"/>
      <c r="G156" s="98" t="s">
        <v>97</v>
      </c>
      <c r="H156" s="98"/>
      <c r="I156" s="99">
        <f>Y136+1</f>
        <v>81</v>
      </c>
      <c r="J156" s="98"/>
      <c r="K156" s="99">
        <f>I156+1</f>
        <v>82</v>
      </c>
      <c r="L156" s="98"/>
      <c r="M156" s="99">
        <f>K156+1</f>
        <v>83</v>
      </c>
      <c r="N156" s="98"/>
      <c r="O156" s="99">
        <f>M156+1</f>
        <v>84</v>
      </c>
      <c r="P156" s="98"/>
      <c r="Q156" s="99">
        <f>O156+1</f>
        <v>85</v>
      </c>
      <c r="R156" s="98"/>
      <c r="S156" s="99">
        <f>Q156+1</f>
        <v>86</v>
      </c>
      <c r="T156" s="98"/>
      <c r="V156" s="98"/>
      <c r="W156" s="99">
        <f>S156+1</f>
        <v>87</v>
      </c>
      <c r="Y156" s="99">
        <f>W156+1</f>
        <v>88</v>
      </c>
      <c r="Z156" s="106"/>
      <c r="AA156" s="114"/>
      <c r="AB156" s="114"/>
      <c r="AK156" s="98"/>
      <c r="AL156" s="98"/>
      <c r="AM156" s="98"/>
      <c r="AN156" s="98"/>
    </row>
    <row r="157" spans="1:40" s="101" customFormat="1" ht="11.15" customHeight="1">
      <c r="A157" s="79" t="e">
        <f t="shared" si="28"/>
        <v>#REF!</v>
      </c>
      <c r="B157" s="186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23"/>
      <c r="AA157" s="114"/>
      <c r="AB157" s="114"/>
      <c r="AK157" s="98"/>
      <c r="AL157" s="98"/>
      <c r="AM157" s="98"/>
      <c r="AN157" s="98"/>
    </row>
    <row r="158" spans="1:40" s="101" customFormat="1" ht="11.15" customHeight="1">
      <c r="A158" s="79" t="e">
        <f t="shared" si="28"/>
        <v>#REF!</v>
      </c>
      <c r="B158" s="186" t="s">
        <v>229</v>
      </c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23"/>
      <c r="AA158" s="114"/>
      <c r="AB158" s="114"/>
      <c r="AK158" s="98"/>
      <c r="AL158" s="98"/>
      <c r="AM158" s="98"/>
      <c r="AN158" s="98"/>
    </row>
    <row r="159" spans="1:40" s="111" customFormat="1" ht="11.15" customHeight="1">
      <c r="A159" s="79" t="e">
        <f t="shared" si="28"/>
        <v>#REF!</v>
      </c>
      <c r="B159" s="186"/>
      <c r="C159" s="140">
        <f>Y139+1</f>
        <v>85</v>
      </c>
      <c r="D159" s="107">
        <v>431</v>
      </c>
      <c r="E159" s="140">
        <f>C159+1</f>
        <v>86</v>
      </c>
      <c r="F159" s="141">
        <v>318.87099999999998</v>
      </c>
      <c r="G159" s="140">
        <f>E159+1</f>
        <v>87</v>
      </c>
      <c r="H159" s="141">
        <v>261.815</v>
      </c>
      <c r="I159" s="140">
        <f>G159+1</f>
        <v>88</v>
      </c>
      <c r="J159" s="178">
        <v>298.81200000000001</v>
      </c>
      <c r="K159" s="140">
        <f>I159+1</f>
        <v>89</v>
      </c>
      <c r="L159" s="141">
        <v>356</v>
      </c>
      <c r="M159" s="140">
        <f>K159+1</f>
        <v>90</v>
      </c>
      <c r="N159" s="178">
        <v>213.69800000000001</v>
      </c>
      <c r="O159" s="140">
        <f>M159+1</f>
        <v>91</v>
      </c>
      <c r="P159" s="178">
        <v>376.83800000000002</v>
      </c>
      <c r="Q159" s="140">
        <f>O159+1</f>
        <v>92</v>
      </c>
      <c r="R159" s="107">
        <v>365.84899999999999</v>
      </c>
      <c r="S159" s="140">
        <f>Q159+1</f>
        <v>93</v>
      </c>
      <c r="T159" s="107">
        <v>386.38900000000001</v>
      </c>
      <c r="U159" s="116"/>
      <c r="V159" s="107">
        <v>430</v>
      </c>
      <c r="W159" s="140">
        <f>S159+1</f>
        <v>94</v>
      </c>
      <c r="X159" s="107">
        <v>457</v>
      </c>
      <c r="Y159" s="140">
        <f>W159+1</f>
        <v>95</v>
      </c>
      <c r="Z159" s="107">
        <v>229</v>
      </c>
      <c r="AA159" s="164">
        <v>4274.9059999999999</v>
      </c>
      <c r="AB159" s="115">
        <v>12</v>
      </c>
      <c r="AK159" s="99"/>
      <c r="AL159" s="99"/>
      <c r="AM159" s="99"/>
      <c r="AN159" s="99"/>
    </row>
    <row r="160" spans="1:40" s="101" customFormat="1" ht="11.15" customHeight="1">
      <c r="A160" s="79" t="e">
        <f t="shared" si="28"/>
        <v>#REF!</v>
      </c>
      <c r="B160" s="186"/>
      <c r="C160" s="143" t="s">
        <v>63</v>
      </c>
      <c r="D160" s="111"/>
      <c r="E160" s="143" t="s">
        <v>63</v>
      </c>
      <c r="F160" s="111"/>
      <c r="G160" s="143" t="s">
        <v>52</v>
      </c>
      <c r="H160" s="111"/>
      <c r="I160" s="143" t="s">
        <v>52</v>
      </c>
      <c r="J160" s="111"/>
      <c r="K160" s="143" t="s">
        <v>52</v>
      </c>
      <c r="L160" s="111"/>
      <c r="M160" s="143" t="s">
        <v>52</v>
      </c>
      <c r="N160" s="111"/>
      <c r="O160" s="143" t="s">
        <v>52</v>
      </c>
      <c r="P160" s="111"/>
      <c r="Q160" s="143" t="s">
        <v>63</v>
      </c>
      <c r="R160" s="111"/>
      <c r="S160" s="143" t="s">
        <v>63</v>
      </c>
      <c r="T160" s="111"/>
      <c r="U160" s="176" t="s">
        <v>63</v>
      </c>
      <c r="V160" s="111"/>
      <c r="W160" s="143" t="s">
        <v>63</v>
      </c>
      <c r="Y160" s="250" t="s">
        <v>52</v>
      </c>
      <c r="Z160" s="172"/>
      <c r="AA160" s="114"/>
      <c r="AB160" s="114"/>
      <c r="AK160" s="98"/>
      <c r="AL160" s="98"/>
      <c r="AM160" s="98"/>
      <c r="AN160" s="98"/>
    </row>
    <row r="161" spans="1:40" s="101" customFormat="1" ht="11.15" customHeight="1">
      <c r="A161" s="79" t="e">
        <f t="shared" si="28"/>
        <v>#REF!</v>
      </c>
      <c r="B161" s="186"/>
      <c r="C161" s="144" t="s">
        <v>62</v>
      </c>
      <c r="D161" s="98"/>
      <c r="E161" s="144" t="s">
        <v>230</v>
      </c>
      <c r="F161" s="98"/>
      <c r="G161" s="144" t="s">
        <v>231</v>
      </c>
      <c r="H161" s="98"/>
      <c r="I161" s="144" t="s">
        <v>232</v>
      </c>
      <c r="J161" s="98"/>
      <c r="K161" s="144" t="s">
        <v>233</v>
      </c>
      <c r="L161" s="98"/>
      <c r="M161" s="144" t="s">
        <v>234</v>
      </c>
      <c r="N161" s="98"/>
      <c r="O161" s="144" t="s">
        <v>235</v>
      </c>
      <c r="P161" s="98"/>
      <c r="Q161" s="144" t="s">
        <v>236</v>
      </c>
      <c r="R161" s="98"/>
      <c r="S161" s="144" t="s">
        <v>237</v>
      </c>
      <c r="T161" s="98"/>
      <c r="U161" s="114" t="s">
        <v>238</v>
      </c>
      <c r="V161" s="98"/>
      <c r="W161" s="144" t="s">
        <v>240</v>
      </c>
      <c r="Y161" s="144" t="s">
        <v>370</v>
      </c>
      <c r="Z161" s="106"/>
      <c r="AA161" s="114"/>
      <c r="AB161" s="114"/>
      <c r="AK161" s="98"/>
      <c r="AL161" s="98"/>
      <c r="AM161" s="98"/>
      <c r="AN161" s="98"/>
    </row>
    <row r="162" spans="1:40" s="101" customFormat="1" ht="11.15" customHeight="1">
      <c r="A162" s="79" t="e">
        <f t="shared" si="28"/>
        <v>#REF!</v>
      </c>
      <c r="B162" s="186"/>
      <c r="C162" s="143" t="s">
        <v>54</v>
      </c>
      <c r="D162" s="98"/>
      <c r="E162" s="143" t="s">
        <v>51</v>
      </c>
      <c r="F162" s="98"/>
      <c r="G162" s="143" t="s">
        <v>136</v>
      </c>
      <c r="H162" s="98"/>
      <c r="I162" s="143" t="s">
        <v>171</v>
      </c>
      <c r="J162" s="98"/>
      <c r="K162" s="143" t="s">
        <v>171</v>
      </c>
      <c r="L162" s="98"/>
      <c r="M162" s="143" t="s">
        <v>54</v>
      </c>
      <c r="N162" s="98"/>
      <c r="O162" s="143" t="s">
        <v>74</v>
      </c>
      <c r="P162" s="98"/>
      <c r="Q162" s="143" t="s">
        <v>241</v>
      </c>
      <c r="R162" s="98"/>
      <c r="S162" s="143" t="s">
        <v>69</v>
      </c>
      <c r="T162" s="98"/>
      <c r="U162" s="114" t="s">
        <v>369</v>
      </c>
      <c r="V162" s="98"/>
      <c r="W162" s="143" t="s">
        <v>190</v>
      </c>
      <c r="Y162" s="143" t="s">
        <v>369</v>
      </c>
      <c r="Z162" s="106"/>
      <c r="AA162" s="114"/>
      <c r="AB162" s="114"/>
      <c r="AK162" s="98"/>
      <c r="AL162" s="98"/>
      <c r="AM162" s="98"/>
      <c r="AN162" s="98"/>
    </row>
    <row r="163" spans="1:40" s="101" customFormat="1" ht="11.15" customHeight="1">
      <c r="A163" s="79" t="e">
        <f t="shared" si="28"/>
        <v>#REF!</v>
      </c>
      <c r="B163" s="186"/>
      <c r="C163" s="111"/>
      <c r="D163" s="111"/>
      <c r="F163" s="111"/>
      <c r="H163" s="99" t="s">
        <v>193</v>
      </c>
      <c r="J163" s="99" t="s">
        <v>176</v>
      </c>
      <c r="L163" s="111"/>
      <c r="N163" s="111"/>
      <c r="O163" s="98"/>
      <c r="P163" s="111"/>
      <c r="R163" s="111"/>
      <c r="S163" s="98"/>
      <c r="T163" s="99"/>
      <c r="U163" s="98"/>
      <c r="V163" s="99"/>
      <c r="Z163" s="123"/>
      <c r="AA163" s="114"/>
      <c r="AB163" s="114"/>
      <c r="AK163" s="98"/>
      <c r="AL163" s="98"/>
      <c r="AM163" s="98"/>
      <c r="AN163" s="98"/>
    </row>
    <row r="164" spans="1:40" s="101" customFormat="1" ht="11.15" customHeight="1">
      <c r="A164" s="79" t="e">
        <f t="shared" si="28"/>
        <v>#REF!</v>
      </c>
      <c r="B164" s="186"/>
      <c r="D164" s="98"/>
      <c r="E164" s="98"/>
      <c r="F164" s="98"/>
      <c r="G164" s="98"/>
      <c r="H164" s="98"/>
      <c r="J164" s="98"/>
      <c r="L164" s="98"/>
      <c r="M164" s="98"/>
      <c r="N164" s="98"/>
      <c r="O164" s="98"/>
      <c r="P164" s="98"/>
      <c r="R164" s="98"/>
      <c r="S164" s="98"/>
      <c r="T164" s="98"/>
      <c r="U164" s="98"/>
      <c r="V164" s="98"/>
      <c r="W164" s="98"/>
      <c r="X164" s="98"/>
      <c r="Y164" s="98"/>
      <c r="Z164" s="123"/>
      <c r="AA164" s="114"/>
      <c r="AB164" s="114"/>
      <c r="AK164" s="98"/>
      <c r="AL164" s="98"/>
      <c r="AM164" s="98"/>
      <c r="AN164" s="98"/>
    </row>
    <row r="165" spans="1:40" s="238" customFormat="1" ht="11.15" customHeight="1">
      <c r="A165" s="79" t="e">
        <f>#REF!+1</f>
        <v>#REF!</v>
      </c>
      <c r="B165" s="177">
        <v>0</v>
      </c>
      <c r="C165" s="825" t="s">
        <v>142</v>
      </c>
      <c r="D165" s="825"/>
      <c r="E165" s="825"/>
      <c r="F165" s="825"/>
      <c r="G165" s="825"/>
      <c r="H165" s="825"/>
      <c r="I165" s="825"/>
      <c r="J165" s="825"/>
      <c r="K165" s="825"/>
      <c r="L165" s="825"/>
      <c r="M165" s="825"/>
      <c r="N165" s="825"/>
      <c r="O165" s="825"/>
      <c r="P165" s="825"/>
      <c r="Q165" s="825"/>
      <c r="R165" s="825"/>
      <c r="S165" s="825"/>
      <c r="T165" s="825"/>
      <c r="U165" s="825"/>
      <c r="V165" s="825"/>
      <c r="W165" s="825"/>
      <c r="X165" s="825"/>
      <c r="Y165" s="825"/>
      <c r="Z165" s="826"/>
      <c r="AA165" s="150"/>
      <c r="AB165" s="150"/>
      <c r="AK165" s="239"/>
      <c r="AL165" s="239"/>
      <c r="AM165" s="239"/>
      <c r="AN165" s="239"/>
    </row>
    <row r="166" spans="1:40" s="229" customFormat="1" ht="9" hidden="1" customHeight="1">
      <c r="A166" s="79" t="e">
        <f t="shared" si="28"/>
        <v>#REF!</v>
      </c>
      <c r="B166" s="167">
        <v>1</v>
      </c>
      <c r="C166" s="228"/>
      <c r="D166" s="226">
        <v>431</v>
      </c>
      <c r="E166" s="226"/>
      <c r="F166" s="226">
        <v>318.87099999999998</v>
      </c>
      <c r="G166" s="226"/>
      <c r="H166" s="226">
        <v>261.815</v>
      </c>
      <c r="I166" s="226"/>
      <c r="J166" s="226">
        <v>298.81200000000001</v>
      </c>
      <c r="K166" s="226"/>
      <c r="L166" s="226">
        <v>356</v>
      </c>
      <c r="M166" s="226"/>
      <c r="N166" s="226">
        <v>213.69800000000001</v>
      </c>
      <c r="O166" s="226"/>
      <c r="P166" s="226">
        <v>376.83800000000002</v>
      </c>
      <c r="Q166" s="226"/>
      <c r="R166" s="226">
        <v>365.84899999999999</v>
      </c>
      <c r="S166" s="226"/>
      <c r="T166" s="226">
        <v>386.38900000000001</v>
      </c>
      <c r="U166" s="226"/>
      <c r="V166" s="226">
        <v>430</v>
      </c>
      <c r="W166" s="226"/>
      <c r="X166" s="226">
        <v>412.98899999999998</v>
      </c>
      <c r="Y166" s="226"/>
      <c r="Z166" s="226">
        <v>422.64299999999997</v>
      </c>
      <c r="AA166" s="150"/>
      <c r="AB166" s="150"/>
    </row>
    <row r="167" spans="1:40" s="229" customFormat="1" ht="9" hidden="1" customHeight="1">
      <c r="A167" s="79" t="e">
        <f t="shared" si="28"/>
        <v>#REF!</v>
      </c>
      <c r="B167" s="167">
        <v>2</v>
      </c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30"/>
      <c r="S167" s="230"/>
      <c r="T167" s="230"/>
      <c r="U167" s="230"/>
      <c r="V167" s="230"/>
      <c r="W167" s="230"/>
      <c r="X167" s="230"/>
      <c r="Y167" s="230"/>
      <c r="Z167" s="230"/>
      <c r="AA167" s="150"/>
      <c r="AB167" s="150"/>
    </row>
    <row r="168" spans="1:40" s="229" customFormat="1" ht="9" hidden="1" customHeight="1">
      <c r="A168" s="79" t="e">
        <f t="shared" si="28"/>
        <v>#REF!</v>
      </c>
      <c r="B168" s="167">
        <v>3</v>
      </c>
      <c r="C168" s="227" t="s">
        <v>62</v>
      </c>
      <c r="D168" s="227"/>
      <c r="E168" s="227" t="s">
        <v>230</v>
      </c>
      <c r="F168" s="227"/>
      <c r="G168" s="227" t="s">
        <v>231</v>
      </c>
      <c r="H168" s="227"/>
      <c r="I168" s="227" t="s">
        <v>232</v>
      </c>
      <c r="J168" s="227"/>
      <c r="K168" s="227" t="s">
        <v>233</v>
      </c>
      <c r="L168" s="227"/>
      <c r="M168" s="227" t="s">
        <v>234</v>
      </c>
      <c r="N168" s="227"/>
      <c r="O168" s="227" t="s">
        <v>235</v>
      </c>
      <c r="P168" s="227"/>
      <c r="Q168" s="227" t="s">
        <v>236</v>
      </c>
      <c r="R168" s="227"/>
      <c r="S168" s="227" t="s">
        <v>237</v>
      </c>
      <c r="T168" s="227"/>
      <c r="U168" s="227" t="s">
        <v>238</v>
      </c>
      <c r="V168" s="227"/>
      <c r="W168" s="227" t="s">
        <v>239</v>
      </c>
      <c r="X168" s="227"/>
      <c r="Y168" s="227" t="s">
        <v>240</v>
      </c>
      <c r="Z168" s="216"/>
      <c r="AA168" s="150"/>
      <c r="AB168" s="150"/>
    </row>
    <row r="169" spans="1:40" s="229" customFormat="1" ht="9" hidden="1" customHeight="1">
      <c r="A169" s="79" t="e">
        <f t="shared" si="28"/>
        <v>#REF!</v>
      </c>
      <c r="B169" s="167">
        <v>4</v>
      </c>
      <c r="C169" s="227" t="s">
        <v>54</v>
      </c>
      <c r="D169" s="227"/>
      <c r="E169" s="227" t="s">
        <v>51</v>
      </c>
      <c r="F169" s="227"/>
      <c r="G169" s="227" t="s">
        <v>136</v>
      </c>
      <c r="H169" s="227"/>
      <c r="I169" s="227" t="s">
        <v>171</v>
      </c>
      <c r="J169" s="227"/>
      <c r="K169" s="227" t="s">
        <v>171</v>
      </c>
      <c r="L169" s="227"/>
      <c r="M169" s="227" t="s">
        <v>54</v>
      </c>
      <c r="N169" s="227"/>
      <c r="O169" s="227" t="s">
        <v>74</v>
      </c>
      <c r="P169" s="227"/>
      <c r="Q169" s="227" t="s">
        <v>241</v>
      </c>
      <c r="R169" s="227"/>
      <c r="S169" s="227" t="s">
        <v>69</v>
      </c>
      <c r="T169" s="227"/>
      <c r="U169" s="227" t="s">
        <v>190</v>
      </c>
      <c r="V169" s="227"/>
      <c r="W169" s="227" t="s">
        <v>54</v>
      </c>
      <c r="X169" s="227"/>
      <c r="Y169" s="227" t="s">
        <v>218</v>
      </c>
      <c r="Z169" s="216"/>
      <c r="AA169" s="150"/>
      <c r="AB169" s="150"/>
    </row>
    <row r="170" spans="1:40" s="229" customFormat="1" ht="9" hidden="1" customHeight="1">
      <c r="A170" s="79" t="e">
        <f t="shared" si="28"/>
        <v>#REF!</v>
      </c>
      <c r="B170" s="167">
        <v>5</v>
      </c>
      <c r="C170" s="228" t="b">
        <f t="shared" ref="C170:Z170" si="37">C166=C159</f>
        <v>0</v>
      </c>
      <c r="D170" s="228" t="b">
        <f t="shared" si="37"/>
        <v>1</v>
      </c>
      <c r="E170" s="228" t="b">
        <f t="shared" si="37"/>
        <v>0</v>
      </c>
      <c r="F170" s="228" t="b">
        <f t="shared" si="37"/>
        <v>1</v>
      </c>
      <c r="G170" s="228" t="b">
        <f t="shared" si="37"/>
        <v>0</v>
      </c>
      <c r="H170" s="228" t="b">
        <f t="shared" si="37"/>
        <v>1</v>
      </c>
      <c r="I170" s="228" t="b">
        <f t="shared" si="37"/>
        <v>0</v>
      </c>
      <c r="J170" s="228" t="b">
        <f t="shared" si="37"/>
        <v>1</v>
      </c>
      <c r="K170" s="228" t="b">
        <f t="shared" si="37"/>
        <v>0</v>
      </c>
      <c r="L170" s="228" t="b">
        <f t="shared" si="37"/>
        <v>1</v>
      </c>
      <c r="M170" s="228" t="b">
        <f t="shared" si="37"/>
        <v>0</v>
      </c>
      <c r="N170" s="228" t="b">
        <f t="shared" si="37"/>
        <v>1</v>
      </c>
      <c r="O170" s="228" t="b">
        <f t="shared" si="37"/>
        <v>0</v>
      </c>
      <c r="P170" s="228" t="b">
        <f t="shared" si="37"/>
        <v>1</v>
      </c>
      <c r="Q170" s="228" t="b">
        <f t="shared" si="37"/>
        <v>0</v>
      </c>
      <c r="R170" s="228" t="b">
        <f t="shared" si="37"/>
        <v>1</v>
      </c>
      <c r="S170" s="228" t="b">
        <f t="shared" si="37"/>
        <v>0</v>
      </c>
      <c r="T170" s="228" t="b">
        <f t="shared" si="37"/>
        <v>1</v>
      </c>
      <c r="U170" s="228" t="b">
        <f t="shared" si="37"/>
        <v>1</v>
      </c>
      <c r="V170" s="228" t="b">
        <f t="shared" si="37"/>
        <v>1</v>
      </c>
      <c r="W170" s="228" t="b">
        <f t="shared" si="37"/>
        <v>0</v>
      </c>
      <c r="X170" s="228" t="b">
        <f t="shared" si="37"/>
        <v>0</v>
      </c>
      <c r="Y170" s="228" t="b">
        <f t="shared" si="37"/>
        <v>0</v>
      </c>
      <c r="Z170" s="228" t="b">
        <f t="shared" si="37"/>
        <v>0</v>
      </c>
      <c r="AA170" s="150"/>
      <c r="AB170" s="150"/>
    </row>
    <row r="171" spans="1:40" s="229" customFormat="1" ht="9" hidden="1" customHeight="1">
      <c r="A171" s="79" t="e">
        <f t="shared" si="28"/>
        <v>#REF!</v>
      </c>
      <c r="B171" s="167">
        <v>6</v>
      </c>
      <c r="C171" s="228" t="b">
        <f t="shared" ref="C171:Z171" si="38">C167=C160</f>
        <v>0</v>
      </c>
      <c r="D171" s="228" t="b">
        <f t="shared" si="38"/>
        <v>1</v>
      </c>
      <c r="E171" s="228" t="b">
        <f t="shared" si="38"/>
        <v>0</v>
      </c>
      <c r="F171" s="228" t="b">
        <f t="shared" si="38"/>
        <v>1</v>
      </c>
      <c r="G171" s="228" t="b">
        <f t="shared" si="38"/>
        <v>0</v>
      </c>
      <c r="H171" s="228" t="b">
        <f t="shared" si="38"/>
        <v>1</v>
      </c>
      <c r="I171" s="228" t="b">
        <f t="shared" si="38"/>
        <v>0</v>
      </c>
      <c r="J171" s="228" t="b">
        <f t="shared" si="38"/>
        <v>1</v>
      </c>
      <c r="K171" s="228" t="b">
        <f t="shared" si="38"/>
        <v>0</v>
      </c>
      <c r="L171" s="228" t="b">
        <f t="shared" si="38"/>
        <v>1</v>
      </c>
      <c r="M171" s="228" t="b">
        <f t="shared" si="38"/>
        <v>0</v>
      </c>
      <c r="N171" s="228" t="b">
        <f t="shared" si="38"/>
        <v>1</v>
      </c>
      <c r="O171" s="228" t="b">
        <f t="shared" si="38"/>
        <v>0</v>
      </c>
      <c r="P171" s="228" t="b">
        <f t="shared" si="38"/>
        <v>1</v>
      </c>
      <c r="Q171" s="228" t="b">
        <f t="shared" si="38"/>
        <v>0</v>
      </c>
      <c r="R171" s="228" t="b">
        <f t="shared" si="38"/>
        <v>1</v>
      </c>
      <c r="S171" s="228" t="b">
        <f t="shared" si="38"/>
        <v>0</v>
      </c>
      <c r="T171" s="228" t="b">
        <f t="shared" si="38"/>
        <v>1</v>
      </c>
      <c r="U171" s="228" t="b">
        <f t="shared" si="38"/>
        <v>0</v>
      </c>
      <c r="V171" s="228" t="b">
        <f t="shared" si="38"/>
        <v>1</v>
      </c>
      <c r="W171" s="228" t="b">
        <f t="shared" si="38"/>
        <v>0</v>
      </c>
      <c r="X171" s="228" t="b">
        <f t="shared" si="38"/>
        <v>1</v>
      </c>
      <c r="Y171" s="228" t="b">
        <f t="shared" si="38"/>
        <v>0</v>
      </c>
      <c r="Z171" s="228" t="b">
        <f t="shared" si="38"/>
        <v>1</v>
      </c>
      <c r="AA171" s="150"/>
      <c r="AB171" s="150"/>
    </row>
    <row r="172" spans="1:40" s="229" customFormat="1" ht="9" hidden="1" customHeight="1">
      <c r="A172" s="79" t="e">
        <f t="shared" si="28"/>
        <v>#REF!</v>
      </c>
      <c r="B172" s="167">
        <v>7</v>
      </c>
      <c r="C172" s="228" t="b">
        <f t="shared" ref="C172:Z172" si="39">C168=C161</f>
        <v>1</v>
      </c>
      <c r="D172" s="228" t="b">
        <f t="shared" si="39"/>
        <v>1</v>
      </c>
      <c r="E172" s="228" t="b">
        <f t="shared" si="39"/>
        <v>1</v>
      </c>
      <c r="F172" s="228" t="b">
        <f t="shared" si="39"/>
        <v>1</v>
      </c>
      <c r="G172" s="228" t="b">
        <f t="shared" si="39"/>
        <v>1</v>
      </c>
      <c r="H172" s="228" t="b">
        <f t="shared" si="39"/>
        <v>1</v>
      </c>
      <c r="I172" s="228" t="b">
        <f t="shared" si="39"/>
        <v>1</v>
      </c>
      <c r="J172" s="228" t="b">
        <f t="shared" si="39"/>
        <v>1</v>
      </c>
      <c r="K172" s="228" t="b">
        <f t="shared" si="39"/>
        <v>1</v>
      </c>
      <c r="L172" s="228" t="b">
        <f t="shared" si="39"/>
        <v>1</v>
      </c>
      <c r="M172" s="228" t="b">
        <f t="shared" si="39"/>
        <v>1</v>
      </c>
      <c r="N172" s="228" t="b">
        <f t="shared" si="39"/>
        <v>1</v>
      </c>
      <c r="O172" s="228" t="b">
        <f t="shared" si="39"/>
        <v>1</v>
      </c>
      <c r="P172" s="228" t="b">
        <f t="shared" si="39"/>
        <v>1</v>
      </c>
      <c r="Q172" s="228" t="b">
        <f t="shared" si="39"/>
        <v>1</v>
      </c>
      <c r="R172" s="228" t="b">
        <f t="shared" si="39"/>
        <v>1</v>
      </c>
      <c r="S172" s="228" t="b">
        <f t="shared" si="39"/>
        <v>1</v>
      </c>
      <c r="T172" s="228" t="b">
        <f t="shared" si="39"/>
        <v>1</v>
      </c>
      <c r="U172" s="228" t="b">
        <f t="shared" si="39"/>
        <v>1</v>
      </c>
      <c r="V172" s="228" t="b">
        <f t="shared" si="39"/>
        <v>1</v>
      </c>
      <c r="W172" s="228" t="b">
        <f t="shared" si="39"/>
        <v>0</v>
      </c>
      <c r="X172" s="228" t="b">
        <f t="shared" si="39"/>
        <v>1</v>
      </c>
      <c r="Y172" s="228" t="b">
        <f t="shared" si="39"/>
        <v>0</v>
      </c>
      <c r="Z172" s="228" t="b">
        <f t="shared" si="39"/>
        <v>1</v>
      </c>
      <c r="AA172" s="150"/>
      <c r="AB172" s="150"/>
    </row>
    <row r="173" spans="1:40" s="229" customFormat="1" ht="9" hidden="1" customHeight="1">
      <c r="A173" s="79" t="e">
        <f t="shared" si="28"/>
        <v>#REF!</v>
      </c>
      <c r="B173" s="167">
        <v>8</v>
      </c>
      <c r="C173" s="228" t="b">
        <f t="shared" ref="C173:Z173" si="40">C169=C162</f>
        <v>1</v>
      </c>
      <c r="D173" s="228" t="b">
        <f t="shared" si="40"/>
        <v>1</v>
      </c>
      <c r="E173" s="228" t="b">
        <f t="shared" si="40"/>
        <v>1</v>
      </c>
      <c r="F173" s="228" t="b">
        <f t="shared" si="40"/>
        <v>1</v>
      </c>
      <c r="G173" s="228" t="b">
        <f t="shared" si="40"/>
        <v>1</v>
      </c>
      <c r="H173" s="228" t="b">
        <f t="shared" si="40"/>
        <v>1</v>
      </c>
      <c r="I173" s="228" t="b">
        <f t="shared" si="40"/>
        <v>1</v>
      </c>
      <c r="J173" s="228" t="b">
        <f t="shared" si="40"/>
        <v>1</v>
      </c>
      <c r="K173" s="228" t="b">
        <f t="shared" si="40"/>
        <v>1</v>
      </c>
      <c r="L173" s="228" t="b">
        <f t="shared" si="40"/>
        <v>1</v>
      </c>
      <c r="M173" s="228" t="b">
        <f t="shared" si="40"/>
        <v>1</v>
      </c>
      <c r="N173" s="228" t="b">
        <f t="shared" si="40"/>
        <v>1</v>
      </c>
      <c r="O173" s="228" t="b">
        <f t="shared" si="40"/>
        <v>1</v>
      </c>
      <c r="P173" s="228" t="b">
        <f t="shared" si="40"/>
        <v>1</v>
      </c>
      <c r="Q173" s="228" t="b">
        <f t="shared" si="40"/>
        <v>1</v>
      </c>
      <c r="R173" s="228" t="b">
        <f t="shared" si="40"/>
        <v>1</v>
      </c>
      <c r="S173" s="228" t="b">
        <f t="shared" si="40"/>
        <v>1</v>
      </c>
      <c r="T173" s="228" t="b">
        <f t="shared" si="40"/>
        <v>1</v>
      </c>
      <c r="U173" s="228" t="b">
        <f t="shared" si="40"/>
        <v>0</v>
      </c>
      <c r="V173" s="228" t="b">
        <f t="shared" si="40"/>
        <v>1</v>
      </c>
      <c r="W173" s="228" t="b">
        <f t="shared" si="40"/>
        <v>0</v>
      </c>
      <c r="X173" s="228" t="b">
        <f t="shared" si="40"/>
        <v>1</v>
      </c>
      <c r="Y173" s="228" t="b">
        <f t="shared" si="40"/>
        <v>0</v>
      </c>
      <c r="Z173" s="228" t="b">
        <f t="shared" si="40"/>
        <v>1</v>
      </c>
      <c r="AA173" s="150"/>
      <c r="AB173" s="150"/>
    </row>
    <row r="174" spans="1:40" s="229" customFormat="1" ht="9" hidden="1" customHeight="1">
      <c r="A174" s="79" t="e">
        <f t="shared" si="28"/>
        <v>#REF!</v>
      </c>
      <c r="B174" s="167">
        <v>9</v>
      </c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150"/>
      <c r="AB174" s="150"/>
    </row>
    <row r="175" spans="1:40" s="229" customFormat="1" ht="9" hidden="1" customHeight="1">
      <c r="A175" s="79" t="e">
        <f t="shared" si="28"/>
        <v>#REF!</v>
      </c>
      <c r="B175" s="167">
        <v>10</v>
      </c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150"/>
      <c r="AB175" s="150"/>
    </row>
    <row r="176" spans="1:40" s="231" customFormat="1" ht="11.15" customHeight="1">
      <c r="A176" s="79" t="e">
        <f t="shared" si="28"/>
        <v>#REF!</v>
      </c>
      <c r="B176" s="155"/>
      <c r="C176" s="138" t="s">
        <v>376</v>
      </c>
      <c r="E176" s="99">
        <f>W156+1+1</f>
        <v>89</v>
      </c>
      <c r="F176" s="156"/>
      <c r="G176" s="99">
        <f>E176+1</f>
        <v>90</v>
      </c>
      <c r="H176" s="156"/>
      <c r="I176" s="99">
        <f>G176+1</f>
        <v>91</v>
      </c>
      <c r="J176" s="156"/>
      <c r="K176" s="99">
        <f>I176+1</f>
        <v>92</v>
      </c>
      <c r="L176" s="156"/>
      <c r="M176" s="99">
        <f>K176+1</f>
        <v>93</v>
      </c>
      <c r="N176" s="156"/>
      <c r="O176" s="99">
        <f>M176+1</f>
        <v>94</v>
      </c>
      <c r="P176" s="156"/>
      <c r="Q176" s="168">
        <f>O176+1</f>
        <v>95</v>
      </c>
      <c r="R176" s="156"/>
      <c r="S176" s="168">
        <f>Q176+1</f>
        <v>96</v>
      </c>
      <c r="T176" s="156"/>
      <c r="U176" s="168">
        <f>S176+1</f>
        <v>97</v>
      </c>
      <c r="V176" s="156"/>
      <c r="W176" s="168">
        <f>U176+1</f>
        <v>98</v>
      </c>
      <c r="X176" s="156"/>
      <c r="Y176" s="168">
        <f>W176+1</f>
        <v>99</v>
      </c>
      <c r="Z176" s="156"/>
      <c r="AA176" s="149"/>
      <c r="AB176" s="149"/>
      <c r="AK176" s="156"/>
      <c r="AL176" s="156"/>
      <c r="AM176" s="156"/>
      <c r="AN176" s="156"/>
    </row>
    <row r="177" spans="1:40" s="101" customFormat="1" ht="11.15" customHeight="1">
      <c r="A177" s="79" t="e">
        <f t="shared" si="28"/>
        <v>#REF!</v>
      </c>
      <c r="B177" s="186"/>
      <c r="C177" s="111"/>
      <c r="D177" s="123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4"/>
      <c r="AB177" s="114"/>
      <c r="AK177" s="98"/>
      <c r="AL177" s="98"/>
      <c r="AM177" s="98"/>
      <c r="AN177" s="98"/>
    </row>
    <row r="178" spans="1:40" s="101" customFormat="1" ht="11.15" customHeight="1">
      <c r="A178" s="79" t="e">
        <f t="shared" ref="A178:A239" si="41">A177+1</f>
        <v>#REF!</v>
      </c>
      <c r="B178" s="186"/>
      <c r="C178" s="111"/>
      <c r="D178" s="123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4"/>
      <c r="AB178" s="114"/>
      <c r="AK178" s="98"/>
      <c r="AL178" s="98"/>
      <c r="AM178" s="98"/>
      <c r="AN178" s="98"/>
    </row>
    <row r="179" spans="1:40" s="101" customFormat="1" ht="11.15" customHeight="1">
      <c r="A179" s="79" t="e">
        <f t="shared" si="41"/>
        <v>#REF!</v>
      </c>
      <c r="B179" s="186"/>
      <c r="C179" s="117"/>
      <c r="D179" s="107">
        <v>422.64299999999997</v>
      </c>
      <c r="E179" s="140">
        <f>Y159+1</f>
        <v>96</v>
      </c>
      <c r="F179" s="107">
        <v>387.06200000000001</v>
      </c>
      <c r="G179" s="140">
        <f>E179+1</f>
        <v>97</v>
      </c>
      <c r="H179" s="107">
        <v>179.20099999999999</v>
      </c>
      <c r="I179" s="140">
        <f>G179+1</f>
        <v>98</v>
      </c>
      <c r="J179" s="107">
        <v>366.60700000000003</v>
      </c>
      <c r="K179" s="140">
        <f>I179+1</f>
        <v>99</v>
      </c>
      <c r="L179" s="107">
        <v>347</v>
      </c>
      <c r="M179" s="140">
        <f>K179+1</f>
        <v>100</v>
      </c>
      <c r="N179" s="107">
        <v>369.041</v>
      </c>
      <c r="O179" s="140">
        <f>M179+1</f>
        <v>101</v>
      </c>
      <c r="P179" s="107">
        <v>458.62599999999998</v>
      </c>
      <c r="Q179" s="140">
        <f>O179+1</f>
        <v>102</v>
      </c>
      <c r="R179" s="107">
        <v>366.65100000000001</v>
      </c>
      <c r="S179" s="140">
        <f>Q179+1</f>
        <v>103</v>
      </c>
      <c r="T179" s="107">
        <v>225.87</v>
      </c>
      <c r="U179" s="140">
        <f>S179+1</f>
        <v>104</v>
      </c>
      <c r="V179" s="107">
        <v>280.03199999999998</v>
      </c>
      <c r="W179" s="140">
        <f>U179+1</f>
        <v>105</v>
      </c>
      <c r="X179" s="107">
        <v>253.999</v>
      </c>
      <c r="Y179" s="140">
        <f>W179+1</f>
        <v>106</v>
      </c>
      <c r="Z179" s="107">
        <v>291.33499999999998</v>
      </c>
      <c r="AA179" s="164">
        <v>3699.3519999999999</v>
      </c>
      <c r="AB179" s="114">
        <v>12</v>
      </c>
      <c r="AK179" s="98"/>
      <c r="AL179" s="98"/>
      <c r="AM179" s="98"/>
      <c r="AN179" s="98"/>
    </row>
    <row r="180" spans="1:40" s="101" customFormat="1" ht="11.15" customHeight="1">
      <c r="A180" s="79" t="e">
        <f t="shared" si="41"/>
        <v>#REF!</v>
      </c>
      <c r="B180" s="186"/>
      <c r="C180" s="117"/>
      <c r="D180" s="172"/>
      <c r="E180" s="143" t="s">
        <v>52</v>
      </c>
      <c r="F180" s="111"/>
      <c r="G180" s="143" t="s">
        <v>52</v>
      </c>
      <c r="H180" s="111"/>
      <c r="I180" s="143" t="s">
        <v>52</v>
      </c>
      <c r="J180" s="111"/>
      <c r="K180" s="143" t="s">
        <v>52</v>
      </c>
      <c r="L180" s="111"/>
      <c r="M180" s="143" t="s">
        <v>52</v>
      </c>
      <c r="N180" s="111"/>
      <c r="O180" s="143" t="s">
        <v>52</v>
      </c>
      <c r="P180" s="111"/>
      <c r="Q180" s="143" t="s">
        <v>52</v>
      </c>
      <c r="R180" s="111"/>
      <c r="S180" s="143" t="s">
        <v>325</v>
      </c>
      <c r="T180" s="111"/>
      <c r="U180" s="143" t="s">
        <v>52</v>
      </c>
      <c r="V180" s="111"/>
      <c r="W180" s="143" t="s">
        <v>63</v>
      </c>
      <c r="X180" s="111"/>
      <c r="Y180" s="143" t="s">
        <v>52</v>
      </c>
      <c r="AA180" s="114"/>
      <c r="AB180" s="114"/>
      <c r="AK180" s="98"/>
      <c r="AL180" s="98"/>
      <c r="AM180" s="98"/>
      <c r="AN180" s="98"/>
    </row>
    <row r="181" spans="1:40" s="101" customFormat="1" ht="11.15" customHeight="1">
      <c r="A181" s="79" t="e">
        <f t="shared" si="41"/>
        <v>#REF!</v>
      </c>
      <c r="B181" s="186"/>
      <c r="C181" s="114" t="s">
        <v>371</v>
      </c>
      <c r="D181" s="106"/>
      <c r="E181" s="144" t="s">
        <v>242</v>
      </c>
      <c r="F181" s="98"/>
      <c r="G181" s="144" t="s">
        <v>243</v>
      </c>
      <c r="H181" s="98"/>
      <c r="I181" s="144" t="s">
        <v>244</v>
      </c>
      <c r="J181" s="98"/>
      <c r="K181" s="144" t="s">
        <v>245</v>
      </c>
      <c r="L181" s="98"/>
      <c r="M181" s="144" t="s">
        <v>246</v>
      </c>
      <c r="N181" s="98"/>
      <c r="O181" s="144" t="s">
        <v>247</v>
      </c>
      <c r="P181" s="98"/>
      <c r="Q181" s="144" t="s">
        <v>248</v>
      </c>
      <c r="R181" s="98"/>
      <c r="S181" s="144" t="s">
        <v>249</v>
      </c>
      <c r="T181" s="98"/>
      <c r="U181" s="144" t="s">
        <v>250</v>
      </c>
      <c r="V181" s="98"/>
      <c r="W181" s="144" t="s">
        <v>251</v>
      </c>
      <c r="X181" s="98"/>
      <c r="Y181" s="144" t="s">
        <v>64</v>
      </c>
      <c r="AA181" s="114"/>
      <c r="AB181" s="114"/>
      <c r="AK181" s="98"/>
      <c r="AL181" s="98"/>
      <c r="AM181" s="98"/>
      <c r="AN181" s="98"/>
    </row>
    <row r="182" spans="1:40" s="101" customFormat="1" ht="11.15" customHeight="1">
      <c r="A182" s="79" t="e">
        <f t="shared" si="41"/>
        <v>#REF!</v>
      </c>
      <c r="B182" s="186"/>
      <c r="C182" s="114" t="s">
        <v>54</v>
      </c>
      <c r="D182" s="106"/>
      <c r="E182" s="143" t="s">
        <v>136</v>
      </c>
      <c r="F182" s="98"/>
      <c r="G182" s="143" t="s">
        <v>72</v>
      </c>
      <c r="H182" s="98"/>
      <c r="I182" s="143" t="s">
        <v>253</v>
      </c>
      <c r="J182" s="98"/>
      <c r="K182" s="143" t="s">
        <v>67</v>
      </c>
      <c r="L182" s="98"/>
      <c r="M182" s="143" t="s">
        <v>51</v>
      </c>
      <c r="N182" s="98"/>
      <c r="O182" s="143" t="s">
        <v>219</v>
      </c>
      <c r="P182" s="98"/>
      <c r="Q182" s="143" t="s">
        <v>153</v>
      </c>
      <c r="R182" s="98"/>
      <c r="S182" s="143" t="s">
        <v>72</v>
      </c>
      <c r="T182" s="98"/>
      <c r="U182" s="143" t="s">
        <v>206</v>
      </c>
      <c r="V182" s="98"/>
      <c r="W182" s="143" t="s">
        <v>207</v>
      </c>
      <c r="X182" s="98"/>
      <c r="Y182" s="143" t="s">
        <v>65</v>
      </c>
      <c r="AA182" s="114"/>
      <c r="AB182" s="114"/>
      <c r="AK182" s="98"/>
      <c r="AL182" s="98"/>
      <c r="AM182" s="98"/>
      <c r="AN182" s="98"/>
    </row>
    <row r="183" spans="1:40" s="101" customFormat="1" ht="11.15" customHeight="1">
      <c r="A183" s="79" t="e">
        <f t="shared" si="41"/>
        <v>#REF!</v>
      </c>
      <c r="B183" s="186"/>
      <c r="C183" s="184">
        <v>3</v>
      </c>
      <c r="E183" s="111"/>
      <c r="F183" s="111"/>
      <c r="G183" s="111"/>
      <c r="H183" s="111"/>
      <c r="I183" s="98"/>
      <c r="J183" s="111"/>
      <c r="L183" s="111"/>
      <c r="N183" s="111"/>
      <c r="P183" s="111"/>
      <c r="R183" s="111"/>
      <c r="S183" s="98"/>
      <c r="T183" s="111"/>
      <c r="U183" s="99"/>
      <c r="V183" s="99"/>
      <c r="W183" s="99"/>
      <c r="X183" s="99"/>
      <c r="AA183" s="114"/>
      <c r="AB183" s="114"/>
      <c r="AK183" s="98"/>
      <c r="AL183" s="98"/>
      <c r="AM183" s="98"/>
      <c r="AN183" s="98"/>
    </row>
    <row r="184" spans="1:40" s="238" customFormat="1" ht="11.15" customHeight="1">
      <c r="A184" s="79" t="e">
        <f>#REF!+1</f>
        <v>#REF!</v>
      </c>
      <c r="B184" s="177">
        <v>0</v>
      </c>
      <c r="C184" s="825" t="s">
        <v>142</v>
      </c>
      <c r="D184" s="825"/>
      <c r="E184" s="825"/>
      <c r="F184" s="825"/>
      <c r="G184" s="825"/>
      <c r="H184" s="825"/>
      <c r="I184" s="825"/>
      <c r="J184" s="825"/>
      <c r="K184" s="825"/>
      <c r="L184" s="825"/>
      <c r="M184" s="825"/>
      <c r="N184" s="825"/>
      <c r="O184" s="825"/>
      <c r="P184" s="825"/>
      <c r="Q184" s="825"/>
      <c r="R184" s="825"/>
      <c r="S184" s="825"/>
      <c r="T184" s="825"/>
      <c r="U184" s="825"/>
      <c r="V184" s="825"/>
      <c r="W184" s="825"/>
      <c r="X184" s="825"/>
      <c r="Y184" s="825"/>
      <c r="Z184" s="826"/>
      <c r="AA184" s="150"/>
      <c r="AB184" s="150"/>
      <c r="AK184" s="239"/>
      <c r="AL184" s="239"/>
      <c r="AM184" s="239"/>
      <c r="AN184" s="239"/>
    </row>
    <row r="185" spans="1:40" s="229" customFormat="1" ht="9" hidden="1" customHeight="1">
      <c r="A185" s="79" t="e">
        <f t="shared" si="41"/>
        <v>#REF!</v>
      </c>
      <c r="B185" s="85">
        <v>1</v>
      </c>
      <c r="C185" s="232"/>
      <c r="D185" s="27">
        <v>387.06200000000001</v>
      </c>
      <c r="E185" s="27"/>
      <c r="F185" s="27">
        <v>179.20099999999999</v>
      </c>
      <c r="G185" s="27"/>
      <c r="H185" s="27">
        <v>366.60700000000003</v>
      </c>
      <c r="I185" s="27"/>
      <c r="J185" s="27">
        <v>347</v>
      </c>
      <c r="K185" s="27"/>
      <c r="L185" s="27">
        <v>369.041</v>
      </c>
      <c r="M185" s="27"/>
      <c r="N185" s="27">
        <v>458.62599999999998</v>
      </c>
      <c r="O185" s="27"/>
      <c r="P185" s="27">
        <v>366.65100000000001</v>
      </c>
      <c r="Q185" s="27"/>
      <c r="R185" s="27">
        <v>225.87</v>
      </c>
      <c r="S185" s="27"/>
      <c r="T185" s="27">
        <v>280.03199999999998</v>
      </c>
      <c r="U185" s="27"/>
      <c r="V185" s="27">
        <v>253.999</v>
      </c>
      <c r="W185" s="27"/>
      <c r="X185" s="27">
        <v>291.33499999999998</v>
      </c>
      <c r="Y185" s="27"/>
      <c r="Z185" s="27">
        <v>173.928</v>
      </c>
      <c r="AA185" s="83"/>
      <c r="AB185" s="83"/>
    </row>
    <row r="186" spans="1:40" s="229" customFormat="1" ht="9" hidden="1" customHeight="1">
      <c r="A186" s="79" t="e">
        <f t="shared" si="41"/>
        <v>#REF!</v>
      </c>
      <c r="B186" s="85">
        <v>2</v>
      </c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3"/>
      <c r="S186" s="233"/>
      <c r="T186" s="233"/>
      <c r="U186" s="233"/>
      <c r="V186" s="233"/>
      <c r="W186" s="233"/>
      <c r="X186" s="233"/>
      <c r="Y186" s="233"/>
      <c r="Z186" s="233"/>
      <c r="AA186" s="83"/>
      <c r="AB186" s="83"/>
    </row>
    <row r="187" spans="1:40" s="229" customFormat="1" ht="9" hidden="1" customHeight="1">
      <c r="A187" s="79" t="e">
        <f t="shared" si="41"/>
        <v>#REF!</v>
      </c>
      <c r="B187" s="85">
        <v>3</v>
      </c>
      <c r="C187" s="26" t="s">
        <v>242</v>
      </c>
      <c r="D187" s="26"/>
      <c r="E187" s="26" t="s">
        <v>243</v>
      </c>
      <c r="F187" s="26"/>
      <c r="G187" s="26" t="s">
        <v>244</v>
      </c>
      <c r="H187" s="26"/>
      <c r="I187" s="26" t="s">
        <v>245</v>
      </c>
      <c r="J187" s="26"/>
      <c r="K187" s="26" t="s">
        <v>246</v>
      </c>
      <c r="L187" s="26"/>
      <c r="M187" s="26" t="s">
        <v>247</v>
      </c>
      <c r="N187" s="26"/>
      <c r="O187" s="26" t="s">
        <v>248</v>
      </c>
      <c r="P187" s="26"/>
      <c r="Q187" s="26" t="s">
        <v>249</v>
      </c>
      <c r="R187" s="26"/>
      <c r="S187" s="26" t="s">
        <v>250</v>
      </c>
      <c r="T187" s="26"/>
      <c r="U187" s="26" t="s">
        <v>251</v>
      </c>
      <c r="V187" s="26"/>
      <c r="W187" s="26" t="s">
        <v>64</v>
      </c>
      <c r="X187" s="26"/>
      <c r="Y187" s="26" t="s">
        <v>252</v>
      </c>
      <c r="Z187" s="24"/>
      <c r="AA187" s="83"/>
      <c r="AB187" s="83"/>
    </row>
    <row r="188" spans="1:40" s="229" customFormat="1" ht="9" hidden="1" customHeight="1">
      <c r="A188" s="79" t="e">
        <f t="shared" si="41"/>
        <v>#REF!</v>
      </c>
      <c r="B188" s="85">
        <v>4</v>
      </c>
      <c r="C188" s="26" t="s">
        <v>136</v>
      </c>
      <c r="D188" s="26"/>
      <c r="E188" s="26" t="s">
        <v>72</v>
      </c>
      <c r="F188" s="26"/>
      <c r="G188" s="26" t="s">
        <v>253</v>
      </c>
      <c r="H188" s="26"/>
      <c r="I188" s="26" t="s">
        <v>67</v>
      </c>
      <c r="J188" s="26"/>
      <c r="K188" s="26" t="s">
        <v>51</v>
      </c>
      <c r="L188" s="26"/>
      <c r="M188" s="26" t="s">
        <v>219</v>
      </c>
      <c r="N188" s="26"/>
      <c r="O188" s="26" t="s">
        <v>153</v>
      </c>
      <c r="P188" s="26"/>
      <c r="Q188" s="26" t="s">
        <v>72</v>
      </c>
      <c r="R188" s="26"/>
      <c r="S188" s="26" t="s">
        <v>206</v>
      </c>
      <c r="T188" s="26"/>
      <c r="U188" s="26" t="s">
        <v>207</v>
      </c>
      <c r="V188" s="26"/>
      <c r="W188" s="26" t="s">
        <v>65</v>
      </c>
      <c r="X188" s="26"/>
      <c r="Y188" s="26" t="s">
        <v>136</v>
      </c>
      <c r="Z188" s="24"/>
      <c r="AA188" s="83"/>
      <c r="AB188" s="83"/>
    </row>
    <row r="189" spans="1:40" s="229" customFormat="1" ht="9" hidden="1" customHeight="1">
      <c r="A189" s="79" t="e">
        <f t="shared" si="41"/>
        <v>#REF!</v>
      </c>
      <c r="B189" s="85">
        <v>5</v>
      </c>
      <c r="C189" s="232" t="b">
        <f t="shared" ref="C189:L192" si="42">C185=E179</f>
        <v>0</v>
      </c>
      <c r="D189" s="232" t="b">
        <f t="shared" si="42"/>
        <v>1</v>
      </c>
      <c r="E189" s="232" t="b">
        <f t="shared" si="42"/>
        <v>0</v>
      </c>
      <c r="F189" s="232" t="b">
        <f t="shared" si="42"/>
        <v>1</v>
      </c>
      <c r="G189" s="232" t="b">
        <f t="shared" si="42"/>
        <v>0</v>
      </c>
      <c r="H189" s="232" t="b">
        <f t="shared" si="42"/>
        <v>1</v>
      </c>
      <c r="I189" s="232" t="b">
        <f t="shared" si="42"/>
        <v>0</v>
      </c>
      <c r="J189" s="232" t="b">
        <f t="shared" si="42"/>
        <v>1</v>
      </c>
      <c r="K189" s="232" t="b">
        <f t="shared" si="42"/>
        <v>0</v>
      </c>
      <c r="L189" s="232" t="b">
        <f t="shared" si="42"/>
        <v>1</v>
      </c>
      <c r="M189" s="232" t="b">
        <f t="shared" ref="M189:V192" si="43">M185=O179</f>
        <v>0</v>
      </c>
      <c r="N189" s="232" t="b">
        <f t="shared" si="43"/>
        <v>1</v>
      </c>
      <c r="O189" s="232" t="b">
        <f t="shared" si="43"/>
        <v>0</v>
      </c>
      <c r="P189" s="232" t="b">
        <f t="shared" si="43"/>
        <v>1</v>
      </c>
      <c r="Q189" s="232" t="b">
        <f t="shared" si="43"/>
        <v>0</v>
      </c>
      <c r="R189" s="232" t="b">
        <f t="shared" si="43"/>
        <v>1</v>
      </c>
      <c r="S189" s="232" t="b">
        <f t="shared" si="43"/>
        <v>0</v>
      </c>
      <c r="T189" s="232" t="b">
        <f t="shared" si="43"/>
        <v>1</v>
      </c>
      <c r="U189" s="232" t="b">
        <f t="shared" si="43"/>
        <v>0</v>
      </c>
      <c r="V189" s="232" t="b">
        <f t="shared" si="43"/>
        <v>1</v>
      </c>
      <c r="W189" s="232" t="b">
        <f t="shared" ref="W189:X192" si="44">W185=Y179</f>
        <v>0</v>
      </c>
      <c r="X189" s="232" t="b">
        <f t="shared" si="44"/>
        <v>1</v>
      </c>
      <c r="Y189" s="232" t="e">
        <f>Y185=#REF!</f>
        <v>#REF!</v>
      </c>
      <c r="Z189" s="232" t="e">
        <f>Z185=#REF!</f>
        <v>#REF!</v>
      </c>
      <c r="AA189" s="83"/>
      <c r="AB189" s="83"/>
    </row>
    <row r="190" spans="1:40" s="229" customFormat="1" ht="9" hidden="1" customHeight="1">
      <c r="A190" s="79" t="e">
        <f t="shared" si="41"/>
        <v>#REF!</v>
      </c>
      <c r="B190" s="85">
        <v>6</v>
      </c>
      <c r="C190" s="232" t="b">
        <f t="shared" si="42"/>
        <v>0</v>
      </c>
      <c r="D190" s="232" t="b">
        <f t="shared" si="42"/>
        <v>1</v>
      </c>
      <c r="E190" s="232" t="b">
        <f t="shared" si="42"/>
        <v>0</v>
      </c>
      <c r="F190" s="232" t="b">
        <f t="shared" si="42"/>
        <v>1</v>
      </c>
      <c r="G190" s="232" t="b">
        <f t="shared" si="42"/>
        <v>0</v>
      </c>
      <c r="H190" s="232" t="b">
        <f t="shared" si="42"/>
        <v>1</v>
      </c>
      <c r="I190" s="232" t="b">
        <f t="shared" si="42"/>
        <v>0</v>
      </c>
      <c r="J190" s="232" t="b">
        <f t="shared" si="42"/>
        <v>1</v>
      </c>
      <c r="K190" s="232" t="b">
        <f t="shared" si="42"/>
        <v>0</v>
      </c>
      <c r="L190" s="232" t="b">
        <f t="shared" si="42"/>
        <v>1</v>
      </c>
      <c r="M190" s="232" t="b">
        <f t="shared" si="43"/>
        <v>0</v>
      </c>
      <c r="N190" s="232" t="b">
        <f t="shared" si="43"/>
        <v>1</v>
      </c>
      <c r="O190" s="232" t="b">
        <f t="shared" si="43"/>
        <v>0</v>
      </c>
      <c r="P190" s="232" t="b">
        <f t="shared" si="43"/>
        <v>1</v>
      </c>
      <c r="Q190" s="232" t="b">
        <f t="shared" si="43"/>
        <v>0</v>
      </c>
      <c r="R190" s="232" t="b">
        <f t="shared" si="43"/>
        <v>1</v>
      </c>
      <c r="S190" s="232" t="b">
        <f t="shared" si="43"/>
        <v>0</v>
      </c>
      <c r="T190" s="232" t="b">
        <f t="shared" si="43"/>
        <v>1</v>
      </c>
      <c r="U190" s="232" t="b">
        <f t="shared" si="43"/>
        <v>0</v>
      </c>
      <c r="V190" s="232" t="b">
        <f t="shared" si="43"/>
        <v>1</v>
      </c>
      <c r="W190" s="232" t="b">
        <f t="shared" si="44"/>
        <v>0</v>
      </c>
      <c r="X190" s="232" t="b">
        <f t="shared" si="44"/>
        <v>1</v>
      </c>
      <c r="Y190" s="232" t="e">
        <f>Y186=#REF!</f>
        <v>#REF!</v>
      </c>
      <c r="Z190" s="232" t="e">
        <f>Z186=#REF!</f>
        <v>#REF!</v>
      </c>
      <c r="AA190" s="83"/>
      <c r="AB190" s="83"/>
    </row>
    <row r="191" spans="1:40" s="229" customFormat="1" ht="9" hidden="1" customHeight="1">
      <c r="A191" s="79" t="e">
        <f t="shared" si="41"/>
        <v>#REF!</v>
      </c>
      <c r="B191" s="85">
        <v>7</v>
      </c>
      <c r="C191" s="232" t="b">
        <f t="shared" si="42"/>
        <v>1</v>
      </c>
      <c r="D191" s="232" t="b">
        <f t="shared" si="42"/>
        <v>1</v>
      </c>
      <c r="E191" s="232" t="b">
        <f t="shared" si="42"/>
        <v>1</v>
      </c>
      <c r="F191" s="232" t="b">
        <f t="shared" si="42"/>
        <v>1</v>
      </c>
      <c r="G191" s="232" t="b">
        <f t="shared" si="42"/>
        <v>1</v>
      </c>
      <c r="H191" s="232" t="b">
        <f t="shared" si="42"/>
        <v>1</v>
      </c>
      <c r="I191" s="232" t="b">
        <f t="shared" si="42"/>
        <v>1</v>
      </c>
      <c r="J191" s="232" t="b">
        <f t="shared" si="42"/>
        <v>1</v>
      </c>
      <c r="K191" s="232" t="b">
        <f t="shared" si="42"/>
        <v>1</v>
      </c>
      <c r="L191" s="232" t="b">
        <f t="shared" si="42"/>
        <v>1</v>
      </c>
      <c r="M191" s="232" t="b">
        <f t="shared" si="43"/>
        <v>1</v>
      </c>
      <c r="N191" s="232" t="b">
        <f t="shared" si="43"/>
        <v>1</v>
      </c>
      <c r="O191" s="232" t="b">
        <f t="shared" si="43"/>
        <v>1</v>
      </c>
      <c r="P191" s="232" t="b">
        <f t="shared" si="43"/>
        <v>1</v>
      </c>
      <c r="Q191" s="232" t="b">
        <f t="shared" si="43"/>
        <v>1</v>
      </c>
      <c r="R191" s="232" t="b">
        <f t="shared" si="43"/>
        <v>1</v>
      </c>
      <c r="S191" s="232" t="b">
        <f t="shared" si="43"/>
        <v>1</v>
      </c>
      <c r="T191" s="232" t="b">
        <f t="shared" si="43"/>
        <v>1</v>
      </c>
      <c r="U191" s="232" t="b">
        <f t="shared" si="43"/>
        <v>1</v>
      </c>
      <c r="V191" s="232" t="b">
        <f t="shared" si="43"/>
        <v>1</v>
      </c>
      <c r="W191" s="232" t="b">
        <f t="shared" si="44"/>
        <v>1</v>
      </c>
      <c r="X191" s="232" t="b">
        <f t="shared" si="44"/>
        <v>1</v>
      </c>
      <c r="Y191" s="232" t="e">
        <f>Y187=#REF!</f>
        <v>#REF!</v>
      </c>
      <c r="Z191" s="232" t="e">
        <f>Z187=#REF!</f>
        <v>#REF!</v>
      </c>
      <c r="AA191" s="83"/>
      <c r="AB191" s="83"/>
    </row>
    <row r="192" spans="1:40" s="229" customFormat="1" ht="9" hidden="1" customHeight="1">
      <c r="A192" s="79" t="e">
        <f t="shared" si="41"/>
        <v>#REF!</v>
      </c>
      <c r="B192" s="85">
        <v>8</v>
      </c>
      <c r="C192" s="232" t="b">
        <f t="shared" si="42"/>
        <v>1</v>
      </c>
      <c r="D192" s="232" t="b">
        <f t="shared" si="42"/>
        <v>1</v>
      </c>
      <c r="E192" s="232" t="b">
        <f t="shared" si="42"/>
        <v>1</v>
      </c>
      <c r="F192" s="232" t="b">
        <f t="shared" si="42"/>
        <v>1</v>
      </c>
      <c r="G192" s="232" t="b">
        <f t="shared" si="42"/>
        <v>1</v>
      </c>
      <c r="H192" s="232" t="b">
        <f t="shared" si="42"/>
        <v>1</v>
      </c>
      <c r="I192" s="232" t="b">
        <f t="shared" si="42"/>
        <v>1</v>
      </c>
      <c r="J192" s="232" t="b">
        <f t="shared" si="42"/>
        <v>1</v>
      </c>
      <c r="K192" s="232" t="b">
        <f t="shared" si="42"/>
        <v>1</v>
      </c>
      <c r="L192" s="232" t="b">
        <f t="shared" si="42"/>
        <v>1</v>
      </c>
      <c r="M192" s="232" t="b">
        <f t="shared" si="43"/>
        <v>1</v>
      </c>
      <c r="N192" s="232" t="b">
        <f t="shared" si="43"/>
        <v>1</v>
      </c>
      <c r="O192" s="232" t="b">
        <f t="shared" si="43"/>
        <v>1</v>
      </c>
      <c r="P192" s="232" t="b">
        <f t="shared" si="43"/>
        <v>1</v>
      </c>
      <c r="Q192" s="232" t="b">
        <f t="shared" si="43"/>
        <v>1</v>
      </c>
      <c r="R192" s="232" t="b">
        <f t="shared" si="43"/>
        <v>1</v>
      </c>
      <c r="S192" s="232" t="b">
        <f t="shared" si="43"/>
        <v>1</v>
      </c>
      <c r="T192" s="232" t="b">
        <f t="shared" si="43"/>
        <v>1</v>
      </c>
      <c r="U192" s="232" t="b">
        <f t="shared" si="43"/>
        <v>1</v>
      </c>
      <c r="V192" s="232" t="b">
        <f t="shared" si="43"/>
        <v>1</v>
      </c>
      <c r="W192" s="232" t="b">
        <f t="shared" si="44"/>
        <v>1</v>
      </c>
      <c r="X192" s="232" t="b">
        <f t="shared" si="44"/>
        <v>1</v>
      </c>
      <c r="Y192" s="232" t="e">
        <f>Y188=#REF!</f>
        <v>#REF!</v>
      </c>
      <c r="Z192" s="232" t="e">
        <f>Z188=#REF!</f>
        <v>#REF!</v>
      </c>
      <c r="AA192" s="83"/>
      <c r="AB192" s="83"/>
    </row>
    <row r="193" spans="1:40" s="229" customFormat="1" ht="9" hidden="1" customHeight="1">
      <c r="A193" s="79" t="e">
        <f t="shared" si="41"/>
        <v>#REF!</v>
      </c>
      <c r="B193" s="85">
        <v>9</v>
      </c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83"/>
      <c r="AB193" s="83"/>
    </row>
    <row r="194" spans="1:40" s="229" customFormat="1" ht="9" hidden="1" customHeight="1">
      <c r="A194" s="79" t="e">
        <f t="shared" si="41"/>
        <v>#REF!</v>
      </c>
      <c r="B194" s="85">
        <v>10</v>
      </c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83"/>
      <c r="AB194" s="83"/>
    </row>
    <row r="195" spans="1:40" s="101" customFormat="1" ht="11.15" customHeight="1">
      <c r="A195" s="79" t="e">
        <f t="shared" si="41"/>
        <v>#REF!</v>
      </c>
      <c r="B195" s="186"/>
      <c r="C195" s="99">
        <f>Y176+1</f>
        <v>100</v>
      </c>
      <c r="E195" s="107">
        <f>C195+1</f>
        <v>101</v>
      </c>
      <c r="F195" s="179"/>
      <c r="G195" s="107">
        <f>E195+1</f>
        <v>102</v>
      </c>
      <c r="H195" s="179"/>
      <c r="I195" s="107">
        <f>G195+1</f>
        <v>103</v>
      </c>
      <c r="J195" s="179"/>
      <c r="K195" s="179"/>
      <c r="L195" s="179"/>
      <c r="M195" s="179"/>
      <c r="N195" s="179"/>
      <c r="O195" s="179"/>
      <c r="P195" s="179"/>
      <c r="Q195" s="179"/>
      <c r="R195" s="179"/>
      <c r="S195" s="107">
        <f>I195+1</f>
        <v>104</v>
      </c>
      <c r="T195" s="179"/>
      <c r="U195" s="107">
        <f>S195+1</f>
        <v>105</v>
      </c>
      <c r="V195" s="179"/>
      <c r="W195" s="107">
        <f>U195+1</f>
        <v>106</v>
      </c>
      <c r="X195" s="179"/>
      <c r="Y195" s="107">
        <f>W195+1</f>
        <v>107</v>
      </c>
      <c r="Z195" s="179"/>
      <c r="AA195" s="114"/>
      <c r="AB195" s="114"/>
      <c r="AK195" s="98"/>
      <c r="AL195" s="98"/>
      <c r="AM195" s="98"/>
      <c r="AN195" s="98"/>
    </row>
    <row r="196" spans="1:40" s="101" customFormat="1" ht="11.15" customHeight="1">
      <c r="A196" s="79" t="e">
        <f t="shared" si="41"/>
        <v>#REF!</v>
      </c>
      <c r="B196" s="186"/>
      <c r="C196" s="111"/>
      <c r="D196" s="123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4"/>
      <c r="AB196" s="115"/>
      <c r="AK196" s="98"/>
      <c r="AL196" s="98"/>
      <c r="AM196" s="98"/>
      <c r="AN196" s="98"/>
    </row>
    <row r="197" spans="1:40" s="101" customFormat="1" ht="11.15" customHeight="1">
      <c r="A197" s="79" t="e">
        <f t="shared" si="41"/>
        <v>#REF!</v>
      </c>
      <c r="B197" s="186"/>
      <c r="C197" s="111"/>
      <c r="D197" s="123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4"/>
      <c r="AB197" s="114"/>
      <c r="AK197" s="98"/>
      <c r="AL197" s="98"/>
      <c r="AM197" s="98"/>
      <c r="AN197" s="98"/>
    </row>
    <row r="198" spans="1:40" s="159" customFormat="1" ht="11.15" customHeight="1">
      <c r="A198" s="79" t="e">
        <f t="shared" si="41"/>
        <v>#REF!</v>
      </c>
      <c r="B198" s="248"/>
      <c r="C198" s="140">
        <f>Y179+1</f>
        <v>107</v>
      </c>
      <c r="D198" s="107">
        <v>173.928</v>
      </c>
      <c r="E198" s="140">
        <f>C198+1</f>
        <v>108</v>
      </c>
      <c r="F198" s="107">
        <v>512.18799999999999</v>
      </c>
      <c r="G198" s="140">
        <f>E198+1</f>
        <v>109</v>
      </c>
      <c r="H198" s="107">
        <v>400</v>
      </c>
      <c r="I198" s="140">
        <f>G198+1</f>
        <v>110</v>
      </c>
      <c r="J198" s="107">
        <v>336.18099999999998</v>
      </c>
      <c r="K198" s="180"/>
      <c r="L198" s="152">
        <v>297.73</v>
      </c>
      <c r="M198" s="140">
        <f>I198+1</f>
        <v>111</v>
      </c>
      <c r="N198" s="107">
        <v>296</v>
      </c>
      <c r="O198" s="116"/>
      <c r="P198" s="107">
        <v>189.685</v>
      </c>
      <c r="Q198" s="140">
        <f>M198+1</f>
        <v>112</v>
      </c>
      <c r="R198" s="107">
        <v>261</v>
      </c>
      <c r="S198" s="140">
        <f>Q198+1</f>
        <v>113</v>
      </c>
      <c r="T198" s="107">
        <v>251.97800000000001</v>
      </c>
      <c r="U198" s="140">
        <f>S198+1</f>
        <v>114</v>
      </c>
      <c r="V198" s="152">
        <v>358</v>
      </c>
      <c r="W198" s="140">
        <f>U198+1</f>
        <v>115</v>
      </c>
      <c r="X198" s="152">
        <v>473.351</v>
      </c>
      <c r="Y198" s="140">
        <f>W198+1</f>
        <v>116</v>
      </c>
      <c r="Z198" s="152">
        <v>306.67599999999999</v>
      </c>
      <c r="AA198" s="142">
        <v>4031.53</v>
      </c>
      <c r="AB198" s="121">
        <v>12</v>
      </c>
      <c r="AK198" s="241"/>
      <c r="AL198" s="241"/>
      <c r="AM198" s="241"/>
      <c r="AN198" s="241"/>
    </row>
    <row r="199" spans="1:40" s="101" customFormat="1" ht="11.15" customHeight="1">
      <c r="A199" s="79" t="e">
        <f t="shared" si="41"/>
        <v>#REF!</v>
      </c>
      <c r="B199" s="186"/>
      <c r="C199" s="143" t="s">
        <v>52</v>
      </c>
      <c r="D199" s="172"/>
      <c r="E199" s="143" t="s">
        <v>52</v>
      </c>
      <c r="F199" s="111"/>
      <c r="G199" s="143" t="s">
        <v>52</v>
      </c>
      <c r="H199" s="111"/>
      <c r="I199" s="143" t="s">
        <v>63</v>
      </c>
      <c r="J199" s="111"/>
      <c r="K199" s="117"/>
      <c r="L199" s="111"/>
      <c r="M199" s="143" t="s">
        <v>52</v>
      </c>
      <c r="N199" s="111"/>
      <c r="O199" s="176" t="s">
        <v>63</v>
      </c>
      <c r="P199" s="111"/>
      <c r="Q199" s="143" t="s">
        <v>63</v>
      </c>
      <c r="R199" s="111"/>
      <c r="S199" s="143" t="s">
        <v>63</v>
      </c>
      <c r="T199" s="111"/>
      <c r="U199" s="143" t="s">
        <v>52</v>
      </c>
      <c r="V199" s="111"/>
      <c r="W199" s="143" t="s">
        <v>63</v>
      </c>
      <c r="X199" s="111"/>
      <c r="Y199" s="143" t="s">
        <v>52</v>
      </c>
      <c r="AA199" s="114"/>
      <c r="AB199" s="114"/>
      <c r="AK199" s="98"/>
      <c r="AL199" s="98"/>
      <c r="AM199" s="98"/>
      <c r="AN199" s="98"/>
    </row>
    <row r="200" spans="1:40" s="101" customFormat="1" ht="11.15" customHeight="1">
      <c r="A200" s="79" t="e">
        <f t="shared" si="41"/>
        <v>#REF!</v>
      </c>
      <c r="B200" s="186"/>
      <c r="C200" s="144" t="s">
        <v>252</v>
      </c>
      <c r="D200" s="106"/>
      <c r="E200" s="144" t="s">
        <v>254</v>
      </c>
      <c r="F200" s="98"/>
      <c r="G200" s="144" t="s">
        <v>255</v>
      </c>
      <c r="H200" s="98"/>
      <c r="I200" s="144" t="s">
        <v>256</v>
      </c>
      <c r="J200" s="98"/>
      <c r="K200" s="114" t="s">
        <v>257</v>
      </c>
      <c r="L200" s="98"/>
      <c r="M200" s="144" t="s">
        <v>258</v>
      </c>
      <c r="N200" s="98"/>
      <c r="O200" s="114" t="s">
        <v>259</v>
      </c>
      <c r="P200" s="98"/>
      <c r="Q200" s="144" t="s">
        <v>260</v>
      </c>
      <c r="R200" s="98"/>
      <c r="S200" s="144" t="s">
        <v>261</v>
      </c>
      <c r="T200" s="98"/>
      <c r="U200" s="144" t="s">
        <v>262</v>
      </c>
      <c r="V200" s="98"/>
      <c r="W200" s="144" t="s">
        <v>263</v>
      </c>
      <c r="X200" s="98"/>
      <c r="Y200" s="144" t="s">
        <v>264</v>
      </c>
      <c r="AA200" s="114"/>
      <c r="AB200" s="114"/>
      <c r="AK200" s="98"/>
      <c r="AL200" s="98"/>
      <c r="AM200" s="98"/>
      <c r="AN200" s="98"/>
    </row>
    <row r="201" spans="1:40" s="101" customFormat="1" ht="11.15" customHeight="1">
      <c r="A201" s="79" t="e">
        <f t="shared" si="41"/>
        <v>#REF!</v>
      </c>
      <c r="B201" s="186"/>
      <c r="C201" s="143" t="s">
        <v>136</v>
      </c>
      <c r="D201" s="107"/>
      <c r="E201" s="143" t="s">
        <v>174</v>
      </c>
      <c r="F201" s="111"/>
      <c r="G201" s="143" t="s">
        <v>152</v>
      </c>
      <c r="H201" s="98"/>
      <c r="I201" s="143" t="s">
        <v>51</v>
      </c>
      <c r="J201" s="98"/>
      <c r="K201" s="114" t="s">
        <v>190</v>
      </c>
      <c r="L201" s="98"/>
      <c r="M201" s="143" t="s">
        <v>190</v>
      </c>
      <c r="N201" s="98"/>
      <c r="O201" s="114" t="s">
        <v>51</v>
      </c>
      <c r="P201" s="98"/>
      <c r="Q201" s="143" t="s">
        <v>206</v>
      </c>
      <c r="R201" s="98"/>
      <c r="S201" s="143" t="s">
        <v>51</v>
      </c>
      <c r="T201" s="98"/>
      <c r="U201" s="143" t="s">
        <v>69</v>
      </c>
      <c r="V201" s="98"/>
      <c r="W201" s="143" t="s">
        <v>59</v>
      </c>
      <c r="X201" s="98"/>
      <c r="Y201" s="143" t="s">
        <v>174</v>
      </c>
      <c r="AA201" s="114"/>
      <c r="AB201" s="114"/>
      <c r="AK201" s="98"/>
      <c r="AL201" s="98"/>
      <c r="AM201" s="98"/>
      <c r="AN201" s="98"/>
    </row>
    <row r="202" spans="1:40" s="101" customFormat="1" ht="11.15" customHeight="1">
      <c r="A202" s="79" t="e">
        <f t="shared" si="41"/>
        <v>#REF!</v>
      </c>
      <c r="B202" s="186"/>
      <c r="D202" s="107" t="s">
        <v>192</v>
      </c>
      <c r="E202" s="111"/>
      <c r="F202" s="99" t="s">
        <v>266</v>
      </c>
      <c r="H202" s="111"/>
      <c r="J202" s="111"/>
      <c r="L202" s="99"/>
      <c r="N202" s="111"/>
      <c r="P202" s="111"/>
      <c r="R202" s="111"/>
      <c r="T202" s="111"/>
      <c r="V202" s="99"/>
      <c r="W202" s="98"/>
      <c r="X202" s="99"/>
      <c r="Z202" s="98" t="s">
        <v>177</v>
      </c>
      <c r="AA202" s="114"/>
      <c r="AB202" s="114"/>
      <c r="AK202" s="98"/>
      <c r="AL202" s="98"/>
      <c r="AM202" s="98"/>
      <c r="AN202" s="98"/>
    </row>
    <row r="203" spans="1:40" s="101" customFormat="1" ht="11.15" customHeight="1">
      <c r="A203" s="79" t="e">
        <f t="shared" si="41"/>
        <v>#REF!</v>
      </c>
      <c r="B203" s="186"/>
      <c r="E203" s="98"/>
      <c r="F203" s="98"/>
      <c r="G203" s="98"/>
      <c r="H203" s="98"/>
      <c r="I203" s="98"/>
      <c r="J203" s="98"/>
      <c r="K203" s="78" t="s">
        <v>97</v>
      </c>
      <c r="L203" s="181" t="s">
        <v>267</v>
      </c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Z203" s="98"/>
      <c r="AA203" s="114"/>
      <c r="AB203" s="114"/>
      <c r="AK203" s="98"/>
      <c r="AL203" s="98"/>
      <c r="AM203" s="98"/>
      <c r="AN203" s="98"/>
    </row>
    <row r="204" spans="1:40" s="101" customFormat="1" ht="11.15" customHeight="1">
      <c r="A204" s="79" t="e">
        <f t="shared" si="41"/>
        <v>#REF!</v>
      </c>
      <c r="B204" s="186"/>
      <c r="E204" s="98"/>
      <c r="F204" s="98"/>
      <c r="G204" s="98"/>
      <c r="H204" s="98"/>
      <c r="I204" s="98"/>
      <c r="J204" s="98"/>
      <c r="K204" s="78">
        <v>2</v>
      </c>
      <c r="L204" s="181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Z204" s="98"/>
      <c r="AA204" s="114"/>
      <c r="AB204" s="114"/>
      <c r="AK204" s="98"/>
      <c r="AL204" s="98"/>
      <c r="AM204" s="98"/>
      <c r="AN204" s="98"/>
    </row>
    <row r="205" spans="1:40" s="238" customFormat="1" ht="11.15" customHeight="1">
      <c r="A205" s="79" t="e">
        <f t="shared" si="41"/>
        <v>#REF!</v>
      </c>
      <c r="B205" s="177">
        <v>0</v>
      </c>
      <c r="C205" s="825" t="s">
        <v>142</v>
      </c>
      <c r="D205" s="825"/>
      <c r="E205" s="825"/>
      <c r="F205" s="825"/>
      <c r="G205" s="825"/>
      <c r="H205" s="825"/>
      <c r="I205" s="825"/>
      <c r="J205" s="825"/>
      <c r="K205" s="825"/>
      <c r="L205" s="825"/>
      <c r="M205" s="825"/>
      <c r="N205" s="825"/>
      <c r="O205" s="825"/>
      <c r="P205" s="825"/>
      <c r="Q205" s="825"/>
      <c r="R205" s="825"/>
      <c r="S205" s="825"/>
      <c r="T205" s="825"/>
      <c r="U205" s="825"/>
      <c r="V205" s="825"/>
      <c r="W205" s="825"/>
      <c r="X205" s="825"/>
      <c r="Y205" s="825"/>
      <c r="Z205" s="826"/>
      <c r="AA205" s="150"/>
      <c r="AB205" s="150"/>
      <c r="AK205" s="239"/>
      <c r="AL205" s="239"/>
      <c r="AM205" s="239"/>
      <c r="AN205" s="239"/>
    </row>
    <row r="206" spans="1:40" s="229" customFormat="1" ht="9" hidden="1" customHeight="1">
      <c r="A206" s="79" t="e">
        <f t="shared" si="41"/>
        <v>#REF!</v>
      </c>
      <c r="B206" s="85">
        <v>1</v>
      </c>
      <c r="C206" s="232"/>
      <c r="D206" s="27">
        <v>512.18799999999999</v>
      </c>
      <c r="E206" s="27"/>
      <c r="F206" s="27">
        <v>400</v>
      </c>
      <c r="G206" s="27"/>
      <c r="H206" s="27">
        <v>336.18099999999998</v>
      </c>
      <c r="I206" s="27"/>
      <c r="J206" s="27">
        <v>297.73</v>
      </c>
      <c r="K206" s="27"/>
      <c r="L206" s="27">
        <v>296</v>
      </c>
      <c r="M206" s="27"/>
      <c r="N206" s="27">
        <v>189.685</v>
      </c>
      <c r="O206" s="27"/>
      <c r="P206" s="27">
        <v>261</v>
      </c>
      <c r="Q206" s="27"/>
      <c r="R206" s="27">
        <v>251.97800000000001</v>
      </c>
      <c r="S206" s="27"/>
      <c r="T206" s="27">
        <v>358</v>
      </c>
      <c r="U206" s="27"/>
      <c r="V206" s="27">
        <v>473.351</v>
      </c>
      <c r="W206" s="27"/>
      <c r="X206" s="27">
        <v>306.67599999999999</v>
      </c>
      <c r="Y206" s="27"/>
      <c r="Z206" s="27">
        <v>348</v>
      </c>
      <c r="AA206" s="83"/>
      <c r="AB206" s="83"/>
    </row>
    <row r="207" spans="1:40" s="229" customFormat="1" ht="9" hidden="1" customHeight="1">
      <c r="A207" s="79" t="e">
        <f t="shared" si="41"/>
        <v>#REF!</v>
      </c>
      <c r="B207" s="85">
        <v>2</v>
      </c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3"/>
      <c r="S207" s="233"/>
      <c r="T207" s="233"/>
      <c r="U207" s="233"/>
      <c r="V207" s="233"/>
      <c r="W207" s="233"/>
      <c r="X207" s="233"/>
      <c r="Y207" s="233"/>
      <c r="Z207" s="233"/>
      <c r="AA207" s="83"/>
      <c r="AB207" s="83"/>
    </row>
    <row r="208" spans="1:40" s="229" customFormat="1" ht="9" hidden="1" customHeight="1">
      <c r="A208" s="79" t="e">
        <f t="shared" si="41"/>
        <v>#REF!</v>
      </c>
      <c r="B208" s="85">
        <v>3</v>
      </c>
      <c r="C208" s="26" t="s">
        <v>254</v>
      </c>
      <c r="D208" s="26"/>
      <c r="E208" s="26" t="s">
        <v>255</v>
      </c>
      <c r="F208" s="26"/>
      <c r="G208" s="26" t="s">
        <v>256</v>
      </c>
      <c r="H208" s="26"/>
      <c r="I208" s="26" t="s">
        <v>257</v>
      </c>
      <c r="J208" s="26"/>
      <c r="K208" s="26" t="s">
        <v>258</v>
      </c>
      <c r="L208" s="26"/>
      <c r="M208" s="26" t="s">
        <v>259</v>
      </c>
      <c r="N208" s="26"/>
      <c r="O208" s="26" t="s">
        <v>260</v>
      </c>
      <c r="P208" s="26"/>
      <c r="Q208" s="26" t="s">
        <v>261</v>
      </c>
      <c r="R208" s="26"/>
      <c r="S208" s="26" t="s">
        <v>262</v>
      </c>
      <c r="T208" s="26"/>
      <c r="U208" s="26" t="s">
        <v>263</v>
      </c>
      <c r="V208" s="26"/>
      <c r="W208" s="26" t="s">
        <v>264</v>
      </c>
      <c r="X208" s="26"/>
      <c r="Y208" s="26" t="s">
        <v>265</v>
      </c>
      <c r="Z208" s="24"/>
      <c r="AA208" s="83"/>
      <c r="AB208" s="83"/>
    </row>
    <row r="209" spans="1:40" s="229" customFormat="1" ht="9" hidden="1" customHeight="1">
      <c r="A209" s="79" t="e">
        <f t="shared" si="41"/>
        <v>#REF!</v>
      </c>
      <c r="B209" s="85">
        <v>4</v>
      </c>
      <c r="C209" s="26" t="s">
        <v>174</v>
      </c>
      <c r="D209" s="26"/>
      <c r="E209" s="26" t="s">
        <v>152</v>
      </c>
      <c r="F209" s="26"/>
      <c r="G209" s="26" t="s">
        <v>51</v>
      </c>
      <c r="H209" s="26"/>
      <c r="I209" s="26" t="s">
        <v>190</v>
      </c>
      <c r="J209" s="26"/>
      <c r="K209" s="26" t="s">
        <v>190</v>
      </c>
      <c r="L209" s="26"/>
      <c r="M209" s="26" t="s">
        <v>51</v>
      </c>
      <c r="N209" s="26"/>
      <c r="O209" s="26" t="s">
        <v>206</v>
      </c>
      <c r="P209" s="26"/>
      <c r="Q209" s="26" t="s">
        <v>51</v>
      </c>
      <c r="R209" s="26"/>
      <c r="S209" s="26" t="s">
        <v>69</v>
      </c>
      <c r="T209" s="26"/>
      <c r="U209" s="26" t="s">
        <v>59</v>
      </c>
      <c r="V209" s="26"/>
      <c r="W209" s="26" t="s">
        <v>174</v>
      </c>
      <c r="X209" s="26"/>
      <c r="Y209" s="26" t="s">
        <v>219</v>
      </c>
      <c r="Z209" s="24"/>
      <c r="AA209" s="83"/>
      <c r="AB209" s="83"/>
    </row>
    <row r="210" spans="1:40" s="229" customFormat="1" ht="9" hidden="1" customHeight="1">
      <c r="A210" s="79" t="e">
        <f t="shared" si="41"/>
        <v>#REF!</v>
      </c>
      <c r="B210" s="85">
        <v>5</v>
      </c>
      <c r="C210" s="232" t="b">
        <f t="shared" ref="C210:L213" si="45">C206=E198</f>
        <v>0</v>
      </c>
      <c r="D210" s="232" t="b">
        <f t="shared" si="45"/>
        <v>1</v>
      </c>
      <c r="E210" s="232" t="b">
        <f t="shared" si="45"/>
        <v>0</v>
      </c>
      <c r="F210" s="232" t="b">
        <f t="shared" si="45"/>
        <v>1</v>
      </c>
      <c r="G210" s="232" t="b">
        <f t="shared" si="45"/>
        <v>0</v>
      </c>
      <c r="H210" s="232" t="b">
        <f t="shared" si="45"/>
        <v>1</v>
      </c>
      <c r="I210" s="232" t="b">
        <f t="shared" si="45"/>
        <v>1</v>
      </c>
      <c r="J210" s="232" t="b">
        <f t="shared" si="45"/>
        <v>1</v>
      </c>
      <c r="K210" s="232" t="b">
        <f t="shared" si="45"/>
        <v>0</v>
      </c>
      <c r="L210" s="232" t="b">
        <f t="shared" si="45"/>
        <v>1</v>
      </c>
      <c r="M210" s="232" t="b">
        <f t="shared" ref="M210:V213" si="46">M206=O198</f>
        <v>1</v>
      </c>
      <c r="N210" s="232" t="b">
        <f t="shared" si="46"/>
        <v>1</v>
      </c>
      <c r="O210" s="232" t="b">
        <f t="shared" si="46"/>
        <v>0</v>
      </c>
      <c r="P210" s="232" t="b">
        <f t="shared" si="46"/>
        <v>1</v>
      </c>
      <c r="Q210" s="232" t="b">
        <f t="shared" si="46"/>
        <v>0</v>
      </c>
      <c r="R210" s="232" t="b">
        <f t="shared" si="46"/>
        <v>1</v>
      </c>
      <c r="S210" s="232" t="b">
        <f t="shared" si="46"/>
        <v>0</v>
      </c>
      <c r="T210" s="232" t="b">
        <f t="shared" si="46"/>
        <v>1</v>
      </c>
      <c r="U210" s="232" t="b">
        <f t="shared" si="46"/>
        <v>0</v>
      </c>
      <c r="V210" s="232" t="b">
        <f t="shared" si="46"/>
        <v>1</v>
      </c>
      <c r="W210" s="232" t="b">
        <f t="shared" ref="W210:X213" si="47">W206=Y198</f>
        <v>0</v>
      </c>
      <c r="X210" s="232" t="b">
        <f t="shared" si="47"/>
        <v>1</v>
      </c>
      <c r="Y210" s="232" t="b">
        <f t="shared" ref="Y210:Z213" si="48">Y206=C219</f>
        <v>0</v>
      </c>
      <c r="Z210" s="232" t="b">
        <f t="shared" si="48"/>
        <v>1</v>
      </c>
      <c r="AA210" s="83"/>
      <c r="AB210" s="83"/>
    </row>
    <row r="211" spans="1:40" s="229" customFormat="1" ht="9" hidden="1" customHeight="1">
      <c r="A211" s="79" t="e">
        <f t="shared" si="41"/>
        <v>#REF!</v>
      </c>
      <c r="B211" s="85">
        <v>6</v>
      </c>
      <c r="C211" s="232" t="b">
        <f t="shared" si="45"/>
        <v>0</v>
      </c>
      <c r="D211" s="232" t="b">
        <f t="shared" si="45"/>
        <v>1</v>
      </c>
      <c r="E211" s="232" t="b">
        <f t="shared" si="45"/>
        <v>0</v>
      </c>
      <c r="F211" s="232" t="b">
        <f t="shared" si="45"/>
        <v>1</v>
      </c>
      <c r="G211" s="232" t="b">
        <f t="shared" si="45"/>
        <v>0</v>
      </c>
      <c r="H211" s="232" t="b">
        <f t="shared" si="45"/>
        <v>1</v>
      </c>
      <c r="I211" s="232" t="b">
        <f t="shared" si="45"/>
        <v>1</v>
      </c>
      <c r="J211" s="232" t="b">
        <f t="shared" si="45"/>
        <v>1</v>
      </c>
      <c r="K211" s="232" t="b">
        <f t="shared" si="45"/>
        <v>0</v>
      </c>
      <c r="L211" s="232" t="b">
        <f t="shared" si="45"/>
        <v>1</v>
      </c>
      <c r="M211" s="232" t="b">
        <f t="shared" si="46"/>
        <v>0</v>
      </c>
      <c r="N211" s="232" t="b">
        <f t="shared" si="46"/>
        <v>1</v>
      </c>
      <c r="O211" s="232" t="b">
        <f t="shared" si="46"/>
        <v>0</v>
      </c>
      <c r="P211" s="232" t="b">
        <f t="shared" si="46"/>
        <v>1</v>
      </c>
      <c r="Q211" s="232" t="b">
        <f t="shared" si="46"/>
        <v>0</v>
      </c>
      <c r="R211" s="232" t="b">
        <f t="shared" si="46"/>
        <v>1</v>
      </c>
      <c r="S211" s="232" t="b">
        <f t="shared" si="46"/>
        <v>0</v>
      </c>
      <c r="T211" s="232" t="b">
        <f t="shared" si="46"/>
        <v>1</v>
      </c>
      <c r="U211" s="232" t="b">
        <f t="shared" si="46"/>
        <v>0</v>
      </c>
      <c r="V211" s="232" t="b">
        <f t="shared" si="46"/>
        <v>1</v>
      </c>
      <c r="W211" s="232" t="b">
        <f t="shared" si="47"/>
        <v>0</v>
      </c>
      <c r="X211" s="232" t="b">
        <f t="shared" si="47"/>
        <v>1</v>
      </c>
      <c r="Y211" s="232" t="b">
        <f t="shared" si="48"/>
        <v>0</v>
      </c>
      <c r="Z211" s="232" t="b">
        <f t="shared" si="48"/>
        <v>1</v>
      </c>
      <c r="AA211" s="83"/>
      <c r="AB211" s="83"/>
    </row>
    <row r="212" spans="1:40" s="229" customFormat="1" ht="9" hidden="1" customHeight="1">
      <c r="A212" s="79" t="e">
        <f t="shared" si="41"/>
        <v>#REF!</v>
      </c>
      <c r="B212" s="85">
        <v>7</v>
      </c>
      <c r="C212" s="232" t="b">
        <f t="shared" si="45"/>
        <v>1</v>
      </c>
      <c r="D212" s="232" t="b">
        <f t="shared" si="45"/>
        <v>1</v>
      </c>
      <c r="E212" s="232" t="b">
        <f t="shared" si="45"/>
        <v>1</v>
      </c>
      <c r="F212" s="232" t="b">
        <f t="shared" si="45"/>
        <v>1</v>
      </c>
      <c r="G212" s="232" t="b">
        <f t="shared" si="45"/>
        <v>1</v>
      </c>
      <c r="H212" s="232" t="b">
        <f t="shared" si="45"/>
        <v>1</v>
      </c>
      <c r="I212" s="232" t="b">
        <f t="shared" si="45"/>
        <v>1</v>
      </c>
      <c r="J212" s="232" t="b">
        <f t="shared" si="45"/>
        <v>1</v>
      </c>
      <c r="K212" s="232" t="b">
        <f t="shared" si="45"/>
        <v>1</v>
      </c>
      <c r="L212" s="232" t="b">
        <f t="shared" si="45"/>
        <v>1</v>
      </c>
      <c r="M212" s="232" t="b">
        <f t="shared" si="46"/>
        <v>1</v>
      </c>
      <c r="N212" s="232" t="b">
        <f t="shared" si="46"/>
        <v>1</v>
      </c>
      <c r="O212" s="232" t="b">
        <f t="shared" si="46"/>
        <v>1</v>
      </c>
      <c r="P212" s="232" t="b">
        <f t="shared" si="46"/>
        <v>1</v>
      </c>
      <c r="Q212" s="232" t="b">
        <f t="shared" si="46"/>
        <v>1</v>
      </c>
      <c r="R212" s="232" t="b">
        <f t="shared" si="46"/>
        <v>1</v>
      </c>
      <c r="S212" s="232" t="b">
        <f t="shared" si="46"/>
        <v>1</v>
      </c>
      <c r="T212" s="232" t="b">
        <f t="shared" si="46"/>
        <v>1</v>
      </c>
      <c r="U212" s="232" t="b">
        <f t="shared" si="46"/>
        <v>1</v>
      </c>
      <c r="V212" s="232" t="b">
        <f t="shared" si="46"/>
        <v>1</v>
      </c>
      <c r="W212" s="232" t="b">
        <f t="shared" si="47"/>
        <v>1</v>
      </c>
      <c r="X212" s="232" t="b">
        <f t="shared" si="47"/>
        <v>1</v>
      </c>
      <c r="Y212" s="232" t="b">
        <f t="shared" si="48"/>
        <v>1</v>
      </c>
      <c r="Z212" s="232" t="b">
        <f t="shared" si="48"/>
        <v>1</v>
      </c>
      <c r="AA212" s="83"/>
      <c r="AB212" s="83"/>
    </row>
    <row r="213" spans="1:40" s="229" customFormat="1" ht="9" hidden="1" customHeight="1">
      <c r="A213" s="79" t="e">
        <f t="shared" si="41"/>
        <v>#REF!</v>
      </c>
      <c r="B213" s="85">
        <v>8</v>
      </c>
      <c r="C213" s="232" t="b">
        <f t="shared" si="45"/>
        <v>1</v>
      </c>
      <c r="D213" s="232" t="b">
        <f t="shared" si="45"/>
        <v>1</v>
      </c>
      <c r="E213" s="232" t="b">
        <f t="shared" si="45"/>
        <v>1</v>
      </c>
      <c r="F213" s="232" t="b">
        <f t="shared" si="45"/>
        <v>1</v>
      </c>
      <c r="G213" s="232" t="b">
        <f t="shared" si="45"/>
        <v>1</v>
      </c>
      <c r="H213" s="232" t="b">
        <f t="shared" si="45"/>
        <v>1</v>
      </c>
      <c r="I213" s="232" t="b">
        <f t="shared" si="45"/>
        <v>1</v>
      </c>
      <c r="J213" s="232" t="b">
        <f t="shared" si="45"/>
        <v>1</v>
      </c>
      <c r="K213" s="232" t="b">
        <f t="shared" si="45"/>
        <v>1</v>
      </c>
      <c r="L213" s="232" t="b">
        <f t="shared" si="45"/>
        <v>1</v>
      </c>
      <c r="M213" s="232" t="b">
        <f t="shared" si="46"/>
        <v>1</v>
      </c>
      <c r="N213" s="232" t="b">
        <f t="shared" si="46"/>
        <v>1</v>
      </c>
      <c r="O213" s="232" t="b">
        <f t="shared" si="46"/>
        <v>1</v>
      </c>
      <c r="P213" s="232" t="b">
        <f t="shared" si="46"/>
        <v>1</v>
      </c>
      <c r="Q213" s="232" t="b">
        <f t="shared" si="46"/>
        <v>1</v>
      </c>
      <c r="R213" s="232" t="b">
        <f t="shared" si="46"/>
        <v>1</v>
      </c>
      <c r="S213" s="232" t="b">
        <f t="shared" si="46"/>
        <v>1</v>
      </c>
      <c r="T213" s="232" t="b">
        <f t="shared" si="46"/>
        <v>1</v>
      </c>
      <c r="U213" s="232" t="b">
        <f t="shared" si="46"/>
        <v>1</v>
      </c>
      <c r="V213" s="232" t="b">
        <f t="shared" si="46"/>
        <v>1</v>
      </c>
      <c r="W213" s="232" t="b">
        <f t="shared" si="47"/>
        <v>1</v>
      </c>
      <c r="X213" s="232" t="b">
        <f t="shared" si="47"/>
        <v>1</v>
      </c>
      <c r="Y213" s="232" t="b">
        <f t="shared" si="48"/>
        <v>1</v>
      </c>
      <c r="Z213" s="232" t="b">
        <f t="shared" si="48"/>
        <v>1</v>
      </c>
      <c r="AA213" s="83"/>
      <c r="AB213" s="83"/>
    </row>
    <row r="214" spans="1:40" s="229" customFormat="1" ht="9" hidden="1" customHeight="1">
      <c r="A214" s="79" t="e">
        <f t="shared" si="41"/>
        <v>#REF!</v>
      </c>
      <c r="B214" s="85">
        <v>9</v>
      </c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83"/>
      <c r="AB214" s="83"/>
    </row>
    <row r="215" spans="1:40" s="229" customFormat="1" ht="9" hidden="1" customHeight="1">
      <c r="A215" s="79" t="e">
        <f t="shared" si="41"/>
        <v>#REF!</v>
      </c>
      <c r="B215" s="85">
        <v>10</v>
      </c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  <c r="AA215" s="83"/>
      <c r="AB215" s="83"/>
    </row>
    <row r="216" spans="1:40" s="101" customFormat="1" ht="11.15" customHeight="1">
      <c r="A216" s="79" t="e">
        <f t="shared" si="41"/>
        <v>#REF!</v>
      </c>
      <c r="B216" s="186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07">
        <f>Y195+1</f>
        <v>108</v>
      </c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14"/>
      <c r="AB216" s="114"/>
      <c r="AK216" s="98"/>
      <c r="AL216" s="98"/>
      <c r="AM216" s="98"/>
      <c r="AN216" s="98"/>
    </row>
    <row r="217" spans="1:40" s="101" customFormat="1" ht="11.15" customHeight="1">
      <c r="A217" s="79" t="e">
        <f t="shared" si="41"/>
        <v>#REF!</v>
      </c>
      <c r="B217" s="186"/>
      <c r="C217" s="111"/>
      <c r="D217" s="123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4"/>
      <c r="AB217" s="114"/>
      <c r="AK217" s="98"/>
      <c r="AL217" s="98"/>
      <c r="AM217" s="98"/>
      <c r="AN217" s="98"/>
    </row>
    <row r="218" spans="1:40" s="101" customFormat="1" ht="11.15" customHeight="1">
      <c r="A218" s="79" t="e">
        <f t="shared" si="41"/>
        <v>#REF!</v>
      </c>
      <c r="B218" s="186"/>
      <c r="C218" s="111"/>
      <c r="D218" s="123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4"/>
      <c r="AB218" s="114"/>
      <c r="AK218" s="98"/>
      <c r="AL218" s="98"/>
      <c r="AM218" s="98"/>
      <c r="AN218" s="98"/>
    </row>
    <row r="219" spans="1:40" s="111" customFormat="1" ht="11.15" customHeight="1">
      <c r="A219" s="79" t="e">
        <f t="shared" si="41"/>
        <v>#REF!</v>
      </c>
      <c r="B219" s="186"/>
      <c r="C219" s="140">
        <f>Y198+1</f>
        <v>117</v>
      </c>
      <c r="D219" s="141">
        <v>348</v>
      </c>
      <c r="E219" s="140">
        <f>C219+1</f>
        <v>118</v>
      </c>
      <c r="F219" s="141">
        <v>323</v>
      </c>
      <c r="G219" s="140">
        <f>E219+1</f>
        <v>119</v>
      </c>
      <c r="H219" s="107">
        <v>357</v>
      </c>
      <c r="I219" s="140">
        <f>G219+1</f>
        <v>120</v>
      </c>
      <c r="J219" s="107">
        <v>337.78100000000001</v>
      </c>
      <c r="K219" s="140">
        <f>I219+1</f>
        <v>121</v>
      </c>
      <c r="L219" s="107">
        <v>213.58799999999999</v>
      </c>
      <c r="M219" s="140">
        <f>K219+1</f>
        <v>122</v>
      </c>
      <c r="N219" s="107">
        <v>406</v>
      </c>
      <c r="O219" s="140">
        <f>M219+1</f>
        <v>123</v>
      </c>
      <c r="P219" s="107">
        <v>416</v>
      </c>
      <c r="Q219" s="140">
        <f>O219+1</f>
        <v>124</v>
      </c>
      <c r="R219" s="107">
        <v>386.69299999999998</v>
      </c>
      <c r="S219" s="140">
        <f>Q219+1</f>
        <v>125</v>
      </c>
      <c r="T219" s="107">
        <v>375.99799999999999</v>
      </c>
      <c r="U219" s="109"/>
      <c r="V219" s="107">
        <v>259</v>
      </c>
      <c r="W219" s="109"/>
      <c r="X219" s="107">
        <v>327</v>
      </c>
      <c r="Y219" s="140">
        <f>S219+1</f>
        <v>126</v>
      </c>
      <c r="Z219" s="107">
        <v>356</v>
      </c>
      <c r="AA219" s="164">
        <v>4228.2479999999996</v>
      </c>
      <c r="AB219" s="115">
        <v>12</v>
      </c>
      <c r="AK219" s="99"/>
      <c r="AL219" s="99"/>
      <c r="AM219" s="99"/>
      <c r="AN219" s="99"/>
    </row>
    <row r="220" spans="1:40" s="101" customFormat="1" ht="11.15" customHeight="1">
      <c r="A220" s="79" t="e">
        <f t="shared" si="41"/>
        <v>#REF!</v>
      </c>
      <c r="B220" s="186"/>
      <c r="C220" s="143" t="s">
        <v>52</v>
      </c>
      <c r="D220" s="172"/>
      <c r="E220" s="143" t="s">
        <v>63</v>
      </c>
      <c r="F220" s="111"/>
      <c r="G220" s="143" t="s">
        <v>52</v>
      </c>
      <c r="H220" s="111"/>
      <c r="I220" s="143" t="s">
        <v>63</v>
      </c>
      <c r="J220" s="111"/>
      <c r="K220" s="143" t="s">
        <v>70</v>
      </c>
      <c r="L220" s="111"/>
      <c r="M220" s="143" t="s">
        <v>70</v>
      </c>
      <c r="N220" s="111"/>
      <c r="O220" s="143" t="s">
        <v>70</v>
      </c>
      <c r="P220" s="111"/>
      <c r="Q220" s="143" t="s">
        <v>52</v>
      </c>
      <c r="R220" s="111"/>
      <c r="S220" s="143" t="s">
        <v>70</v>
      </c>
      <c r="T220" s="111"/>
      <c r="U220" s="117"/>
      <c r="V220" s="111"/>
      <c r="W220" s="117"/>
      <c r="X220" s="111"/>
      <c r="Y220" s="143" t="s">
        <v>70</v>
      </c>
      <c r="AA220" s="114"/>
      <c r="AB220" s="114"/>
      <c r="AK220" s="98"/>
      <c r="AL220" s="98"/>
      <c r="AM220" s="98"/>
      <c r="AN220" s="98"/>
    </row>
    <row r="221" spans="1:40" s="101" customFormat="1" ht="11.15" customHeight="1">
      <c r="A221" s="79" t="e">
        <f t="shared" si="41"/>
        <v>#REF!</v>
      </c>
      <c r="B221" s="186"/>
      <c r="C221" s="144" t="s">
        <v>265</v>
      </c>
      <c r="D221" s="106"/>
      <c r="E221" s="144" t="s">
        <v>268</v>
      </c>
      <c r="F221" s="98"/>
      <c r="G221" s="144" t="s">
        <v>269</v>
      </c>
      <c r="H221" s="98"/>
      <c r="I221" s="144" t="s">
        <v>270</v>
      </c>
      <c r="J221" s="98"/>
      <c r="K221" s="144" t="s">
        <v>271</v>
      </c>
      <c r="L221" s="98"/>
      <c r="M221" s="144" t="s">
        <v>272</v>
      </c>
      <c r="N221" s="98"/>
      <c r="O221" s="144" t="s">
        <v>89</v>
      </c>
      <c r="P221" s="98"/>
      <c r="Q221" s="144" t="s">
        <v>90</v>
      </c>
      <c r="R221" s="98"/>
      <c r="S221" s="144" t="s">
        <v>273</v>
      </c>
      <c r="T221" s="98"/>
      <c r="U221" s="114" t="s">
        <v>82</v>
      </c>
      <c r="V221" s="98"/>
      <c r="W221" s="114" t="s">
        <v>83</v>
      </c>
      <c r="X221" s="98"/>
      <c r="Y221" s="144" t="s">
        <v>84</v>
      </c>
      <c r="AA221" s="114"/>
      <c r="AB221" s="114"/>
      <c r="AK221" s="98"/>
      <c r="AL221" s="98"/>
      <c r="AM221" s="98"/>
      <c r="AN221" s="98"/>
    </row>
    <row r="222" spans="1:40" s="101" customFormat="1" ht="11.15" customHeight="1">
      <c r="A222" s="79" t="e">
        <f t="shared" si="41"/>
        <v>#REF!</v>
      </c>
      <c r="B222" s="186"/>
      <c r="C222" s="143" t="s">
        <v>219</v>
      </c>
      <c r="D222" s="106"/>
      <c r="E222" s="143" t="s">
        <v>54</v>
      </c>
      <c r="F222" s="98"/>
      <c r="G222" s="143" t="s">
        <v>54</v>
      </c>
      <c r="H222" s="98"/>
      <c r="I222" s="143" t="s">
        <v>54</v>
      </c>
      <c r="J222" s="98"/>
      <c r="K222" s="143" t="s">
        <v>275</v>
      </c>
      <c r="L222" s="98"/>
      <c r="M222" s="143" t="s">
        <v>253</v>
      </c>
      <c r="N222" s="98"/>
      <c r="O222" s="143" t="s">
        <v>54</v>
      </c>
      <c r="P222" s="98"/>
      <c r="Q222" s="143" t="s">
        <v>59</v>
      </c>
      <c r="R222" s="98"/>
      <c r="S222" s="143" t="s">
        <v>72</v>
      </c>
      <c r="T222" s="98"/>
      <c r="U222" s="114" t="s">
        <v>54</v>
      </c>
      <c r="V222" s="99" t="s">
        <v>177</v>
      </c>
      <c r="W222" s="114" t="s">
        <v>54</v>
      </c>
      <c r="X222" s="98"/>
      <c r="Y222" s="143" t="s">
        <v>65</v>
      </c>
      <c r="AA222" s="114"/>
      <c r="AB222" s="114"/>
      <c r="AK222" s="98"/>
      <c r="AL222" s="98"/>
      <c r="AM222" s="98"/>
      <c r="AN222" s="98"/>
    </row>
    <row r="223" spans="1:40" s="101" customFormat="1" ht="11.15" customHeight="1">
      <c r="A223" s="79" t="e">
        <f>#REF!+1</f>
        <v>#REF!</v>
      </c>
      <c r="B223" s="186"/>
      <c r="E223" s="98"/>
      <c r="F223" s="98"/>
      <c r="G223" s="98"/>
      <c r="H223" s="98"/>
      <c r="I223" s="98"/>
      <c r="J223" s="111"/>
      <c r="K223" s="98"/>
      <c r="L223" s="98"/>
      <c r="M223" s="98"/>
      <c r="N223" s="98"/>
      <c r="O223" s="98"/>
      <c r="P223" s="111"/>
      <c r="Q223" s="98"/>
      <c r="R223" s="98"/>
      <c r="S223" s="98"/>
      <c r="T223" s="98"/>
      <c r="U223" s="78" t="s">
        <v>97</v>
      </c>
      <c r="V223" s="99"/>
      <c r="W223" s="78" t="s">
        <v>97</v>
      </c>
      <c r="X223" s="98"/>
      <c r="Y223" s="145"/>
      <c r="Z223" s="98"/>
      <c r="AA223" s="114"/>
      <c r="AB223" s="114"/>
      <c r="AK223" s="98"/>
      <c r="AL223" s="98"/>
      <c r="AM223" s="98"/>
      <c r="AN223" s="98"/>
    </row>
    <row r="224" spans="1:40" s="101" customFormat="1" ht="11.15" customHeight="1">
      <c r="A224" s="79" t="e">
        <f t="shared" si="41"/>
        <v>#REF!</v>
      </c>
      <c r="B224" s="186"/>
      <c r="E224" s="98"/>
      <c r="F224" s="98"/>
      <c r="G224" s="98"/>
      <c r="H224" s="98"/>
      <c r="I224" s="98"/>
      <c r="J224" s="111"/>
      <c r="K224" s="98"/>
      <c r="L224" s="98"/>
      <c r="M224" s="98"/>
      <c r="N224" s="98"/>
      <c r="O224" s="98"/>
      <c r="P224" s="111"/>
      <c r="Q224" s="98"/>
      <c r="R224" s="98"/>
      <c r="S224" s="98"/>
      <c r="T224" s="98"/>
      <c r="U224" s="78">
        <v>3</v>
      </c>
      <c r="V224" s="99"/>
      <c r="W224" s="78">
        <f>U224+1</f>
        <v>4</v>
      </c>
      <c r="X224" s="98"/>
      <c r="Y224" s="145"/>
      <c r="Z224" s="98"/>
      <c r="AA224" s="114"/>
      <c r="AB224" s="114"/>
      <c r="AK224" s="98"/>
      <c r="AL224" s="98"/>
      <c r="AM224" s="98"/>
      <c r="AN224" s="98"/>
    </row>
    <row r="225" spans="1:40" s="238" customFormat="1" ht="11.15" customHeight="1">
      <c r="A225" s="79" t="e">
        <f t="shared" si="41"/>
        <v>#REF!</v>
      </c>
      <c r="B225" s="177">
        <v>0</v>
      </c>
      <c r="C225" s="825" t="s">
        <v>142</v>
      </c>
      <c r="D225" s="825"/>
      <c r="E225" s="825"/>
      <c r="F225" s="825"/>
      <c r="G225" s="825"/>
      <c r="H225" s="825"/>
      <c r="I225" s="825"/>
      <c r="J225" s="825"/>
      <c r="K225" s="825"/>
      <c r="L225" s="825"/>
      <c r="M225" s="825"/>
      <c r="N225" s="825"/>
      <c r="O225" s="825"/>
      <c r="P225" s="825"/>
      <c r="Q225" s="825"/>
      <c r="R225" s="825"/>
      <c r="S225" s="825"/>
      <c r="T225" s="825"/>
      <c r="U225" s="825"/>
      <c r="V225" s="825"/>
      <c r="W225" s="825"/>
      <c r="X225" s="825"/>
      <c r="Y225" s="825"/>
      <c r="Z225" s="826"/>
      <c r="AA225" s="150"/>
      <c r="AB225" s="150"/>
      <c r="AK225" s="239"/>
      <c r="AL225" s="239"/>
      <c r="AM225" s="239"/>
      <c r="AN225" s="239"/>
    </row>
    <row r="226" spans="1:40" s="229" customFormat="1" ht="9" hidden="1" customHeight="1">
      <c r="A226" s="79" t="e">
        <f t="shared" si="41"/>
        <v>#REF!</v>
      </c>
      <c r="B226" s="85">
        <v>1</v>
      </c>
      <c r="C226" s="232"/>
      <c r="D226" s="27">
        <v>323</v>
      </c>
      <c r="E226" s="27"/>
      <c r="F226" s="27">
        <v>357</v>
      </c>
      <c r="G226" s="27"/>
      <c r="H226" s="27">
        <v>337.78100000000001</v>
      </c>
      <c r="I226" s="27"/>
      <c r="J226" s="27">
        <v>213.58799999999999</v>
      </c>
      <c r="K226" s="29"/>
      <c r="L226" s="29">
        <v>406</v>
      </c>
      <c r="M226" s="29"/>
      <c r="N226" s="29">
        <v>416</v>
      </c>
      <c r="O226" s="29"/>
      <c r="P226" s="29">
        <v>386.69299999999998</v>
      </c>
      <c r="Q226" s="29"/>
      <c r="R226" s="29">
        <v>375.99799999999999</v>
      </c>
      <c r="S226" s="29"/>
      <c r="T226" s="29">
        <v>259</v>
      </c>
      <c r="U226" s="29"/>
      <c r="V226" s="29">
        <v>327</v>
      </c>
      <c r="W226" s="29"/>
      <c r="X226" s="29">
        <v>356</v>
      </c>
      <c r="Y226" s="29"/>
      <c r="Z226" s="29">
        <v>470.18799999999999</v>
      </c>
      <c r="AA226" s="83"/>
      <c r="AB226" s="83"/>
    </row>
    <row r="227" spans="1:40" s="229" customFormat="1" ht="9" hidden="1" customHeight="1">
      <c r="A227" s="79" t="e">
        <f t="shared" si="41"/>
        <v>#REF!</v>
      </c>
      <c r="B227" s="85">
        <v>2</v>
      </c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3"/>
      <c r="S227" s="233"/>
      <c r="T227" s="233"/>
      <c r="U227" s="233"/>
      <c r="V227" s="233"/>
      <c r="W227" s="233"/>
      <c r="X227" s="233"/>
      <c r="Y227" s="233"/>
      <c r="Z227" s="233"/>
      <c r="AA227" s="83"/>
      <c r="AB227" s="83"/>
    </row>
    <row r="228" spans="1:40" s="229" customFormat="1" ht="9" hidden="1" customHeight="1">
      <c r="A228" s="79" t="e">
        <f t="shared" si="41"/>
        <v>#REF!</v>
      </c>
      <c r="B228" s="85">
        <v>3</v>
      </c>
      <c r="C228" s="28" t="s">
        <v>268</v>
      </c>
      <c r="D228" s="28"/>
      <c r="E228" s="28" t="s">
        <v>269</v>
      </c>
      <c r="F228" s="28"/>
      <c r="G228" s="28" t="s">
        <v>270</v>
      </c>
      <c r="H228" s="28"/>
      <c r="I228" s="28" t="s">
        <v>271</v>
      </c>
      <c r="J228" s="28"/>
      <c r="K228" s="28" t="s">
        <v>272</v>
      </c>
      <c r="L228" s="28"/>
      <c r="M228" s="28" t="s">
        <v>89</v>
      </c>
      <c r="N228" s="28"/>
      <c r="O228" s="28" t="s">
        <v>90</v>
      </c>
      <c r="P228" s="28"/>
      <c r="Q228" s="28" t="s">
        <v>273</v>
      </c>
      <c r="R228" s="28"/>
      <c r="S228" s="28" t="s">
        <v>82</v>
      </c>
      <c r="T228" s="28"/>
      <c r="U228" s="28" t="s">
        <v>83</v>
      </c>
      <c r="V228" s="28"/>
      <c r="W228" s="28" t="s">
        <v>84</v>
      </c>
      <c r="X228" s="28"/>
      <c r="Y228" s="28" t="s">
        <v>274</v>
      </c>
      <c r="Z228" s="24"/>
      <c r="AA228" s="83"/>
      <c r="AB228" s="83"/>
    </row>
    <row r="229" spans="1:40" s="229" customFormat="1" ht="9" hidden="1" customHeight="1">
      <c r="A229" s="79" t="e">
        <f t="shared" si="41"/>
        <v>#REF!</v>
      </c>
      <c r="B229" s="85">
        <v>4</v>
      </c>
      <c r="C229" s="28" t="s">
        <v>51</v>
      </c>
      <c r="D229" s="28"/>
      <c r="E229" s="28" t="s">
        <v>65</v>
      </c>
      <c r="F229" s="28"/>
      <c r="G229" s="28" t="s">
        <v>65</v>
      </c>
      <c r="H229" s="28"/>
      <c r="I229" s="28" t="s">
        <v>275</v>
      </c>
      <c r="J229" s="28"/>
      <c r="K229" s="28" t="s">
        <v>253</v>
      </c>
      <c r="L229" s="28"/>
      <c r="M229" s="28" t="s">
        <v>54</v>
      </c>
      <c r="N229" s="28"/>
      <c r="O229" s="28" t="s">
        <v>59</v>
      </c>
      <c r="P229" s="28"/>
      <c r="Q229" s="28" t="s">
        <v>72</v>
      </c>
      <c r="R229" s="28"/>
      <c r="S229" s="28" t="s">
        <v>54</v>
      </c>
      <c r="T229" s="28"/>
      <c r="U229" s="28" t="s">
        <v>54</v>
      </c>
      <c r="V229" s="28"/>
      <c r="W229" s="28" t="s">
        <v>65</v>
      </c>
      <c r="X229" s="28"/>
      <c r="Y229" s="28" t="s">
        <v>276</v>
      </c>
      <c r="Z229" s="24"/>
      <c r="AA229" s="83"/>
      <c r="AB229" s="83"/>
    </row>
    <row r="230" spans="1:40" s="229" customFormat="1" ht="9" hidden="1" customHeight="1">
      <c r="A230" s="79" t="e">
        <f t="shared" si="41"/>
        <v>#REF!</v>
      </c>
      <c r="B230" s="85">
        <v>5</v>
      </c>
      <c r="C230" s="232" t="b">
        <f t="shared" ref="C230:L233" si="49">C226=E219</f>
        <v>0</v>
      </c>
      <c r="D230" s="232" t="b">
        <f t="shared" si="49"/>
        <v>1</v>
      </c>
      <c r="E230" s="232" t="b">
        <f t="shared" si="49"/>
        <v>0</v>
      </c>
      <c r="F230" s="232" t="b">
        <f t="shared" si="49"/>
        <v>1</v>
      </c>
      <c r="G230" s="232" t="b">
        <f t="shared" si="49"/>
        <v>0</v>
      </c>
      <c r="H230" s="232" t="b">
        <f t="shared" si="49"/>
        <v>1</v>
      </c>
      <c r="I230" s="232" t="b">
        <f t="shared" si="49"/>
        <v>0</v>
      </c>
      <c r="J230" s="232" t="b">
        <f t="shared" si="49"/>
        <v>1</v>
      </c>
      <c r="K230" s="232" t="b">
        <f t="shared" si="49"/>
        <v>0</v>
      </c>
      <c r="L230" s="232" t="b">
        <f t="shared" si="49"/>
        <v>1</v>
      </c>
      <c r="M230" s="232" t="b">
        <f t="shared" ref="M230:V233" si="50">M226=O219</f>
        <v>0</v>
      </c>
      <c r="N230" s="232" t="b">
        <f t="shared" si="50"/>
        <v>1</v>
      </c>
      <c r="O230" s="232" t="b">
        <f t="shared" si="50"/>
        <v>0</v>
      </c>
      <c r="P230" s="232" t="b">
        <f t="shared" si="50"/>
        <v>1</v>
      </c>
      <c r="Q230" s="232" t="b">
        <f t="shared" si="50"/>
        <v>0</v>
      </c>
      <c r="R230" s="232" t="b">
        <f t="shared" si="50"/>
        <v>1</v>
      </c>
      <c r="S230" s="232" t="b">
        <f t="shared" si="50"/>
        <v>1</v>
      </c>
      <c r="T230" s="232" t="b">
        <f t="shared" si="50"/>
        <v>1</v>
      </c>
      <c r="U230" s="232" t="b">
        <f t="shared" si="50"/>
        <v>1</v>
      </c>
      <c r="V230" s="232" t="b">
        <f t="shared" si="50"/>
        <v>1</v>
      </c>
      <c r="W230" s="232" t="b">
        <f t="shared" ref="W230:X233" si="51">W226=Y219</f>
        <v>0</v>
      </c>
      <c r="X230" s="232" t="b">
        <f t="shared" si="51"/>
        <v>1</v>
      </c>
      <c r="Y230" s="232" t="b">
        <f t="shared" ref="Y230:Z233" si="52">Y226=C239</f>
        <v>1</v>
      </c>
      <c r="Z230" s="232" t="b">
        <f t="shared" si="52"/>
        <v>1</v>
      </c>
      <c r="AA230" s="83"/>
      <c r="AB230" s="83"/>
    </row>
    <row r="231" spans="1:40" s="229" customFormat="1" ht="9" hidden="1" customHeight="1">
      <c r="A231" s="79" t="e">
        <f t="shared" si="41"/>
        <v>#REF!</v>
      </c>
      <c r="B231" s="85">
        <v>6</v>
      </c>
      <c r="C231" s="232" t="b">
        <f t="shared" si="49"/>
        <v>0</v>
      </c>
      <c r="D231" s="232" t="b">
        <f t="shared" si="49"/>
        <v>1</v>
      </c>
      <c r="E231" s="232" t="b">
        <f t="shared" si="49"/>
        <v>0</v>
      </c>
      <c r="F231" s="232" t="b">
        <f t="shared" si="49"/>
        <v>1</v>
      </c>
      <c r="G231" s="232" t="b">
        <f t="shared" si="49"/>
        <v>0</v>
      </c>
      <c r="H231" s="232" t="b">
        <f t="shared" si="49"/>
        <v>1</v>
      </c>
      <c r="I231" s="232" t="b">
        <f t="shared" si="49"/>
        <v>0</v>
      </c>
      <c r="J231" s="232" t="b">
        <f t="shared" si="49"/>
        <v>1</v>
      </c>
      <c r="K231" s="232" t="b">
        <f t="shared" si="49"/>
        <v>0</v>
      </c>
      <c r="L231" s="232" t="b">
        <f t="shared" si="49"/>
        <v>1</v>
      </c>
      <c r="M231" s="232" t="b">
        <f t="shared" si="50"/>
        <v>0</v>
      </c>
      <c r="N231" s="232" t="b">
        <f t="shared" si="50"/>
        <v>1</v>
      </c>
      <c r="O231" s="232" t="b">
        <f t="shared" si="50"/>
        <v>0</v>
      </c>
      <c r="P231" s="232" t="b">
        <f t="shared" si="50"/>
        <v>1</v>
      </c>
      <c r="Q231" s="232" t="b">
        <f t="shared" si="50"/>
        <v>0</v>
      </c>
      <c r="R231" s="232" t="b">
        <f t="shared" si="50"/>
        <v>1</v>
      </c>
      <c r="S231" s="232" t="b">
        <f t="shared" si="50"/>
        <v>1</v>
      </c>
      <c r="T231" s="232" t="b">
        <f t="shared" si="50"/>
        <v>1</v>
      </c>
      <c r="U231" s="232" t="b">
        <f t="shared" si="50"/>
        <v>1</v>
      </c>
      <c r="V231" s="232" t="b">
        <f t="shared" si="50"/>
        <v>1</v>
      </c>
      <c r="W231" s="232" t="b">
        <f t="shared" si="51"/>
        <v>0</v>
      </c>
      <c r="X231" s="232" t="b">
        <f t="shared" si="51"/>
        <v>1</v>
      </c>
      <c r="Y231" s="232" t="b">
        <f t="shared" si="52"/>
        <v>1</v>
      </c>
      <c r="Z231" s="232" t="b">
        <f t="shared" si="52"/>
        <v>1</v>
      </c>
      <c r="AA231" s="83"/>
      <c r="AB231" s="83"/>
    </row>
    <row r="232" spans="1:40" s="229" customFormat="1" ht="9" hidden="1" customHeight="1">
      <c r="A232" s="79" t="e">
        <f t="shared" si="41"/>
        <v>#REF!</v>
      </c>
      <c r="B232" s="85">
        <v>7</v>
      </c>
      <c r="C232" s="232" t="b">
        <f t="shared" si="49"/>
        <v>1</v>
      </c>
      <c r="D232" s="232" t="b">
        <f t="shared" si="49"/>
        <v>1</v>
      </c>
      <c r="E232" s="232" t="b">
        <f t="shared" si="49"/>
        <v>1</v>
      </c>
      <c r="F232" s="232" t="b">
        <f t="shared" si="49"/>
        <v>1</v>
      </c>
      <c r="G232" s="232" t="b">
        <f t="shared" si="49"/>
        <v>1</v>
      </c>
      <c r="H232" s="232" t="b">
        <f t="shared" si="49"/>
        <v>1</v>
      </c>
      <c r="I232" s="232" t="b">
        <f t="shared" si="49"/>
        <v>1</v>
      </c>
      <c r="J232" s="232" t="b">
        <f t="shared" si="49"/>
        <v>1</v>
      </c>
      <c r="K232" s="232" t="b">
        <f t="shared" si="49"/>
        <v>1</v>
      </c>
      <c r="L232" s="232" t="b">
        <f t="shared" si="49"/>
        <v>1</v>
      </c>
      <c r="M232" s="232" t="b">
        <f t="shared" si="50"/>
        <v>1</v>
      </c>
      <c r="N232" s="232" t="b">
        <f t="shared" si="50"/>
        <v>1</v>
      </c>
      <c r="O232" s="232" t="b">
        <f t="shared" si="50"/>
        <v>1</v>
      </c>
      <c r="P232" s="232" t="b">
        <f t="shared" si="50"/>
        <v>1</v>
      </c>
      <c r="Q232" s="232" t="b">
        <f t="shared" si="50"/>
        <v>1</v>
      </c>
      <c r="R232" s="232" t="b">
        <f t="shared" si="50"/>
        <v>1</v>
      </c>
      <c r="S232" s="232" t="b">
        <f t="shared" si="50"/>
        <v>1</v>
      </c>
      <c r="T232" s="232" t="b">
        <f t="shared" si="50"/>
        <v>1</v>
      </c>
      <c r="U232" s="232" t="b">
        <f t="shared" si="50"/>
        <v>1</v>
      </c>
      <c r="V232" s="232" t="b">
        <f t="shared" si="50"/>
        <v>1</v>
      </c>
      <c r="W232" s="232" t="b">
        <f t="shared" si="51"/>
        <v>1</v>
      </c>
      <c r="X232" s="232" t="b">
        <f t="shared" si="51"/>
        <v>1</v>
      </c>
      <c r="Y232" s="232" t="b">
        <f t="shared" si="52"/>
        <v>1</v>
      </c>
      <c r="Z232" s="232" t="b">
        <f t="shared" si="52"/>
        <v>1</v>
      </c>
      <c r="AA232" s="83"/>
      <c r="AB232" s="83"/>
    </row>
    <row r="233" spans="1:40" s="229" customFormat="1" ht="9" hidden="1" customHeight="1">
      <c r="A233" s="79" t="e">
        <f t="shared" si="41"/>
        <v>#REF!</v>
      </c>
      <c r="B233" s="85">
        <v>8</v>
      </c>
      <c r="C233" s="232" t="b">
        <f t="shared" si="49"/>
        <v>0</v>
      </c>
      <c r="D233" s="232" t="b">
        <f t="shared" si="49"/>
        <v>1</v>
      </c>
      <c r="E233" s="232" t="b">
        <f t="shared" si="49"/>
        <v>0</v>
      </c>
      <c r="F233" s="232" t="b">
        <f t="shared" si="49"/>
        <v>1</v>
      </c>
      <c r="G233" s="232" t="b">
        <f t="shared" si="49"/>
        <v>0</v>
      </c>
      <c r="H233" s="232" t="b">
        <f t="shared" si="49"/>
        <v>1</v>
      </c>
      <c r="I233" s="232" t="b">
        <f t="shared" si="49"/>
        <v>1</v>
      </c>
      <c r="J233" s="232" t="b">
        <f t="shared" si="49"/>
        <v>1</v>
      </c>
      <c r="K233" s="232" t="b">
        <f t="shared" si="49"/>
        <v>1</v>
      </c>
      <c r="L233" s="232" t="b">
        <f t="shared" si="49"/>
        <v>1</v>
      </c>
      <c r="M233" s="232" t="b">
        <f t="shared" si="50"/>
        <v>1</v>
      </c>
      <c r="N233" s="232" t="b">
        <f t="shared" si="50"/>
        <v>1</v>
      </c>
      <c r="O233" s="232" t="b">
        <f t="shared" si="50"/>
        <v>1</v>
      </c>
      <c r="P233" s="232" t="b">
        <f t="shared" si="50"/>
        <v>1</v>
      </c>
      <c r="Q233" s="232" t="b">
        <f t="shared" si="50"/>
        <v>1</v>
      </c>
      <c r="R233" s="232" t="b">
        <f t="shared" si="50"/>
        <v>1</v>
      </c>
      <c r="S233" s="232" t="b">
        <f t="shared" si="50"/>
        <v>1</v>
      </c>
      <c r="T233" s="232" t="b">
        <f t="shared" si="50"/>
        <v>0</v>
      </c>
      <c r="U233" s="232" t="b">
        <f t="shared" si="50"/>
        <v>1</v>
      </c>
      <c r="V233" s="232" t="b">
        <f t="shared" si="50"/>
        <v>1</v>
      </c>
      <c r="W233" s="232" t="b">
        <f t="shared" si="51"/>
        <v>1</v>
      </c>
      <c r="X233" s="232" t="b">
        <f t="shared" si="51"/>
        <v>1</v>
      </c>
      <c r="Y233" s="232" t="b">
        <f t="shared" si="52"/>
        <v>1</v>
      </c>
      <c r="Z233" s="232" t="b">
        <f t="shared" si="52"/>
        <v>1</v>
      </c>
      <c r="AA233" s="83"/>
      <c r="AB233" s="83"/>
    </row>
    <row r="234" spans="1:40" s="229" customFormat="1" ht="9" hidden="1" customHeight="1">
      <c r="A234" s="79" t="e">
        <f t="shared" si="41"/>
        <v>#REF!</v>
      </c>
      <c r="B234" s="85">
        <v>9</v>
      </c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83"/>
      <c r="AB234" s="83"/>
    </row>
    <row r="235" spans="1:40" s="229" customFormat="1" ht="9" hidden="1" customHeight="1">
      <c r="A235" s="79" t="e">
        <f t="shared" si="41"/>
        <v>#REF!</v>
      </c>
      <c r="B235" s="85">
        <v>10</v>
      </c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83"/>
      <c r="AB235" s="83"/>
    </row>
    <row r="236" spans="1:40" s="101" customFormat="1" ht="11.15" customHeight="1">
      <c r="A236" s="79" t="e">
        <f t="shared" si="41"/>
        <v>#REF!</v>
      </c>
      <c r="B236" s="186"/>
      <c r="E236" s="99">
        <f>O216+1</f>
        <v>109</v>
      </c>
      <c r="F236" s="99"/>
      <c r="G236" s="99">
        <f>E236+1</f>
        <v>110</v>
      </c>
      <c r="H236" s="111"/>
      <c r="J236" s="111"/>
      <c r="L236" s="111"/>
      <c r="N236" s="111"/>
      <c r="P236" s="111"/>
      <c r="Q236" s="99">
        <f>G236+1</f>
        <v>111</v>
      </c>
      <c r="R236" s="111"/>
      <c r="S236" s="99">
        <f>Q236+1</f>
        <v>112</v>
      </c>
      <c r="T236" s="111"/>
      <c r="V236" s="99"/>
      <c r="W236" s="98"/>
      <c r="X236" s="99"/>
      <c r="Y236" s="101" t="s">
        <v>97</v>
      </c>
      <c r="AA236" s="114"/>
      <c r="AB236" s="114"/>
      <c r="AK236" s="98"/>
      <c r="AL236" s="98"/>
      <c r="AM236" s="98"/>
      <c r="AN236" s="98"/>
    </row>
    <row r="237" spans="1:40" s="101" customFormat="1" ht="11.15" customHeight="1">
      <c r="A237" s="79" t="e">
        <f t="shared" si="41"/>
        <v>#REF!</v>
      </c>
      <c r="B237" s="155"/>
      <c r="C237" s="111"/>
      <c r="D237" s="123"/>
      <c r="E237" s="129"/>
      <c r="F237" s="129"/>
      <c r="G237" s="129"/>
      <c r="H237" s="129"/>
      <c r="I237" s="129"/>
      <c r="J237" s="129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4"/>
      <c r="AB237" s="114"/>
      <c r="AK237" s="98"/>
      <c r="AL237" s="98"/>
      <c r="AM237" s="98"/>
      <c r="AN237" s="98"/>
    </row>
    <row r="238" spans="1:40" s="101" customFormat="1" ht="11.15" customHeight="1">
      <c r="A238" s="79" t="e">
        <f t="shared" si="41"/>
        <v>#REF!</v>
      </c>
      <c r="B238" s="155"/>
      <c r="C238" s="111"/>
      <c r="D238" s="123"/>
      <c r="E238" s="129"/>
      <c r="F238" s="129"/>
      <c r="G238" s="129"/>
      <c r="H238" s="129"/>
      <c r="I238" s="129"/>
      <c r="J238" s="129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4"/>
      <c r="AB238" s="114"/>
      <c r="AK238" s="98"/>
      <c r="AL238" s="98"/>
      <c r="AM238" s="98"/>
      <c r="AN238" s="98"/>
    </row>
    <row r="239" spans="1:40" s="101" customFormat="1" ht="11.15" customHeight="1">
      <c r="A239" s="79" t="e">
        <f t="shared" si="41"/>
        <v>#REF!</v>
      </c>
      <c r="B239" s="155"/>
      <c r="C239" s="182"/>
      <c r="D239" s="141">
        <v>470.18799999999999</v>
      </c>
      <c r="E239" s="140">
        <f>Y219+1</f>
        <v>127</v>
      </c>
      <c r="F239" s="141">
        <v>319.46699999999998</v>
      </c>
      <c r="G239" s="140">
        <f>E239+1</f>
        <v>128</v>
      </c>
      <c r="H239" s="141">
        <v>417.39699999999999</v>
      </c>
      <c r="I239" s="109"/>
      <c r="J239" s="107">
        <v>375.63299999999998</v>
      </c>
      <c r="K239" s="109"/>
      <c r="L239" s="152">
        <v>223.90299999999999</v>
      </c>
      <c r="M239" s="109"/>
      <c r="N239" s="107">
        <v>226.09</v>
      </c>
      <c r="O239" s="109"/>
      <c r="P239" s="107">
        <v>221.93</v>
      </c>
      <c r="Q239" s="140">
        <f>G239+1</f>
        <v>129</v>
      </c>
      <c r="R239" s="107">
        <v>259.63900000000001</v>
      </c>
      <c r="S239" s="140">
        <f>Q239+1</f>
        <v>130</v>
      </c>
      <c r="T239" s="107">
        <v>394</v>
      </c>
      <c r="U239" s="175"/>
      <c r="V239" s="107">
        <v>290</v>
      </c>
      <c r="W239" s="140">
        <f>S239+1</f>
        <v>131</v>
      </c>
      <c r="X239" s="107">
        <v>371.161</v>
      </c>
      <c r="Y239" s="140">
        <f>W239+1</f>
        <v>132</v>
      </c>
      <c r="Z239" s="107">
        <v>364</v>
      </c>
      <c r="AA239" s="164">
        <v>3918.721</v>
      </c>
      <c r="AB239" s="114">
        <v>12</v>
      </c>
      <c r="AK239" s="98"/>
      <c r="AL239" s="98"/>
      <c r="AM239" s="98"/>
      <c r="AN239" s="98"/>
    </row>
    <row r="240" spans="1:40" s="101" customFormat="1" ht="11.15" customHeight="1">
      <c r="A240" s="79" t="e">
        <f t="shared" ref="A240:A287" si="53">A239+1</f>
        <v>#REF!</v>
      </c>
      <c r="B240" s="155"/>
      <c r="C240" s="183"/>
      <c r="D240" s="165"/>
      <c r="E240" s="143" t="s">
        <v>70</v>
      </c>
      <c r="F240" s="129"/>
      <c r="G240" s="143" t="s">
        <v>70</v>
      </c>
      <c r="H240" s="129"/>
      <c r="I240" s="117"/>
      <c r="J240" s="111"/>
      <c r="K240" s="117"/>
      <c r="L240" s="111"/>
      <c r="M240" s="117"/>
      <c r="N240" s="111"/>
      <c r="O240" s="117"/>
      <c r="P240" s="111"/>
      <c r="Q240" s="143" t="s">
        <v>75</v>
      </c>
      <c r="R240" s="111"/>
      <c r="S240" s="143" t="s">
        <v>75</v>
      </c>
      <c r="T240" s="111"/>
      <c r="U240" s="176"/>
      <c r="V240" s="111"/>
      <c r="W240" s="143" t="s">
        <v>75</v>
      </c>
      <c r="X240" s="111"/>
      <c r="Y240" s="143" t="s">
        <v>63</v>
      </c>
      <c r="AA240" s="114"/>
      <c r="AB240" s="114"/>
      <c r="AK240" s="98"/>
      <c r="AL240" s="98"/>
      <c r="AM240" s="98"/>
      <c r="AN240" s="98"/>
    </row>
    <row r="241" spans="1:40" s="101" customFormat="1" ht="11.15" customHeight="1">
      <c r="A241" s="79" t="e">
        <f t="shared" si="53"/>
        <v>#REF!</v>
      </c>
      <c r="B241" s="155"/>
      <c r="C241" s="75" t="s">
        <v>274</v>
      </c>
      <c r="D241" s="174"/>
      <c r="E241" s="144" t="s">
        <v>71</v>
      </c>
      <c r="F241" s="145"/>
      <c r="G241" s="144" t="s">
        <v>68</v>
      </c>
      <c r="H241" s="145"/>
      <c r="I241" s="114" t="s">
        <v>277</v>
      </c>
      <c r="J241" s="98"/>
      <c r="K241" s="114" t="s">
        <v>278</v>
      </c>
      <c r="L241" s="98"/>
      <c r="M241" s="114" t="s">
        <v>279</v>
      </c>
      <c r="N241" s="98"/>
      <c r="O241" s="114" t="s">
        <v>280</v>
      </c>
      <c r="P241" s="98"/>
      <c r="Q241" s="144" t="s">
        <v>281</v>
      </c>
      <c r="R241" s="145"/>
      <c r="S241" s="144" t="s">
        <v>91</v>
      </c>
      <c r="T241" s="145"/>
      <c r="U241" s="75" t="s">
        <v>282</v>
      </c>
      <c r="V241" s="98"/>
      <c r="W241" s="144" t="s">
        <v>73</v>
      </c>
      <c r="X241" s="98"/>
      <c r="Y241" s="144" t="s">
        <v>283</v>
      </c>
      <c r="Z241" s="98"/>
      <c r="AA241" s="114"/>
      <c r="AB241" s="114"/>
      <c r="AK241" s="98"/>
      <c r="AL241" s="98"/>
      <c r="AM241" s="98"/>
      <c r="AN241" s="98"/>
    </row>
    <row r="242" spans="1:40" s="101" customFormat="1" ht="11.15" customHeight="1">
      <c r="A242" s="79" t="e">
        <f t="shared" si="53"/>
        <v>#REF!</v>
      </c>
      <c r="B242" s="155"/>
      <c r="C242" s="75" t="s">
        <v>276</v>
      </c>
      <c r="D242" s="174"/>
      <c r="E242" s="143" t="s">
        <v>72</v>
      </c>
      <c r="F242" s="145"/>
      <c r="G242" s="143" t="s">
        <v>69</v>
      </c>
      <c r="H242" s="157" t="s">
        <v>177</v>
      </c>
      <c r="I242" s="114" t="s">
        <v>174</v>
      </c>
      <c r="J242" s="99"/>
      <c r="K242" s="114" t="s">
        <v>219</v>
      </c>
      <c r="L242" s="98"/>
      <c r="M242" s="209" t="s">
        <v>152</v>
      </c>
      <c r="N242" s="99"/>
      <c r="O242" s="114" t="s">
        <v>136</v>
      </c>
      <c r="P242" s="98"/>
      <c r="Q242" s="143" t="s">
        <v>219</v>
      </c>
      <c r="R242" s="145"/>
      <c r="S242" s="143" t="s">
        <v>92</v>
      </c>
      <c r="T242" s="145"/>
      <c r="U242" s="75" t="s">
        <v>275</v>
      </c>
      <c r="V242" s="98"/>
      <c r="W242" s="143" t="s">
        <v>284</v>
      </c>
      <c r="X242" s="98"/>
      <c r="Y242" s="143" t="s">
        <v>67</v>
      </c>
      <c r="Z242" s="98"/>
      <c r="AA242" s="114"/>
      <c r="AB242" s="114"/>
      <c r="AK242" s="98"/>
      <c r="AL242" s="98"/>
      <c r="AM242" s="98"/>
      <c r="AN242" s="98"/>
    </row>
    <row r="243" spans="1:40" s="101" customFormat="1" ht="11.15" customHeight="1">
      <c r="A243" s="79" t="e">
        <f t="shared" si="53"/>
        <v>#REF!</v>
      </c>
      <c r="B243" s="155"/>
      <c r="C243" s="145"/>
      <c r="D243" s="174"/>
      <c r="E243" s="128"/>
      <c r="F243" s="129"/>
      <c r="G243" s="128"/>
      <c r="H243" s="129"/>
      <c r="J243" s="99" t="s">
        <v>177</v>
      </c>
      <c r="L243" s="99"/>
      <c r="M243" s="98" t="s">
        <v>285</v>
      </c>
      <c r="N243" s="99" t="s">
        <v>177</v>
      </c>
      <c r="O243" s="98" t="s">
        <v>285</v>
      </c>
      <c r="P243" s="99" t="s">
        <v>177</v>
      </c>
      <c r="Q243" s="98" t="s">
        <v>285</v>
      </c>
      <c r="R243" s="99"/>
      <c r="S243" s="98" t="s">
        <v>285</v>
      </c>
      <c r="T243" s="99"/>
      <c r="U243" s="98" t="s">
        <v>285</v>
      </c>
      <c r="V243" s="111"/>
      <c r="W243" s="98" t="s">
        <v>285</v>
      </c>
      <c r="X243" s="111"/>
      <c r="AA243" s="114"/>
      <c r="AB243" s="75"/>
      <c r="AK243" s="98"/>
      <c r="AL243" s="98"/>
      <c r="AM243" s="98"/>
      <c r="AN243" s="98"/>
    </row>
    <row r="244" spans="1:40" s="101" customFormat="1" ht="11.15" customHeight="1">
      <c r="A244" s="79" t="e">
        <f t="shared" si="53"/>
        <v>#REF!</v>
      </c>
      <c r="B244" s="186"/>
      <c r="D244" s="165"/>
      <c r="E244" s="98"/>
      <c r="F244" s="111"/>
      <c r="H244" s="111"/>
      <c r="J244" s="111"/>
      <c r="L244" s="111"/>
      <c r="M244" s="184">
        <v>3</v>
      </c>
      <c r="N244" s="185"/>
      <c r="O244" s="184">
        <v>3</v>
      </c>
      <c r="P244" s="185"/>
      <c r="Q244" s="184">
        <v>3</v>
      </c>
      <c r="R244" s="185"/>
      <c r="S244" s="184">
        <v>3</v>
      </c>
      <c r="T244" s="185"/>
      <c r="U244" s="184">
        <v>4</v>
      </c>
      <c r="V244" s="186"/>
      <c r="W244" s="147">
        <v>3</v>
      </c>
      <c r="X244" s="111"/>
      <c r="Y244" s="98"/>
      <c r="Z244" s="111"/>
      <c r="AA244" s="114"/>
      <c r="AB244" s="114"/>
      <c r="AK244" s="98"/>
      <c r="AL244" s="98"/>
      <c r="AM244" s="98"/>
      <c r="AN244" s="98"/>
    </row>
    <row r="245" spans="1:40" s="128" customFormat="1" ht="11.15" customHeight="1">
      <c r="A245" s="79" t="e">
        <f t="shared" si="53"/>
        <v>#REF!</v>
      </c>
      <c r="B245" s="155"/>
      <c r="C245" s="78" t="s">
        <v>97</v>
      </c>
      <c r="D245" s="165"/>
      <c r="E245" s="156"/>
      <c r="F245" s="129"/>
      <c r="H245" s="129"/>
      <c r="I245" s="78" t="s">
        <v>97</v>
      </c>
      <c r="J245" s="129"/>
      <c r="K245" s="78" t="s">
        <v>97</v>
      </c>
      <c r="L245" s="129"/>
      <c r="M245" s="78" t="s">
        <v>97</v>
      </c>
      <c r="N245" s="158"/>
      <c r="O245" s="78" t="s">
        <v>97</v>
      </c>
      <c r="P245" s="158"/>
      <c r="Q245" s="187"/>
      <c r="R245" s="158"/>
      <c r="S245" s="188"/>
      <c r="T245" s="158"/>
      <c r="V245" s="155"/>
      <c r="W245" s="189" t="s">
        <v>286</v>
      </c>
      <c r="X245" s="129"/>
      <c r="Z245" s="129"/>
      <c r="AA245" s="75"/>
      <c r="AB245" s="114"/>
      <c r="AK245" s="145"/>
      <c r="AL245" s="145"/>
      <c r="AM245" s="145"/>
      <c r="AN245" s="145"/>
    </row>
    <row r="246" spans="1:40" s="128" customFormat="1" ht="11.15" customHeight="1">
      <c r="A246" s="79" t="e">
        <f t="shared" si="53"/>
        <v>#REF!</v>
      </c>
      <c r="B246" s="155"/>
      <c r="C246" s="78">
        <f>W224+1</f>
        <v>5</v>
      </c>
      <c r="E246" s="156"/>
      <c r="F246" s="129"/>
      <c r="H246" s="129"/>
      <c r="I246" s="78">
        <f>C246+1</f>
        <v>6</v>
      </c>
      <c r="J246" s="129"/>
      <c r="K246" s="78">
        <f>I246+1</f>
        <v>7</v>
      </c>
      <c r="L246" s="129"/>
      <c r="M246" s="78">
        <f>K246+1</f>
        <v>8</v>
      </c>
      <c r="N246" s="158"/>
      <c r="O246" s="78">
        <f>M246+1</f>
        <v>9</v>
      </c>
      <c r="P246" s="158"/>
      <c r="Q246" s="188"/>
      <c r="R246" s="158"/>
      <c r="S246" s="188"/>
      <c r="T246" s="158"/>
      <c r="V246" s="155"/>
      <c r="W246" s="189"/>
      <c r="X246" s="129"/>
      <c r="Z246" s="129"/>
      <c r="AA246" s="75"/>
      <c r="AB246" s="114"/>
      <c r="AK246" s="145"/>
      <c r="AL246" s="145"/>
      <c r="AM246" s="145"/>
      <c r="AN246" s="145"/>
    </row>
    <row r="247" spans="1:40" s="128" customFormat="1" ht="11.15" customHeight="1">
      <c r="A247" s="79" t="e">
        <f t="shared" si="53"/>
        <v>#REF!</v>
      </c>
      <c r="B247" s="177">
        <v>0</v>
      </c>
      <c r="C247" s="833" t="s">
        <v>287</v>
      </c>
      <c r="D247" s="833"/>
      <c r="E247" s="833"/>
      <c r="F247" s="834" t="s">
        <v>288</v>
      </c>
      <c r="G247" s="834"/>
      <c r="H247" s="834"/>
      <c r="I247" s="834"/>
      <c r="J247" s="834"/>
      <c r="K247" s="834"/>
      <c r="L247" s="834"/>
      <c r="M247" s="834"/>
      <c r="N247" s="834"/>
      <c r="O247" s="834"/>
      <c r="P247" s="834"/>
      <c r="Q247" s="834"/>
      <c r="R247" s="834"/>
      <c r="S247" s="834"/>
      <c r="T247" s="834"/>
      <c r="U247" s="834"/>
      <c r="V247" s="834"/>
      <c r="W247" s="834"/>
      <c r="X247" s="834"/>
      <c r="Y247" s="834"/>
      <c r="Z247" s="835"/>
      <c r="AA247" s="75"/>
      <c r="AB247" s="114"/>
      <c r="AK247" s="145"/>
      <c r="AL247" s="145"/>
      <c r="AM247" s="145"/>
      <c r="AN247" s="145"/>
    </row>
    <row r="248" spans="1:40" s="82" customFormat="1" ht="9" hidden="1" customHeight="1">
      <c r="A248" s="79" t="e">
        <f t="shared" si="53"/>
        <v>#REF!</v>
      </c>
      <c r="B248" s="85">
        <v>1</v>
      </c>
      <c r="C248" s="232"/>
      <c r="D248" s="29">
        <v>319.46699999999998</v>
      </c>
      <c r="E248" s="29"/>
      <c r="F248" s="29">
        <v>417.39699999999999</v>
      </c>
      <c r="G248" s="29"/>
      <c r="H248" s="29">
        <v>375.63299999999998</v>
      </c>
      <c r="I248" s="29"/>
      <c r="J248" s="29">
        <v>223.90299999999999</v>
      </c>
      <c r="K248" s="29"/>
      <c r="L248" s="29">
        <v>226.09</v>
      </c>
      <c r="M248" s="29"/>
      <c r="N248" s="29">
        <v>221.93</v>
      </c>
      <c r="O248" s="29"/>
      <c r="P248" s="29">
        <v>259.63900000000001</v>
      </c>
      <c r="Q248" s="29"/>
      <c r="R248" s="29">
        <v>394</v>
      </c>
      <c r="S248" s="29"/>
      <c r="T248" s="29">
        <v>290</v>
      </c>
      <c r="U248" s="29"/>
      <c r="V248" s="29">
        <v>371.161</v>
      </c>
      <c r="W248" s="29"/>
      <c r="X248" s="29">
        <v>364</v>
      </c>
      <c r="Y248" s="29"/>
      <c r="Z248" s="29">
        <v>450</v>
      </c>
      <c r="AA248" s="84"/>
      <c r="AB248" s="81"/>
    </row>
    <row r="249" spans="1:40" s="82" customFormat="1" ht="9" hidden="1" customHeight="1">
      <c r="A249" s="79" t="e">
        <f t="shared" si="53"/>
        <v>#REF!</v>
      </c>
      <c r="B249" s="85">
        <v>2</v>
      </c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3"/>
      <c r="S249" s="233"/>
      <c r="T249" s="233"/>
      <c r="U249" s="233"/>
      <c r="V249" s="233"/>
      <c r="W249" s="233"/>
      <c r="X249" s="233"/>
      <c r="Y249" s="233"/>
      <c r="Z249" s="233"/>
      <c r="AA249" s="84"/>
      <c r="AB249" s="81"/>
    </row>
    <row r="250" spans="1:40" s="82" customFormat="1" ht="9" hidden="1" customHeight="1">
      <c r="A250" s="79" t="e">
        <f t="shared" si="53"/>
        <v>#REF!</v>
      </c>
      <c r="B250" s="85">
        <v>3</v>
      </c>
      <c r="C250" s="26" t="s">
        <v>71</v>
      </c>
      <c r="D250" s="26"/>
      <c r="E250" s="26" t="s">
        <v>68</v>
      </c>
      <c r="F250" s="26"/>
      <c r="G250" s="26" t="s">
        <v>277</v>
      </c>
      <c r="H250" s="26"/>
      <c r="I250" s="26" t="s">
        <v>278</v>
      </c>
      <c r="J250" s="26"/>
      <c r="K250" s="26" t="s">
        <v>279</v>
      </c>
      <c r="L250" s="26"/>
      <c r="M250" s="26" t="s">
        <v>280</v>
      </c>
      <c r="N250" s="26"/>
      <c r="O250" s="26" t="s">
        <v>281</v>
      </c>
      <c r="P250" s="26"/>
      <c r="Q250" s="26" t="s">
        <v>91</v>
      </c>
      <c r="R250" s="26"/>
      <c r="S250" s="26" t="s">
        <v>282</v>
      </c>
      <c r="T250" s="26"/>
      <c r="U250" s="26" t="s">
        <v>73</v>
      </c>
      <c r="V250" s="26"/>
      <c r="W250" s="26" t="s">
        <v>283</v>
      </c>
      <c r="X250" s="26"/>
      <c r="Y250" s="26" t="s">
        <v>85</v>
      </c>
      <c r="Z250" s="24"/>
      <c r="AA250" s="84"/>
      <c r="AB250" s="81"/>
    </row>
    <row r="251" spans="1:40" s="82" customFormat="1" ht="9" hidden="1" customHeight="1">
      <c r="A251" s="79" t="e">
        <f t="shared" si="53"/>
        <v>#REF!</v>
      </c>
      <c r="B251" s="85">
        <v>4</v>
      </c>
      <c r="C251" s="26" t="s">
        <v>72</v>
      </c>
      <c r="D251" s="26"/>
      <c r="E251" s="26" t="s">
        <v>69</v>
      </c>
      <c r="F251" s="26"/>
      <c r="G251" s="26" t="s">
        <v>174</v>
      </c>
      <c r="H251" s="26"/>
      <c r="I251" s="26" t="s">
        <v>219</v>
      </c>
      <c r="J251" s="26"/>
      <c r="K251" s="26" t="s">
        <v>152</v>
      </c>
      <c r="L251" s="26"/>
      <c r="M251" s="26" t="s">
        <v>136</v>
      </c>
      <c r="N251" s="26"/>
      <c r="O251" s="26" t="s">
        <v>219</v>
      </c>
      <c r="P251" s="26"/>
      <c r="Q251" s="26" t="s">
        <v>92</v>
      </c>
      <c r="R251" s="26"/>
      <c r="S251" s="26" t="s">
        <v>275</v>
      </c>
      <c r="T251" s="26"/>
      <c r="U251" s="26" t="s">
        <v>284</v>
      </c>
      <c r="V251" s="26"/>
      <c r="W251" s="26" t="s">
        <v>67</v>
      </c>
      <c r="X251" s="26"/>
      <c r="Y251" s="26" t="s">
        <v>59</v>
      </c>
      <c r="Z251" s="24"/>
      <c r="AA251" s="84"/>
      <c r="AB251" s="81"/>
    </row>
    <row r="252" spans="1:40" s="82" customFormat="1" ht="9" hidden="1" customHeight="1">
      <c r="A252" s="79" t="e">
        <f t="shared" si="53"/>
        <v>#REF!</v>
      </c>
      <c r="B252" s="85">
        <v>5</v>
      </c>
      <c r="C252" s="232" t="b">
        <f t="shared" ref="C252:L255" si="54">C248=E239</f>
        <v>0</v>
      </c>
      <c r="D252" s="232" t="b">
        <f t="shared" si="54"/>
        <v>1</v>
      </c>
      <c r="E252" s="232" t="b">
        <f t="shared" si="54"/>
        <v>0</v>
      </c>
      <c r="F252" s="232" t="b">
        <f t="shared" si="54"/>
        <v>1</v>
      </c>
      <c r="G252" s="232" t="b">
        <f t="shared" si="54"/>
        <v>1</v>
      </c>
      <c r="H252" s="232" t="b">
        <f t="shared" si="54"/>
        <v>1</v>
      </c>
      <c r="I252" s="232" t="b">
        <f t="shared" si="54"/>
        <v>1</v>
      </c>
      <c r="J252" s="232" t="b">
        <f t="shared" si="54"/>
        <v>1</v>
      </c>
      <c r="K252" s="232" t="b">
        <f t="shared" si="54"/>
        <v>1</v>
      </c>
      <c r="L252" s="232" t="b">
        <f t="shared" si="54"/>
        <v>1</v>
      </c>
      <c r="M252" s="232" t="b">
        <f t="shared" ref="M252:V255" si="55">M248=O239</f>
        <v>1</v>
      </c>
      <c r="N252" s="232" t="b">
        <f t="shared" si="55"/>
        <v>1</v>
      </c>
      <c r="O252" s="232" t="b">
        <f t="shared" si="55"/>
        <v>0</v>
      </c>
      <c r="P252" s="232" t="b">
        <f t="shared" si="55"/>
        <v>1</v>
      </c>
      <c r="Q252" s="232" t="b">
        <f t="shared" si="55"/>
        <v>0</v>
      </c>
      <c r="R252" s="232" t="b">
        <f t="shared" si="55"/>
        <v>1</v>
      </c>
      <c r="S252" s="232" t="b">
        <f t="shared" si="55"/>
        <v>1</v>
      </c>
      <c r="T252" s="232" t="b">
        <f t="shared" si="55"/>
        <v>1</v>
      </c>
      <c r="U252" s="232" t="b">
        <f t="shared" si="55"/>
        <v>0</v>
      </c>
      <c r="V252" s="232" t="b">
        <f t="shared" si="55"/>
        <v>1</v>
      </c>
      <c r="W252" s="232" t="b">
        <f t="shared" ref="W252:X255" si="56">W248=Y239</f>
        <v>0</v>
      </c>
      <c r="X252" s="232" t="b">
        <f t="shared" si="56"/>
        <v>1</v>
      </c>
      <c r="Y252" s="232" t="b">
        <f t="shared" ref="Y252:Z255" si="57">Y248=C261</f>
        <v>0</v>
      </c>
      <c r="Z252" s="232" t="b">
        <f t="shared" si="57"/>
        <v>1</v>
      </c>
      <c r="AA252" s="84"/>
      <c r="AB252" s="81"/>
    </row>
    <row r="253" spans="1:40" s="82" customFormat="1" ht="9" hidden="1" customHeight="1">
      <c r="A253" s="79" t="e">
        <f t="shared" si="53"/>
        <v>#REF!</v>
      </c>
      <c r="B253" s="85">
        <v>6</v>
      </c>
      <c r="C253" s="232" t="b">
        <f t="shared" si="54"/>
        <v>0</v>
      </c>
      <c r="D253" s="232" t="b">
        <f t="shared" si="54"/>
        <v>1</v>
      </c>
      <c r="E253" s="232" t="b">
        <f t="shared" si="54"/>
        <v>0</v>
      </c>
      <c r="F253" s="232" t="b">
        <f t="shared" si="54"/>
        <v>1</v>
      </c>
      <c r="G253" s="232" t="b">
        <f t="shared" si="54"/>
        <v>1</v>
      </c>
      <c r="H253" s="232" t="b">
        <f t="shared" si="54"/>
        <v>1</v>
      </c>
      <c r="I253" s="232" t="b">
        <f t="shared" si="54"/>
        <v>1</v>
      </c>
      <c r="J253" s="232" t="b">
        <f t="shared" si="54"/>
        <v>1</v>
      </c>
      <c r="K253" s="232" t="b">
        <f t="shared" si="54"/>
        <v>1</v>
      </c>
      <c r="L253" s="232" t="b">
        <f t="shared" si="54"/>
        <v>1</v>
      </c>
      <c r="M253" s="232" t="b">
        <f t="shared" si="55"/>
        <v>1</v>
      </c>
      <c r="N253" s="232" t="b">
        <f t="shared" si="55"/>
        <v>1</v>
      </c>
      <c r="O253" s="232" t="b">
        <f t="shared" si="55"/>
        <v>0</v>
      </c>
      <c r="P253" s="232" t="b">
        <f t="shared" si="55"/>
        <v>1</v>
      </c>
      <c r="Q253" s="232" t="b">
        <f t="shared" si="55"/>
        <v>0</v>
      </c>
      <c r="R253" s="232" t="b">
        <f t="shared" si="55"/>
        <v>1</v>
      </c>
      <c r="S253" s="232" t="b">
        <f t="shared" si="55"/>
        <v>1</v>
      </c>
      <c r="T253" s="232" t="b">
        <f t="shared" si="55"/>
        <v>1</v>
      </c>
      <c r="U253" s="232" t="b">
        <f t="shared" si="55"/>
        <v>0</v>
      </c>
      <c r="V253" s="232" t="b">
        <f t="shared" si="55"/>
        <v>1</v>
      </c>
      <c r="W253" s="232" t="b">
        <f t="shared" si="56"/>
        <v>0</v>
      </c>
      <c r="X253" s="232" t="b">
        <f t="shared" si="56"/>
        <v>1</v>
      </c>
      <c r="Y253" s="232" t="b">
        <f t="shared" si="57"/>
        <v>0</v>
      </c>
      <c r="Z253" s="232" t="b">
        <f t="shared" si="57"/>
        <v>1</v>
      </c>
      <c r="AA253" s="84"/>
      <c r="AB253" s="81"/>
    </row>
    <row r="254" spans="1:40" s="82" customFormat="1" ht="9" hidden="1" customHeight="1">
      <c r="A254" s="79" t="e">
        <f t="shared" si="53"/>
        <v>#REF!</v>
      </c>
      <c r="B254" s="85">
        <v>7</v>
      </c>
      <c r="C254" s="232" t="b">
        <f t="shared" si="54"/>
        <v>1</v>
      </c>
      <c r="D254" s="232" t="b">
        <f t="shared" si="54"/>
        <v>1</v>
      </c>
      <c r="E254" s="232" t="b">
        <f t="shared" si="54"/>
        <v>1</v>
      </c>
      <c r="F254" s="232" t="b">
        <f t="shared" si="54"/>
        <v>1</v>
      </c>
      <c r="G254" s="232" t="b">
        <f t="shared" si="54"/>
        <v>1</v>
      </c>
      <c r="H254" s="232" t="b">
        <f t="shared" si="54"/>
        <v>1</v>
      </c>
      <c r="I254" s="232" t="b">
        <f t="shared" si="54"/>
        <v>1</v>
      </c>
      <c r="J254" s="232" t="b">
        <f t="shared" si="54"/>
        <v>1</v>
      </c>
      <c r="K254" s="232" t="b">
        <f t="shared" si="54"/>
        <v>1</v>
      </c>
      <c r="L254" s="232" t="b">
        <f t="shared" si="54"/>
        <v>1</v>
      </c>
      <c r="M254" s="232" t="b">
        <f t="shared" si="55"/>
        <v>1</v>
      </c>
      <c r="N254" s="232" t="b">
        <f t="shared" si="55"/>
        <v>1</v>
      </c>
      <c r="O254" s="232" t="b">
        <f t="shared" si="55"/>
        <v>1</v>
      </c>
      <c r="P254" s="232" t="b">
        <f t="shared" si="55"/>
        <v>1</v>
      </c>
      <c r="Q254" s="232" t="b">
        <f t="shared" si="55"/>
        <v>1</v>
      </c>
      <c r="R254" s="232" t="b">
        <f t="shared" si="55"/>
        <v>1</v>
      </c>
      <c r="S254" s="232" t="b">
        <f t="shared" si="55"/>
        <v>1</v>
      </c>
      <c r="T254" s="232" t="b">
        <f t="shared" si="55"/>
        <v>1</v>
      </c>
      <c r="U254" s="232" t="b">
        <f t="shared" si="55"/>
        <v>1</v>
      </c>
      <c r="V254" s="232" t="b">
        <f t="shared" si="55"/>
        <v>1</v>
      </c>
      <c r="W254" s="232" t="b">
        <f t="shared" si="56"/>
        <v>1</v>
      </c>
      <c r="X254" s="232" t="b">
        <f t="shared" si="56"/>
        <v>1</v>
      </c>
      <c r="Y254" s="232" t="b">
        <f t="shared" si="57"/>
        <v>1</v>
      </c>
      <c r="Z254" s="232" t="b">
        <f t="shared" si="57"/>
        <v>1</v>
      </c>
      <c r="AA254" s="84"/>
      <c r="AB254" s="81"/>
    </row>
    <row r="255" spans="1:40" s="82" customFormat="1" ht="9" hidden="1" customHeight="1">
      <c r="A255" s="79" t="e">
        <f t="shared" si="53"/>
        <v>#REF!</v>
      </c>
      <c r="B255" s="85">
        <v>8</v>
      </c>
      <c r="C255" s="232" t="b">
        <f t="shared" si="54"/>
        <v>1</v>
      </c>
      <c r="D255" s="232" t="b">
        <f t="shared" si="54"/>
        <v>1</v>
      </c>
      <c r="E255" s="232" t="b">
        <f t="shared" si="54"/>
        <v>1</v>
      </c>
      <c r="F255" s="232" t="b">
        <f t="shared" si="54"/>
        <v>0</v>
      </c>
      <c r="G255" s="232" t="b">
        <f t="shared" si="54"/>
        <v>1</v>
      </c>
      <c r="H255" s="232" t="b">
        <f t="shared" si="54"/>
        <v>1</v>
      </c>
      <c r="I255" s="232" t="b">
        <f t="shared" si="54"/>
        <v>1</v>
      </c>
      <c r="J255" s="232" t="b">
        <f t="shared" si="54"/>
        <v>1</v>
      </c>
      <c r="K255" s="232" t="b">
        <f t="shared" si="54"/>
        <v>1</v>
      </c>
      <c r="L255" s="232" t="b">
        <f t="shared" si="54"/>
        <v>1</v>
      </c>
      <c r="M255" s="232" t="b">
        <f t="shared" si="55"/>
        <v>1</v>
      </c>
      <c r="N255" s="232" t="b">
        <f t="shared" si="55"/>
        <v>1</v>
      </c>
      <c r="O255" s="232" t="b">
        <f t="shared" si="55"/>
        <v>1</v>
      </c>
      <c r="P255" s="232" t="b">
        <f t="shared" si="55"/>
        <v>1</v>
      </c>
      <c r="Q255" s="232" t="b">
        <f t="shared" si="55"/>
        <v>1</v>
      </c>
      <c r="R255" s="232" t="b">
        <f t="shared" si="55"/>
        <v>1</v>
      </c>
      <c r="S255" s="232" t="b">
        <f t="shared" si="55"/>
        <v>1</v>
      </c>
      <c r="T255" s="232" t="b">
        <f t="shared" si="55"/>
        <v>1</v>
      </c>
      <c r="U255" s="232" t="b">
        <f t="shared" si="55"/>
        <v>1</v>
      </c>
      <c r="V255" s="232" t="b">
        <f t="shared" si="55"/>
        <v>1</v>
      </c>
      <c r="W255" s="232" t="b">
        <f t="shared" si="56"/>
        <v>1</v>
      </c>
      <c r="X255" s="232" t="b">
        <f t="shared" si="56"/>
        <v>1</v>
      </c>
      <c r="Y255" s="232" t="b">
        <f t="shared" si="57"/>
        <v>1</v>
      </c>
      <c r="Z255" s="232" t="b">
        <f t="shared" si="57"/>
        <v>1</v>
      </c>
      <c r="AA255" s="84"/>
      <c r="AB255" s="81"/>
    </row>
    <row r="256" spans="1:40" s="82" customFormat="1" ht="9" hidden="1" customHeight="1">
      <c r="A256" s="79" t="e">
        <f t="shared" si="53"/>
        <v>#REF!</v>
      </c>
      <c r="B256" s="85">
        <v>9</v>
      </c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84"/>
      <c r="AB256" s="81"/>
    </row>
    <row r="257" spans="1:40" s="82" customFormat="1" ht="9" hidden="1" customHeight="1">
      <c r="A257" s="79" t="e">
        <f t="shared" si="53"/>
        <v>#REF!</v>
      </c>
      <c r="B257" s="85">
        <v>10</v>
      </c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84"/>
      <c r="AB257" s="81"/>
    </row>
    <row r="258" spans="1:40" s="128" customFormat="1" ht="11.15" customHeight="1">
      <c r="A258" s="79" t="e">
        <f t="shared" si="53"/>
        <v>#REF!</v>
      </c>
      <c r="B258" s="155"/>
      <c r="E258" s="156"/>
      <c r="F258" s="156"/>
      <c r="G258" s="168">
        <f>S236+1</f>
        <v>113</v>
      </c>
      <c r="H258" s="168"/>
      <c r="I258" s="168">
        <f>G258+1</f>
        <v>114</v>
      </c>
      <c r="J258" s="168"/>
      <c r="K258" s="168">
        <f>I258+1</f>
        <v>115</v>
      </c>
      <c r="L258" s="168"/>
      <c r="M258" s="168">
        <f>K258+1</f>
        <v>116</v>
      </c>
      <c r="N258" s="168"/>
      <c r="O258" s="190"/>
      <c r="P258" s="190"/>
      <c r="Q258" s="168">
        <f>M258+1</f>
        <v>117</v>
      </c>
      <c r="R258" s="190"/>
      <c r="S258" s="190"/>
      <c r="T258" s="77"/>
      <c r="U258" s="77"/>
      <c r="V258" s="77"/>
      <c r="W258" s="77"/>
      <c r="X258" s="77"/>
      <c r="Y258" s="77"/>
      <c r="Z258" s="191"/>
      <c r="AA258" s="75"/>
      <c r="AB258" s="75"/>
      <c r="AK258" s="145"/>
      <c r="AL258" s="145"/>
      <c r="AM258" s="145"/>
      <c r="AN258" s="145"/>
    </row>
    <row r="259" spans="1:40" s="101" customFormat="1" ht="11.15" customHeight="1">
      <c r="A259" s="79" t="e">
        <f t="shared" si="53"/>
        <v>#REF!</v>
      </c>
      <c r="B259" s="186"/>
      <c r="C259" s="111"/>
      <c r="D259" s="123"/>
      <c r="F259" s="111"/>
      <c r="H259" s="111"/>
      <c r="J259" s="111"/>
      <c r="L259" s="111"/>
      <c r="N259" s="111"/>
      <c r="P259" s="111"/>
      <c r="R259" s="111"/>
      <c r="T259" s="192"/>
      <c r="U259" s="192"/>
      <c r="V259" s="192"/>
      <c r="W259" s="192"/>
      <c r="X259" s="192"/>
      <c r="Y259" s="77"/>
      <c r="Z259" s="178"/>
      <c r="AA259" s="114"/>
      <c r="AB259" s="114"/>
      <c r="AK259" s="98"/>
      <c r="AL259" s="98"/>
      <c r="AM259" s="98"/>
      <c r="AN259" s="98"/>
    </row>
    <row r="260" spans="1:40" s="101" customFormat="1" ht="11.15" customHeight="1">
      <c r="A260" s="79" t="e">
        <f t="shared" si="53"/>
        <v>#REF!</v>
      </c>
      <c r="B260" s="186"/>
      <c r="C260" s="111"/>
      <c r="D260" s="123"/>
      <c r="F260" s="111"/>
      <c r="H260" s="111"/>
      <c r="J260" s="111"/>
      <c r="L260" s="111"/>
      <c r="N260" s="111"/>
      <c r="P260" s="111"/>
      <c r="R260" s="111"/>
      <c r="T260" s="192"/>
      <c r="U260" s="192"/>
      <c r="V260" s="192"/>
      <c r="W260" s="192"/>
      <c r="X260" s="192"/>
      <c r="Y260" s="193"/>
      <c r="Z260" s="194"/>
      <c r="AA260" s="114"/>
      <c r="AB260" s="114"/>
      <c r="AK260" s="98"/>
      <c r="AL260" s="98"/>
      <c r="AM260" s="98"/>
      <c r="AN260" s="98"/>
    </row>
    <row r="261" spans="1:40" s="101" customFormat="1" ht="11.15" customHeight="1">
      <c r="A261" s="79" t="e">
        <f t="shared" si="53"/>
        <v>#REF!</v>
      </c>
      <c r="B261" s="186"/>
      <c r="C261" s="140">
        <f>Y239+1</f>
        <v>133</v>
      </c>
      <c r="D261" s="107">
        <v>450</v>
      </c>
      <c r="E261" s="140">
        <f>C261+1</f>
        <v>134</v>
      </c>
      <c r="F261" s="107">
        <v>384</v>
      </c>
      <c r="G261" s="140">
        <f>E261+1</f>
        <v>135</v>
      </c>
      <c r="H261" s="107">
        <v>410.31</v>
      </c>
      <c r="I261" s="140">
        <f>G261+1</f>
        <v>136</v>
      </c>
      <c r="J261" s="99">
        <v>239.566</v>
      </c>
      <c r="K261" s="140">
        <f>I261+1</f>
        <v>137</v>
      </c>
      <c r="L261" s="99">
        <v>299.5</v>
      </c>
      <c r="M261" s="140">
        <f>K261+1</f>
        <v>138</v>
      </c>
      <c r="N261" s="99">
        <v>210.86</v>
      </c>
      <c r="O261" s="140">
        <f>M261+1</f>
        <v>139</v>
      </c>
      <c r="P261" s="178">
        <v>103.65900000000001</v>
      </c>
      <c r="Q261" s="140">
        <f>O261+1</f>
        <v>140</v>
      </c>
      <c r="R261" s="99">
        <v>99.872</v>
      </c>
      <c r="S261" s="118"/>
      <c r="T261" s="192"/>
      <c r="U261" s="192"/>
      <c r="V261" s="192"/>
      <c r="W261" s="192"/>
      <c r="X261" s="192"/>
      <c r="Y261" s="193"/>
      <c r="Z261" s="194"/>
      <c r="AA261" s="164">
        <v>1747.7660000000001</v>
      </c>
      <c r="AB261" s="114">
        <v>8</v>
      </c>
      <c r="AK261" s="98"/>
      <c r="AL261" s="98"/>
      <c r="AM261" s="98"/>
      <c r="AN261" s="98"/>
    </row>
    <row r="262" spans="1:40" s="101" customFormat="1" ht="11.15" customHeight="1">
      <c r="A262" s="79" t="e">
        <f t="shared" si="53"/>
        <v>#REF!</v>
      </c>
      <c r="B262" s="186"/>
      <c r="C262" s="143" t="s">
        <v>63</v>
      </c>
      <c r="D262" s="172"/>
      <c r="E262" s="143" t="s">
        <v>63</v>
      </c>
      <c r="F262" s="111"/>
      <c r="G262" s="143" t="s">
        <v>63</v>
      </c>
      <c r="H262" s="111"/>
      <c r="I262" s="143" t="s">
        <v>52</v>
      </c>
      <c r="J262" s="111"/>
      <c r="K262" s="143" t="s">
        <v>52</v>
      </c>
      <c r="L262" s="111"/>
      <c r="M262" s="143" t="s">
        <v>52</v>
      </c>
      <c r="N262" s="111"/>
      <c r="O262" s="143" t="s">
        <v>52</v>
      </c>
      <c r="P262" s="111"/>
      <c r="Q262" s="143" t="s">
        <v>52</v>
      </c>
      <c r="R262" s="111"/>
      <c r="S262" s="118"/>
      <c r="T262" s="192"/>
      <c r="U262" s="192"/>
      <c r="V262" s="192"/>
      <c r="W262" s="192"/>
      <c r="X262" s="192"/>
      <c r="Y262" s="193"/>
      <c r="Z262" s="194"/>
      <c r="AA262" s="114"/>
      <c r="AB262" s="114"/>
      <c r="AK262" s="98"/>
      <c r="AL262" s="98"/>
      <c r="AM262" s="98"/>
      <c r="AN262" s="98"/>
    </row>
    <row r="263" spans="1:40" s="101" customFormat="1" ht="11.15" customHeight="1">
      <c r="A263" s="79" t="e">
        <f t="shared" si="53"/>
        <v>#REF!</v>
      </c>
      <c r="B263" s="186"/>
      <c r="C263" s="144" t="s">
        <v>85</v>
      </c>
      <c r="D263" s="106"/>
      <c r="E263" s="144" t="s">
        <v>289</v>
      </c>
      <c r="F263" s="98"/>
      <c r="G263" s="144" t="s">
        <v>290</v>
      </c>
      <c r="H263" s="98"/>
      <c r="I263" s="144" t="s">
        <v>291</v>
      </c>
      <c r="J263" s="98"/>
      <c r="K263" s="144" t="s">
        <v>292</v>
      </c>
      <c r="L263" s="98"/>
      <c r="M263" s="144" t="s">
        <v>293</v>
      </c>
      <c r="N263" s="98"/>
      <c r="O263" s="144" t="s">
        <v>294</v>
      </c>
      <c r="P263" s="111"/>
      <c r="Q263" s="144" t="s">
        <v>295</v>
      </c>
      <c r="R263" s="111"/>
      <c r="S263" s="108" t="s">
        <v>296</v>
      </c>
      <c r="T263" s="192"/>
      <c r="U263" s="192"/>
      <c r="V263" s="192"/>
      <c r="W263" s="192"/>
      <c r="X263" s="192"/>
      <c r="Y263" s="193"/>
      <c r="Z263" s="194"/>
      <c r="AA263" s="114"/>
      <c r="AB263" s="114"/>
      <c r="AK263" s="98"/>
      <c r="AL263" s="98"/>
      <c r="AM263" s="98"/>
      <c r="AN263" s="98"/>
    </row>
    <row r="264" spans="1:40" s="101" customFormat="1" ht="11.15" customHeight="1">
      <c r="A264" s="79" t="e">
        <f t="shared" si="53"/>
        <v>#REF!</v>
      </c>
      <c r="B264" s="186"/>
      <c r="C264" s="143" t="s">
        <v>59</v>
      </c>
      <c r="D264" s="106"/>
      <c r="E264" s="143" t="s">
        <v>54</v>
      </c>
      <c r="F264" s="98"/>
      <c r="G264" s="143" t="s">
        <v>51</v>
      </c>
      <c r="H264" s="98"/>
      <c r="I264" s="143" t="s">
        <v>72</v>
      </c>
      <c r="J264" s="98"/>
      <c r="K264" s="143" t="s">
        <v>206</v>
      </c>
      <c r="L264" s="98"/>
      <c r="M264" s="143" t="s">
        <v>206</v>
      </c>
      <c r="N264" s="98"/>
      <c r="O264" s="143" t="s">
        <v>136</v>
      </c>
      <c r="P264" s="111"/>
      <c r="Q264" s="143" t="s">
        <v>275</v>
      </c>
      <c r="R264" s="111"/>
      <c r="S264" s="209" t="s">
        <v>297</v>
      </c>
      <c r="T264" s="192"/>
      <c r="U264" s="192"/>
      <c r="V264" s="192"/>
      <c r="W264" s="192"/>
      <c r="X264" s="192"/>
      <c r="Y264" s="193"/>
      <c r="Z264" s="194"/>
      <c r="AA264" s="121">
        <v>52.821033</v>
      </c>
      <c r="AB264" s="115">
        <v>152</v>
      </c>
      <c r="AK264" s="98"/>
      <c r="AL264" s="98"/>
      <c r="AM264" s="98"/>
      <c r="AN264" s="98"/>
    </row>
    <row r="265" spans="1:40" s="101" customFormat="1" ht="11.15" customHeight="1">
      <c r="A265" s="79" t="e">
        <f t="shared" si="53"/>
        <v>#REF!</v>
      </c>
      <c r="B265" s="186"/>
      <c r="E265" s="260"/>
      <c r="F265" s="99"/>
      <c r="G265" s="98"/>
      <c r="H265" s="99"/>
      <c r="I265" s="98"/>
      <c r="J265" s="111"/>
      <c r="L265" s="111"/>
      <c r="M265" s="98"/>
      <c r="N265" s="111"/>
      <c r="O265" s="98" t="s">
        <v>298</v>
      </c>
      <c r="P265" s="111"/>
      <c r="R265" s="111"/>
      <c r="T265" s="192"/>
      <c r="U265" s="192"/>
      <c r="V265" s="192"/>
      <c r="W265" s="192"/>
      <c r="X265" s="192"/>
      <c r="Y265" s="193"/>
      <c r="Z265" s="194"/>
      <c r="AA265" s="114"/>
      <c r="AB265" s="114"/>
      <c r="AK265" s="98"/>
      <c r="AL265" s="98"/>
      <c r="AM265" s="98"/>
      <c r="AN265" s="98"/>
    </row>
    <row r="266" spans="1:40" s="101" customFormat="1" ht="11.15" customHeight="1">
      <c r="A266" s="79" t="e">
        <f t="shared" si="53"/>
        <v>#REF!</v>
      </c>
      <c r="B266" s="249">
        <v>0</v>
      </c>
      <c r="C266" s="811" t="s">
        <v>288</v>
      </c>
      <c r="D266" s="811"/>
      <c r="E266" s="811"/>
      <c r="F266" s="811"/>
      <c r="G266" s="811"/>
      <c r="H266" s="811"/>
      <c r="I266" s="811"/>
      <c r="J266" s="811"/>
      <c r="K266" s="811"/>
      <c r="L266" s="811"/>
      <c r="M266" s="811"/>
      <c r="N266" s="811"/>
      <c r="O266" s="811"/>
      <c r="P266" s="811"/>
      <c r="Q266" s="811"/>
      <c r="R266" s="811"/>
      <c r="S266" s="811"/>
      <c r="T266" s="811"/>
      <c r="U266" s="811"/>
      <c r="V266" s="811"/>
      <c r="W266" s="811"/>
      <c r="X266" s="811"/>
      <c r="Y266" s="811"/>
      <c r="Z266" s="812"/>
      <c r="AA266" s="114"/>
      <c r="AB266" s="114"/>
      <c r="AK266" s="98"/>
      <c r="AL266" s="98"/>
      <c r="AM266" s="98"/>
      <c r="AN266" s="98"/>
    </row>
    <row r="267" spans="1:40" s="80" customFormat="1" ht="9" hidden="1" customHeight="1">
      <c r="A267" s="79" t="e">
        <f t="shared" si="53"/>
        <v>#REF!</v>
      </c>
      <c r="B267" s="85">
        <v>1</v>
      </c>
      <c r="C267" s="232"/>
      <c r="D267" s="30">
        <v>384</v>
      </c>
      <c r="E267" s="30"/>
      <c r="F267" s="30">
        <v>410.31</v>
      </c>
      <c r="G267" s="30"/>
      <c r="H267" s="30">
        <v>239.566</v>
      </c>
      <c r="I267" s="30"/>
      <c r="J267" s="30">
        <v>299.5</v>
      </c>
      <c r="K267" s="30"/>
      <c r="L267" s="30">
        <v>210.86</v>
      </c>
      <c r="M267" s="30"/>
      <c r="N267" s="30">
        <v>103.65900000000001</v>
      </c>
      <c r="O267" s="30"/>
      <c r="P267" s="30">
        <v>99.872</v>
      </c>
      <c r="Q267" s="25"/>
      <c r="R267" s="32"/>
      <c r="S267" s="33"/>
      <c r="T267" s="33"/>
      <c r="U267" s="33"/>
      <c r="V267" s="33"/>
      <c r="W267" s="33"/>
      <c r="X267" s="33"/>
      <c r="Y267" s="35"/>
      <c r="Z267" s="31"/>
      <c r="AA267" s="81"/>
      <c r="AB267" s="81"/>
    </row>
    <row r="268" spans="1:40" s="80" customFormat="1" ht="9" hidden="1" customHeight="1">
      <c r="A268" s="79" t="e">
        <f t="shared" si="53"/>
        <v>#REF!</v>
      </c>
      <c r="B268" s="85">
        <v>2</v>
      </c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4"/>
      <c r="S268" s="234"/>
      <c r="T268" s="234"/>
      <c r="U268" s="234"/>
      <c r="V268" s="234"/>
      <c r="W268" s="234"/>
      <c r="X268" s="234"/>
      <c r="Y268" s="34"/>
      <c r="Z268" s="31"/>
      <c r="AA268" s="81"/>
      <c r="AB268" s="81"/>
    </row>
    <row r="269" spans="1:40" s="80" customFormat="1" ht="9" hidden="1" customHeight="1">
      <c r="A269" s="79" t="e">
        <f t="shared" si="53"/>
        <v>#REF!</v>
      </c>
      <c r="B269" s="85">
        <v>3</v>
      </c>
      <c r="C269" s="28" t="s">
        <v>289</v>
      </c>
      <c r="D269" s="28"/>
      <c r="E269" s="28" t="s">
        <v>290</v>
      </c>
      <c r="F269" s="28"/>
      <c r="G269" s="28" t="s">
        <v>291</v>
      </c>
      <c r="H269" s="28"/>
      <c r="I269" s="28" t="s">
        <v>292</v>
      </c>
      <c r="J269" s="28"/>
      <c r="K269" s="28" t="s">
        <v>293</v>
      </c>
      <c r="L269" s="28"/>
      <c r="M269" s="28" t="s">
        <v>294</v>
      </c>
      <c r="N269" s="28"/>
      <c r="O269" s="28" t="s">
        <v>295</v>
      </c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81"/>
      <c r="AB269" s="81"/>
    </row>
    <row r="270" spans="1:40" s="80" customFormat="1" ht="9" hidden="1" customHeight="1">
      <c r="A270" s="79" t="e">
        <f t="shared" si="53"/>
        <v>#REF!</v>
      </c>
      <c r="B270" s="85">
        <v>4</v>
      </c>
      <c r="C270" s="28" t="s">
        <v>54</v>
      </c>
      <c r="D270" s="28"/>
      <c r="E270" s="28" t="s">
        <v>51</v>
      </c>
      <c r="F270" s="28"/>
      <c r="G270" s="28" t="s">
        <v>72</v>
      </c>
      <c r="H270" s="28"/>
      <c r="I270" s="28" t="s">
        <v>206</v>
      </c>
      <c r="J270" s="28"/>
      <c r="K270" s="28" t="s">
        <v>206</v>
      </c>
      <c r="L270" s="28"/>
      <c r="M270" s="28" t="s">
        <v>136</v>
      </c>
      <c r="N270" s="28"/>
      <c r="O270" s="28" t="s">
        <v>275</v>
      </c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81"/>
      <c r="AB270" s="81"/>
    </row>
    <row r="271" spans="1:40" s="80" customFormat="1" ht="9" hidden="1" customHeight="1">
      <c r="A271" s="79" t="e">
        <f t="shared" si="53"/>
        <v>#REF!</v>
      </c>
      <c r="B271" s="85">
        <v>5</v>
      </c>
      <c r="C271" s="232" t="b">
        <f t="shared" ref="C271:Q274" si="58">C267=E261</f>
        <v>0</v>
      </c>
      <c r="D271" s="232" t="b">
        <f t="shared" si="58"/>
        <v>1</v>
      </c>
      <c r="E271" s="232" t="b">
        <f t="shared" si="58"/>
        <v>0</v>
      </c>
      <c r="F271" s="232" t="b">
        <f t="shared" si="58"/>
        <v>1</v>
      </c>
      <c r="G271" s="232" t="b">
        <f t="shared" si="58"/>
        <v>0</v>
      </c>
      <c r="H271" s="232" t="b">
        <f t="shared" si="58"/>
        <v>1</v>
      </c>
      <c r="I271" s="232" t="b">
        <f t="shared" si="58"/>
        <v>0</v>
      </c>
      <c r="J271" s="232" t="b">
        <f t="shared" si="58"/>
        <v>1</v>
      </c>
      <c r="K271" s="232" t="b">
        <f t="shared" si="58"/>
        <v>0</v>
      </c>
      <c r="L271" s="232" t="b">
        <f t="shared" si="58"/>
        <v>1</v>
      </c>
      <c r="M271" s="232" t="b">
        <f t="shared" si="58"/>
        <v>0</v>
      </c>
      <c r="N271" s="232" t="b">
        <f t="shared" si="58"/>
        <v>1</v>
      </c>
      <c r="O271" s="232" t="b">
        <f t="shared" si="58"/>
        <v>0</v>
      </c>
      <c r="P271" s="232" t="b">
        <f t="shared" si="58"/>
        <v>1</v>
      </c>
      <c r="Q271" s="232" t="b">
        <f t="shared" si="58"/>
        <v>1</v>
      </c>
      <c r="R271" s="232" t="e">
        <f>R267=#REF!</f>
        <v>#REF!</v>
      </c>
      <c r="S271" s="232" t="e">
        <f>S267=#REF!</f>
        <v>#REF!</v>
      </c>
      <c r="T271" s="232" t="b">
        <f t="shared" ref="T271:Z274" si="59">T267=T261</f>
        <v>1</v>
      </c>
      <c r="U271" s="232" t="b">
        <f t="shared" si="59"/>
        <v>1</v>
      </c>
      <c r="V271" s="232" t="b">
        <f t="shared" si="59"/>
        <v>1</v>
      </c>
      <c r="W271" s="232" t="b">
        <f t="shared" si="59"/>
        <v>1</v>
      </c>
      <c r="X271" s="232" t="b">
        <f t="shared" si="59"/>
        <v>1</v>
      </c>
      <c r="Y271" s="232" t="b">
        <f t="shared" si="59"/>
        <v>1</v>
      </c>
      <c r="Z271" s="232" t="b">
        <f t="shared" si="59"/>
        <v>1</v>
      </c>
      <c r="AA271" s="81"/>
      <c r="AB271" s="81"/>
    </row>
    <row r="272" spans="1:40" s="80" customFormat="1" ht="9" hidden="1" customHeight="1">
      <c r="A272" s="79" t="e">
        <f t="shared" si="53"/>
        <v>#REF!</v>
      </c>
      <c r="B272" s="85">
        <v>6</v>
      </c>
      <c r="C272" s="232" t="b">
        <f t="shared" si="58"/>
        <v>0</v>
      </c>
      <c r="D272" s="232" t="b">
        <f t="shared" si="58"/>
        <v>1</v>
      </c>
      <c r="E272" s="232" t="b">
        <f t="shared" si="58"/>
        <v>0</v>
      </c>
      <c r="F272" s="232" t="b">
        <f t="shared" si="58"/>
        <v>1</v>
      </c>
      <c r="G272" s="232" t="b">
        <f t="shared" si="58"/>
        <v>0</v>
      </c>
      <c r="H272" s="232" t="b">
        <f t="shared" si="58"/>
        <v>1</v>
      </c>
      <c r="I272" s="232" t="b">
        <f t="shared" si="58"/>
        <v>0</v>
      </c>
      <c r="J272" s="232" t="b">
        <f t="shared" si="58"/>
        <v>1</v>
      </c>
      <c r="K272" s="232" t="b">
        <f t="shared" si="58"/>
        <v>0</v>
      </c>
      <c r="L272" s="232" t="b">
        <f t="shared" si="58"/>
        <v>1</v>
      </c>
      <c r="M272" s="232" t="b">
        <f t="shared" si="58"/>
        <v>0</v>
      </c>
      <c r="N272" s="232" t="b">
        <f t="shared" si="58"/>
        <v>1</v>
      </c>
      <c r="O272" s="232" t="b">
        <f t="shared" si="58"/>
        <v>0</v>
      </c>
      <c r="P272" s="232" t="b">
        <f t="shared" si="58"/>
        <v>1</v>
      </c>
      <c r="Q272" s="232" t="b">
        <f t="shared" si="58"/>
        <v>1</v>
      </c>
      <c r="R272" s="232" t="e">
        <f>R268=#REF!</f>
        <v>#REF!</v>
      </c>
      <c r="S272" s="232" t="e">
        <f>S268=#REF!</f>
        <v>#REF!</v>
      </c>
      <c r="T272" s="232" t="b">
        <f t="shared" si="59"/>
        <v>1</v>
      </c>
      <c r="U272" s="232" t="b">
        <f t="shared" si="59"/>
        <v>1</v>
      </c>
      <c r="V272" s="232" t="b">
        <f t="shared" si="59"/>
        <v>1</v>
      </c>
      <c r="W272" s="232" t="b">
        <f t="shared" si="59"/>
        <v>1</v>
      </c>
      <c r="X272" s="232" t="b">
        <f t="shared" si="59"/>
        <v>1</v>
      </c>
      <c r="Y272" s="232" t="b">
        <f t="shared" si="59"/>
        <v>1</v>
      </c>
      <c r="Z272" s="232" t="b">
        <f t="shared" si="59"/>
        <v>1</v>
      </c>
      <c r="AA272" s="81"/>
      <c r="AB272" s="81"/>
    </row>
    <row r="273" spans="1:40" s="80" customFormat="1" ht="9" hidden="1" customHeight="1">
      <c r="A273" s="79" t="e">
        <f t="shared" si="53"/>
        <v>#REF!</v>
      </c>
      <c r="B273" s="85">
        <v>7</v>
      </c>
      <c r="C273" s="232" t="b">
        <f t="shared" si="58"/>
        <v>1</v>
      </c>
      <c r="D273" s="232" t="b">
        <f t="shared" si="58"/>
        <v>1</v>
      </c>
      <c r="E273" s="232" t="b">
        <f t="shared" si="58"/>
        <v>1</v>
      </c>
      <c r="F273" s="232" t="b">
        <f t="shared" si="58"/>
        <v>1</v>
      </c>
      <c r="G273" s="232" t="b">
        <f t="shared" si="58"/>
        <v>1</v>
      </c>
      <c r="H273" s="232" t="b">
        <f t="shared" si="58"/>
        <v>1</v>
      </c>
      <c r="I273" s="232" t="b">
        <f t="shared" si="58"/>
        <v>1</v>
      </c>
      <c r="J273" s="232" t="b">
        <f t="shared" si="58"/>
        <v>1</v>
      </c>
      <c r="K273" s="232" t="b">
        <f t="shared" si="58"/>
        <v>1</v>
      </c>
      <c r="L273" s="232" t="b">
        <f t="shared" si="58"/>
        <v>1</v>
      </c>
      <c r="M273" s="232" t="b">
        <f t="shared" si="58"/>
        <v>1</v>
      </c>
      <c r="N273" s="232" t="b">
        <f t="shared" si="58"/>
        <v>1</v>
      </c>
      <c r="O273" s="232" t="b">
        <f t="shared" si="58"/>
        <v>1</v>
      </c>
      <c r="P273" s="232" t="b">
        <f t="shared" si="58"/>
        <v>1</v>
      </c>
      <c r="Q273" s="232" t="b">
        <f t="shared" si="58"/>
        <v>0</v>
      </c>
      <c r="R273" s="232" t="e">
        <f>R269=#REF!</f>
        <v>#REF!</v>
      </c>
      <c r="S273" s="232" t="e">
        <f>S269=#REF!</f>
        <v>#REF!</v>
      </c>
      <c r="T273" s="232" t="b">
        <f t="shared" si="59"/>
        <v>1</v>
      </c>
      <c r="U273" s="232" t="b">
        <f t="shared" si="59"/>
        <v>1</v>
      </c>
      <c r="V273" s="232" t="b">
        <f t="shared" si="59"/>
        <v>1</v>
      </c>
      <c r="W273" s="232" t="b">
        <f t="shared" si="59"/>
        <v>1</v>
      </c>
      <c r="X273" s="232" t="b">
        <f t="shared" si="59"/>
        <v>1</v>
      </c>
      <c r="Y273" s="232" t="b">
        <f t="shared" si="59"/>
        <v>1</v>
      </c>
      <c r="Z273" s="232" t="b">
        <f t="shared" si="59"/>
        <v>1</v>
      </c>
      <c r="AA273" s="81"/>
      <c r="AB273" s="81"/>
    </row>
    <row r="274" spans="1:40" s="80" customFormat="1" ht="9" hidden="1" customHeight="1">
      <c r="A274" s="79" t="e">
        <f t="shared" si="53"/>
        <v>#REF!</v>
      </c>
      <c r="B274" s="85">
        <v>8</v>
      </c>
      <c r="C274" s="232" t="b">
        <f t="shared" si="58"/>
        <v>1</v>
      </c>
      <c r="D274" s="232" t="b">
        <f t="shared" si="58"/>
        <v>1</v>
      </c>
      <c r="E274" s="232" t="b">
        <f t="shared" si="58"/>
        <v>1</v>
      </c>
      <c r="F274" s="232" t="b">
        <f t="shared" si="58"/>
        <v>1</v>
      </c>
      <c r="G274" s="232" t="b">
        <f t="shared" si="58"/>
        <v>1</v>
      </c>
      <c r="H274" s="232" t="b">
        <f t="shared" si="58"/>
        <v>1</v>
      </c>
      <c r="I274" s="232" t="b">
        <f t="shared" si="58"/>
        <v>1</v>
      </c>
      <c r="J274" s="232" t="b">
        <f t="shared" si="58"/>
        <v>1</v>
      </c>
      <c r="K274" s="232" t="b">
        <f t="shared" si="58"/>
        <v>1</v>
      </c>
      <c r="L274" s="232" t="b">
        <f t="shared" si="58"/>
        <v>1</v>
      </c>
      <c r="M274" s="232" t="b">
        <f t="shared" si="58"/>
        <v>1</v>
      </c>
      <c r="N274" s="232" t="b">
        <f t="shared" si="58"/>
        <v>1</v>
      </c>
      <c r="O274" s="232" t="b">
        <f t="shared" si="58"/>
        <v>1</v>
      </c>
      <c r="P274" s="232" t="b">
        <f t="shared" si="58"/>
        <v>1</v>
      </c>
      <c r="Q274" s="232" t="b">
        <f t="shared" si="58"/>
        <v>0</v>
      </c>
      <c r="R274" s="232" t="e">
        <f>R270=#REF!</f>
        <v>#REF!</v>
      </c>
      <c r="S274" s="232" t="e">
        <f>S270=#REF!</f>
        <v>#REF!</v>
      </c>
      <c r="T274" s="232" t="b">
        <f t="shared" si="59"/>
        <v>1</v>
      </c>
      <c r="U274" s="232" t="b">
        <f t="shared" si="59"/>
        <v>1</v>
      </c>
      <c r="V274" s="232" t="b">
        <f t="shared" si="59"/>
        <v>1</v>
      </c>
      <c r="W274" s="232" t="b">
        <f t="shared" si="59"/>
        <v>1</v>
      </c>
      <c r="X274" s="232" t="b">
        <f t="shared" si="59"/>
        <v>1</v>
      </c>
      <c r="Y274" s="232" t="b">
        <f t="shared" si="59"/>
        <v>1</v>
      </c>
      <c r="Z274" s="232" t="b">
        <f t="shared" si="59"/>
        <v>1</v>
      </c>
      <c r="AA274" s="81"/>
      <c r="AB274" s="81"/>
    </row>
    <row r="275" spans="1:40" s="80" customFormat="1" ht="9" hidden="1" customHeight="1">
      <c r="A275" s="79" t="e">
        <f t="shared" si="53"/>
        <v>#REF!</v>
      </c>
      <c r="B275" s="85">
        <v>9</v>
      </c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81"/>
      <c r="AB275" s="81"/>
    </row>
    <row r="276" spans="1:40" s="80" customFormat="1" ht="9" hidden="1" customHeight="1">
      <c r="A276" s="79" t="e">
        <f t="shared" si="53"/>
        <v>#REF!</v>
      </c>
      <c r="B276" s="85">
        <v>10</v>
      </c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81"/>
      <c r="AB276" s="81"/>
    </row>
    <row r="277" spans="1:40" s="245" customFormat="1" ht="11.15" customHeight="1">
      <c r="A277" s="79" t="e">
        <f t="shared" si="53"/>
        <v>#REF!</v>
      </c>
      <c r="B277" s="111"/>
      <c r="C277" s="810" t="s">
        <v>338</v>
      </c>
      <c r="D277" s="816" t="s">
        <v>339</v>
      </c>
      <c r="E277" s="816"/>
      <c r="F277" s="816"/>
      <c r="G277" s="816"/>
      <c r="H277" s="816"/>
      <c r="I277" s="816"/>
      <c r="J277" s="816"/>
      <c r="K277" s="816"/>
      <c r="L277" s="816"/>
      <c r="M277" s="101"/>
      <c r="N277" s="111"/>
      <c r="O277" s="101"/>
      <c r="P277" s="111"/>
      <c r="Q277" s="101"/>
      <c r="R277" s="111"/>
      <c r="S277" s="101"/>
      <c r="T277" s="111"/>
      <c r="U277" s="101"/>
      <c r="V277" s="111"/>
      <c r="W277" s="101"/>
      <c r="X277" s="111"/>
      <c r="Y277" s="101"/>
      <c r="Z277" s="123"/>
      <c r="AA277" s="98"/>
      <c r="AB277" s="98"/>
      <c r="AK277" s="246"/>
      <c r="AL277" s="246"/>
      <c r="AM277" s="246"/>
      <c r="AN277" s="246"/>
    </row>
    <row r="278" spans="1:40" s="245" customFormat="1" ht="11.15" customHeight="1">
      <c r="A278" s="79" t="e">
        <f t="shared" si="53"/>
        <v>#REF!</v>
      </c>
      <c r="B278" s="111"/>
      <c r="C278" s="810"/>
      <c r="D278" s="195" t="s">
        <v>340</v>
      </c>
      <c r="E278" s="195" t="s">
        <v>341</v>
      </c>
      <c r="F278" s="195" t="s">
        <v>342</v>
      </c>
      <c r="G278" s="195" t="s">
        <v>343</v>
      </c>
      <c r="H278" s="195" t="s">
        <v>344</v>
      </c>
      <c r="I278" s="195" t="s">
        <v>345</v>
      </c>
      <c r="J278" s="74" t="s">
        <v>321</v>
      </c>
      <c r="K278" s="813" t="s">
        <v>42</v>
      </c>
      <c r="L278" s="813"/>
      <c r="M278" s="101"/>
      <c r="N278" s="111"/>
      <c r="O278" s="101"/>
      <c r="P278" s="111"/>
      <c r="Q278" s="101"/>
      <c r="R278" s="111"/>
      <c r="S278" s="101"/>
      <c r="T278" s="111"/>
      <c r="U278" s="101"/>
      <c r="V278" s="111"/>
      <c r="W278" s="101"/>
      <c r="X278" s="111"/>
      <c r="Y278" s="101"/>
      <c r="Z278" s="123"/>
      <c r="AA278" s="98"/>
      <c r="AB278" s="98"/>
      <c r="AK278" s="246"/>
      <c r="AL278" s="246"/>
      <c r="AM278" s="246"/>
      <c r="AN278" s="246"/>
    </row>
    <row r="279" spans="1:40" s="245" customFormat="1" ht="11.15" customHeight="1">
      <c r="A279" s="79" t="e">
        <f t="shared" si="53"/>
        <v>#REF!</v>
      </c>
      <c r="B279" s="111"/>
      <c r="C279" s="74" t="s">
        <v>96</v>
      </c>
      <c r="D279" s="195">
        <v>16</v>
      </c>
      <c r="E279" s="195">
        <v>11</v>
      </c>
      <c r="F279" s="195">
        <v>16</v>
      </c>
      <c r="G279" s="195">
        <v>25</v>
      </c>
      <c r="H279" s="195">
        <v>0</v>
      </c>
      <c r="I279" s="195">
        <v>0</v>
      </c>
      <c r="J279" s="196">
        <f>SUM(D279:I279)</f>
        <v>68</v>
      </c>
      <c r="K279" s="814" t="s">
        <v>346</v>
      </c>
      <c r="L279" s="814"/>
      <c r="M279" s="101"/>
      <c r="N279" s="111"/>
      <c r="O279" s="101"/>
      <c r="P279" s="111"/>
      <c r="Q279" s="101"/>
      <c r="R279" s="111"/>
      <c r="S279" s="101"/>
      <c r="T279" s="111"/>
      <c r="U279" s="101"/>
      <c r="V279" s="111"/>
      <c r="W279" s="101"/>
      <c r="X279" s="111"/>
      <c r="Y279" s="101"/>
      <c r="Z279" s="123"/>
      <c r="AA279" s="98"/>
      <c r="AB279" s="98"/>
      <c r="AK279" s="246"/>
      <c r="AL279" s="246"/>
      <c r="AM279" s="246"/>
      <c r="AN279" s="246"/>
    </row>
    <row r="280" spans="1:40" s="245" customFormat="1" ht="11.15" customHeight="1">
      <c r="A280" s="79" t="e">
        <f t="shared" si="53"/>
        <v>#REF!</v>
      </c>
      <c r="B280" s="111"/>
      <c r="C280" s="74" t="s">
        <v>327</v>
      </c>
      <c r="D280" s="195">
        <v>1</v>
      </c>
      <c r="E280" s="195">
        <v>0</v>
      </c>
      <c r="F280" s="195">
        <v>2</v>
      </c>
      <c r="G280" s="195">
        <v>2</v>
      </c>
      <c r="H280" s="195">
        <v>0</v>
      </c>
      <c r="I280" s="195">
        <v>0</v>
      </c>
      <c r="J280" s="196">
        <f t="shared" ref="J280:J285" si="60">SUM(D280:I280)</f>
        <v>5</v>
      </c>
      <c r="K280" s="814" t="s">
        <v>347</v>
      </c>
      <c r="L280" s="814"/>
      <c r="M280" s="101"/>
      <c r="N280" s="111"/>
      <c r="O280" s="101"/>
      <c r="P280" s="111"/>
      <c r="Q280" s="101"/>
      <c r="R280" s="111"/>
      <c r="S280" s="101"/>
      <c r="T280" s="111"/>
      <c r="U280" s="101"/>
      <c r="V280" s="111"/>
      <c r="W280" s="101"/>
      <c r="X280" s="111"/>
      <c r="Y280" s="101"/>
      <c r="Z280" s="123"/>
      <c r="AA280" s="98"/>
      <c r="AB280" s="98"/>
      <c r="AK280" s="246"/>
      <c r="AL280" s="246"/>
      <c r="AM280" s="246"/>
      <c r="AN280" s="246"/>
    </row>
    <row r="281" spans="1:40" s="245" customFormat="1" ht="11.15" customHeight="1">
      <c r="A281" s="79" t="e">
        <f t="shared" si="53"/>
        <v>#REF!</v>
      </c>
      <c r="B281" s="111"/>
      <c r="C281" s="74" t="s">
        <v>328</v>
      </c>
      <c r="D281" s="195">
        <v>2</v>
      </c>
      <c r="E281" s="195">
        <v>1</v>
      </c>
      <c r="F281" s="195">
        <v>2</v>
      </c>
      <c r="G281" s="195">
        <v>0</v>
      </c>
      <c r="H281" s="195">
        <v>1</v>
      </c>
      <c r="I281" s="195">
        <v>0</v>
      </c>
      <c r="J281" s="196">
        <f t="shared" si="60"/>
        <v>6</v>
      </c>
      <c r="K281" s="814"/>
      <c r="L281" s="814"/>
      <c r="M281" s="101"/>
      <c r="N281" s="111"/>
      <c r="O281" s="101"/>
      <c r="P281" s="111"/>
      <c r="Q281" s="101"/>
      <c r="R281" s="111"/>
      <c r="S281" s="101"/>
      <c r="T281" s="111"/>
      <c r="U281" s="101"/>
      <c r="V281" s="111"/>
      <c r="W281" s="101"/>
      <c r="X281" s="111"/>
      <c r="Y281" s="101"/>
      <c r="Z281" s="123"/>
      <c r="AA281" s="98"/>
      <c r="AB281" s="98"/>
      <c r="AK281" s="246"/>
      <c r="AL281" s="246"/>
      <c r="AM281" s="246"/>
      <c r="AN281" s="246"/>
    </row>
    <row r="282" spans="1:40" s="245" customFormat="1" ht="11.15" customHeight="1">
      <c r="A282" s="79" t="e">
        <f t="shared" si="53"/>
        <v>#REF!</v>
      </c>
      <c r="B282" s="111"/>
      <c r="C282" s="74" t="s">
        <v>329</v>
      </c>
      <c r="D282" s="195">
        <v>4</v>
      </c>
      <c r="E282" s="195">
        <v>2</v>
      </c>
      <c r="F282" s="195">
        <v>0</v>
      </c>
      <c r="G282" s="195">
        <v>2</v>
      </c>
      <c r="H282" s="195">
        <v>1</v>
      </c>
      <c r="I282" s="195">
        <v>0</v>
      </c>
      <c r="J282" s="196">
        <f t="shared" si="60"/>
        <v>9</v>
      </c>
      <c r="K282" s="814"/>
      <c r="L282" s="814"/>
      <c r="M282" s="101"/>
      <c r="N282" s="111"/>
      <c r="O282" s="101"/>
      <c r="P282" s="111"/>
      <c r="Q282" s="101"/>
      <c r="R282" s="111"/>
      <c r="S282" s="101"/>
      <c r="T282" s="111"/>
      <c r="U282" s="101"/>
      <c r="V282" s="111"/>
      <c r="W282" s="101"/>
      <c r="X282" s="111"/>
      <c r="Y282" s="101"/>
      <c r="Z282" s="123"/>
      <c r="AA282" s="98"/>
      <c r="AB282" s="98"/>
      <c r="AK282" s="246"/>
      <c r="AL282" s="246"/>
      <c r="AM282" s="246"/>
      <c r="AN282" s="246"/>
    </row>
    <row r="283" spans="1:40" s="245" customFormat="1" ht="11.15" customHeight="1">
      <c r="A283" s="79" t="e">
        <f t="shared" si="53"/>
        <v>#REF!</v>
      </c>
      <c r="B283" s="111"/>
      <c r="C283" s="74" t="s">
        <v>330</v>
      </c>
      <c r="D283" s="195">
        <v>2</v>
      </c>
      <c r="E283" s="195">
        <v>2</v>
      </c>
      <c r="F283" s="195">
        <v>0</v>
      </c>
      <c r="G283" s="195">
        <v>1</v>
      </c>
      <c r="H283" s="195">
        <v>5</v>
      </c>
      <c r="I283" s="195">
        <v>1</v>
      </c>
      <c r="J283" s="196">
        <f t="shared" si="60"/>
        <v>11</v>
      </c>
      <c r="K283" s="814"/>
      <c r="L283" s="814"/>
      <c r="M283" s="101"/>
      <c r="N283" s="111"/>
      <c r="O283" s="101"/>
      <c r="P283" s="111"/>
      <c r="Q283" s="101"/>
      <c r="R283" s="111"/>
      <c r="S283" s="101"/>
      <c r="T283" s="111"/>
      <c r="U283" s="101"/>
      <c r="V283" s="111"/>
      <c r="W283" s="101"/>
      <c r="X283" s="111"/>
      <c r="Y283" s="101"/>
      <c r="Z283" s="123"/>
      <c r="AA283" s="98"/>
      <c r="AB283" s="98"/>
      <c r="AK283" s="246"/>
      <c r="AL283" s="246"/>
      <c r="AM283" s="246"/>
      <c r="AN283" s="246"/>
    </row>
    <row r="284" spans="1:40" s="245" customFormat="1" ht="11.15" customHeight="1">
      <c r="A284" s="79" t="e">
        <f t="shared" si="53"/>
        <v>#REF!</v>
      </c>
      <c r="B284" s="111"/>
      <c r="C284" s="74" t="s">
        <v>348</v>
      </c>
      <c r="D284" s="195">
        <v>1</v>
      </c>
      <c r="E284" s="195">
        <v>1</v>
      </c>
      <c r="F284" s="195">
        <v>0</v>
      </c>
      <c r="G284" s="195">
        <v>0</v>
      </c>
      <c r="H284" s="195">
        <v>0</v>
      </c>
      <c r="I284" s="195">
        <v>0</v>
      </c>
      <c r="J284" s="196">
        <f t="shared" si="60"/>
        <v>2</v>
      </c>
      <c r="K284" s="814"/>
      <c r="L284" s="814"/>
      <c r="M284" s="101"/>
      <c r="N284" s="111"/>
      <c r="O284" s="101"/>
      <c r="P284" s="111"/>
      <c r="Q284" s="101"/>
      <c r="R284" s="111"/>
      <c r="S284" s="101"/>
      <c r="T284" s="111"/>
      <c r="U284" s="101"/>
      <c r="V284" s="111"/>
      <c r="W284" s="101"/>
      <c r="X284" s="111"/>
      <c r="Y284" s="101"/>
      <c r="Z284" s="123"/>
      <c r="AA284" s="98"/>
      <c r="AB284" s="98"/>
      <c r="AK284" s="246"/>
      <c r="AL284" s="246"/>
      <c r="AM284" s="246"/>
      <c r="AN284" s="246"/>
    </row>
    <row r="285" spans="1:40" s="245" customFormat="1" ht="11.15" customHeight="1">
      <c r="A285" s="79" t="e">
        <f t="shared" si="53"/>
        <v>#REF!</v>
      </c>
      <c r="B285" s="111"/>
      <c r="C285" s="74" t="s">
        <v>331</v>
      </c>
      <c r="D285" s="195">
        <v>5</v>
      </c>
      <c r="E285" s="195">
        <v>7</v>
      </c>
      <c r="F285" s="195">
        <v>3</v>
      </c>
      <c r="G285" s="195">
        <v>5</v>
      </c>
      <c r="H285" s="195">
        <v>0</v>
      </c>
      <c r="I285" s="195">
        <v>1</v>
      </c>
      <c r="J285" s="196">
        <f t="shared" si="60"/>
        <v>21</v>
      </c>
      <c r="K285" s="814"/>
      <c r="L285" s="814"/>
      <c r="M285" s="101"/>
      <c r="N285" s="111"/>
      <c r="O285" s="101"/>
      <c r="P285" s="111"/>
      <c r="Q285" s="101"/>
      <c r="R285" s="111"/>
      <c r="S285" s="101"/>
      <c r="T285" s="111"/>
      <c r="U285" s="101"/>
      <c r="V285" s="111"/>
      <c r="W285" s="101"/>
      <c r="X285" s="111"/>
      <c r="Y285" s="101"/>
      <c r="Z285" s="123"/>
      <c r="AA285" s="98"/>
      <c r="AB285" s="98"/>
      <c r="AK285" s="246"/>
      <c r="AL285" s="246"/>
      <c r="AM285" s="246"/>
      <c r="AN285" s="246"/>
    </row>
    <row r="286" spans="1:40" s="245" customFormat="1" ht="11.15" customHeight="1">
      <c r="A286" s="79" t="e">
        <f t="shared" si="53"/>
        <v>#REF!</v>
      </c>
      <c r="B286" s="111"/>
      <c r="C286" s="74" t="s">
        <v>332</v>
      </c>
      <c r="D286" s="195">
        <v>3</v>
      </c>
      <c r="E286" s="195">
        <v>3</v>
      </c>
      <c r="F286" s="195">
        <v>4</v>
      </c>
      <c r="G286" s="195">
        <v>9</v>
      </c>
      <c r="H286" s="195">
        <v>4</v>
      </c>
      <c r="I286" s="195">
        <v>6</v>
      </c>
      <c r="J286" s="196">
        <v>29</v>
      </c>
      <c r="K286" s="814"/>
      <c r="L286" s="814"/>
      <c r="M286" s="101"/>
      <c r="N286" s="111"/>
      <c r="O286" s="101"/>
      <c r="P286" s="111"/>
      <c r="Q286" s="101"/>
      <c r="R286" s="111"/>
      <c r="S286" s="101"/>
      <c r="T286" s="111"/>
      <c r="U286" s="101"/>
      <c r="V286" s="111"/>
      <c r="W286" s="101"/>
      <c r="X286" s="111"/>
      <c r="Y286" s="101"/>
      <c r="Z286" s="123"/>
      <c r="AA286" s="98"/>
      <c r="AB286" s="98"/>
      <c r="AK286" s="246"/>
      <c r="AL286" s="246"/>
      <c r="AM286" s="246"/>
      <c r="AN286" s="246"/>
    </row>
    <row r="287" spans="1:40" s="245" customFormat="1" ht="11.15" customHeight="1">
      <c r="A287" s="79" t="e">
        <f t="shared" si="53"/>
        <v>#REF!</v>
      </c>
      <c r="B287" s="111"/>
      <c r="C287" s="815" t="s">
        <v>349</v>
      </c>
      <c r="D287" s="815"/>
      <c r="E287" s="815"/>
      <c r="F287" s="815"/>
      <c r="G287" s="815"/>
      <c r="H287" s="815"/>
      <c r="I287" s="815"/>
      <c r="J287" s="247">
        <f>SUBTOTAL(9,J279:J286)</f>
        <v>151</v>
      </c>
      <c r="K287" s="814"/>
      <c r="L287" s="814"/>
      <c r="M287" s="101"/>
      <c r="N287" s="111"/>
      <c r="O287" s="101"/>
      <c r="P287" s="111"/>
      <c r="Q287" s="101"/>
      <c r="R287" s="111"/>
      <c r="S287" s="101"/>
      <c r="T287" s="111"/>
      <c r="U287" s="101"/>
      <c r="V287" s="111"/>
      <c r="W287" s="101"/>
      <c r="X287" s="111"/>
      <c r="Y287" s="101"/>
      <c r="Z287" s="123"/>
      <c r="AA287" s="98"/>
      <c r="AB287" s="98"/>
      <c r="AK287" s="246"/>
      <c r="AL287" s="246"/>
      <c r="AM287" s="246"/>
      <c r="AN287" s="246"/>
    </row>
  </sheetData>
  <autoFilter ref="A28:AR286" xr:uid="{00000000-0001-0000-0100-000000000000}">
    <filterColumn colId="1">
      <filters blank="1">
        <filter val="0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mergeCells count="39">
    <mergeCell ref="C165:Z165"/>
    <mergeCell ref="C184:Z184"/>
    <mergeCell ref="C205:Z205"/>
    <mergeCell ref="C225:Z225"/>
    <mergeCell ref="C247:E247"/>
    <mergeCell ref="F247:Z247"/>
    <mergeCell ref="C145:Z145"/>
    <mergeCell ref="C48:Z48"/>
    <mergeCell ref="C67:Z67"/>
    <mergeCell ref="AG4:AP4"/>
    <mergeCell ref="C86:Z86"/>
    <mergeCell ref="C105:Z105"/>
    <mergeCell ref="C125:Z125"/>
    <mergeCell ref="Q8:R8"/>
    <mergeCell ref="Q9:R9"/>
    <mergeCell ref="Q10:R10"/>
    <mergeCell ref="C28:Q28"/>
    <mergeCell ref="R28:Z28"/>
    <mergeCell ref="B1:Z1"/>
    <mergeCell ref="B2:Z2"/>
    <mergeCell ref="Q5:R5"/>
    <mergeCell ref="Q6:R6"/>
    <mergeCell ref="Q7:R7"/>
    <mergeCell ref="Y3:Z3"/>
    <mergeCell ref="P4:Z4"/>
    <mergeCell ref="C277:C278"/>
    <mergeCell ref="C266:Z266"/>
    <mergeCell ref="K278:L278"/>
    <mergeCell ref="K279:L279"/>
    <mergeCell ref="C287:I287"/>
    <mergeCell ref="K285:L285"/>
    <mergeCell ref="K286:L286"/>
    <mergeCell ref="K287:L287"/>
    <mergeCell ref="D277:L277"/>
    <mergeCell ref="K280:L280"/>
    <mergeCell ref="K281:L281"/>
    <mergeCell ref="K282:L282"/>
    <mergeCell ref="K283:L283"/>
    <mergeCell ref="K284:L284"/>
  </mergeCells>
  <conditionalFormatting sqref="B145:B155">
    <cfRule type="containsText" dxfId="51" priority="288" operator="containsText" text="FALSE">
      <formula>NOT(ISERROR(SEARCH("FALSE",B145)))</formula>
    </cfRule>
  </conditionalFormatting>
  <conditionalFormatting sqref="B223:B285">
    <cfRule type="containsText" dxfId="50" priority="270" operator="containsText" text="FALSE">
      <formula>NOT(ISERROR(SEARCH("FALSE",B223)))</formula>
    </cfRule>
  </conditionalFormatting>
  <conditionalFormatting sqref="B28:C38">
    <cfRule type="containsText" dxfId="49" priority="336" operator="containsText" text="FALSE">
      <formula>NOT(ISERROR(SEARCH("FALSE",B28)))</formula>
    </cfRule>
  </conditionalFormatting>
  <conditionalFormatting sqref="B62:C65">
    <cfRule type="containsText" dxfId="48" priority="143" operator="containsText" text="FALSE">
      <formula>NOT(ISERROR(SEARCH("FALSE",B62)))</formula>
    </cfRule>
  </conditionalFormatting>
  <conditionalFormatting sqref="B159:I162">
    <cfRule type="containsText" dxfId="47" priority="39" operator="containsText" text="FALSE">
      <formula>NOT(ISERROR(SEARCH("FALSE",B159)))</formula>
    </cfRule>
  </conditionalFormatting>
  <conditionalFormatting sqref="B286:K287">
    <cfRule type="containsText" dxfId="46" priority="15" operator="containsText" text="FALSE">
      <formula>NOT(ISERROR(SEARCH("FALSE",B286)))</formula>
    </cfRule>
  </conditionalFormatting>
  <conditionalFormatting sqref="B100:W103">
    <cfRule type="containsText" dxfId="45" priority="24" operator="containsText" text="FALSE">
      <formula>NOT(ISERROR(SEARCH("FALSE",B100)))</formula>
    </cfRule>
  </conditionalFormatting>
  <conditionalFormatting sqref="B78:X78">
    <cfRule type="containsText" dxfId="44" priority="123" operator="containsText" text="FALSE">
      <formula>NOT(ISERROR(SEARCH("FALSE",B78)))</formula>
    </cfRule>
  </conditionalFormatting>
  <conditionalFormatting sqref="B3:Y3 B4:W4 B17:I17 B116:C116">
    <cfRule type="containsText" dxfId="43" priority="359" operator="containsText" text="FALSE">
      <formula>NOT(ISERROR(SEARCH("FALSE",B3)))</formula>
    </cfRule>
  </conditionalFormatting>
  <conditionalFormatting sqref="B42:Y45">
    <cfRule type="containsText" dxfId="42" priority="8" operator="containsText" text="FALSE">
      <formula>NOT(ISERROR(SEARCH("FALSE",B42)))</formula>
    </cfRule>
  </conditionalFormatting>
  <conditionalFormatting sqref="B1:Z2 AA1:AB4 B21:AB27 D33:Z36 B39:AB41 Z43:AB45 B46:AB47 C53:Z56 B60:AB61 Z63:AB65 B66:AB66 C72:Z75 Z78:AB78 B79:AB85 C91:Z94 B97:AB99 Z101:AB103 B104:AB104 B105:B115 C110:Z113 B117:AB124 C130:Z133 C150:Z153 B156:AB158 B163:AB164 B165:B215 C170:Z173 C174:C176 E176 E177:AB183 C183:C188 AA184:AB202 C189:Z192 E195:Z197 E198:I201 E202:Z202 E203:AB204 C205:C209 C210:Z213 B216:AB216 B217:D222 E217:AB224 C225:C229 AA225:AB242 C230:Z233 E236:Z238 C237:D243 E239:G242 Q239:Z242 E243:AB244 D244:D245 E245:T246 V245:AB246 AA247:AB278 C252:Z255 E258 E259:Z260 C259:D264 E261:O264 Q261:X264 Y261:Z265 E265:J265 C271:Z274 M277:Q278 M279:AB287 B288:AB1048576">
    <cfRule type="containsText" dxfId="41" priority="294" operator="containsText" text="FALSE">
      <formula>NOT(ISERROR(SEARCH("FALSE",B1)))</formula>
    </cfRule>
  </conditionalFormatting>
  <conditionalFormatting sqref="B5:AB14 B15:V15 X15:AB15 B16:AB16 B67:B77 B136:AB136 B137:W137 Y137:AB137 B138:AB144">
    <cfRule type="containsText" dxfId="40" priority="299" operator="containsText" text="FALSE">
      <formula>NOT(ISERROR(SEARCH("FALSE",B5)))</formula>
    </cfRule>
  </conditionalFormatting>
  <conditionalFormatting sqref="C57:C59">
    <cfRule type="containsText" dxfId="39" priority="51" operator="containsText" text="FALSE">
      <formula>NOT(ISERROR(SEARCH("FALSE",C57)))</formula>
    </cfRule>
  </conditionalFormatting>
  <conditionalFormatting sqref="C67:C71 B86:B96 C125:C129 B125:B135">
    <cfRule type="containsText" dxfId="38" priority="297" operator="containsText" text="FALSE">
      <formula>NOT(ISERROR(SEARCH("FALSE",B67)))</formula>
    </cfRule>
  </conditionalFormatting>
  <conditionalFormatting sqref="C105:C109 R106:R109 C114:C115">
    <cfRule type="containsText" dxfId="37" priority="296" operator="containsText" text="FALSE">
      <formula>NOT(ISERROR(SEARCH("FALSE",C105)))</formula>
    </cfRule>
  </conditionalFormatting>
  <conditionalFormatting sqref="C145:C149 R146:R149 C154:C155">
    <cfRule type="containsText" dxfId="36" priority="290" operator="containsText" text="FALSE">
      <formula>NOT(ISERROR(SEARCH("FALSE",C145)))</formula>
    </cfRule>
  </conditionalFormatting>
  <conditionalFormatting sqref="C165:C169 R166:R169">
    <cfRule type="containsText" dxfId="35" priority="287" operator="containsText" text="FALSE">
      <formula>NOT(ISERROR(SEARCH("FALSE",C165)))</formula>
    </cfRule>
  </conditionalFormatting>
  <conditionalFormatting sqref="C245:C251 R248:R251 C256:C257">
    <cfRule type="containsText" dxfId="34" priority="275" operator="containsText" text="FALSE">
      <formula>NOT(ISERROR(SEARCH("FALSE",C245)))</formula>
    </cfRule>
  </conditionalFormatting>
  <conditionalFormatting sqref="C266:C270 R267:R270 C275:C276">
    <cfRule type="containsText" dxfId="33" priority="272" operator="containsText" text="FALSE">
      <formula>NOT(ISERROR(SEARCH("FALSE",C266)))</formula>
    </cfRule>
  </conditionalFormatting>
  <conditionalFormatting sqref="C177:D182">
    <cfRule type="containsText" dxfId="32" priority="17" operator="containsText" text="FALSE">
      <formula>NOT(ISERROR(SEARCH("FALSE",C177)))</formula>
    </cfRule>
  </conditionalFormatting>
  <conditionalFormatting sqref="C196:D202">
    <cfRule type="containsText" dxfId="31" priority="19" operator="containsText" text="FALSE">
      <formula>NOT(ISERROR(SEARCH("FALSE",C196)))</formula>
    </cfRule>
  </conditionalFormatting>
  <conditionalFormatting sqref="C278:K285">
    <cfRule type="containsText" dxfId="30" priority="20" operator="containsText" text="FALSE">
      <formula>NOT(ISERROR(SEARCH("FALSE",C278)))</formula>
    </cfRule>
  </conditionalFormatting>
  <conditionalFormatting sqref="E59">
    <cfRule type="containsText" dxfId="29" priority="52" operator="containsText" text="FALSE">
      <formula>NOT(ISERROR(SEARCH("FALSE",E59)))</formula>
    </cfRule>
  </conditionalFormatting>
  <conditionalFormatting sqref="E62:E65">
    <cfRule type="containsText" dxfId="28" priority="142" operator="containsText" text="FALSE">
      <formula>NOT(ISERROR(SEARCH("FALSE",E62)))</formula>
    </cfRule>
  </conditionalFormatting>
  <conditionalFormatting sqref="G59">
    <cfRule type="containsText" dxfId="27" priority="56" operator="containsText" text="FALSE">
      <formula>NOT(ISERROR(SEARCH("FALSE",G59)))</formula>
    </cfRule>
  </conditionalFormatting>
  <conditionalFormatting sqref="G176">
    <cfRule type="containsText" dxfId="26" priority="9" operator="containsText" text="FALSE">
      <formula>NOT(ISERROR(SEARCH("FALSE",G176)))</formula>
    </cfRule>
  </conditionalFormatting>
  <conditionalFormatting sqref="G62:I65">
    <cfRule type="containsText" dxfId="25" priority="140" operator="containsText" text="FALSE">
      <formula>NOT(ISERROR(SEARCH("FALSE",G62)))</formula>
    </cfRule>
  </conditionalFormatting>
  <conditionalFormatting sqref="H240:P242">
    <cfRule type="containsText" dxfId="24" priority="241" operator="containsText" text="FALSE">
      <formula>NOT(ISERROR(SEARCH("FALSE",H240)))</formula>
    </cfRule>
  </conditionalFormatting>
  <conditionalFormatting sqref="I59">
    <cfRule type="containsText" dxfId="23" priority="37" operator="containsText" text="FALSE">
      <formula>NOT(ISERROR(SEARCH("FALSE",I59)))</formula>
    </cfRule>
  </conditionalFormatting>
  <conditionalFormatting sqref="I176">
    <cfRule type="containsText" dxfId="22" priority="10" operator="containsText" text="FALSE">
      <formula>NOT(ISERROR(SEARCH("FALSE",I176)))</formula>
    </cfRule>
  </conditionalFormatting>
  <conditionalFormatting sqref="K59">
    <cfRule type="containsText" dxfId="21" priority="36" operator="containsText" text="FALSE">
      <formula>NOT(ISERROR(SEARCH("FALSE",K59)))</formula>
    </cfRule>
  </conditionalFormatting>
  <conditionalFormatting sqref="K176">
    <cfRule type="containsText" dxfId="20" priority="13" operator="containsText" text="FALSE">
      <formula>NOT(ISERROR(SEARCH("FALSE",K176)))</formula>
    </cfRule>
  </conditionalFormatting>
  <conditionalFormatting sqref="K159:M162">
    <cfRule type="containsText" dxfId="19" priority="38" operator="containsText" text="FALSE">
      <formula>NOT(ISERROR(SEARCH("FALSE",K159)))</formula>
    </cfRule>
  </conditionalFormatting>
  <conditionalFormatting sqref="K62:Y65">
    <cfRule type="containsText" dxfId="18" priority="54" operator="containsText" text="FALSE">
      <formula>NOT(ISERROR(SEARCH("FALSE",K62)))</formula>
    </cfRule>
  </conditionalFormatting>
  <conditionalFormatting sqref="K17:Z17 AA17:AB20 B18:Z20 B48:B59 L265:P265 R265:X265">
    <cfRule type="containsText" dxfId="17" priority="301" operator="containsText" text="FALSE">
      <formula>NOT(ISERROR(SEARCH("FALSE",B17)))</formula>
    </cfRule>
  </conditionalFormatting>
  <conditionalFormatting sqref="M59">
    <cfRule type="containsText" dxfId="16" priority="6" operator="containsText" text="FALSE">
      <formula>NOT(ISERROR(SEARCH("FALSE",M59)))</formula>
    </cfRule>
  </conditionalFormatting>
  <conditionalFormatting sqref="M176">
    <cfRule type="containsText" dxfId="15" priority="14" operator="containsText" text="FALSE">
      <formula>NOT(ISERROR(SEARCH("FALSE",M176)))</formula>
    </cfRule>
  </conditionalFormatting>
  <conditionalFormatting sqref="M198:U201">
    <cfRule type="containsText" dxfId="14" priority="1" operator="containsText" text="FALSE">
      <formula>NOT(ISERROR(SEARCH("FALSE",M198)))</formula>
    </cfRule>
  </conditionalFormatting>
  <conditionalFormatting sqref="O59">
    <cfRule type="containsText" dxfId="13" priority="5" operator="containsText" text="FALSE">
      <formula>NOT(ISERROR(SEARCH("FALSE",O59)))</formula>
    </cfRule>
  </conditionalFormatting>
  <conditionalFormatting sqref="O159:O162">
    <cfRule type="containsText" dxfId="12" priority="68" operator="containsText" text="FALSE">
      <formula>NOT(ISERROR(SEARCH("FALSE",O159)))</formula>
    </cfRule>
  </conditionalFormatting>
  <conditionalFormatting sqref="O176">
    <cfRule type="containsText" dxfId="11" priority="29" operator="containsText" text="FALSE">
      <formula>NOT(ISERROR(SEARCH("FALSE",O176)))</formula>
    </cfRule>
  </conditionalFormatting>
  <conditionalFormatting sqref="Q159:AB162">
    <cfRule type="containsText" dxfId="10" priority="3" operator="containsText" text="FALSE">
      <formula>NOT(ISERROR(SEARCH("FALSE",Q159)))</formula>
    </cfRule>
  </conditionalFormatting>
  <conditionalFormatting sqref="R126:R129 C134:C135">
    <cfRule type="containsText" dxfId="9" priority="293" operator="containsText" text="FALSE">
      <formula>NOT(ISERROR(SEARCH("FALSE",C126)))</formula>
    </cfRule>
  </conditionalFormatting>
  <conditionalFormatting sqref="R185:R188 C193:C194">
    <cfRule type="containsText" dxfId="8" priority="284" operator="containsText" text="FALSE">
      <formula>NOT(ISERROR(SEARCH("FALSE",C185)))</formula>
    </cfRule>
  </conditionalFormatting>
  <conditionalFormatting sqref="R206:R209 C214:C215">
    <cfRule type="containsText" dxfId="7" priority="281" operator="containsText" text="FALSE">
      <formula>NOT(ISERROR(SEARCH("FALSE",C206)))</formula>
    </cfRule>
  </conditionalFormatting>
  <conditionalFormatting sqref="R226:R229 C234:C235">
    <cfRule type="containsText" dxfId="6" priority="278" operator="containsText" text="FALSE">
      <formula>NOT(ISERROR(SEARCH("FALSE",C226)))</formula>
    </cfRule>
  </conditionalFormatting>
  <conditionalFormatting sqref="W198:W201">
    <cfRule type="containsText" dxfId="5" priority="60" operator="containsText" text="FALSE">
      <formula>NOT(ISERROR(SEARCH("FALSE",W198)))</formula>
    </cfRule>
  </conditionalFormatting>
  <conditionalFormatting sqref="X101:X103">
    <cfRule type="containsText" dxfId="4" priority="216" operator="containsText" text="FALSE">
      <formula>NOT(ISERROR(SEARCH("FALSE",X101)))</formula>
    </cfRule>
  </conditionalFormatting>
  <conditionalFormatting sqref="Y27 R28:R32 AA28:AB38 AA42:AB42 C48:C52 AA48:AB59 R49:R52 AA62:AB62 D63:D65 F63:F65 J63:J65 AA67:AB77 R68:R71 C76:C77 C86:C90 AA86:AB96 R87:R90 C95:C96 H239:K239 M239:P239">
    <cfRule type="containsText" dxfId="3" priority="360" operator="containsText" text="FALSE">
      <formula>NOT(ISERROR(SEARCH("FALSE",C27)))</formula>
    </cfRule>
  </conditionalFormatting>
  <conditionalFormatting sqref="Y100:Y103">
    <cfRule type="containsText" dxfId="2" priority="23" operator="containsText" text="FALSE">
      <formula>NOT(ISERROR(SEARCH("FALSE",Y100)))</formula>
    </cfRule>
  </conditionalFormatting>
  <conditionalFormatting sqref="Y198:Y201">
    <cfRule type="containsText" dxfId="1" priority="48" operator="containsText" text="FALSE">
      <formula>NOT(ISERROR(SEARCH("FALSE",Y198)))</formula>
    </cfRule>
  </conditionalFormatting>
  <conditionalFormatting sqref="AA100:AB100 AA105:AB116 AA125:AB135 AA145:AB155 J160:J162 N160:N162 P160:P162 AA165:AB176 J198:K198 J199:L201 V199:V201 X199:X201 Z199:Z201 AA205:AB215 F247 H258 P262:P264">
    <cfRule type="containsText" dxfId="0" priority="361" operator="containsText" text="FALSE">
      <formula>NOT(ISERROR(SEARCH("FALSE",F100)))</formula>
    </cfRule>
  </conditionalFormatting>
  <printOptions horizontalCentered="1" verticalCentered="1"/>
  <pageMargins left="0" right="0" top="0" bottom="0" header="0" footer="0"/>
  <pageSetup paperSize="9" scale="73" fitToHeight="4" orientation="landscape" horizontalDpi="1200" verticalDpi="1200" r:id="rId1"/>
  <rowBreaks count="2" manualBreakCount="2">
    <brk id="96" min="1" max="25" man="1"/>
    <brk id="194" min="1" max="2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7384-9A2F-4A3D-B220-BE1C48759C0B}">
  <sheetPr>
    <pageSetUpPr fitToPage="1"/>
  </sheetPr>
  <dimension ref="A1:O23"/>
  <sheetViews>
    <sheetView view="pageBreakPreview" topLeftCell="A14" zoomScaleNormal="100" zoomScaleSheetLayoutView="100" workbookViewId="0">
      <selection activeCell="A25" sqref="A25"/>
    </sheetView>
  </sheetViews>
  <sheetFormatPr defaultRowHeight="15"/>
  <cols>
    <col min="1" max="1" width="5.7265625" style="548" customWidth="1"/>
    <col min="2" max="2" width="7.26953125" style="68" bestFit="1" customWidth="1"/>
    <col min="3" max="3" width="9.453125" style="68" bestFit="1" customWidth="1"/>
    <col min="4" max="4" width="17.54296875" style="68" customWidth="1"/>
    <col min="5" max="5" width="44" style="547" bestFit="1" customWidth="1"/>
    <col min="6" max="7" width="9.36328125" style="553" customWidth="1"/>
    <col min="8" max="8" width="19.90625" style="68" bestFit="1" customWidth="1"/>
    <col min="9" max="9" width="10" style="548" customWidth="1"/>
    <col min="10" max="10" width="34.90625" style="68" bestFit="1" customWidth="1"/>
    <col min="11" max="11" width="8.7265625" style="68"/>
    <col min="12" max="12" width="92.54296875" style="68" bestFit="1" customWidth="1"/>
    <col min="13" max="16384" width="8.7265625" style="68"/>
  </cols>
  <sheetData>
    <row r="1" spans="1:15" ht="15.5" thickBot="1">
      <c r="A1" s="670" t="s">
        <v>627</v>
      </c>
    </row>
    <row r="2" spans="1:15">
      <c r="A2" s="557" t="s">
        <v>585</v>
      </c>
      <c r="B2" s="558"/>
      <c r="C2" s="558"/>
      <c r="D2" s="558"/>
      <c r="E2" s="559"/>
      <c r="F2" s="560" t="s">
        <v>615</v>
      </c>
      <c r="G2" s="560" t="s">
        <v>529</v>
      </c>
      <c r="H2" s="561"/>
      <c r="I2" s="560" t="s">
        <v>1</v>
      </c>
      <c r="J2" s="562">
        <v>46029</v>
      </c>
    </row>
    <row r="3" spans="1:15">
      <c r="A3" s="563" t="s">
        <v>604</v>
      </c>
      <c r="B3" s="554"/>
      <c r="C3" s="554"/>
      <c r="D3" s="555">
        <v>37</v>
      </c>
      <c r="F3" s="556">
        <v>29</v>
      </c>
      <c r="G3" s="556">
        <v>8</v>
      </c>
      <c r="H3" s="564"/>
      <c r="I3" s="565"/>
      <c r="J3" s="566"/>
    </row>
    <row r="4" spans="1:15">
      <c r="A4" s="836" t="s">
        <v>605</v>
      </c>
      <c r="B4" s="837"/>
      <c r="C4" s="838"/>
      <c r="D4" s="555">
        <v>23</v>
      </c>
      <c r="F4" s="556">
        <v>21</v>
      </c>
      <c r="G4" s="556">
        <v>2</v>
      </c>
      <c r="H4" s="564"/>
      <c r="I4" s="565"/>
      <c r="J4" s="566"/>
    </row>
    <row r="5" spans="1:15">
      <c r="A5" s="836" t="s">
        <v>606</v>
      </c>
      <c r="B5" s="837"/>
      <c r="C5" s="838"/>
      <c r="D5" s="555">
        <f>D3-D4</f>
        <v>14</v>
      </c>
      <c r="F5" s="556">
        <v>8</v>
      </c>
      <c r="G5" s="556">
        <v>6</v>
      </c>
      <c r="H5" s="564"/>
      <c r="I5" s="565"/>
      <c r="J5" s="566"/>
    </row>
    <row r="6" spans="1:15">
      <c r="A6" s="563" t="s">
        <v>607</v>
      </c>
      <c r="B6" s="554"/>
      <c r="C6" s="554"/>
      <c r="D6" s="555">
        <v>4</v>
      </c>
      <c r="F6" s="556">
        <v>0</v>
      </c>
      <c r="G6" s="556">
        <v>4</v>
      </c>
      <c r="H6" s="564"/>
      <c r="I6" s="565"/>
      <c r="J6" s="566"/>
    </row>
    <row r="7" spans="1:15">
      <c r="A7" s="563" t="s">
        <v>628</v>
      </c>
      <c r="B7" s="554"/>
      <c r="C7" s="554"/>
      <c r="D7" s="555">
        <v>2</v>
      </c>
      <c r="F7" s="556">
        <v>1</v>
      </c>
      <c r="G7" s="556">
        <v>1</v>
      </c>
      <c r="H7" s="564"/>
      <c r="I7" s="565"/>
      <c r="J7" s="566"/>
    </row>
    <row r="8" spans="1:15">
      <c r="A8" s="563" t="s">
        <v>608</v>
      </c>
      <c r="B8" s="554"/>
      <c r="C8" s="554"/>
      <c r="D8" s="555">
        <v>8</v>
      </c>
      <c r="F8" s="556">
        <v>7</v>
      </c>
      <c r="G8" s="556">
        <v>1</v>
      </c>
      <c r="H8" s="564"/>
      <c r="I8" s="565"/>
      <c r="J8" s="566"/>
    </row>
    <row r="9" spans="1:15" s="549" customFormat="1" ht="26">
      <c r="A9" s="567" t="s">
        <v>301</v>
      </c>
      <c r="B9" s="550" t="s">
        <v>44</v>
      </c>
      <c r="C9" s="550" t="s">
        <v>574</v>
      </c>
      <c r="D9" s="551" t="s">
        <v>575</v>
      </c>
      <c r="E9" s="551" t="s">
        <v>611</v>
      </c>
      <c r="F9" s="550" t="s">
        <v>45</v>
      </c>
      <c r="G9" s="550" t="s">
        <v>47</v>
      </c>
      <c r="H9" s="551" t="s">
        <v>610</v>
      </c>
      <c r="I9" s="550" t="s">
        <v>613</v>
      </c>
      <c r="J9" s="568" t="s">
        <v>614</v>
      </c>
    </row>
    <row r="10" spans="1:15" ht="52">
      <c r="A10" s="569">
        <v>1</v>
      </c>
      <c r="B10" s="74" t="s">
        <v>273</v>
      </c>
      <c r="C10" s="344" t="s">
        <v>388</v>
      </c>
      <c r="D10" s="289" t="s">
        <v>555</v>
      </c>
      <c r="E10" s="289" t="s">
        <v>619</v>
      </c>
      <c r="F10" s="541">
        <v>46039</v>
      </c>
      <c r="G10" s="541">
        <v>46065</v>
      </c>
      <c r="H10" s="289" t="s">
        <v>603</v>
      </c>
      <c r="I10" s="344"/>
      <c r="J10" s="570" t="s">
        <v>636</v>
      </c>
      <c r="M10" s="289"/>
      <c r="N10" s="289"/>
      <c r="O10" s="289"/>
    </row>
    <row r="11" spans="1:15" ht="39">
      <c r="A11" s="569">
        <f>A10+1</f>
        <v>2</v>
      </c>
      <c r="B11" s="74" t="s">
        <v>281</v>
      </c>
      <c r="C11" s="344" t="s">
        <v>387</v>
      </c>
      <c r="D11" s="671" t="s">
        <v>556</v>
      </c>
      <c r="E11" s="289" t="s">
        <v>640</v>
      </c>
      <c r="F11" s="552"/>
      <c r="G11" s="552"/>
      <c r="H11" s="520" t="s">
        <v>546</v>
      </c>
      <c r="I11" s="344" t="s">
        <v>559</v>
      </c>
      <c r="J11" s="570" t="s">
        <v>637</v>
      </c>
      <c r="M11" s="289"/>
      <c r="N11" s="289"/>
      <c r="O11" s="289"/>
    </row>
    <row r="12" spans="1:15" ht="65">
      <c r="A12" s="569">
        <f t="shared" ref="A12:A23" si="0">A11+1</f>
        <v>3</v>
      </c>
      <c r="B12" s="74" t="s">
        <v>394</v>
      </c>
      <c r="C12" s="344" t="s">
        <v>395</v>
      </c>
      <c r="D12" s="671" t="s">
        <v>556</v>
      </c>
      <c r="E12" s="287" t="s">
        <v>629</v>
      </c>
      <c r="F12" s="541">
        <v>45998</v>
      </c>
      <c r="G12" s="541">
        <v>46063</v>
      </c>
      <c r="H12" s="520" t="s">
        <v>546</v>
      </c>
      <c r="I12" s="344" t="s">
        <v>577</v>
      </c>
      <c r="J12" s="570" t="s">
        <v>634</v>
      </c>
      <c r="M12" s="287"/>
      <c r="N12" s="287"/>
      <c r="O12" s="287"/>
    </row>
    <row r="13" spans="1:15" ht="39">
      <c r="A13" s="569">
        <f t="shared" si="0"/>
        <v>4</v>
      </c>
      <c r="B13" s="74" t="s">
        <v>378</v>
      </c>
      <c r="C13" s="344" t="s">
        <v>387</v>
      </c>
      <c r="D13" s="289" t="s">
        <v>555</v>
      </c>
      <c r="E13" s="289" t="s">
        <v>641</v>
      </c>
      <c r="F13" s="541">
        <v>46009</v>
      </c>
      <c r="G13" s="541">
        <v>46053</v>
      </c>
      <c r="H13" s="289" t="s">
        <v>603</v>
      </c>
      <c r="I13" s="344" t="s">
        <v>561</v>
      </c>
      <c r="J13" s="570" t="s">
        <v>630</v>
      </c>
      <c r="M13" s="289"/>
      <c r="N13" s="289"/>
      <c r="O13" s="289"/>
    </row>
    <row r="14" spans="1:15" ht="65">
      <c r="A14" s="569">
        <f t="shared" si="0"/>
        <v>5</v>
      </c>
      <c r="B14" s="74" t="s">
        <v>293</v>
      </c>
      <c r="C14" s="344" t="s">
        <v>539</v>
      </c>
      <c r="D14" s="286" t="s">
        <v>533</v>
      </c>
      <c r="E14" s="289" t="s">
        <v>633</v>
      </c>
      <c r="F14" s="552">
        <v>46030</v>
      </c>
      <c r="G14" s="552"/>
      <c r="H14" s="520" t="s">
        <v>546</v>
      </c>
      <c r="I14" s="344"/>
      <c r="J14" s="570" t="s">
        <v>635</v>
      </c>
      <c r="M14" s="289"/>
      <c r="N14" s="289"/>
      <c r="O14" s="289"/>
    </row>
    <row r="15" spans="1:15" ht="15" customHeight="1">
      <c r="A15" s="569">
        <f t="shared" si="0"/>
        <v>6</v>
      </c>
      <c r="B15" s="74" t="s">
        <v>401</v>
      </c>
      <c r="C15" s="344" t="s">
        <v>539</v>
      </c>
      <c r="D15" s="286" t="s">
        <v>533</v>
      </c>
      <c r="E15" s="674" t="s">
        <v>638</v>
      </c>
      <c r="F15" s="552"/>
      <c r="G15" s="552"/>
      <c r="H15" s="520" t="s">
        <v>546</v>
      </c>
      <c r="I15" s="344" t="s">
        <v>576</v>
      </c>
      <c r="J15" s="675" t="s">
        <v>632</v>
      </c>
      <c r="M15" s="263"/>
      <c r="N15" s="263"/>
      <c r="O15" s="263"/>
    </row>
    <row r="16" spans="1:15" ht="23">
      <c r="A16" s="569">
        <f t="shared" si="0"/>
        <v>7</v>
      </c>
      <c r="B16" s="74" t="s">
        <v>294</v>
      </c>
      <c r="C16" s="344" t="s">
        <v>388</v>
      </c>
      <c r="D16" s="289" t="s">
        <v>554</v>
      </c>
      <c r="E16" s="289" t="s">
        <v>642</v>
      </c>
      <c r="F16" s="541">
        <v>46022</v>
      </c>
      <c r="G16" s="541">
        <v>46030</v>
      </c>
      <c r="H16" s="289" t="s">
        <v>603</v>
      </c>
      <c r="I16" s="344" t="s">
        <v>609</v>
      </c>
      <c r="J16" s="570" t="s">
        <v>631</v>
      </c>
      <c r="M16" s="289"/>
      <c r="N16" s="289"/>
      <c r="O16" s="289"/>
    </row>
    <row r="17" spans="1:15" ht="23">
      <c r="A17" s="569">
        <f t="shared" si="0"/>
        <v>8</v>
      </c>
      <c r="B17" s="74" t="s">
        <v>295</v>
      </c>
      <c r="C17" s="344" t="s">
        <v>388</v>
      </c>
      <c r="D17" s="289" t="s">
        <v>554</v>
      </c>
      <c r="E17" s="674" t="s">
        <v>638</v>
      </c>
      <c r="F17" s="552"/>
      <c r="G17" s="552"/>
      <c r="H17" s="520" t="s">
        <v>546</v>
      </c>
      <c r="I17" s="344" t="s">
        <v>578</v>
      </c>
      <c r="J17" s="675" t="s">
        <v>632</v>
      </c>
      <c r="M17" s="289"/>
      <c r="N17" s="289"/>
      <c r="O17" s="289"/>
    </row>
    <row r="18" spans="1:15">
      <c r="A18" s="569">
        <f t="shared" si="0"/>
        <v>9</v>
      </c>
      <c r="B18" s="74" t="s">
        <v>518</v>
      </c>
      <c r="C18" s="344" t="s">
        <v>516</v>
      </c>
      <c r="D18" s="286" t="s">
        <v>534</v>
      </c>
      <c r="E18" s="287" t="s">
        <v>639</v>
      </c>
      <c r="F18" s="552"/>
      <c r="G18" s="552"/>
      <c r="H18" s="520" t="s">
        <v>546</v>
      </c>
      <c r="I18" s="344" t="s">
        <v>579</v>
      </c>
      <c r="J18" s="675" t="s">
        <v>632</v>
      </c>
      <c r="M18" s="287"/>
      <c r="N18" s="287"/>
      <c r="O18" s="287"/>
    </row>
    <row r="19" spans="1:15">
      <c r="A19" s="569">
        <f t="shared" si="0"/>
        <v>10</v>
      </c>
      <c r="B19" s="74" t="s">
        <v>406</v>
      </c>
      <c r="C19" s="344" t="s">
        <v>516</v>
      </c>
      <c r="D19" s="286" t="s">
        <v>534</v>
      </c>
      <c r="E19" s="287" t="s">
        <v>639</v>
      </c>
      <c r="F19" s="676"/>
      <c r="G19" s="552"/>
      <c r="H19" s="520" t="s">
        <v>546</v>
      </c>
      <c r="I19" s="344" t="s">
        <v>580</v>
      </c>
      <c r="J19" s="675" t="s">
        <v>632</v>
      </c>
      <c r="M19" s="287"/>
      <c r="N19" s="287"/>
      <c r="O19" s="287"/>
    </row>
    <row r="20" spans="1:15">
      <c r="A20" s="569">
        <f t="shared" si="0"/>
        <v>11</v>
      </c>
      <c r="B20" s="74" t="s">
        <v>520</v>
      </c>
      <c r="C20" s="344" t="s">
        <v>516</v>
      </c>
      <c r="D20" s="286" t="s">
        <v>534</v>
      </c>
      <c r="E20" s="287" t="s">
        <v>639</v>
      </c>
      <c r="F20" s="552"/>
      <c r="G20" s="552"/>
      <c r="H20" s="520" t="s">
        <v>546</v>
      </c>
      <c r="I20" s="344" t="s">
        <v>581</v>
      </c>
      <c r="J20" s="675" t="s">
        <v>632</v>
      </c>
      <c r="M20" s="287"/>
      <c r="N20" s="287"/>
      <c r="O20" s="287"/>
    </row>
    <row r="21" spans="1:15" ht="34.5">
      <c r="A21" s="569">
        <f t="shared" si="0"/>
        <v>12</v>
      </c>
      <c r="B21" s="74" t="s">
        <v>408</v>
      </c>
      <c r="C21" s="344" t="s">
        <v>516</v>
      </c>
      <c r="D21" s="286" t="s">
        <v>534</v>
      </c>
      <c r="E21" s="677" t="s">
        <v>564</v>
      </c>
      <c r="F21" s="552"/>
      <c r="G21" s="552"/>
      <c r="H21" s="520" t="s">
        <v>546</v>
      </c>
      <c r="I21" s="344" t="s">
        <v>582</v>
      </c>
      <c r="J21" s="675" t="s">
        <v>632</v>
      </c>
      <c r="M21" s="672"/>
      <c r="N21" s="672"/>
      <c r="O21" s="673"/>
    </row>
    <row r="22" spans="1:15" ht="23">
      <c r="A22" s="569">
        <f t="shared" si="0"/>
        <v>13</v>
      </c>
      <c r="B22" s="74" t="s">
        <v>521</v>
      </c>
      <c r="C22" s="344" t="s">
        <v>516</v>
      </c>
      <c r="D22" s="286" t="s">
        <v>534</v>
      </c>
      <c r="E22" s="677" t="s">
        <v>565</v>
      </c>
      <c r="F22" s="552"/>
      <c r="G22" s="552"/>
      <c r="H22" s="520" t="s">
        <v>546</v>
      </c>
      <c r="I22" s="344" t="s">
        <v>583</v>
      </c>
      <c r="J22" s="675" t="s">
        <v>632</v>
      </c>
      <c r="M22" s="672"/>
      <c r="N22" s="672"/>
      <c r="O22" s="673"/>
    </row>
    <row r="23" spans="1:15" ht="23">
      <c r="A23" s="569">
        <f t="shared" si="0"/>
        <v>14</v>
      </c>
      <c r="B23" s="74" t="s">
        <v>410</v>
      </c>
      <c r="C23" s="344" t="s">
        <v>385</v>
      </c>
      <c r="D23" s="286" t="s">
        <v>533</v>
      </c>
      <c r="E23" s="677" t="s">
        <v>566</v>
      </c>
      <c r="F23" s="552"/>
      <c r="G23" s="552"/>
      <c r="H23" s="520" t="s">
        <v>546</v>
      </c>
      <c r="I23" s="344" t="s">
        <v>584</v>
      </c>
      <c r="J23" s="675" t="s">
        <v>632</v>
      </c>
      <c r="M23" s="672"/>
      <c r="N23" s="672"/>
      <c r="O23" s="673"/>
    </row>
  </sheetData>
  <mergeCells count="2">
    <mergeCell ref="A4:C4"/>
    <mergeCell ref="A5:C5"/>
  </mergeCells>
  <printOptions horizontalCentered="1" verticalCentered="1"/>
  <pageMargins left="0" right="0" top="0" bottom="0" header="0" footer="0"/>
  <pageSetup paperSize="9" scale="8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9"/>
  <sheetViews>
    <sheetView view="pageBreakPreview" zoomScale="80" zoomScaleNormal="80" workbookViewId="0">
      <selection sqref="A1:O1"/>
    </sheetView>
  </sheetViews>
  <sheetFormatPr defaultColWidth="8.7265625" defaultRowHeight="15"/>
  <cols>
    <col min="1" max="1" width="7.26953125" style="4" customWidth="1"/>
    <col min="2" max="2" width="12.36328125" style="3" bestFit="1" customWidth="1"/>
    <col min="3" max="3" width="10.453125" style="3" customWidth="1"/>
    <col min="4" max="4" width="7.26953125" style="3" bestFit="1" customWidth="1"/>
    <col min="5" max="5" width="11.453125" style="5" bestFit="1" customWidth="1"/>
    <col min="6" max="6" width="13.54296875" style="5" bestFit="1" customWidth="1"/>
    <col min="7" max="7" width="7.26953125" style="6" bestFit="1" customWidth="1"/>
    <col min="8" max="8" width="11.453125" style="7" bestFit="1" customWidth="1"/>
    <col min="9" max="9" width="12.26953125" style="8" bestFit="1" customWidth="1"/>
    <col min="10" max="10" width="10.453125" style="6" customWidth="1"/>
    <col min="11" max="11" width="6.08984375" style="6" bestFit="1" customWidth="1"/>
    <col min="12" max="12" width="11.453125" style="7" bestFit="1" customWidth="1"/>
    <col min="13" max="13" width="14" style="7" bestFit="1" customWidth="1"/>
    <col min="14" max="14" width="7.26953125" style="6" bestFit="1" customWidth="1"/>
    <col min="15" max="15" width="14.1796875" style="7" customWidth="1"/>
    <col min="16" max="16" width="11.453125" style="8" customWidth="1"/>
    <col min="17" max="17" width="13.1796875" style="9" customWidth="1"/>
    <col min="18" max="18" width="10.453125" style="8" customWidth="1"/>
    <col min="19" max="19" width="37.54296875" style="8" customWidth="1"/>
    <col min="20" max="20" width="4.1796875" style="8" customWidth="1"/>
    <col min="21" max="21" width="8.453125" style="8" customWidth="1"/>
    <col min="22" max="22" width="2.26953125" style="8" customWidth="1"/>
    <col min="23" max="23" width="7.26953125" style="8" customWidth="1"/>
    <col min="24" max="24" width="11.26953125" style="8" customWidth="1"/>
    <col min="25" max="16384" width="8.7265625" style="8"/>
  </cols>
  <sheetData>
    <row r="1" spans="1:24" s="58" customFormat="1" ht="17.5">
      <c r="A1" s="839" t="s">
        <v>299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56" t="s">
        <v>300</v>
      </c>
      <c r="Q1" s="57">
        <f>'NKTL DPR'!J1</f>
        <v>46034</v>
      </c>
    </row>
    <row r="2" spans="1:24">
      <c r="A2" s="844" t="s">
        <v>301</v>
      </c>
      <c r="B2" s="844" t="s">
        <v>302</v>
      </c>
      <c r="C2" s="840" t="s">
        <v>303</v>
      </c>
      <c r="D2" s="840"/>
      <c r="E2" s="840"/>
      <c r="F2" s="840"/>
      <c r="G2" s="840"/>
      <c r="H2" s="840"/>
      <c r="I2" s="840"/>
      <c r="J2" s="841" t="s">
        <v>304</v>
      </c>
      <c r="K2" s="841"/>
      <c r="L2" s="841"/>
      <c r="M2" s="841"/>
      <c r="N2" s="841"/>
      <c r="O2" s="841"/>
      <c r="P2" s="841"/>
      <c r="Q2" s="36"/>
      <c r="R2" s="16"/>
    </row>
    <row r="3" spans="1:24" s="2" customFormat="1" ht="29.5" customHeight="1">
      <c r="A3" s="844"/>
      <c r="B3" s="844"/>
      <c r="C3" s="254" t="s">
        <v>305</v>
      </c>
      <c r="D3" s="842" t="s">
        <v>306</v>
      </c>
      <c r="E3" s="842"/>
      <c r="F3" s="255" t="s">
        <v>310</v>
      </c>
      <c r="G3" s="842" t="s">
        <v>307</v>
      </c>
      <c r="H3" s="842"/>
      <c r="I3" s="255" t="s">
        <v>310</v>
      </c>
      <c r="J3" s="39" t="s">
        <v>308</v>
      </c>
      <c r="K3" s="843" t="s">
        <v>306</v>
      </c>
      <c r="L3" s="843"/>
      <c r="M3" s="38" t="s">
        <v>310</v>
      </c>
      <c r="N3" s="843" t="s">
        <v>307</v>
      </c>
      <c r="O3" s="843"/>
      <c r="P3" s="38" t="s">
        <v>310</v>
      </c>
      <c r="Q3" s="37" t="s">
        <v>28</v>
      </c>
      <c r="R3" s="16"/>
      <c r="S3" s="845" t="s">
        <v>309</v>
      </c>
      <c r="T3" s="846"/>
      <c r="U3" s="846"/>
      <c r="V3" s="846"/>
      <c r="W3" s="846"/>
      <c r="X3" s="847"/>
    </row>
    <row r="4" spans="1:24" ht="19.5" customHeight="1">
      <c r="A4" s="40"/>
      <c r="B4" s="40">
        <v>8.8819999999999997</v>
      </c>
      <c r="C4" s="41">
        <f>SUBTOTAL(9,C5:C14)</f>
        <v>8.8219999999999992</v>
      </c>
      <c r="D4" s="42">
        <f>SUBTOTAL(9,D5:D14)</f>
        <v>8.8219999999999992</v>
      </c>
      <c r="E4" s="43" t="s">
        <v>300</v>
      </c>
      <c r="F4" s="251" t="s">
        <v>300</v>
      </c>
      <c r="G4" s="42">
        <f>SUBTOTAL(9,G5:G14)</f>
        <v>7.2119999999999997</v>
      </c>
      <c r="H4" s="43" t="s">
        <v>300</v>
      </c>
      <c r="I4" s="44" t="s">
        <v>300</v>
      </c>
      <c r="J4" s="45">
        <f>SUBTOTAL(9,J5:J14)</f>
        <v>8.8219999999999992</v>
      </c>
      <c r="K4" s="848" t="s">
        <v>300</v>
      </c>
      <c r="L4" s="849"/>
      <c r="M4" s="38" t="s">
        <v>300</v>
      </c>
      <c r="N4" s="46">
        <f>SUBTOTAL(9,N5:N14)</f>
        <v>0</v>
      </c>
      <c r="O4" s="47"/>
      <c r="P4" s="38" t="s">
        <v>300</v>
      </c>
      <c r="Q4" s="48"/>
      <c r="R4" s="16"/>
      <c r="S4" s="18" t="s">
        <v>311</v>
      </c>
      <c r="T4" s="18" t="s">
        <v>312</v>
      </c>
      <c r="U4" s="18" t="s">
        <v>313</v>
      </c>
      <c r="V4" s="23" t="s">
        <v>314</v>
      </c>
      <c r="W4" s="18">
        <v>8.5640000000000001</v>
      </c>
      <c r="X4" s="18" t="s">
        <v>315</v>
      </c>
    </row>
    <row r="5" spans="1:24" s="62" customFormat="1">
      <c r="A5" s="40">
        <v>1</v>
      </c>
      <c r="B5" s="40" t="s">
        <v>422</v>
      </c>
      <c r="C5" s="50">
        <v>8.8219999999999992</v>
      </c>
      <c r="D5" s="50">
        <f>C5</f>
        <v>8.8219999999999992</v>
      </c>
      <c r="E5" s="253">
        <v>45733</v>
      </c>
      <c r="F5" s="51"/>
      <c r="G5" s="50">
        <v>7.2119999999999997</v>
      </c>
      <c r="H5" s="253" t="s">
        <v>423</v>
      </c>
      <c r="I5" s="52"/>
      <c r="J5" s="50">
        <f>C5</f>
        <v>8.8219999999999992</v>
      </c>
      <c r="K5" s="50">
        <v>7.5830000000000002</v>
      </c>
      <c r="L5" s="253">
        <v>45744</v>
      </c>
      <c r="M5" s="51"/>
      <c r="N5" s="50"/>
      <c r="O5" s="51"/>
      <c r="P5" s="59"/>
      <c r="Q5" s="48"/>
      <c r="R5" s="16"/>
      <c r="S5" s="60" t="s">
        <v>316</v>
      </c>
      <c r="T5" s="60" t="s">
        <v>312</v>
      </c>
      <c r="U5" s="60" t="s">
        <v>317</v>
      </c>
      <c r="V5" s="61" t="s">
        <v>314</v>
      </c>
      <c r="W5" s="60">
        <v>11.051</v>
      </c>
      <c r="X5" s="60" t="s">
        <v>318</v>
      </c>
    </row>
    <row r="6" spans="1:24" s="62" customFormat="1">
      <c r="A6" s="40">
        <v>2</v>
      </c>
      <c r="B6" s="49"/>
      <c r="C6" s="50"/>
      <c r="D6" s="50"/>
      <c r="E6" s="253"/>
      <c r="F6" s="51"/>
      <c r="G6" s="50"/>
      <c r="H6" s="253"/>
      <c r="I6" s="52"/>
      <c r="J6" s="50"/>
      <c r="K6" s="50"/>
      <c r="L6" s="253"/>
      <c r="M6" s="51"/>
      <c r="N6" s="50"/>
      <c r="O6" s="51"/>
      <c r="P6" s="59"/>
      <c r="Q6" s="48"/>
      <c r="R6" s="16"/>
      <c r="S6" s="60" t="s">
        <v>317</v>
      </c>
      <c r="T6" s="60" t="s">
        <v>312</v>
      </c>
      <c r="U6" s="60" t="s">
        <v>244</v>
      </c>
      <c r="V6" s="61" t="s">
        <v>314</v>
      </c>
      <c r="W6" s="60">
        <v>4.0869999999999997</v>
      </c>
      <c r="X6" s="60" t="s">
        <v>318</v>
      </c>
    </row>
    <row r="7" spans="1:24" s="63" customFormat="1">
      <c r="A7" s="40">
        <v>3</v>
      </c>
      <c r="B7" s="49"/>
      <c r="C7" s="50"/>
      <c r="D7" s="50"/>
      <c r="E7" s="253"/>
      <c r="F7" s="51"/>
      <c r="G7" s="50"/>
      <c r="H7" s="253"/>
      <c r="I7" s="52"/>
      <c r="J7" s="50"/>
      <c r="K7" s="50"/>
      <c r="L7" s="253"/>
      <c r="M7" s="51"/>
      <c r="N7" s="50"/>
      <c r="O7" s="51"/>
      <c r="P7" s="49"/>
      <c r="Q7" s="48"/>
      <c r="R7" s="16"/>
      <c r="S7" s="60" t="s">
        <v>319</v>
      </c>
      <c r="T7" s="60" t="s">
        <v>312</v>
      </c>
      <c r="U7" s="60" t="s">
        <v>320</v>
      </c>
      <c r="V7" s="61" t="s">
        <v>314</v>
      </c>
      <c r="W7" s="60">
        <v>16.088999999999999</v>
      </c>
      <c r="X7" s="60" t="s">
        <v>318</v>
      </c>
    </row>
    <row r="8" spans="1:24" s="62" customFormat="1">
      <c r="A8" s="40">
        <v>4</v>
      </c>
      <c r="B8" s="49"/>
      <c r="C8" s="50"/>
      <c r="D8" s="50"/>
      <c r="E8" s="253"/>
      <c r="F8" s="51"/>
      <c r="G8" s="50"/>
      <c r="H8" s="253"/>
      <c r="I8" s="52"/>
      <c r="J8" s="50"/>
      <c r="K8" s="50"/>
      <c r="L8" s="253"/>
      <c r="M8" s="51"/>
      <c r="N8" s="50"/>
      <c r="O8" s="51"/>
      <c r="P8" s="49"/>
      <c r="Q8" s="48"/>
      <c r="R8" s="16"/>
      <c r="S8" s="850" t="s">
        <v>321</v>
      </c>
      <c r="T8" s="851"/>
      <c r="U8" s="851"/>
      <c r="V8" s="852"/>
      <c r="W8" s="60">
        <f>SUM(W4:W7)</f>
        <v>39.790999999999997</v>
      </c>
      <c r="X8" s="60"/>
    </row>
    <row r="9" spans="1:24" s="62" customFormat="1">
      <c r="A9" s="40">
        <v>5</v>
      </c>
      <c r="B9" s="49"/>
      <c r="C9" s="50"/>
      <c r="D9" s="50"/>
      <c r="E9" s="253"/>
      <c r="F9" s="51"/>
      <c r="G9" s="50"/>
      <c r="H9" s="253"/>
      <c r="I9" s="52"/>
      <c r="J9" s="50"/>
      <c r="K9" s="50"/>
      <c r="L9" s="253"/>
      <c r="M9" s="51"/>
      <c r="N9" s="50"/>
      <c r="O9" s="51"/>
      <c r="P9" s="40"/>
      <c r="Q9" s="48"/>
      <c r="R9" s="16"/>
      <c r="T9" s="64"/>
    </row>
    <row r="10" spans="1:24" s="68" customFormat="1">
      <c r="A10" s="40">
        <v>6</v>
      </c>
      <c r="B10" s="49"/>
      <c r="C10" s="50"/>
      <c r="D10" s="50"/>
      <c r="E10" s="253"/>
      <c r="F10" s="51"/>
      <c r="G10" s="50"/>
      <c r="H10" s="253"/>
      <c r="I10" s="52"/>
      <c r="J10" s="50"/>
      <c r="K10" s="50"/>
      <c r="L10" s="253"/>
      <c r="M10" s="53"/>
      <c r="N10" s="50"/>
      <c r="O10" s="51"/>
      <c r="P10" s="40"/>
      <c r="Q10" s="65"/>
      <c r="R10" s="66"/>
      <c r="S10" s="48" t="s">
        <v>322</v>
      </c>
      <c r="T10" s="67"/>
    </row>
    <row r="11" spans="1:24" s="62" customFormat="1">
      <c r="A11" s="40">
        <v>7</v>
      </c>
      <c r="B11" s="49"/>
      <c r="C11" s="50"/>
      <c r="D11" s="50"/>
      <c r="E11" s="253"/>
      <c r="F11" s="51"/>
      <c r="G11" s="50"/>
      <c r="H11" s="253"/>
      <c r="I11" s="52"/>
      <c r="J11" s="50"/>
      <c r="K11" s="50"/>
      <c r="L11" s="253"/>
      <c r="M11" s="51"/>
      <c r="N11" s="50"/>
      <c r="O11" s="51"/>
      <c r="P11" s="40"/>
      <c r="Q11" s="48"/>
      <c r="R11" s="16"/>
      <c r="T11" s="64"/>
    </row>
    <row r="12" spans="1:24" s="62" customFormat="1">
      <c r="A12" s="40">
        <v>8</v>
      </c>
      <c r="B12" s="49"/>
      <c r="C12" s="50"/>
      <c r="D12" s="50"/>
      <c r="E12" s="253"/>
      <c r="F12" s="51"/>
      <c r="G12" s="50"/>
      <c r="H12" s="253"/>
      <c r="I12" s="52"/>
      <c r="J12" s="50"/>
      <c r="K12" s="50"/>
      <c r="L12" s="253"/>
      <c r="M12" s="51"/>
      <c r="N12" s="50"/>
      <c r="O12" s="51"/>
      <c r="P12" s="40"/>
      <c r="Q12" s="48"/>
      <c r="R12" s="16"/>
      <c r="T12" s="64"/>
    </row>
    <row r="13" spans="1:24" s="62" customFormat="1">
      <c r="A13" s="40">
        <v>9</v>
      </c>
      <c r="B13" s="49"/>
      <c r="C13" s="50"/>
      <c r="D13" s="50"/>
      <c r="E13" s="253"/>
      <c r="F13" s="51"/>
      <c r="G13" s="50"/>
      <c r="H13" s="253"/>
      <c r="I13" s="52"/>
      <c r="J13" s="50"/>
      <c r="K13" s="50"/>
      <c r="L13" s="253"/>
      <c r="M13" s="51"/>
      <c r="N13" s="50"/>
      <c r="O13" s="51"/>
      <c r="P13" s="49"/>
      <c r="Q13" s="48"/>
      <c r="R13" s="16"/>
      <c r="T13" s="64"/>
    </row>
    <row r="14" spans="1:24" s="62" customFormat="1">
      <c r="A14" s="40">
        <v>10</v>
      </c>
      <c r="B14" s="49"/>
      <c r="C14" s="50"/>
      <c r="D14" s="50"/>
      <c r="E14" s="253"/>
      <c r="F14" s="51"/>
      <c r="G14" s="50"/>
      <c r="H14" s="253"/>
      <c r="I14" s="52"/>
      <c r="J14" s="50"/>
      <c r="K14" s="50"/>
      <c r="L14" s="253"/>
      <c r="M14" s="51"/>
      <c r="N14" s="50"/>
      <c r="O14" s="51"/>
      <c r="P14" s="59"/>
      <c r="Q14" s="48"/>
      <c r="R14" s="16"/>
      <c r="T14" s="64"/>
    </row>
    <row r="15" spans="1:24" s="62" customFormat="1">
      <c r="A15" s="40"/>
      <c r="B15" s="40" t="s">
        <v>321</v>
      </c>
      <c r="C15" s="50">
        <f>SUBTOTAL(9,C5:C14)</f>
        <v>8.8219999999999992</v>
      </c>
      <c r="D15" s="853">
        <f>SUBTOTAL(9,D5:D14)</f>
        <v>8.8219999999999992</v>
      </c>
      <c r="E15" s="854"/>
      <c r="F15" s="252"/>
      <c r="G15" s="853">
        <f>SUBTOTAL(9,G5:G14)</f>
        <v>7.2119999999999997</v>
      </c>
      <c r="H15" s="854"/>
      <c r="I15" s="52">
        <v>0</v>
      </c>
      <c r="J15" s="50">
        <f>SUBTOTAL(9,J5:J14)</f>
        <v>8.8219999999999992</v>
      </c>
      <c r="K15" s="853">
        <f>SUBTOTAL(9,K5:K14)</f>
        <v>7.5830000000000002</v>
      </c>
      <c r="L15" s="854"/>
      <c r="M15" s="252"/>
      <c r="N15" s="853">
        <f>SUBTOTAL(9,N5:N14)</f>
        <v>0</v>
      </c>
      <c r="O15" s="854"/>
      <c r="P15" s="54"/>
      <c r="Q15" s="55"/>
      <c r="R15" s="16"/>
      <c r="T15" s="64"/>
    </row>
    <row r="16" spans="1:24">
      <c r="C16" s="10"/>
      <c r="D16" s="10"/>
      <c r="E16" s="11"/>
      <c r="F16" s="11"/>
      <c r="R16" s="16"/>
    </row>
    <row r="17" spans="4:18">
      <c r="R17" s="16"/>
    </row>
    <row r="18" spans="4:18">
      <c r="R18" s="16"/>
    </row>
    <row r="19" spans="4:18">
      <c r="D19" s="10"/>
      <c r="E19" s="11"/>
      <c r="F19" s="11"/>
      <c r="G19" s="12"/>
      <c r="H19" s="13"/>
      <c r="R19" s="16"/>
    </row>
    <row r="20" spans="4:18">
      <c r="D20" s="14"/>
      <c r="E20" s="15"/>
      <c r="F20" s="15"/>
      <c r="R20" s="16"/>
    </row>
    <row r="21" spans="4:18" ht="18.649999999999999" customHeight="1">
      <c r="R21" s="16"/>
    </row>
    <row r="22" spans="4:18" ht="18.649999999999999" customHeight="1">
      <c r="R22" s="16"/>
    </row>
    <row r="23" spans="4:18" ht="18.649999999999999" customHeight="1">
      <c r="R23" s="16"/>
    </row>
    <row r="24" spans="4:18" ht="18.649999999999999" customHeight="1">
      <c r="R24" s="16"/>
    </row>
    <row r="25" spans="4:18" ht="18.649999999999999" customHeight="1">
      <c r="R25" s="16"/>
    </row>
    <row r="26" spans="4:18" ht="18.649999999999999" customHeight="1">
      <c r="R26" s="16"/>
    </row>
    <row r="27" spans="4:18" ht="18.649999999999999" customHeight="1">
      <c r="R27" s="16"/>
    </row>
    <row r="28" spans="4:18" ht="18.649999999999999" customHeight="1">
      <c r="R28" s="16"/>
    </row>
    <row r="29" spans="4:18" ht="18.649999999999999" customHeight="1">
      <c r="R29" s="16"/>
    </row>
    <row r="30" spans="4:18" ht="18.649999999999999" customHeight="1">
      <c r="R30" s="16"/>
    </row>
    <row r="31" spans="4:18" ht="18.649999999999999" customHeight="1">
      <c r="R31" s="16"/>
    </row>
    <row r="32" spans="4:18" ht="18.649999999999999" customHeight="1">
      <c r="R32" s="16"/>
    </row>
    <row r="33" spans="18:18" ht="18.649999999999999" customHeight="1">
      <c r="R33" s="16"/>
    </row>
    <row r="34" spans="18:18" ht="18.649999999999999" customHeight="1">
      <c r="R34" s="16"/>
    </row>
    <row r="35" spans="18:18" ht="18.649999999999999" customHeight="1">
      <c r="R35" s="16"/>
    </row>
    <row r="36" spans="18:18" ht="18.649999999999999" customHeight="1">
      <c r="R36" s="16"/>
    </row>
    <row r="37" spans="18:18" ht="18.649999999999999" customHeight="1">
      <c r="R37" s="16"/>
    </row>
    <row r="38" spans="18:18">
      <c r="R38" s="17"/>
    </row>
    <row r="39" spans="18:18">
      <c r="R39" s="17"/>
    </row>
    <row r="40" spans="18:18">
      <c r="R40" s="17"/>
    </row>
    <row r="41" spans="18:18">
      <c r="R41" s="17"/>
    </row>
    <row r="42" spans="18:18">
      <c r="R42" s="16"/>
    </row>
    <row r="43" spans="18:18">
      <c r="R43" s="16"/>
    </row>
    <row r="44" spans="18:18">
      <c r="R44" s="16"/>
    </row>
    <row r="45" spans="18:18">
      <c r="R45" s="16"/>
    </row>
    <row r="46" spans="18:18">
      <c r="R46" s="16"/>
    </row>
    <row r="47" spans="18:18">
      <c r="R47" s="16"/>
    </row>
    <row r="48" spans="18:18">
      <c r="R48" s="16"/>
    </row>
    <row r="49" spans="18:18">
      <c r="R49" s="16"/>
    </row>
    <row r="50" spans="18:18">
      <c r="R50" s="17"/>
    </row>
    <row r="51" spans="18:18">
      <c r="R51" s="17"/>
    </row>
    <row r="52" spans="18:18">
      <c r="R52" s="16"/>
    </row>
    <row r="53" spans="18:18">
      <c r="R53" s="16"/>
    </row>
    <row r="54" spans="18:18">
      <c r="R54" s="16"/>
    </row>
    <row r="55" spans="18:18">
      <c r="R55" s="16"/>
    </row>
    <row r="56" spans="18:18">
      <c r="R56" s="16"/>
    </row>
    <row r="57" spans="18:18">
      <c r="R57" s="16"/>
    </row>
    <row r="58" spans="18:18">
      <c r="R58" s="16"/>
    </row>
    <row r="59" spans="18:18">
      <c r="R59" s="19"/>
    </row>
  </sheetData>
  <autoFilter ref="A4:X14" xr:uid="{00000000-0001-0000-0200-000000000000}">
    <filterColumn colId="10" showButton="0"/>
  </autoFilter>
  <mergeCells count="16">
    <mergeCell ref="S3:X3"/>
    <mergeCell ref="K4:L4"/>
    <mergeCell ref="S8:V8"/>
    <mergeCell ref="D15:E15"/>
    <mergeCell ref="G15:H15"/>
    <mergeCell ref="K15:L15"/>
    <mergeCell ref="N15:O15"/>
    <mergeCell ref="A1:O1"/>
    <mergeCell ref="C2:I2"/>
    <mergeCell ref="J2:P2"/>
    <mergeCell ref="D3:E3"/>
    <mergeCell ref="G3:H3"/>
    <mergeCell ref="K3:L3"/>
    <mergeCell ref="N3:O3"/>
    <mergeCell ref="A2:A3"/>
    <mergeCell ref="B2:B3"/>
  </mergeCells>
  <printOptions horizontalCentered="1" verticalCentered="1"/>
  <pageMargins left="0" right="0" top="0" bottom="0" header="0" footer="0"/>
  <pageSetup paperSize="9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D29D-817E-42FA-B122-0D2D715775F5}">
  <sheetPr>
    <pageSetUpPr fitToPage="1"/>
  </sheetPr>
  <dimension ref="A1:J20"/>
  <sheetViews>
    <sheetView view="pageBreakPreview" topLeftCell="A5" zoomScaleNormal="100" zoomScaleSheetLayoutView="100" workbookViewId="0">
      <selection activeCell="A10" sqref="A10:XFD10"/>
    </sheetView>
  </sheetViews>
  <sheetFormatPr defaultColWidth="9.1796875" defaultRowHeight="14.5"/>
  <cols>
    <col min="1" max="1" width="3.1796875" style="318" customWidth="1"/>
    <col min="2" max="2" width="5.81640625" style="318" bestFit="1" customWidth="1"/>
    <col min="3" max="3" width="7.36328125" style="318" bestFit="1" customWidth="1"/>
    <col min="4" max="4" width="3" style="318" bestFit="1" customWidth="1"/>
    <col min="5" max="5" width="17.54296875" style="318" bestFit="1" customWidth="1"/>
    <col min="6" max="6" width="5" style="318" bestFit="1" customWidth="1"/>
    <col min="7" max="8" width="10.08984375" style="318" bestFit="1" customWidth="1"/>
    <col min="9" max="9" width="7.81640625" style="318" bestFit="1" customWidth="1"/>
    <col min="10" max="10" width="14.81640625" style="318" bestFit="1" customWidth="1"/>
    <col min="11" max="256" width="9.1796875" style="318"/>
    <col min="257" max="257" width="3.1796875" style="318" customWidth="1"/>
    <col min="258" max="258" width="5.81640625" style="318" bestFit="1" customWidth="1"/>
    <col min="259" max="259" width="7.36328125" style="318" bestFit="1" customWidth="1"/>
    <col min="260" max="260" width="3" style="318" bestFit="1" customWidth="1"/>
    <col min="261" max="261" width="17.54296875" style="318" bestFit="1" customWidth="1"/>
    <col min="262" max="262" width="5" style="318" bestFit="1" customWidth="1"/>
    <col min="263" max="264" width="8.26953125" style="318" bestFit="1" customWidth="1"/>
    <col min="265" max="265" width="7.81640625" style="318" bestFit="1" customWidth="1"/>
    <col min="266" max="266" width="14.81640625" style="318" bestFit="1" customWidth="1"/>
    <col min="267" max="512" width="9.1796875" style="318"/>
    <col min="513" max="513" width="3.1796875" style="318" customWidth="1"/>
    <col min="514" max="514" width="5.81640625" style="318" bestFit="1" customWidth="1"/>
    <col min="515" max="515" width="7.36328125" style="318" bestFit="1" customWidth="1"/>
    <col min="516" max="516" width="3" style="318" bestFit="1" customWidth="1"/>
    <col min="517" max="517" width="17.54296875" style="318" bestFit="1" customWidth="1"/>
    <col min="518" max="518" width="5" style="318" bestFit="1" customWidth="1"/>
    <col min="519" max="520" width="8.26953125" style="318" bestFit="1" customWidth="1"/>
    <col min="521" max="521" width="7.81640625" style="318" bestFit="1" customWidth="1"/>
    <col min="522" max="522" width="14.81640625" style="318" bestFit="1" customWidth="1"/>
    <col min="523" max="768" width="9.1796875" style="318"/>
    <col min="769" max="769" width="3.1796875" style="318" customWidth="1"/>
    <col min="770" max="770" width="5.81640625" style="318" bestFit="1" customWidth="1"/>
    <col min="771" max="771" width="7.36328125" style="318" bestFit="1" customWidth="1"/>
    <col min="772" max="772" width="3" style="318" bestFit="1" customWidth="1"/>
    <col min="773" max="773" width="17.54296875" style="318" bestFit="1" customWidth="1"/>
    <col min="774" max="774" width="5" style="318" bestFit="1" customWidth="1"/>
    <col min="775" max="776" width="8.26953125" style="318" bestFit="1" customWidth="1"/>
    <col min="777" max="777" width="7.81640625" style="318" bestFit="1" customWidth="1"/>
    <col min="778" max="778" width="14.81640625" style="318" bestFit="1" customWidth="1"/>
    <col min="779" max="1024" width="9.1796875" style="318"/>
    <col min="1025" max="1025" width="3.1796875" style="318" customWidth="1"/>
    <col min="1026" max="1026" width="5.81640625" style="318" bestFit="1" customWidth="1"/>
    <col min="1027" max="1027" width="7.36328125" style="318" bestFit="1" customWidth="1"/>
    <col min="1028" max="1028" width="3" style="318" bestFit="1" customWidth="1"/>
    <col min="1029" max="1029" width="17.54296875" style="318" bestFit="1" customWidth="1"/>
    <col min="1030" max="1030" width="5" style="318" bestFit="1" customWidth="1"/>
    <col min="1031" max="1032" width="8.26953125" style="318" bestFit="1" customWidth="1"/>
    <col min="1033" max="1033" width="7.81640625" style="318" bestFit="1" customWidth="1"/>
    <col min="1034" max="1034" width="14.81640625" style="318" bestFit="1" customWidth="1"/>
    <col min="1035" max="1280" width="9.1796875" style="318"/>
    <col min="1281" max="1281" width="3.1796875" style="318" customWidth="1"/>
    <col min="1282" max="1282" width="5.81640625" style="318" bestFit="1" customWidth="1"/>
    <col min="1283" max="1283" width="7.36328125" style="318" bestFit="1" customWidth="1"/>
    <col min="1284" max="1284" width="3" style="318" bestFit="1" customWidth="1"/>
    <col min="1285" max="1285" width="17.54296875" style="318" bestFit="1" customWidth="1"/>
    <col min="1286" max="1286" width="5" style="318" bestFit="1" customWidth="1"/>
    <col min="1287" max="1288" width="8.26953125" style="318" bestFit="1" customWidth="1"/>
    <col min="1289" max="1289" width="7.81640625" style="318" bestFit="1" customWidth="1"/>
    <col min="1290" max="1290" width="14.81640625" style="318" bestFit="1" customWidth="1"/>
    <col min="1291" max="1536" width="9.1796875" style="318"/>
    <col min="1537" max="1537" width="3.1796875" style="318" customWidth="1"/>
    <col min="1538" max="1538" width="5.81640625" style="318" bestFit="1" customWidth="1"/>
    <col min="1539" max="1539" width="7.36328125" style="318" bestFit="1" customWidth="1"/>
    <col min="1540" max="1540" width="3" style="318" bestFit="1" customWidth="1"/>
    <col min="1541" max="1541" width="17.54296875" style="318" bestFit="1" customWidth="1"/>
    <col min="1542" max="1542" width="5" style="318" bestFit="1" customWidth="1"/>
    <col min="1543" max="1544" width="8.26953125" style="318" bestFit="1" customWidth="1"/>
    <col min="1545" max="1545" width="7.81640625" style="318" bestFit="1" customWidth="1"/>
    <col min="1546" max="1546" width="14.81640625" style="318" bestFit="1" customWidth="1"/>
    <col min="1547" max="1792" width="9.1796875" style="318"/>
    <col min="1793" max="1793" width="3.1796875" style="318" customWidth="1"/>
    <col min="1794" max="1794" width="5.81640625" style="318" bestFit="1" customWidth="1"/>
    <col min="1795" max="1795" width="7.36328125" style="318" bestFit="1" customWidth="1"/>
    <col min="1796" max="1796" width="3" style="318" bestFit="1" customWidth="1"/>
    <col min="1797" max="1797" width="17.54296875" style="318" bestFit="1" customWidth="1"/>
    <col min="1798" max="1798" width="5" style="318" bestFit="1" customWidth="1"/>
    <col min="1799" max="1800" width="8.26953125" style="318" bestFit="1" customWidth="1"/>
    <col min="1801" max="1801" width="7.81640625" style="318" bestFit="1" customWidth="1"/>
    <col min="1802" max="1802" width="14.81640625" style="318" bestFit="1" customWidth="1"/>
    <col min="1803" max="2048" width="9.1796875" style="318"/>
    <col min="2049" max="2049" width="3.1796875" style="318" customWidth="1"/>
    <col min="2050" max="2050" width="5.81640625" style="318" bestFit="1" customWidth="1"/>
    <col min="2051" max="2051" width="7.36328125" style="318" bestFit="1" customWidth="1"/>
    <col min="2052" max="2052" width="3" style="318" bestFit="1" customWidth="1"/>
    <col min="2053" max="2053" width="17.54296875" style="318" bestFit="1" customWidth="1"/>
    <col min="2054" max="2054" width="5" style="318" bestFit="1" customWidth="1"/>
    <col min="2055" max="2056" width="8.26953125" style="318" bestFit="1" customWidth="1"/>
    <col min="2057" max="2057" width="7.81640625" style="318" bestFit="1" customWidth="1"/>
    <col min="2058" max="2058" width="14.81640625" style="318" bestFit="1" customWidth="1"/>
    <col min="2059" max="2304" width="9.1796875" style="318"/>
    <col min="2305" max="2305" width="3.1796875" style="318" customWidth="1"/>
    <col min="2306" max="2306" width="5.81640625" style="318" bestFit="1" customWidth="1"/>
    <col min="2307" max="2307" width="7.36328125" style="318" bestFit="1" customWidth="1"/>
    <col min="2308" max="2308" width="3" style="318" bestFit="1" customWidth="1"/>
    <col min="2309" max="2309" width="17.54296875" style="318" bestFit="1" customWidth="1"/>
    <col min="2310" max="2310" width="5" style="318" bestFit="1" customWidth="1"/>
    <col min="2311" max="2312" width="8.26953125" style="318" bestFit="1" customWidth="1"/>
    <col min="2313" max="2313" width="7.81640625" style="318" bestFit="1" customWidth="1"/>
    <col min="2314" max="2314" width="14.81640625" style="318" bestFit="1" customWidth="1"/>
    <col min="2315" max="2560" width="9.1796875" style="318"/>
    <col min="2561" max="2561" width="3.1796875" style="318" customWidth="1"/>
    <col min="2562" max="2562" width="5.81640625" style="318" bestFit="1" customWidth="1"/>
    <col min="2563" max="2563" width="7.36328125" style="318" bestFit="1" customWidth="1"/>
    <col min="2564" max="2564" width="3" style="318" bestFit="1" customWidth="1"/>
    <col min="2565" max="2565" width="17.54296875" style="318" bestFit="1" customWidth="1"/>
    <col min="2566" max="2566" width="5" style="318" bestFit="1" customWidth="1"/>
    <col min="2567" max="2568" width="8.26953125" style="318" bestFit="1" customWidth="1"/>
    <col min="2569" max="2569" width="7.81640625" style="318" bestFit="1" customWidth="1"/>
    <col min="2570" max="2570" width="14.81640625" style="318" bestFit="1" customWidth="1"/>
    <col min="2571" max="2816" width="9.1796875" style="318"/>
    <col min="2817" max="2817" width="3.1796875" style="318" customWidth="1"/>
    <col min="2818" max="2818" width="5.81640625" style="318" bestFit="1" customWidth="1"/>
    <col min="2819" max="2819" width="7.36328125" style="318" bestFit="1" customWidth="1"/>
    <col min="2820" max="2820" width="3" style="318" bestFit="1" customWidth="1"/>
    <col min="2821" max="2821" width="17.54296875" style="318" bestFit="1" customWidth="1"/>
    <col min="2822" max="2822" width="5" style="318" bestFit="1" customWidth="1"/>
    <col min="2823" max="2824" width="8.26953125" style="318" bestFit="1" customWidth="1"/>
    <col min="2825" max="2825" width="7.81640625" style="318" bestFit="1" customWidth="1"/>
    <col min="2826" max="2826" width="14.81640625" style="318" bestFit="1" customWidth="1"/>
    <col min="2827" max="3072" width="9.1796875" style="318"/>
    <col min="3073" max="3073" width="3.1796875" style="318" customWidth="1"/>
    <col min="3074" max="3074" width="5.81640625" style="318" bestFit="1" customWidth="1"/>
    <col min="3075" max="3075" width="7.36328125" style="318" bestFit="1" customWidth="1"/>
    <col min="3076" max="3076" width="3" style="318" bestFit="1" customWidth="1"/>
    <col min="3077" max="3077" width="17.54296875" style="318" bestFit="1" customWidth="1"/>
    <col min="3078" max="3078" width="5" style="318" bestFit="1" customWidth="1"/>
    <col min="3079" max="3080" width="8.26953125" style="318" bestFit="1" customWidth="1"/>
    <col min="3081" max="3081" width="7.81640625" style="318" bestFit="1" customWidth="1"/>
    <col min="3082" max="3082" width="14.81640625" style="318" bestFit="1" customWidth="1"/>
    <col min="3083" max="3328" width="9.1796875" style="318"/>
    <col min="3329" max="3329" width="3.1796875" style="318" customWidth="1"/>
    <col min="3330" max="3330" width="5.81640625" style="318" bestFit="1" customWidth="1"/>
    <col min="3331" max="3331" width="7.36328125" style="318" bestFit="1" customWidth="1"/>
    <col min="3332" max="3332" width="3" style="318" bestFit="1" customWidth="1"/>
    <col min="3333" max="3333" width="17.54296875" style="318" bestFit="1" customWidth="1"/>
    <col min="3334" max="3334" width="5" style="318" bestFit="1" customWidth="1"/>
    <col min="3335" max="3336" width="8.26953125" style="318" bestFit="1" customWidth="1"/>
    <col min="3337" max="3337" width="7.81640625" style="318" bestFit="1" customWidth="1"/>
    <col min="3338" max="3338" width="14.81640625" style="318" bestFit="1" customWidth="1"/>
    <col min="3339" max="3584" width="9.1796875" style="318"/>
    <col min="3585" max="3585" width="3.1796875" style="318" customWidth="1"/>
    <col min="3586" max="3586" width="5.81640625" style="318" bestFit="1" customWidth="1"/>
    <col min="3587" max="3587" width="7.36328125" style="318" bestFit="1" customWidth="1"/>
    <col min="3588" max="3588" width="3" style="318" bestFit="1" customWidth="1"/>
    <col min="3589" max="3589" width="17.54296875" style="318" bestFit="1" customWidth="1"/>
    <col min="3590" max="3590" width="5" style="318" bestFit="1" customWidth="1"/>
    <col min="3591" max="3592" width="8.26953125" style="318" bestFit="1" customWidth="1"/>
    <col min="3593" max="3593" width="7.81640625" style="318" bestFit="1" customWidth="1"/>
    <col min="3594" max="3594" width="14.81640625" style="318" bestFit="1" customWidth="1"/>
    <col min="3595" max="3840" width="9.1796875" style="318"/>
    <col min="3841" max="3841" width="3.1796875" style="318" customWidth="1"/>
    <col min="3842" max="3842" width="5.81640625" style="318" bestFit="1" customWidth="1"/>
    <col min="3843" max="3843" width="7.36328125" style="318" bestFit="1" customWidth="1"/>
    <col min="3844" max="3844" width="3" style="318" bestFit="1" customWidth="1"/>
    <col min="3845" max="3845" width="17.54296875" style="318" bestFit="1" customWidth="1"/>
    <col min="3846" max="3846" width="5" style="318" bestFit="1" customWidth="1"/>
    <col min="3847" max="3848" width="8.26953125" style="318" bestFit="1" customWidth="1"/>
    <col min="3849" max="3849" width="7.81640625" style="318" bestFit="1" customWidth="1"/>
    <col min="3850" max="3850" width="14.81640625" style="318" bestFit="1" customWidth="1"/>
    <col min="3851" max="4096" width="9.1796875" style="318"/>
    <col min="4097" max="4097" width="3.1796875" style="318" customWidth="1"/>
    <col min="4098" max="4098" width="5.81640625" style="318" bestFit="1" customWidth="1"/>
    <col min="4099" max="4099" width="7.36328125" style="318" bestFit="1" customWidth="1"/>
    <col min="4100" max="4100" width="3" style="318" bestFit="1" customWidth="1"/>
    <col min="4101" max="4101" width="17.54296875" style="318" bestFit="1" customWidth="1"/>
    <col min="4102" max="4102" width="5" style="318" bestFit="1" customWidth="1"/>
    <col min="4103" max="4104" width="8.26953125" style="318" bestFit="1" customWidth="1"/>
    <col min="4105" max="4105" width="7.81640625" style="318" bestFit="1" customWidth="1"/>
    <col min="4106" max="4106" width="14.81640625" style="318" bestFit="1" customWidth="1"/>
    <col min="4107" max="4352" width="9.1796875" style="318"/>
    <col min="4353" max="4353" width="3.1796875" style="318" customWidth="1"/>
    <col min="4354" max="4354" width="5.81640625" style="318" bestFit="1" customWidth="1"/>
    <col min="4355" max="4355" width="7.36328125" style="318" bestFit="1" customWidth="1"/>
    <col min="4356" max="4356" width="3" style="318" bestFit="1" customWidth="1"/>
    <col min="4357" max="4357" width="17.54296875" style="318" bestFit="1" customWidth="1"/>
    <col min="4358" max="4358" width="5" style="318" bestFit="1" customWidth="1"/>
    <col min="4359" max="4360" width="8.26953125" style="318" bestFit="1" customWidth="1"/>
    <col min="4361" max="4361" width="7.81640625" style="318" bestFit="1" customWidth="1"/>
    <col min="4362" max="4362" width="14.81640625" style="318" bestFit="1" customWidth="1"/>
    <col min="4363" max="4608" width="9.1796875" style="318"/>
    <col min="4609" max="4609" width="3.1796875" style="318" customWidth="1"/>
    <col min="4610" max="4610" width="5.81640625" style="318" bestFit="1" customWidth="1"/>
    <col min="4611" max="4611" width="7.36328125" style="318" bestFit="1" customWidth="1"/>
    <col min="4612" max="4612" width="3" style="318" bestFit="1" customWidth="1"/>
    <col min="4613" max="4613" width="17.54296875" style="318" bestFit="1" customWidth="1"/>
    <col min="4614" max="4614" width="5" style="318" bestFit="1" customWidth="1"/>
    <col min="4615" max="4616" width="8.26953125" style="318" bestFit="1" customWidth="1"/>
    <col min="4617" max="4617" width="7.81640625" style="318" bestFit="1" customWidth="1"/>
    <col min="4618" max="4618" width="14.81640625" style="318" bestFit="1" customWidth="1"/>
    <col min="4619" max="4864" width="9.1796875" style="318"/>
    <col min="4865" max="4865" width="3.1796875" style="318" customWidth="1"/>
    <col min="4866" max="4866" width="5.81640625" style="318" bestFit="1" customWidth="1"/>
    <col min="4867" max="4867" width="7.36328125" style="318" bestFit="1" customWidth="1"/>
    <col min="4868" max="4868" width="3" style="318" bestFit="1" customWidth="1"/>
    <col min="4869" max="4869" width="17.54296875" style="318" bestFit="1" customWidth="1"/>
    <col min="4870" max="4870" width="5" style="318" bestFit="1" customWidth="1"/>
    <col min="4871" max="4872" width="8.26953125" style="318" bestFit="1" customWidth="1"/>
    <col min="4873" max="4873" width="7.81640625" style="318" bestFit="1" customWidth="1"/>
    <col min="4874" max="4874" width="14.81640625" style="318" bestFit="1" customWidth="1"/>
    <col min="4875" max="5120" width="9.1796875" style="318"/>
    <col min="5121" max="5121" width="3.1796875" style="318" customWidth="1"/>
    <col min="5122" max="5122" width="5.81640625" style="318" bestFit="1" customWidth="1"/>
    <col min="5123" max="5123" width="7.36328125" style="318" bestFit="1" customWidth="1"/>
    <col min="5124" max="5124" width="3" style="318" bestFit="1" customWidth="1"/>
    <col min="5125" max="5125" width="17.54296875" style="318" bestFit="1" customWidth="1"/>
    <col min="5126" max="5126" width="5" style="318" bestFit="1" customWidth="1"/>
    <col min="5127" max="5128" width="8.26953125" style="318" bestFit="1" customWidth="1"/>
    <col min="5129" max="5129" width="7.81640625" style="318" bestFit="1" customWidth="1"/>
    <col min="5130" max="5130" width="14.81640625" style="318" bestFit="1" customWidth="1"/>
    <col min="5131" max="5376" width="9.1796875" style="318"/>
    <col min="5377" max="5377" width="3.1796875" style="318" customWidth="1"/>
    <col min="5378" max="5378" width="5.81640625" style="318" bestFit="1" customWidth="1"/>
    <col min="5379" max="5379" width="7.36328125" style="318" bestFit="1" customWidth="1"/>
    <col min="5380" max="5380" width="3" style="318" bestFit="1" customWidth="1"/>
    <col min="5381" max="5381" width="17.54296875" style="318" bestFit="1" customWidth="1"/>
    <col min="5382" max="5382" width="5" style="318" bestFit="1" customWidth="1"/>
    <col min="5383" max="5384" width="8.26953125" style="318" bestFit="1" customWidth="1"/>
    <col min="5385" max="5385" width="7.81640625" style="318" bestFit="1" customWidth="1"/>
    <col min="5386" max="5386" width="14.81640625" style="318" bestFit="1" customWidth="1"/>
    <col min="5387" max="5632" width="9.1796875" style="318"/>
    <col min="5633" max="5633" width="3.1796875" style="318" customWidth="1"/>
    <col min="5634" max="5634" width="5.81640625" style="318" bestFit="1" customWidth="1"/>
    <col min="5635" max="5635" width="7.36328125" style="318" bestFit="1" customWidth="1"/>
    <col min="5636" max="5636" width="3" style="318" bestFit="1" customWidth="1"/>
    <col min="5637" max="5637" width="17.54296875" style="318" bestFit="1" customWidth="1"/>
    <col min="5638" max="5638" width="5" style="318" bestFit="1" customWidth="1"/>
    <col min="5639" max="5640" width="8.26953125" style="318" bestFit="1" customWidth="1"/>
    <col min="5641" max="5641" width="7.81640625" style="318" bestFit="1" customWidth="1"/>
    <col min="5642" max="5642" width="14.81640625" style="318" bestFit="1" customWidth="1"/>
    <col min="5643" max="5888" width="9.1796875" style="318"/>
    <col min="5889" max="5889" width="3.1796875" style="318" customWidth="1"/>
    <col min="5890" max="5890" width="5.81640625" style="318" bestFit="1" customWidth="1"/>
    <col min="5891" max="5891" width="7.36328125" style="318" bestFit="1" customWidth="1"/>
    <col min="5892" max="5892" width="3" style="318" bestFit="1" customWidth="1"/>
    <col min="5893" max="5893" width="17.54296875" style="318" bestFit="1" customWidth="1"/>
    <col min="5894" max="5894" width="5" style="318" bestFit="1" customWidth="1"/>
    <col min="5895" max="5896" width="8.26953125" style="318" bestFit="1" customWidth="1"/>
    <col min="5897" max="5897" width="7.81640625" style="318" bestFit="1" customWidth="1"/>
    <col min="5898" max="5898" width="14.81640625" style="318" bestFit="1" customWidth="1"/>
    <col min="5899" max="6144" width="9.1796875" style="318"/>
    <col min="6145" max="6145" width="3.1796875" style="318" customWidth="1"/>
    <col min="6146" max="6146" width="5.81640625" style="318" bestFit="1" customWidth="1"/>
    <col min="6147" max="6147" width="7.36328125" style="318" bestFit="1" customWidth="1"/>
    <col min="6148" max="6148" width="3" style="318" bestFit="1" customWidth="1"/>
    <col min="6149" max="6149" width="17.54296875" style="318" bestFit="1" customWidth="1"/>
    <col min="6150" max="6150" width="5" style="318" bestFit="1" customWidth="1"/>
    <col min="6151" max="6152" width="8.26953125" style="318" bestFit="1" customWidth="1"/>
    <col min="6153" max="6153" width="7.81640625" style="318" bestFit="1" customWidth="1"/>
    <col min="6154" max="6154" width="14.81640625" style="318" bestFit="1" customWidth="1"/>
    <col min="6155" max="6400" width="9.1796875" style="318"/>
    <col min="6401" max="6401" width="3.1796875" style="318" customWidth="1"/>
    <col min="6402" max="6402" width="5.81640625" style="318" bestFit="1" customWidth="1"/>
    <col min="6403" max="6403" width="7.36328125" style="318" bestFit="1" customWidth="1"/>
    <col min="6404" max="6404" width="3" style="318" bestFit="1" customWidth="1"/>
    <col min="6405" max="6405" width="17.54296875" style="318" bestFit="1" customWidth="1"/>
    <col min="6406" max="6406" width="5" style="318" bestFit="1" customWidth="1"/>
    <col min="6407" max="6408" width="8.26953125" style="318" bestFit="1" customWidth="1"/>
    <col min="6409" max="6409" width="7.81640625" style="318" bestFit="1" customWidth="1"/>
    <col min="6410" max="6410" width="14.81640625" style="318" bestFit="1" customWidth="1"/>
    <col min="6411" max="6656" width="9.1796875" style="318"/>
    <col min="6657" max="6657" width="3.1796875" style="318" customWidth="1"/>
    <col min="6658" max="6658" width="5.81640625" style="318" bestFit="1" customWidth="1"/>
    <col min="6659" max="6659" width="7.36328125" style="318" bestFit="1" customWidth="1"/>
    <col min="6660" max="6660" width="3" style="318" bestFit="1" customWidth="1"/>
    <col min="6661" max="6661" width="17.54296875" style="318" bestFit="1" customWidth="1"/>
    <col min="6662" max="6662" width="5" style="318" bestFit="1" customWidth="1"/>
    <col min="6663" max="6664" width="8.26953125" style="318" bestFit="1" customWidth="1"/>
    <col min="6665" max="6665" width="7.81640625" style="318" bestFit="1" customWidth="1"/>
    <col min="6666" max="6666" width="14.81640625" style="318" bestFit="1" customWidth="1"/>
    <col min="6667" max="6912" width="9.1796875" style="318"/>
    <col min="6913" max="6913" width="3.1796875" style="318" customWidth="1"/>
    <col min="6914" max="6914" width="5.81640625" style="318" bestFit="1" customWidth="1"/>
    <col min="6915" max="6915" width="7.36328125" style="318" bestFit="1" customWidth="1"/>
    <col min="6916" max="6916" width="3" style="318" bestFit="1" customWidth="1"/>
    <col min="6917" max="6917" width="17.54296875" style="318" bestFit="1" customWidth="1"/>
    <col min="6918" max="6918" width="5" style="318" bestFit="1" customWidth="1"/>
    <col min="6919" max="6920" width="8.26953125" style="318" bestFit="1" customWidth="1"/>
    <col min="6921" max="6921" width="7.81640625" style="318" bestFit="1" customWidth="1"/>
    <col min="6922" max="6922" width="14.81640625" style="318" bestFit="1" customWidth="1"/>
    <col min="6923" max="7168" width="9.1796875" style="318"/>
    <col min="7169" max="7169" width="3.1796875" style="318" customWidth="1"/>
    <col min="7170" max="7170" width="5.81640625" style="318" bestFit="1" customWidth="1"/>
    <col min="7171" max="7171" width="7.36328125" style="318" bestFit="1" customWidth="1"/>
    <col min="7172" max="7172" width="3" style="318" bestFit="1" customWidth="1"/>
    <col min="7173" max="7173" width="17.54296875" style="318" bestFit="1" customWidth="1"/>
    <col min="7174" max="7174" width="5" style="318" bestFit="1" customWidth="1"/>
    <col min="7175" max="7176" width="8.26953125" style="318" bestFit="1" customWidth="1"/>
    <col min="7177" max="7177" width="7.81640625" style="318" bestFit="1" customWidth="1"/>
    <col min="7178" max="7178" width="14.81640625" style="318" bestFit="1" customWidth="1"/>
    <col min="7179" max="7424" width="9.1796875" style="318"/>
    <col min="7425" max="7425" width="3.1796875" style="318" customWidth="1"/>
    <col min="7426" max="7426" width="5.81640625" style="318" bestFit="1" customWidth="1"/>
    <col min="7427" max="7427" width="7.36328125" style="318" bestFit="1" customWidth="1"/>
    <col min="7428" max="7428" width="3" style="318" bestFit="1" customWidth="1"/>
    <col min="7429" max="7429" width="17.54296875" style="318" bestFit="1" customWidth="1"/>
    <col min="7430" max="7430" width="5" style="318" bestFit="1" customWidth="1"/>
    <col min="7431" max="7432" width="8.26953125" style="318" bestFit="1" customWidth="1"/>
    <col min="7433" max="7433" width="7.81640625" style="318" bestFit="1" customWidth="1"/>
    <col min="7434" max="7434" width="14.81640625" style="318" bestFit="1" customWidth="1"/>
    <col min="7435" max="7680" width="9.1796875" style="318"/>
    <col min="7681" max="7681" width="3.1796875" style="318" customWidth="1"/>
    <col min="7682" max="7682" width="5.81640625" style="318" bestFit="1" customWidth="1"/>
    <col min="7683" max="7683" width="7.36328125" style="318" bestFit="1" customWidth="1"/>
    <col min="7684" max="7684" width="3" style="318" bestFit="1" customWidth="1"/>
    <col min="7685" max="7685" width="17.54296875" style="318" bestFit="1" customWidth="1"/>
    <col min="7686" max="7686" width="5" style="318" bestFit="1" customWidth="1"/>
    <col min="7687" max="7688" width="8.26953125" style="318" bestFit="1" customWidth="1"/>
    <col min="7689" max="7689" width="7.81640625" style="318" bestFit="1" customWidth="1"/>
    <col min="7690" max="7690" width="14.81640625" style="318" bestFit="1" customWidth="1"/>
    <col min="7691" max="7936" width="9.1796875" style="318"/>
    <col min="7937" max="7937" width="3.1796875" style="318" customWidth="1"/>
    <col min="7938" max="7938" width="5.81640625" style="318" bestFit="1" customWidth="1"/>
    <col min="7939" max="7939" width="7.36328125" style="318" bestFit="1" customWidth="1"/>
    <col min="7940" max="7940" width="3" style="318" bestFit="1" customWidth="1"/>
    <col min="7941" max="7941" width="17.54296875" style="318" bestFit="1" customWidth="1"/>
    <col min="7942" max="7942" width="5" style="318" bestFit="1" customWidth="1"/>
    <col min="7943" max="7944" width="8.26953125" style="318" bestFit="1" customWidth="1"/>
    <col min="7945" max="7945" width="7.81640625" style="318" bestFit="1" customWidth="1"/>
    <col min="7946" max="7946" width="14.81640625" style="318" bestFit="1" customWidth="1"/>
    <col min="7947" max="8192" width="9.1796875" style="318"/>
    <col min="8193" max="8193" width="3.1796875" style="318" customWidth="1"/>
    <col min="8194" max="8194" width="5.81640625" style="318" bestFit="1" customWidth="1"/>
    <col min="8195" max="8195" width="7.36328125" style="318" bestFit="1" customWidth="1"/>
    <col min="8196" max="8196" width="3" style="318" bestFit="1" customWidth="1"/>
    <col min="8197" max="8197" width="17.54296875" style="318" bestFit="1" customWidth="1"/>
    <col min="8198" max="8198" width="5" style="318" bestFit="1" customWidth="1"/>
    <col min="8199" max="8200" width="8.26953125" style="318" bestFit="1" customWidth="1"/>
    <col min="8201" max="8201" width="7.81640625" style="318" bestFit="1" customWidth="1"/>
    <col min="8202" max="8202" width="14.81640625" style="318" bestFit="1" customWidth="1"/>
    <col min="8203" max="8448" width="9.1796875" style="318"/>
    <col min="8449" max="8449" width="3.1796875" style="318" customWidth="1"/>
    <col min="8450" max="8450" width="5.81640625" style="318" bestFit="1" customWidth="1"/>
    <col min="8451" max="8451" width="7.36328125" style="318" bestFit="1" customWidth="1"/>
    <col min="8452" max="8452" width="3" style="318" bestFit="1" customWidth="1"/>
    <col min="8453" max="8453" width="17.54296875" style="318" bestFit="1" customWidth="1"/>
    <col min="8454" max="8454" width="5" style="318" bestFit="1" customWidth="1"/>
    <col min="8455" max="8456" width="8.26953125" style="318" bestFit="1" customWidth="1"/>
    <col min="8457" max="8457" width="7.81640625" style="318" bestFit="1" customWidth="1"/>
    <col min="8458" max="8458" width="14.81640625" style="318" bestFit="1" customWidth="1"/>
    <col min="8459" max="8704" width="9.1796875" style="318"/>
    <col min="8705" max="8705" width="3.1796875" style="318" customWidth="1"/>
    <col min="8706" max="8706" width="5.81640625" style="318" bestFit="1" customWidth="1"/>
    <col min="8707" max="8707" width="7.36328125" style="318" bestFit="1" customWidth="1"/>
    <col min="8708" max="8708" width="3" style="318" bestFit="1" customWidth="1"/>
    <col min="8709" max="8709" width="17.54296875" style="318" bestFit="1" customWidth="1"/>
    <col min="8710" max="8710" width="5" style="318" bestFit="1" customWidth="1"/>
    <col min="8711" max="8712" width="8.26953125" style="318" bestFit="1" customWidth="1"/>
    <col min="8713" max="8713" width="7.81640625" style="318" bestFit="1" customWidth="1"/>
    <col min="8714" max="8714" width="14.81640625" style="318" bestFit="1" customWidth="1"/>
    <col min="8715" max="8960" width="9.1796875" style="318"/>
    <col min="8961" max="8961" width="3.1796875" style="318" customWidth="1"/>
    <col min="8962" max="8962" width="5.81640625" style="318" bestFit="1" customWidth="1"/>
    <col min="8963" max="8963" width="7.36328125" style="318" bestFit="1" customWidth="1"/>
    <col min="8964" max="8964" width="3" style="318" bestFit="1" customWidth="1"/>
    <col min="8965" max="8965" width="17.54296875" style="318" bestFit="1" customWidth="1"/>
    <col min="8966" max="8966" width="5" style="318" bestFit="1" customWidth="1"/>
    <col min="8967" max="8968" width="8.26953125" style="318" bestFit="1" customWidth="1"/>
    <col min="8969" max="8969" width="7.81640625" style="318" bestFit="1" customWidth="1"/>
    <col min="8970" max="8970" width="14.81640625" style="318" bestFit="1" customWidth="1"/>
    <col min="8971" max="9216" width="9.1796875" style="318"/>
    <col min="9217" max="9217" width="3.1796875" style="318" customWidth="1"/>
    <col min="9218" max="9218" width="5.81640625" style="318" bestFit="1" customWidth="1"/>
    <col min="9219" max="9219" width="7.36328125" style="318" bestFit="1" customWidth="1"/>
    <col min="9220" max="9220" width="3" style="318" bestFit="1" customWidth="1"/>
    <col min="9221" max="9221" width="17.54296875" style="318" bestFit="1" customWidth="1"/>
    <col min="9222" max="9222" width="5" style="318" bestFit="1" customWidth="1"/>
    <col min="9223" max="9224" width="8.26953125" style="318" bestFit="1" customWidth="1"/>
    <col min="9225" max="9225" width="7.81640625" style="318" bestFit="1" customWidth="1"/>
    <col min="9226" max="9226" width="14.81640625" style="318" bestFit="1" customWidth="1"/>
    <col min="9227" max="9472" width="9.1796875" style="318"/>
    <col min="9473" max="9473" width="3.1796875" style="318" customWidth="1"/>
    <col min="9474" max="9474" width="5.81640625" style="318" bestFit="1" customWidth="1"/>
    <col min="9475" max="9475" width="7.36328125" style="318" bestFit="1" customWidth="1"/>
    <col min="9476" max="9476" width="3" style="318" bestFit="1" customWidth="1"/>
    <col min="9477" max="9477" width="17.54296875" style="318" bestFit="1" customWidth="1"/>
    <col min="9478" max="9478" width="5" style="318" bestFit="1" customWidth="1"/>
    <col min="9479" max="9480" width="8.26953125" style="318" bestFit="1" customWidth="1"/>
    <col min="9481" max="9481" width="7.81640625" style="318" bestFit="1" customWidth="1"/>
    <col min="9482" max="9482" width="14.81640625" style="318" bestFit="1" customWidth="1"/>
    <col min="9483" max="9728" width="9.1796875" style="318"/>
    <col min="9729" max="9729" width="3.1796875" style="318" customWidth="1"/>
    <col min="9730" max="9730" width="5.81640625" style="318" bestFit="1" customWidth="1"/>
    <col min="9731" max="9731" width="7.36328125" style="318" bestFit="1" customWidth="1"/>
    <col min="9732" max="9732" width="3" style="318" bestFit="1" customWidth="1"/>
    <col min="9733" max="9733" width="17.54296875" style="318" bestFit="1" customWidth="1"/>
    <col min="9734" max="9734" width="5" style="318" bestFit="1" customWidth="1"/>
    <col min="9735" max="9736" width="8.26953125" style="318" bestFit="1" customWidth="1"/>
    <col min="9737" max="9737" width="7.81640625" style="318" bestFit="1" customWidth="1"/>
    <col min="9738" max="9738" width="14.81640625" style="318" bestFit="1" customWidth="1"/>
    <col min="9739" max="9984" width="9.1796875" style="318"/>
    <col min="9985" max="9985" width="3.1796875" style="318" customWidth="1"/>
    <col min="9986" max="9986" width="5.81640625" style="318" bestFit="1" customWidth="1"/>
    <col min="9987" max="9987" width="7.36328125" style="318" bestFit="1" customWidth="1"/>
    <col min="9988" max="9988" width="3" style="318" bestFit="1" customWidth="1"/>
    <col min="9989" max="9989" width="17.54296875" style="318" bestFit="1" customWidth="1"/>
    <col min="9990" max="9990" width="5" style="318" bestFit="1" customWidth="1"/>
    <col min="9991" max="9992" width="8.26953125" style="318" bestFit="1" customWidth="1"/>
    <col min="9993" max="9993" width="7.81640625" style="318" bestFit="1" customWidth="1"/>
    <col min="9994" max="9994" width="14.81640625" style="318" bestFit="1" customWidth="1"/>
    <col min="9995" max="10240" width="9.1796875" style="318"/>
    <col min="10241" max="10241" width="3.1796875" style="318" customWidth="1"/>
    <col min="10242" max="10242" width="5.81640625" style="318" bestFit="1" customWidth="1"/>
    <col min="10243" max="10243" width="7.36328125" style="318" bestFit="1" customWidth="1"/>
    <col min="10244" max="10244" width="3" style="318" bestFit="1" customWidth="1"/>
    <col min="10245" max="10245" width="17.54296875" style="318" bestFit="1" customWidth="1"/>
    <col min="10246" max="10246" width="5" style="318" bestFit="1" customWidth="1"/>
    <col min="10247" max="10248" width="8.26953125" style="318" bestFit="1" customWidth="1"/>
    <col min="10249" max="10249" width="7.81640625" style="318" bestFit="1" customWidth="1"/>
    <col min="10250" max="10250" width="14.81640625" style="318" bestFit="1" customWidth="1"/>
    <col min="10251" max="10496" width="9.1796875" style="318"/>
    <col min="10497" max="10497" width="3.1796875" style="318" customWidth="1"/>
    <col min="10498" max="10498" width="5.81640625" style="318" bestFit="1" customWidth="1"/>
    <col min="10499" max="10499" width="7.36328125" style="318" bestFit="1" customWidth="1"/>
    <col min="10500" max="10500" width="3" style="318" bestFit="1" customWidth="1"/>
    <col min="10501" max="10501" width="17.54296875" style="318" bestFit="1" customWidth="1"/>
    <col min="10502" max="10502" width="5" style="318" bestFit="1" customWidth="1"/>
    <col min="10503" max="10504" width="8.26953125" style="318" bestFit="1" customWidth="1"/>
    <col min="10505" max="10505" width="7.81640625" style="318" bestFit="1" customWidth="1"/>
    <col min="10506" max="10506" width="14.81640625" style="318" bestFit="1" customWidth="1"/>
    <col min="10507" max="10752" width="9.1796875" style="318"/>
    <col min="10753" max="10753" width="3.1796875" style="318" customWidth="1"/>
    <col min="10754" max="10754" width="5.81640625" style="318" bestFit="1" customWidth="1"/>
    <col min="10755" max="10755" width="7.36328125" style="318" bestFit="1" customWidth="1"/>
    <col min="10756" max="10756" width="3" style="318" bestFit="1" customWidth="1"/>
    <col min="10757" max="10757" width="17.54296875" style="318" bestFit="1" customWidth="1"/>
    <col min="10758" max="10758" width="5" style="318" bestFit="1" customWidth="1"/>
    <col min="10759" max="10760" width="8.26953125" style="318" bestFit="1" customWidth="1"/>
    <col min="10761" max="10761" width="7.81640625" style="318" bestFit="1" customWidth="1"/>
    <col min="10762" max="10762" width="14.81640625" style="318" bestFit="1" customWidth="1"/>
    <col min="10763" max="11008" width="9.1796875" style="318"/>
    <col min="11009" max="11009" width="3.1796875" style="318" customWidth="1"/>
    <col min="11010" max="11010" width="5.81640625" style="318" bestFit="1" customWidth="1"/>
    <col min="11011" max="11011" width="7.36328125" style="318" bestFit="1" customWidth="1"/>
    <col min="11012" max="11012" width="3" style="318" bestFit="1" customWidth="1"/>
    <col min="11013" max="11013" width="17.54296875" style="318" bestFit="1" customWidth="1"/>
    <col min="11014" max="11014" width="5" style="318" bestFit="1" customWidth="1"/>
    <col min="11015" max="11016" width="8.26953125" style="318" bestFit="1" customWidth="1"/>
    <col min="11017" max="11017" width="7.81640625" style="318" bestFit="1" customWidth="1"/>
    <col min="11018" max="11018" width="14.81640625" style="318" bestFit="1" customWidth="1"/>
    <col min="11019" max="11264" width="9.1796875" style="318"/>
    <col min="11265" max="11265" width="3.1796875" style="318" customWidth="1"/>
    <col min="11266" max="11266" width="5.81640625" style="318" bestFit="1" customWidth="1"/>
    <col min="11267" max="11267" width="7.36328125" style="318" bestFit="1" customWidth="1"/>
    <col min="11268" max="11268" width="3" style="318" bestFit="1" customWidth="1"/>
    <col min="11269" max="11269" width="17.54296875" style="318" bestFit="1" customWidth="1"/>
    <col min="11270" max="11270" width="5" style="318" bestFit="1" customWidth="1"/>
    <col min="11271" max="11272" width="8.26953125" style="318" bestFit="1" customWidth="1"/>
    <col min="11273" max="11273" width="7.81640625" style="318" bestFit="1" customWidth="1"/>
    <col min="11274" max="11274" width="14.81640625" style="318" bestFit="1" customWidth="1"/>
    <col min="11275" max="11520" width="9.1796875" style="318"/>
    <col min="11521" max="11521" width="3.1796875" style="318" customWidth="1"/>
    <col min="11522" max="11522" width="5.81640625" style="318" bestFit="1" customWidth="1"/>
    <col min="11523" max="11523" width="7.36328125" style="318" bestFit="1" customWidth="1"/>
    <col min="11524" max="11524" width="3" style="318" bestFit="1" customWidth="1"/>
    <col min="11525" max="11525" width="17.54296875" style="318" bestFit="1" customWidth="1"/>
    <col min="11526" max="11526" width="5" style="318" bestFit="1" customWidth="1"/>
    <col min="11527" max="11528" width="8.26953125" style="318" bestFit="1" customWidth="1"/>
    <col min="11529" max="11529" width="7.81640625" style="318" bestFit="1" customWidth="1"/>
    <col min="11530" max="11530" width="14.81640625" style="318" bestFit="1" customWidth="1"/>
    <col min="11531" max="11776" width="9.1796875" style="318"/>
    <col min="11777" max="11777" width="3.1796875" style="318" customWidth="1"/>
    <col min="11778" max="11778" width="5.81640625" style="318" bestFit="1" customWidth="1"/>
    <col min="11779" max="11779" width="7.36328125" style="318" bestFit="1" customWidth="1"/>
    <col min="11780" max="11780" width="3" style="318" bestFit="1" customWidth="1"/>
    <col min="11781" max="11781" width="17.54296875" style="318" bestFit="1" customWidth="1"/>
    <col min="11782" max="11782" width="5" style="318" bestFit="1" customWidth="1"/>
    <col min="11783" max="11784" width="8.26953125" style="318" bestFit="1" customWidth="1"/>
    <col min="11785" max="11785" width="7.81640625" style="318" bestFit="1" customWidth="1"/>
    <col min="11786" max="11786" width="14.81640625" style="318" bestFit="1" customWidth="1"/>
    <col min="11787" max="12032" width="9.1796875" style="318"/>
    <col min="12033" max="12033" width="3.1796875" style="318" customWidth="1"/>
    <col min="12034" max="12034" width="5.81640625" style="318" bestFit="1" customWidth="1"/>
    <col min="12035" max="12035" width="7.36328125" style="318" bestFit="1" customWidth="1"/>
    <col min="12036" max="12036" width="3" style="318" bestFit="1" customWidth="1"/>
    <col min="12037" max="12037" width="17.54296875" style="318" bestFit="1" customWidth="1"/>
    <col min="12038" max="12038" width="5" style="318" bestFit="1" customWidth="1"/>
    <col min="12039" max="12040" width="8.26953125" style="318" bestFit="1" customWidth="1"/>
    <col min="12041" max="12041" width="7.81640625" style="318" bestFit="1" customWidth="1"/>
    <col min="12042" max="12042" width="14.81640625" style="318" bestFit="1" customWidth="1"/>
    <col min="12043" max="12288" width="9.1796875" style="318"/>
    <col min="12289" max="12289" width="3.1796875" style="318" customWidth="1"/>
    <col min="12290" max="12290" width="5.81640625" style="318" bestFit="1" customWidth="1"/>
    <col min="12291" max="12291" width="7.36328125" style="318" bestFit="1" customWidth="1"/>
    <col min="12292" max="12292" width="3" style="318" bestFit="1" customWidth="1"/>
    <col min="12293" max="12293" width="17.54296875" style="318" bestFit="1" customWidth="1"/>
    <col min="12294" max="12294" width="5" style="318" bestFit="1" customWidth="1"/>
    <col min="12295" max="12296" width="8.26953125" style="318" bestFit="1" customWidth="1"/>
    <col min="12297" max="12297" width="7.81640625" style="318" bestFit="1" customWidth="1"/>
    <col min="12298" max="12298" width="14.81640625" style="318" bestFit="1" customWidth="1"/>
    <col min="12299" max="12544" width="9.1796875" style="318"/>
    <col min="12545" max="12545" width="3.1796875" style="318" customWidth="1"/>
    <col min="12546" max="12546" width="5.81640625" style="318" bestFit="1" customWidth="1"/>
    <col min="12547" max="12547" width="7.36328125" style="318" bestFit="1" customWidth="1"/>
    <col min="12548" max="12548" width="3" style="318" bestFit="1" customWidth="1"/>
    <col min="12549" max="12549" width="17.54296875" style="318" bestFit="1" customWidth="1"/>
    <col min="12550" max="12550" width="5" style="318" bestFit="1" customWidth="1"/>
    <col min="12551" max="12552" width="8.26953125" style="318" bestFit="1" customWidth="1"/>
    <col min="12553" max="12553" width="7.81640625" style="318" bestFit="1" customWidth="1"/>
    <col min="12554" max="12554" width="14.81640625" style="318" bestFit="1" customWidth="1"/>
    <col min="12555" max="12800" width="9.1796875" style="318"/>
    <col min="12801" max="12801" width="3.1796875" style="318" customWidth="1"/>
    <col min="12802" max="12802" width="5.81640625" style="318" bestFit="1" customWidth="1"/>
    <col min="12803" max="12803" width="7.36328125" style="318" bestFit="1" customWidth="1"/>
    <col min="12804" max="12804" width="3" style="318" bestFit="1" customWidth="1"/>
    <col min="12805" max="12805" width="17.54296875" style="318" bestFit="1" customWidth="1"/>
    <col min="12806" max="12806" width="5" style="318" bestFit="1" customWidth="1"/>
    <col min="12807" max="12808" width="8.26953125" style="318" bestFit="1" customWidth="1"/>
    <col min="12809" max="12809" width="7.81640625" style="318" bestFit="1" customWidth="1"/>
    <col min="12810" max="12810" width="14.81640625" style="318" bestFit="1" customWidth="1"/>
    <col min="12811" max="13056" width="9.1796875" style="318"/>
    <col min="13057" max="13057" width="3.1796875" style="318" customWidth="1"/>
    <col min="13058" max="13058" width="5.81640625" style="318" bestFit="1" customWidth="1"/>
    <col min="13059" max="13059" width="7.36328125" style="318" bestFit="1" customWidth="1"/>
    <col min="13060" max="13060" width="3" style="318" bestFit="1" customWidth="1"/>
    <col min="13061" max="13061" width="17.54296875" style="318" bestFit="1" customWidth="1"/>
    <col min="13062" max="13062" width="5" style="318" bestFit="1" customWidth="1"/>
    <col min="13063" max="13064" width="8.26953125" style="318" bestFit="1" customWidth="1"/>
    <col min="13065" max="13065" width="7.81640625" style="318" bestFit="1" customWidth="1"/>
    <col min="13066" max="13066" width="14.81640625" style="318" bestFit="1" customWidth="1"/>
    <col min="13067" max="13312" width="9.1796875" style="318"/>
    <col min="13313" max="13313" width="3.1796875" style="318" customWidth="1"/>
    <col min="13314" max="13314" width="5.81640625" style="318" bestFit="1" customWidth="1"/>
    <col min="13315" max="13315" width="7.36328125" style="318" bestFit="1" customWidth="1"/>
    <col min="13316" max="13316" width="3" style="318" bestFit="1" customWidth="1"/>
    <col min="13317" max="13317" width="17.54296875" style="318" bestFit="1" customWidth="1"/>
    <col min="13318" max="13318" width="5" style="318" bestFit="1" customWidth="1"/>
    <col min="13319" max="13320" width="8.26953125" style="318" bestFit="1" customWidth="1"/>
    <col min="13321" max="13321" width="7.81640625" style="318" bestFit="1" customWidth="1"/>
    <col min="13322" max="13322" width="14.81640625" style="318" bestFit="1" customWidth="1"/>
    <col min="13323" max="13568" width="9.1796875" style="318"/>
    <col min="13569" max="13569" width="3.1796875" style="318" customWidth="1"/>
    <col min="13570" max="13570" width="5.81640625" style="318" bestFit="1" customWidth="1"/>
    <col min="13571" max="13571" width="7.36328125" style="318" bestFit="1" customWidth="1"/>
    <col min="13572" max="13572" width="3" style="318" bestFit="1" customWidth="1"/>
    <col min="13573" max="13573" width="17.54296875" style="318" bestFit="1" customWidth="1"/>
    <col min="13574" max="13574" width="5" style="318" bestFit="1" customWidth="1"/>
    <col min="13575" max="13576" width="8.26953125" style="318" bestFit="1" customWidth="1"/>
    <col min="13577" max="13577" width="7.81640625" style="318" bestFit="1" customWidth="1"/>
    <col min="13578" max="13578" width="14.81640625" style="318" bestFit="1" customWidth="1"/>
    <col min="13579" max="13824" width="9.1796875" style="318"/>
    <col min="13825" max="13825" width="3.1796875" style="318" customWidth="1"/>
    <col min="13826" max="13826" width="5.81640625" style="318" bestFit="1" customWidth="1"/>
    <col min="13827" max="13827" width="7.36328125" style="318" bestFit="1" customWidth="1"/>
    <col min="13828" max="13828" width="3" style="318" bestFit="1" customWidth="1"/>
    <col min="13829" max="13829" width="17.54296875" style="318" bestFit="1" customWidth="1"/>
    <col min="13830" max="13830" width="5" style="318" bestFit="1" customWidth="1"/>
    <col min="13831" max="13832" width="8.26953125" style="318" bestFit="1" customWidth="1"/>
    <col min="13833" max="13833" width="7.81640625" style="318" bestFit="1" customWidth="1"/>
    <col min="13834" max="13834" width="14.81640625" style="318" bestFit="1" customWidth="1"/>
    <col min="13835" max="14080" width="9.1796875" style="318"/>
    <col min="14081" max="14081" width="3.1796875" style="318" customWidth="1"/>
    <col min="14082" max="14082" width="5.81640625" style="318" bestFit="1" customWidth="1"/>
    <col min="14083" max="14083" width="7.36328125" style="318" bestFit="1" customWidth="1"/>
    <col min="14084" max="14084" width="3" style="318" bestFit="1" customWidth="1"/>
    <col min="14085" max="14085" width="17.54296875" style="318" bestFit="1" customWidth="1"/>
    <col min="14086" max="14086" width="5" style="318" bestFit="1" customWidth="1"/>
    <col min="14087" max="14088" width="8.26953125" style="318" bestFit="1" customWidth="1"/>
    <col min="14089" max="14089" width="7.81640625" style="318" bestFit="1" customWidth="1"/>
    <col min="14090" max="14090" width="14.81640625" style="318" bestFit="1" customWidth="1"/>
    <col min="14091" max="14336" width="9.1796875" style="318"/>
    <col min="14337" max="14337" width="3.1796875" style="318" customWidth="1"/>
    <col min="14338" max="14338" width="5.81640625" style="318" bestFit="1" customWidth="1"/>
    <col min="14339" max="14339" width="7.36328125" style="318" bestFit="1" customWidth="1"/>
    <col min="14340" max="14340" width="3" style="318" bestFit="1" customWidth="1"/>
    <col min="14341" max="14341" width="17.54296875" style="318" bestFit="1" customWidth="1"/>
    <col min="14342" max="14342" width="5" style="318" bestFit="1" customWidth="1"/>
    <col min="14343" max="14344" width="8.26953125" style="318" bestFit="1" customWidth="1"/>
    <col min="14345" max="14345" width="7.81640625" style="318" bestFit="1" customWidth="1"/>
    <col min="14346" max="14346" width="14.81640625" style="318" bestFit="1" customWidth="1"/>
    <col min="14347" max="14592" width="9.1796875" style="318"/>
    <col min="14593" max="14593" width="3.1796875" style="318" customWidth="1"/>
    <col min="14594" max="14594" width="5.81640625" style="318" bestFit="1" customWidth="1"/>
    <col min="14595" max="14595" width="7.36328125" style="318" bestFit="1" customWidth="1"/>
    <col min="14596" max="14596" width="3" style="318" bestFit="1" customWidth="1"/>
    <col min="14597" max="14597" width="17.54296875" style="318" bestFit="1" customWidth="1"/>
    <col min="14598" max="14598" width="5" style="318" bestFit="1" customWidth="1"/>
    <col min="14599" max="14600" width="8.26953125" style="318" bestFit="1" customWidth="1"/>
    <col min="14601" max="14601" width="7.81640625" style="318" bestFit="1" customWidth="1"/>
    <col min="14602" max="14602" width="14.81640625" style="318" bestFit="1" customWidth="1"/>
    <col min="14603" max="14848" width="9.1796875" style="318"/>
    <col min="14849" max="14849" width="3.1796875" style="318" customWidth="1"/>
    <col min="14850" max="14850" width="5.81640625" style="318" bestFit="1" customWidth="1"/>
    <col min="14851" max="14851" width="7.36328125" style="318" bestFit="1" customWidth="1"/>
    <col min="14852" max="14852" width="3" style="318" bestFit="1" customWidth="1"/>
    <col min="14853" max="14853" width="17.54296875" style="318" bestFit="1" customWidth="1"/>
    <col min="14854" max="14854" width="5" style="318" bestFit="1" customWidth="1"/>
    <col min="14855" max="14856" width="8.26953125" style="318" bestFit="1" customWidth="1"/>
    <col min="14857" max="14857" width="7.81640625" style="318" bestFit="1" customWidth="1"/>
    <col min="14858" max="14858" width="14.81640625" style="318" bestFit="1" customWidth="1"/>
    <col min="14859" max="15104" width="9.1796875" style="318"/>
    <col min="15105" max="15105" width="3.1796875" style="318" customWidth="1"/>
    <col min="15106" max="15106" width="5.81640625" style="318" bestFit="1" customWidth="1"/>
    <col min="15107" max="15107" width="7.36328125" style="318" bestFit="1" customWidth="1"/>
    <col min="15108" max="15108" width="3" style="318" bestFit="1" customWidth="1"/>
    <col min="15109" max="15109" width="17.54296875" style="318" bestFit="1" customWidth="1"/>
    <col min="15110" max="15110" width="5" style="318" bestFit="1" customWidth="1"/>
    <col min="15111" max="15112" width="8.26953125" style="318" bestFit="1" customWidth="1"/>
    <col min="15113" max="15113" width="7.81640625" style="318" bestFit="1" customWidth="1"/>
    <col min="15114" max="15114" width="14.81640625" style="318" bestFit="1" customWidth="1"/>
    <col min="15115" max="15360" width="9.1796875" style="318"/>
    <col min="15361" max="15361" width="3.1796875" style="318" customWidth="1"/>
    <col min="15362" max="15362" width="5.81640625" style="318" bestFit="1" customWidth="1"/>
    <col min="15363" max="15363" width="7.36328125" style="318" bestFit="1" customWidth="1"/>
    <col min="15364" max="15364" width="3" style="318" bestFit="1" customWidth="1"/>
    <col min="15365" max="15365" width="17.54296875" style="318" bestFit="1" customWidth="1"/>
    <col min="15366" max="15366" width="5" style="318" bestFit="1" customWidth="1"/>
    <col min="15367" max="15368" width="8.26953125" style="318" bestFit="1" customWidth="1"/>
    <col min="15369" max="15369" width="7.81640625" style="318" bestFit="1" customWidth="1"/>
    <col min="15370" max="15370" width="14.81640625" style="318" bestFit="1" customWidth="1"/>
    <col min="15371" max="15616" width="9.1796875" style="318"/>
    <col min="15617" max="15617" width="3.1796875" style="318" customWidth="1"/>
    <col min="15618" max="15618" width="5.81640625" style="318" bestFit="1" customWidth="1"/>
    <col min="15619" max="15619" width="7.36328125" style="318" bestFit="1" customWidth="1"/>
    <col min="15620" max="15620" width="3" style="318" bestFit="1" customWidth="1"/>
    <col min="15621" max="15621" width="17.54296875" style="318" bestFit="1" customWidth="1"/>
    <col min="15622" max="15622" width="5" style="318" bestFit="1" customWidth="1"/>
    <col min="15623" max="15624" width="8.26953125" style="318" bestFit="1" customWidth="1"/>
    <col min="15625" max="15625" width="7.81640625" style="318" bestFit="1" customWidth="1"/>
    <col min="15626" max="15626" width="14.81640625" style="318" bestFit="1" customWidth="1"/>
    <col min="15627" max="15872" width="9.1796875" style="318"/>
    <col min="15873" max="15873" width="3.1796875" style="318" customWidth="1"/>
    <col min="15874" max="15874" width="5.81640625" style="318" bestFit="1" customWidth="1"/>
    <col min="15875" max="15875" width="7.36328125" style="318" bestFit="1" customWidth="1"/>
    <col min="15876" max="15876" width="3" style="318" bestFit="1" customWidth="1"/>
    <col min="15877" max="15877" width="17.54296875" style="318" bestFit="1" customWidth="1"/>
    <col min="15878" max="15878" width="5" style="318" bestFit="1" customWidth="1"/>
    <col min="15879" max="15880" width="8.26953125" style="318" bestFit="1" customWidth="1"/>
    <col min="15881" max="15881" width="7.81640625" style="318" bestFit="1" customWidth="1"/>
    <col min="15882" max="15882" width="14.81640625" style="318" bestFit="1" customWidth="1"/>
    <col min="15883" max="16128" width="9.1796875" style="318"/>
    <col min="16129" max="16129" width="3.1796875" style="318" customWidth="1"/>
    <col min="16130" max="16130" width="5.81640625" style="318" bestFit="1" customWidth="1"/>
    <col min="16131" max="16131" width="7.36328125" style="318" bestFit="1" customWidth="1"/>
    <col min="16132" max="16132" width="3" style="318" bestFit="1" customWidth="1"/>
    <col min="16133" max="16133" width="17.54296875" style="318" bestFit="1" customWidth="1"/>
    <col min="16134" max="16134" width="5" style="318" bestFit="1" customWidth="1"/>
    <col min="16135" max="16136" width="8.26953125" style="318" bestFit="1" customWidth="1"/>
    <col min="16137" max="16137" width="7.81640625" style="318" bestFit="1" customWidth="1"/>
    <col min="16138" max="16138" width="14.81640625" style="318" bestFit="1" customWidth="1"/>
    <col min="16139" max="16384" width="9.1796875" style="318"/>
  </cols>
  <sheetData>
    <row r="1" spans="1:10">
      <c r="A1" s="317" t="s">
        <v>424</v>
      </c>
    </row>
    <row r="2" spans="1:10">
      <c r="A2" s="319" t="s">
        <v>425</v>
      </c>
    </row>
    <row r="3" spans="1:10">
      <c r="A3" s="319" t="s">
        <v>426</v>
      </c>
    </row>
    <row r="5" spans="1:10" ht="21">
      <c r="A5" s="320" t="s">
        <v>427</v>
      </c>
      <c r="B5" s="320" t="s">
        <v>428</v>
      </c>
      <c r="C5" s="320" t="s">
        <v>429</v>
      </c>
      <c r="D5" s="320" t="s">
        <v>285</v>
      </c>
      <c r="E5" s="320" t="s">
        <v>430</v>
      </c>
      <c r="F5" s="320" t="s">
        <v>431</v>
      </c>
      <c r="G5" s="320" t="s">
        <v>45</v>
      </c>
      <c r="H5" s="320" t="s">
        <v>47</v>
      </c>
      <c r="I5" s="320" t="s">
        <v>46</v>
      </c>
      <c r="J5" s="321" t="s">
        <v>432</v>
      </c>
    </row>
    <row r="6" spans="1:10">
      <c r="A6" s="322" t="e">
        <f t="shared" ref="A6:A14" si="0">A5+1</f>
        <v>#VALUE!</v>
      </c>
      <c r="B6" s="322" t="s">
        <v>294</v>
      </c>
      <c r="C6" s="322" t="s">
        <v>388</v>
      </c>
      <c r="D6" s="322"/>
      <c r="E6" s="322" t="s">
        <v>433</v>
      </c>
      <c r="F6" s="323">
        <v>20</v>
      </c>
      <c r="G6" s="324">
        <v>45707</v>
      </c>
      <c r="H6" s="542">
        <v>45710</v>
      </c>
      <c r="I6" s="325" t="s">
        <v>435</v>
      </c>
      <c r="J6" s="326"/>
    </row>
    <row r="7" spans="1:10">
      <c r="A7" s="322" t="e">
        <f t="shared" si="0"/>
        <v>#VALUE!</v>
      </c>
      <c r="B7" s="322" t="s">
        <v>401</v>
      </c>
      <c r="C7" s="322" t="s">
        <v>385</v>
      </c>
      <c r="D7" s="322">
        <v>4</v>
      </c>
      <c r="E7" s="322" t="s">
        <v>438</v>
      </c>
      <c r="F7" s="323">
        <v>20</v>
      </c>
      <c r="G7" s="324">
        <v>45711</v>
      </c>
      <c r="H7" s="542">
        <v>45712</v>
      </c>
      <c r="I7" s="325" t="s">
        <v>435</v>
      </c>
      <c r="J7" s="326"/>
    </row>
    <row r="8" spans="1:10">
      <c r="A8" s="322" t="e">
        <f t="shared" si="0"/>
        <v>#VALUE!</v>
      </c>
      <c r="B8" s="322" t="s">
        <v>394</v>
      </c>
      <c r="C8" s="327" t="s">
        <v>395</v>
      </c>
      <c r="D8" s="322"/>
      <c r="E8" s="327" t="s">
        <v>436</v>
      </c>
      <c r="F8" s="323">
        <v>20</v>
      </c>
      <c r="G8" s="324">
        <v>45715</v>
      </c>
      <c r="H8" s="542">
        <f>G8+2</f>
        <v>45717</v>
      </c>
      <c r="I8" s="325" t="s">
        <v>435</v>
      </c>
      <c r="J8" s="326"/>
    </row>
    <row r="9" spans="1:10">
      <c r="A9" s="322" t="e">
        <f t="shared" si="0"/>
        <v>#VALUE!</v>
      </c>
      <c r="B9" s="322" t="s">
        <v>281</v>
      </c>
      <c r="C9" s="322" t="s">
        <v>387</v>
      </c>
      <c r="D9" s="322"/>
      <c r="E9" s="322" t="s">
        <v>433</v>
      </c>
      <c r="F9" s="323">
        <v>20</v>
      </c>
      <c r="G9" s="324">
        <v>45718</v>
      </c>
      <c r="H9" s="542">
        <f>G9+2</f>
        <v>45720</v>
      </c>
      <c r="I9" s="325" t="s">
        <v>435</v>
      </c>
      <c r="J9" s="326"/>
    </row>
    <row r="10" spans="1:10">
      <c r="A10" s="322" t="e">
        <f t="shared" si="0"/>
        <v>#VALUE!</v>
      </c>
      <c r="B10" s="322" t="s">
        <v>293</v>
      </c>
      <c r="C10" s="322" t="s">
        <v>385</v>
      </c>
      <c r="D10" s="322">
        <v>4</v>
      </c>
      <c r="E10" s="322" t="s">
        <v>438</v>
      </c>
      <c r="F10" s="323">
        <v>20</v>
      </c>
      <c r="G10" s="324">
        <v>45713</v>
      </c>
      <c r="H10" s="542">
        <v>45727</v>
      </c>
      <c r="I10" s="325" t="s">
        <v>435</v>
      </c>
      <c r="J10" s="326"/>
    </row>
    <row r="11" spans="1:10">
      <c r="A11" s="322" t="e">
        <f t="shared" si="0"/>
        <v>#VALUE!</v>
      </c>
      <c r="B11" s="322" t="s">
        <v>378</v>
      </c>
      <c r="C11" s="322" t="s">
        <v>387</v>
      </c>
      <c r="D11" s="322"/>
      <c r="E11" s="322" t="s">
        <v>433</v>
      </c>
      <c r="F11" s="323">
        <v>20</v>
      </c>
      <c r="G11" s="324">
        <v>45726</v>
      </c>
      <c r="H11" s="542">
        <v>45736</v>
      </c>
      <c r="I11" s="325" t="s">
        <v>435</v>
      </c>
      <c r="J11" s="326"/>
    </row>
    <row r="12" spans="1:10">
      <c r="A12" s="322" t="e">
        <f t="shared" si="0"/>
        <v>#VALUE!</v>
      </c>
      <c r="B12" s="322" t="s">
        <v>295</v>
      </c>
      <c r="C12" s="322" t="s">
        <v>388</v>
      </c>
      <c r="D12" s="322"/>
      <c r="E12" s="322" t="s">
        <v>433</v>
      </c>
      <c r="F12" s="323">
        <v>20</v>
      </c>
      <c r="G12" s="324">
        <v>45706</v>
      </c>
      <c r="H12" s="542">
        <v>45737</v>
      </c>
      <c r="I12" s="325" t="s">
        <v>435</v>
      </c>
      <c r="J12" s="326"/>
    </row>
    <row r="13" spans="1:10">
      <c r="A13" s="322" t="e">
        <f t="shared" si="0"/>
        <v>#VALUE!</v>
      </c>
      <c r="B13" s="322" t="s">
        <v>396</v>
      </c>
      <c r="C13" s="322" t="s">
        <v>397</v>
      </c>
      <c r="D13" s="322"/>
      <c r="E13" s="322" t="s">
        <v>433</v>
      </c>
      <c r="F13" s="323">
        <v>20</v>
      </c>
      <c r="G13" s="324">
        <v>45738</v>
      </c>
      <c r="H13" s="542">
        <v>45741</v>
      </c>
      <c r="I13" s="325" t="s">
        <v>435</v>
      </c>
      <c r="J13" s="326"/>
    </row>
    <row r="14" spans="1:10">
      <c r="A14" s="322" t="e">
        <f t="shared" si="0"/>
        <v>#VALUE!</v>
      </c>
      <c r="B14" s="322" t="s">
        <v>273</v>
      </c>
      <c r="C14" s="322" t="s">
        <v>388</v>
      </c>
      <c r="D14" s="322"/>
      <c r="E14" s="322" t="s">
        <v>433</v>
      </c>
      <c r="F14" s="323">
        <v>20</v>
      </c>
      <c r="G14" s="324">
        <v>45796</v>
      </c>
      <c r="H14" s="543">
        <v>45799</v>
      </c>
      <c r="I14" s="325" t="s">
        <v>435</v>
      </c>
      <c r="J14" s="326"/>
    </row>
    <row r="15" spans="1:10">
      <c r="A15" s="322">
        <v>1</v>
      </c>
      <c r="B15" s="322" t="s">
        <v>272</v>
      </c>
      <c r="C15" s="322" t="s">
        <v>387</v>
      </c>
      <c r="D15" s="322"/>
      <c r="E15" s="322" t="s">
        <v>433</v>
      </c>
      <c r="F15" s="323">
        <v>20</v>
      </c>
      <c r="G15" s="324">
        <v>45815</v>
      </c>
      <c r="H15" s="544">
        <v>45816</v>
      </c>
      <c r="I15" s="325" t="s">
        <v>435</v>
      </c>
      <c r="J15" s="326"/>
    </row>
    <row r="16" spans="1:10">
      <c r="A16" s="322">
        <f>A15+1</f>
        <v>2</v>
      </c>
      <c r="B16" s="514" t="s">
        <v>293</v>
      </c>
      <c r="C16" s="322" t="s">
        <v>539</v>
      </c>
      <c r="D16" s="322">
        <v>4</v>
      </c>
      <c r="E16" s="322" t="s">
        <v>438</v>
      </c>
      <c r="F16" s="323">
        <v>10</v>
      </c>
      <c r="G16" s="324">
        <v>45973</v>
      </c>
      <c r="H16" s="545">
        <v>45975</v>
      </c>
      <c r="I16" s="325" t="s">
        <v>435</v>
      </c>
      <c r="J16" s="513"/>
    </row>
    <row r="17" spans="1:10">
      <c r="A17" s="322">
        <f>A16+1</f>
        <v>3</v>
      </c>
      <c r="B17" s="322" t="s">
        <v>292</v>
      </c>
      <c r="C17" s="322" t="s">
        <v>374</v>
      </c>
      <c r="D17" s="322"/>
      <c r="E17" s="322" t="s">
        <v>437</v>
      </c>
      <c r="F17" s="323">
        <v>10</v>
      </c>
      <c r="G17" s="515">
        <v>45976</v>
      </c>
      <c r="H17" s="546">
        <v>45979</v>
      </c>
      <c r="I17" s="325" t="s">
        <v>435</v>
      </c>
      <c r="J17" s="326"/>
    </row>
    <row r="18" spans="1:10">
      <c r="A18" s="322">
        <f>A17+1</f>
        <v>4</v>
      </c>
      <c r="B18" s="322" t="s">
        <v>402</v>
      </c>
      <c r="C18" s="322" t="s">
        <v>374</v>
      </c>
      <c r="D18" s="322"/>
      <c r="E18" s="322" t="s">
        <v>437</v>
      </c>
      <c r="F18" s="323"/>
      <c r="G18" s="324"/>
      <c r="H18" s="324"/>
      <c r="I18" s="325" t="s">
        <v>434</v>
      </c>
      <c r="J18" s="326"/>
    </row>
    <row r="19" spans="1:10" ht="20">
      <c r="A19" s="322">
        <f>A18+1</f>
        <v>5</v>
      </c>
      <c r="B19" s="322" t="s">
        <v>407</v>
      </c>
      <c r="C19" s="322" t="s">
        <v>385</v>
      </c>
      <c r="D19" s="322">
        <v>5</v>
      </c>
      <c r="E19" s="322" t="s">
        <v>438</v>
      </c>
      <c r="F19" s="323">
        <v>40</v>
      </c>
      <c r="G19" s="324"/>
      <c r="H19" s="324"/>
      <c r="I19" s="325" t="s">
        <v>434</v>
      </c>
      <c r="J19" s="326" t="s">
        <v>466</v>
      </c>
    </row>
    <row r="20" spans="1:10">
      <c r="A20" s="322">
        <f>A19+1</f>
        <v>6</v>
      </c>
      <c r="B20" s="322" t="s">
        <v>408</v>
      </c>
      <c r="C20" s="322" t="s">
        <v>374</v>
      </c>
      <c r="D20" s="322"/>
      <c r="E20" s="322" t="s">
        <v>437</v>
      </c>
      <c r="F20" s="323">
        <v>40</v>
      </c>
      <c r="G20" s="324"/>
      <c r="H20" s="324"/>
      <c r="I20" s="325" t="s">
        <v>434</v>
      </c>
      <c r="J20" s="326"/>
    </row>
  </sheetData>
  <autoFilter ref="A5:J19" xr:uid="{BFC6D29D-817E-42FA-B122-0D2D715775F5}">
    <sortState xmlns:xlrd2="http://schemas.microsoft.com/office/spreadsheetml/2017/richdata2" ref="A6:J20">
      <sortCondition ref="H5:H19"/>
    </sortState>
  </autoFilter>
  <printOptions horizontalCentered="1"/>
  <pageMargins left="0" right="0" top="0.98425196850393704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9"/>
  <sheetViews>
    <sheetView view="pageBreakPreview" topLeftCell="A3" zoomScale="70" zoomScaleNormal="100" zoomScaleSheetLayoutView="70" workbookViewId="0">
      <selection activeCell="A10" sqref="A10"/>
    </sheetView>
  </sheetViews>
  <sheetFormatPr defaultColWidth="9.1796875" defaultRowHeight="13"/>
  <cols>
    <col min="1" max="3" width="9.1796875" style="383"/>
    <col min="4" max="4" width="35.1796875" style="383" customWidth="1"/>
    <col min="5" max="5" width="10.6328125" style="383" customWidth="1"/>
    <col min="6" max="6" width="25.1796875" style="383" bestFit="1" customWidth="1"/>
    <col min="7" max="7" width="10.90625" style="383" customWidth="1"/>
    <col min="8" max="8" width="9.1796875" style="383"/>
    <col min="9" max="10" width="12.26953125" style="383" customWidth="1"/>
    <col min="11" max="16384" width="9.1796875" style="383"/>
  </cols>
  <sheetData>
    <row r="1" spans="1:10" s="384" customFormat="1" ht="16.5" customHeight="1">
      <c r="A1" s="328" t="s">
        <v>439</v>
      </c>
      <c r="B1" s="329"/>
      <c r="C1" s="329"/>
      <c r="D1" s="329"/>
      <c r="E1" s="329"/>
      <c r="F1" s="330"/>
      <c r="G1" s="329"/>
      <c r="H1" s="331"/>
      <c r="I1" s="332"/>
      <c r="J1" s="333"/>
    </row>
    <row r="2" spans="1:10" s="384" customFormat="1" ht="45" customHeight="1">
      <c r="A2" s="858" t="s">
        <v>478</v>
      </c>
      <c r="B2" s="859"/>
      <c r="C2" s="859"/>
      <c r="D2" s="859"/>
      <c r="E2" s="859"/>
      <c r="F2" s="859"/>
      <c r="G2" s="859"/>
      <c r="H2" s="334"/>
      <c r="I2" s="335"/>
      <c r="J2" s="336"/>
    </row>
    <row r="3" spans="1:10" ht="25" customHeight="1">
      <c r="A3" s="860" t="s">
        <v>440</v>
      </c>
      <c r="B3" s="861"/>
      <c r="C3" s="861"/>
      <c r="D3" s="862"/>
      <c r="E3" s="861"/>
      <c r="F3" s="861"/>
      <c r="G3" s="861"/>
      <c r="H3" s="861"/>
      <c r="I3" s="861"/>
      <c r="J3" s="861"/>
    </row>
    <row r="4" spans="1:10" s="473" customFormat="1" ht="40.75" customHeight="1">
      <c r="A4" s="472" t="s">
        <v>301</v>
      </c>
      <c r="B4" s="863" t="s">
        <v>302</v>
      </c>
      <c r="C4" s="863"/>
      <c r="D4" s="472" t="s">
        <v>441</v>
      </c>
      <c r="E4" s="472" t="s">
        <v>547</v>
      </c>
      <c r="F4" s="472" t="s">
        <v>442</v>
      </c>
      <c r="G4" s="472" t="s">
        <v>443</v>
      </c>
      <c r="H4" s="472" t="s">
        <v>444</v>
      </c>
      <c r="I4" s="472" t="s">
        <v>453</v>
      </c>
      <c r="J4" s="472" t="s">
        <v>28</v>
      </c>
    </row>
    <row r="5" spans="1:10" s="473" customFormat="1" ht="33.5" customHeight="1">
      <c r="A5" s="474">
        <v>1</v>
      </c>
      <c r="B5" s="475" t="s">
        <v>390</v>
      </c>
      <c r="C5" s="475" t="s">
        <v>445</v>
      </c>
      <c r="D5" s="476" t="s">
        <v>446</v>
      </c>
      <c r="E5" s="477" t="s">
        <v>548</v>
      </c>
      <c r="F5" s="478">
        <v>45841</v>
      </c>
      <c r="G5" s="479" t="s">
        <v>549</v>
      </c>
      <c r="H5" s="480" t="s">
        <v>448</v>
      </c>
      <c r="I5" s="481"/>
      <c r="J5" s="477"/>
    </row>
    <row r="6" spans="1:10" s="473" customFormat="1" ht="33.5" customHeight="1">
      <c r="A6" s="474">
        <v>2</v>
      </c>
      <c r="B6" s="475" t="s">
        <v>283</v>
      </c>
      <c r="C6" s="475" t="s">
        <v>378</v>
      </c>
      <c r="D6" s="476" t="s">
        <v>479</v>
      </c>
      <c r="E6" s="477" t="s">
        <v>548</v>
      </c>
      <c r="F6" s="478">
        <v>45857</v>
      </c>
      <c r="G6" s="479" t="s">
        <v>549</v>
      </c>
      <c r="H6" s="480" t="s">
        <v>449</v>
      </c>
      <c r="I6" s="481"/>
      <c r="J6" s="477"/>
    </row>
    <row r="7" spans="1:10" s="473" customFormat="1" ht="33.5" customHeight="1">
      <c r="A7" s="474">
        <v>3</v>
      </c>
      <c r="B7" s="482" t="s">
        <v>293</v>
      </c>
      <c r="C7" s="482" t="s">
        <v>401</v>
      </c>
      <c r="D7" s="483" t="s">
        <v>480</v>
      </c>
      <c r="E7" s="484" t="s">
        <v>548</v>
      </c>
      <c r="F7" s="485">
        <v>45908</v>
      </c>
      <c r="G7" s="486" t="s">
        <v>549</v>
      </c>
      <c r="H7" s="487" t="s">
        <v>448</v>
      </c>
      <c r="I7" s="484"/>
      <c r="J7" s="484"/>
    </row>
    <row r="8" spans="1:10" s="473" customFormat="1" ht="33.5" customHeight="1">
      <c r="A8" s="474">
        <v>4</v>
      </c>
      <c r="B8" s="482" t="s">
        <v>293</v>
      </c>
      <c r="C8" s="482" t="s">
        <v>401</v>
      </c>
      <c r="D8" s="483" t="s">
        <v>481</v>
      </c>
      <c r="E8" s="484" t="s">
        <v>548</v>
      </c>
      <c r="F8" s="485">
        <v>45908</v>
      </c>
      <c r="G8" s="486" t="s">
        <v>549</v>
      </c>
      <c r="H8" s="487" t="s">
        <v>449</v>
      </c>
      <c r="I8" s="484"/>
      <c r="J8" s="484"/>
    </row>
    <row r="9" spans="1:10" s="473" customFormat="1" ht="33.5" customHeight="1">
      <c r="A9" s="474">
        <v>5</v>
      </c>
      <c r="B9" s="488" t="s">
        <v>406</v>
      </c>
      <c r="C9" s="475" t="s">
        <v>408</v>
      </c>
      <c r="D9" s="489" t="s">
        <v>480</v>
      </c>
      <c r="E9" s="477" t="s">
        <v>548</v>
      </c>
      <c r="F9" s="478">
        <v>45865</v>
      </c>
      <c r="G9" s="479" t="s">
        <v>549</v>
      </c>
      <c r="H9" s="480" t="s">
        <v>448</v>
      </c>
      <c r="I9" s="481"/>
      <c r="J9" s="477"/>
    </row>
    <row r="10" spans="1:10" s="473" customFormat="1" ht="43" customHeight="1">
      <c r="A10" s="474">
        <v>6</v>
      </c>
      <c r="B10" s="488" t="s">
        <v>406</v>
      </c>
      <c r="C10" s="475" t="s">
        <v>408</v>
      </c>
      <c r="D10" s="489" t="s">
        <v>482</v>
      </c>
      <c r="E10" s="477" t="s">
        <v>548</v>
      </c>
      <c r="F10" s="478">
        <v>45865</v>
      </c>
      <c r="G10" s="479" t="s">
        <v>549</v>
      </c>
      <c r="H10" s="480" t="s">
        <v>449</v>
      </c>
      <c r="I10" s="481"/>
      <c r="J10" s="477"/>
    </row>
    <row r="11" spans="1:10" s="473" customFormat="1" ht="15" customHeight="1">
      <c r="A11" s="490" t="s">
        <v>321</v>
      </c>
      <c r="B11" s="490">
        <f>COUNTA(B5:B10)</f>
        <v>6</v>
      </c>
      <c r="C11" s="490"/>
      <c r="D11" s="491"/>
      <c r="E11" s="491"/>
      <c r="F11" s="490">
        <f>COUNTA(F5:F10)</f>
        <v>6</v>
      </c>
      <c r="G11" s="490"/>
      <c r="H11" s="490"/>
      <c r="I11" s="490"/>
      <c r="J11" s="490"/>
    </row>
    <row r="12" spans="1:10" s="473" customFormat="1" ht="15.5">
      <c r="A12" s="492"/>
      <c r="B12" s="492"/>
      <c r="C12" s="492"/>
      <c r="D12" s="493"/>
      <c r="E12" s="493"/>
      <c r="F12" s="492"/>
      <c r="G12" s="492"/>
      <c r="H12" s="492"/>
      <c r="I12" s="492"/>
      <c r="J12" s="492"/>
    </row>
    <row r="13" spans="1:10" s="494" customFormat="1" ht="15.5">
      <c r="A13" s="855" t="s">
        <v>450</v>
      </c>
      <c r="B13" s="855"/>
      <c r="C13" s="855"/>
      <c r="D13" s="855"/>
      <c r="E13" s="855"/>
      <c r="F13" s="855"/>
      <c r="G13" s="855"/>
      <c r="H13" s="855"/>
      <c r="I13" s="855"/>
      <c r="J13" s="855"/>
    </row>
    <row r="14" spans="1:10" s="494" customFormat="1" ht="25" customHeight="1">
      <c r="A14" s="338" t="s">
        <v>301</v>
      </c>
      <c r="B14" s="338" t="s">
        <v>451</v>
      </c>
      <c r="C14" s="338" t="s">
        <v>452</v>
      </c>
      <c r="D14" s="338" t="s">
        <v>441</v>
      </c>
      <c r="E14" s="338" t="s">
        <v>323</v>
      </c>
      <c r="F14" s="338" t="s">
        <v>442</v>
      </c>
      <c r="G14" s="338" t="s">
        <v>443</v>
      </c>
      <c r="H14" s="338" t="s">
        <v>444</v>
      </c>
      <c r="I14" s="338" t="s">
        <v>453</v>
      </c>
      <c r="J14" s="338" t="s">
        <v>28</v>
      </c>
    </row>
    <row r="15" spans="1:10" s="494" customFormat="1" ht="15.5">
      <c r="A15" s="487">
        <v>1</v>
      </c>
      <c r="B15" s="488" t="s">
        <v>294</v>
      </c>
      <c r="C15" s="475" t="s">
        <v>295</v>
      </c>
      <c r="D15" s="495" t="s">
        <v>483</v>
      </c>
      <c r="E15" s="495" t="s">
        <v>454</v>
      </c>
      <c r="F15" s="485"/>
      <c r="G15" s="495" t="s">
        <v>447</v>
      </c>
      <c r="H15" s="487"/>
      <c r="I15" s="485"/>
      <c r="J15" s="487"/>
    </row>
    <row r="16" spans="1:10" s="494" customFormat="1" ht="15.5">
      <c r="A16" s="855" t="s">
        <v>455</v>
      </c>
      <c r="B16" s="855"/>
      <c r="C16" s="855"/>
      <c r="D16" s="855"/>
      <c r="E16" s="855"/>
      <c r="F16" s="855"/>
      <c r="G16" s="855"/>
      <c r="H16" s="855"/>
      <c r="I16" s="855"/>
      <c r="J16" s="855"/>
    </row>
    <row r="17" spans="1:10" s="494" customFormat="1" ht="27" customHeight="1">
      <c r="A17" s="338" t="s">
        <v>301</v>
      </c>
      <c r="B17" s="338" t="s">
        <v>451</v>
      </c>
      <c r="C17" s="338" t="s">
        <v>452</v>
      </c>
      <c r="D17" s="338" t="s">
        <v>441</v>
      </c>
      <c r="E17" s="338" t="s">
        <v>323</v>
      </c>
      <c r="F17" s="338" t="s">
        <v>442</v>
      </c>
      <c r="G17" s="338" t="s">
        <v>443</v>
      </c>
      <c r="H17" s="338" t="s">
        <v>444</v>
      </c>
      <c r="I17" s="338" t="s">
        <v>453</v>
      </c>
      <c r="J17" s="338" t="s">
        <v>28</v>
      </c>
    </row>
    <row r="18" spans="1:10" s="494" customFormat="1" ht="15.5">
      <c r="A18" s="487">
        <v>1</v>
      </c>
      <c r="B18" s="488" t="s">
        <v>403</v>
      </c>
      <c r="C18" s="475" t="s">
        <v>404</v>
      </c>
      <c r="D18" s="496"/>
      <c r="E18" s="495"/>
      <c r="F18" s="485"/>
      <c r="G18" s="495" t="s">
        <v>447</v>
      </c>
      <c r="H18" s="487"/>
      <c r="I18" s="485"/>
      <c r="J18" s="487"/>
    </row>
    <row r="19" spans="1:10" s="494" customFormat="1" ht="15.5">
      <c r="A19" s="855" t="s">
        <v>456</v>
      </c>
      <c r="B19" s="855"/>
      <c r="C19" s="855"/>
      <c r="D19" s="855"/>
      <c r="E19" s="855"/>
      <c r="F19" s="855"/>
      <c r="G19" s="855"/>
      <c r="H19" s="855"/>
      <c r="I19" s="855"/>
      <c r="J19" s="855"/>
    </row>
    <row r="20" spans="1:10" s="494" customFormat="1" ht="27" customHeight="1">
      <c r="A20" s="338" t="s">
        <v>301</v>
      </c>
      <c r="B20" s="338" t="s">
        <v>451</v>
      </c>
      <c r="C20" s="338" t="s">
        <v>452</v>
      </c>
      <c r="D20" s="338" t="s">
        <v>441</v>
      </c>
      <c r="E20" s="338" t="s">
        <v>323</v>
      </c>
      <c r="F20" s="338" t="s">
        <v>442</v>
      </c>
      <c r="G20" s="338" t="s">
        <v>443</v>
      </c>
      <c r="H20" s="338" t="s">
        <v>444</v>
      </c>
      <c r="I20" s="338" t="s">
        <v>453</v>
      </c>
      <c r="J20" s="338" t="s">
        <v>28</v>
      </c>
    </row>
    <row r="21" spans="1:10" s="494" customFormat="1" ht="15.5">
      <c r="A21" s="487">
        <v>1</v>
      </c>
      <c r="B21" s="482" t="s">
        <v>410</v>
      </c>
      <c r="C21" s="482" t="s">
        <v>291</v>
      </c>
      <c r="D21" s="497" t="s">
        <v>457</v>
      </c>
      <c r="E21" s="487"/>
      <c r="F21" s="485"/>
      <c r="G21" s="498" t="s">
        <v>447</v>
      </c>
      <c r="H21" s="487"/>
      <c r="I21" s="485"/>
      <c r="J21" s="487"/>
    </row>
    <row r="22" spans="1:10" s="494" customFormat="1" ht="15.5">
      <c r="A22" s="855" t="s">
        <v>458</v>
      </c>
      <c r="B22" s="855"/>
      <c r="C22" s="855"/>
      <c r="D22" s="855"/>
      <c r="E22" s="855"/>
      <c r="F22" s="855"/>
      <c r="G22" s="855"/>
      <c r="H22" s="855"/>
      <c r="I22" s="855"/>
      <c r="J22" s="855"/>
    </row>
    <row r="23" spans="1:10" s="494" customFormat="1" ht="60">
      <c r="A23" s="338" t="s">
        <v>301</v>
      </c>
      <c r="B23" s="338" t="s">
        <v>451</v>
      </c>
      <c r="C23" s="338" t="s">
        <v>452</v>
      </c>
      <c r="D23" s="338" t="s">
        <v>441</v>
      </c>
      <c r="E23" s="338" t="s">
        <v>323</v>
      </c>
      <c r="F23" s="338" t="s">
        <v>442</v>
      </c>
      <c r="G23" s="338" t="s">
        <v>443</v>
      </c>
      <c r="H23" s="338" t="s">
        <v>444</v>
      </c>
      <c r="I23" s="338" t="s">
        <v>453</v>
      </c>
      <c r="J23" s="338" t="s">
        <v>28</v>
      </c>
    </row>
    <row r="24" spans="1:10" s="494" customFormat="1" ht="25" customHeight="1">
      <c r="A24" s="487">
        <v>1</v>
      </c>
      <c r="B24" s="482" t="s">
        <v>406</v>
      </c>
      <c r="C24" s="482" t="s">
        <v>408</v>
      </c>
      <c r="D24" s="497" t="s">
        <v>459</v>
      </c>
      <c r="E24" s="487" t="s">
        <v>460</v>
      </c>
      <c r="F24" s="485"/>
      <c r="G24" s="498" t="s">
        <v>447</v>
      </c>
      <c r="H24" s="487"/>
      <c r="I24" s="485"/>
      <c r="J24" s="487"/>
    </row>
    <row r="25" spans="1:10" s="494" customFormat="1" ht="15" customHeight="1">
      <c r="A25" s="855" t="s">
        <v>461</v>
      </c>
      <c r="B25" s="855"/>
      <c r="C25" s="855"/>
      <c r="D25" s="855"/>
      <c r="E25" s="855"/>
      <c r="F25" s="855"/>
      <c r="G25" s="855"/>
      <c r="H25" s="855"/>
      <c r="I25" s="855"/>
      <c r="J25" s="855"/>
    </row>
    <row r="26" spans="1:10" s="494" customFormat="1" ht="60">
      <c r="A26" s="338" t="s">
        <v>301</v>
      </c>
      <c r="B26" s="857" t="s">
        <v>462</v>
      </c>
      <c r="C26" s="857"/>
      <c r="D26" s="857"/>
      <c r="E26" s="338"/>
      <c r="F26" s="338" t="s">
        <v>442</v>
      </c>
      <c r="G26" s="338" t="s">
        <v>443</v>
      </c>
      <c r="H26" s="338" t="s">
        <v>444</v>
      </c>
      <c r="I26" s="338" t="s">
        <v>453</v>
      </c>
      <c r="J26" s="338" t="s">
        <v>28</v>
      </c>
    </row>
    <row r="27" spans="1:10" s="494" customFormat="1" ht="15" customHeight="1">
      <c r="A27" s="487">
        <v>1</v>
      </c>
      <c r="B27" s="856" t="s">
        <v>463</v>
      </c>
      <c r="C27" s="856"/>
      <c r="D27" s="856"/>
      <c r="E27" s="499"/>
      <c r="F27" s="500">
        <v>45908</v>
      </c>
      <c r="G27" s="501"/>
      <c r="H27" s="487"/>
      <c r="I27" s="487"/>
      <c r="J27" s="487"/>
    </row>
    <row r="28" spans="1:10" s="494" customFormat="1" ht="15.5">
      <c r="A28" s="487">
        <v>2</v>
      </c>
      <c r="B28" s="856" t="s">
        <v>464</v>
      </c>
      <c r="C28" s="856"/>
      <c r="D28" s="856"/>
      <c r="E28" s="499"/>
      <c r="F28" s="500">
        <v>45890</v>
      </c>
      <c r="G28" s="501"/>
      <c r="H28" s="487"/>
      <c r="I28" s="497"/>
      <c r="J28" s="487"/>
    </row>
    <row r="29" spans="1:10" s="494" customFormat="1" ht="15.5">
      <c r="A29" s="487">
        <v>3</v>
      </c>
      <c r="B29" s="856" t="s">
        <v>465</v>
      </c>
      <c r="C29" s="856"/>
      <c r="D29" s="856"/>
      <c r="E29" s="499"/>
      <c r="F29" s="500">
        <v>45890</v>
      </c>
      <c r="G29" s="501"/>
      <c r="H29" s="487"/>
      <c r="I29" s="497"/>
      <c r="J29" s="502"/>
    </row>
  </sheetData>
  <mergeCells count="12">
    <mergeCell ref="A2:G2"/>
    <mergeCell ref="A3:J3"/>
    <mergeCell ref="B4:C4"/>
    <mergeCell ref="A13:J13"/>
    <mergeCell ref="A16:J16"/>
    <mergeCell ref="A19:J19"/>
    <mergeCell ref="A22:J22"/>
    <mergeCell ref="A25:J25"/>
    <mergeCell ref="B28:D28"/>
    <mergeCell ref="B29:D29"/>
    <mergeCell ref="B26:D26"/>
    <mergeCell ref="B27:D27"/>
  </mergeCells>
  <printOptions horizontalCentered="1"/>
  <pageMargins left="0.78740157480314998" right="0.78740157480314998" top="0.74803149606299202" bottom="0.74803149606299202" header="0.31496062992126" footer="0.31496062992126"/>
  <pageSetup paperSize="9"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6DCA-7C58-4475-9897-765C029C35D3}">
  <sheetPr>
    <pageSetUpPr fitToPage="1"/>
  </sheetPr>
  <dimension ref="A3:R19"/>
  <sheetViews>
    <sheetView zoomScale="80" zoomScaleNormal="80" zoomScaleSheetLayoutView="80" workbookViewId="0">
      <selection activeCell="J20" sqref="J20"/>
    </sheetView>
  </sheetViews>
  <sheetFormatPr defaultRowHeight="15.5"/>
  <cols>
    <col min="1" max="4" width="8.7265625" style="532"/>
    <col min="5" max="5" width="8.36328125" style="532" customWidth="1"/>
    <col min="6" max="7" width="13.453125" style="532" customWidth="1"/>
    <col min="8" max="11" width="12.6328125" style="532" customWidth="1"/>
    <col min="12" max="13" width="8.7265625" style="532"/>
    <col min="14" max="14" width="5.1796875" style="532" customWidth="1"/>
    <col min="15" max="15" width="17.54296875" style="532" customWidth="1"/>
    <col min="16" max="16" width="19.7265625" style="532" customWidth="1"/>
    <col min="17" max="17" width="8.7265625" style="532"/>
    <col min="18" max="16384" width="8.7265625" style="533"/>
  </cols>
  <sheetData>
    <row r="3" spans="1:18">
      <c r="E3" s="864" t="s">
        <v>586</v>
      </c>
      <c r="F3" s="864"/>
      <c r="G3" s="864"/>
      <c r="H3" s="864"/>
      <c r="I3" s="864"/>
      <c r="J3" s="864"/>
      <c r="K3" s="864"/>
      <c r="L3" s="864"/>
      <c r="M3" s="864"/>
      <c r="N3" s="864"/>
    </row>
    <row r="5" spans="1:18">
      <c r="M5" s="865" t="s">
        <v>587</v>
      </c>
      <c r="N5" s="865"/>
      <c r="O5" s="865"/>
      <c r="P5" s="865"/>
      <c r="Q5" s="865"/>
      <c r="R5" s="865"/>
    </row>
    <row r="6" spans="1:18" ht="16" thickBot="1">
      <c r="M6" s="865"/>
      <c r="N6" s="865"/>
      <c r="O6" s="865"/>
      <c r="P6" s="865"/>
      <c r="Q6" s="865"/>
      <c r="R6" s="865"/>
    </row>
    <row r="7" spans="1:18">
      <c r="A7" s="866" t="s">
        <v>588</v>
      </c>
      <c r="B7" s="869" t="s">
        <v>589</v>
      </c>
      <c r="C7" s="865"/>
      <c r="D7" s="865"/>
      <c r="E7" s="865"/>
      <c r="O7" s="865" t="s">
        <v>590</v>
      </c>
      <c r="P7" s="870"/>
      <c r="Q7" s="871" t="s">
        <v>591</v>
      </c>
    </row>
    <row r="8" spans="1:18">
      <c r="A8" s="867"/>
      <c r="B8" s="869"/>
      <c r="C8" s="865"/>
      <c r="D8" s="865"/>
      <c r="E8" s="865"/>
      <c r="H8" s="874" t="s">
        <v>592</v>
      </c>
      <c r="I8" s="874"/>
      <c r="J8" s="874"/>
      <c r="K8" s="874"/>
      <c r="O8" s="865"/>
      <c r="P8" s="870"/>
      <c r="Q8" s="872"/>
    </row>
    <row r="9" spans="1:18">
      <c r="A9" s="867"/>
      <c r="B9" s="875" t="s">
        <v>593</v>
      </c>
      <c r="C9" s="874"/>
      <c r="D9" s="874"/>
      <c r="E9" s="874"/>
      <c r="Q9" s="872"/>
    </row>
    <row r="10" spans="1:18" s="536" customFormat="1" ht="18" customHeight="1">
      <c r="A10" s="867"/>
      <c r="B10" s="534"/>
      <c r="C10" s="534"/>
      <c r="D10" s="534"/>
      <c r="E10" s="535" t="s">
        <v>594</v>
      </c>
      <c r="F10" s="534"/>
      <c r="G10" s="535" t="s">
        <v>595</v>
      </c>
      <c r="H10" s="534"/>
      <c r="I10" s="534"/>
      <c r="J10" s="534"/>
      <c r="K10" s="535" t="s">
        <v>596</v>
      </c>
      <c r="L10" s="534"/>
      <c r="M10" s="534"/>
      <c r="N10" s="534" t="s">
        <v>597</v>
      </c>
      <c r="O10" s="534"/>
      <c r="P10" s="534"/>
      <c r="Q10" s="872"/>
    </row>
    <row r="11" spans="1:18" ht="26" customHeight="1">
      <c r="A11" s="867"/>
      <c r="B11" s="537"/>
      <c r="C11" s="537"/>
      <c r="D11" s="537"/>
      <c r="E11" s="537"/>
      <c r="F11" s="538" t="s">
        <v>598</v>
      </c>
      <c r="G11" s="539"/>
      <c r="H11" s="876"/>
      <c r="I11" s="876"/>
      <c r="J11" s="876"/>
      <c r="K11" s="876"/>
      <c r="L11" s="877" t="s">
        <v>598</v>
      </c>
      <c r="M11" s="877"/>
      <c r="N11" s="877"/>
      <c r="O11" s="877"/>
      <c r="P11" s="877"/>
      <c r="Q11" s="872"/>
    </row>
    <row r="12" spans="1:18" ht="16" thickBot="1">
      <c r="A12" s="867"/>
      <c r="Q12" s="872"/>
    </row>
    <row r="13" spans="1:18">
      <c r="A13" s="867"/>
      <c r="C13" s="878" t="s">
        <v>599</v>
      </c>
      <c r="H13" s="874" t="s">
        <v>600</v>
      </c>
      <c r="I13" s="874"/>
      <c r="J13" s="874"/>
      <c r="K13" s="874"/>
      <c r="Q13" s="872"/>
    </row>
    <row r="14" spans="1:18" ht="16" thickBot="1">
      <c r="A14" s="868"/>
      <c r="C14" s="879"/>
      <c r="Q14" s="873"/>
    </row>
    <row r="15" spans="1:18" ht="14.5" customHeight="1">
      <c r="C15" s="879"/>
    </row>
    <row r="16" spans="1:18">
      <c r="C16" s="879"/>
      <c r="F16" s="881" t="s">
        <v>601</v>
      </c>
      <c r="G16" s="881"/>
      <c r="H16" s="881"/>
      <c r="I16" s="881"/>
      <c r="J16" s="881"/>
      <c r="K16" s="881"/>
      <c r="L16" s="881"/>
      <c r="M16" s="881"/>
      <c r="N16" s="881"/>
    </row>
    <row r="17" spans="3:3">
      <c r="C17" s="879"/>
    </row>
    <row r="18" spans="3:3">
      <c r="C18" s="879"/>
    </row>
    <row r="19" spans="3:3" ht="16" thickBot="1">
      <c r="C19" s="880"/>
    </row>
  </sheetData>
  <mergeCells count="13">
    <mergeCell ref="E3:N3"/>
    <mergeCell ref="M5:R6"/>
    <mergeCell ref="A7:A14"/>
    <mergeCell ref="B7:E8"/>
    <mergeCell ref="O7:P8"/>
    <mergeCell ref="Q7:Q14"/>
    <mergeCell ref="H8:K8"/>
    <mergeCell ref="B9:E9"/>
    <mergeCell ref="H11:K11"/>
    <mergeCell ref="L11:P11"/>
    <mergeCell ref="C13:C19"/>
    <mergeCell ref="H13:K13"/>
    <mergeCell ref="F16:N16"/>
  </mergeCells>
  <printOptions horizontalCentered="1" verticalCentered="1"/>
  <pageMargins left="0" right="0" top="0" bottom="0" header="0" footer="0"/>
  <pageSetup paperSize="9" scale="7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9786-D629-4D38-989E-B2FCB5C7ABD0}">
  <dimension ref="B2:L8"/>
  <sheetViews>
    <sheetView workbookViewId="0">
      <selection activeCell="H1" sqref="H1"/>
    </sheetView>
  </sheetViews>
  <sheetFormatPr defaultRowHeight="14.5"/>
  <cols>
    <col min="1" max="1" width="3.08984375" customWidth="1"/>
    <col min="4" max="4" width="12.7265625" customWidth="1"/>
    <col min="6" max="11" width="13.54296875" customWidth="1"/>
    <col min="12" max="12" width="30.453125" customWidth="1"/>
  </cols>
  <sheetData>
    <row r="2" spans="2:12" ht="39">
      <c r="B2" s="340" t="s">
        <v>467</v>
      </c>
      <c r="C2" s="882" t="s">
        <v>475</v>
      </c>
      <c r="D2" s="882"/>
      <c r="E2" s="341" t="s">
        <v>19</v>
      </c>
      <c r="F2" s="340" t="s">
        <v>468</v>
      </c>
      <c r="G2" s="385" t="s">
        <v>484</v>
      </c>
      <c r="H2" s="385" t="s">
        <v>485</v>
      </c>
      <c r="I2" s="340" t="s">
        <v>476</v>
      </c>
      <c r="J2" s="385" t="s">
        <v>486</v>
      </c>
      <c r="K2" s="340" t="s">
        <v>489</v>
      </c>
      <c r="L2" s="340" t="s">
        <v>28</v>
      </c>
    </row>
    <row r="3" spans="2:12" ht="27.5" customHeight="1">
      <c r="B3" s="882" t="s">
        <v>469</v>
      </c>
      <c r="C3" s="882" t="s">
        <v>3</v>
      </c>
      <c r="D3" s="883" t="s">
        <v>34</v>
      </c>
      <c r="E3" s="341" t="s">
        <v>110</v>
      </c>
      <c r="F3" s="339">
        <v>34</v>
      </c>
      <c r="G3" s="339">
        <f>F3</f>
        <v>34</v>
      </c>
      <c r="H3" s="339">
        <f>G3</f>
        <v>34</v>
      </c>
      <c r="I3" s="342">
        <v>2</v>
      </c>
      <c r="J3" s="342">
        <v>3</v>
      </c>
      <c r="K3" s="343">
        <f>H3-I3-J3</f>
        <v>29</v>
      </c>
      <c r="L3" s="882" t="s">
        <v>490</v>
      </c>
    </row>
    <row r="4" spans="2:12" ht="27.5" customHeight="1">
      <c r="B4" s="882"/>
      <c r="C4" s="882"/>
      <c r="D4" s="883"/>
      <c r="E4" s="341" t="s">
        <v>470</v>
      </c>
      <c r="F4" s="339">
        <v>2429</v>
      </c>
      <c r="G4" s="339">
        <f t="shared" ref="G4:H4" si="0">F4</f>
        <v>2429</v>
      </c>
      <c r="H4" s="339">
        <f t="shared" si="0"/>
        <v>2429</v>
      </c>
      <c r="I4" s="342">
        <v>144.03</v>
      </c>
      <c r="J4" s="342">
        <v>205.2</v>
      </c>
      <c r="K4" s="343">
        <f t="shared" ref="K4:K8" si="1">H4-I4-J4</f>
        <v>2079.77</v>
      </c>
      <c r="L4" s="882"/>
    </row>
    <row r="5" spans="2:12">
      <c r="B5" s="882"/>
      <c r="C5" s="882"/>
      <c r="D5" s="883" t="s">
        <v>94</v>
      </c>
      <c r="E5" s="341" t="s">
        <v>110</v>
      </c>
      <c r="F5" s="339">
        <v>34</v>
      </c>
      <c r="G5" s="339">
        <f t="shared" ref="G5:H5" si="2">F5</f>
        <v>34</v>
      </c>
      <c r="H5" s="339">
        <f t="shared" si="2"/>
        <v>34</v>
      </c>
      <c r="I5" s="342">
        <v>0</v>
      </c>
      <c r="J5" s="342">
        <v>0</v>
      </c>
      <c r="K5" s="343">
        <f t="shared" si="1"/>
        <v>34</v>
      </c>
      <c r="L5" s="882" t="s">
        <v>487</v>
      </c>
    </row>
    <row r="6" spans="2:12">
      <c r="B6" s="882"/>
      <c r="C6" s="882"/>
      <c r="D6" s="883"/>
      <c r="E6" s="341" t="s">
        <v>471</v>
      </c>
      <c r="F6" s="339">
        <v>879.19</v>
      </c>
      <c r="G6" s="339">
        <f t="shared" ref="G6:H6" si="3">F6</f>
        <v>879.19</v>
      </c>
      <c r="H6" s="339">
        <f t="shared" si="3"/>
        <v>879.19</v>
      </c>
      <c r="I6" s="342">
        <v>0</v>
      </c>
      <c r="J6" s="342">
        <v>0</v>
      </c>
      <c r="K6" s="343">
        <f t="shared" si="1"/>
        <v>879.19</v>
      </c>
      <c r="L6" s="882"/>
    </row>
    <row r="7" spans="2:12">
      <c r="B7" s="882"/>
      <c r="C7" s="882"/>
      <c r="D7" s="340" t="s">
        <v>472</v>
      </c>
      <c r="E7" s="341" t="s">
        <v>473</v>
      </c>
      <c r="F7" s="386">
        <v>8.8219999999999992</v>
      </c>
      <c r="G7" s="386">
        <f t="shared" ref="G7:H7" si="4">F7</f>
        <v>8.8219999999999992</v>
      </c>
      <c r="H7" s="386">
        <f t="shared" si="4"/>
        <v>8.8219999999999992</v>
      </c>
      <c r="I7" s="387">
        <v>0</v>
      </c>
      <c r="J7" s="387">
        <v>0</v>
      </c>
      <c r="K7" s="387">
        <f t="shared" si="1"/>
        <v>8.8219999999999992</v>
      </c>
      <c r="L7" s="882" t="s">
        <v>488</v>
      </c>
    </row>
    <row r="8" spans="2:12">
      <c r="B8" s="882"/>
      <c r="C8" s="882"/>
      <c r="D8" s="340" t="s">
        <v>474</v>
      </c>
      <c r="E8" s="341" t="s">
        <v>473</v>
      </c>
      <c r="F8" s="386">
        <v>8.8219999999999992</v>
      </c>
      <c r="G8" s="386">
        <f t="shared" ref="G8:H8" si="5">F8</f>
        <v>8.8219999999999992</v>
      </c>
      <c r="H8" s="386">
        <f t="shared" si="5"/>
        <v>8.8219999999999992</v>
      </c>
      <c r="I8" s="387">
        <v>0</v>
      </c>
      <c r="J8" s="387">
        <v>0</v>
      </c>
      <c r="K8" s="387">
        <f t="shared" si="1"/>
        <v>8.8219999999999992</v>
      </c>
      <c r="L8" s="882"/>
    </row>
  </sheetData>
  <mergeCells count="8">
    <mergeCell ref="C2:D2"/>
    <mergeCell ref="B3:B8"/>
    <mergeCell ref="C3:C8"/>
    <mergeCell ref="D3:D4"/>
    <mergeCell ref="L3:L4"/>
    <mergeCell ref="D5:D6"/>
    <mergeCell ref="L5:L6"/>
    <mergeCell ref="L7:L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1096-264B-4702-B163-E072BD24CB0A}">
  <dimension ref="A1:L18"/>
  <sheetViews>
    <sheetView workbookViewId="0">
      <selection activeCell="E4" sqref="E4"/>
    </sheetView>
  </sheetViews>
  <sheetFormatPr defaultRowHeight="14.5"/>
  <cols>
    <col min="2" max="2" width="21.7265625" customWidth="1"/>
    <col min="3" max="3" width="6.26953125" bestFit="1" customWidth="1"/>
    <col min="4" max="4" width="12.1796875" customWidth="1"/>
    <col min="5" max="5" width="25.1796875" customWidth="1"/>
    <col min="6" max="6" width="27.54296875" bestFit="1" customWidth="1"/>
    <col min="7" max="7" width="8.7265625" style="1"/>
    <col min="10" max="10" width="10.90625" customWidth="1"/>
    <col min="12" max="12" width="10.08984375" bestFit="1" customWidth="1"/>
  </cols>
  <sheetData>
    <row r="1" spans="1:12">
      <c r="A1" s="688" t="s">
        <v>675</v>
      </c>
      <c r="B1" s="688"/>
      <c r="C1" s="688"/>
      <c r="D1" s="688"/>
      <c r="E1" s="688"/>
      <c r="F1" s="688"/>
      <c r="G1" s="689"/>
      <c r="H1" s="688"/>
      <c r="I1" s="688"/>
      <c r="J1" s="688"/>
      <c r="K1" s="688"/>
      <c r="L1" s="690">
        <f>'NKTL DPR'!J1</f>
        <v>46034</v>
      </c>
    </row>
    <row r="2" spans="1:12" ht="44.5" customHeight="1">
      <c r="A2" s="884" t="s">
        <v>643</v>
      </c>
      <c r="B2" s="884"/>
      <c r="C2" s="679" t="s">
        <v>644</v>
      </c>
      <c r="D2" s="679" t="s">
        <v>645</v>
      </c>
      <c r="E2" s="679" t="s">
        <v>646</v>
      </c>
      <c r="F2" s="679" t="s">
        <v>647</v>
      </c>
      <c r="G2" s="680" t="s">
        <v>648</v>
      </c>
      <c r="H2" s="680" t="s">
        <v>649</v>
      </c>
      <c r="I2" s="680" t="s">
        <v>650</v>
      </c>
      <c r="J2" s="680" t="s">
        <v>651</v>
      </c>
      <c r="K2" s="681" t="s">
        <v>652</v>
      </c>
      <c r="L2" s="678" t="s">
        <v>42</v>
      </c>
    </row>
    <row r="3" spans="1:12" ht="21">
      <c r="A3" s="678" t="s">
        <v>653</v>
      </c>
      <c r="B3" s="678" t="s">
        <v>654</v>
      </c>
      <c r="C3" s="682">
        <v>1265.3631120000009</v>
      </c>
      <c r="D3" s="682">
        <v>40</v>
      </c>
      <c r="E3" s="682">
        <v>103.90199664000001</v>
      </c>
      <c r="F3" s="682">
        <f t="shared" ref="F3:F18" si="0">D3+C3+E3</f>
        <v>1409.265108640001</v>
      </c>
      <c r="G3" s="682"/>
      <c r="H3" s="682">
        <f>1309984/1000</f>
        <v>1309.9839999999999</v>
      </c>
      <c r="I3" s="682">
        <v>1191.92</v>
      </c>
      <c r="J3" s="683">
        <f>H3-I3</f>
        <v>118.06399999999985</v>
      </c>
      <c r="K3" s="684"/>
      <c r="L3" s="678"/>
    </row>
    <row r="4" spans="1:12" ht="21">
      <c r="A4" s="678" t="s">
        <v>655</v>
      </c>
      <c r="B4" s="678" t="s">
        <v>656</v>
      </c>
      <c r="C4" s="682">
        <v>99.116856000000013</v>
      </c>
      <c r="D4" s="682">
        <v>4</v>
      </c>
      <c r="E4" s="682">
        <f>8.57</f>
        <v>8.57</v>
      </c>
      <c r="F4" s="682">
        <f t="shared" si="0"/>
        <v>111.68685600000001</v>
      </c>
      <c r="G4" s="682"/>
      <c r="H4" s="682">
        <v>111</v>
      </c>
      <c r="I4" s="685">
        <v>99.588999999999999</v>
      </c>
      <c r="J4" s="686">
        <f>H4-I4</f>
        <v>11.411000000000001</v>
      </c>
      <c r="K4" s="683"/>
      <c r="L4" s="678"/>
    </row>
    <row r="5" spans="1:12">
      <c r="A5" s="884" t="s">
        <v>657</v>
      </c>
      <c r="B5" s="678" t="s">
        <v>658</v>
      </c>
      <c r="C5" s="682">
        <v>1040</v>
      </c>
      <c r="D5" s="682">
        <v>117</v>
      </c>
      <c r="E5" s="678">
        <v>117</v>
      </c>
      <c r="F5" s="682">
        <f t="shared" si="0"/>
        <v>1274</v>
      </c>
      <c r="G5" s="682">
        <v>68</v>
      </c>
      <c r="H5" s="682">
        <v>1249</v>
      </c>
      <c r="I5" s="682">
        <v>1098</v>
      </c>
      <c r="J5" s="683">
        <f>H5-I5-G5</f>
        <v>83</v>
      </c>
      <c r="K5" s="687">
        <f t="shared" ref="K5:K18" si="1">(F5-I5-J5)</f>
        <v>93</v>
      </c>
      <c r="L5" s="678" t="s">
        <v>659</v>
      </c>
    </row>
    <row r="6" spans="1:12">
      <c r="A6" s="884"/>
      <c r="B6" s="678" t="s">
        <v>660</v>
      </c>
      <c r="C6" s="682">
        <v>3792</v>
      </c>
      <c r="D6" s="682">
        <v>271</v>
      </c>
      <c r="E6" s="678">
        <v>816</v>
      </c>
      <c r="F6" s="682">
        <f t="shared" si="0"/>
        <v>4879</v>
      </c>
      <c r="G6" s="682">
        <v>108</v>
      </c>
      <c r="H6" s="682">
        <v>4267</v>
      </c>
      <c r="I6" s="682">
        <v>4618</v>
      </c>
      <c r="J6" s="683">
        <f>H6-I6-G6-650</f>
        <v>-1109</v>
      </c>
      <c r="K6" s="687">
        <f t="shared" si="1"/>
        <v>1370</v>
      </c>
      <c r="L6" s="678" t="s">
        <v>659</v>
      </c>
    </row>
    <row r="7" spans="1:12" ht="21">
      <c r="A7" s="884" t="s">
        <v>661</v>
      </c>
      <c r="B7" s="678" t="s">
        <v>662</v>
      </c>
      <c r="C7" s="682">
        <v>738</v>
      </c>
      <c r="D7" s="682">
        <v>19</v>
      </c>
      <c r="E7" s="678">
        <v>0</v>
      </c>
      <c r="F7" s="682">
        <f t="shared" si="0"/>
        <v>757</v>
      </c>
      <c r="G7" s="682">
        <v>53</v>
      </c>
      <c r="H7" s="682">
        <v>851</v>
      </c>
      <c r="I7" s="682">
        <v>719</v>
      </c>
      <c r="J7" s="683">
        <f>H7-I7-G7</f>
        <v>79</v>
      </c>
      <c r="K7" s="684">
        <f t="shared" si="1"/>
        <v>-41</v>
      </c>
      <c r="L7" s="678"/>
    </row>
    <row r="8" spans="1:12" ht="31.5">
      <c r="A8" s="884"/>
      <c r="B8" s="678" t="s">
        <v>663</v>
      </c>
      <c r="C8" s="682">
        <v>302</v>
      </c>
      <c r="D8" s="682">
        <v>5</v>
      </c>
      <c r="E8" s="678">
        <v>117</v>
      </c>
      <c r="F8" s="682">
        <f t="shared" si="0"/>
        <v>424</v>
      </c>
      <c r="G8" s="682"/>
      <c r="H8" s="682">
        <v>305</v>
      </c>
      <c r="I8" s="682">
        <f>281+24</f>
        <v>305</v>
      </c>
      <c r="J8" s="683">
        <f>H8-I8-G8</f>
        <v>0</v>
      </c>
      <c r="K8" s="687">
        <f t="shared" si="1"/>
        <v>119</v>
      </c>
      <c r="L8" s="678" t="s">
        <v>659</v>
      </c>
    </row>
    <row r="9" spans="1:12" ht="21">
      <c r="A9" s="884"/>
      <c r="B9" s="678" t="s">
        <v>664</v>
      </c>
      <c r="C9" s="682">
        <v>1896</v>
      </c>
      <c r="D9" s="682">
        <v>27</v>
      </c>
      <c r="E9" s="678">
        <v>408</v>
      </c>
      <c r="F9" s="682">
        <f t="shared" si="0"/>
        <v>2331</v>
      </c>
      <c r="G9" s="682">
        <v>15</v>
      </c>
      <c r="H9" s="682">
        <v>2025</v>
      </c>
      <c r="I9" s="682">
        <v>1892</v>
      </c>
      <c r="J9" s="683">
        <f>H9-I9-G9</f>
        <v>118</v>
      </c>
      <c r="K9" s="687">
        <f t="shared" si="1"/>
        <v>321</v>
      </c>
      <c r="L9" s="678" t="s">
        <v>659</v>
      </c>
    </row>
    <row r="10" spans="1:12" ht="21">
      <c r="A10" s="884"/>
      <c r="B10" s="678" t="s">
        <v>665</v>
      </c>
      <c r="C10" s="682">
        <v>4</v>
      </c>
      <c r="D10" s="682">
        <v>1</v>
      </c>
      <c r="E10" s="678">
        <v>0</v>
      </c>
      <c r="F10" s="682">
        <f t="shared" si="0"/>
        <v>5</v>
      </c>
      <c r="G10" s="682"/>
      <c r="H10" s="682">
        <v>9</v>
      </c>
      <c r="I10" s="682">
        <v>8</v>
      </c>
      <c r="J10" s="683">
        <f>H10-I10</f>
        <v>1</v>
      </c>
      <c r="K10" s="684">
        <f t="shared" si="1"/>
        <v>-4</v>
      </c>
      <c r="L10" s="678"/>
    </row>
    <row r="11" spans="1:12" ht="21">
      <c r="A11" s="678"/>
      <c r="B11" s="678" t="s">
        <v>666</v>
      </c>
      <c r="C11" s="682">
        <v>1500</v>
      </c>
      <c r="D11" s="682">
        <v>240</v>
      </c>
      <c r="E11" s="678">
        <v>0</v>
      </c>
      <c r="F11" s="682">
        <f t="shared" si="0"/>
        <v>1740</v>
      </c>
      <c r="G11" s="682"/>
      <c r="H11" s="682">
        <v>1872</v>
      </c>
      <c r="I11" s="682">
        <v>400</v>
      </c>
      <c r="J11" s="683">
        <f>H11-I11-G11</f>
        <v>1472</v>
      </c>
      <c r="K11" s="684">
        <f t="shared" si="1"/>
        <v>-132</v>
      </c>
      <c r="L11" s="678"/>
    </row>
    <row r="12" spans="1:12" ht="21">
      <c r="A12" s="678"/>
      <c r="B12" s="678" t="s">
        <v>667</v>
      </c>
      <c r="C12" s="682">
        <v>3792</v>
      </c>
      <c r="D12" s="682">
        <v>192</v>
      </c>
      <c r="E12" s="678">
        <v>816</v>
      </c>
      <c r="F12" s="682">
        <f t="shared" si="0"/>
        <v>4800</v>
      </c>
      <c r="G12" s="682"/>
      <c r="H12" s="682">
        <v>4188</v>
      </c>
      <c r="I12" s="682">
        <v>3848</v>
      </c>
      <c r="J12" s="683">
        <f>H12-I12</f>
        <v>340</v>
      </c>
      <c r="K12" s="687">
        <f t="shared" si="1"/>
        <v>612</v>
      </c>
      <c r="L12" s="678" t="s">
        <v>659</v>
      </c>
    </row>
    <row r="13" spans="1:12" ht="21">
      <c r="A13" s="678"/>
      <c r="B13" s="678" t="s">
        <v>668</v>
      </c>
      <c r="C13" s="682">
        <v>604</v>
      </c>
      <c r="D13" s="682">
        <v>24</v>
      </c>
      <c r="E13" s="678">
        <v>234</v>
      </c>
      <c r="F13" s="682">
        <f t="shared" si="0"/>
        <v>862</v>
      </c>
      <c r="G13" s="682">
        <v>25</v>
      </c>
      <c r="H13" s="682">
        <v>640</v>
      </c>
      <c r="I13" s="682">
        <v>610</v>
      </c>
      <c r="J13" s="683">
        <f>H13-I13-G13</f>
        <v>5</v>
      </c>
      <c r="K13" s="687">
        <f t="shared" si="1"/>
        <v>247</v>
      </c>
      <c r="L13" s="678" t="s">
        <v>659</v>
      </c>
    </row>
    <row r="14" spans="1:12">
      <c r="A14" s="884" t="s">
        <v>669</v>
      </c>
      <c r="B14" s="678" t="s">
        <v>670</v>
      </c>
      <c r="C14" s="682">
        <v>54</v>
      </c>
      <c r="D14" s="682">
        <v>50</v>
      </c>
      <c r="E14" s="678">
        <v>0</v>
      </c>
      <c r="F14" s="682">
        <f t="shared" si="0"/>
        <v>104</v>
      </c>
      <c r="G14" s="682"/>
      <c r="H14" s="682">
        <v>782</v>
      </c>
      <c r="I14" s="682">
        <v>359</v>
      </c>
      <c r="J14" s="683">
        <f>H14-I14</f>
        <v>423</v>
      </c>
      <c r="K14" s="684">
        <f t="shared" si="1"/>
        <v>-678</v>
      </c>
      <c r="L14" s="678"/>
    </row>
    <row r="15" spans="1:12">
      <c r="A15" s="884"/>
      <c r="B15" s="678" t="s">
        <v>671</v>
      </c>
      <c r="C15" s="682">
        <v>15</v>
      </c>
      <c r="D15" s="682">
        <v>50</v>
      </c>
      <c r="E15" s="678">
        <v>0</v>
      </c>
      <c r="F15" s="682">
        <f t="shared" si="0"/>
        <v>65</v>
      </c>
      <c r="G15" s="682"/>
      <c r="H15" s="682">
        <v>294</v>
      </c>
      <c r="I15" s="682">
        <v>114</v>
      </c>
      <c r="J15" s="683">
        <f>H15-I15</f>
        <v>180</v>
      </c>
      <c r="K15" s="684">
        <f t="shared" si="1"/>
        <v>-229</v>
      </c>
      <c r="L15" s="678"/>
    </row>
    <row r="16" spans="1:12">
      <c r="A16" s="884"/>
      <c r="B16" s="678" t="s">
        <v>672</v>
      </c>
      <c r="C16" s="682">
        <v>13</v>
      </c>
      <c r="D16" s="682"/>
      <c r="E16" s="678">
        <v>0</v>
      </c>
      <c r="F16" s="682">
        <f t="shared" si="0"/>
        <v>13</v>
      </c>
      <c r="G16" s="682">
        <v>13</v>
      </c>
      <c r="H16" s="682">
        <v>128</v>
      </c>
      <c r="I16" s="682">
        <v>24</v>
      </c>
      <c r="J16" s="683">
        <f>H16-I16-G16</f>
        <v>91</v>
      </c>
      <c r="K16" s="684">
        <f t="shared" si="1"/>
        <v>-102</v>
      </c>
      <c r="L16" s="678"/>
    </row>
    <row r="17" spans="1:12" ht="21">
      <c r="A17" s="884"/>
      <c r="B17" s="678" t="s">
        <v>673</v>
      </c>
      <c r="C17" s="682">
        <v>10074</v>
      </c>
      <c r="D17" s="682">
        <v>1008</v>
      </c>
      <c r="E17" s="678">
        <v>888</v>
      </c>
      <c r="F17" s="682">
        <f t="shared" si="0"/>
        <v>11970</v>
      </c>
      <c r="G17" s="682"/>
      <c r="H17" s="682">
        <v>12264</v>
      </c>
      <c r="I17" s="682">
        <v>10319</v>
      </c>
      <c r="J17" s="683">
        <f>H17-I17</f>
        <v>1945</v>
      </c>
      <c r="K17" s="684">
        <f t="shared" si="1"/>
        <v>-294</v>
      </c>
      <c r="L17" s="678"/>
    </row>
    <row r="18" spans="1:12" ht="21">
      <c r="A18" s="884"/>
      <c r="B18" s="678" t="s">
        <v>674</v>
      </c>
      <c r="C18" s="682">
        <v>3378</v>
      </c>
      <c r="D18" s="682">
        <v>72</v>
      </c>
      <c r="E18" s="678">
        <v>731</v>
      </c>
      <c r="F18" s="682">
        <f t="shared" si="0"/>
        <v>4181</v>
      </c>
      <c r="G18" s="682"/>
      <c r="H18" s="682">
        <v>3504</v>
      </c>
      <c r="I18" s="682">
        <v>3273</v>
      </c>
      <c r="J18" s="683">
        <f>H18-I18</f>
        <v>231</v>
      </c>
      <c r="K18" s="687">
        <f t="shared" si="1"/>
        <v>677</v>
      </c>
      <c r="L18" s="678" t="s">
        <v>659</v>
      </c>
    </row>
  </sheetData>
  <mergeCells count="4">
    <mergeCell ref="A2:B2"/>
    <mergeCell ref="A5:A6"/>
    <mergeCell ref="A7:A10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NKTL DPR PGCIL</vt:lpstr>
      <vt:lpstr>Visual Chart NKTL</vt:lpstr>
      <vt:lpstr>NKTL DPR</vt:lpstr>
      <vt:lpstr>Sheet2</vt:lpstr>
      <vt:lpstr>Sheet1</vt:lpstr>
      <vt:lpstr>Visual Chart-Old</vt:lpstr>
      <vt:lpstr>Location wise status</vt:lpstr>
      <vt:lpstr>Survey Status</vt:lpstr>
      <vt:lpstr>Soil investigation</vt:lpstr>
      <vt:lpstr>Crossing Details</vt:lpstr>
      <vt:lpstr>Line Scenario</vt:lpstr>
      <vt:lpstr>Sheet3</vt:lpstr>
      <vt:lpstr>Supply Status</vt:lpstr>
      <vt:lpstr>'Crossing Details'!Print_Area</vt:lpstr>
      <vt:lpstr>'Location wise status'!Print_Area</vt:lpstr>
      <vt:lpstr>'NKTL DPR'!Print_Area</vt:lpstr>
      <vt:lpstr>'NKTL DPR PGCIL'!Print_Area</vt:lpstr>
      <vt:lpstr>'Survey Status'!Print_Area</vt:lpstr>
      <vt:lpstr>'Visual Chart NKTL'!Print_Area</vt:lpstr>
      <vt:lpstr>'Visual Chart-Old'!Print_Area</vt:lpstr>
      <vt:lpstr>'Visual Chart NKTL'!Print_Titles</vt:lpstr>
      <vt:lpstr>'Visual Chart-Old'!Print_Titles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Seenivasagan</dc:creator>
  <cp:lastModifiedBy>Dilip Jena</cp:lastModifiedBy>
  <cp:lastPrinted>2026-01-07T13:10:28Z</cp:lastPrinted>
  <dcterms:created xsi:type="dcterms:W3CDTF">2006-09-16T00:00:00Z</dcterms:created>
  <dcterms:modified xsi:type="dcterms:W3CDTF">2026-01-12T15:25:01Z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4E1960F8BF27403F92D805E3A97DAAE9</vt:lpwstr>
  </property>
  <property fmtid="{D5CDD505-2E9C-101B-9397-08002B2CF9AE}" pid="3" name="KSOProductBuildVer">
    <vt:lpwstr>1033-12.2.0.13110</vt:lpwstr>
  </property>
</Properties>
</file>