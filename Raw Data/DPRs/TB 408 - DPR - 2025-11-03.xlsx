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C:\Users\ranjanr33\OneDrive - RPG Enterprises\Desktop\DPR\"/>
    </mc:Choice>
  </mc:AlternateContent>
  <xr:revisionPtr revIDLastSave="0" documentId="13_ncr:1_{D1FA8A87-B05F-475E-A5D7-F59781F9B17C}" xr6:coauthVersionLast="47" xr6:coauthVersionMax="47" xr10:uidLastSave="{00000000-0000-0000-0000-000000000000}"/>
  <bookViews>
    <workbookView xWindow="-120" yWindow="-120" windowWidth="20730" windowHeight="1116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Compiled'!$A$4:$U$384</definedName>
    <definedName name="_xlnm._FilterDatabase" localSheetId="9" hidden="1">'Erection Productivity'!$A$8:$BS$61</definedName>
    <definedName name="_xlnm._FilterDatabase" localSheetId="7" hidden="1">Foundation!$A$5:$CY$485</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Compiled'!$A$2:$I$585</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29" l="1"/>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8" i="61" l="1"/>
  <c r="A381" i="63"/>
  <c r="A380" i="63"/>
  <c r="E381" i="63"/>
  <c r="E380" i="63"/>
  <c r="E379" i="63" l="1"/>
  <c r="E378" i="63"/>
  <c r="A379" i="63"/>
  <c r="A378" i="63"/>
  <c r="A377" i="63"/>
  <c r="E377" i="63"/>
  <c r="D496" i="61"/>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07" i="64" l="1"/>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D497" i="61"/>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D412" i="50" s="1"/>
  <c r="A413" i="61"/>
  <c r="A166" i="64" l="1"/>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D408" i="50" s="1"/>
  <c r="A410" i="61"/>
  <c r="A409" i="61"/>
  <c r="D497" i="50"/>
  <c r="D496" i="50"/>
  <c r="AP1" i="89" l="1"/>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D401" i="50" s="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398" i="50" l="1"/>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70" i="61"/>
  <c r="D369" i="61"/>
  <c r="D258" i="63" s="1"/>
  <c r="J258" i="63" s="1"/>
  <c r="D368" i="61"/>
  <c r="D362" i="63" s="1"/>
  <c r="J362" i="63" s="1"/>
  <c r="D367" i="61"/>
  <c r="D366" i="61"/>
  <c r="D365" i="61"/>
  <c r="D364" i="61"/>
  <c r="D363" i="61"/>
  <c r="D362" i="61"/>
  <c r="D361" i="61"/>
  <c r="D360" i="61"/>
  <c r="D359" i="61"/>
  <c r="D358" i="61"/>
  <c r="D230" i="63" s="1"/>
  <c r="D357" i="61"/>
  <c r="D356" i="6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375" i="63" s="1"/>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J354" i="63" s="1"/>
  <c r="E107" i="88" s="1"/>
  <c r="D107" i="88"/>
  <c r="D343" i="63"/>
  <c r="J343" i="63" s="1"/>
  <c r="E101" i="88" s="1"/>
  <c r="D101" i="88"/>
  <c r="D352" i="63"/>
  <c r="J352" i="63" s="1"/>
  <c r="E92" i="88" s="1"/>
  <c r="D348" i="63"/>
  <c r="J348" i="63" s="1"/>
  <c r="E93" i="88" s="1"/>
  <c r="D344" i="63"/>
  <c r="J344" i="63" s="1"/>
  <c r="E96" i="88" s="1"/>
  <c r="D341" i="63"/>
  <c r="D340" i="63"/>
  <c r="J340" i="63" s="1"/>
  <c r="E88" i="88" s="1"/>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J327" i="63" s="1"/>
  <c r="E79" i="88" s="1"/>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33" i="63" l="1"/>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L251" i="77"/>
  <c r="L250" i="77"/>
  <c r="L249" i="77"/>
  <c r="L248" i="77"/>
  <c r="L247" i="77"/>
  <c r="L246" i="77"/>
  <c r="L245" i="77"/>
  <c r="L244" i="77"/>
  <c r="L243" i="77"/>
  <c r="L242" i="77"/>
  <c r="L241" i="77"/>
  <c r="L240" i="77"/>
  <c r="L239" i="77"/>
  <c r="L238" i="77"/>
  <c r="L237" i="77"/>
  <c r="L236" i="77"/>
  <c r="L235" i="77"/>
  <c r="L234" i="77"/>
  <c r="L233" i="77"/>
  <c r="L232" i="77"/>
  <c r="L231" i="77"/>
  <c r="L230" i="77"/>
  <c r="L229" i="77"/>
  <c r="L228" i="77"/>
  <c r="L227" i="77"/>
  <c r="L226" i="77"/>
  <c r="L225" i="77"/>
  <c r="L224" i="77"/>
  <c r="L223" i="77"/>
  <c r="L222" i="77"/>
  <c r="L221" i="77"/>
  <c r="L220" i="77"/>
  <c r="L219" i="77"/>
  <c r="L218" i="77"/>
  <c r="L217" i="77"/>
  <c r="L216" i="77"/>
  <c r="L215" i="77"/>
  <c r="L214" i="77"/>
  <c r="L213" i="77"/>
  <c r="L212" i="77"/>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L27" i="77"/>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1" i="82"/>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38"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15"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48"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F22" i="48"/>
  <c r="F28" i="48" s="1"/>
  <c r="I22" i="48" l="1"/>
  <c r="M22" i="48"/>
  <c r="I24"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<sst xmlns="http://schemas.openxmlformats.org/spreadsheetml/2006/main" count="10940" uniqueCount="1742">
  <si>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</si>
  <si>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</si>
  <si>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</si>
  <si>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</si>
  <si>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</si>
  <si>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</si>
  <si>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</si>
  <si>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</si>
  <si>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</si>
  <si>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</si>
  <si>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</si>
  <si>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</si>
  <si>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</si>
  <si>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</si>
  <si>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</si>
  <si>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</si>
  <si>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</si>
  <si>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</si>
  <si>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</si>
  <si>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</si>
  <si>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</si>
  <si>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</si>
  <si>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</si>
  <si>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</si>
  <si>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</si>
  <si>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</si>
  <si>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</si>
  <si>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</si>
  <si>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</si>
  <si>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</si>
  <si>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</si>
  <si>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</si>
  <si>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</si>
  <si>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</si>
  <si>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</si>
  <si>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</si>
  <si>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</si>
  <si>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</si>
  <si>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</si>
  <si>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</si>
  <si>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</si>
  <si>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</si>
  <si>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</si>
  <si>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</si>
  <si>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</si>
  <si>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</si>
  <si>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</si>
  <si>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</si>
  <si>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</si>
  <si>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</si>
  <si>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</si>
  <si>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</si>
  <si>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</si>
  <si>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</si>
  <si>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</si>
  <si>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</si>
  <si>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</si>
  <si>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</si>
  <si>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</si>
  <si>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</si>
  <si>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</si>
  <si>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</si>
  <si>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</si>
  <si>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</si>
  <si>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</si>
  <si>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</si>
  <si>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</si>
  <si>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</si>
  <si>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</si>
  <si>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</si>
  <si>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</si>
  <si>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</si>
  <si>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</si>
  <si>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</si>
  <si>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</si>
  <si>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</si>
  <si>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</si>
  <si>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</si>
  <si>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</si>
  <si>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</si>
  <si>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</si>
  <si>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</si>
  <si>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</si>
  <si>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</si>
  <si>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</si>
  <si>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</si>
  <si>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</si>
  <si>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</si>
  <si>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</si>
  <si>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</si>
  <si>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</si>
  <si>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</si>
  <si>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</si>
  <si>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</si>
  <si>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</si>
  <si>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</si>
  <si>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</si>
  <si>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</si>
  <si>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</si>
  <si>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</si>
  <si>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</si>
  <si>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</si>
  <si>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</si>
  <si>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</si>
  <si>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</si>
  <si>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</si>
  <si>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</si>
  <si>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</si>
  <si>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</si>
  <si>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</si>
  <si>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</si>
  <si>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</si>
  <si>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</si>
  <si>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</si>
  <si>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</si>
  <si>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</si>
  <si>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</si>
  <si>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</si>
  <si>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</si>
  <si>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</si>
  <si>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</si>
  <si>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</si>
  <si>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</si>
  <si>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</si>
  <si>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</si>
  <si>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</si>
  <si>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</si>
  <si>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</si>
  <si>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</si>
  <si>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</si>
  <si>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</si>
  <si>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</si>
  <si>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</si>
  <si>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</si>
  <si>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</si>
  <si>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</si>
  <si>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</si>
  <si>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</si>
  <si>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</si>
  <si>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</si>
  <si>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</si>
  <si>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</si>
  <si>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</si>
  <si>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</si>
  <si>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</si>
  <si>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</si>
  <si>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</si>
  <si>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</si>
  <si>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</si>
  <si>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</si>
  <si>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</si>
  <si>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</si>
  <si>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</si>
  <si>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</si>
  <si>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</si>
  <si>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</si>
  <si>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</si>
  <si>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</si>
  <si>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</si>
  <si>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</si>
  <si>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</si>
  <si>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</si>
  <si>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</si>
  <si>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</si>
  <si>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</si>
  <si>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</si>
  <si>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</si>
  <si>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</si>
  <si>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</si>
  <si>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</si>
  <si>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</si>
  <si>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</si>
  <si>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</si>
  <si>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</si>
  <si>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</si>
  <si>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</si>
  <si>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</si>
  <si>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</si>
  <si>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</si>
  <si>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</si>
  <si>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</si>
  <si>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</si>
  <si>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</si>
  <si>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</si>
  <si>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</si>
  <si>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</si>
  <si>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</si>
  <si>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</si>
  <si>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</si>
  <si>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</si>
  <si>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</si>
  <si>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</si>
  <si>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</si>
  <si>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</si>
  <si>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</si>
  <si>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</si>
  <si>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</si>
  <si>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</si>
  <si>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</si>
  <si>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</si>
  <si>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</si>
  <si>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</si>
  <si>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</si>
  <si>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</si>
  <si>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</si>
  <si>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</si>
  <si>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</si>
  <si>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</si>
  <si>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</si>
  <si>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</si>
  <si>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</si>
  <si>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</si>
  <si>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</si>
  <si>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</si>
  <si>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</si>
  <si>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</si>
  <si>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</si>
  <si>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</si>
  <si>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</si>
  <si>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</si>
  <si>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</si>
  <si>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</si>
  <si>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</si>
  <si>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</si>
  <si>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</si>
  <si>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</si>
  <si>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</si>
  <si>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</si>
  <si>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</si>
  <si>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</si>
  <si>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</si>
  <si>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</si>
  <si>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</si>
  <si>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</si>
  <si>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</si>
  <si>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</si>
  <si>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</si>
  <si>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</si>
  <si>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</si>
  <si>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</si>
  <si>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</si>
  <si>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</si>
  <si>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</si>
  <si>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</si>
  <si>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</si>
  <si>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</si>
  <si>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</si>
  <si>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</si>
  <si>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</si>
  <si>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</si>
  <si>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</si>
  <si>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</si>
  <si>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</si>
  <si>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</si>
  <si>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</si>
  <si>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</si>
  <si>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</si>
  <si>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</si>
  <si>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</si>
  <si>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</si>
  <si>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</si>
  <si>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</si>
  <si>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</si>
  <si>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</si>
  <si>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</si>
  <si>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</si>
  <si>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</si>
  <si>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</si>
  <si>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</si>
  <si>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</si>
  <si>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</si>
  <si>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</si>
  <si>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</si>
  <si>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</si>
  <si>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</si>
  <si>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</si>
  <si>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</si>
  <si>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</si>
  <si>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</si>
  <si>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</si>
  <si>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</si>
  <si>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</si>
  <si>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</si>
  <si>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</si>
  <si>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</si>
  <si>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</si>
  <si>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</si>
  <si>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</si>
  <si>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</si>
  <si>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</si>
  <si>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</si>
  <si>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</si>
  <si>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</si>
  <si>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</si>
  <si>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</si>
  <si>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</si>
  <si>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</si>
  <si>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</si>
  <si>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</si>
  <si>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</si>
  <si>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</si>
  <si>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</si>
  <si>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</si>
  <si>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</si>
  <si>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</si>
  <si>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</si>
  <si>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</si>
  <si>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</si>
  <si>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</si>
  <si>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</si>
  <si>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</si>
  <si>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</si>
  <si>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</si>
  <si>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</si>
  <si>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</si>
  <si>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</si>
  <si>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</si>
  <si>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</si>
  <si>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</si>
  <si>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</si>
  <si>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</si>
  <si>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</si>
  <si>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</si>
  <si>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</si>
  <si>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</si>
  <si>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</si>
  <si>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</si>
  <si>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</si>
  <si>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</si>
  <si>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</si>
  <si>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</si>
  <si>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</si>
  <si>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</si>
  <si>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</si>
  <si>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</si>
  <si>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</si>
  <si>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</si>
  <si>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</si>
  <si>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</si>
  <si>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</si>
  <si>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</si>
  <si>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</si>
  <si>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</si>
  <si>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</si>
  <si>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</si>
  <si>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</si>
  <si>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</si>
  <si>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</si>
  <si>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</si>
  <si>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</si>
  <si>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</si>
  <si>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</si>
  <si>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</si>
  <si>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</si>
  <si>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</si>
  <si>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</si>
  <si>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</si>
  <si>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</si>
  <si>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</si>
  <si>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</si>
  <si>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</si>
  <si>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</si>
  <si>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</si>
  <si>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</si>
  <si>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</si>
  <si>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</si>
  <si>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</si>
  <si>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</si>
  <si>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</si>
  <si>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</si>
  <si>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</si>
  <si>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</si>
  <si>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</si>
  <si>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</si>
  <si>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</si>
  <si>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</si>
  <si>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</si>
  <si>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</si>
  <si>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</si>
  <si>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</si>
  <si>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</si>
  <si>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</si>
  <si>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</si>
  <si>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</si>
  <si>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</si>
  <si>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</si>
  <si>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</si>
  <si>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</si>
  <si>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</si>
  <si>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</si>
  <si>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</si>
  <si>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</si>
  <si>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</si>
  <si>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</si>
  <si>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</si>
  <si>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</si>
  <si>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</si>
  <si>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</si>
  <si>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</si>
  <si>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</si>
  <si>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</si>
  <si>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</si>
  <si>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</si>
  <si>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</si>
  <si>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</si>
  <si>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</si>
  <si>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</si>
  <si>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</si>
  <si>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</si>
  <si>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</si>
  <si>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</si>
  <si>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</si>
  <si>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</si>
  <si>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</si>
  <si>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</si>
  <si>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</si>
  <si>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</si>
  <si>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</si>
  <si>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</si>
  <si>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</si>
  <si>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</si>
  <si>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</si>
  <si>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</si>
  <si>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</si>
  <si>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</si>
  <si>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</si>
  <si>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</si>
  <si>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</si>
  <si>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</si>
  <si>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</si>
  <si>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</si>
  <si>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</si>
  <si>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</si>
  <si>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</si>
  <si>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</si>
  <si>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</si>
  <si>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</si>
  <si>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</si>
  <si>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</si>
  <si>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</si>
  <si>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</si>
  <si>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</si>
  <si>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</si>
  <si>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</si>
  <si>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</si>
  <si>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</si>
  <si>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</si>
  <si>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</si>
  <si>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</si>
  <si>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</si>
  <si>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</si>
  <si>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</si>
  <si>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</si>
  <si>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</si>
  <si>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</si>
  <si>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</si>
  <si>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</si>
  <si>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</si>
  <si>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</si>
  <si>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</si>
  <si>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</si>
  <si>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</si>
  <si>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</si>
  <si>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</si>
  <si>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</si>
  <si>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</si>
  <si>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</si>
  <si>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</si>
  <si>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</si>
  <si>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</si>
  <si>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</si>
  <si>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</si>
  <si>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</si>
  <si>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</si>
  <si>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</si>
  <si>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</si>
  <si>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</si>
  <si>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</si>
  <si>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</si>
  <si>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</si>
  <si>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</si>
  <si>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</si>
  <si>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</si>
  <si>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</si>
  <si>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</si>
  <si>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</si>
  <si>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</si>
  <si>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</si>
  <si>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</si>
  <si>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</si>
  <si>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</si>
  <si>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</si>
  <si>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</si>
  <si>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</si>
  <si>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</si>
  <si>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</si>
  <si>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</si>
  <si>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</si>
  <si>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</si>
  <si>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</si>
  <si>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</si>
  <si>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</si>
  <si>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</si>
  <si>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</si>
  <si>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</si>
  <si>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</si>
  <si>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</si>
  <si>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</si>
  <si>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</si>
  <si>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</si>
  <si>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</si>
  <si>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</si>
  <si>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</si>
  <si>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</si>
  <si>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</si>
  <si>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</si>
  <si>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</si>
  <si>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</si>
  <si>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</si>
  <si>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</si>
  <si>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</si>
  <si>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</si>
  <si>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</si>
  <si>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</si>
  <si>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</si>
  <si>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</si>
  <si>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</si>
  <si>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</si>
  <si>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</si>
  <si>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</si>
  <si>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</si>
  <si>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</si>
  <si>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</si>
  <si>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</si>
  <si>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</si>
  <si>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</si>
  <si>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</si>
  <si>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</si>
  <si>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</si>
  <si>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</si>
  <si>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</si>
  <si>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</si>
  <si>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</si>
  <si>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</si>
  <si>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</si>
  <si>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</si>
  <si>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</si>
  <si>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</si>
  <si>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</si>
  <si>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</si>
  <si>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</si>
  <si>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</si>
  <si>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</si>
  <si>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</si>
  <si>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</si>
  <si>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</si>
  <si>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</si>
  <si>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</si>
  <si>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</si>
  <si>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</si>
  <si>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</si>
  <si>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</si>
  <si>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</si>
  <si>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</si>
  <si>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</si>
  <si>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</si>
  <si>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</si>
  <si>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</si>
  <si>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</si>
  <si>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</si>
  <si>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</si>
  <si>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</si>
  <si>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</si>
  <si>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</si>
  <si>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</si>
  <si>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</si>
  <si>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</si>
  <si>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</si>
  <si>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</si>
  <si>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</si>
  <si>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</si>
  <si>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</si>
  <si>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</si>
  <si>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</si>
  <si>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</si>
  <si>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</si>
  <si>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</si>
  <si>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</si>
  <si>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</si>
  <si>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</si>
  <si>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</si>
  <si>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</si>
  <si>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</si>
  <si>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</si>
  <si>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</si>
  <si>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</si>
  <si>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</si>
  <si>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</si>
  <si>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</si>
  <si>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</si>
  <si>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</si>
  <si>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</si>
  <si>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</si>
  <si>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</si>
  <si>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</si>
  <si>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</si>
  <si>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</si>
  <si>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</si>
  <si>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</si>
  <si>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</si>
  <si>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</si>
  <si>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</si>
  <si>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</si>
  <si>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</si>
  <si>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</si>
  <si>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</si>
  <si>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</si>
  <si>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</si>
  <si>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</si>
  <si>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</si>
  <si>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</si>
  <si>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</si>
  <si>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</si>
  <si>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</si>
  <si>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</si>
  <si>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</si>
  <si>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</si>
  <si>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</si>
  <si>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</si>
  <si>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</si>
  <si>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</si>
  <si>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</si>
  <si>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</si>
  <si>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</si>
  <si>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</si>
  <si>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</si>
  <si>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</si>
  <si>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</si>
  <si>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</si>
  <si>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</si>
  <si>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</si>
  <si>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</si>
  <si>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</si>
  <si>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</si>
  <si>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</si>
  <si>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</si>
  <si>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</si>
  <si>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</si>
  <si>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</si>
  <si>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</si>
  <si>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</si>
  <si>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</si>
  <si>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</si>
  <si>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</si>
  <si>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</si>
  <si>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</si>
  <si>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</si>
  <si>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</si>
  <si>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</si>
  <si>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</si>
  <si>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</si>
  <si>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</si>
  <si>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</si>
  <si>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</si>
  <si>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</si>
  <si>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</si>
  <si>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</si>
  <si>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</si>
  <si>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</si>
  <si>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</si>
  <si>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</si>
  <si>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</si>
  <si>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</si>
  <si>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</si>
  <si>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</si>
  <si>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</si>
  <si>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</si>
  <si>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</si>
  <si>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</si>
  <si>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</si>
  <si>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</si>
  <si>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</si>
  <si>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</si>
  <si>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</si>
  <si>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</si>
  <si>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</si>
  <si>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</si>
  <si>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</si>
  <si>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</si>
  <si>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</si>
  <si>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</si>
  <si>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</si>
  <si>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</si>
  <si>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</si>
  <si>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</si>
  <si>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</si>
  <si>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</si>
  <si>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</si>
  <si>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</si>
  <si>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</si>
  <si>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</si>
  <si>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</si>
  <si>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</si>
  <si>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</si>
  <si>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</si>
  <si>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</si>
  <si>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</si>
  <si>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</si>
  <si>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</si>
  <si>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</si>
  <si>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</si>
  <si>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</si>
  <si>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</si>
  <si>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</si>
  <si>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</si>
  <si>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</si>
  <si>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</si>
  <si>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</si>
  <si>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</si>
  <si>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</si>
  <si>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</si>
  <si>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</si>
  <si>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</si>
  <si>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</si>
  <si>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</si>
  <si>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</si>
  <si>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</si>
  <si>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</si>
  <si>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</si>
  <si>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</si>
  <si>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</si>
  <si>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</si>
  <si>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</si>
  <si>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</si>
  <si>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</si>
  <si>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</si>
  <si>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</si>
  <si>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</si>
  <si>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</si>
  <si>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</si>
  <si>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</si>
  <si>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</si>
  <si>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</si>
  <si>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</si>
  <si>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</si>
  <si>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</si>
  <si>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</si>
  <si>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</si>
  <si>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</si>
  <si>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</si>
  <si>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</si>
  <si>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</si>
  <si>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</si>
  <si>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</si>
  <si>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</si>
  <si>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</si>
  <si>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</si>
  <si>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</si>
  <si>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</si>
  <si>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</si>
  <si>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</si>
  <si>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</si>
  <si>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</si>
  <si>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</si>
  <si>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</si>
  <si>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</si>
  <si>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</si>
  <si>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</si>
  <si>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</si>
  <si>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</si>
  <si>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</si>
  <si>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</si>
  <si>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</si>
  <si>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</si>
  <si>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</si>
  <si>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</si>
  <si>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</si>
  <si>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</si>
  <si>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</si>
  <si>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</si>
  <si>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</si>
  <si>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</si>
  <si>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</si>
  <si>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</si>
  <si>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</si>
  <si>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</si>
  <si>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</si>
  <si>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</si>
  <si>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</si>
  <si>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</si>
  <si>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</si>
  <si>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</si>
  <si>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</si>
  <si>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</si>
  <si>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</si>
  <si>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</si>
  <si>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</si>
  <si>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</si>
  <si>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</si>
  <si>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</si>
  <si>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</si>
  <si>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</si>
  <si>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</si>
  <si>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</si>
  <si>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</si>
  <si>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</si>
  <si>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</si>
  <si>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</si>
  <si>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</si>
  <si>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</si>
  <si>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</si>
  <si>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</si>
  <si>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</si>
  <si>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</si>
  <si>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</si>
  <si>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</si>
  <si>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</si>
  <si>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</si>
  <si>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</si>
  <si>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</si>
  <si>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</si>
  <si>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</si>
  <si>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</si>
  <si>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</si>
  <si>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</si>
  <si>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</si>
  <si>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</si>
  <si>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</si>
  <si>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</si>
  <si>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</si>
  <si>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</si>
  <si>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</si>
  <si>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</si>
  <si>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</si>
  <si>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</si>
  <si>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</si>
  <si>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</si>
  <si>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</si>
  <si>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</si>
  <si>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</si>
  <si>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</si>
  <si>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</si>
  <si>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</si>
  <si>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</si>
  <si>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</si>
  <si>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</si>
  <si>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</si>
  <si>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</si>
  <si>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</si>
  <si>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</si>
  <si>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</si>
  <si>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</si>
  <si>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</si>
  <si>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</si>
  <si>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</si>
  <si>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</si>
  <si>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</si>
  <si>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</si>
  <si>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</si>
  <si>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</si>
  <si>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</si>
  <si>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</si>
  <si>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</si>
  <si>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</si>
  <si>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</si>
  <si>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</si>
  <si>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</si>
  <si>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</si>
  <si>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</si>
  <si>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</si>
  <si>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</si>
  <si>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</si>
  <si>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</si>
  <si>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</si>
  <si>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</si>
  <si>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</si>
  <si>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</si>
  <si>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</si>
  <si>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</si>
  <si>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</si>
  <si>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</si>
  <si>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</si>
  <si>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</si>
  <si>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</si>
  <si>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</si>
  <si>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</si>
  <si>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</si>
  <si>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</si>
  <si>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</si>
  <si>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</si>
  <si>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</si>
  <si>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</si>
  <si>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</si>
  <si>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</si>
  <si>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</si>
  <si>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</si>
  <si>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</si>
  <si>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</si>
  <si>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</si>
  <si>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</si>
  <si>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</si>
  <si>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</si>
  <si>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</si>
  <si>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</si>
  <si>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</si>
  <si>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</si>
  <si>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</si>
  <si>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</si>
  <si>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</si>
  <si>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</si>
  <si>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</si>
  <si>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</si>
  <si>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</si>
  <si>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</si>
  <si>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</si>
  <si>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</si>
  <si>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</si>
  <si>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</si>
  <si>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</si>
  <si>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</si>
  <si>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</si>
  <si>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</si>
  <si>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</si>
  <si>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</si>
  <si>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</si>
  <si>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</si>
  <si>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</si>
  <si>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</si>
  <si>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</si>
  <si>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</si>
  <si>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</si>
  <si>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</si>
  <si>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</si>
  <si>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</si>
  <si>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</si>
  <si>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</si>
  <si>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</si>
  <si>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</si>
  <si>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</si>
  <si>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</si>
  <si>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</si>
  <si>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</si>
  <si>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</si>
  <si>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</si>
  <si>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</si>
  <si>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</si>
  <si>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</si>
  <si>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</si>
  <si>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</si>
  <si>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</si>
  <si>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</si>
  <si>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</si>
  <si>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</si>
  <si>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</si>
  <si>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</si>
  <si>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</si>
  <si>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</si>
  <si>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</si>
  <si>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</si>
  <si>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</si>
  <si>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</si>
  <si>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</si>
  <si>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</si>
  <si>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</si>
  <si>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</si>
  <si>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</si>
  <si>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</si>
  <si>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</si>
  <si>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</si>
  <si>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</si>
  <si>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</si>
  <si>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</si>
  <si>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</si>
  <si>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</si>
  <si>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</si>
  <si>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</si>
  <si>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</si>
  <si>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</si>
  <si>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</si>
  <si>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</si>
  <si>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</si>
  <si>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</si>
  <si>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</si>
  <si>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</si>
  <si>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</si>
  <si>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</si>
  <si>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</si>
  <si>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</si>
  <si>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</si>
  <si>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</si>
  <si>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</si>
  <si>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</si>
  <si>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</si>
  <si>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</si>
  <si>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</si>
  <si>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</si>
  <si>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</si>
  <si>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</si>
  <si>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</si>
  <si>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</si>
  <si>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</si>
  <si>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</si>
  <si>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</si>
  <si>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</si>
  <si>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</si>
  <si>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</si>
  <si>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</si>
  <si>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</si>
  <si>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</si>
  <si>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</si>
  <si>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</si>
  <si>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</si>
  <si>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</si>
  <si>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</si>
  <si>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</si>
  <si>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</si>
  <si>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</si>
  <si>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</si>
  <si>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</si>
  <si>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</si>
  <si>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</si>
  <si>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</si>
  <si>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</si>
  <si>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</si>
  <si>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</si>
  <si>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</si>
  <si>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</si>
  <si>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</si>
  <si>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</si>
  <si>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</si>
  <si>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</si>
  <si>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</si>
  <si>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</si>
  <si>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</si>
  <si>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</si>
  <si>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</si>
  <si>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</si>
  <si>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</si>
  <si>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</si>
  <si>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</si>
  <si>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</si>
  <si>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</si>
  <si>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</si>
  <si>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</si>
  <si>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</si>
  <si>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</si>
  <si>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</si>
  <si>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</si>
  <si>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</si>
  <si>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</si>
  <si>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</si>
  <si>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</si>
  <si>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</si>
  <si>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</si>
  <si>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</si>
  <si>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</si>
  <si>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</si>
  <si>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</si>
  <si>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</si>
  <si>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</si>
  <si>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</si>
  <si>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</si>
  <si>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</si>
  <si>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</si>
  <si>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</si>
  <si>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</si>
  <si>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</si>
  <si>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</si>
  <si>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</si>
  <si>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</si>
  <si>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</si>
  <si>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</si>
  <si>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</si>
  <si>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</si>
  <si>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</si>
  <si>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</si>
  <si>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</si>
  <si>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</si>
  <si>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</si>
  <si>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</si>
  <si>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</si>
  <si>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</si>
  <si>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</si>
  <si>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</si>
  <si>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</si>
  <si>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</si>
  <si>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</si>
  <si>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</si>
  <si>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</si>
  <si>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</si>
  <si>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</si>
  <si>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</si>
  <si>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</si>
  <si>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</si>
  <si>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</si>
  <si>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</si>
  <si>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</si>
  <si>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</si>
  <si>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</si>
  <si>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</si>
  <si>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</si>
  <si>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</si>
  <si>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</si>
  <si>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</si>
  <si>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</si>
  <si>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</si>
  <si>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</si>
  <si>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</si>
  <si>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</si>
  <si>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</si>
  <si>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</si>
  <si>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</si>
  <si>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</si>
  <si>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</si>
  <si>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</si>
  <si>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</si>
  <si>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</si>
  <si>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</si>
  <si>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</si>
  <si>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</si>
  <si>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</si>
  <si>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</si>
  <si>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</si>
  <si>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</si>
  <si>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</si>
  <si>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</si>
  <si>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</si>
  <si>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</si>
  <si>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</si>
  <si>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</si>
  <si>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</si>
  <si>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</si>
  <si>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</si>
  <si>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</si>
  <si>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</si>
  <si>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</si>
  <si>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</si>
  <si>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</si>
  <si>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</si>
  <si>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</si>
  <si>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</si>
  <si>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</si>
  <si>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</si>
  <si>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</si>
  <si>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</si>
  <si>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</si>
  <si>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</si>
  <si>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</si>
  <si>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</si>
  <si>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</si>
  <si>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</si>
  <si>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</si>
  <si>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</si>
  <si>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</si>
  <si>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</si>
  <si>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</si>
  <si>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</si>
  <si>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</si>
  <si>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</si>
  <si>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</si>
  <si>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</si>
  <si>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</si>
  <si>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</si>
  <si>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</si>
  <si>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</si>
  <si>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</si>
  <si>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</si>
  <si>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</si>
  <si>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</si>
  <si>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</si>
  <si>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</si>
  <si>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</si>
  <si>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</si>
  <si>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</si>
  <si>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</si>
  <si>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</si>
  <si>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</si>
  <si>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</si>
  <si>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</si>
  <si>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</si>
  <si>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</si>
  <si>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</si>
  <si>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</si>
  <si>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</si>
  <si>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</si>
  <si>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</si>
  <si>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</si>
  <si>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</si>
  <si>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</si>
  <si>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</si>
  <si>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</si>
  <si>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</si>
  <si>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</si>
  <si>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</si>
  <si>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</si>
  <si>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</si>
  <si>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</si>
  <si>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</si>
  <si>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</si>
  <si>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</si>
  <si>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</si>
  <si>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</si>
  <si>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</si>
  <si>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</si>
  <si>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</si>
  <si>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</si>
  <si>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</si>
  <si>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</si>
  <si>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</si>
  <si>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</si>
  <si>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</si>
  <si>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</si>
  <si>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</si>
  <si>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</si>
  <si>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</si>
  <si>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</si>
  <si>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</si>
  <si>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</si>
  <si>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</si>
  <si>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</si>
  <si>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</si>
  <si>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</si>
  <si>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</si>
  <si>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</si>
  <si>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</si>
  <si>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</si>
  <si>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</si>
  <si>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</si>
  <si>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</si>
  <si>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</si>
  <si>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</si>
  <si>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</si>
  <si>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</si>
  <si>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</si>
  <si>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</si>
  <si>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</si>
  <si>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</si>
  <si>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</si>
  <si>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</si>
  <si>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</si>
  <si>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</si>
  <si>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</si>
  <si>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</si>
  <si>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</si>
  <si>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</si>
  <si>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</si>
  <si>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</si>
  <si>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</si>
  <si>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</si>
  <si>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</si>
  <si>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</si>
  <si>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</si>
  <si>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</si>
  <si>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</si>
  <si>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</si>
  <si>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</si>
  <si>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</si>
  <si>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</si>
  <si>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</si>
  <si>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</si>
  <si>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</si>
  <si>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</si>
  <si>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</si>
  <si>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</si>
  <si>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</si>
  <si>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</si>
  <si>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</si>
  <si>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</si>
  <si>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</si>
  <si>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</si>
  <si>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</si>
  <si>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</si>
  <si>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</si>
  <si>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</si>
  <si>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</si>
  <si>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</si>
  <si>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</si>
  <si>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</si>
  <si>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</si>
  <si>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</si>
  <si>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</si>
  <si>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</si>
  <si>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</si>
  <si>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</si>
  <si>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</si>
  <si>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</si>
  <si>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</si>
  <si>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</si>
  <si>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</si>
  <si>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</si>
  <si>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</si>
  <si>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</si>
  <si>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</si>
  <si>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</si>
  <si>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</si>
  <si>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</si>
  <si>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</si>
  <si>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</si>
  <si>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</si>
  <si>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</si>
  <si>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</si>
  <si>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</si>
  <si>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</si>
  <si>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</si>
  <si>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</si>
  <si>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</si>
  <si>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</si>
  <si>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</si>
  <si>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</si>
  <si>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</si>
  <si>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</si>
  <si>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</si>
  <si>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</si>
  <si>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</si>
  <si>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</si>
  <si>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</si>
  <si>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</si>
  <si>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</si>
  <si>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</si>
  <si>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</si>
  <si>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</si>
  <si>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</si>
  <si>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</si>
  <si>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</si>
  <si>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</si>
  <si>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</si>
  <si>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</si>
  <si>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</si>
  <si>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</si>
  <si>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</si>
  <si>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</si>
  <si>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</si>
  <si>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</si>
  <si>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</si>
  <si>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</si>
  <si>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</si>
  <si>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</si>
  <si>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</si>
  <si>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</si>
  <si>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</si>
  <si>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</si>
  <si>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</si>
  <si>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</si>
  <si>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</si>
  <si>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</si>
  <si>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</si>
  <si>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</si>
  <si>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</si>
  <si>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</si>
  <si>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</si>
  <si>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</si>
  <si>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</si>
  <si>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</si>
  <si>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</si>
  <si>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</si>
  <si>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</si>
  <si>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</si>
  <si>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</si>
  <si>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</si>
  <si>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</si>
  <si>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</si>
  <si>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</si>
  <si>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</si>
  <si>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</si>
  <si>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</si>
  <si>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</si>
  <si>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</si>
  <si>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</si>
  <si>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</si>
  <si>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</si>
  <si>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</si>
  <si>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</si>
  <si>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</si>
  <si>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</si>
  <si>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</si>
  <si>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</si>
  <si>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</si>
  <si>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</si>
  <si>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</si>
  <si>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</si>
  <si>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</si>
  <si>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</si>
  <si>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</si>
  <si>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</si>
  <si>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</si>
  <si>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</si>
  <si>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</si>
  <si>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</si>
  <si>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</si>
  <si>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</si>
  <si>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</si>
  <si>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</si>
  <si>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</si>
  <si>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</si>
  <si>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</si>
  <si>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</si>
  <si>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</si>
  <si>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</si>
  <si>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</si>
  <si>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</si>
  <si>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</si>
  <si>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</si>
  <si>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</si>
  <si>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</si>
  <si>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</si>
  <si>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</si>
  <si>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</si>
  <si>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</si>
  <si>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</si>
  <si>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</si>
  <si>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</si>
  <si>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</si>
  <si>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</si>
  <si>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</si>
  <si>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</si>
  <si>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</si>
  <si>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</si>
  <si>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</si>
  <si>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</si>
  <si>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</si>
  <si>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</si>
  <si>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</si>
  <si>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</si>
  <si>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</si>
  <si>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</si>
  <si>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</si>
  <si>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</si>
  <si>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</si>
  <si>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</si>
  <si>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</si>
  <si>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</si>
  <si>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</si>
  <si>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</si>
  <si>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</si>
  <si>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</si>
  <si>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</si>
  <si>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</si>
  <si>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</si>
  <si>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</si>
  <si>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</si>
  <si>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</si>
  <si>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</si>
  <si>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</si>
  <si>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</si>
  <si>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</si>
  <si>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</si>
  <si>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</si>
  <si>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</si>
  <si>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</si>
  <si>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</si>
  <si>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</si>
  <si>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</si>
  <si>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</si>
  <si>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</si>
  <si>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</si>
  <si>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</si>
  <si>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</si>
  <si>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</si>
  <si>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</si>
  <si>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</si>
  <si>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</si>
  <si>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</si>
  <si>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</si>
  <si>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</si>
  <si>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</si>
  <si>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</si>
  <si>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</si>
  <si>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</si>
  <si>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</si>
  <si>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</si>
  <si>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</si>
  <si>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</si>
  <si>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</si>
  <si>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</si>
  <si>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</si>
  <si>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</si>
  <si>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</si>
  <si>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</si>
  <si>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</si>
  <si>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</si>
  <si>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</si>
  <si>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</si>
  <si>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</si>
  <si>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</si>
  <si>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</si>
  <si>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</si>
  <si>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</si>
  <si>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</si>
  <si>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</si>
  <si>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</si>
  <si>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</si>
  <si>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</si>
  <si>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</si>
  <si>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</si>
  <si>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</si>
  <si>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</si>
  <si>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</si>
  <si>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</si>
  <si>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</si>
  <si>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</si>
  <si>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</si>
  <si>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</si>
  <si>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</si>
  <si>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</si>
  <si>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</si>
  <si>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</si>
  <si>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</si>
  <si>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</si>
  <si>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</si>
  <si>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</si>
  <si>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</si>
  <si>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</si>
  <si>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</si>
  <si>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</si>
  <si>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</si>
  <si>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</si>
  <si>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</si>
  <si>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</si>
  <si>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</si>
  <si>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</si>
  <si>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</si>
  <si>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</si>
  <si>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</si>
  <si>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</si>
  <si>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</si>
  <si>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</si>
  <si>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</si>
  <si>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</si>
  <si>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</si>
  <si>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</si>
  <si>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</si>
  <si>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</si>
  <si>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</si>
  <si>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</si>
  <si>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</si>
  <si>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</si>
  <si>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</si>
  <si>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</si>
  <si>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</si>
  <si>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</si>
  <si>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</si>
  <si>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</si>
  <si>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</si>
  <si>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</si>
  <si>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</si>
  <si>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</si>
  <si>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</si>
  <si>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</si>
  <si>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</si>
  <si>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</si>
  <si>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</si>
  <si>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</si>
  <si>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</si>
  <si>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</si>
  <si>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</si>
  <si>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</si>
  <si>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</si>
  <si>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</si>
  <si>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</si>
  <si>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</si>
  <si>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</si>
  <si>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</si>
  <si>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</si>
  <si>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</si>
  <si>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</si>
  <si>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</si>
  <si>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</si>
  <si>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</si>
  <si>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</si>
  <si>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</si>
  <si>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</si>
  <si>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</si>
  <si>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</si>
  <si>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</si>
  <si>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</si>
  <si>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</si>
  <si>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</si>
  <si>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</si>
  <si>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</si>
  <si>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</si>
  <si>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</si>
  <si>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</si>
  <si>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</si>
  <si>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</si>
  <si>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</si>
  <si>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</si>
  <si>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</si>
  <si>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</si>
  <si>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</si>
  <si>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</si>
  <si>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</si>
  <si>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</si>
  <si>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</si>
  <si>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</si>
  <si>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</si>
  <si>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</si>
  <si>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</si>
  <si>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</si>
  <si>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</si>
  <si>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</si>
  <si>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</si>
  <si>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</si>
  <si>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</si>
  <si>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</si>
  <si>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</si>
  <si>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</si>
  <si>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</si>
  <si>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</si>
  <si>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</si>
  <si>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</si>
  <si>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AP5:- Balance
AP6:- Balance</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</si>
  <si>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</si>
  <si>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</si>
  <si>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</si>
  <si>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</si>
  <si>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</si>
  <si>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</si>
  <si>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</si>
  <si>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</si>
  <si>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</si>
  <si>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</si>
  <si>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</si>
  <si>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</si>
  <si>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</si>
  <si>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</si>
  <si>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</si>
  <si>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</si>
  <si>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</si>
  <si>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</si>
  <si>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</si>
  <si>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</si>
  <si>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</si>
  <si>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</si>
  <si>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</si>
  <si>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</si>
  <si>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</si>
  <si>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AP7:- Balance
AP8:- Balance</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</si>
  <si>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</si>
  <si>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</si>
  <si>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</si>
  <si>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</si>
  <si>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</si>
  <si>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</si>
  <si>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</si>
  <si>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</si>
  <si>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</si>
  <si>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</si>
  <si>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</si>
  <si>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</si>
  <si>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</si>
  <si>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</si>
  <si>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</si>
  <si>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</si>
  <si>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</si>
  <si>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</si>
  <si>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</si>
  <si>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</si>
  <si>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</si>
  <si>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</si>
  <si>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</si>
  <si>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</si>
  <si>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</si>
  <si>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</si>
  <si>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</si>
  <si>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</si>
  <si>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</si>
  <si>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</si>
  <si>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</si>
  <si>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</si>
  <si>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</si>
  <si>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</si>
  <si>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</si>
  <si>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</si>
  <si>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</si>
  <si>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</si>
  <si>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</si>
  <si>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</si>
  <si>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</si>
  <si>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</si>
  <si>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</si>
  <si>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</si>
  <si>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</si>
  <si>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</si>
  <si>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</si>
  <si>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</si>
  <si>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</si>
  <si>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</si>
  <si>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</si>
  <si>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</si>
  <si>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</si>
  <si>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</si>
  <si>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</si>
  <si>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</si>
  <si>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</si>
  <si>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</si>
  <si>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</si>
  <si>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</si>
  <si>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</si>
  <si>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</si>
  <si>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</si>
  <si>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</si>
  <si>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</si>
  <si>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</si>
  <si>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</si>
  <si>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AP3:- WIP
AP4:- Balance</t>
  </si>
  <si>
    <t>BR &amp; Sons/Om Construction_ChandraPal</t>
  </si>
  <si>
    <t>Excavation completed. ROW FROM 14.07.2025. Cleared today on dated 13.10.2025. BUT LOCS IS IN ROW.</t>
  </si>
  <si>
    <t>X-arm WIP. No work due to ROW as per instruction by resonia Ltd. Further the gang shifted at next location 39/0 F.</t>
  </si>
  <si>
    <t>ROW, 4 -X arm balance, Left the location based on instruction by resonia Ltd.</t>
  </si>
  <si>
    <t>Please refer daily progress report. X-arm WIP. No work due to ROW as per instruction by resonia Ltd. Further the gang shifted at next location 39/0 F.</t>
  </si>
  <si>
    <t>Excavation WIP in 2nd pit. FURTHER FROM 11.10.2025 LOCS IN IN ROW. CLERAED ON 13.10.2025. No work done due to ROW. Machinery idled. 2nos Poklain idle since 15.10.2025.</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</si>
  <si>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t>
  </si>
  <si>
    <t>Santosh Singh</t>
  </si>
  <si>
    <t>Devi Construction</t>
  </si>
  <si>
    <t>HINDRANCE REGISTER 
(Note:- Day to day hindrance are captured on other sheet and intimate to resonia via DPR on Summary Sheet)</t>
  </si>
  <si>
    <t>38/3:- Under ROW, Based on instruction by resonia Limited, gang is shifted at other locs.</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</si>
  <si>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</si>
  <si>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</si>
  <si>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1st Section WIP.</t>
  </si>
  <si>
    <t>2nd Section.</t>
  </si>
  <si>
    <t>Kamlesh Kumar</t>
  </si>
  <si>
    <t>Middle WIP.</t>
  </si>
  <si>
    <t xml:space="preserve">WIP- 21/1 , 26/8
Completed:- </t>
  </si>
  <si>
    <t>3/0, 4/0, 5/0, 32/3, 33/0, 34/1, 34/4, 40/1, 42/0, 42/2</t>
  </si>
  <si>
    <t xml:space="preserve">WIP- 3/0, 4/0, 5/0, 32/3, 33/0, 34/1, 34/4, 40/1, 42/0, 42/2
Today Completed - </t>
  </si>
  <si>
    <t>Shiv Power</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</si>
  <si>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</si>
  <si>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</si>
  <si>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</si>
  <si>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</si>
  <si>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</si>
  <si>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</si>
  <si>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Pilot paying out done.</t>
  </si>
  <si>
    <t>Bottom WIP.</t>
  </si>
  <si>
    <t>3rd Section</t>
  </si>
  <si>
    <t>X-arm WIP</t>
  </si>
  <si>
    <t>Cage 2 WIP</t>
  </si>
  <si>
    <t>Cage 1 WIP</t>
  </si>
  <si>
    <t>3rd Section WIP.</t>
  </si>
  <si>
    <t>3 leg Completed. 1leg is in ROW.</t>
  </si>
  <si>
    <t>1 pit Frustum balance, remaining 3 pit pyramid chimney Balance.</t>
  </si>
  <si>
    <t>AP72-73:- Pilot Paying out done in 1st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</si>
</sst>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76">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17" fontId="90" fillId="0" borderId="1" xfId="0" applyNumberFormat="1"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center" wrapText="1"/>
    </xf>
    <xf numFmtId="0" fontId="90" fillId="0" borderId="0" xfId="0" applyFont="1" applyAlignment="1">
      <alignment horizont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93" fillId="0" borderId="1" xfId="0" applyFont="1" applyBorder="1" applyAlignment="1">
      <alignment horizontal="left" vertical="center"/>
    </xf>
    <xf numFmtId="0" fontId="93" fillId="0" borderId="1" xfId="0" applyFont="1" applyBorder="1" applyAlignment="1"/>
    <xf numFmtId="0" fontId="33" fillId="2" borderId="0" xfId="0" applyFont="1" applyFill="1" applyAlignment="1">
      <alignment horizontal="left"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0" fontId="90" fillId="4" borderId="13"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0" fontId="90" fillId="4" borderId="0" xfId="0" applyFont="1" applyFill="1" applyAlignment="1"/>
    <xf numFmtId="3" fontId="90" fillId="4" borderId="17" xfId="0" applyNumberFormat="1" applyFont="1" applyFill="1" applyBorder="1" applyAlignment="1">
      <alignment horizontal="center" vertical="center"/>
    </xf>
    <xf numFmtId="0" fontId="93" fillId="4" borderId="0" xfId="0" applyFont="1" applyFill="1" applyAlignment="1"/>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0" fontId="90" fillId="4" borderId="1" xfId="0" applyFont="1" applyFill="1" applyBorder="1" applyAlignment="1"/>
    <xf numFmtId="0" fontId="90" fillId="4" borderId="1" xfId="0" quotePrefix="1" applyFont="1" applyFill="1" applyBorder="1" applyAlignment="1">
      <alignment horizontal="center" vertical="center"/>
    </xf>
    <xf numFmtId="0" fontId="90" fillId="4" borderId="1" xfId="0" applyFont="1" applyFill="1" applyBorder="1" applyAlignment="1">
      <alignment horizontal="center" vertical="center"/>
    </xf>
    <xf numFmtId="0" fontId="90" fillId="4" borderId="1" xfId="0" applyFont="1" applyFill="1" applyBorder="1" applyAlignment="1">
      <alignment horizontal="center"/>
    </xf>
    <xf numFmtId="14" fontId="90" fillId="4" borderId="1" xfId="0" applyNumberFormat="1" applyFont="1" applyFill="1" applyBorder="1" applyAlignment="1"/>
    <xf numFmtId="20" fontId="42" fillId="0" borderId="17" xfId="58" applyNumberFormat="1" applyFont="1" applyBorder="1" applyAlignment="1">
      <alignment vertical="center" wrapText="1"/>
    </xf>
    <xf numFmtId="16" fontId="92" fillId="4" borderId="13" xfId="0" quotePrefix="1" applyNumberFormat="1" applyFont="1" applyFill="1" applyBorder="1" applyAlignment="1">
      <alignment horizontal="center" vertical="center"/>
    </xf>
    <xf numFmtId="16" fontId="93" fillId="4" borderId="13" xfId="0" quotePrefix="1" applyNumberFormat="1" applyFont="1" applyFill="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0" fontId="90" fillId="4" borderId="17" xfId="0" quotePrefix="1" applyFont="1" applyFill="1" applyBorder="1" applyAlignment="1">
      <alignment horizontal="center" vertical="center"/>
    </xf>
    <xf numFmtId="0" fontId="92" fillId="4" borderId="17" xfId="0" quotePrefix="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xf numFmtId="0" fontId="92" fillId="4" borderId="0" xfId="0" applyFont="1" applyFill="1" applyAlignment="1">
      <alignment horizontal="center"/>
    </xf>
    <xf numFmtId="166" fontId="90" fillId="4" borderId="17" xfId="0" applyNumberFormat="1" applyFont="1" applyFill="1" applyBorder="1" applyAlignment="1">
      <alignment horizontal="center" vertical="center"/>
    </xf>
    <xf numFmtId="0" fontId="90" fillId="4" borderId="0" xfId="0" applyFont="1" applyFill="1" applyAlignment="1">
      <alignment horizont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FF"/>
      <color rgb="FFFF3333"/>
      <color rgb="FFFF3300"/>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filterColumn>
  </autoFilter>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82" t="e" vm="1">
        <v>#VALUE!</v>
      </c>
      <c r="B1" s="213" t="s">
        <v>147</v>
      </c>
      <c r="C1" s="212" t="s">
        <v>1239</v>
      </c>
      <c r="D1" s="98" t="s">
        <v>0</v>
      </c>
      <c r="E1" s="790">
        <f ca="1">+TODAY()</f>
        <v>45964</v>
      </c>
      <c r="F1" s="791"/>
      <c r="G1" s="99" t="s">
        <v>143</v>
      </c>
      <c r="H1" s="785" t="s">
        <v>353</v>
      </c>
      <c r="I1" s="785"/>
      <c r="J1" s="99" t="s">
        <v>1367</v>
      </c>
      <c r="K1" s="100" t="s">
        <v>1286</v>
      </c>
      <c r="L1" s="99" t="s">
        <v>21</v>
      </c>
      <c r="M1" s="779" t="s">
        <v>1204</v>
      </c>
      <c r="N1" s="781"/>
      <c r="Q1" s="466" t="s">
        <v>1255</v>
      </c>
    </row>
    <row r="2" spans="1:17" ht="30" customHeight="1" x14ac:dyDescent="0.25">
      <c r="A2" s="783"/>
      <c r="B2" s="97" t="s">
        <v>112</v>
      </c>
      <c r="C2" s="787" t="s">
        <v>1309</v>
      </c>
      <c r="D2" s="788"/>
      <c r="E2" s="788"/>
      <c r="F2" s="789"/>
      <c r="G2" s="99" t="s">
        <v>18</v>
      </c>
      <c r="H2" s="779" t="s">
        <v>1455</v>
      </c>
      <c r="I2" s="780"/>
      <c r="J2" s="780"/>
      <c r="K2" s="781"/>
      <c r="L2" s="99" t="s">
        <v>1</v>
      </c>
      <c r="M2" s="779" t="s">
        <v>148</v>
      </c>
      <c r="N2" s="781"/>
      <c r="Q2" s="467" t="s">
        <v>1241</v>
      </c>
    </row>
    <row r="3" spans="1:17" ht="30" x14ac:dyDescent="0.25">
      <c r="A3" s="784"/>
      <c r="B3" s="97" t="s">
        <v>1237</v>
      </c>
      <c r="C3" s="787" t="s">
        <v>1308</v>
      </c>
      <c r="D3" s="788"/>
      <c r="E3" s="788"/>
      <c r="F3" s="789"/>
      <c r="G3" s="99" t="s">
        <v>348</v>
      </c>
      <c r="H3" s="792">
        <v>45266</v>
      </c>
      <c r="I3" s="792"/>
      <c r="J3" s="99" t="s">
        <v>5</v>
      </c>
      <c r="K3" s="480">
        <v>45961</v>
      </c>
      <c r="L3" s="97" t="s">
        <v>17</v>
      </c>
      <c r="M3" s="793" t="s">
        <v>665</v>
      </c>
      <c r="N3" s="793"/>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1639</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c r="I6" s="113">
        <v>2</v>
      </c>
      <c r="J6" s="113">
        <f t="shared" si="1"/>
        <v>478</v>
      </c>
      <c r="K6" s="113">
        <f t="shared" si="2"/>
        <v>7</v>
      </c>
      <c r="L6" s="113">
        <v>1</v>
      </c>
      <c r="M6" s="776" t="s">
        <v>1722</v>
      </c>
      <c r="N6" s="585"/>
      <c r="O6" s="681">
        <f t="shared" ref="O6:O12" si="3">(J6/C6)*100</f>
        <v>98.55670103092784</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60" x14ac:dyDescent="0.25">
      <c r="A8" s="113">
        <v>4</v>
      </c>
      <c r="B8" s="492" t="s">
        <v>111</v>
      </c>
      <c r="C8" s="113">
        <v>485</v>
      </c>
      <c r="D8" s="113">
        <v>375</v>
      </c>
      <c r="E8" s="113">
        <f t="shared" si="0"/>
        <v>110</v>
      </c>
      <c r="F8" s="113">
        <v>33</v>
      </c>
      <c r="G8" s="113"/>
      <c r="H8" s="113"/>
      <c r="I8" s="113">
        <v>10</v>
      </c>
      <c r="J8" s="113">
        <f t="shared" si="1"/>
        <v>375</v>
      </c>
      <c r="K8" s="113">
        <f t="shared" si="2"/>
        <v>110</v>
      </c>
      <c r="L8" s="113">
        <v>10</v>
      </c>
      <c r="M8" s="672" t="s">
        <v>1724</v>
      </c>
      <c r="N8" s="716" t="s">
        <v>1715</v>
      </c>
      <c r="O8" s="681">
        <f t="shared" si="3"/>
        <v>77.319587628865989</v>
      </c>
      <c r="Q8" s="468" t="s">
        <v>1247</v>
      </c>
    </row>
    <row r="9" spans="1:17" s="8" customFormat="1" ht="30" x14ac:dyDescent="0.25">
      <c r="A9" s="113">
        <v>5</v>
      </c>
      <c r="B9" s="492" t="s">
        <v>226</v>
      </c>
      <c r="C9" s="113">
        <v>485</v>
      </c>
      <c r="D9" s="113">
        <v>205</v>
      </c>
      <c r="E9" s="113">
        <f t="shared" si="0"/>
        <v>280</v>
      </c>
      <c r="F9" s="113">
        <f>F8</f>
        <v>33</v>
      </c>
      <c r="G9" s="113"/>
      <c r="H9" s="113"/>
      <c r="I9" s="113"/>
      <c r="J9" s="113">
        <f t="shared" si="1"/>
        <v>205</v>
      </c>
      <c r="K9" s="113">
        <f t="shared" si="2"/>
        <v>280</v>
      </c>
      <c r="L9" s="113">
        <v>1</v>
      </c>
      <c r="M9" s="105"/>
      <c r="N9" s="103"/>
      <c r="O9" s="681">
        <f t="shared" si="3"/>
        <v>42.268041237113401</v>
      </c>
      <c r="Q9" s="468" t="s">
        <v>1248</v>
      </c>
    </row>
    <row r="10" spans="1:17" s="8" customFormat="1" ht="30" x14ac:dyDescent="0.25">
      <c r="A10" s="113">
        <v>6</v>
      </c>
      <c r="B10" s="492" t="s">
        <v>342</v>
      </c>
      <c r="C10" s="113">
        <f>C5</f>
        <v>191.37299999999999</v>
      </c>
      <c r="D10" s="113">
        <v>47.295999999999999</v>
      </c>
      <c r="E10" s="113">
        <f t="shared" si="0"/>
        <v>144.077</v>
      </c>
      <c r="F10" s="114">
        <v>18</v>
      </c>
      <c r="G10" s="113"/>
      <c r="H10" s="191"/>
      <c r="I10" s="192">
        <v>1.68</v>
      </c>
      <c r="J10" s="191">
        <f t="shared" si="1"/>
        <v>47.295999999999999</v>
      </c>
      <c r="K10" s="113">
        <f t="shared" si="2"/>
        <v>144.077</v>
      </c>
      <c r="L10" s="113">
        <v>1</v>
      </c>
      <c r="M10" s="492" t="s">
        <v>1741</v>
      </c>
      <c r="N10" s="553"/>
      <c r="O10" s="681">
        <f t="shared" si="3"/>
        <v>24.714040120602178</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86"/>
      <c r="B13" s="786"/>
      <c r="C13" s="786"/>
      <c r="D13" s="786"/>
      <c r="E13" s="786"/>
      <c r="F13" s="786"/>
      <c r="G13" s="786"/>
      <c r="H13" s="786"/>
      <c r="I13" s="786"/>
      <c r="J13" s="786"/>
      <c r="K13" s="786"/>
      <c r="L13" s="786"/>
      <c r="M13" s="786"/>
      <c r="N13" s="786"/>
      <c r="Q13" s="468" t="s">
        <v>1252</v>
      </c>
    </row>
    <row r="14" spans="1:17" x14ac:dyDescent="0.25">
      <c r="A14" s="796" t="s">
        <v>1232</v>
      </c>
      <c r="B14" s="796"/>
      <c r="C14" s="796"/>
      <c r="D14" s="796"/>
      <c r="E14" s="796"/>
      <c r="F14" s="796"/>
      <c r="G14" s="796"/>
      <c r="H14" s="6"/>
      <c r="I14" s="6"/>
      <c r="J14" s="6"/>
      <c r="K14" s="6"/>
      <c r="L14" s="6"/>
      <c r="M14" s="6"/>
      <c r="N14" s="6"/>
      <c r="Q14" s="468" t="s">
        <v>1253</v>
      </c>
    </row>
    <row r="15" spans="1:17" x14ac:dyDescent="0.25">
      <c r="A15" s="797"/>
      <c r="B15" s="798"/>
      <c r="C15" s="798"/>
      <c r="D15" s="798"/>
      <c r="E15" s="798"/>
      <c r="F15" s="798"/>
      <c r="G15" s="799"/>
      <c r="H15" s="6"/>
      <c r="I15" s="6"/>
      <c r="J15" s="6"/>
      <c r="K15" s="632"/>
      <c r="L15" s="6"/>
      <c r="M15" s="696"/>
      <c r="N15" s="6"/>
      <c r="Q15" s="468" t="s">
        <v>1254</v>
      </c>
    </row>
    <row r="16" spans="1:17" x14ac:dyDescent="0.25">
      <c r="A16" s="794" t="s">
        <v>1234</v>
      </c>
      <c r="B16" s="794"/>
      <c r="C16" s="794"/>
      <c r="D16" s="794"/>
      <c r="E16" s="794"/>
      <c r="F16" s="794"/>
      <c r="G16" s="794"/>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0</v>
      </c>
      <c r="C18" s="201">
        <f>I6</f>
        <v>2</v>
      </c>
      <c r="D18" s="201">
        <f>'Page Chart'!N4</f>
        <v>0</v>
      </c>
      <c r="E18" s="203">
        <f>A18-B18-C18-D18</f>
        <v>5</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94" t="s">
        <v>1235</v>
      </c>
      <c r="B20" s="794"/>
      <c r="C20" s="794"/>
      <c r="D20" s="794"/>
      <c r="E20" s="794"/>
      <c r="F20" s="794"/>
      <c r="G20" s="794"/>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0</v>
      </c>
      <c r="C22" s="203">
        <f>I8</f>
        <v>10</v>
      </c>
      <c r="D22" s="203">
        <f>'Page Chart'!S4+'Page Chart'!U4-F22</f>
        <v>33</v>
      </c>
      <c r="E22" s="203">
        <f>'Page Chart'!T4</f>
        <v>60</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95" t="s">
        <v>1236</v>
      </c>
      <c r="B24" s="795"/>
      <c r="C24" s="795"/>
      <c r="D24" s="795"/>
      <c r="E24" s="795"/>
      <c r="F24" s="795"/>
      <c r="G24" s="795"/>
      <c r="H24" s="6"/>
      <c r="I24" s="6"/>
      <c r="J24" s="6"/>
      <c r="K24" s="6"/>
      <c r="L24" s="6"/>
      <c r="M24" s="6"/>
      <c r="N24" s="6"/>
    </row>
    <row r="25" spans="1:17" ht="75" hidden="1" x14ac:dyDescent="0.25">
      <c r="A25" s="3" t="s">
        <v>228</v>
      </c>
      <c r="B25" s="3" t="s">
        <v>229</v>
      </c>
      <c r="C25" s="4" t="s">
        <v>124</v>
      </c>
      <c r="D25" s="110" t="s">
        <v>146</v>
      </c>
      <c r="E25" s="109" t="s">
        <v>129</v>
      </c>
      <c r="F25" s="200" t="s">
        <v>1233</v>
      </c>
      <c r="G25" s="111" t="s">
        <v>1641</v>
      </c>
      <c r="H25" s="6"/>
      <c r="I25" s="6"/>
      <c r="J25" s="6"/>
      <c r="K25" s="6"/>
      <c r="L25" s="6"/>
      <c r="M25" s="6"/>
      <c r="N25" s="6"/>
    </row>
    <row r="26" spans="1:17" hidden="1" x14ac:dyDescent="0.25">
      <c r="A26" s="5">
        <f>E10</f>
        <v>144.077</v>
      </c>
      <c r="B26" s="5">
        <f>H10</f>
        <v>0</v>
      </c>
      <c r="C26" s="207">
        <f>I10</f>
        <v>1.68</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1645</v>
      </c>
      <c r="B1" s="727" t="s">
        <v>1646</v>
      </c>
      <c r="C1" s="727" t="s">
        <v>1647</v>
      </c>
      <c r="D1" s="727" t="s">
        <v>1648</v>
      </c>
      <c r="E1" s="727" t="s">
        <v>1649</v>
      </c>
      <c r="F1" s="727" t="s">
        <v>1</v>
      </c>
      <c r="G1" s="727" t="s">
        <v>1650</v>
      </c>
      <c r="H1" s="727" t="s">
        <v>21</v>
      </c>
      <c r="I1" s="727" t="s">
        <v>1651</v>
      </c>
      <c r="J1" s="727" t="s">
        <v>1290</v>
      </c>
      <c r="K1" s="727" t="s">
        <v>1652</v>
      </c>
    </row>
    <row r="2" spans="1:11" x14ac:dyDescent="0.25">
      <c r="A2" s="728" t="s">
        <v>1653</v>
      </c>
      <c r="B2" s="728" t="s">
        <v>1654</v>
      </c>
      <c r="C2" s="728" t="s">
        <v>1655</v>
      </c>
      <c r="D2" s="729">
        <v>45266</v>
      </c>
      <c r="E2" s="729">
        <v>45960</v>
      </c>
      <c r="F2" s="728" t="s">
        <v>1656</v>
      </c>
      <c r="G2" s="728" t="s">
        <v>1657</v>
      </c>
      <c r="H2" s="728" t="s">
        <v>1658</v>
      </c>
      <c r="I2" s="728" t="s">
        <v>1659</v>
      </c>
      <c r="J2" s="728" t="s">
        <v>662</v>
      </c>
      <c r="K2" s="728" t="s">
        <v>1660</v>
      </c>
    </row>
    <row r="3" spans="1:11" x14ac:dyDescent="0.25">
      <c r="A3" s="728"/>
      <c r="B3" s="728"/>
      <c r="C3" s="728"/>
      <c r="D3" s="728"/>
      <c r="E3" s="728"/>
      <c r="F3" s="728"/>
      <c r="G3" s="728"/>
      <c r="H3" s="728"/>
      <c r="I3" s="728"/>
      <c r="J3" s="728" t="s">
        <v>1289</v>
      </c>
      <c r="K3" s="728" t="s">
        <v>1661</v>
      </c>
    </row>
    <row r="4" spans="1:11" x14ac:dyDescent="0.25">
      <c r="A4" s="728"/>
      <c r="B4" s="728"/>
      <c r="C4" s="728"/>
      <c r="D4" s="728"/>
      <c r="E4" s="729"/>
      <c r="F4" s="728"/>
      <c r="G4" s="728"/>
      <c r="H4" s="728"/>
      <c r="I4" s="728"/>
      <c r="J4" s="728" t="s">
        <v>1662</v>
      </c>
      <c r="K4" s="728" t="s">
        <v>1663</v>
      </c>
    </row>
    <row r="5" spans="1:11" x14ac:dyDescent="0.25">
      <c r="A5" s="728"/>
      <c r="B5" s="728"/>
      <c r="C5" s="728"/>
      <c r="D5" s="728"/>
      <c r="E5" s="728"/>
      <c r="F5" s="728"/>
      <c r="G5" s="728"/>
      <c r="H5" s="728"/>
      <c r="I5" s="728"/>
      <c r="J5" s="728" t="s">
        <v>1664</v>
      </c>
      <c r="K5" s="728" t="s">
        <v>1665</v>
      </c>
    </row>
    <row r="6" spans="1:11" x14ac:dyDescent="0.25">
      <c r="A6" s="728"/>
      <c r="B6" s="728"/>
      <c r="C6" s="728"/>
      <c r="D6" s="728"/>
      <c r="E6" s="728"/>
      <c r="F6" s="728"/>
      <c r="G6" s="728"/>
      <c r="H6" s="728"/>
      <c r="I6" s="728"/>
      <c r="J6" s="728" t="s">
        <v>1297</v>
      </c>
      <c r="K6" s="728" t="s">
        <v>1666</v>
      </c>
    </row>
    <row r="7" spans="1:11" x14ac:dyDescent="0.25">
      <c r="A7" s="728"/>
      <c r="B7" s="729"/>
      <c r="C7" s="728"/>
      <c r="D7" s="728"/>
      <c r="E7" s="728"/>
      <c r="F7" s="728"/>
      <c r="G7" s="728"/>
      <c r="H7" s="728"/>
      <c r="I7" s="728"/>
      <c r="J7" s="728"/>
      <c r="K7" s="728" t="s">
        <v>1667</v>
      </c>
    </row>
    <row r="8" spans="1:11" x14ac:dyDescent="0.25">
      <c r="A8" s="728"/>
      <c r="B8" s="728"/>
      <c r="C8" s="728"/>
      <c r="D8" s="728"/>
      <c r="E8" s="728"/>
      <c r="F8" s="728"/>
      <c r="G8" s="728"/>
      <c r="H8" s="728"/>
      <c r="I8" s="728"/>
      <c r="J8" s="728"/>
      <c r="K8" s="728" t="s">
        <v>1668</v>
      </c>
    </row>
    <row r="9" spans="1:11" x14ac:dyDescent="0.25">
      <c r="A9" s="728"/>
      <c r="B9" s="728"/>
      <c r="C9" s="728"/>
      <c r="D9" s="728"/>
      <c r="E9" s="728"/>
      <c r="F9" s="728"/>
      <c r="G9" s="728"/>
      <c r="H9" s="728"/>
      <c r="I9" s="728"/>
      <c r="J9" s="728"/>
      <c r="K9" s="728" t="s">
        <v>1669</v>
      </c>
    </row>
    <row r="10" spans="1:11" x14ac:dyDescent="0.25">
      <c r="A10" s="728"/>
      <c r="B10" s="728"/>
      <c r="C10" s="728"/>
      <c r="D10" s="728"/>
      <c r="E10" s="728"/>
      <c r="F10" s="728"/>
      <c r="G10" s="728"/>
      <c r="H10" s="728"/>
      <c r="I10" s="728"/>
      <c r="J10" s="728"/>
      <c r="K10" s="728" t="s">
        <v>1670</v>
      </c>
    </row>
    <row r="11" spans="1:11" x14ac:dyDescent="0.25">
      <c r="A11" s="728"/>
      <c r="B11" s="728"/>
      <c r="C11" s="728"/>
      <c r="D11" s="728"/>
      <c r="E11" s="728"/>
      <c r="F11" s="728"/>
      <c r="G11" s="728"/>
      <c r="H11" s="728"/>
      <c r="I11" s="728"/>
      <c r="J11" s="728"/>
      <c r="K11" s="728" t="s">
        <v>1671</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1672</v>
      </c>
    </row>
    <row r="14" spans="1:11" x14ac:dyDescent="0.25">
      <c r="A14" s="635"/>
      <c r="B14" s="635"/>
      <c r="C14" s="635"/>
      <c r="D14" s="635"/>
      <c r="E14" s="635"/>
      <c r="F14" s="635"/>
      <c r="G14" s="635"/>
      <c r="H14" s="635"/>
      <c r="I14" s="635"/>
      <c r="J14" s="635"/>
      <c r="K14" s="635" t="s">
        <v>1673</v>
      </c>
    </row>
    <row r="15" spans="1:11" x14ac:dyDescent="0.25">
      <c r="A15" s="635"/>
      <c r="B15" s="635"/>
      <c r="C15" s="635"/>
      <c r="D15" s="635"/>
      <c r="E15" s="635"/>
      <c r="F15" s="635"/>
      <c r="G15" s="635"/>
      <c r="H15" s="635"/>
      <c r="I15" s="635"/>
      <c r="J15" s="635"/>
      <c r="K15" s="635" t="s">
        <v>1674</v>
      </c>
    </row>
    <row r="16" spans="1:11" x14ac:dyDescent="0.25">
      <c r="A16" s="635"/>
      <c r="B16" s="635"/>
      <c r="C16" s="635"/>
      <c r="D16" s="635"/>
      <c r="E16" s="635"/>
      <c r="F16" s="635"/>
      <c r="G16" s="635"/>
      <c r="H16" s="635"/>
      <c r="I16" s="635"/>
      <c r="J16" s="635"/>
      <c r="K16" s="635" t="s">
        <v>1675</v>
      </c>
    </row>
    <row r="17" spans="1:11" x14ac:dyDescent="0.25">
      <c r="A17" s="635"/>
      <c r="B17" s="635"/>
      <c r="C17" s="635"/>
      <c r="D17" s="635"/>
      <c r="E17" s="635"/>
      <c r="F17" s="635"/>
      <c r="G17" s="635"/>
      <c r="H17" s="635"/>
      <c r="I17" s="635"/>
      <c r="J17" s="635"/>
      <c r="K17" s="635" t="s">
        <v>1676</v>
      </c>
    </row>
    <row r="18" spans="1:11" x14ac:dyDescent="0.25">
      <c r="A18" s="635"/>
      <c r="B18" s="635"/>
      <c r="C18" s="635"/>
      <c r="D18" s="635"/>
      <c r="E18" s="635"/>
      <c r="F18" s="635"/>
      <c r="G18" s="635"/>
      <c r="H18" s="635"/>
      <c r="I18" s="635"/>
      <c r="J18" s="635"/>
      <c r="K18" s="635" t="s">
        <v>1677</v>
      </c>
    </row>
    <row r="19" spans="1:11" x14ac:dyDescent="0.25">
      <c r="A19" s="635"/>
      <c r="B19" s="635"/>
      <c r="C19" s="635"/>
      <c r="D19" s="635"/>
      <c r="E19" s="635"/>
      <c r="F19" s="635"/>
      <c r="G19" s="635"/>
      <c r="H19" s="635"/>
      <c r="I19" s="635"/>
      <c r="J19" s="635"/>
      <c r="K19" s="635" t="s">
        <v>1678</v>
      </c>
    </row>
    <row r="20" spans="1:11" x14ac:dyDescent="0.25">
      <c r="A20" s="635"/>
      <c r="B20" s="635"/>
      <c r="C20" s="635"/>
      <c r="D20" s="635"/>
      <c r="E20" s="635"/>
      <c r="F20" s="635"/>
      <c r="G20" s="635"/>
      <c r="H20" s="635"/>
      <c r="I20" s="635"/>
      <c r="J20" s="635"/>
      <c r="K20" s="635" t="s">
        <v>1679</v>
      </c>
    </row>
    <row r="21" spans="1:11" x14ac:dyDescent="0.25">
      <c r="A21" s="635"/>
      <c r="B21" s="635"/>
      <c r="C21" s="635"/>
      <c r="D21" s="635"/>
      <c r="E21" s="635"/>
      <c r="F21" s="635"/>
      <c r="G21" s="635"/>
      <c r="H21" s="635"/>
      <c r="I21" s="635"/>
      <c r="J21" s="635"/>
      <c r="K21" s="635" t="s">
        <v>1680</v>
      </c>
    </row>
    <row r="22" spans="1:11" x14ac:dyDescent="0.25">
      <c r="A22" s="635"/>
      <c r="B22" s="635"/>
      <c r="C22" s="635"/>
      <c r="D22" s="635"/>
      <c r="E22" s="635"/>
      <c r="F22" s="635"/>
      <c r="G22" s="635"/>
      <c r="H22" s="635"/>
      <c r="I22" s="635"/>
      <c r="J22" s="635"/>
      <c r="K22" s="635" t="s">
        <v>1681</v>
      </c>
    </row>
    <row r="23" spans="1:11" x14ac:dyDescent="0.25">
      <c r="A23" s="635"/>
      <c r="B23" s="635"/>
      <c r="C23" s="635"/>
      <c r="D23" s="635"/>
      <c r="E23" s="635"/>
      <c r="F23" s="635"/>
      <c r="G23" s="635"/>
      <c r="H23" s="635"/>
      <c r="I23" s="635"/>
      <c r="J23" s="635"/>
      <c r="K23" s="635" t="s">
        <v>1682</v>
      </c>
    </row>
    <row r="24" spans="1:11" x14ac:dyDescent="0.25">
      <c r="A24" s="635"/>
      <c r="B24" s="635"/>
      <c r="C24" s="635"/>
      <c r="D24" s="635"/>
      <c r="E24" s="635"/>
      <c r="F24" s="635"/>
      <c r="G24" s="635"/>
      <c r="H24" s="635"/>
      <c r="I24" s="635"/>
      <c r="J24" s="635"/>
      <c r="K24" s="635" t="s">
        <v>1683</v>
      </c>
    </row>
    <row r="25" spans="1:11" x14ac:dyDescent="0.25">
      <c r="A25" s="635"/>
      <c r="B25" s="635"/>
      <c r="C25" s="635"/>
      <c r="D25" s="635"/>
      <c r="E25" s="635"/>
      <c r="F25" s="635"/>
      <c r="G25" s="635"/>
      <c r="H25" s="635"/>
      <c r="I25" s="635"/>
      <c r="J25" s="635"/>
      <c r="K25" s="635" t="s">
        <v>1684</v>
      </c>
    </row>
    <row r="26" spans="1:11" x14ac:dyDescent="0.25">
      <c r="A26" s="635"/>
      <c r="B26" s="635"/>
      <c r="C26" s="635"/>
      <c r="D26" s="635"/>
      <c r="E26" s="635"/>
      <c r="F26" s="635"/>
      <c r="G26" s="635"/>
      <c r="H26" s="635"/>
      <c r="I26" s="635"/>
      <c r="J26" s="635"/>
      <c r="K26" s="635" t="s">
        <v>1685</v>
      </c>
    </row>
    <row r="27" spans="1:11" x14ac:dyDescent="0.25">
      <c r="A27" s="635"/>
      <c r="B27" s="635"/>
      <c r="C27" s="635"/>
      <c r="D27" s="635"/>
      <c r="E27" s="635"/>
      <c r="F27" s="635"/>
      <c r="G27" s="635"/>
      <c r="H27" s="635"/>
      <c r="I27" s="635"/>
      <c r="J27" s="635"/>
      <c r="K27" s="635" t="s">
        <v>1686</v>
      </c>
    </row>
    <row r="28" spans="1:11" x14ac:dyDescent="0.25">
      <c r="A28" s="635"/>
      <c r="B28" s="635"/>
      <c r="C28" s="635"/>
      <c r="D28" s="635"/>
      <c r="E28" s="635"/>
      <c r="F28" s="635"/>
      <c r="G28" s="635"/>
      <c r="H28" s="635"/>
      <c r="I28" s="635"/>
      <c r="J28" s="635"/>
      <c r="K28" s="635" t="s">
        <v>1687</v>
      </c>
    </row>
    <row r="29" spans="1:11" x14ac:dyDescent="0.25">
      <c r="A29" s="635"/>
      <c r="B29" s="635"/>
      <c r="C29" s="635"/>
      <c r="D29" s="635"/>
      <c r="E29" s="635"/>
      <c r="F29" s="635"/>
      <c r="G29" s="635"/>
      <c r="H29" s="635"/>
      <c r="I29" s="635"/>
      <c r="J29" s="635"/>
      <c r="K29" s="635" t="s">
        <v>1688</v>
      </c>
    </row>
    <row r="30" spans="1:11" x14ac:dyDescent="0.25">
      <c r="A30" s="635"/>
      <c r="B30" s="635"/>
      <c r="C30" s="635"/>
      <c r="D30" s="635"/>
      <c r="E30" s="635"/>
      <c r="F30" s="635"/>
      <c r="G30" s="635"/>
      <c r="H30" s="635"/>
      <c r="I30" s="635"/>
      <c r="J30" s="635"/>
      <c r="K30" s="635" t="s">
        <v>1689</v>
      </c>
    </row>
    <row r="31" spans="1:11" x14ac:dyDescent="0.25">
      <c r="A31" s="635"/>
      <c r="B31" s="635"/>
      <c r="C31" s="635"/>
      <c r="D31" s="635"/>
      <c r="E31" s="635"/>
      <c r="F31" s="635"/>
      <c r="G31" s="635"/>
      <c r="H31" s="635"/>
      <c r="I31" s="635"/>
      <c r="J31" s="635"/>
      <c r="K31" s="635" t="s">
        <v>1690</v>
      </c>
    </row>
    <row r="32" spans="1:11" x14ac:dyDescent="0.25">
      <c r="A32" s="635"/>
      <c r="B32" s="635"/>
      <c r="C32" s="635"/>
      <c r="D32" s="635"/>
      <c r="E32" s="635"/>
      <c r="F32" s="635"/>
      <c r="G32" s="635"/>
      <c r="H32" s="635"/>
      <c r="I32" s="635"/>
      <c r="J32" s="635"/>
      <c r="K32" s="635" t="s">
        <v>1691</v>
      </c>
    </row>
    <row r="33" spans="1:11" x14ac:dyDescent="0.25">
      <c r="A33" s="635"/>
      <c r="B33" s="635"/>
      <c r="C33" s="635"/>
      <c r="D33" s="635"/>
      <c r="E33" s="635"/>
      <c r="F33" s="635"/>
      <c r="G33" s="635"/>
      <c r="H33" s="635"/>
      <c r="I33" s="635"/>
      <c r="J33" s="635"/>
      <c r="K33" s="635" t="s">
        <v>1692</v>
      </c>
    </row>
    <row r="34" spans="1:11" x14ac:dyDescent="0.25">
      <c r="A34" s="635"/>
      <c r="B34" s="635"/>
      <c r="C34" s="635"/>
      <c r="D34" s="635"/>
      <c r="E34" s="635"/>
      <c r="F34" s="635"/>
      <c r="G34" s="635"/>
      <c r="H34" s="635"/>
      <c r="I34" s="635"/>
      <c r="J34" s="635"/>
      <c r="K34" s="635" t="s">
        <v>1693</v>
      </c>
    </row>
    <row r="35" spans="1:11" x14ac:dyDescent="0.25">
      <c r="A35" s="635"/>
      <c r="B35" s="635"/>
      <c r="C35" s="635"/>
      <c r="D35" s="635"/>
      <c r="E35" s="635"/>
      <c r="F35" s="635"/>
      <c r="G35" s="635"/>
      <c r="H35" s="635"/>
      <c r="I35" s="635"/>
      <c r="J35" s="635"/>
      <c r="K35" s="635" t="s">
        <v>1694</v>
      </c>
    </row>
    <row r="36" spans="1:11" x14ac:dyDescent="0.25">
      <c r="A36" s="635"/>
      <c r="B36" s="635"/>
      <c r="C36" s="635"/>
      <c r="D36" s="635"/>
      <c r="E36" s="635"/>
      <c r="F36" s="635"/>
      <c r="G36" s="635"/>
      <c r="H36" s="635"/>
      <c r="I36" s="635"/>
      <c r="J36" s="635"/>
      <c r="K36" s="635" t="s">
        <v>1695</v>
      </c>
    </row>
    <row r="37" spans="1:11" x14ac:dyDescent="0.25">
      <c r="A37" s="635"/>
      <c r="B37" s="635"/>
      <c r="C37" s="635"/>
      <c r="D37" s="635"/>
      <c r="E37" s="635"/>
      <c r="F37" s="635"/>
      <c r="G37" s="635"/>
      <c r="H37" s="635"/>
      <c r="I37" s="635"/>
      <c r="J37" s="635"/>
      <c r="K37" s="635" t="s">
        <v>1696</v>
      </c>
    </row>
    <row r="38" spans="1:11" x14ac:dyDescent="0.25">
      <c r="A38" s="635"/>
      <c r="B38" s="635"/>
      <c r="C38" s="635"/>
      <c r="D38" s="635"/>
      <c r="E38" s="635"/>
      <c r="F38" s="635"/>
      <c r="G38" s="635"/>
      <c r="H38" s="635"/>
      <c r="I38" s="635"/>
      <c r="J38" s="635"/>
      <c r="K38" s="635" t="s">
        <v>1697</v>
      </c>
    </row>
    <row r="39" spans="1:11" x14ac:dyDescent="0.25">
      <c r="A39" s="635"/>
      <c r="B39" s="635"/>
      <c r="C39" s="635"/>
      <c r="D39" s="635"/>
      <c r="E39" s="635"/>
      <c r="F39" s="635"/>
      <c r="G39" s="635"/>
      <c r="H39" s="635"/>
      <c r="I39" s="635"/>
      <c r="J39" s="635"/>
      <c r="K39" s="635" t="s">
        <v>1698</v>
      </c>
    </row>
    <row r="40" spans="1:11" x14ac:dyDescent="0.25">
      <c r="A40" s="635"/>
      <c r="B40" s="635"/>
      <c r="C40" s="635"/>
      <c r="D40" s="635"/>
      <c r="E40" s="635"/>
      <c r="F40" s="635"/>
      <c r="G40" s="635"/>
      <c r="H40" s="635"/>
      <c r="I40" s="635"/>
      <c r="J40" s="635"/>
      <c r="K40" s="635" t="s">
        <v>1699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10" activePane="bottomLeft" state="frozen"/>
      <selection pane="bottomLeft" activeCell="C17" sqref="C17"/>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53"/>
      <c r="D1" s="753"/>
      <c r="E1" s="753"/>
      <c r="F1" s="1"/>
      <c r="G1" s="753"/>
      <c r="H1" s="753"/>
      <c r="I1" s="753"/>
      <c r="J1" s="753"/>
    </row>
    <row r="2" spans="1:11" x14ac:dyDescent="0.25">
      <c r="A2" s="800" t="s">
        <v>350</v>
      </c>
      <c r="B2" s="800"/>
      <c r="C2" s="800"/>
      <c r="D2" s="800"/>
      <c r="E2" s="800"/>
      <c r="F2" s="800"/>
      <c r="G2" s="800"/>
      <c r="H2" s="800"/>
      <c r="I2" s="800"/>
      <c r="J2" s="800"/>
      <c r="K2" s="800"/>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801" t="s">
        <v>1225</v>
      </c>
      <c r="B4" s="801"/>
      <c r="C4" s="801"/>
      <c r="D4" s="801"/>
      <c r="E4" s="801"/>
      <c r="F4" s="801"/>
      <c r="G4" s="801"/>
      <c r="H4" s="801"/>
      <c r="I4" s="801"/>
      <c r="J4" s="801"/>
      <c r="K4" s="801"/>
    </row>
    <row r="5" spans="1:11" s="635" customFormat="1" ht="25.5" x14ac:dyDescent="0.25">
      <c r="A5" s="197">
        <v>1</v>
      </c>
      <c r="B5" s="195" t="s">
        <v>301</v>
      </c>
      <c r="C5" s="194" t="s">
        <v>38</v>
      </c>
      <c r="D5" s="194" t="s">
        <v>39</v>
      </c>
      <c r="E5" s="194">
        <v>226.52</v>
      </c>
      <c r="F5" s="196">
        <v>45337</v>
      </c>
      <c r="G5" s="196"/>
      <c r="H5" s="195" t="s">
        <v>1442</v>
      </c>
      <c r="I5" s="198" t="s">
        <v>1704</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1610</v>
      </c>
      <c r="J6" s="198" t="s">
        <v>16</v>
      </c>
      <c r="K6" s="644"/>
    </row>
    <row r="7" spans="1:11" s="635" customFormat="1" ht="25.5" x14ac:dyDescent="0.25">
      <c r="A7" s="197">
        <v>3</v>
      </c>
      <c r="B7" s="195" t="s">
        <v>303</v>
      </c>
      <c r="C7" s="194" t="s">
        <v>43</v>
      </c>
      <c r="D7" s="194" t="s">
        <v>44</v>
      </c>
      <c r="E7" s="194">
        <v>210.755</v>
      </c>
      <c r="F7" s="196">
        <v>45337</v>
      </c>
      <c r="G7" s="196"/>
      <c r="H7" s="195" t="s">
        <v>1629</v>
      </c>
      <c r="I7" s="198" t="s">
        <v>1636</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1628</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802" t="s">
        <v>1300</v>
      </c>
      <c r="B14" s="802" t="s">
        <v>1226</v>
      </c>
      <c r="C14" s="802"/>
      <c r="D14" s="802"/>
      <c r="E14" s="802"/>
      <c r="F14" s="802"/>
      <c r="G14" s="802"/>
      <c r="H14" s="802"/>
      <c r="I14" s="802"/>
      <c r="J14" s="802"/>
      <c r="K14" s="802"/>
    </row>
    <row r="15" spans="1:11" s="635" customFormat="1" ht="25.5" x14ac:dyDescent="0.25">
      <c r="A15" s="197">
        <v>1</v>
      </c>
      <c r="B15" s="195" t="s">
        <v>230</v>
      </c>
      <c r="C15" s="194" t="s">
        <v>40</v>
      </c>
      <c r="D15" s="194" t="s">
        <v>41</v>
      </c>
      <c r="E15" s="194">
        <v>246.01900000000001</v>
      </c>
      <c r="F15" s="196">
        <v>45337</v>
      </c>
      <c r="G15" s="196"/>
      <c r="H15" s="195" t="s">
        <v>1609</v>
      </c>
      <c r="I15" s="198" t="s">
        <v>1610</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802" t="s">
        <v>1301</v>
      </c>
      <c r="B18" s="802" t="s">
        <v>1226</v>
      </c>
      <c r="C18" s="802"/>
      <c r="D18" s="802"/>
      <c r="E18" s="802"/>
      <c r="F18" s="802"/>
      <c r="G18" s="802"/>
      <c r="H18" s="802"/>
      <c r="I18" s="802"/>
      <c r="J18" s="802"/>
      <c r="K18" s="802"/>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803" t="s">
        <v>930</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814" t="s">
        <v>1172</v>
      </c>
      <c r="C7" s="814"/>
      <c r="D7" s="814"/>
      <c r="E7" s="814"/>
      <c r="F7" s="814"/>
      <c r="G7" s="475" t="s">
        <v>1305</v>
      </c>
      <c r="H7" s="814" t="s">
        <v>1440</v>
      </c>
      <c r="I7" s="814"/>
      <c r="J7" s="814"/>
      <c r="K7" s="814"/>
      <c r="L7" s="814"/>
      <c r="M7" s="814"/>
      <c r="N7" s="814"/>
      <c r="O7" s="814"/>
      <c r="P7" s="814"/>
      <c r="Q7" s="814"/>
      <c r="R7" s="814"/>
      <c r="S7" s="814"/>
      <c r="T7" s="814"/>
      <c r="U7" s="814"/>
      <c r="V7" s="814"/>
      <c r="W7" s="814"/>
      <c r="X7" s="821" t="s">
        <v>1439</v>
      </c>
      <c r="Y7" s="822"/>
      <c r="Z7" s="822"/>
      <c r="AA7" s="822"/>
      <c r="AB7" s="822"/>
      <c r="AC7" s="822"/>
      <c r="AD7" s="822"/>
      <c r="AE7" s="814" t="s">
        <v>9</v>
      </c>
    </row>
    <row r="8" spans="1:31" s="221" customFormat="1" ht="42" customHeight="1" x14ac:dyDescent="0.25">
      <c r="B8" s="816" t="s">
        <v>304</v>
      </c>
      <c r="C8" s="816" t="s">
        <v>37</v>
      </c>
      <c r="D8" s="819" t="s">
        <v>933</v>
      </c>
      <c r="E8" s="816" t="s">
        <v>403</v>
      </c>
      <c r="F8" s="819"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14"/>
    </row>
    <row r="9" spans="1:31" x14ac:dyDescent="0.25">
      <c r="B9" s="817"/>
      <c r="C9" s="818"/>
      <c r="D9" s="818"/>
      <c r="E9" s="818"/>
      <c r="F9" s="820"/>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14"/>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05"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06"/>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06"/>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07"/>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05"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06"/>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06"/>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07"/>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10"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11"/>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10"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12"/>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11"/>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08"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09"/>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10"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11"/>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10"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12"/>
      <c r="C57" s="529" t="s">
        <v>952</v>
      </c>
      <c r="D57" s="530"/>
      <c r="E57" s="530"/>
      <c r="F57" s="531"/>
      <c r="G57" s="532">
        <f>+COUNTIF(Foundation!$B$8:$B$534,'L2 Schedule'!G8)</f>
        <v>1</v>
      </c>
      <c r="H57" s="532">
        <f>+COUNTIF(Foundation!$B$8:$B$534,'L2 Schedule'!H8)</f>
        <v>22</v>
      </c>
      <c r="I57" s="532">
        <f>+COUNTIF(Foundation!$B$8:$B$534,'L2 Schedule'!I8)</f>
        <v>46</v>
      </c>
      <c r="J57" s="532">
        <f>+COUNTIF(Foundation!$B$8:$B$534,'L2 Schedule'!J8)</f>
        <v>36</v>
      </c>
      <c r="K57" s="532">
        <f>+COUNTIF(Foundation!$B$8:$B$534,'L2 Schedule'!K8)</f>
        <v>16</v>
      </c>
      <c r="L57" s="532">
        <f>+COUNTIF(Foundation!$B$8:$B$534,'L2 Schedule'!L8)</f>
        <v>7</v>
      </c>
      <c r="M57" s="532">
        <f>+COUNTIF(Foundation!$B$8:$B$534,'L2 Schedule'!M8)</f>
        <v>15</v>
      </c>
      <c r="N57" s="532">
        <f>+COUNTIF(Foundation!$B$8:$B$534,'L2 Schedule'!N8)</f>
        <v>9</v>
      </c>
      <c r="O57" s="532">
        <f>+COUNTIF(Foundation!$B$8:$B$534,'L2 Schedule'!O8)</f>
        <v>14</v>
      </c>
      <c r="P57" s="532">
        <f>+COUNTIF(Foundation!$B$8:$B$534,'L2 Schedule'!P8)</f>
        <v>26</v>
      </c>
      <c r="Q57" s="532">
        <f>+COUNTIF(Foundation!$B$8:$B$534,'L2 Schedule'!Q8)</f>
        <v>38</v>
      </c>
      <c r="R57" s="532">
        <f>+COUNTIF(Foundation!$B$8:$B$534,'L2 Schedule'!R8)</f>
        <v>26</v>
      </c>
      <c r="S57" s="532">
        <f>+COUNTIF(Foundation!$B$8:$B$534,'L2 Schedule'!S8)</f>
        <v>9</v>
      </c>
      <c r="T57" s="532">
        <f>+COUNTIF(Foundation!$B$8:$B$534,'L2 Schedule'!T8)</f>
        <v>31</v>
      </c>
      <c r="U57" s="532">
        <f>+COUNTIF(Foundation!$B$8:$B$534,'L2 Schedule'!U8)</f>
        <v>47</v>
      </c>
      <c r="V57" s="532">
        <f>+COUNTIF(Foundation!$B$8:$B$534,'L2 Schedule'!V8)</f>
        <v>27</v>
      </c>
      <c r="W57" s="532">
        <f>+COUNTIF(Foundation!$B$8:$B$534,'L2 Schedule'!W8)</f>
        <v>17</v>
      </c>
      <c r="X57" s="532">
        <f>+COUNTIF(Foundation!$B$8:$B$534,'L2 Schedule'!X8)</f>
        <v>13</v>
      </c>
      <c r="Y57" s="532">
        <f>+COUNTIF(Foundation!$B$8:$B$534,'L2 Schedule'!Y8)</f>
        <v>13</v>
      </c>
      <c r="Z57" s="532">
        <f>+COUNTIF(Foundation!$B$8:$B$534,'L2 Schedule'!Z8)</f>
        <v>19</v>
      </c>
      <c r="AA57" s="532">
        <f>+COUNTIF(Foundation!$B$8:$B$534,'L2 Schedule'!AA8)</f>
        <v>22</v>
      </c>
      <c r="AB57" s="532">
        <f>+COUNTIF(Foundation!$B$8:$B$534,'L2 Schedule'!AB8)</f>
        <v>8</v>
      </c>
      <c r="AC57" s="532">
        <f>+COUNTIF(Foundation!$B$8:$B$534,'L2 Schedule'!AC8)</f>
        <v>9</v>
      </c>
      <c r="AD57" s="532">
        <f>+COUNTIF(Foundation!$B$8:$B$534,'L2 Schedule'!AD8)</f>
        <v>7</v>
      </c>
      <c r="AE57" s="535"/>
      <c r="AF57" s="536">
        <f t="shared" si="6"/>
        <v>478</v>
      </c>
    </row>
    <row r="58" spans="1:33" s="536" customFormat="1" x14ac:dyDescent="0.25">
      <c r="A58" s="254"/>
      <c r="B58" s="811"/>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10"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11"/>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08"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13"/>
      <c r="C63" s="529" t="s">
        <v>952</v>
      </c>
      <c r="D63" s="530"/>
      <c r="E63" s="530"/>
      <c r="F63" s="531"/>
      <c r="G63" s="531"/>
      <c r="H63" s="532"/>
      <c r="I63" s="531"/>
      <c r="J63" s="532">
        <f>+COUNTIF('Erection Compiled'!$B$7:$B$598,'L2 Schedule'!J8)</f>
        <v>22</v>
      </c>
      <c r="K63" s="532">
        <f>+COUNTIF('Erection Compiled'!$B$7:$B$598,'L2 Schedule'!K8)</f>
        <v>20</v>
      </c>
      <c r="L63" s="532">
        <f>+COUNTIF('Erection Compiled'!$B$7:$B$598,'L2 Schedule'!L8)</f>
        <v>19</v>
      </c>
      <c r="M63" s="532">
        <f>+COUNTIF('Erection Compiled'!$B$7:$B$598,'L2 Schedule'!M8)</f>
        <v>14</v>
      </c>
      <c r="N63" s="532">
        <f>+COUNTIF('Erection Compiled'!$B$7:$B$598,'L2 Schedule'!N8)</f>
        <v>3</v>
      </c>
      <c r="O63" s="532">
        <f>+COUNTIF('Erection Compiled'!$B$7:$B$598,'L2 Schedule'!O8)</f>
        <v>2</v>
      </c>
      <c r="P63" s="532">
        <f>+COUNTIF('Erection Compiled'!$B$7:$B$598,'L2 Schedule'!P8)</f>
        <v>3</v>
      </c>
      <c r="Q63" s="532">
        <f>+COUNTIF('Erection Compiled'!$B$7:$B$598,'L2 Schedule'!Q8)</f>
        <v>16</v>
      </c>
      <c r="R63" s="532">
        <f>+COUNTIF('Erection Compiled'!$B$7:$B$598,'L2 Schedule'!R8)</f>
        <v>30</v>
      </c>
      <c r="S63" s="532">
        <f>+COUNTIF('Erection Compiled'!$B$7:$B$598,'L2 Schedule'!S8)</f>
        <v>30</v>
      </c>
      <c r="T63" s="532">
        <f>+COUNTIF('Erection Compiled'!$B$7:$B$598,'L2 Schedule'!T8)</f>
        <v>11</v>
      </c>
      <c r="U63" s="532">
        <f>+COUNTIF('Erection Compiled'!$B$7:$B$598,'L2 Schedule'!U8)</f>
        <v>16</v>
      </c>
      <c r="V63" s="532">
        <f>+COUNTIF('Erection Compiled'!$B$7:$B$598,'L2 Schedule'!V8)</f>
        <v>14</v>
      </c>
      <c r="W63" s="532">
        <f>+COUNTIF('Erection Compiled'!$B$7:$B$598,'L2 Schedule'!W8)</f>
        <v>13</v>
      </c>
      <c r="X63" s="532">
        <f>+COUNTIF('Erection Compiled'!$B$7:$B$598,'L2 Schedule'!X8)</f>
        <v>7</v>
      </c>
      <c r="Y63" s="532">
        <f>+COUNTIF('Erection Compiled'!$B$7:$B$598,'L2 Schedule'!Y8)</f>
        <v>2</v>
      </c>
      <c r="Z63" s="532">
        <f>+COUNTIF('Erection Compiled'!$B$7:$B$598,'L2 Schedule'!Z8)</f>
        <v>6</v>
      </c>
      <c r="AA63" s="532">
        <f>+COUNTIF('Erection Compiled'!$B$7:$B$598,'L2 Schedule'!AA8)</f>
        <v>23</v>
      </c>
      <c r="AB63" s="532">
        <f>+COUNTIF('Erection Compiled'!$B$7:$B$598,'L2 Schedule'!AB8)</f>
        <v>52</v>
      </c>
      <c r="AC63" s="532">
        <f>+COUNTIF('Erection Compiled'!$B$7:$B$598,'L2 Schedule'!AC8)</f>
        <v>47</v>
      </c>
      <c r="AD63" s="532">
        <f>+COUNTIF('Erection Compiled'!$B$7:$B$598,'L2 Schedule'!AD8)</f>
        <v>25</v>
      </c>
      <c r="AE63" s="535">
        <f t="shared" ref="AE63:AE65" si="9">+SUM(G63:AD63)</f>
        <v>375</v>
      </c>
      <c r="AF63" s="536">
        <f t="shared" si="6"/>
        <v>375</v>
      </c>
    </row>
    <row r="64" spans="1:33" s="536" customFormat="1" x14ac:dyDescent="0.25">
      <c r="A64" s="254"/>
      <c r="B64" s="813"/>
      <c r="C64" s="529" t="s">
        <v>1633</v>
      </c>
      <c r="D64" s="530" t="s">
        <v>1634</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13"/>
      <c r="C65" s="529" t="s">
        <v>1635</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09"/>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10"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12"/>
      <c r="C69" s="529" t="s">
        <v>952</v>
      </c>
      <c r="D69" s="530"/>
      <c r="E69" s="530"/>
      <c r="F69" s="531"/>
      <c r="G69" s="531"/>
      <c r="H69" s="532"/>
      <c r="I69" s="532"/>
      <c r="J69" s="532"/>
      <c r="K69" s="533"/>
      <c r="L69" s="533">
        <f>+SUMIF(Stringing!$Q$6:$Q$94,'L2 Schedule'!L8,Stringing!$M$6:$M$94)</f>
        <v>0</v>
      </c>
      <c r="M69" s="533">
        <f>+SUMIF(Stringing!$Q$6:$Q$94,'L2 Schedule'!M8,Stringing!$M$6:$M$94)</f>
        <v>0</v>
      </c>
      <c r="N69" s="533">
        <f>+SUMIF(Stringing!$Q$6:$Q$94,'L2 Schedule'!N8,Stringing!$M$6:$M$94)</f>
        <v>0</v>
      </c>
      <c r="O69" s="533">
        <f>+SUMIF(Stringing!$Q$6:$Q$94,'L2 Schedule'!O8,Stringing!$M$6:$M$94)</f>
        <v>0</v>
      </c>
      <c r="P69" s="533">
        <f>+SUMIF(Stringing!$Q$6:$Q$94,'L2 Schedule'!P8,Stringing!$M$6:$M$94)</f>
        <v>0</v>
      </c>
      <c r="Q69" s="533">
        <f>+SUMIF(Stringing!$Q$6:$Q$94,'L2 Schedule'!Q8,Stringing!$M$6:$M$94)</f>
        <v>4.8769999999999998</v>
      </c>
      <c r="R69" s="533">
        <f>+SUMIF(Stringing!$Q$6:$Q$94,'L2 Schedule'!R8,Stringing!$M$6:$M$94)</f>
        <v>9.4310000000000009</v>
      </c>
      <c r="S69" s="533">
        <f>+SUMIF(Stringing!$Q$6:$Q$94,'L2 Schedule'!S8,Stringing!$M$6:$M$94)</f>
        <v>8.6289999999999996</v>
      </c>
      <c r="T69" s="533">
        <f>+SUMIF(Stringing!$Q$6:$Q$94,'L2 Schedule'!T8,Stringing!$M$6:$M$94)</f>
        <v>0</v>
      </c>
      <c r="U69" s="533">
        <f>+SUMIF(Stringing!$Q$6:$Q$94,'L2 Schedule'!U8,Stringing!$M$6:$M$94)</f>
        <v>7.1150000000000002</v>
      </c>
      <c r="V69" s="533">
        <f>+SUMIF(Stringing!$Q$6:$Q$94,'L2 Schedule'!V8,Stringing!$M$6:$M$94)</f>
        <v>0</v>
      </c>
      <c r="W69" s="533">
        <f>+SUMIF(Stringing!$Q$6:$Q$94,'L2 Schedule'!W8,Stringing!$M$6:$M$94)</f>
        <v>9.18</v>
      </c>
      <c r="X69" s="533">
        <f>+SUMIF(Stringing!$Q$6:$Q$94,'L2 Schedule'!X8,Stringing!$M$6:$M$94)</f>
        <v>1.0489999999999999</v>
      </c>
      <c r="Y69" s="533">
        <f>+SUMIF(Stringing!$Q$6:$Q$94,'L2 Schedule'!Y8,Stringing!$M$6:$M$94)</f>
        <v>3.2269999999999999</v>
      </c>
      <c r="Z69" s="533">
        <f>+SUMIF(Stringing!$Q$6:$Q$94,'L2 Schedule'!Z8,Stringing!$M$6:$M$94)</f>
        <v>0</v>
      </c>
      <c r="AA69" s="533">
        <f>+SUMIF(Stringing!$Q$6:$Q$94,'L2 Schedule'!AA8,Stringing!$M$6:$M$94)</f>
        <v>0</v>
      </c>
      <c r="AB69" s="533">
        <f>+SUMIF(Stringing!$Q$6:$Q$94,'L2 Schedule'!AB8,Stringing!$M$6:$M$94)</f>
        <v>0</v>
      </c>
      <c r="AC69" s="533">
        <f>+SUMIF(Stringing!$Q$6:$Q$94,'L2 Schedule'!AC8,Stringing!$M$6:$M$94)</f>
        <v>3.7879999999999998</v>
      </c>
      <c r="AD69" s="533">
        <f>+SUMIF(Stringing!$Q$6:$Q$94,'L2 Schedule'!AD8,Stringing!$M$6:$M$94)</f>
        <v>0</v>
      </c>
      <c r="AE69" s="535"/>
      <c r="AF69" s="536">
        <f t="shared" si="6"/>
        <v>47.295999999999992</v>
      </c>
    </row>
    <row r="70" spans="1:33" s="536" customFormat="1" x14ac:dyDescent="0.25">
      <c r="A70" s="254"/>
      <c r="B70" s="811"/>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10"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12"/>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11"/>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04"/>
      <c r="C79" s="804"/>
      <c r="D79" s="804"/>
      <c r="E79" s="804"/>
      <c r="F79" s="804"/>
      <c r="G79" s="804"/>
      <c r="H79" s="804"/>
      <c r="I79" s="804"/>
      <c r="J79" s="804"/>
      <c r="K79" s="804"/>
      <c r="L79" s="804"/>
      <c r="M79" s="804"/>
      <c r="N79" s="804"/>
      <c r="O79" s="804"/>
      <c r="P79" s="804"/>
      <c r="Q79" s="804"/>
      <c r="R79" s="804"/>
      <c r="S79" s="804"/>
      <c r="T79" s="804"/>
    </row>
    <row r="80" spans="1:33" ht="12.75" customHeight="1" x14ac:dyDescent="0.25">
      <c r="A80" s="219">
        <v>1</v>
      </c>
      <c r="B80" s="815" t="s">
        <v>1006</v>
      </c>
      <c r="C80" s="815"/>
      <c r="D80" s="815"/>
      <c r="E80" s="815"/>
      <c r="F80" s="815"/>
      <c r="G80" s="815"/>
      <c r="H80" s="815"/>
      <c r="I80" s="815"/>
      <c r="J80" s="815"/>
      <c r="K80" s="815"/>
      <c r="L80" s="815"/>
      <c r="M80" s="815"/>
      <c r="N80" s="815"/>
      <c r="O80" s="815"/>
      <c r="P80" s="815"/>
      <c r="Q80" s="815"/>
      <c r="R80" s="815"/>
      <c r="S80" s="815"/>
      <c r="T80" s="815"/>
      <c r="U80" s="815"/>
      <c r="V80" s="815"/>
      <c r="W80" s="815"/>
      <c r="X80" s="815"/>
      <c r="Y80" s="815"/>
      <c r="Z80" s="815"/>
      <c r="AA80" s="815"/>
      <c r="AB80" s="815"/>
      <c r="AC80" s="815"/>
      <c r="AD80" s="815"/>
      <c r="AE80" s="815"/>
    </row>
  </sheetData>
  <mergeCells count="23">
    <mergeCell ref="B80:AE80"/>
    <mergeCell ref="AE7:AE9"/>
    <mergeCell ref="B8:B9"/>
    <mergeCell ref="C8:C9"/>
    <mergeCell ref="D8:D9"/>
    <mergeCell ref="E8:E9"/>
    <mergeCell ref="F8:F9"/>
    <mergeCell ref="X7:AD7"/>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2"/>
  <sheetViews>
    <sheetView zoomScale="98" workbookViewId="0">
      <pane ySplit="12" topLeftCell="A256" activePane="bottomLeft" state="frozen"/>
      <selection activeCell="D17" sqref="D17"/>
      <selection pane="bottomLeft" activeCell="B256" sqref="B256"/>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25" t="s">
        <v>1714</v>
      </c>
      <c r="B2" s="825"/>
      <c r="C2" s="825"/>
      <c r="D2" s="825"/>
      <c r="E2" s="825"/>
      <c r="F2" s="825"/>
      <c r="G2" s="825"/>
      <c r="H2" s="825"/>
      <c r="I2" s="825"/>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5</v>
      </c>
      <c r="E8" s="288">
        <f t="shared" ref="E8:E11" si="0">C8-D8</f>
        <v>205</v>
      </c>
    </row>
    <row r="9" spans="1:9" x14ac:dyDescent="0.25">
      <c r="A9" s="286">
        <v>3</v>
      </c>
      <c r="B9" s="287" t="s">
        <v>126</v>
      </c>
      <c r="C9" s="288">
        <f>+COUNTIF($D$16:$D$994,B9)</f>
        <v>81</v>
      </c>
      <c r="D9" s="286">
        <f>+COUNTIFS($D$16:$D$995,B9,$H$16:$H$995,"AWAITED")</f>
        <v>60</v>
      </c>
      <c r="E9" s="288">
        <f t="shared" si="0"/>
        <v>21</v>
      </c>
    </row>
    <row r="10" spans="1:9" x14ac:dyDescent="0.25">
      <c r="A10" s="286">
        <v>4</v>
      </c>
      <c r="B10" s="287" t="s">
        <v>345</v>
      </c>
      <c r="C10" s="288">
        <f>+COUNTIF($D$16:$D$994,B10)</f>
        <v>3</v>
      </c>
      <c r="D10" s="286">
        <f>+COUNTIFS($D$16:$D$995,B10,$H$16:$H$995,"AWAITED")</f>
        <v>0</v>
      </c>
      <c r="E10" s="288">
        <f t="shared" si="0"/>
        <v>3</v>
      </c>
    </row>
    <row r="11" spans="1:9" x14ac:dyDescent="0.25">
      <c r="A11" s="286">
        <v>5</v>
      </c>
      <c r="B11" s="287" t="s">
        <v>267</v>
      </c>
      <c r="C11" s="288">
        <f>+COUNTIF($D$16:$D$994,B11)</f>
        <v>3</v>
      </c>
      <c r="D11" s="286">
        <f>+COUNTIFS($D$16:$D$995,B11,$H$16:$H$995,"AWAITED")</f>
        <v>0</v>
      </c>
      <c r="E11" s="288">
        <f t="shared" si="0"/>
        <v>3</v>
      </c>
    </row>
    <row r="12" spans="1:9" x14ac:dyDescent="0.25">
      <c r="A12" s="824" t="s">
        <v>19</v>
      </c>
      <c r="B12" s="824"/>
      <c r="C12" s="290">
        <f>SUM(C7:C11)</f>
        <v>317</v>
      </c>
      <c r="D12" s="289">
        <f>+SUM(D7:D11)</f>
        <v>65</v>
      </c>
      <c r="E12" s="290">
        <f>+SUM(E7:E11)</f>
        <v>252</v>
      </c>
    </row>
    <row r="15" spans="1:9" x14ac:dyDescent="0.2">
      <c r="A15" s="826" t="s">
        <v>985</v>
      </c>
      <c r="B15" s="826"/>
      <c r="C15" s="826"/>
      <c r="D15" s="826"/>
      <c r="E15" s="826"/>
      <c r="F15" s="826"/>
      <c r="G15" s="826"/>
      <c r="H15" s="826"/>
      <c r="I15" s="826"/>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23" t="s">
        <v>10</v>
      </c>
      <c r="B39" s="823"/>
      <c r="C39" s="823"/>
      <c r="D39" s="823"/>
      <c r="E39" s="823"/>
      <c r="F39" s="823"/>
      <c r="G39" s="823"/>
      <c r="H39" s="823"/>
      <c r="I39" s="823"/>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1717</v>
      </c>
    </row>
    <row r="105" spans="1:9" ht="140.25" x14ac:dyDescent="0.25">
      <c r="A105" s="286">
        <v>65</v>
      </c>
      <c r="B105" s="293" t="s">
        <v>387</v>
      </c>
      <c r="C105" s="286" t="s">
        <v>50</v>
      </c>
      <c r="D105" s="286" t="s">
        <v>10</v>
      </c>
      <c r="E105" s="288"/>
      <c r="F105" s="295">
        <v>45340</v>
      </c>
      <c r="G105" s="295"/>
      <c r="H105" s="299" t="str">
        <f t="shared" si="2"/>
        <v>Awaited</v>
      </c>
      <c r="I105" s="297" t="s">
        <v>1711</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89.25" x14ac:dyDescent="0.25">
      <c r="A155" s="286">
        <v>115</v>
      </c>
      <c r="B155" s="293" t="s">
        <v>619</v>
      </c>
      <c r="C155" s="286" t="s">
        <v>173</v>
      </c>
      <c r="D155" s="286" t="s">
        <v>10</v>
      </c>
      <c r="E155" s="288"/>
      <c r="F155" s="295">
        <v>45597</v>
      </c>
      <c r="G155" s="295"/>
      <c r="H155" s="299" t="str">
        <f t="shared" si="3"/>
        <v>Awaited</v>
      </c>
      <c r="I155" s="300" t="s">
        <v>1726</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1727</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1638</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x14ac:dyDescent="0.25">
      <c r="A217" s="286">
        <v>177</v>
      </c>
      <c r="B217" s="293" t="s">
        <v>658</v>
      </c>
      <c r="C217" s="294" t="s">
        <v>524</v>
      </c>
      <c r="D217" s="286" t="s">
        <v>10</v>
      </c>
      <c r="E217" s="288"/>
      <c r="F217" s="295">
        <v>45643</v>
      </c>
      <c r="G217" s="295">
        <v>45962</v>
      </c>
      <c r="H217" s="299">
        <f t="shared" si="4"/>
        <v>320</v>
      </c>
      <c r="I217" s="300" t="s">
        <v>1727</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1716</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1637</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23" t="s">
        <v>126</v>
      </c>
      <c r="B255" s="823"/>
      <c r="C255" s="823"/>
      <c r="D255" s="823"/>
      <c r="E255" s="823"/>
      <c r="F255" s="823"/>
      <c r="G255" s="823"/>
      <c r="H255" s="823"/>
      <c r="I255" s="823"/>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1554</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c r="H296" s="296" t="str">
        <f t="shared" si="7"/>
        <v>Awaited</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c r="H301" s="296" t="str">
        <f t="shared" si="7"/>
        <v>Awaited</v>
      </c>
      <c r="I301" s="300" t="s">
        <v>1554</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c r="H307" s="296" t="str">
        <f t="shared" si="7"/>
        <v>Awaited</v>
      </c>
      <c r="I307" s="300" t="s">
        <v>1554</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c r="H310" s="296" t="str">
        <f t="shared" si="7"/>
        <v>Awaited</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c r="H314" s="296" t="str">
        <f t="shared" si="7"/>
        <v>Awaited</v>
      </c>
      <c r="I314" s="300" t="s">
        <v>1554</v>
      </c>
    </row>
    <row r="315" spans="1:9" ht="25.5" x14ac:dyDescent="0.25">
      <c r="A315" s="286">
        <v>59</v>
      </c>
      <c r="B315" s="293" t="s">
        <v>1556</v>
      </c>
      <c r="C315" s="294" t="s">
        <v>82</v>
      </c>
      <c r="D315" s="286" t="s">
        <v>126</v>
      </c>
      <c r="E315" s="288"/>
      <c r="F315" s="295">
        <v>45899</v>
      </c>
      <c r="G315" s="295"/>
      <c r="H315" s="296" t="str">
        <f t="shared" si="7"/>
        <v>Awaited</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c r="H317" s="296" t="str">
        <f t="shared" si="7"/>
        <v>Awaited</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1631</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c r="H337" s="296" t="str">
        <f t="shared" si="7"/>
        <v>Awaited</v>
      </c>
      <c r="I337" s="749" t="s">
        <v>1709</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23" t="s">
        <v>267</v>
      </c>
      <c r="B342" s="823"/>
      <c r="C342" s="823"/>
      <c r="D342" s="823"/>
      <c r="E342" s="823"/>
      <c r="F342" s="823"/>
      <c r="G342" s="823"/>
      <c r="H342" s="823"/>
      <c r="I342" s="823"/>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23" t="s">
        <v>345</v>
      </c>
      <c r="B348" s="823"/>
      <c r="C348" s="823"/>
      <c r="D348" s="823"/>
      <c r="E348" s="823"/>
      <c r="F348" s="823"/>
      <c r="G348" s="823"/>
      <c r="H348" s="823"/>
      <c r="I348" s="823"/>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1728</v>
      </c>
      <c r="C352" s="286" t="s">
        <v>1729</v>
      </c>
      <c r="D352" s="288" t="s">
        <v>345</v>
      </c>
      <c r="E352" s="288" t="s">
        <v>1731</v>
      </c>
      <c r="F352" s="308">
        <v>45955</v>
      </c>
      <c r="G352" s="308">
        <v>45961</v>
      </c>
      <c r="H352" s="299">
        <f>+IF(G352="","Awaited",_xlfn.DAYS(G352,F352)+1)</f>
        <v>7</v>
      </c>
      <c r="I352" s="297" t="s">
        <v>1730</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3:C1048576">
    <cfRule type="duplicateValues" dxfId="195" priority="10771"/>
  </conditionalFormatting>
  <conditionalFormatting sqref="C347 C37:C38 C2:C5 C251:C254 C13:C14 C353:C1048576">
    <cfRule type="duplicateValues" dxfId="194" priority="10768"/>
  </conditionalFormatting>
  <conditionalFormatting sqref="C349:C350">
    <cfRule type="duplicateValues" dxfId="193" priority="5"/>
    <cfRule type="duplicateValues" dxfId="192" priority="6"/>
  </conditionalFormatting>
  <conditionalFormatting sqref="C351:C352">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2">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tabColor rgb="FFFFFF00"/>
    <pageSetUpPr fitToPage="1"/>
  </sheetPr>
  <dimension ref="A1:BT502"/>
  <sheetViews>
    <sheetView zoomScale="73" zoomScaleNormal="115" workbookViewId="0">
      <pane ySplit="4" topLeftCell="A35" activePane="bottomLeft" state="frozen"/>
      <selection activeCell="A10" sqref="A10:XFD10"/>
      <selection pane="bottomLeft" activeCell="J58" sqref="J58"/>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32" t="s">
        <v>1397</v>
      </c>
      <c r="K1" s="832"/>
      <c r="L1" s="832"/>
      <c r="M1" s="832"/>
      <c r="N1" s="832"/>
      <c r="O1" s="832"/>
      <c r="P1" s="832"/>
      <c r="Q1" s="832"/>
      <c r="R1" s="832"/>
      <c r="S1" s="832"/>
      <c r="T1" s="832"/>
      <c r="U1" s="832"/>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30" t="s">
        <v>1207</v>
      </c>
      <c r="B2" s="830"/>
      <c r="C2" s="830"/>
      <c r="D2" s="830"/>
      <c r="E2" s="830"/>
      <c r="F2" s="830"/>
      <c r="G2" s="830"/>
      <c r="H2" s="830"/>
      <c r="I2" s="697"/>
      <c r="J2" s="831" t="s">
        <v>10</v>
      </c>
      <c r="K2" s="831"/>
      <c r="L2" s="831"/>
      <c r="M2" s="831"/>
      <c r="N2" s="831"/>
      <c r="O2" s="831"/>
      <c r="P2" s="827" t="s">
        <v>126</v>
      </c>
      <c r="Q2" s="828"/>
      <c r="R2" s="828"/>
      <c r="S2" s="828"/>
      <c r="T2" s="828"/>
      <c r="U2" s="829"/>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478</v>
      </c>
      <c r="M4" s="520">
        <f t="shared" si="0"/>
        <v>2</v>
      </c>
      <c r="N4" s="520">
        <f t="shared" si="0"/>
        <v>0</v>
      </c>
      <c r="O4" s="520">
        <f t="shared" si="0"/>
        <v>5</v>
      </c>
      <c r="P4" s="520">
        <f t="shared" si="0"/>
        <v>485</v>
      </c>
      <c r="Q4" s="520">
        <f t="shared" si="0"/>
        <v>375</v>
      </c>
      <c r="R4" s="520">
        <f t="shared" si="0"/>
        <v>10</v>
      </c>
      <c r="S4" s="520">
        <f t="shared" si="0"/>
        <v>10</v>
      </c>
      <c r="T4" s="520">
        <f t="shared" si="0"/>
        <v>60</v>
      </c>
      <c r="U4" s="520">
        <f t="shared" si="0"/>
        <v>30</v>
      </c>
      <c r="V4" s="274">
        <f>P4-Q4</f>
        <v>110</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14</v>
      </c>
      <c r="R6" s="517">
        <f t="shared" si="7"/>
        <v>3</v>
      </c>
      <c r="S6" s="517">
        <f t="shared" si="8"/>
        <v>3</v>
      </c>
      <c r="T6" s="517">
        <f t="shared" si="9"/>
        <v>0</v>
      </c>
      <c r="U6" s="517">
        <f t="shared" si="10"/>
        <v>2</v>
      </c>
      <c r="V6" s="274">
        <f t="shared" si="11"/>
        <v>8</v>
      </c>
      <c r="AA6"/>
      <c r="AB6"/>
      <c r="AC6"/>
      <c r="AD6"/>
      <c r="AE6"/>
    </row>
    <row r="7" spans="1:72" ht="15" x14ac:dyDescent="0.25">
      <c r="A7" s="422">
        <f>+SUBTOTAL(3,$B$4:B7)</f>
        <v>4</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x14ac:dyDescent="0.25">
      <c r="A10" s="422">
        <f>+SUBTOTAL(3,$B$4:B10)</f>
        <v>7</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0</v>
      </c>
      <c r="N11" s="517">
        <f t="shared" si="4"/>
        <v>0</v>
      </c>
      <c r="O11" s="517">
        <f t="shared" si="5"/>
        <v>1</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27</v>
      </c>
      <c r="M12" s="517">
        <f t="shared" si="3"/>
        <v>1</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34</v>
      </c>
      <c r="M13" s="517">
        <f t="shared" si="3"/>
        <v>1</v>
      </c>
      <c r="N13" s="517">
        <f t="shared" si="4"/>
        <v>0</v>
      </c>
      <c r="O13" s="517">
        <f t="shared" si="5"/>
        <v>0</v>
      </c>
      <c r="P13" s="518">
        <f t="shared" si="12"/>
        <v>35</v>
      </c>
      <c r="Q13" s="517">
        <f t="shared" si="6"/>
        <v>14</v>
      </c>
      <c r="R13" s="517">
        <f t="shared" si="7"/>
        <v>0</v>
      </c>
      <c r="S13" s="517">
        <f t="shared" si="8"/>
        <v>0</v>
      </c>
      <c r="T13" s="517">
        <f t="shared" si="9"/>
        <v>19</v>
      </c>
      <c r="U13" s="517">
        <f t="shared" si="10"/>
        <v>2</v>
      </c>
      <c r="V13" s="274">
        <f t="shared" si="11"/>
        <v>21</v>
      </c>
      <c r="AA13"/>
      <c r="AB13"/>
      <c r="AC13"/>
      <c r="AD13"/>
      <c r="AE13"/>
    </row>
    <row r="14" spans="1:72" ht="15" x14ac:dyDescent="0.25">
      <c r="A14" s="422">
        <f>+SUBTOTAL(3,$B$4:B14)</f>
        <v>11</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13</v>
      </c>
      <c r="R14" s="517">
        <f t="shared" si="7"/>
        <v>0</v>
      </c>
      <c r="S14" s="517">
        <f t="shared" si="8"/>
        <v>0</v>
      </c>
      <c r="T14" s="517">
        <f t="shared" si="9"/>
        <v>10</v>
      </c>
      <c r="U14" s="517">
        <f t="shared" si="10"/>
        <v>0</v>
      </c>
      <c r="V14" s="274">
        <f t="shared" si="11"/>
        <v>10</v>
      </c>
      <c r="AA14"/>
      <c r="AB14"/>
      <c r="AC14"/>
      <c r="AD14"/>
      <c r="AE14"/>
    </row>
    <row r="15" spans="1:72" ht="15" x14ac:dyDescent="0.25">
      <c r="A15" s="422">
        <f>+SUBTOTAL(3,$B$4:B15)</f>
        <v>12</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13</v>
      </c>
      <c r="R15" s="517">
        <f t="shared" si="7"/>
        <v>4</v>
      </c>
      <c r="S15" s="517">
        <f t="shared" si="8"/>
        <v>0</v>
      </c>
      <c r="T15" s="517">
        <f t="shared" si="9"/>
        <v>2</v>
      </c>
      <c r="U15" s="517">
        <f t="shared" si="10"/>
        <v>4</v>
      </c>
      <c r="V15" s="274">
        <f t="shared" si="11"/>
        <v>10</v>
      </c>
      <c r="AA15"/>
      <c r="AB15"/>
      <c r="AC15"/>
      <c r="AD15"/>
      <c r="AE15"/>
    </row>
    <row r="16" spans="1:72" ht="15" x14ac:dyDescent="0.25">
      <c r="A16" s="422">
        <f>+SUBTOTAL(3,$B$4:B16)</f>
        <v>13</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9</v>
      </c>
      <c r="R16" s="517">
        <f t="shared" si="7"/>
        <v>1</v>
      </c>
      <c r="S16" s="517">
        <f t="shared" si="8"/>
        <v>0</v>
      </c>
      <c r="T16" s="517">
        <f t="shared" si="9"/>
        <v>1</v>
      </c>
      <c r="U16" s="517">
        <f t="shared" si="10"/>
        <v>2</v>
      </c>
      <c r="V16" s="274">
        <f t="shared" si="11"/>
        <v>4</v>
      </c>
      <c r="AA16"/>
      <c r="AB16"/>
      <c r="AC16"/>
      <c r="AD16"/>
      <c r="AE16"/>
    </row>
    <row r="17" spans="1:31" ht="15" x14ac:dyDescent="0.25">
      <c r="A17" s="422">
        <f>+SUBTOTAL(3,$B$4:B17)</f>
        <v>14</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x14ac:dyDescent="0.25">
      <c r="A19" s="422">
        <f>+SUBTOTAL(3,$B$4:B19)</f>
        <v>16</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3</v>
      </c>
      <c r="R19" s="517">
        <f t="shared" si="7"/>
        <v>2</v>
      </c>
      <c r="S19" s="517">
        <f t="shared" si="8"/>
        <v>0</v>
      </c>
      <c r="T19" s="517">
        <f t="shared" si="9"/>
        <v>0</v>
      </c>
      <c r="U19" s="517">
        <f t="shared" si="10"/>
        <v>4</v>
      </c>
      <c r="V19" s="274">
        <f t="shared" si="11"/>
        <v>6</v>
      </c>
      <c r="AA19"/>
      <c r="AB19"/>
      <c r="AC19"/>
      <c r="AD19"/>
      <c r="AE19"/>
    </row>
    <row r="20" spans="1:31" ht="15" x14ac:dyDescent="0.25">
      <c r="A20" s="422">
        <f>+SUBTOTAL(3,$B$4:B20)</f>
        <v>17</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x14ac:dyDescent="0.25">
      <c r="A21" s="422">
        <f>+SUBTOTAL(3,$B$4:B21)</f>
        <v>18</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1317</v>
      </c>
      <c r="E24" s="474">
        <f>'Visual chart Edit'!I27</f>
        <v>336</v>
      </c>
      <c r="F24" s="422" t="str">
        <f>'Visual chart Edit'!K27</f>
        <v>DRY</v>
      </c>
      <c r="G24" s="422" t="s">
        <v>124</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1317</v>
      </c>
      <c r="E25" s="474">
        <f>'Visual chart Edit'!I28</f>
        <v>226.5</v>
      </c>
      <c r="F25" s="422" t="str">
        <f>'Visual chart Edit'!K28</f>
        <v>DRY</v>
      </c>
      <c r="G25" s="422" t="s">
        <v>124</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1317</v>
      </c>
      <c r="E35" s="474">
        <f>'Visual chart Edit'!I38</f>
        <v>210.8</v>
      </c>
      <c r="F35" s="422" t="str">
        <f>'Visual chart Edit'!K38</f>
        <v>DRY</v>
      </c>
      <c r="G35" s="422" t="s">
        <v>1302</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1317</v>
      </c>
      <c r="E38" s="474">
        <f>'Visual chart Edit'!I41</f>
        <v>393.2</v>
      </c>
      <c r="F38" s="422" t="str">
        <f>'Visual chart Edit'!K41</f>
        <v>DRY</v>
      </c>
      <c r="G38" s="422" t="str">
        <f>'Visual chart Edit'!L41</f>
        <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x14ac:dyDescent="0.25">
      <c r="A57" s="422">
        <f>+SUBTOTAL(3,$B$4:B57)</f>
        <v>54</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x14ac:dyDescent="0.25">
      <c r="A66" s="422">
        <f>+SUBTOTAL(3,$B$4:B66)</f>
        <v>63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1321</v>
      </c>
      <c r="E71" s="474">
        <f>'Visual chart Edit'!I74</f>
        <v>410.3</v>
      </c>
      <c r="F71" s="422" t="str">
        <f>'Visual chart Edit'!K74</f>
        <v>Sandy</v>
      </c>
      <c r="G71" s="422" t="s">
        <v>1302</v>
      </c>
      <c r="H71" s="422"/>
    </row>
    <row r="72" spans="1:8" x14ac:dyDescent="0.25">
      <c r="A72" s="422">
        <f>+SUBTOTAL(3,$B$4:B72)</f>
        <v>69</v>
      </c>
      <c r="B72" s="422" t="str">
        <f>'Visual chart Edit'!B75</f>
        <v>10/23</v>
      </c>
      <c r="C72" s="422" t="str">
        <f>'Visual chart Edit'!C75</f>
        <v>DA+0</v>
      </c>
      <c r="D72" s="422" t="s">
        <v>1321</v>
      </c>
      <c r="E72" s="474">
        <f>'Visual chart Edit'!I75</f>
        <v>384</v>
      </c>
      <c r="F72" s="422" t="str">
        <f>'Visual chart Edit'!K75</f>
        <v>Sandy</v>
      </c>
      <c r="G72" s="422" t="s">
        <v>1302</v>
      </c>
      <c r="H72" s="422"/>
    </row>
    <row r="73" spans="1:8" x14ac:dyDescent="0.25">
      <c r="A73" s="422">
        <f>+SUBTOTAL(3,$B$4:B73)</f>
        <v>70</v>
      </c>
      <c r="B73" s="422" t="str">
        <f>'Visual chart Edit'!B76</f>
        <v>11/0</v>
      </c>
      <c r="C73" s="422" t="str">
        <f>'Visual chart Edit'!C76</f>
        <v>DB1+0</v>
      </c>
      <c r="D73" s="422" t="s">
        <v>1321</v>
      </c>
      <c r="E73" s="474">
        <f>'Visual chart Edit'!I76</f>
        <v>450.8</v>
      </c>
      <c r="F73" s="422" t="str">
        <f>'Visual chart Edit'!K76</f>
        <v>Sandy</v>
      </c>
      <c r="G73" s="422" t="s">
        <v>1302</v>
      </c>
      <c r="H73" s="422"/>
    </row>
    <row r="74" spans="1:8" x14ac:dyDescent="0.25">
      <c r="A74" s="422">
        <f>+SUBTOTAL(3,$B$4:B74)</f>
        <v>71</v>
      </c>
      <c r="B74" s="422" t="str">
        <f>'Visual chart Edit'!B77</f>
        <v>11/1</v>
      </c>
      <c r="C74" s="422" t="str">
        <f>'Visual chart Edit'!C77</f>
        <v>DA+0</v>
      </c>
      <c r="D74" s="422" t="s">
        <v>1321</v>
      </c>
      <c r="E74" s="474">
        <f>'Visual chart Edit'!I77</f>
        <v>384.2</v>
      </c>
      <c r="F74" s="422" t="str">
        <f>'Visual chart Edit'!K77</f>
        <v>Sandy</v>
      </c>
      <c r="G74" s="422" t="s">
        <v>1302</v>
      </c>
      <c r="H74" s="422"/>
    </row>
    <row r="75" spans="1:8" x14ac:dyDescent="0.25">
      <c r="A75" s="422">
        <f>+SUBTOTAL(3,$B$4:B75)</f>
        <v>72</v>
      </c>
      <c r="B75" s="422" t="str">
        <f>'Visual chart Edit'!B78</f>
        <v>11/2</v>
      </c>
      <c r="C75" s="422" t="str">
        <f>'Visual chart Edit'!C78</f>
        <v>DA+0</v>
      </c>
      <c r="D75" s="422" t="s">
        <v>1321</v>
      </c>
      <c r="E75" s="474">
        <f>'Visual chart Edit'!I78</f>
        <v>338.6</v>
      </c>
      <c r="F75" s="422" t="str">
        <f>'Visual chart Edit'!K78</f>
        <v>Sandy</v>
      </c>
      <c r="G75" s="422" t="s">
        <v>1302</v>
      </c>
      <c r="H75" s="422"/>
    </row>
    <row r="76" spans="1:8" x14ac:dyDescent="0.25">
      <c r="A76" s="422">
        <f>+SUBTOTAL(3,$B$4:B76)</f>
        <v>73</v>
      </c>
      <c r="B76" s="422" t="str">
        <f>'Visual chart Edit'!B79</f>
        <v>11/3</v>
      </c>
      <c r="C76" s="422" t="str">
        <f>'Visual chart Edit'!C79</f>
        <v>DA+0</v>
      </c>
      <c r="D76" s="422" t="s">
        <v>1321</v>
      </c>
      <c r="E76" s="474">
        <f>'Visual chart Edit'!I79</f>
        <v>370.7</v>
      </c>
      <c r="F76" s="422" t="str">
        <f>'Visual chart Edit'!K79</f>
        <v>Sandy</v>
      </c>
      <c r="G76" s="422" t="s">
        <v>1302</v>
      </c>
      <c r="H76" s="422"/>
    </row>
    <row r="77" spans="1:8" x14ac:dyDescent="0.25">
      <c r="A77" s="422">
        <f>+SUBTOTAL(3,$B$4:B77)</f>
        <v>74</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1322</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1322</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1322</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1322</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1322</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1322</v>
      </c>
      <c r="E94" s="474">
        <f>'Visual chart Edit'!I97</f>
        <v>420.3</v>
      </c>
      <c r="F94" s="422" t="s">
        <v>129</v>
      </c>
      <c r="G94" s="422"/>
      <c r="H94" s="422"/>
    </row>
    <row r="95" spans="1:8" x14ac:dyDescent="0.25">
      <c r="A95" s="422">
        <f>+SUBTOTAL(3,$B$4:B95)</f>
        <v>92</v>
      </c>
      <c r="B95" s="422" t="str">
        <f>'Visual chart Edit'!B98</f>
        <v>14/0</v>
      </c>
      <c r="C95" s="422" t="str">
        <f>'Visual chart Edit'!C98</f>
        <v>DC2+0</v>
      </c>
      <c r="D95" s="422" t="s">
        <v>1322</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1322</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1322</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1323</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1323</v>
      </c>
      <c r="E129" s="474">
        <f>'Visual chart Edit'!I132</f>
        <v>414.9</v>
      </c>
      <c r="F129" s="422" t="s">
        <v>124</v>
      </c>
      <c r="G129" s="422"/>
      <c r="H129" s="422"/>
    </row>
    <row r="130" spans="1:9" x14ac:dyDescent="0.25">
      <c r="A130" s="422">
        <f>+SUBTOTAL(3,$B$4:B130)</f>
        <v>127</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1323</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1323</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1632</v>
      </c>
    </row>
    <row r="139" spans="1:9" x14ac:dyDescent="0.25">
      <c r="A139" s="422">
        <f>+SUBTOTAL(3,$B$4:B139)</f>
        <v>136</v>
      </c>
      <c r="B139" s="422" t="str">
        <f>'Visual chart Edit'!B142</f>
        <v>22/0</v>
      </c>
      <c r="C139" s="422" t="str">
        <f>'Visual chart Edit'!C142</f>
        <v>DB2+3</v>
      </c>
      <c r="D139" s="422" t="s">
        <v>1323</v>
      </c>
      <c r="E139" s="474">
        <f>'Visual chart Edit'!I142</f>
        <v>443.5</v>
      </c>
      <c r="F139" s="422" t="s">
        <v>129</v>
      </c>
      <c r="G139" s="422"/>
      <c r="H139" s="422"/>
    </row>
    <row r="140" spans="1:9" x14ac:dyDescent="0.25">
      <c r="A140" s="422">
        <f>+SUBTOTAL(3,$B$4:B140)</f>
        <v>137</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1324</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x14ac:dyDescent="0.25">
      <c r="A156" s="422">
        <f>+SUBTOTAL(3,$B$4:B156)</f>
        <v>153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x14ac:dyDescent="0.25">
      <c r="A165" s="422">
        <f>+SUBTOTAL(3,$B$4:B165)</f>
        <v>162</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x14ac:dyDescent="0.25">
      <c r="A166" s="422">
        <f>+SUBTOTAL(3,$B$4:B166)</f>
        <v>163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1324</v>
      </c>
      <c r="E168" s="474">
        <f>'Visual chart Edit'!I171</f>
        <v>416.7</v>
      </c>
      <c r="F168" s="422" t="s">
        <v>124</v>
      </c>
      <c r="G168" s="422"/>
      <c r="H168" s="422"/>
    </row>
    <row r="169" spans="1:9" x14ac:dyDescent="0.25">
      <c r="A169" s="422">
        <f>+SUBTOTAL(3,$B$4:B169)</f>
        <v>166</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1324</v>
      </c>
      <c r="E174" s="474">
        <f>'Visual chart Edit'!I177</f>
        <v>410</v>
      </c>
      <c r="F174" s="422" t="str">
        <f>'Visual chart Edit'!K177</f>
        <v>DRY</v>
      </c>
      <c r="G174" s="422" t="s">
        <v>129</v>
      </c>
      <c r="H174" s="422"/>
    </row>
    <row r="175" spans="1:9" x14ac:dyDescent="0.25">
      <c r="A175" s="422">
        <f>+SUBTOTAL(3,$B$4:B175)</f>
        <v>172</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x14ac:dyDescent="0.25">
      <c r="A177" s="422">
        <f>+SUBTOTAL(3,$B$4:B177)</f>
        <v>174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x14ac:dyDescent="0.25">
      <c r="A178" s="422">
        <f>+SUBTOTAL(3,$B$4:B178)</f>
        <v>175</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x14ac:dyDescent="0.25">
      <c r="A182" s="422">
        <f>+SUBTOTAL(3,$B$4:B182)</f>
        <v>179</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1324</v>
      </c>
      <c r="E183" s="474">
        <f>'Visual chart Edit'!I186</f>
        <v>379.6</v>
      </c>
      <c r="F183" s="422" t="str">
        <f>'Visual chart Edit'!K186</f>
        <v>DRY</v>
      </c>
      <c r="G183" s="422" t="s">
        <v>129</v>
      </c>
      <c r="H183" s="422"/>
    </row>
    <row r="184" spans="1:10" x14ac:dyDescent="0.25">
      <c r="A184" s="422">
        <f>+SUBTOTAL(3,$B$4:B184)</f>
        <v>181</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x14ac:dyDescent="0.25">
      <c r="A187" s="422">
        <f>+SUBTOTAL(3,$B$4:B187)</f>
        <v>184</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1325</v>
      </c>
      <c r="E193" s="474">
        <f>'Visual chart Edit'!I196</f>
        <v>424</v>
      </c>
      <c r="F193" s="422" t="str">
        <f>'Visual chart Edit'!K196</f>
        <v>DRY</v>
      </c>
      <c r="G193" s="422" t="s">
        <v>129</v>
      </c>
      <c r="H193" s="422"/>
    </row>
    <row r="194" spans="1:8" x14ac:dyDescent="0.25">
      <c r="A194" s="422">
        <f>+SUBTOTAL(3,$B$4:B194)</f>
        <v>191</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1325</v>
      </c>
      <c r="E196" s="474">
        <f>'Visual chart Edit'!I199</f>
        <v>382.1</v>
      </c>
      <c r="F196" s="422" t="str">
        <f>'Visual chart Edit'!K199</f>
        <v>DRY</v>
      </c>
      <c r="G196" s="422" t="s">
        <v>129</v>
      </c>
      <c r="H196" s="422"/>
    </row>
    <row r="197" spans="1:8" x14ac:dyDescent="0.25">
      <c r="A197" s="422">
        <f>+SUBTOTAL(3,$B$4:B197)</f>
        <v>194</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1325</v>
      </c>
      <c r="E206" s="474">
        <f>'Visual chart Edit'!I209</f>
        <v>332.9</v>
      </c>
      <c r="F206" s="422" t="str">
        <f>'Visual chart Edit'!K209</f>
        <v>DRY</v>
      </c>
      <c r="G206" s="422" t="s">
        <v>129</v>
      </c>
      <c r="H206" s="422"/>
    </row>
    <row r="207" spans="1:8" x14ac:dyDescent="0.25">
      <c r="A207" s="422">
        <f>+SUBTOTAL(3,$B$4:B207)</f>
        <v>204</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1326</v>
      </c>
      <c r="E208" s="474">
        <f>'Visual chart Edit'!I211</f>
        <v>428.8</v>
      </c>
      <c r="F208" s="422" t="str">
        <f>'Visual chart Edit'!K211</f>
        <v>DRY</v>
      </c>
      <c r="G208" s="422" t="s">
        <v>129</v>
      </c>
      <c r="H208" s="422"/>
    </row>
    <row r="209" spans="1:8" x14ac:dyDescent="0.25">
      <c r="A209" s="422">
        <f>+SUBTOTAL(3,$B$4:B209)</f>
        <v>206</v>
      </c>
      <c r="B209" s="422" t="str">
        <f>'Visual chart Edit'!B212</f>
        <v>32/3</v>
      </c>
      <c r="C209" s="422" t="str">
        <f>'Visual chart Edit'!C212</f>
        <v>DA+0</v>
      </c>
      <c r="D209" s="422" t="s">
        <v>1326</v>
      </c>
      <c r="E209" s="474">
        <f>'Visual chart Edit'!I212</f>
        <v>410.9</v>
      </c>
      <c r="F209" s="422" t="str">
        <f>'Visual chart Edit'!K212</f>
        <v>Sandy</v>
      </c>
      <c r="G209" s="422" t="s">
        <v>124</v>
      </c>
      <c r="H209" s="422"/>
    </row>
    <row r="210" spans="1:8" x14ac:dyDescent="0.25">
      <c r="A210" s="422">
        <f>+SUBTOTAL(3,$B$4:B210)</f>
        <v>207</v>
      </c>
      <c r="B210" s="422" t="str">
        <f>'Visual chart Edit'!B213</f>
        <v>32/4</v>
      </c>
      <c r="C210" s="422" t="str">
        <f>'Visual chart Edit'!C213</f>
        <v>DA+0</v>
      </c>
      <c r="D210" s="422" t="s">
        <v>1326</v>
      </c>
      <c r="E210" s="474">
        <f>'Visual chart Edit'!I213</f>
        <v>381.1</v>
      </c>
      <c r="F210" s="422" t="str">
        <f>'Visual chart Edit'!K213</f>
        <v>Sandy</v>
      </c>
      <c r="G210" s="422" t="s">
        <v>129</v>
      </c>
      <c r="H210" s="422"/>
    </row>
    <row r="211" spans="1:8" x14ac:dyDescent="0.25">
      <c r="A211" s="422">
        <f>+SUBTOTAL(3,$B$4:B211)</f>
        <v>208</v>
      </c>
      <c r="B211" s="422" t="str">
        <f>'Visual chart Edit'!B214</f>
        <v>33/0</v>
      </c>
      <c r="C211" s="422" t="str">
        <f>'Visual chart Edit'!C214</f>
        <v>DC1+0</v>
      </c>
      <c r="D211" s="422" t="s">
        <v>1326</v>
      </c>
      <c r="E211" s="474">
        <f>'Visual chart Edit'!I214</f>
        <v>451.5</v>
      </c>
      <c r="F211" s="422" t="str">
        <f>'Visual chart Edit'!K214</f>
        <v>DRY</v>
      </c>
      <c r="G211" s="422" t="s">
        <v>124</v>
      </c>
      <c r="H211" s="422"/>
    </row>
    <row r="212" spans="1:8" x14ac:dyDescent="0.25">
      <c r="A212" s="422">
        <f>+SUBTOTAL(3,$B$4:B212)</f>
        <v>209</v>
      </c>
      <c r="B212" s="422" t="str">
        <f>'Visual chart Edit'!B215</f>
        <v>33/1</v>
      </c>
      <c r="C212" s="422" t="str">
        <f>'Visual chart Edit'!C215</f>
        <v>DA+0</v>
      </c>
      <c r="D212" s="422" t="s">
        <v>1326</v>
      </c>
      <c r="E212" s="474">
        <f>'Visual chart Edit'!I215</f>
        <v>379.6</v>
      </c>
      <c r="F212" s="422" t="str">
        <f>'Visual chart Edit'!K215</f>
        <v>DRY</v>
      </c>
      <c r="G212" s="422"/>
      <c r="H212" s="422"/>
    </row>
    <row r="213" spans="1:8" x14ac:dyDescent="0.25">
      <c r="A213" s="422">
        <f>+SUBTOTAL(3,$B$4:B213)</f>
        <v>210</v>
      </c>
      <c r="B213" s="422" t="str">
        <f>'Visual chart Edit'!B216</f>
        <v>34/0</v>
      </c>
      <c r="C213" s="422" t="str">
        <f>'Visual chart Edit'!C216</f>
        <v>DB2+0</v>
      </c>
      <c r="D213" s="422" t="s">
        <v>1326</v>
      </c>
      <c r="E213" s="474">
        <f>'Visual chart Edit'!I216</f>
        <v>292.5</v>
      </c>
      <c r="F213" s="422" t="str">
        <f>'Visual chart Edit'!K216</f>
        <v>DRY</v>
      </c>
      <c r="G213" s="422"/>
      <c r="H213" s="422"/>
    </row>
    <row r="214" spans="1:8" x14ac:dyDescent="0.25">
      <c r="A214" s="422">
        <f>+SUBTOTAL(3,$B$4:B214)</f>
        <v>211</v>
      </c>
      <c r="B214" s="422" t="str">
        <f>'Visual chart Edit'!B217</f>
        <v>34/1</v>
      </c>
      <c r="C214" s="422" t="str">
        <f>'Visual chart Edit'!C217</f>
        <v>DA+9</v>
      </c>
      <c r="D214" s="422" t="s">
        <v>1326</v>
      </c>
      <c r="E214" s="474">
        <f>'Visual chart Edit'!I217</f>
        <v>432.6</v>
      </c>
      <c r="F214" s="422" t="str">
        <f>'Visual chart Edit'!K217</f>
        <v>Sandy</v>
      </c>
      <c r="G214" s="422" t="s">
        <v>124</v>
      </c>
      <c r="H214" s="422"/>
    </row>
    <row r="215" spans="1:8" x14ac:dyDescent="0.25">
      <c r="A215" s="422">
        <f>+SUBTOTAL(3,$B$4:B215)</f>
        <v>212</v>
      </c>
      <c r="B215" s="422" t="str">
        <f>'Visual chart Edit'!B218</f>
        <v>34/2</v>
      </c>
      <c r="C215" s="422" t="str">
        <f>'Visual chart Edit'!C218</f>
        <v>DA+6</v>
      </c>
      <c r="D215" s="422" t="s">
        <v>1326</v>
      </c>
      <c r="E215" s="474">
        <f>'Visual chart Edit'!I218</f>
        <v>407.5</v>
      </c>
      <c r="F215" s="422" t="str">
        <f>'Visual chart Edit'!K218</f>
        <v>Sandy</v>
      </c>
      <c r="G215" s="422" t="str">
        <f>'Visual chart Edit'!L218</f>
        <v/>
      </c>
      <c r="H215" s="422"/>
    </row>
    <row r="216" spans="1:8" x14ac:dyDescent="0.25">
      <c r="A216" s="422">
        <f>+SUBTOTAL(3,$B$4:B216)</f>
        <v>213</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1326</v>
      </c>
      <c r="E217" s="474">
        <f>'Visual chart Edit'!I220</f>
        <v>451.6</v>
      </c>
      <c r="F217" s="422" t="str">
        <f>'Visual chart Edit'!K220</f>
        <v>Sandy</v>
      </c>
      <c r="G217" s="422" t="s">
        <v>124</v>
      </c>
      <c r="H217" s="422"/>
    </row>
    <row r="218" spans="1:8" x14ac:dyDescent="0.25">
      <c r="A218" s="422">
        <f>+SUBTOTAL(3,$B$4:B218)</f>
        <v>215</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x14ac:dyDescent="0.25">
      <c r="A236" s="422">
        <f>+SUBTOTAL(3,$B$4:B236)</f>
        <v>233</v>
      </c>
      <c r="B236" s="422" t="str">
        <f>'Visual chart Edit'!B239</f>
        <v>38/3</v>
      </c>
      <c r="C236" s="422" t="str">
        <f>'Visual chart Edit'!C239</f>
        <v>DA+9</v>
      </c>
      <c r="D236" s="422" t="s">
        <v>1327</v>
      </c>
      <c r="E236" s="474">
        <f>'Visual chart Edit'!I239</f>
        <v>420.3</v>
      </c>
      <c r="F236" s="422" t="str">
        <f>'Visual chart Edit'!K239</f>
        <v>Sandy</v>
      </c>
      <c r="G236" s="422" t="s">
        <v>129</v>
      </c>
      <c r="H236" s="422"/>
      <c r="I236" s="491" t="s">
        <v>1708</v>
      </c>
    </row>
    <row r="237" spans="1:9" x14ac:dyDescent="0.25">
      <c r="A237" s="422">
        <f>+SUBTOTAL(3,$B$4:B237)</f>
        <v>234</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1327</v>
      </c>
      <c r="E241" s="474">
        <f>'Visual chart Edit'!I244</f>
        <v>396.2</v>
      </c>
      <c r="F241" s="422" t="str">
        <f>'Visual chart Edit'!K244</f>
        <v>Sandy</v>
      </c>
      <c r="G241" s="422" t="s">
        <v>124</v>
      </c>
      <c r="H241" s="422"/>
    </row>
    <row r="242" spans="1:8" x14ac:dyDescent="0.25">
      <c r="A242" s="422">
        <f>+SUBTOTAL(3,$B$4:B242)</f>
        <v>239</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x14ac:dyDescent="0.25">
      <c r="A245" s="422">
        <f>+SUBTOTAL(3,$B$4:B245)</f>
        <v>242</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1330</v>
      </c>
      <c r="E247" s="474">
        <f>'Visual chart Edit'!I250</f>
        <v>382.3</v>
      </c>
      <c r="F247" s="422" t="str">
        <f>'Visual chart Edit'!K250</f>
        <v>Sandy</v>
      </c>
      <c r="G247" s="422" t="s">
        <v>124</v>
      </c>
      <c r="H247" s="422"/>
    </row>
    <row r="248" spans="1:8" x14ac:dyDescent="0.25">
      <c r="A248" s="422">
        <f>+SUBTOTAL(3,$B$4:B248)</f>
        <v>245</v>
      </c>
      <c r="B248" s="422" t="str">
        <f>'Visual chart Edit'!B251</f>
        <v>42/1</v>
      </c>
      <c r="C248" s="422" t="str">
        <f>'Visual chart Edit'!C251</f>
        <v>DA+6</v>
      </c>
      <c r="D248" s="422" t="s">
        <v>1330</v>
      </c>
      <c r="E248" s="474">
        <f>'Visual chart Edit'!I251</f>
        <v>384.7</v>
      </c>
      <c r="F248" s="422" t="str">
        <f>'Visual chart Edit'!K251</f>
        <v>Sandy</v>
      </c>
      <c r="G248" s="422" t="str">
        <f>'Visual chart Edit'!L251</f>
        <v/>
      </c>
      <c r="H248" s="422"/>
    </row>
    <row r="249" spans="1:8" x14ac:dyDescent="0.25">
      <c r="A249" s="422">
        <f>+SUBTOTAL(3,$B$4:B249)</f>
        <v>246</v>
      </c>
      <c r="B249" s="422" t="str">
        <f>'Visual chart Edit'!B252</f>
        <v>42/2</v>
      </c>
      <c r="C249" s="422" t="str">
        <f>'Visual chart Edit'!C252</f>
        <v>DA+6</v>
      </c>
      <c r="D249" s="422" t="s">
        <v>1330</v>
      </c>
      <c r="E249" s="474">
        <f>'Visual chart Edit'!I252</f>
        <v>407.4</v>
      </c>
      <c r="F249" s="422" t="str">
        <f>'Visual chart Edit'!K252</f>
        <v>Sandy</v>
      </c>
      <c r="G249" s="422" t="s">
        <v>124</v>
      </c>
      <c r="H249" s="422"/>
    </row>
    <row r="250" spans="1:8" x14ac:dyDescent="0.25">
      <c r="A250" s="422">
        <f>+SUBTOTAL(3,$B$4:B250)</f>
        <v>247</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x14ac:dyDescent="0.25">
      <c r="A251" s="422">
        <f>+SUBTOTAL(3,$B$4:B251)</f>
        <v>248</v>
      </c>
      <c r="B251" s="422" t="str">
        <f>'Visual chart Edit'!B254</f>
        <v>42/4</v>
      </c>
      <c r="C251" s="422" t="str">
        <f>'Visual chart Edit'!C254</f>
        <v>DA+0</v>
      </c>
      <c r="D251" s="422" t="s">
        <v>1330</v>
      </c>
      <c r="E251" s="474">
        <f>'Visual chart Edit'!I254</f>
        <v>256.39999999999998</v>
      </c>
      <c r="F251" s="422" t="str">
        <f>'Visual chart Edit'!K254</f>
        <v>Sandy</v>
      </c>
      <c r="G251" s="422" t="str">
        <f>'Visual chart Edit'!L254</f>
        <v/>
      </c>
      <c r="H251" s="422"/>
    </row>
    <row r="252" spans="1:8" x14ac:dyDescent="0.25">
      <c r="A252" s="422">
        <f>+SUBTOTAL(3,$B$4:B252)</f>
        <v>249</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x14ac:dyDescent="0.25">
      <c r="A257" s="422">
        <f>+SUBTOTAL(3,$B$4:B257)</f>
        <v>254</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1723</v>
      </c>
    </row>
    <row r="496" spans="1:8" x14ac:dyDescent="0.25">
      <c r="B496" s="683"/>
    </row>
    <row r="502" spans="2:2" x14ac:dyDescent="0.25">
      <c r="B502" s="683"/>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F2:I1048576 J54:N118 K119:N119 J120:N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tabColor theme="2"/>
  </sheetPr>
  <dimension ref="A1:O99"/>
  <sheetViews>
    <sheetView workbookViewId="0">
      <pane xSplit="6" ySplit="5" topLeftCell="G74" activePane="bottomRight" state="frozen"/>
      <selection activeCell="A10" sqref="A10:XFD10"/>
      <selection pane="topRight" activeCell="A10" sqref="A10:XFD10"/>
      <selection pane="bottomLeft" activeCell="A10" sqref="A10:XFD10"/>
      <selection pane="bottomRight" activeCell="G4" sqref="G4:L4"/>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33" t="s">
        <v>13</v>
      </c>
      <c r="B4" s="839" t="s">
        <v>1175</v>
      </c>
      <c r="C4" s="841" t="s">
        <v>13</v>
      </c>
      <c r="D4" s="841"/>
      <c r="E4" s="842" t="s">
        <v>1176</v>
      </c>
      <c r="F4" s="842" t="s">
        <v>1177</v>
      </c>
      <c r="G4" s="844" t="s">
        <v>985</v>
      </c>
      <c r="H4" s="845"/>
      <c r="I4" s="845"/>
      <c r="J4" s="845"/>
      <c r="K4" s="845"/>
      <c r="L4" s="846"/>
      <c r="M4" s="834" t="s">
        <v>19</v>
      </c>
      <c r="N4" s="836" t="s">
        <v>1178</v>
      </c>
      <c r="O4" s="836" t="s">
        <v>1179</v>
      </c>
    </row>
    <row r="5" spans="1:15" ht="38.25" x14ac:dyDescent="0.25">
      <c r="A5" s="833"/>
      <c r="B5" s="840"/>
      <c r="C5" s="737" t="s">
        <v>1180</v>
      </c>
      <c r="D5" s="737" t="s">
        <v>119</v>
      </c>
      <c r="E5" s="843"/>
      <c r="F5" s="843"/>
      <c r="G5" s="738" t="s">
        <v>1181</v>
      </c>
      <c r="H5" s="738" t="s">
        <v>1182</v>
      </c>
      <c r="I5" s="738" t="s">
        <v>1183</v>
      </c>
      <c r="J5" s="738" t="s">
        <v>1184</v>
      </c>
      <c r="K5" s="738" t="s">
        <v>9</v>
      </c>
      <c r="L5" s="738" t="s">
        <v>9</v>
      </c>
      <c r="M5" s="835"/>
      <c r="N5" s="837"/>
      <c r="O5" s="837"/>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38" t="s">
        <v>1199</v>
      </c>
      <c r="C95" s="838"/>
      <c r="D95" s="838"/>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8"/>
  <sheetViews>
    <sheetView zoomScaleNormal="90" workbookViewId="0">
      <pane ySplit="6" topLeftCell="A486" activePane="bottomLeft" state="frozen"/>
      <selection activeCell="D479" sqref="D479"/>
      <selection pane="bottomLeft" activeCell="J497" sqref="J497"/>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8.5703125" style="349" bestFit="1" customWidth="1"/>
    <col min="9" max="9" width="22.85546875" style="349" customWidth="1"/>
    <col min="10" max="10" width="81.85546875" style="349" bestFit="1"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55" t="s">
        <v>304</v>
      </c>
      <c r="B5" s="857" t="s">
        <v>1010</v>
      </c>
      <c r="C5" s="855" t="s">
        <v>115</v>
      </c>
      <c r="D5" s="855" t="s">
        <v>4</v>
      </c>
      <c r="E5" s="855" t="s">
        <v>136</v>
      </c>
      <c r="F5" s="851" t="s">
        <v>1414</v>
      </c>
      <c r="G5" s="853" t="s">
        <v>116</v>
      </c>
      <c r="H5" s="849" t="s">
        <v>138</v>
      </c>
      <c r="I5" s="847"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56"/>
      <c r="B6" s="858"/>
      <c r="C6" s="856"/>
      <c r="D6" s="856"/>
      <c r="E6" s="856"/>
      <c r="F6" s="852"/>
      <c r="G6" s="854"/>
      <c r="H6" s="850"/>
      <c r="I6" s="848"/>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c r="B486" s="582"/>
      <c r="C486" s="354"/>
      <c r="D486" s="352"/>
      <c r="E486" s="581"/>
      <c r="F486" s="570"/>
      <c r="G486" s="570"/>
      <c r="H486" s="579"/>
      <c r="I486" s="572"/>
    </row>
    <row r="487" spans="1:11" outlineLevel="1" x14ac:dyDescent="0.2">
      <c r="A487" s="352"/>
      <c r="B487" s="582"/>
      <c r="C487" s="354"/>
      <c r="D487" s="352"/>
      <c r="E487" s="581"/>
      <c r="F487" s="570"/>
      <c r="G487" s="570"/>
      <c r="H487" s="579"/>
      <c r="I487" s="572"/>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746" customFormat="1" ht="12" customHeight="1" x14ac:dyDescent="0.2">
      <c r="A495" s="740"/>
      <c r="B495" s="741"/>
      <c r="C495" s="742" t="s">
        <v>173</v>
      </c>
      <c r="D495" s="743" t="str">
        <f>+VLOOKUP(C495,'Visual chart Edit'!$B$7:$C$491,2,FALSE)</f>
        <v>DA+3</v>
      </c>
      <c r="E495" s="740" t="s">
        <v>129</v>
      </c>
      <c r="F495" s="740" t="s">
        <v>277</v>
      </c>
      <c r="G495" s="744">
        <v>45819</v>
      </c>
      <c r="H495" s="745" t="s">
        <v>1705</v>
      </c>
      <c r="I495" s="740" t="s">
        <v>1289</v>
      </c>
      <c r="J495" s="751" t="s">
        <v>1706</v>
      </c>
      <c r="K495" s="740"/>
    </row>
    <row r="496" spans="1:11" s="760" customFormat="1" x14ac:dyDescent="0.2">
      <c r="A496" s="771"/>
      <c r="B496" s="771"/>
      <c r="C496" s="772" t="s">
        <v>186</v>
      </c>
      <c r="D496" s="773" t="str">
        <f>+VLOOKUP(C496,'Visual chart Edit'!$B$7:$C$491,2,FALSE)</f>
        <v>DA+6</v>
      </c>
      <c r="E496" s="774" t="s">
        <v>124</v>
      </c>
      <c r="F496" s="774" t="s">
        <v>32</v>
      </c>
      <c r="G496" s="775">
        <v>45958</v>
      </c>
      <c r="H496" s="774" t="s">
        <v>1529</v>
      </c>
      <c r="I496" s="774" t="s">
        <v>1289</v>
      </c>
      <c r="J496" s="771" t="s">
        <v>1740</v>
      </c>
      <c r="K496" s="771"/>
    </row>
    <row r="497" spans="1:11" x14ac:dyDescent="0.2">
      <c r="A497" s="747"/>
      <c r="B497" s="747"/>
      <c r="C497" s="742" t="s">
        <v>50</v>
      </c>
      <c r="D497" s="743" t="str">
        <f>+VLOOKUP(C497,'Visual chart Edit'!$B$7:$C$491,2,FALSE)</f>
        <v>DB2+3</v>
      </c>
      <c r="E497" s="740" t="s">
        <v>129</v>
      </c>
      <c r="F497" s="740"/>
      <c r="G497" s="748">
        <v>45940</v>
      </c>
      <c r="H497" s="740" t="s">
        <v>1529</v>
      </c>
      <c r="I497" s="740" t="s">
        <v>1289</v>
      </c>
      <c r="J497" s="752" t="s">
        <v>1710</v>
      </c>
      <c r="K497" s="747"/>
    </row>
    <row r="498" spans="1:11" x14ac:dyDescent="0.2">
      <c r="A498" s="747"/>
      <c r="B498" s="747"/>
      <c r="C498" s="742" t="s">
        <v>524</v>
      </c>
      <c r="D498" s="743" t="str">
        <f>+VLOOKUP(C498,'Visual chart Edit'!$B$7:$C$491,2,FALSE)</f>
        <v>DA+6</v>
      </c>
      <c r="E498" s="740" t="s">
        <v>124</v>
      </c>
      <c r="F498" s="747"/>
      <c r="G498" s="748">
        <v>45961</v>
      </c>
      <c r="H498" s="740" t="s">
        <v>1529</v>
      </c>
      <c r="I498" s="740" t="s">
        <v>1289</v>
      </c>
      <c r="J498" s="747" t="s">
        <v>1739</v>
      </c>
      <c r="K498" s="747"/>
    </row>
  </sheetData>
  <sheetProtection formatCells="0" formatColumns="0" formatRows="0" insertColumns="0" insertRows="0" insertHyperlinks="0" deleteColumns="0" deleteRows="0" sort="0" autoFilter="0" pivotTables="0"/>
  <autoFilter ref="A5:CY485"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95:C1048576 C411:C493">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59" t="s">
        <v>121</v>
      </c>
      <c r="B5" s="859"/>
      <c r="C5" s="859"/>
      <c r="D5" s="859"/>
      <c r="E5" s="859"/>
      <c r="F5" s="859"/>
      <c r="G5" s="859"/>
      <c r="H5" s="859"/>
      <c r="I5" s="859"/>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0</v>
      </c>
      <c r="C485" s="363">
        <f>Foundation!C486</f>
        <v>0</v>
      </c>
      <c r="D485" s="363">
        <f>Foundation!D486</f>
        <v>0</v>
      </c>
      <c r="E485" s="363">
        <f>Foundation!E486</f>
        <v>0</v>
      </c>
      <c r="F485" s="363" t="str">
        <f t="shared" si="8"/>
        <v/>
      </c>
      <c r="G485" s="364"/>
      <c r="H485" s="365">
        <f>Foundation!H486</f>
        <v>0</v>
      </c>
      <c r="I485" s="363"/>
    </row>
    <row r="486" spans="1:9" s="274" customFormat="1" x14ac:dyDescent="0.25">
      <c r="A486" s="352">
        <f>+SUBTOTAL(3,$G$7:$G486)</f>
        <v>451</v>
      </c>
      <c r="B486" s="353">
        <f>Foundation!B487</f>
        <v>0</v>
      </c>
      <c r="C486" s="363">
        <f>Foundation!C487</f>
        <v>0</v>
      </c>
      <c r="D486" s="363">
        <f>Foundation!D487</f>
        <v>0</v>
      </c>
      <c r="E486" s="363">
        <f>Foundation!E487</f>
        <v>0</v>
      </c>
      <c r="F486" s="363" t="str">
        <f t="shared" si="8"/>
        <v/>
      </c>
      <c r="G486" s="364"/>
      <c r="H486" s="365">
        <f>Foundation!H487</f>
        <v>0</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f>Foundation!B496</f>
        <v>0</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f>Foundation!B497</f>
        <v>0</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Foundation!B498</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Foundation!B499</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f>Foundation!B500</f>
        <v>0</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Foundation!B501</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Foundation!B502</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Foundation!B503</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Foundation!B504</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Foundation!B505</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Foundation!B506</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Foundation!B507</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Foundation!B508</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Foundation!B509</f>
        <v>0</v>
      </c>
      <c r="C512" s="363" t="str">
        <f>Foundation!C495</f>
        <v>13/4</v>
      </c>
      <c r="D512" s="363" t="str">
        <f>Foundation!D495</f>
        <v>DA+3</v>
      </c>
      <c r="E512" s="363" t="str">
        <f>Foundation!E495</f>
        <v>ROW</v>
      </c>
      <c r="F512" s="363" t="str">
        <f t="shared" si="8"/>
        <v>Pipe</v>
      </c>
      <c r="G512" s="364"/>
      <c r="H512" s="365" t="e">
        <f>Foundation!#REF!</f>
        <v>#REF!</v>
      </c>
    </row>
    <row r="513" spans="1:8" x14ac:dyDescent="0.25">
      <c r="A513" s="352">
        <f>+SUBTOTAL(3,$G$7:$G513)</f>
        <v>451</v>
      </c>
      <c r="B513" s="353">
        <f>Foundation!B510</f>
        <v>0</v>
      </c>
      <c r="C513" s="363" t="e">
        <f>Foundation!#REF!</f>
        <v>#REF!</v>
      </c>
      <c r="D513" s="363" t="e">
        <f>Foundation!#REF!</f>
        <v>#REF!</v>
      </c>
      <c r="E513" s="363" t="e">
        <f>Foundation!#REF!</f>
        <v>#REF!</v>
      </c>
      <c r="F513" s="363" t="e">
        <f t="shared" si="8"/>
        <v>#REF!</v>
      </c>
      <c r="G513" s="364"/>
      <c r="H513" s="365" t="str">
        <f>Foundation!H495</f>
        <v>BR &amp; Sons/Om Construction_ChandraPal</v>
      </c>
    </row>
    <row r="514" spans="1:8" x14ac:dyDescent="0.25">
      <c r="A514" s="352">
        <f>+SUBTOTAL(3,$G$7:$G514)</f>
        <v>451</v>
      </c>
      <c r="B514" s="353">
        <f>Foundation!B511</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Foundation!B512</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Foundation!B513</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Foundation!B514</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Foundation!B515</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Foundation!B516</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Foundation!B517</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Foundation!B518</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Foundation!B519</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Foundation!B520</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Foundation!B521</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Foundation!B522</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Foundation!B523</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Foundation!B524</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Foundation!B525</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Foundation!B526</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Foundation!B527</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Foundation!B528</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Foundation!B529</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Foundation!B530</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Foundation!B531</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Foundation!B532</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Foundation!B533</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Foundation!B534</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Foundation!B535</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Foundation!B536</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Foundation!B537</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Foundation!B538</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Foundation!B539</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Foundation!B540</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Foundation!B541</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Foundation!B542</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Foundation!B543</f>
        <v>0</v>
      </c>
      <c r="C546" s="363" t="str">
        <f>Foundation!C496</f>
        <v>26/8</v>
      </c>
      <c r="D546" s="363" t="str">
        <f>Foundation!D496</f>
        <v>DA+6</v>
      </c>
      <c r="E546" s="363" t="str">
        <f>Foundation!E496</f>
        <v>WIP</v>
      </c>
      <c r="F546" s="363" t="str">
        <f t="shared" si="9"/>
        <v>Pipe</v>
      </c>
      <c r="G546" s="364"/>
      <c r="H546" s="365" t="e">
        <f>Foundation!#REF!</f>
        <v>#REF!</v>
      </c>
    </row>
    <row r="547" spans="1:8" x14ac:dyDescent="0.25">
      <c r="A547" s="352">
        <f>+SUBTOTAL(3,$G$7:$G547)</f>
        <v>451</v>
      </c>
      <c r="B547" s="353">
        <f>Foundation!B544</f>
        <v>0</v>
      </c>
      <c r="C547" s="363" t="str">
        <f>Foundation!C497</f>
        <v>22/0</v>
      </c>
      <c r="D547" s="363" t="str">
        <f>Foundation!D497</f>
        <v>DB2+3</v>
      </c>
      <c r="E547" s="363" t="str">
        <f>Foundation!E497</f>
        <v>ROW</v>
      </c>
      <c r="F547" s="363" t="str">
        <f t="shared" si="9"/>
        <v>Pipe</v>
      </c>
      <c r="G547" s="364"/>
      <c r="H547" s="365" t="str">
        <f>Foundation!H496</f>
        <v>Vishwakarma Const.</v>
      </c>
    </row>
    <row r="548" spans="1:8" x14ac:dyDescent="0.25">
      <c r="A548" s="352">
        <f>+SUBTOTAL(3,$G$7:$G548)</f>
        <v>451</v>
      </c>
      <c r="B548" s="353">
        <f>Foundation!B545</f>
        <v>0</v>
      </c>
      <c r="C548" s="363" t="e">
        <f>Foundation!#REF!</f>
        <v>#REF!</v>
      </c>
      <c r="D548" s="363" t="e">
        <f>Foundation!#REF!</f>
        <v>#REF!</v>
      </c>
      <c r="E548" s="363" t="e">
        <f>Foundation!#REF!</f>
        <v>#REF!</v>
      </c>
      <c r="F548" s="363" t="e">
        <f t="shared" si="9"/>
        <v>#REF!</v>
      </c>
      <c r="G548" s="364"/>
      <c r="H548" s="365" t="str">
        <f>Foundation!H497</f>
        <v>Vishwakarma Const.</v>
      </c>
    </row>
    <row r="549" spans="1:8" x14ac:dyDescent="0.25">
      <c r="A549" s="352">
        <f>+SUBTOTAL(3,$G$7:$G549)</f>
        <v>451</v>
      </c>
      <c r="B549" s="353">
        <f>Foundation!B546</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Foundation!B547</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Foundation!B548</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Foundation!B549</f>
        <v>0</v>
      </c>
      <c r="C552" s="363" t="str">
        <f>Foundation!C498</f>
        <v>21/1</v>
      </c>
      <c r="D552" s="363" t="str">
        <f>Foundation!D498</f>
        <v>DA+6</v>
      </c>
      <c r="E552" s="363" t="str">
        <f>Foundation!E498</f>
        <v>WIP</v>
      </c>
      <c r="F552" s="363" t="str">
        <f t="shared" si="9"/>
        <v>Pipe</v>
      </c>
      <c r="G552" s="364"/>
      <c r="H552" s="365" t="e">
        <f>Foundation!#REF!</f>
        <v>#REF!</v>
      </c>
    </row>
    <row r="553" spans="1:8" x14ac:dyDescent="0.25">
      <c r="A553" s="352">
        <f>+SUBTOTAL(3,$G$7:$G553)</f>
        <v>451</v>
      </c>
      <c r="B553" s="353">
        <f>Foundation!B550</f>
        <v>0</v>
      </c>
      <c r="C553" s="363">
        <f>Foundation!C499</f>
        <v>0</v>
      </c>
      <c r="D553" s="363">
        <f>Foundation!D499</f>
        <v>0</v>
      </c>
      <c r="E553" s="363">
        <f>Foundation!E499</f>
        <v>0</v>
      </c>
      <c r="F553" s="363" t="str">
        <f t="shared" si="9"/>
        <v/>
      </c>
      <c r="G553" s="364"/>
      <c r="H553" s="365" t="str">
        <f>Foundation!H498</f>
        <v>Vishwakarma Const.</v>
      </c>
    </row>
    <row r="554" spans="1:8" x14ac:dyDescent="0.25">
      <c r="A554" s="352">
        <f>+SUBTOTAL(3,$G$7:$G554)</f>
        <v>451</v>
      </c>
      <c r="B554" s="353">
        <f>Foundation!B551</f>
        <v>0</v>
      </c>
      <c r="C554" s="363">
        <f>Foundation!C500</f>
        <v>0</v>
      </c>
      <c r="D554" s="363">
        <f>Foundation!D500</f>
        <v>0</v>
      </c>
      <c r="E554" s="363">
        <f>Foundation!E500</f>
        <v>0</v>
      </c>
      <c r="F554" s="363" t="str">
        <f t="shared" si="9"/>
        <v/>
      </c>
      <c r="G554" s="364"/>
      <c r="H554" s="365">
        <f>Foundation!H499</f>
        <v>0</v>
      </c>
    </row>
    <row r="555" spans="1:8" x14ac:dyDescent="0.25">
      <c r="A555" s="352">
        <f>+SUBTOTAL(3,$G$7:$G555)</f>
        <v>451</v>
      </c>
      <c r="B555" s="353">
        <f>Foundation!B552</f>
        <v>0</v>
      </c>
      <c r="C555" s="363">
        <f>Foundation!C501</f>
        <v>0</v>
      </c>
      <c r="D555" s="363">
        <f>Foundation!D501</f>
        <v>0</v>
      </c>
      <c r="E555" s="363">
        <f>Foundation!E501</f>
        <v>0</v>
      </c>
      <c r="F555" s="363" t="str">
        <f t="shared" si="9"/>
        <v/>
      </c>
      <c r="G555" s="364"/>
      <c r="H555" s="365">
        <f>Foundation!H500</f>
        <v>0</v>
      </c>
    </row>
    <row r="556" spans="1:8" x14ac:dyDescent="0.25">
      <c r="A556" s="352">
        <f>+SUBTOTAL(3,$G$7:$G556)</f>
        <v>451</v>
      </c>
      <c r="B556" s="353">
        <f>Foundation!B553</f>
        <v>0</v>
      </c>
      <c r="C556" s="363">
        <f>Foundation!C502</f>
        <v>0</v>
      </c>
      <c r="D556" s="363">
        <f>Foundation!D502</f>
        <v>0</v>
      </c>
      <c r="E556" s="363">
        <f>Foundation!E502</f>
        <v>0</v>
      </c>
      <c r="F556" s="363" t="str">
        <f t="shared" si="9"/>
        <v/>
      </c>
      <c r="G556" s="364"/>
      <c r="H556" s="365">
        <f>Foundation!H501</f>
        <v>0</v>
      </c>
    </row>
    <row r="557" spans="1:8" x14ac:dyDescent="0.25">
      <c r="A557" s="352">
        <f>+SUBTOTAL(3,$G$7:$G557)</f>
        <v>451</v>
      </c>
      <c r="B557" s="353">
        <f>Foundation!B554</f>
        <v>0</v>
      </c>
      <c r="C557" s="363">
        <f>Foundation!C503</f>
        <v>0</v>
      </c>
      <c r="D557" s="363">
        <f>Foundation!D503</f>
        <v>0</v>
      </c>
      <c r="E557" s="363">
        <f>Foundation!E503</f>
        <v>0</v>
      </c>
      <c r="F557" s="363" t="str">
        <f t="shared" si="9"/>
        <v/>
      </c>
      <c r="G557" s="364"/>
      <c r="H557" s="365">
        <f>Foundation!H502</f>
        <v>0</v>
      </c>
    </row>
    <row r="558" spans="1:8" x14ac:dyDescent="0.25">
      <c r="A558" s="352">
        <f>+SUBTOTAL(3,$G$7:$G558)</f>
        <v>451</v>
      </c>
      <c r="B558" s="353">
        <f>Foundation!B555</f>
        <v>0</v>
      </c>
      <c r="C558" s="363">
        <f>Foundation!C504</f>
        <v>0</v>
      </c>
      <c r="D558" s="363">
        <f>Foundation!D504</f>
        <v>0</v>
      </c>
      <c r="E558" s="363">
        <f>Foundation!E504</f>
        <v>0</v>
      </c>
      <c r="F558" s="363" t="str">
        <f t="shared" si="9"/>
        <v/>
      </c>
      <c r="G558" s="364"/>
      <c r="H558" s="365">
        <f>Foundation!H503</f>
        <v>0</v>
      </c>
    </row>
    <row r="559" spans="1:8" x14ac:dyDescent="0.25">
      <c r="A559" s="352">
        <f>+SUBTOTAL(3,$G$7:$G559)</f>
        <v>451</v>
      </c>
      <c r="B559" s="353">
        <f>Foundation!B556</f>
        <v>0</v>
      </c>
      <c r="C559" s="363">
        <f>Foundation!C505</f>
        <v>0</v>
      </c>
      <c r="D559" s="363">
        <f>Foundation!D505</f>
        <v>0</v>
      </c>
      <c r="E559" s="363">
        <f>Foundation!E505</f>
        <v>0</v>
      </c>
      <c r="F559" s="363" t="str">
        <f t="shared" si="9"/>
        <v/>
      </c>
      <c r="G559" s="364"/>
      <c r="H559" s="365">
        <f>Foundation!H504</f>
        <v>0</v>
      </c>
    </row>
    <row r="560" spans="1:8" x14ac:dyDescent="0.25">
      <c r="A560" s="352">
        <f>+SUBTOTAL(3,$G$7:$G560)</f>
        <v>451</v>
      </c>
      <c r="B560" s="353">
        <f>Foundation!B557</f>
        <v>0</v>
      </c>
      <c r="C560" s="363">
        <f>Foundation!C506</f>
        <v>0</v>
      </c>
      <c r="D560" s="363">
        <f>Foundation!D506</f>
        <v>0</v>
      </c>
      <c r="E560" s="363">
        <f>Foundation!E506</f>
        <v>0</v>
      </c>
      <c r="F560" s="363" t="str">
        <f t="shared" si="9"/>
        <v/>
      </c>
      <c r="G560" s="364"/>
      <c r="H560" s="365">
        <f>Foundation!H505</f>
        <v>0</v>
      </c>
    </row>
    <row r="561" spans="1:8" x14ac:dyDescent="0.25">
      <c r="A561" s="352">
        <f>+SUBTOTAL(3,$G$7:$G561)</f>
        <v>451</v>
      </c>
      <c r="B561" s="353">
        <f>Foundation!B558</f>
        <v>0</v>
      </c>
      <c r="C561" s="363">
        <f>Foundation!C507</f>
        <v>0</v>
      </c>
      <c r="D561" s="363">
        <f>Foundation!D507</f>
        <v>0</v>
      </c>
      <c r="E561" s="363">
        <f>Foundation!E507</f>
        <v>0</v>
      </c>
      <c r="F561" s="363" t="str">
        <f t="shared" si="9"/>
        <v/>
      </c>
      <c r="G561" s="364"/>
      <c r="H561" s="365">
        <f>Foundation!H506</f>
        <v>0</v>
      </c>
    </row>
    <row r="562" spans="1:8" x14ac:dyDescent="0.25">
      <c r="A562" s="352">
        <f>+SUBTOTAL(3,$G$7:$G562)</f>
        <v>451</v>
      </c>
      <c r="B562" s="353">
        <f>Foundation!B559</f>
        <v>0</v>
      </c>
      <c r="C562" s="363">
        <f>Foundation!C508</f>
        <v>0</v>
      </c>
      <c r="D562" s="363">
        <f>Foundation!D508</f>
        <v>0</v>
      </c>
      <c r="E562" s="363">
        <f>Foundation!E508</f>
        <v>0</v>
      </c>
      <c r="F562" s="363" t="str">
        <f t="shared" si="9"/>
        <v/>
      </c>
      <c r="G562" s="364"/>
      <c r="H562" s="365">
        <f>Foundation!H507</f>
        <v>0</v>
      </c>
    </row>
    <row r="563" spans="1:8" x14ac:dyDescent="0.25">
      <c r="A563" s="352">
        <f>+SUBTOTAL(3,$G$7:$G563)</f>
        <v>451</v>
      </c>
      <c r="B563" s="353">
        <f>Foundation!B560</f>
        <v>0</v>
      </c>
      <c r="C563" s="363">
        <f>Foundation!C509</f>
        <v>0</v>
      </c>
      <c r="D563" s="363">
        <f>Foundation!D509</f>
        <v>0</v>
      </c>
      <c r="E563" s="363">
        <f>Foundation!E509</f>
        <v>0</v>
      </c>
      <c r="F563" s="363" t="str">
        <f t="shared" si="9"/>
        <v/>
      </c>
      <c r="G563" s="364"/>
      <c r="H563" s="365">
        <f>Foundation!H508</f>
        <v>0</v>
      </c>
    </row>
    <row r="564" spans="1:8" x14ac:dyDescent="0.25">
      <c r="A564" s="352">
        <f>+SUBTOTAL(3,$G$7:$G564)</f>
        <v>451</v>
      </c>
      <c r="B564" s="353">
        <f>Foundation!B561</f>
        <v>0</v>
      </c>
      <c r="C564" s="363">
        <f>Foundation!C510</f>
        <v>0</v>
      </c>
      <c r="D564" s="363">
        <f>Foundation!D510</f>
        <v>0</v>
      </c>
      <c r="E564" s="363">
        <f>Foundation!E510</f>
        <v>0</v>
      </c>
      <c r="F564" s="363" t="str">
        <f t="shared" si="9"/>
        <v/>
      </c>
      <c r="G564" s="364"/>
      <c r="H564" s="365">
        <f>Foundation!H509</f>
        <v>0</v>
      </c>
    </row>
    <row r="565" spans="1:8" x14ac:dyDescent="0.25">
      <c r="A565" s="352">
        <f>+SUBTOTAL(3,$G$7:$G565)</f>
        <v>451</v>
      </c>
      <c r="B565" s="353">
        <f>Foundation!B562</f>
        <v>0</v>
      </c>
      <c r="C565" s="363">
        <f>Foundation!C511</f>
        <v>0</v>
      </c>
      <c r="D565" s="363">
        <f>Foundation!D511</f>
        <v>0</v>
      </c>
      <c r="E565" s="363">
        <f>Foundation!E511</f>
        <v>0</v>
      </c>
      <c r="F565" s="363" t="str">
        <f t="shared" si="9"/>
        <v/>
      </c>
      <c r="G565" s="364"/>
      <c r="H565" s="365">
        <f>Foundation!H510</f>
        <v>0</v>
      </c>
    </row>
    <row r="566" spans="1:8" x14ac:dyDescent="0.25">
      <c r="A566" s="352">
        <f>+SUBTOTAL(3,$G$7:$G566)</f>
        <v>451</v>
      </c>
      <c r="B566" s="353">
        <f>Foundation!B563</f>
        <v>0</v>
      </c>
      <c r="C566" s="363">
        <f>Foundation!C512</f>
        <v>0</v>
      </c>
      <c r="D566" s="363">
        <f>Foundation!D512</f>
        <v>0</v>
      </c>
      <c r="E566" s="363">
        <f>Foundation!E512</f>
        <v>0</v>
      </c>
      <c r="F566" s="363" t="str">
        <f t="shared" si="9"/>
        <v/>
      </c>
      <c r="G566" s="364"/>
      <c r="H566" s="365">
        <f>Foundation!H511</f>
        <v>0</v>
      </c>
    </row>
    <row r="567" spans="1:8" x14ac:dyDescent="0.25">
      <c r="A567" s="352">
        <f>+SUBTOTAL(3,$G$7:$G567)</f>
        <v>451</v>
      </c>
      <c r="B567" s="353">
        <f>Foundation!B564</f>
        <v>0</v>
      </c>
      <c r="C567" s="363">
        <f>Foundation!C513</f>
        <v>0</v>
      </c>
      <c r="D567" s="363">
        <f>Foundation!D513</f>
        <v>0</v>
      </c>
      <c r="E567" s="363">
        <f>Foundation!E513</f>
        <v>0</v>
      </c>
      <c r="F567" s="363" t="str">
        <f t="shared" si="9"/>
        <v/>
      </c>
      <c r="G567" s="364"/>
      <c r="H567" s="365">
        <f>Foundation!H512</f>
        <v>0</v>
      </c>
    </row>
    <row r="568" spans="1:8" x14ac:dyDescent="0.25">
      <c r="A568" s="352">
        <f>+SUBTOTAL(3,$G$7:$G568)</f>
        <v>451</v>
      </c>
      <c r="B568" s="353">
        <f>Foundation!B565</f>
        <v>0</v>
      </c>
      <c r="C568" s="363">
        <f>Foundation!C514</f>
        <v>0</v>
      </c>
      <c r="D568" s="363">
        <f>Foundation!D514</f>
        <v>0</v>
      </c>
      <c r="E568" s="363">
        <f>Foundation!E514</f>
        <v>0</v>
      </c>
      <c r="F568" s="363" t="str">
        <f t="shared" si="9"/>
        <v/>
      </c>
      <c r="G568" s="364"/>
      <c r="H568" s="365">
        <f>Foundation!H513</f>
        <v>0</v>
      </c>
    </row>
    <row r="569" spans="1:8" x14ac:dyDescent="0.25">
      <c r="A569" s="352">
        <f>+SUBTOTAL(3,$G$7:$G569)</f>
        <v>451</v>
      </c>
      <c r="B569" s="353">
        <f>Foundation!B566</f>
        <v>0</v>
      </c>
      <c r="C569" s="363">
        <f>Foundation!C515</f>
        <v>0</v>
      </c>
      <c r="D569" s="363">
        <f>Foundation!D515</f>
        <v>0</v>
      </c>
      <c r="E569" s="363">
        <f>Foundation!E515</f>
        <v>0</v>
      </c>
      <c r="F569" s="363" t="str">
        <f t="shared" si="9"/>
        <v/>
      </c>
      <c r="G569" s="364"/>
      <c r="H569" s="365">
        <f>Foundation!H514</f>
        <v>0</v>
      </c>
    </row>
    <row r="570" spans="1:8" x14ac:dyDescent="0.25">
      <c r="A570" s="352">
        <f>+SUBTOTAL(3,$G$7:$G570)</f>
        <v>451</v>
      </c>
      <c r="B570" s="353">
        <f>Foundation!B567</f>
        <v>0</v>
      </c>
      <c r="C570" s="363">
        <f>Foundation!C516</f>
        <v>0</v>
      </c>
      <c r="D570" s="363">
        <f>Foundation!D516</f>
        <v>0</v>
      </c>
      <c r="E570" s="363">
        <f>Foundation!E516</f>
        <v>0</v>
      </c>
      <c r="F570" s="363" t="str">
        <f t="shared" si="9"/>
        <v/>
      </c>
      <c r="G570" s="364"/>
      <c r="H570" s="365">
        <f>Foundation!H515</f>
        <v>0</v>
      </c>
    </row>
    <row r="571" spans="1:8" x14ac:dyDescent="0.25">
      <c r="A571" s="352">
        <f>+SUBTOTAL(3,$G$7:$G571)</f>
        <v>451</v>
      </c>
      <c r="B571" s="353">
        <f>Foundation!B568</f>
        <v>0</v>
      </c>
      <c r="C571" s="363">
        <f>Foundation!C517</f>
        <v>0</v>
      </c>
      <c r="D571" s="363">
        <f>Foundation!D517</f>
        <v>0</v>
      </c>
      <c r="E571" s="363">
        <f>Foundation!E517</f>
        <v>0</v>
      </c>
      <c r="F571" s="363" t="str">
        <f t="shared" si="9"/>
        <v/>
      </c>
      <c r="G571" s="364"/>
      <c r="H571" s="365">
        <f>Foundation!H516</f>
        <v>0</v>
      </c>
    </row>
    <row r="572" spans="1:8" x14ac:dyDescent="0.25">
      <c r="A572" s="352">
        <f>+SUBTOTAL(3,$G$7:$G572)</f>
        <v>451</v>
      </c>
      <c r="B572" s="353">
        <f>Foundation!B569</f>
        <v>0</v>
      </c>
      <c r="C572" s="363">
        <f>Foundation!C518</f>
        <v>0</v>
      </c>
      <c r="D572" s="363">
        <f>Foundation!D518</f>
        <v>0</v>
      </c>
      <c r="E572" s="363">
        <f>Foundation!E518</f>
        <v>0</v>
      </c>
      <c r="F572" s="363" t="str">
        <f t="shared" si="9"/>
        <v/>
      </c>
      <c r="G572" s="364"/>
      <c r="H572" s="365">
        <f>Foundation!H517</f>
        <v>0</v>
      </c>
    </row>
    <row r="573" spans="1:8" x14ac:dyDescent="0.25">
      <c r="A573" s="352">
        <f>+SUBTOTAL(3,$G$7:$G573)</f>
        <v>451</v>
      </c>
      <c r="B573" s="353">
        <f>Foundation!B570</f>
        <v>0</v>
      </c>
      <c r="C573" s="363">
        <f>Foundation!C519</f>
        <v>0</v>
      </c>
      <c r="D573" s="363">
        <f>Foundation!D519</f>
        <v>0</v>
      </c>
      <c r="E573" s="363">
        <f>Foundation!E519</f>
        <v>0</v>
      </c>
      <c r="F573" s="363" t="str">
        <f t="shared" si="9"/>
        <v/>
      </c>
      <c r="G573" s="364"/>
      <c r="H573" s="365">
        <f>Foundation!H518</f>
        <v>0</v>
      </c>
    </row>
    <row r="574" spans="1:8" x14ac:dyDescent="0.25">
      <c r="A574" s="352">
        <f>+SUBTOTAL(3,$G$7:$G574)</f>
        <v>451</v>
      </c>
      <c r="B574" s="353">
        <f>Foundation!B571</f>
        <v>0</v>
      </c>
      <c r="C574" s="363">
        <f>Foundation!C520</f>
        <v>0</v>
      </c>
      <c r="D574" s="363">
        <f>Foundation!D520</f>
        <v>0</v>
      </c>
      <c r="E574" s="363">
        <f>Foundation!E520</f>
        <v>0</v>
      </c>
      <c r="F574" s="363" t="str">
        <f t="shared" si="9"/>
        <v/>
      </c>
      <c r="G574" s="364"/>
      <c r="H574" s="365">
        <f>Foundation!H519</f>
        <v>0</v>
      </c>
    </row>
    <row r="575" spans="1:8" x14ac:dyDescent="0.25">
      <c r="A575" s="352">
        <f>+SUBTOTAL(3,$G$7:$G575)</f>
        <v>451</v>
      </c>
      <c r="B575" s="353">
        <f>Foundation!B572</f>
        <v>0</v>
      </c>
      <c r="C575" s="363">
        <f>Foundation!C521</f>
        <v>0</v>
      </c>
      <c r="D575" s="363">
        <f>Foundation!D521</f>
        <v>0</v>
      </c>
      <c r="E575" s="363">
        <f>Foundation!E521</f>
        <v>0</v>
      </c>
      <c r="F575" s="363" t="str">
        <f t="shared" si="9"/>
        <v/>
      </c>
      <c r="G575" s="364"/>
      <c r="H575" s="365">
        <f>Foundation!H520</f>
        <v>0</v>
      </c>
    </row>
    <row r="576" spans="1:8" x14ac:dyDescent="0.25">
      <c r="A576" s="352">
        <f>+SUBTOTAL(3,$G$7:$G576)</f>
        <v>451</v>
      </c>
      <c r="B576" s="353">
        <f>Foundation!B573</f>
        <v>0</v>
      </c>
      <c r="C576" s="363">
        <f>Foundation!C522</f>
        <v>0</v>
      </c>
      <c r="D576" s="363">
        <f>Foundation!D522</f>
        <v>0</v>
      </c>
      <c r="E576" s="363">
        <f>Foundation!E522</f>
        <v>0</v>
      </c>
      <c r="F576" s="363" t="str">
        <f t="shared" si="9"/>
        <v/>
      </c>
      <c r="G576" s="364"/>
      <c r="H576" s="365">
        <f>Foundation!H521</f>
        <v>0</v>
      </c>
    </row>
    <row r="577" spans="1:8" x14ac:dyDescent="0.25">
      <c r="A577" s="352">
        <f>+SUBTOTAL(3,$G$7:$G577)</f>
        <v>451</v>
      </c>
      <c r="B577" s="353">
        <f>Foundation!B574</f>
        <v>0</v>
      </c>
      <c r="C577" s="363">
        <f>Foundation!C523</f>
        <v>0</v>
      </c>
      <c r="D577" s="363">
        <f>Foundation!D523</f>
        <v>0</v>
      </c>
      <c r="E577" s="363">
        <f>Foundation!E523</f>
        <v>0</v>
      </c>
      <c r="F577" s="363" t="str">
        <f t="shared" si="9"/>
        <v/>
      </c>
      <c r="G577" s="364"/>
      <c r="H577" s="365">
        <f>Foundation!H522</f>
        <v>0</v>
      </c>
    </row>
    <row r="578" spans="1:8" x14ac:dyDescent="0.25">
      <c r="A578" s="352">
        <f>+SUBTOTAL(3,$G$7:$G578)</f>
        <v>451</v>
      </c>
      <c r="B578" s="353">
        <f>Foundation!B575</f>
        <v>0</v>
      </c>
      <c r="C578" s="363">
        <f>Foundation!C524</f>
        <v>0</v>
      </c>
      <c r="D578" s="363">
        <f>Foundation!D524</f>
        <v>0</v>
      </c>
      <c r="E578" s="363">
        <f>Foundation!E524</f>
        <v>0</v>
      </c>
      <c r="F578" s="363" t="str">
        <f t="shared" si="9"/>
        <v/>
      </c>
      <c r="G578" s="364"/>
      <c r="H578" s="365">
        <f>Foundation!H523</f>
        <v>0</v>
      </c>
    </row>
    <row r="579" spans="1:8" x14ac:dyDescent="0.25">
      <c r="A579" s="352">
        <f>+SUBTOTAL(3,$G$7:$G579)</f>
        <v>451</v>
      </c>
      <c r="B579" s="353">
        <f>Foundation!B576</f>
        <v>0</v>
      </c>
      <c r="C579" s="363">
        <f>Foundation!C525</f>
        <v>0</v>
      </c>
      <c r="D579" s="363">
        <f>Foundation!D525</f>
        <v>0</v>
      </c>
      <c r="E579" s="363">
        <f>Foundation!E525</f>
        <v>0</v>
      </c>
      <c r="F579" s="363" t="str">
        <f t="shared" si="9"/>
        <v/>
      </c>
      <c r="G579" s="364"/>
      <c r="H579" s="365">
        <f>Foundation!H524</f>
        <v>0</v>
      </c>
    </row>
    <row r="580" spans="1:8" x14ac:dyDescent="0.25">
      <c r="A580" s="352">
        <f>+SUBTOTAL(3,$G$7:$G580)</f>
        <v>451</v>
      </c>
      <c r="B580" s="353">
        <f>Foundation!B577</f>
        <v>0</v>
      </c>
      <c r="C580" s="363">
        <f>Foundation!C526</f>
        <v>0</v>
      </c>
      <c r="D580" s="363">
        <f>Foundation!D526</f>
        <v>0</v>
      </c>
      <c r="E580" s="363">
        <f>Foundation!E526</f>
        <v>0</v>
      </c>
      <c r="F580" s="363" t="str">
        <f t="shared" si="9"/>
        <v/>
      </c>
      <c r="G580" s="364"/>
      <c r="H580" s="365">
        <f>Foundation!H525</f>
        <v>0</v>
      </c>
    </row>
    <row r="581" spans="1:8" x14ac:dyDescent="0.25">
      <c r="A581" s="352">
        <f>+SUBTOTAL(3,$G$7:$G581)</f>
        <v>451</v>
      </c>
      <c r="B581" s="353">
        <f>Foundation!B578</f>
        <v>0</v>
      </c>
      <c r="C581" s="363">
        <f>Foundation!C527</f>
        <v>0</v>
      </c>
      <c r="D581" s="363">
        <f>Foundation!D527</f>
        <v>0</v>
      </c>
      <c r="E581" s="363">
        <f>Foundation!E527</f>
        <v>0</v>
      </c>
      <c r="F581" s="363" t="str">
        <f t="shared" si="9"/>
        <v/>
      </c>
      <c r="G581" s="364"/>
      <c r="H581" s="365">
        <f>Foundation!H526</f>
        <v>0</v>
      </c>
    </row>
    <row r="582" spans="1:8" x14ac:dyDescent="0.25">
      <c r="A582" s="352">
        <f>+SUBTOTAL(3,$G$7:$G582)</f>
        <v>451</v>
      </c>
      <c r="B582" s="353">
        <f>Foundation!B579</f>
        <v>0</v>
      </c>
      <c r="C582" s="363">
        <f>Foundation!C528</f>
        <v>0</v>
      </c>
      <c r="D582" s="363">
        <f>Foundation!D528</f>
        <v>0</v>
      </c>
      <c r="E582" s="363">
        <f>Foundation!E528</f>
        <v>0</v>
      </c>
      <c r="F582" s="363" t="str">
        <f t="shared" si="9"/>
        <v/>
      </c>
      <c r="G582" s="364"/>
      <c r="H582" s="365">
        <f>Foundation!H527</f>
        <v>0</v>
      </c>
    </row>
    <row r="583" spans="1:8" x14ac:dyDescent="0.25">
      <c r="A583" s="352">
        <f>+SUBTOTAL(3,$G$7:$G583)</f>
        <v>451</v>
      </c>
      <c r="B583" s="353">
        <f>Foundation!B580</f>
        <v>0</v>
      </c>
      <c r="C583" s="363">
        <f>Foundation!C529</f>
        <v>0</v>
      </c>
      <c r="D583" s="363">
        <f>Foundation!D529</f>
        <v>0</v>
      </c>
      <c r="E583" s="363">
        <f>Foundation!E529</f>
        <v>0</v>
      </c>
      <c r="F583" s="363" t="str">
        <f t="shared" si="9"/>
        <v/>
      </c>
      <c r="G583" s="364"/>
      <c r="H583" s="365">
        <f>Foundation!H528</f>
        <v>0</v>
      </c>
    </row>
    <row r="584" spans="1:8" x14ac:dyDescent="0.25">
      <c r="A584" s="352">
        <f>+SUBTOTAL(3,$G$7:$G584)</f>
        <v>451</v>
      </c>
      <c r="B584" s="353">
        <f>Foundation!B581</f>
        <v>0</v>
      </c>
      <c r="C584" s="363">
        <f>Foundation!C530</f>
        <v>0</v>
      </c>
      <c r="D584" s="363">
        <f>Foundation!D530</f>
        <v>0</v>
      </c>
      <c r="E584" s="363">
        <f>Foundation!E530</f>
        <v>0</v>
      </c>
      <c r="F584" s="363" t="str">
        <f t="shared" si="9"/>
        <v/>
      </c>
      <c r="G584" s="364"/>
      <c r="H584" s="365">
        <f>Foundation!H529</f>
        <v>0</v>
      </c>
    </row>
    <row r="585" spans="1:8" x14ac:dyDescent="0.25">
      <c r="A585" s="352">
        <f>+SUBTOTAL(3,$G$7:$G585)</f>
        <v>451</v>
      </c>
      <c r="B585" s="353">
        <f>Foundation!B582</f>
        <v>0</v>
      </c>
      <c r="C585" s="363">
        <f>Foundation!C531</f>
        <v>0</v>
      </c>
      <c r="D585" s="363">
        <f>Foundation!D531</f>
        <v>0</v>
      </c>
      <c r="E585" s="363">
        <f>Foundation!E531</f>
        <v>0</v>
      </c>
      <c r="F585" s="363" t="str">
        <f t="shared" si="9"/>
        <v/>
      </c>
      <c r="G585" s="364"/>
      <c r="H585" s="365">
        <f>Foundation!H530</f>
        <v>0</v>
      </c>
    </row>
    <row r="586" spans="1:8" x14ac:dyDescent="0.25">
      <c r="A586" s="352">
        <f>+SUBTOTAL(3,$G$7:$G586)</f>
        <v>451</v>
      </c>
      <c r="B586" s="353">
        <f>Foundation!B583</f>
        <v>0</v>
      </c>
      <c r="C586" s="363">
        <f>Foundation!C531</f>
        <v>0</v>
      </c>
      <c r="D586" s="363">
        <f>Foundation!D531</f>
        <v>0</v>
      </c>
      <c r="E586" s="363">
        <f>Foundation!E531</f>
        <v>0</v>
      </c>
      <c r="F586" s="363" t="str">
        <f t="shared" ref="F586:F603" si="10">+IF(E586=0,"",IF(E586="DFR","CP","Pipe"))</f>
        <v/>
      </c>
      <c r="G586" s="364"/>
      <c r="H586" s="365">
        <f>Foundation!H531</f>
        <v>0</v>
      </c>
    </row>
    <row r="587" spans="1:8" x14ac:dyDescent="0.25">
      <c r="A587" s="352">
        <f>+SUBTOTAL(3,$G$7:$G587)</f>
        <v>451</v>
      </c>
      <c r="B587" s="353">
        <f>Foundation!B584</f>
        <v>0</v>
      </c>
      <c r="C587" s="363">
        <f>Foundation!C532</f>
        <v>0</v>
      </c>
      <c r="D587" s="363">
        <f>Foundation!D532</f>
        <v>0</v>
      </c>
      <c r="E587" s="363">
        <f>Foundation!E532</f>
        <v>0</v>
      </c>
      <c r="F587" s="363" t="str">
        <f t="shared" si="10"/>
        <v/>
      </c>
      <c r="G587" s="364"/>
      <c r="H587" s="365">
        <f>Foundation!H532</f>
        <v>0</v>
      </c>
    </row>
    <row r="588" spans="1:8" x14ac:dyDescent="0.25">
      <c r="A588" s="352">
        <f>+SUBTOTAL(3,$G$7:$G588)</f>
        <v>451</v>
      </c>
      <c r="B588" s="353">
        <f>Foundation!B585</f>
        <v>0</v>
      </c>
      <c r="C588" s="363">
        <f>Foundation!C533</f>
        <v>0</v>
      </c>
      <c r="D588" s="363">
        <f>Foundation!D533</f>
        <v>0</v>
      </c>
      <c r="E588" s="363">
        <f>Foundation!E533</f>
        <v>0</v>
      </c>
      <c r="F588" s="363" t="str">
        <f t="shared" si="10"/>
        <v/>
      </c>
      <c r="G588" s="364"/>
      <c r="H588" s="365">
        <f>Foundation!H533</f>
        <v>0</v>
      </c>
    </row>
    <row r="589" spans="1:8" x14ac:dyDescent="0.25">
      <c r="A589" s="352">
        <f>+SUBTOTAL(3,$G$7:$G589)</f>
        <v>451</v>
      </c>
      <c r="B589" s="353">
        <f>Foundation!B586</f>
        <v>0</v>
      </c>
      <c r="C589" s="363">
        <f>Foundation!C534</f>
        <v>0</v>
      </c>
      <c r="D589" s="363">
        <f>Foundation!D534</f>
        <v>0</v>
      </c>
      <c r="E589" s="363">
        <f>Foundation!E534</f>
        <v>0</v>
      </c>
      <c r="F589" s="363" t="str">
        <f t="shared" si="10"/>
        <v/>
      </c>
      <c r="G589" s="364"/>
      <c r="H589" s="365">
        <f>Foundation!H534</f>
        <v>0</v>
      </c>
    </row>
    <row r="590" spans="1:8" x14ac:dyDescent="0.25">
      <c r="A590" s="352">
        <f>+SUBTOTAL(3,$G$7:$G590)</f>
        <v>451</v>
      </c>
      <c r="B590" s="353">
        <f>Foundation!B587</f>
        <v>0</v>
      </c>
      <c r="C590" s="363">
        <f>Foundation!C535</f>
        <v>0</v>
      </c>
      <c r="D590" s="363">
        <f>Foundation!D535</f>
        <v>0</v>
      </c>
      <c r="E590" s="363">
        <f>Foundation!E535</f>
        <v>0</v>
      </c>
      <c r="F590" s="363" t="str">
        <f t="shared" si="10"/>
        <v/>
      </c>
      <c r="G590" s="364"/>
      <c r="H590" s="365">
        <f>Foundation!H535</f>
        <v>0</v>
      </c>
    </row>
    <row r="591" spans="1:8" x14ac:dyDescent="0.25">
      <c r="A591" s="352">
        <f>+SUBTOTAL(3,$G$7:$G591)</f>
        <v>451</v>
      </c>
      <c r="B591" s="353">
        <f>Foundation!B588</f>
        <v>0</v>
      </c>
      <c r="C591" s="363">
        <f>Foundation!C536</f>
        <v>0</v>
      </c>
      <c r="D591" s="363">
        <f>Foundation!D536</f>
        <v>0</v>
      </c>
      <c r="E591" s="363">
        <f>Foundation!E536</f>
        <v>0</v>
      </c>
      <c r="F591" s="363" t="str">
        <f t="shared" si="10"/>
        <v/>
      </c>
      <c r="G591" s="364"/>
      <c r="H591" s="365">
        <f>Foundation!H536</f>
        <v>0</v>
      </c>
    </row>
    <row r="592" spans="1:8" x14ac:dyDescent="0.25">
      <c r="A592" s="352">
        <f>+SUBTOTAL(3,$G$7:$G592)</f>
        <v>451</v>
      </c>
      <c r="B592" s="353">
        <f>Foundation!B589</f>
        <v>0</v>
      </c>
      <c r="C592" s="363">
        <f>Foundation!C537</f>
        <v>0</v>
      </c>
      <c r="D592" s="363">
        <f>Foundation!D537</f>
        <v>0</v>
      </c>
      <c r="E592" s="363">
        <f>Foundation!E537</f>
        <v>0</v>
      </c>
      <c r="F592" s="363" t="str">
        <f t="shared" si="10"/>
        <v/>
      </c>
      <c r="G592" s="364"/>
      <c r="H592" s="365">
        <f>Foundation!H537</f>
        <v>0</v>
      </c>
    </row>
    <row r="593" spans="1:8" x14ac:dyDescent="0.25">
      <c r="A593" s="352">
        <f>+SUBTOTAL(3,$G$7:$G593)</f>
        <v>451</v>
      </c>
      <c r="B593" s="353">
        <f>Foundation!B590</f>
        <v>0</v>
      </c>
      <c r="C593" s="363">
        <f>Foundation!C538</f>
        <v>0</v>
      </c>
      <c r="D593" s="363">
        <f>Foundation!D538</f>
        <v>0</v>
      </c>
      <c r="E593" s="363">
        <f>Foundation!E538</f>
        <v>0</v>
      </c>
      <c r="F593" s="363" t="str">
        <f t="shared" si="10"/>
        <v/>
      </c>
      <c r="G593" s="364"/>
      <c r="H593" s="365">
        <f>Foundation!H538</f>
        <v>0</v>
      </c>
    </row>
    <row r="594" spans="1:8" x14ac:dyDescent="0.25">
      <c r="A594" s="352">
        <f>+SUBTOTAL(3,$G$7:$G594)</f>
        <v>451</v>
      </c>
      <c r="B594" s="353">
        <f>Foundation!B591</f>
        <v>0</v>
      </c>
      <c r="C594" s="363">
        <f>Foundation!C539</f>
        <v>0</v>
      </c>
      <c r="D594" s="363">
        <f>Foundation!D539</f>
        <v>0</v>
      </c>
      <c r="E594" s="363">
        <f>Foundation!E539</f>
        <v>0</v>
      </c>
      <c r="F594" s="363" t="str">
        <f t="shared" si="10"/>
        <v/>
      </c>
      <c r="G594" s="364"/>
      <c r="H594" s="365">
        <f>Foundation!H539</f>
        <v>0</v>
      </c>
    </row>
    <row r="595" spans="1:8" x14ac:dyDescent="0.25">
      <c r="A595" s="352">
        <f>+SUBTOTAL(3,$G$7:$G595)</f>
        <v>451</v>
      </c>
      <c r="B595" s="353">
        <f>Foundation!B592</f>
        <v>0</v>
      </c>
      <c r="C595" s="363">
        <f>Foundation!C540</f>
        <v>0</v>
      </c>
      <c r="D595" s="363">
        <f>Foundation!D540</f>
        <v>0</v>
      </c>
      <c r="E595" s="363">
        <f>Foundation!E540</f>
        <v>0</v>
      </c>
      <c r="F595" s="363" t="str">
        <f t="shared" si="10"/>
        <v/>
      </c>
      <c r="G595" s="364"/>
      <c r="H595" s="365">
        <f>Foundation!H540</f>
        <v>0</v>
      </c>
    </row>
    <row r="596" spans="1:8" x14ac:dyDescent="0.25">
      <c r="A596" s="352">
        <f>+SUBTOTAL(3,$G$7:$G596)</f>
        <v>451</v>
      </c>
      <c r="B596" s="353">
        <f>Foundation!B593</f>
        <v>0</v>
      </c>
      <c r="C596" s="363">
        <f>Foundation!C541</f>
        <v>0</v>
      </c>
      <c r="D596" s="363">
        <f>Foundation!D541</f>
        <v>0</v>
      </c>
      <c r="E596" s="363">
        <f>Foundation!E541</f>
        <v>0</v>
      </c>
      <c r="F596" s="363" t="str">
        <f t="shared" si="10"/>
        <v/>
      </c>
      <c r="G596" s="364"/>
      <c r="H596" s="365">
        <f>Foundation!H541</f>
        <v>0</v>
      </c>
    </row>
    <row r="597" spans="1:8" x14ac:dyDescent="0.25">
      <c r="A597" s="352">
        <f>+SUBTOTAL(3,$G$7:$G597)</f>
        <v>451</v>
      </c>
      <c r="B597" s="353">
        <f>Foundation!B594</f>
        <v>0</v>
      </c>
      <c r="C597" s="363">
        <f>Foundation!C542</f>
        <v>0</v>
      </c>
      <c r="D597" s="363">
        <f>Foundation!D542</f>
        <v>0</v>
      </c>
      <c r="E597" s="363">
        <f>Foundation!E542</f>
        <v>0</v>
      </c>
      <c r="F597" s="363" t="str">
        <f t="shared" si="10"/>
        <v/>
      </c>
      <c r="G597" s="364"/>
      <c r="H597" s="365">
        <f>Foundation!H542</f>
        <v>0</v>
      </c>
    </row>
    <row r="598" spans="1:8" x14ac:dyDescent="0.25">
      <c r="A598" s="352">
        <f>+SUBTOTAL(3,$G$7:$G598)</f>
        <v>451</v>
      </c>
      <c r="B598" s="353">
        <f>Foundation!B595</f>
        <v>0</v>
      </c>
      <c r="C598" s="363">
        <f>Foundation!C543</f>
        <v>0</v>
      </c>
      <c r="D598" s="363">
        <f>Foundation!D543</f>
        <v>0</v>
      </c>
      <c r="E598" s="363">
        <f>Foundation!E543</f>
        <v>0</v>
      </c>
      <c r="F598" s="363" t="str">
        <f t="shared" si="10"/>
        <v/>
      </c>
      <c r="G598" s="364"/>
      <c r="H598" s="365">
        <f>Foundation!H543</f>
        <v>0</v>
      </c>
    </row>
    <row r="599" spans="1:8" x14ac:dyDescent="0.25">
      <c r="A599" s="352">
        <f>+SUBTOTAL(3,$G$7:$G599)</f>
        <v>451</v>
      </c>
      <c r="B599" s="353">
        <f>Foundation!B596</f>
        <v>0</v>
      </c>
      <c r="C599" s="363">
        <f>Foundation!C544</f>
        <v>0</v>
      </c>
      <c r="D599" s="363">
        <f>Foundation!D544</f>
        <v>0</v>
      </c>
      <c r="E599" s="363">
        <f>Foundation!E544</f>
        <v>0</v>
      </c>
      <c r="F599" s="363" t="str">
        <f t="shared" si="10"/>
        <v/>
      </c>
      <c r="G599" s="364"/>
      <c r="H599" s="365">
        <f>Foundation!H544</f>
        <v>0</v>
      </c>
    </row>
    <row r="600" spans="1:8" x14ac:dyDescent="0.25">
      <c r="A600" s="352">
        <f>+SUBTOTAL(3,$G$7:$G600)</f>
        <v>451</v>
      </c>
      <c r="B600" s="353">
        <f>Foundation!B597</f>
        <v>0</v>
      </c>
      <c r="C600" s="363">
        <f>Foundation!C545</f>
        <v>0</v>
      </c>
      <c r="D600" s="363">
        <f>Foundation!D545</f>
        <v>0</v>
      </c>
      <c r="E600" s="363">
        <f>Foundation!E545</f>
        <v>0</v>
      </c>
      <c r="F600" s="363" t="str">
        <f t="shared" si="10"/>
        <v/>
      </c>
      <c r="G600" s="364"/>
      <c r="H600" s="365">
        <f>Foundation!H545</f>
        <v>0</v>
      </c>
    </row>
    <row r="601" spans="1:8" x14ac:dyDescent="0.25">
      <c r="A601" s="352">
        <f>+SUBTOTAL(3,$G$7:$G601)</f>
        <v>451</v>
      </c>
      <c r="B601" s="353">
        <f>Foundation!B598</f>
        <v>0</v>
      </c>
      <c r="C601" s="363">
        <f>Foundation!C546</f>
        <v>0</v>
      </c>
      <c r="D601" s="363">
        <f>Foundation!D546</f>
        <v>0</v>
      </c>
      <c r="E601" s="363">
        <f>Foundation!E546</f>
        <v>0</v>
      </c>
      <c r="F601" s="363" t="str">
        <f t="shared" si="10"/>
        <v/>
      </c>
      <c r="G601" s="364"/>
      <c r="H601" s="365">
        <f>Foundation!H546</f>
        <v>0</v>
      </c>
    </row>
    <row r="602" spans="1:8" x14ac:dyDescent="0.25">
      <c r="A602" s="352">
        <f>+SUBTOTAL(3,$G$7:$G602)</f>
        <v>451</v>
      </c>
      <c r="B602" s="353">
        <f>Foundation!B599</f>
        <v>0</v>
      </c>
      <c r="C602" s="363">
        <f>Foundation!C547</f>
        <v>0</v>
      </c>
      <c r="D602" s="363">
        <f>Foundation!D547</f>
        <v>0</v>
      </c>
      <c r="E602" s="363">
        <f>Foundation!E547</f>
        <v>0</v>
      </c>
      <c r="F602" s="363" t="str">
        <f t="shared" si="10"/>
        <v/>
      </c>
      <c r="G602" s="364"/>
      <c r="H602" s="365">
        <f>Foundation!H547</f>
        <v>0</v>
      </c>
    </row>
    <row r="603" spans="1:8" x14ac:dyDescent="0.25">
      <c r="A603" s="352">
        <f>+SUBTOTAL(3,$G$7:$G603)</f>
        <v>451</v>
      </c>
      <c r="B603" s="353">
        <f>Foundation!B600</f>
        <v>0</v>
      </c>
      <c r="C603" s="363">
        <f>Foundation!C548</f>
        <v>0</v>
      </c>
      <c r="D603" s="363">
        <f>Foundation!D548</f>
        <v>0</v>
      </c>
      <c r="E603" s="363">
        <f>Foundation!E548</f>
        <v>0</v>
      </c>
      <c r="F603" s="363" t="str">
        <f t="shared" si="10"/>
        <v/>
      </c>
      <c r="G603" s="364"/>
      <c r="H603" s="365">
        <f>Foundation!H548</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68" t="s">
        <v>1370</v>
      </c>
      <c r="B1" s="868" t="s">
        <v>1371</v>
      </c>
      <c r="C1" s="868" t="s">
        <v>1372</v>
      </c>
      <c r="D1" s="554" t="s">
        <v>1373</v>
      </c>
      <c r="E1" s="554" t="s">
        <v>1374</v>
      </c>
      <c r="F1" s="554" t="s">
        <v>1375</v>
      </c>
      <c r="G1" s="870" t="s">
        <v>1478</v>
      </c>
      <c r="H1" s="870"/>
      <c r="I1" s="870"/>
      <c r="J1" s="868" t="s">
        <v>1376</v>
      </c>
      <c r="BS1" s="493"/>
    </row>
    <row r="2" spans="1:71" x14ac:dyDescent="0.25">
      <c r="A2" s="869"/>
      <c r="B2" s="869"/>
      <c r="C2" s="869"/>
      <c r="D2" s="554" t="s">
        <v>1377</v>
      </c>
      <c r="E2" s="554" t="s">
        <v>1595</v>
      </c>
      <c r="F2" s="554" t="s">
        <v>1477</v>
      </c>
      <c r="G2" s="554" t="s">
        <v>1378</v>
      </c>
      <c r="H2" s="554" t="s">
        <v>124</v>
      </c>
      <c r="I2" s="554" t="s">
        <v>952</v>
      </c>
      <c r="J2" s="869"/>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71" t="s">
        <v>1563</v>
      </c>
      <c r="B7" s="872"/>
      <c r="C7" s="872"/>
      <c r="D7" s="872"/>
      <c r="E7" s="872"/>
      <c r="F7" s="872"/>
      <c r="G7" s="872"/>
      <c r="H7" s="872"/>
      <c r="I7" s="872"/>
      <c r="J7" s="872"/>
      <c r="K7" s="872"/>
      <c r="L7" s="872"/>
      <c r="M7" s="872"/>
      <c r="N7" s="872"/>
      <c r="O7" s="872"/>
      <c r="P7" s="872"/>
      <c r="Q7" s="872"/>
      <c r="R7" s="872"/>
      <c r="S7" s="872"/>
      <c r="T7" s="872"/>
      <c r="U7" s="872"/>
      <c r="V7" s="872"/>
      <c r="W7" s="872"/>
      <c r="X7" s="872"/>
      <c r="Y7" s="872"/>
      <c r="Z7" s="872"/>
      <c r="AA7" s="872"/>
      <c r="AB7" s="872"/>
      <c r="AC7" s="872"/>
      <c r="AD7" s="872"/>
      <c r="AE7" s="872"/>
      <c r="AF7" s="872"/>
      <c r="AG7" s="872"/>
      <c r="AH7" s="872"/>
      <c r="AI7" s="872"/>
      <c r="AJ7" s="872"/>
      <c r="AK7" s="872"/>
      <c r="AL7" s="872"/>
      <c r="AM7" s="872"/>
      <c r="AN7" s="872"/>
      <c r="AO7" s="872"/>
      <c r="AP7" s="872"/>
      <c r="AQ7" s="872"/>
      <c r="AR7" s="872"/>
      <c r="AS7" s="872"/>
      <c r="AT7" s="872"/>
      <c r="AU7" s="872"/>
      <c r="AV7" s="872"/>
      <c r="AW7" s="872"/>
      <c r="AX7" s="872"/>
      <c r="AY7" s="872"/>
      <c r="AZ7" s="872"/>
      <c r="BA7" s="872"/>
      <c r="BB7" s="872"/>
      <c r="BC7" s="872"/>
      <c r="BD7" s="872"/>
      <c r="BE7" s="872"/>
      <c r="BF7" s="872"/>
      <c r="BG7" s="872"/>
      <c r="BH7" s="872"/>
      <c r="BI7" s="872"/>
      <c r="BJ7" s="872"/>
      <c r="BK7" s="872"/>
      <c r="BL7" s="872"/>
      <c r="BM7" s="872"/>
      <c r="BN7" s="872"/>
      <c r="BO7" s="872"/>
      <c r="BP7" s="872"/>
      <c r="BQ7" s="872"/>
      <c r="BR7" s="872"/>
      <c r="BS7" s="872"/>
    </row>
    <row r="8" spans="1:71" ht="30.75" customHeight="1" x14ac:dyDescent="0.25">
      <c r="A8" s="860" t="s">
        <v>304</v>
      </c>
      <c r="B8" s="860" t="s">
        <v>1379</v>
      </c>
      <c r="C8" s="863" t="s">
        <v>124</v>
      </c>
      <c r="D8" s="864"/>
      <c r="E8" s="865"/>
      <c r="F8" s="866" t="s">
        <v>6</v>
      </c>
      <c r="G8" s="866" t="s">
        <v>1380</v>
      </c>
      <c r="H8" s="860" t="s">
        <v>1479</v>
      </c>
      <c r="I8" s="860" t="s">
        <v>1480</v>
      </c>
      <c r="J8" s="860" t="s">
        <v>1481</v>
      </c>
      <c r="K8" s="860" t="s">
        <v>1482</v>
      </c>
      <c r="L8" s="860" t="s">
        <v>1483</v>
      </c>
      <c r="M8" s="860" t="s">
        <v>1518</v>
      </c>
      <c r="N8" s="860" t="s">
        <v>1519</v>
      </c>
      <c r="O8" s="860" t="s">
        <v>1484</v>
      </c>
      <c r="P8" s="860" t="s">
        <v>1485</v>
      </c>
      <c r="Q8" s="860" t="s">
        <v>1486</v>
      </c>
      <c r="R8" s="860" t="s">
        <v>1487</v>
      </c>
      <c r="S8" s="860" t="s">
        <v>1488</v>
      </c>
      <c r="T8" s="860" t="s">
        <v>1489</v>
      </c>
      <c r="U8" s="860" t="s">
        <v>1490</v>
      </c>
      <c r="V8" s="860" t="s">
        <v>1491</v>
      </c>
      <c r="W8" s="860" t="s">
        <v>1492</v>
      </c>
      <c r="X8" s="860" t="s">
        <v>1493</v>
      </c>
      <c r="Y8" s="860" t="s">
        <v>1494</v>
      </c>
      <c r="Z8" s="860" t="s">
        <v>1495</v>
      </c>
      <c r="AA8" s="860" t="s">
        <v>1496</v>
      </c>
      <c r="AB8" s="860" t="s">
        <v>1497</v>
      </c>
      <c r="AC8" s="860" t="s">
        <v>1498</v>
      </c>
      <c r="AD8" s="860" t="s">
        <v>1499</v>
      </c>
      <c r="AE8" s="860" t="s">
        <v>1500</v>
      </c>
      <c r="AF8" s="860" t="s">
        <v>1501</v>
      </c>
      <c r="AG8" s="860" t="s">
        <v>1502</v>
      </c>
      <c r="AH8" s="860" t="s">
        <v>1503</v>
      </c>
      <c r="AI8" s="860" t="s">
        <v>1504</v>
      </c>
      <c r="AJ8" s="860" t="s">
        <v>1505</v>
      </c>
      <c r="AK8" s="860" t="s">
        <v>1506</v>
      </c>
      <c r="AL8" s="860" t="s">
        <v>1555</v>
      </c>
      <c r="AM8" s="860" t="s">
        <v>1564</v>
      </c>
      <c r="AN8" s="860" t="s">
        <v>1565</v>
      </c>
      <c r="AO8" s="860" t="s">
        <v>1566</v>
      </c>
      <c r="AP8" s="860" t="s">
        <v>1567</v>
      </c>
      <c r="AQ8" s="860" t="s">
        <v>1568</v>
      </c>
      <c r="AR8" s="860" t="s">
        <v>1569</v>
      </c>
      <c r="AS8" s="860" t="s">
        <v>1570</v>
      </c>
      <c r="AT8" s="860" t="s">
        <v>1594</v>
      </c>
      <c r="AU8" s="860" t="s">
        <v>1571</v>
      </c>
      <c r="AV8" s="860" t="s">
        <v>1572</v>
      </c>
      <c r="AW8" s="860" t="s">
        <v>1573</v>
      </c>
      <c r="AX8" s="860" t="s">
        <v>1574</v>
      </c>
      <c r="AY8" s="860" t="s">
        <v>1575</v>
      </c>
      <c r="AZ8" s="860" t="s">
        <v>1576</v>
      </c>
      <c r="BA8" s="860" t="s">
        <v>1577</v>
      </c>
      <c r="BB8" s="860" t="s">
        <v>1578</v>
      </c>
      <c r="BC8" s="860" t="s">
        <v>1579</v>
      </c>
      <c r="BD8" s="860" t="s">
        <v>1580</v>
      </c>
      <c r="BE8" s="860" t="s">
        <v>1581</v>
      </c>
      <c r="BF8" s="860" t="s">
        <v>1582</v>
      </c>
      <c r="BG8" s="860" t="s">
        <v>1583</v>
      </c>
      <c r="BH8" s="860" t="s">
        <v>1584</v>
      </c>
      <c r="BI8" s="860" t="s">
        <v>1585</v>
      </c>
      <c r="BJ8" s="860" t="s">
        <v>1586</v>
      </c>
      <c r="BK8" s="860" t="s">
        <v>1587</v>
      </c>
      <c r="BL8" s="860" t="s">
        <v>1588</v>
      </c>
      <c r="BM8" s="860" t="s">
        <v>1589</v>
      </c>
      <c r="BN8" s="860" t="s">
        <v>1590</v>
      </c>
      <c r="BO8" s="860" t="s">
        <v>1591</v>
      </c>
      <c r="BP8" s="860" t="s">
        <v>1592</v>
      </c>
      <c r="BQ8" s="860" t="s">
        <v>1593</v>
      </c>
      <c r="BR8" s="860" t="s">
        <v>1381</v>
      </c>
      <c r="BS8" s="860" t="s">
        <v>1181</v>
      </c>
    </row>
    <row r="9" spans="1:71" ht="25.5" x14ac:dyDescent="0.25">
      <c r="A9" s="861"/>
      <c r="B9" s="861"/>
      <c r="C9" s="496" t="s">
        <v>115</v>
      </c>
      <c r="D9" s="496" t="s">
        <v>135</v>
      </c>
      <c r="E9" s="496" t="s">
        <v>1382</v>
      </c>
      <c r="F9" s="867"/>
      <c r="G9" s="867"/>
      <c r="H9" s="861"/>
      <c r="I9" s="861"/>
      <c r="J9" s="861"/>
      <c r="K9" s="861"/>
      <c r="L9" s="861"/>
      <c r="M9" s="861"/>
      <c r="N9" s="861"/>
      <c r="O9" s="861"/>
      <c r="P9" s="861"/>
      <c r="Q9" s="861"/>
      <c r="R9" s="861"/>
      <c r="S9" s="861"/>
      <c r="T9" s="861"/>
      <c r="U9" s="861"/>
      <c r="V9" s="861"/>
      <c r="W9" s="861"/>
      <c r="X9" s="861"/>
      <c r="Y9" s="861"/>
      <c r="Z9" s="861"/>
      <c r="AA9" s="861"/>
      <c r="AB9" s="861"/>
      <c r="AC9" s="861"/>
      <c r="AD9" s="861"/>
      <c r="AE9" s="861"/>
      <c r="AF9" s="861"/>
      <c r="AG9" s="861"/>
      <c r="AH9" s="861"/>
      <c r="AI9" s="861"/>
      <c r="AJ9" s="861"/>
      <c r="AK9" s="861"/>
      <c r="AL9" s="861"/>
      <c r="AM9" s="861"/>
      <c r="AN9" s="861"/>
      <c r="AO9" s="861"/>
      <c r="AP9" s="861"/>
      <c r="AQ9" s="861"/>
      <c r="AR9" s="861"/>
      <c r="AS9" s="861"/>
      <c r="AT9" s="861"/>
      <c r="AU9" s="861"/>
      <c r="AV9" s="861"/>
      <c r="AW9" s="861"/>
      <c r="AX9" s="861"/>
      <c r="AY9" s="861"/>
      <c r="AZ9" s="861"/>
      <c r="BA9" s="861"/>
      <c r="BB9" s="861"/>
      <c r="BC9" s="861"/>
      <c r="BD9" s="861"/>
      <c r="BE9" s="861"/>
      <c r="BF9" s="861"/>
      <c r="BG9" s="861"/>
      <c r="BH9" s="861"/>
      <c r="BI9" s="861"/>
      <c r="BJ9" s="861"/>
      <c r="BK9" s="861"/>
      <c r="BL9" s="861"/>
      <c r="BM9" s="861"/>
      <c r="BN9" s="861"/>
      <c r="BO9" s="861"/>
      <c r="BP9" s="861"/>
      <c r="BQ9" s="861"/>
      <c r="BR9" s="861"/>
      <c r="BS9" s="861"/>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1611</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62" t="s">
        <v>19</v>
      </c>
      <c r="B119" s="862"/>
      <c r="C119" s="862"/>
      <c r="D119" s="862"/>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7" t="s">
        <v>1419</v>
      </c>
      <c r="B4" s="877" t="s">
        <v>1420</v>
      </c>
      <c r="C4" s="877" t="s">
        <v>139</v>
      </c>
      <c r="D4" s="877" t="s">
        <v>1421</v>
      </c>
      <c r="E4" s="877"/>
      <c r="F4" s="877"/>
      <c r="G4" s="877"/>
      <c r="H4" s="877"/>
      <c r="I4" s="877"/>
      <c r="J4" s="874" t="s">
        <v>1422</v>
      </c>
      <c r="K4" s="875"/>
      <c r="L4" s="875"/>
      <c r="M4" s="875"/>
      <c r="N4" s="875"/>
      <c r="O4" s="876"/>
    </row>
    <row r="5" spans="1:16" s="669" customFormat="1" ht="31.5" x14ac:dyDescent="0.25">
      <c r="A5" s="877"/>
      <c r="B5" s="877"/>
      <c r="C5" s="877"/>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73" t="s">
        <v>1428</v>
      </c>
      <c r="B16" s="873"/>
      <c r="C16" s="873"/>
      <c r="D16" s="873"/>
      <c r="E16" s="873"/>
      <c r="F16" s="617">
        <f>SUM(F6:F15)</f>
        <v>35</v>
      </c>
      <c r="G16" s="618">
        <f>SUM(G6:G15)</f>
        <v>172.60599999999999</v>
      </c>
      <c r="H16" s="618"/>
      <c r="I16" s="618"/>
      <c r="J16" s="617"/>
      <c r="K16" s="617"/>
      <c r="L16" s="617">
        <f>SUM(L6:L15)</f>
        <v>73</v>
      </c>
      <c r="M16" s="618">
        <f>SUM(M6:M15)</f>
        <v>227.35253599999999</v>
      </c>
      <c r="N16" s="618"/>
      <c r="O16" s="470"/>
    </row>
    <row r="17" spans="1:15" ht="15.75" x14ac:dyDescent="0.25">
      <c r="A17" s="873" t="s">
        <v>1429</v>
      </c>
      <c r="B17" s="873"/>
      <c r="C17" s="873"/>
      <c r="D17" s="873"/>
      <c r="E17" s="873"/>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86"/>
  <sheetViews>
    <sheetView workbookViewId="0">
      <pane ySplit="4" topLeftCell="A378" activePane="bottomLeft" state="frozen"/>
      <selection activeCell="A10" sqref="A10:XFD10"/>
      <selection pane="bottomLeft" activeCell="A392" sqref="A392:XFD392"/>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47.42578125" style="366"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16856.23342199995</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5544.4965780000493</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1700</v>
      </c>
      <c r="G4" s="722" t="s">
        <v>141</v>
      </c>
      <c r="H4" s="723" t="s">
        <v>7</v>
      </c>
      <c r="I4" s="721" t="s">
        <v>1701</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+VLOOKUP(C7,Foundation!$C$8:$D$534,2,FALSE)</f>
        <v>DA+3</v>
      </c>
      <c r="E7" s="376" t="str">
        <f>+VLOOKUP(C7,Foundation!$C$8:$E$496,3,FALSE)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+VLOOKUP(C8,Foundation!$C$8:$D$534,2,FALSE)</f>
        <v>DA+3</v>
      </c>
      <c r="E8" s="376" t="str">
        <f>+VLOOKUP(C8,Foundation!$C$8:$E$496,3,FALSE)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+VLOOKUP(C9,Foundation!$C$8:$D$534,2,FALSE)</f>
        <v>DA+3</v>
      </c>
      <c r="E9" s="376" t="str">
        <f>+VLOOKUP(C9,Foundation!$C$8:$E$496,3,FALSE)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+VLOOKUP(C10,Foundation!$C$8:$D$534,2,FALSE)</f>
        <v>DA+3</v>
      </c>
      <c r="E10" s="376" t="str">
        <f>+VLOOKUP(C10,Foundation!$C$8:$E$496,3,FALSE)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+VLOOKUP(C11,Foundation!$C$8:$D$534,2,FALSE)</f>
        <v>DA+6</v>
      </c>
      <c r="E11" s="376" t="str">
        <f>+VLOOKUP(C11,Foundation!$C$8:$E$496,3,FALSE)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+VLOOKUP(C12,Foundation!$C$8:$D$534,2,FALSE)</f>
        <v>DA+0</v>
      </c>
      <c r="E12" s="376" t="str">
        <f>+VLOOKUP(C12,Foundation!$C$8:$E$496,3,FALSE)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+VLOOKUP(C13,Foundation!$C$8:$D$534,2,FALSE)</f>
        <v>DA+3</v>
      </c>
      <c r="E13" s="376" t="str">
        <f>+VLOOKUP(C13,Foundation!$C$8:$E$496,3,FALSE)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+VLOOKUP(C14,Foundation!$C$8:$D$534,2,FALSE)</f>
        <v>DA+3</v>
      </c>
      <c r="E14" s="376" t="str">
        <f>+VLOOKUP(C14,Foundation!$C$8:$E$496,3,FALSE)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+VLOOKUP(C15,Foundation!$C$8:$D$534,2,FALSE)</f>
        <v>DA+6</v>
      </c>
      <c r="E15" s="376" t="str">
        <f>+VLOOKUP(C15,Foundation!$C$8:$E$496,3,FALSE)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+VLOOKUP(C16,Foundation!$C$8:$D$534,2,FALSE)</f>
        <v>DA+3</v>
      </c>
      <c r="E16" s="376" t="str">
        <f>+VLOOKUP(C16,Foundation!$C$8:$E$496,3,FALSE)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+VLOOKUP(C17,Foundation!$C$8:$D$534,2,FALSE)</f>
        <v>DA+0</v>
      </c>
      <c r="E17" s="376" t="str">
        <f>+VLOOKUP(C17,Foundation!$C$8:$E$496,3,FALSE)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+VLOOKUP(C18,Foundation!$C$8:$D$534,2,FALSE)</f>
        <v>DA+0</v>
      </c>
      <c r="E18" s="376" t="str">
        <f>+VLOOKUP(C18,Foundation!$C$8:$E$496,3,FALSE)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+VLOOKUP(C19,Foundation!$C$8:$D$534,2,FALSE)</f>
        <v>DA+3</v>
      </c>
      <c r="E19" s="376" t="str">
        <f>+VLOOKUP(C19,Foundation!$C$8:$E$496,3,FALSE)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+VLOOKUP(C20,Foundation!$C$8:$D$534,2,FALSE)</f>
        <v>DA+0</v>
      </c>
      <c r="E20" s="376" t="str">
        <f>+VLOOKUP(C20,Foundation!$C$8:$E$496,3,FALSE)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+VLOOKUP(C21,Foundation!$C$8:$D$534,2,FALSE)</f>
        <v>DA+0</v>
      </c>
      <c r="E21" s="376" t="str">
        <f>+VLOOKUP(C21,Foundation!$C$8:$E$496,3,FALSE)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+VLOOKUP(C22,Foundation!$C$8:$D$534,2,FALSE)</f>
        <v>DA+3</v>
      </c>
      <c r="E22" s="376" t="str">
        <f>+VLOOKUP(C22,Foundation!$C$8:$E$496,3,FALSE)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+VLOOKUP(C23,Foundation!$C$8:$D$534,2,FALSE)</f>
        <v>DA+3</v>
      </c>
      <c r="E23" s="376" t="str">
        <f>+VLOOKUP(C23,Foundation!$C$8:$E$496,3,FALSE)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+VLOOKUP(C24,Foundation!$C$8:$D$534,2,FALSE)</f>
        <v>DA+3</v>
      </c>
      <c r="E24" s="376" t="str">
        <f>+VLOOKUP(C24,Foundation!$C$8:$E$496,3,FALSE)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+VLOOKUP(C25,Foundation!$C$8:$D$534,2,FALSE)</f>
        <v>DA+0</v>
      </c>
      <c r="E25" s="376" t="str">
        <f>+VLOOKUP(C25,Foundation!$C$8:$E$496,3,FALSE)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+VLOOKUP(C26,Foundation!$C$8:$D$534,2,FALSE)</f>
        <v>DB1+3</v>
      </c>
      <c r="E26" s="376" t="str">
        <f>+VLOOKUP(C26,Foundation!$C$8:$E$496,3,FALSE)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+VLOOKUP(C27,Foundation!$C$8:$D$534,2,FALSE)</f>
        <v>DA+3</v>
      </c>
      <c r="E27" s="376" t="str">
        <f>+VLOOKUP(C27,Foundation!$C$8:$E$496,3,FALSE)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+VLOOKUP(C28,Foundation!$C$8:$D$534,2,FALSE)</f>
        <v>DA+0</v>
      </c>
      <c r="E28" s="376" t="str">
        <f>+VLOOKUP(C28,Foundation!$C$8:$E$496,3,FALSE)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+VLOOKUP(C29,Foundation!$C$8:$D$534,2,FALSE)</f>
        <v>DA+3</v>
      </c>
      <c r="E29" s="376" t="str">
        <f>+VLOOKUP(C29,Foundation!$C$8:$E$496,3,FALSE)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+VLOOKUP(C30,Foundation!$C$8:$D$534,2,FALSE)</f>
        <v>DA+3</v>
      </c>
      <c r="E30" s="376" t="str">
        <f>+VLOOKUP(C30,Foundation!$C$8:$E$496,3,FALSE)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+VLOOKUP(C31,Foundation!$C$8:$D$534,2,FALSE)</f>
        <v>DA+0</v>
      </c>
      <c r="E31" s="376" t="str">
        <f>+VLOOKUP(C31,Foundation!$C$8:$E$496,3,FALSE)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+VLOOKUP(C32,Foundation!$C$8:$D$534,2,FALSE)</f>
        <v>DA+3</v>
      </c>
      <c r="E32" s="376" t="str">
        <f>+VLOOKUP(C32,Foundation!$C$8:$E$496,3,FALSE)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+VLOOKUP(C33,Foundation!$C$8:$D$534,2,FALSE)</f>
        <v>DA+9</v>
      </c>
      <c r="E33" s="376" t="str">
        <f>+VLOOKUP(C33,Foundation!$C$8:$E$496,3,FALSE)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+VLOOKUP(C34,Foundation!$C$8:$D$534,2,FALSE)</f>
        <v>DA+0</v>
      </c>
      <c r="E34" s="376" t="str">
        <f>+VLOOKUP(C34,Foundation!$C$8:$E$496,3,FALSE)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+VLOOKUP(C35,Foundation!$C$8:$D$534,2,FALSE)</f>
        <v>DA+0</v>
      </c>
      <c r="E35" s="376" t="str">
        <f>+VLOOKUP(C35,Foundation!$C$8:$E$496,3,FALSE)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+VLOOKUP(C36,Foundation!$C$8:$D$534,2,FALSE)</f>
        <v>DA+3</v>
      </c>
      <c r="E36" s="376" t="str">
        <f>+VLOOKUP(C36,Foundation!$C$8:$E$496,3,FALSE)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+VLOOKUP(C37,Foundation!$C$8:$D$534,2,FALSE)</f>
        <v>DA+3</v>
      </c>
      <c r="E37" s="376" t="str">
        <f>+VLOOKUP(C37,Foundation!$C$8:$E$496,3,FALSE)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+VLOOKUP(C38,Foundation!$C$8:$D$534,2,FALSE)</f>
        <v>DA+3</v>
      </c>
      <c r="E38" s="376" t="str">
        <f>+VLOOKUP(C38,Foundation!$C$8:$E$496,3,FALSE)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+VLOOKUP(C39,Foundation!$C$8:$D$534,2,FALSE)</f>
        <v>DA+0</v>
      </c>
      <c r="E39" s="376" t="str">
        <f>+VLOOKUP(C39,Foundation!$C$8:$E$496,3,FALSE)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+VLOOKUP(C40,Foundation!$C$8:$D$534,2,FALSE)</f>
        <v>DA+0</v>
      </c>
      <c r="E40" s="376" t="str">
        <f>+VLOOKUP(C40,Foundation!$C$8:$E$496,3,FALSE)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+VLOOKUP(C41,Foundation!$C$8:$D$534,2,FALSE)</f>
        <v>DA+3</v>
      </c>
      <c r="E41" s="376" t="str">
        <f>+VLOOKUP(C41,Foundation!$C$8:$E$496,3,FALSE)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+VLOOKUP(C42,Foundation!$C$8:$D$534,2,FALSE)</f>
        <v>DA+3</v>
      </c>
      <c r="E42" s="376" t="str">
        <f>+VLOOKUP(C42,Foundation!$C$8:$E$496,3,FALSE)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+VLOOKUP(C43,Foundation!$C$8:$D$534,2,FALSE)</f>
        <v>DA+0</v>
      </c>
      <c r="E43" s="376" t="str">
        <f>+VLOOKUP(C43,Foundation!$C$8:$E$496,3,FALSE)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+VLOOKUP(C44,Foundation!$C$8:$D$534,2,FALSE)</f>
        <v>DA+0</v>
      </c>
      <c r="E44" s="376" t="str">
        <f>+VLOOKUP(C44,Foundation!$C$8:$E$496,3,FALSE)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+VLOOKUP(C45,Foundation!$C$8:$D$534,2,FALSE)</f>
        <v>DA+9</v>
      </c>
      <c r="E45" s="376" t="str">
        <f>+VLOOKUP(C45,Foundation!$C$8:$E$496,3,FALSE)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+VLOOKUP(C46,Foundation!$C$8:$D$534,2,FALSE)</f>
        <v>DA+3</v>
      </c>
      <c r="E46" s="376" t="str">
        <f>+VLOOKUP(C46,Foundation!$C$8:$E$496,3,FALSE)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+VLOOKUP(C47,Foundation!$C$8:$D$534,2,FALSE)</f>
        <v>DA+3</v>
      </c>
      <c r="E47" s="376" t="str">
        <f>+VLOOKUP(C47,Foundation!$C$8:$E$496,3,FALSE)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+VLOOKUP(C48,Foundation!$C$8:$D$534,2,FALSE)</f>
        <v>DA+0</v>
      </c>
      <c r="E48" s="376" t="str">
        <f>+VLOOKUP(C48,Foundation!$C$8:$E$496,3,FALSE)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+VLOOKUP(C49,Foundation!$C$8:$D$534,2,FALSE)</f>
        <v>DA+3</v>
      </c>
      <c r="E49" s="376" t="str">
        <f>+VLOOKUP(C49,Foundation!$C$8:$E$496,3,FALSE)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+VLOOKUP(C50,Foundation!$C$8:$D$534,2,FALSE)</f>
        <v>DA+0</v>
      </c>
      <c r="E50" s="376" t="str">
        <f>+VLOOKUP(C50,Foundation!$C$8:$E$496,3,FALSE)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+VLOOKUP(C51,Foundation!$C$8:$D$534,2,FALSE)</f>
        <v>DA+3</v>
      </c>
      <c r="E51" s="376" t="str">
        <f>+VLOOKUP(C51,Foundation!$C$8:$E$496,3,FALSE)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+VLOOKUP(C52,Foundation!$C$8:$D$534,2,FALSE)</f>
        <v>DA+3</v>
      </c>
      <c r="E52" s="376" t="str">
        <f>+VLOOKUP(C52,Foundation!$C$8:$E$496,3,FALSE)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+VLOOKUP(C53,Foundation!$C$8:$D$534,2,FALSE)</f>
        <v>DA+3</v>
      </c>
      <c r="E53" s="376" t="str">
        <f>+VLOOKUP(C53,Foundation!$C$8:$E$496,3,FALSE)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+VLOOKUP(C54,Foundation!$C$8:$D$534,2,FALSE)</f>
        <v>DA+0</v>
      </c>
      <c r="E54" s="376" t="str">
        <f>+VLOOKUP(C54,Foundation!$C$8:$E$496,3,FALSE)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+VLOOKUP(C55,Foundation!$C$8:$D$534,2,FALSE)</f>
        <v>DB2+0</v>
      </c>
      <c r="E55" s="376" t="str">
        <f>+VLOOKUP(C55,Foundation!$C$8:$E$496,3,FALSE)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+VLOOKUP(C56,Foundation!$C$8:$D$534,2,FALSE)</f>
        <v>DA+0</v>
      </c>
      <c r="E56" s="376" t="str">
        <f>+VLOOKUP(C56,Foundation!$C$8:$E$496,3,FALSE)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+VLOOKUP(C57,Foundation!$C$8:$D$534,2,FALSE)</f>
        <v>DA+0</v>
      </c>
      <c r="E57" s="376" t="str">
        <f>+VLOOKUP(C57,Foundation!$C$8:$E$496,3,FALSE)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+VLOOKUP(C58,Foundation!$C$8:$D$534,2,FALSE)</f>
        <v>DA+3</v>
      </c>
      <c r="E58" s="376" t="str">
        <f>+VLOOKUP(C58,Foundation!$C$8:$E$496,3,FALSE)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+VLOOKUP(C59,Foundation!$C$8:$D$534,2,FALSE)</f>
        <v>DA+3</v>
      </c>
      <c r="E59" s="376" t="str">
        <f>+VLOOKUP(C59,Foundation!$C$8:$E$496,3,FALSE)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+VLOOKUP(C60,Foundation!$C$8:$D$534,2,FALSE)</f>
        <v>DA+3</v>
      </c>
      <c r="E60" s="376" t="str">
        <f>+VLOOKUP(C60,Foundation!$C$8:$E$496,3,FALSE)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+VLOOKUP(C61,Foundation!$C$8:$D$534,2,FALSE)</f>
        <v>DA+6</v>
      </c>
      <c r="E61" s="376" t="str">
        <f>+VLOOKUP(C61,Foundation!$C$8:$E$496,3,FALSE)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+VLOOKUP(C62,Foundation!$C$8:$D$534,2,FALSE)</f>
        <v>DA+0</v>
      </c>
      <c r="E62" s="376" t="str">
        <f>+VLOOKUP(C62,Foundation!$C$8:$E$496,3,FALSE)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+VLOOKUP(C63,Foundation!$C$8:$D$534,2,FALSE)</f>
        <v>DA+6</v>
      </c>
      <c r="E63" s="376" t="str">
        <f>+VLOOKUP(C63,Foundation!$C$8:$E$496,3,FALSE)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+VLOOKUP(C64,Foundation!$C$8:$D$534,2,FALSE)</f>
        <v>DA+0</v>
      </c>
      <c r="E64" s="376" t="str">
        <f>+VLOOKUP(C64,Foundation!$C$8:$E$496,3,FALSE)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+VLOOKUP(C65,Foundation!$C$8:$D$534,2,FALSE)</f>
        <v>DB1+0</v>
      </c>
      <c r="E65" s="376" t="str">
        <f>+VLOOKUP(C65,Foundation!$C$8:$E$496,3,FALSE)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+VLOOKUP(C66,Foundation!$C$8:$D$534,2,FALSE)</f>
        <v>DA+3</v>
      </c>
      <c r="E66" s="376" t="str">
        <f>+VLOOKUP(C66,Foundation!$C$8:$E$496,3,FALSE)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+VLOOKUP(C67,Foundation!$C$8:$D$534,2,FALSE)</f>
        <v>DA+6</v>
      </c>
      <c r="E67" s="376" t="str">
        <f>+VLOOKUP(C67,Foundation!$C$8:$E$496,3,FALSE)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+VLOOKUP(C68,Foundation!$C$8:$D$534,2,FALSE)</f>
        <v>DA+0</v>
      </c>
      <c r="E68" s="376" t="str">
        <f>+VLOOKUP(C68,Foundation!$C$8:$E$496,3,FALSE)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+VLOOKUP(C69,Foundation!$C$8:$D$534,2,FALSE)</f>
        <v>DA+3</v>
      </c>
      <c r="E69" s="376" t="str">
        <f>+VLOOKUP(C69,Foundation!$C$8:$E$496,3,FALSE)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+VLOOKUP(C70,Foundation!$C$8:$D$534,2,FALSE)</f>
        <v>DB2+0</v>
      </c>
      <c r="E70" s="376" t="str">
        <f>+VLOOKUP(C70,Foundation!$C$8:$E$496,3,FALSE)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+VLOOKUP(C71,Foundation!$C$8:$D$534,2,FALSE)</f>
        <v>DA+3</v>
      </c>
      <c r="E71" s="376" t="str">
        <f>+VLOOKUP(C71,Foundation!$C$8:$E$496,3,FALSE)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+VLOOKUP(C72,Foundation!$C$8:$D$534,2,FALSE)</f>
        <v>DA+6</v>
      </c>
      <c r="E72" s="376" t="str">
        <f>+VLOOKUP(C72,Foundation!$C$8:$E$496,3,FALSE)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+VLOOKUP(C73,Foundation!$C$8:$D$534,2,FALSE)</f>
        <v>DC1+0</v>
      </c>
      <c r="E73" s="376" t="str">
        <f>+VLOOKUP(C73,Foundation!$C$8:$E$496,3,FALSE)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+VLOOKUP(C74,Foundation!$C$8:$D$534,2,FALSE)</f>
        <v>DA+3</v>
      </c>
      <c r="E74" s="376" t="str">
        <f>+VLOOKUP(C74,Foundation!$C$8:$E$496,3,FALSE)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+VLOOKUP(C75,Foundation!$C$8:$D$534,2,FALSE)</f>
        <v>DC1+0</v>
      </c>
      <c r="E75" s="376" t="str">
        <f>+VLOOKUP(C75,Foundation!$C$8:$E$496,3,FALSE)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+VLOOKUP(C76,Foundation!$C$8:$D$534,2,FALSE)</f>
        <v>DA+9</v>
      </c>
      <c r="E76" s="376" t="str">
        <f>+VLOOKUP(C76,Foundation!$C$8:$E$496,3,FALSE)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+VLOOKUP(C77,Foundation!$C$8:$D$534,2,FALSE)</f>
        <v>DA+3</v>
      </c>
      <c r="E77" s="376" t="str">
        <f>+VLOOKUP(C77,Foundation!$C$8:$E$496,3,FALSE)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+VLOOKUP(C78,Foundation!$C$8:$D$534,2,FALSE)</f>
        <v>DA+0</v>
      </c>
      <c r="E78" s="376" t="str">
        <f>+VLOOKUP(C78,Foundation!$C$8:$E$496,3,FALSE)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+VLOOKUP(C79,Foundation!$C$8:$D$534,2,FALSE)</f>
        <v>DA+6</v>
      </c>
      <c r="E79" s="376" t="str">
        <f>+VLOOKUP(C79,Foundation!$C$8:$E$496,3,FALSE)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+VLOOKUP(C80,Foundation!$C$8:$D$534,2,FALSE)</f>
        <v>DA+6</v>
      </c>
      <c r="E80" s="376" t="str">
        <f>+VLOOKUP(C80,Foundation!$C$8:$E$496,3,FALSE)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+VLOOKUP(C81,Foundation!$C$8:$D$534,2,FALSE)</f>
        <v>DA+0</v>
      </c>
      <c r="E81" s="376" t="str">
        <f>+VLOOKUP(C81,Foundation!$C$8:$E$496,3,FALSE)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+VLOOKUP(C82,Foundation!$C$8:$D$534,2,FALSE)</f>
        <v>DA+0</v>
      </c>
      <c r="E82" s="376" t="str">
        <f>+VLOOKUP(C82,Foundation!$C$8:$E$496,3,FALSE)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+VLOOKUP(C83,Foundation!$C$8:$D$534,2,FALSE)</f>
        <v>DA+0</v>
      </c>
      <c r="E83" s="376" t="str">
        <f>+VLOOKUP(C83,Foundation!$C$8:$E$496,3,FALSE)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+VLOOKUP(C84,Foundation!$C$8:$D$534,2,FALSE)</f>
        <v>DA+0</v>
      </c>
      <c r="E84" s="376" t="str">
        <f>+VLOOKUP(C84,Foundation!$C$8:$E$496,3,FALSE)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+VLOOKUP(C85,Foundation!$C$8:$D$534,2,FALSE)</f>
        <v>DA+3</v>
      </c>
      <c r="E85" s="376" t="str">
        <f>+VLOOKUP(C85,Foundation!$C$8:$E$496,3,FALSE)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+VLOOKUP(C86,Foundation!$C$8:$D$534,2,FALSE)</f>
        <v>DA+3</v>
      </c>
      <c r="E86" s="376" t="str">
        <f>+VLOOKUP(C86,Foundation!$C$8:$E$496,3,FALSE)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+VLOOKUP(C87,Foundation!$C$8:$D$534,2,FALSE)</f>
        <v>DA+3</v>
      </c>
      <c r="E87" s="376" t="str">
        <f>+VLOOKUP(C87,Foundation!$C$8:$E$496,3,FALSE)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+VLOOKUP(C88,Foundation!$C$8:$D$534,2,FALSE)</f>
        <v>DA+3</v>
      </c>
      <c r="E88" s="376" t="str">
        <f>+VLOOKUP(C88,Foundation!$C$8:$E$496,3,FALSE)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+VLOOKUP(C89,Foundation!$C$8:$D$534,2,FALSE)</f>
        <v>DA+3</v>
      </c>
      <c r="E89" s="376" t="str">
        <f>+VLOOKUP(C89,Foundation!$C$8:$E$496,3,FALSE)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+VLOOKUP(C90,Foundation!$C$8:$D$534,2,FALSE)</f>
        <v>DA+0</v>
      </c>
      <c r="E90" s="376" t="str">
        <f>+VLOOKUP(C90,Foundation!$C$8:$E$496,3,FALSE)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+VLOOKUP(C91,Foundation!$C$8:$D$534,2,FALSE)</f>
        <v>DA+3</v>
      </c>
      <c r="E91" s="376" t="str">
        <f>+VLOOKUP(C91,Foundation!$C$8:$E$496,3,FALSE)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+VLOOKUP(C92,Foundation!$C$8:$D$534,2,FALSE)</f>
        <v>DB2+0</v>
      </c>
      <c r="E92" s="376" t="str">
        <f>+VLOOKUP(C92,Foundation!$C$8:$E$496,3,FALSE)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+VLOOKUP(C93,Foundation!$C$8:$D$534,2,FALSE)</f>
        <v>DA+0</v>
      </c>
      <c r="E93" s="376" t="str">
        <f>+VLOOKUP(C93,Foundation!$C$8:$E$496,3,FALSE)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+VLOOKUP(C94,Foundation!$C$8:$D$534,2,FALSE)</f>
        <v>DA+3</v>
      </c>
      <c r="E94" s="376" t="str">
        <f>+VLOOKUP(C94,Foundation!$C$8:$E$496,3,FALSE)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+VLOOKUP(C95,Foundation!$C$8:$D$534,2,FALSE)</f>
        <v>DA+0</v>
      </c>
      <c r="E95" s="376" t="str">
        <f>+VLOOKUP(C95,Foundation!$C$8:$E$496,3,FALSE)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+VLOOKUP(C96,Foundation!$C$8:$D$534,2,FALSE)</f>
        <v>DA+9</v>
      </c>
      <c r="E96" s="376" t="str">
        <f>+VLOOKUP(C96,Foundation!$C$8:$E$496,3,FALSE)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+VLOOKUP(C97,Foundation!$C$8:$D$534,2,FALSE)</f>
        <v>DA+0</v>
      </c>
      <c r="E97" s="376" t="str">
        <f>+VLOOKUP(C97,Foundation!$C$8:$E$496,3,FALSE)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+VLOOKUP(C98,Foundation!$C$8:$D$534,2,FALSE)</f>
        <v>DA+0</v>
      </c>
      <c r="E98" s="376" t="str">
        <f>+VLOOKUP(C98,Foundation!$C$8:$E$496,3,FALSE)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+VLOOKUP(C99,Foundation!$C$8:$D$534,2,FALSE)</f>
        <v>DA+3</v>
      </c>
      <c r="E99" s="376" t="str">
        <f>+VLOOKUP(C99,Foundation!$C$8:$E$496,3,FALSE)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+VLOOKUP(C100,Foundation!$C$8:$D$534,2,FALSE)</f>
        <v>DA+9</v>
      </c>
      <c r="E100" s="376" t="str">
        <f>+VLOOKUP(C100,Foundation!$C$8:$E$496,3,FALSE)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+VLOOKUP(C101,Foundation!$C$8:$D$534,2,FALSE)</f>
        <v>DA+3</v>
      </c>
      <c r="E101" s="376" t="str">
        <f>+VLOOKUP(C101,Foundation!$C$8:$E$496,3,FALSE)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+VLOOKUP(C102,Foundation!$C$8:$D$534,2,FALSE)</f>
        <v>DA+0</v>
      </c>
      <c r="E102" s="376" t="str">
        <f>+VLOOKUP(C102,Foundation!$C$8:$E$496,3,FALSE)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+VLOOKUP(C103,Foundation!$C$8:$D$534,2,FALSE)</f>
        <v>DA+0</v>
      </c>
      <c r="E103" s="376" t="str">
        <f>+VLOOKUP(C103,Foundation!$C$8:$E$496,3,FALSE)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+VLOOKUP(C104,Foundation!$C$8:$D$534,2,FALSE)</f>
        <v>DA+0</v>
      </c>
      <c r="E104" s="376" t="str">
        <f>+VLOOKUP(C104,Foundation!$C$8:$E$496,3,FALSE)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+VLOOKUP(C105,Foundation!$C$8:$D$534,2,FALSE)</f>
        <v>DA+6</v>
      </c>
      <c r="E105" s="376" t="str">
        <f>+VLOOKUP(C105,Foundation!$C$8:$E$496,3,FALSE)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+VLOOKUP(C106,Foundation!$C$8:$D$534,2,FALSE)</f>
        <v>DA+3</v>
      </c>
      <c r="E106" s="376" t="str">
        <f>+VLOOKUP(C106,Foundation!$C$8:$E$496,3,FALSE)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+VLOOKUP(C107,Foundation!$C$8:$D$534,2,FALSE)</f>
        <v>DA+0</v>
      </c>
      <c r="E107" s="376" t="str">
        <f>+VLOOKUP(C107,Foundation!$C$8:$E$496,3,FALSE)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+VLOOKUP(C108,Foundation!$C$8:$D$534,2,FALSE)</f>
        <v>DA+3</v>
      </c>
      <c r="E108" s="376" t="str">
        <f>+VLOOKUP(C108,Foundation!$C$8:$E$496,3,FALSE)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+VLOOKUP(C109,Foundation!$C$8:$D$534,2,FALSE)</f>
        <v>DA+0</v>
      </c>
      <c r="E109" s="376" t="str">
        <f>+VLOOKUP(C109,Foundation!$C$8:$E$496,3,FALSE)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+VLOOKUP(C110,Foundation!$C$8:$D$534,2,FALSE)</f>
        <v>DA+3</v>
      </c>
      <c r="E110" s="376" t="str">
        <f>+VLOOKUP(C110,Foundation!$C$8:$E$496,3,FALSE)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+VLOOKUP(C111,Foundation!$C$8:$D$534,2,FALSE)</f>
        <v>DA+0</v>
      </c>
      <c r="E111" s="376" t="str">
        <f>+VLOOKUP(C111,Foundation!$C$8:$E$496,3,FALSE)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+VLOOKUP(C112,Foundation!$C$8:$D$534,2,FALSE)</f>
        <v>DB2+0</v>
      </c>
      <c r="E112" s="376" t="str">
        <f>+VLOOKUP(C112,Foundation!$C$8:$E$496,3,FALSE)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+VLOOKUP(C113,Foundation!$C$8:$D$534,2,FALSE)</f>
        <v>DA+3</v>
      </c>
      <c r="E113" s="376" t="str">
        <f>+VLOOKUP(C113,Foundation!$C$8:$E$496,3,FALSE)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+VLOOKUP(C114,Foundation!$C$8:$D$534,2,FALSE)</f>
        <v>DA+0</v>
      </c>
      <c r="E114" s="376" t="str">
        <f>+VLOOKUP(C114,Foundation!$C$8:$E$496,3,FALSE)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+VLOOKUP(C115,Foundation!$C$8:$D$534,2,FALSE)</f>
        <v>DA+0</v>
      </c>
      <c r="E115" s="376" t="str">
        <f>+VLOOKUP(C115,Foundation!$C$8:$E$496,3,FALSE)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+VLOOKUP(C116,Foundation!$C$8:$D$534,2,FALSE)</f>
        <v>DA+3</v>
      </c>
      <c r="E116" s="376" t="str">
        <f>+VLOOKUP(C116,Foundation!$C$8:$E$496,3,FALSE)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+VLOOKUP(C117,Foundation!$C$8:$D$534,2,FALSE)</f>
        <v>DA+3</v>
      </c>
      <c r="E117" s="376" t="str">
        <f>+VLOOKUP(C117,Foundation!$C$8:$E$496,3,FALSE)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+VLOOKUP(C118,Foundation!$C$8:$D$534,2,FALSE)</f>
        <v>DA+6</v>
      </c>
      <c r="E118" s="376" t="str">
        <f>+VLOOKUP(C118,Foundation!$C$8:$E$496,3,FALSE)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+VLOOKUP(C119,Foundation!$C$8:$D$534,2,FALSE)</f>
        <v>DA+9</v>
      </c>
      <c r="E119" s="376" t="str">
        <f>+VLOOKUP(C119,Foundation!$C$8:$E$496,3,FALSE)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+VLOOKUP(C120,Foundation!$C$8:$D$534,2,FALSE)</f>
        <v>DA+3</v>
      </c>
      <c r="E120" s="376" t="str">
        <f>+VLOOKUP(C120,Foundation!$C$8:$E$496,3,FALSE)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+VLOOKUP(C121,Foundation!$C$8:$D$534,2,FALSE)</f>
        <v>DA+6</v>
      </c>
      <c r="E121" s="376" t="str">
        <f>+VLOOKUP(C121,Foundation!$C$8:$E$496,3,FALSE)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+VLOOKUP(C122,Foundation!$C$8:$D$534,2,FALSE)</f>
        <v>DA+6</v>
      </c>
      <c r="E122" s="376" t="str">
        <f>+VLOOKUP(C122,Foundation!$C$8:$E$496,3,FALSE)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+VLOOKUP(C123,Foundation!$C$8:$D$534,2,FALSE)</f>
        <v>DC2+0</v>
      </c>
      <c r="E123" s="376" t="str">
        <f>+VLOOKUP(C123,Foundation!$C$8:$E$496,3,FALSE)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+VLOOKUP(C124,Foundation!$C$8:$D$534,2,FALSE)</f>
        <v>DA+6</v>
      </c>
      <c r="E124" s="376" t="str">
        <f>+VLOOKUP(C124,Foundation!$C$8:$E$496,3,FALSE)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+VLOOKUP(C125,Foundation!$C$8:$D$534,2,FALSE)</f>
        <v>DA+0</v>
      </c>
      <c r="E125" s="376" t="str">
        <f>+VLOOKUP(C125,Foundation!$C$8:$E$496,3,FALSE)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+VLOOKUP(C126,Foundation!$C$8:$D$534,2,FALSE)</f>
        <v>DA+3</v>
      </c>
      <c r="E126" s="376" t="str">
        <f>+VLOOKUP(C126,Foundation!$C$8:$E$496,3,FALSE)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+VLOOKUP(C127,Foundation!$C$8:$D$534,2,FALSE)</f>
        <v>DA+9</v>
      </c>
      <c r="E127" s="376" t="str">
        <f>+VLOOKUP(C127,Foundation!$C$8:$E$496,3,FALSE)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+VLOOKUP(C128,Foundation!$C$8:$D$534,2,FALSE)</f>
        <v>DA+3</v>
      </c>
      <c r="E128" s="376" t="str">
        <f>+VLOOKUP(C128,Foundation!$C$8:$E$496,3,FALSE)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+VLOOKUP(C129,Foundation!$C$8:$D$534,2,FALSE)</f>
        <v>DA+0</v>
      </c>
      <c r="E129" s="376" t="str">
        <f>+VLOOKUP(C129,Foundation!$C$8:$E$496,3,FALSE)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+VLOOKUP(C130,Foundation!$C$8:$D$534,2,FALSE)</f>
        <v>DC2+0</v>
      </c>
      <c r="E130" s="376" t="str">
        <f>+VLOOKUP(C130,Foundation!$C$8:$E$496,3,FALSE)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+VLOOKUP(C131,Foundation!$C$8:$D$534,2,FALSE)</f>
        <v>DA+6</v>
      </c>
      <c r="E131" s="376" t="str">
        <f>+VLOOKUP(C131,Foundation!$C$8:$E$496,3,FALSE)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+VLOOKUP(C132,Foundation!$C$8:$D$534,2,FALSE)</f>
        <v>DC1+0</v>
      </c>
      <c r="E132" s="376" t="str">
        <f>+VLOOKUP(C132,Foundation!$C$8:$E$496,3,FALSE)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+VLOOKUP(C133,Foundation!$C$8:$D$534,2,FALSE)</f>
        <v>DA+0</v>
      </c>
      <c r="E133" s="376" t="str">
        <f>+VLOOKUP(C133,Foundation!$C$8:$E$496,3,FALSE)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+VLOOKUP(C134,Foundation!$C$8:$D$534,2,FALSE)</f>
        <v>DA+0</v>
      </c>
      <c r="E134" s="376" t="str">
        <f>+VLOOKUP(C134,Foundation!$C$8:$E$496,3,FALSE)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+VLOOKUP(C135,Foundation!$C$8:$D$534,2,FALSE)</f>
        <v>DA+9</v>
      </c>
      <c r="E135" s="376" t="str">
        <f>+VLOOKUP(C135,Foundation!$C$8:$E$496,3,FALSE)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+VLOOKUP(C136,Foundation!$C$8:$D$534,2,FALSE)</f>
        <v>DA+0</v>
      </c>
      <c r="E136" s="376" t="str">
        <f>+VLOOKUP(C136,Foundation!$C$8:$E$496,3,FALSE)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+VLOOKUP(C137,Foundation!$C$8:$D$534,2,FALSE)</f>
        <v>DB1+0</v>
      </c>
      <c r="E137" s="376" t="str">
        <f>+VLOOKUP(C137,Foundation!$C$8:$E$496,3,FALSE)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+VLOOKUP(C138,Foundation!$C$8:$D$534,2,FALSE)</f>
        <v>DA+3</v>
      </c>
      <c r="E138" s="376" t="str">
        <f>+VLOOKUP(C138,Foundation!$C$8:$E$496,3,FALSE)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+VLOOKUP(C139,Foundation!$C$8:$D$534,2,FALSE)</f>
        <v>DA+0</v>
      </c>
      <c r="E139" s="376" t="str">
        <f>+VLOOKUP(C139,Foundation!$C$8:$E$496,3,FALSE)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+VLOOKUP(C140,Foundation!$C$8:$D$534,2,FALSE)</f>
        <v>DA+3</v>
      </c>
      <c r="E140" s="376" t="str">
        <f>+VLOOKUP(C140,Foundation!$C$8:$E$496,3,FALSE)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+VLOOKUP(C141,Foundation!$C$8:$D$534,2,FALSE)</f>
        <v>DA+3</v>
      </c>
      <c r="E141" s="376" t="str">
        <f>+VLOOKUP(C141,Foundation!$C$8:$E$496,3,FALSE)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+VLOOKUP(C142,Foundation!$C$8:$D$534,2,FALSE)</f>
        <v>DA+3</v>
      </c>
      <c r="E142" s="376" t="str">
        <f>+VLOOKUP(C142,Foundation!$C$8:$E$496,3,FALSE)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+VLOOKUP(C143,Foundation!$C$8:$D$534,2,FALSE)</f>
        <v>DA+0</v>
      </c>
      <c r="E143" s="376" t="str">
        <f>+VLOOKUP(C143,Foundation!$C$8:$E$496,3,FALSE)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+VLOOKUP(C144,Foundation!$C$8:$D$534,2,FALSE)</f>
        <v>DA+3</v>
      </c>
      <c r="E144" s="376" t="str">
        <f>+VLOOKUP(C144,Foundation!$C$8:$E$496,3,FALSE)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+VLOOKUP(C145,Foundation!$C$8:$D$534,2,FALSE)</f>
        <v>DA+9</v>
      </c>
      <c r="E145" s="376" t="str">
        <f>+VLOOKUP(C145,Foundation!$C$8:$E$496,3,FALSE)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+VLOOKUP(C146,Foundation!$C$8:$D$534,2,FALSE)</f>
        <v>DA+0</v>
      </c>
      <c r="E146" s="376" t="str">
        <f>+VLOOKUP(C146,Foundation!$C$8:$E$496,3,FALSE)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+VLOOKUP(C147,Foundation!$C$8:$D$534,2,FALSE)</f>
        <v>DA+0</v>
      </c>
      <c r="E147" s="376" t="str">
        <f>+VLOOKUP(C147,Foundation!$C$8:$E$496,3,FALSE)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+VLOOKUP(C148,Foundation!$C$8:$D$534,2,FALSE)</f>
        <v>DB2+3</v>
      </c>
      <c r="E148" s="376" t="str">
        <f>+VLOOKUP(C148,Foundation!$C$8:$E$496,3,FALSE)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+VLOOKUP(C149,Foundation!$C$8:$D$534,2,FALSE)</f>
        <v>DA+0</v>
      </c>
      <c r="E149" s="376" t="str">
        <f>+VLOOKUP(C149,Foundation!$C$8:$E$496,3,FALSE)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+VLOOKUP(C150,Foundation!$C$8:$D$534,2,FALSE)</f>
        <v>DA+3</v>
      </c>
      <c r="E150" s="376" t="str">
        <f>+VLOOKUP(C150,Foundation!$C$8:$E$496,3,FALSE)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+VLOOKUP(C151,Foundation!$C$8:$D$534,2,FALSE)</f>
        <v>DA+0</v>
      </c>
      <c r="E151" s="376" t="str">
        <f>+VLOOKUP(C151,Foundation!$C$8:$E$496,3,FALSE)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+VLOOKUP(C152,Foundation!$C$8:$D$534,2,FALSE)</f>
        <v>DA+3</v>
      </c>
      <c r="E152" s="376" t="str">
        <f>+VLOOKUP(C152,Foundation!$C$8:$E$496,3,FALSE)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+VLOOKUP(C153,Foundation!$C$8:$D$534,2,FALSE)</f>
        <v>DA+9</v>
      </c>
      <c r="E153" s="376" t="str">
        <f>+VLOOKUP(C153,Foundation!$C$8:$E$496,3,FALSE)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+VLOOKUP(C154,Foundation!$C$8:$D$534,2,FALSE)</f>
        <v>DA+0</v>
      </c>
      <c r="E154" s="376" t="str">
        <f>+VLOOKUP(C154,Foundation!$C$8:$E$496,3,FALSE)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+VLOOKUP(C155,Foundation!$C$8:$D$534,2,FALSE)</f>
        <v>DA+0</v>
      </c>
      <c r="E155" s="376" t="str">
        <f>+VLOOKUP(C155,Foundation!$C$8:$E$496,3,FALSE)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+VLOOKUP(C156,Foundation!$C$8:$D$534,2,FALSE)</f>
        <v>DA+6</v>
      </c>
      <c r="E156" s="376" t="str">
        <f>+VLOOKUP(C156,Foundation!$C$8:$E$496,3,FALSE)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+VLOOKUP(C157,Foundation!$C$8:$D$534,2,FALSE)</f>
        <v>DA+3</v>
      </c>
      <c r="E157" s="376" t="str">
        <f>+VLOOKUP(C157,Foundation!$C$8:$E$496,3,FALSE)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+VLOOKUP(C158,Foundation!$C$8:$D$534,2,FALSE)</f>
        <v>DA+3</v>
      </c>
      <c r="E158" s="376" t="str">
        <f>+VLOOKUP(C158,Foundation!$C$8:$E$496,3,FALSE)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+VLOOKUP(C159,Foundation!$C$8:$D$534,2,FALSE)</f>
        <v>DA+9</v>
      </c>
      <c r="E159" s="376" t="str">
        <f>+VLOOKUP(C159,Foundation!$C$8:$E$496,3,FALSE)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+VLOOKUP(C160,Foundation!$C$8:$D$534,2,FALSE)</f>
        <v>DA+9</v>
      </c>
      <c r="E160" s="376" t="str">
        <f>+VLOOKUP(C160,Foundation!$C$8:$E$496,3,FALSE)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+VLOOKUP(C161,Foundation!$C$8:$D$534,2,FALSE)</f>
        <v>DA+3</v>
      </c>
      <c r="E161" s="376" t="str">
        <f>+VLOOKUP(C161,Foundation!$C$8:$E$496,3,FALSE)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+VLOOKUP(C162,Foundation!$C$8:$D$534,2,FALSE)</f>
        <v>DA+3</v>
      </c>
      <c r="E162" s="376" t="str">
        <f>+VLOOKUP(C162,Foundation!$C$8:$E$496,3,FALSE)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+VLOOKUP(C163,Foundation!$C$8:$D$534,2,FALSE)</f>
        <v>DA+3</v>
      </c>
      <c r="E163" s="376" t="str">
        <f>+VLOOKUP(C163,Foundation!$C$8:$E$496,3,FALSE)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+VLOOKUP(C164,Foundation!$C$8:$D$534,2,FALSE)</f>
        <v>DA+3</v>
      </c>
      <c r="E164" s="376" t="str">
        <f>+VLOOKUP(C164,Foundation!$C$8:$E$496,3,FALSE)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+VLOOKUP(C165,Foundation!$C$8:$D$534,2,FALSE)</f>
        <v>DA+3</v>
      </c>
      <c r="E165" s="376" t="str">
        <f>+VLOOKUP(C165,Foundation!$C$8:$E$496,3,FALSE)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+VLOOKUP(C166,Foundation!$C$8:$D$534,2,FALSE)</f>
        <v>DA+3</v>
      </c>
      <c r="E166" s="376" t="str">
        <f>+VLOOKUP(C166,Foundation!$C$8:$E$496,3,FALSE)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+VLOOKUP(C167,Foundation!$C$8:$D$534,2,FALSE)</f>
        <v>DA+3</v>
      </c>
      <c r="E167" s="376" t="str">
        <f>+VLOOKUP(C167,Foundation!$C$8:$E$496,3,FALSE)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+VLOOKUP(C168,Foundation!$C$8:$D$534,2,FALSE)</f>
        <v>DA+3</v>
      </c>
      <c r="E168" s="376" t="str">
        <f>+VLOOKUP(C168,Foundation!$C$8:$E$496,3,FALSE)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+VLOOKUP(C169,Foundation!$C$8:$D$534,2,FALSE)</f>
        <v>DA+9</v>
      </c>
      <c r="E169" s="376" t="str">
        <f>+VLOOKUP(C169,Foundation!$C$8:$E$496,3,FALSE)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+VLOOKUP(C170,Foundation!$C$8:$D$534,2,FALSE)</f>
        <v>DA+3</v>
      </c>
      <c r="E170" s="376" t="str">
        <f>+VLOOKUP(C170,Foundation!$C$8:$E$496,3,FALSE)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+VLOOKUP(C171,Foundation!$C$8:$D$534,2,FALSE)</f>
        <v>DA+0</v>
      </c>
      <c r="E171" s="376" t="str">
        <f>+VLOOKUP(C171,Foundation!$C$8:$E$496,3,FALSE)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+VLOOKUP(C172,Foundation!$C$8:$D$534,2,FALSE)</f>
        <v>DB1+0</v>
      </c>
      <c r="E172" s="376" t="str">
        <f>+VLOOKUP(C172,Foundation!$C$8:$E$496,3,FALSE)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+VLOOKUP(C173,Foundation!$C$8:$D$534,2,FALSE)</f>
        <v>DA+0</v>
      </c>
      <c r="E173" s="376" t="str">
        <f>+VLOOKUP(C173,Foundation!$C$8:$E$496,3,FALSE)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+VLOOKUP(C174,Foundation!$C$8:$D$534,2,FALSE)</f>
        <v>DA+6</v>
      </c>
      <c r="E174" s="376" t="str">
        <f>+VLOOKUP(C174,Foundation!$C$8:$E$496,3,FALSE)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+VLOOKUP(C175,Foundation!$C$8:$D$534,2,FALSE)</f>
        <v>DC2+0</v>
      </c>
      <c r="E175" s="376" t="str">
        <f>+VLOOKUP(C175,Foundation!$C$8:$E$496,3,FALSE)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+VLOOKUP(C176,Foundation!$C$8:$D$534,2,FALSE)</f>
        <v>DA+0</v>
      </c>
      <c r="E176" s="376" t="str">
        <f>+VLOOKUP(C176,Foundation!$C$8:$E$496,3,FALSE)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+VLOOKUP(C177,Foundation!$C$8:$D$534,2,FALSE)</f>
        <v>DA+3</v>
      </c>
      <c r="E177" s="376" t="str">
        <f>+VLOOKUP(C177,Foundation!$C$8:$E$496,3,FALSE)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+VLOOKUP(C178,Foundation!$C$8:$D$534,2,FALSE)</f>
        <v>DA+0</v>
      </c>
      <c r="E178" s="376" t="str">
        <f>+VLOOKUP(C178,Foundation!$C$8:$E$496,3,FALSE)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+VLOOKUP(C179,Foundation!$C$8:$D$534,2,FALSE)</f>
        <v>DB1+0</v>
      </c>
      <c r="E179" s="376" t="str">
        <f>+VLOOKUP(C179,Foundation!$C$8:$E$496,3,FALSE)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+VLOOKUP(C180,Foundation!$C$8:$D$534,2,FALSE)</f>
        <v>DB2+0</v>
      </c>
      <c r="E180" s="376" t="str">
        <f>+VLOOKUP(C180,Foundation!$C$8:$E$496,3,FALSE)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+VLOOKUP(C181,Foundation!$C$8:$D$534,2,FALSE)</f>
        <v>DA+3</v>
      </c>
      <c r="E181" s="376" t="str">
        <f>+VLOOKUP(C181,Foundation!$C$8:$E$496,3,FALSE)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+VLOOKUP(C182,Foundation!$C$8:$D$534,2,FALSE)</f>
        <v>DB2+0</v>
      </c>
      <c r="E182" s="376" t="str">
        <f>+VLOOKUP(C182,Foundation!$C$8:$E$496,3,FALSE)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+VLOOKUP(C183,Foundation!$C$8:$D$534,2,FALSE)</f>
        <v>DA+0</v>
      </c>
      <c r="E183" s="376" t="str">
        <f>+VLOOKUP(C183,Foundation!$C$8:$E$496,3,FALSE)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+VLOOKUP(C184,Foundation!$C$8:$D$534,2,FALSE)</f>
        <v>DA+3</v>
      </c>
      <c r="E184" s="376" t="str">
        <f>+VLOOKUP(C184,Foundation!$C$8:$E$496,3,FALSE)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+VLOOKUP(C185,Foundation!$C$8:$D$534,2,FALSE)</f>
        <v>DA+3</v>
      </c>
      <c r="E185" s="376" t="str">
        <f>+VLOOKUP(C185,Foundation!$C$8:$E$496,3,FALSE)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+VLOOKUP(C186,Foundation!$C$8:$D$534,2,FALSE)</f>
        <v>DA+3</v>
      </c>
      <c r="E186" s="376" t="str">
        <f>+VLOOKUP(C186,Foundation!$C$8:$E$496,3,FALSE)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+VLOOKUP(C187,Foundation!$C$8:$D$534,2,FALSE)</f>
        <v>DA+0</v>
      </c>
      <c r="E187" s="376" t="str">
        <f>+VLOOKUP(C187,Foundation!$C$8:$E$496,3,FALSE)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+VLOOKUP(C188,Foundation!$C$8:$D$534,2,FALSE)</f>
        <v>DA+0</v>
      </c>
      <c r="E188" s="376" t="str">
        <f>+VLOOKUP(C188,Foundation!$C$8:$E$496,3,FALSE)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+VLOOKUP(C189,Foundation!$C$8:$D$534,2,FALSE)</f>
        <v>DB2+3</v>
      </c>
      <c r="E189" s="376" t="str">
        <f>+VLOOKUP(C189,Foundation!$C$8:$E$496,3,FALSE)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+VLOOKUP(C190,Foundation!$C$8:$D$534,2,FALSE)</f>
        <v>DA+3</v>
      </c>
      <c r="E190" s="376" t="str">
        <f>+VLOOKUP(C190,Foundation!$C$8:$E$496,3,FALSE)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+VLOOKUP(C191,Foundation!$C$8:$D$534,2,FALSE)</f>
        <v>DC2+6</v>
      </c>
      <c r="E191" s="376" t="str">
        <f>+VLOOKUP(C191,Foundation!$C$8:$E$496,3,FALSE)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+VLOOKUP(C192,Foundation!$C$8:$D$534,2,FALSE)</f>
        <v>DA+6</v>
      </c>
      <c r="E192" s="376" t="str">
        <f>+VLOOKUP(C192,Foundation!$C$8:$E$496,3,FALSE)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+VLOOKUP(C193,Foundation!$C$8:$D$534,2,FALSE)</f>
        <v>DA+3</v>
      </c>
      <c r="E193" s="376" t="str">
        <f>+VLOOKUP(C193,Foundation!$C$8:$E$496,3,FALSE)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+VLOOKUP(C194,Foundation!$C$8:$D$534,2,FALSE)</f>
        <v>DA+0</v>
      </c>
      <c r="E194" s="376" t="str">
        <f>+VLOOKUP(C194,Foundation!$C$8:$E$496,3,FALSE)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+VLOOKUP(C195,Foundation!$C$8:$D$534,2,FALSE)</f>
        <v>DA+0</v>
      </c>
      <c r="E195" s="376" t="str">
        <f>+VLOOKUP(C195,Foundation!$C$8:$E$496,3,FALSE)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+VLOOKUP(C196,Foundation!$C$8:$D$534,2,FALSE)</f>
        <v>DC2+0</v>
      </c>
      <c r="E196" s="376" t="str">
        <f>+VLOOKUP(C196,Foundation!$C$8:$E$496,3,FALSE)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+VLOOKUP(C197,Foundation!$C$8:$D$534,2,FALSE)</f>
        <v>DA+6</v>
      </c>
      <c r="E197" s="376" t="str">
        <f>+VLOOKUP(C197,Foundation!$C$8:$E$496,3,FALSE)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+VLOOKUP(C198,Foundation!$C$8:$D$534,2,FALSE)</f>
        <v>DA+3</v>
      </c>
      <c r="E198" s="376" t="str">
        <f>+VLOOKUP(C198,Foundation!$C$8:$E$496,3,FALSE)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+VLOOKUP(C199,Foundation!$C$8:$D$534,2,FALSE)</f>
        <v>DC2+0</v>
      </c>
      <c r="E199" s="376" t="str">
        <f>+VLOOKUP(C199,Foundation!$C$8:$E$496,3,FALSE)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+VLOOKUP(C200,Foundation!$C$8:$D$534,2,FALSE)</f>
        <v>DD45+0</v>
      </c>
      <c r="E200" s="376" t="str">
        <f>+VLOOKUP(C200,Foundation!$C$8:$E$496,3,FALSE)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+VLOOKUP(C201,Foundation!$C$8:$D$534,2,FALSE)</f>
        <v>DA+3</v>
      </c>
      <c r="E201" s="376" t="str">
        <f>+VLOOKUP(C201,Foundation!$C$8:$E$496,3,FALSE)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+VLOOKUP(C202,Foundation!$C$8:$D$534,2,FALSE)</f>
        <v>DA+0</v>
      </c>
      <c r="E202" s="376" t="str">
        <f>+VLOOKUP(C202,Foundation!$C$8:$E$496,3,FALSE)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+VLOOKUP(C203,Foundation!$C$8:$D$534,2,FALSE)</f>
        <v>DA+0</v>
      </c>
      <c r="E203" s="376" t="str">
        <f>+VLOOKUP(C203,Foundation!$C$8:$E$496,3,FALSE)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+VLOOKUP(C204,Foundation!$C$8:$D$534,2,FALSE)</f>
        <v>DA+9</v>
      </c>
      <c r="E204" s="376" t="str">
        <f>+VLOOKUP(C204,Foundation!$C$8:$E$496,3,FALSE)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+VLOOKUP(C205,Foundation!$C$8:$D$534,2,FALSE)</f>
        <v>DA+3</v>
      </c>
      <c r="E205" s="376" t="str">
        <f>+VLOOKUP(C205,Foundation!$C$8:$E$496,3,FALSE)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+VLOOKUP(C206,Foundation!$C$8:$D$534,2,FALSE)</f>
        <v>DA+0</v>
      </c>
      <c r="E206" s="376" t="str">
        <f>+VLOOKUP(C206,Foundation!$C$8:$E$496,3,FALSE)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+VLOOKUP(C207,Foundation!$C$8:$D$534,2,FALSE)</f>
        <v>DA+3</v>
      </c>
      <c r="E207" s="376" t="str">
        <f>+VLOOKUP(C207,Foundation!$C$8:$E$496,3,FALSE)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+VLOOKUP(C208,Foundation!$C$8:$D$534,2,FALSE)</f>
        <v>DA+3</v>
      </c>
      <c r="E208" s="376" t="str">
        <f>+VLOOKUP(C208,Foundation!$C$8:$E$496,3,FALSE)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+VLOOKUP(C209,Foundation!$C$8:$D$534,2,FALSE)</f>
        <v>DA+6</v>
      </c>
      <c r="E209" s="376" t="str">
        <f>+VLOOKUP(C209,Foundation!$C$8:$E$496,3,FALSE)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+VLOOKUP(C210,Foundation!$C$8:$D$534,2,FALSE)</f>
        <v>DC1+3</v>
      </c>
      <c r="E210" s="376" t="str">
        <f>+VLOOKUP(C210,Foundation!$C$8:$E$496,3,FALSE)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+VLOOKUP(C211,Foundation!$C$8:$D$534,2,FALSE)</f>
        <v>DA+3</v>
      </c>
      <c r="E211" s="376" t="str">
        <f>+VLOOKUP(C211,Foundation!$C$8:$E$496,3,FALSE)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+VLOOKUP(C212,Foundation!$C$8:$D$534,2,FALSE)</f>
        <v>DA+3</v>
      </c>
      <c r="E212" s="376" t="str">
        <f>+VLOOKUP(C212,Foundation!$C$8:$E$496,3,FALSE)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+VLOOKUP(C213,Foundation!$C$8:$D$534,2,FALSE)</f>
        <v>DA+0</v>
      </c>
      <c r="E213" s="376" t="str">
        <f>+VLOOKUP(C213,Foundation!$C$8:$E$496,3,FALSE)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+VLOOKUP(C214,Foundation!$C$8:$D$534,2,FALSE)</f>
        <v>DA+3</v>
      </c>
      <c r="E214" s="376" t="str">
        <f>+VLOOKUP(C214,Foundation!$C$8:$E$496,3,FALSE)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+VLOOKUP(C215,Foundation!$C$8:$D$534,2,FALSE)</f>
        <v>DA+6</v>
      </c>
      <c r="E215" s="376" t="str">
        <f>+VLOOKUP(C215,Foundation!$C$8:$E$496,3,FALSE)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+VLOOKUP(C216,Foundation!$C$8:$D$534,2,FALSE)</f>
        <v>DB2+3</v>
      </c>
      <c r="E216" s="376" t="str">
        <f>+VLOOKUP(C216,Foundation!$C$8:$E$496,3,FALSE)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+VLOOKUP(C217,Foundation!$C$8:$D$534,2,FALSE)</f>
        <v>DA+3</v>
      </c>
      <c r="E217" s="376" t="str">
        <f>+VLOOKUP(C217,Foundation!$C$8:$E$496,3,FALSE)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+VLOOKUP(C218,Foundation!$C$8:$D$534,2,FALSE)</f>
        <v>DA+0</v>
      </c>
      <c r="E218" s="376" t="str">
        <f>+VLOOKUP(C218,Foundation!$C$8:$E$496,3,FALSE)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+VLOOKUP(C219,Foundation!$C$8:$D$534,2,FALSE)</f>
        <v>DA+3</v>
      </c>
      <c r="E219" s="376" t="str">
        <f>+VLOOKUP(C219,Foundation!$C$8:$E$496,3,FALSE)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+VLOOKUP(C220,Foundation!$C$8:$D$534,2,FALSE)</f>
        <v>DA+3</v>
      </c>
      <c r="E220" s="376" t="str">
        <f>+VLOOKUP(C220,Foundation!$C$8:$E$496,3,FALSE)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+VLOOKUP(C221,Foundation!$C$8:$D$534,2,FALSE)</f>
        <v>DA+3</v>
      </c>
      <c r="E221" s="376" t="str">
        <f>+VLOOKUP(C221,Foundation!$C$8:$E$496,3,FALSE)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+VLOOKUP(C222,Foundation!$C$8:$D$534,2,FALSE)</f>
        <v>DA+0</v>
      </c>
      <c r="E222" s="376" t="str">
        <f>+VLOOKUP(C222,Foundation!$C$8:$E$496,3,FALSE)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+VLOOKUP(C223,Foundation!$C$8:$D$534,2,FALSE)</f>
        <v>DA+3</v>
      </c>
      <c r="E223" s="376" t="str">
        <f>+VLOOKUP(C223,Foundation!$C$8:$E$496,3,FALSE)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+VLOOKUP(C224,Foundation!$C$8:$D$534,2,FALSE)</f>
        <v>DA+9</v>
      </c>
      <c r="E224" s="376" t="str">
        <f>+VLOOKUP(C224,Foundation!$C$8:$E$496,3,FALSE)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+VLOOKUP(C225,Foundation!$C$8:$D$534,2,FALSE)</f>
        <v>DD45+0</v>
      </c>
      <c r="E225" s="376" t="str">
        <f>+VLOOKUP(C225,Foundation!$C$8:$E$496,3,FALSE)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+VLOOKUP(C226,Foundation!$C$8:$D$534,2,FALSE)</f>
        <v>DB2+9</v>
      </c>
      <c r="E226" s="376" t="str">
        <f>+VLOOKUP(C226,Foundation!$C$8:$E$496,3,FALSE)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+VLOOKUP(C227,Foundation!$C$8:$D$534,2,FALSE)</f>
        <v>DA+3</v>
      </c>
      <c r="E227" s="376" t="str">
        <f>+VLOOKUP(C227,Foundation!$C$8:$E$496,3,FALSE)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+VLOOKUP(C228,Foundation!$C$8:$D$534,2,FALSE)</f>
        <v>DC1+9</v>
      </c>
      <c r="E228" s="376" t="str">
        <f>+VLOOKUP(C228,Foundation!$C$8:$E$496,3,FALSE)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+VLOOKUP(C229,Foundation!$C$8:$D$534,2,FALSE)</f>
        <v>DA+3</v>
      </c>
      <c r="E229" s="376" t="str">
        <f>+VLOOKUP(C229,Foundation!$C$8:$E$496,3,FALSE)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+VLOOKUP(C230,Foundation!$C$8:$D$534,2,FALSE)</f>
        <v>DA+0</v>
      </c>
      <c r="E230" s="376" t="str">
        <f>+VLOOKUP(C230,Foundation!$C$8:$E$496,3,FALSE)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+VLOOKUP(C231,Foundation!$C$8:$D$534,2,FALSE)</f>
        <v>DA+3</v>
      </c>
      <c r="E231" s="376" t="str">
        <f>+VLOOKUP(C231,Foundation!$C$8:$E$496,3,FALSE)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+VLOOKUP(C232,Foundation!$C$8:$D$534,2,FALSE)</f>
        <v>DA+3</v>
      </c>
      <c r="E232" s="376" t="str">
        <f>+VLOOKUP(C232,Foundation!$C$8:$E$496,3,FALSE)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+VLOOKUP(C233,Foundation!$C$8:$D$534,2,FALSE)</f>
        <v>DA+3</v>
      </c>
      <c r="E233" s="376" t="str">
        <f>+VLOOKUP(C233,Foundation!$C$8:$E$496,3,FALSE)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+VLOOKUP(C234,Foundation!$C$8:$D$534,2,FALSE)</f>
        <v>DA+3</v>
      </c>
      <c r="E234" s="376" t="str">
        <f>+VLOOKUP(C234,Foundation!$C$8:$E$496,3,FALSE)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+VLOOKUP(C235,Foundation!$C$8:$D$534,2,FALSE)</f>
        <v>DA+3</v>
      </c>
      <c r="E235" s="376" t="str">
        <f>+VLOOKUP(C235,Foundation!$C$8:$E$496,3,FALSE)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+VLOOKUP(C236,Foundation!$C$8:$D$534,2,FALSE)</f>
        <v>DA+3</v>
      </c>
      <c r="E236" s="376" t="str">
        <f>+VLOOKUP(C236,Foundation!$C$8:$E$496,3,FALSE)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+VLOOKUP(C237,Foundation!$C$8:$D$534,2,FALSE)</f>
        <v>DA+3</v>
      </c>
      <c r="E237" s="376" t="str">
        <f>+VLOOKUP(C237,Foundation!$C$8:$E$496,3,FALSE)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+VLOOKUP(C238,Foundation!$C$8:$D$534,2,FALSE)</f>
        <v>DA+3</v>
      </c>
      <c r="E238" s="376" t="str">
        <f>+VLOOKUP(C238,Foundation!$C$8:$E$496,3,FALSE)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+VLOOKUP(C239,Foundation!$C$8:$D$534,2,FALSE)</f>
        <v>DC1+0</v>
      </c>
      <c r="E239" s="376" t="str">
        <f>+VLOOKUP(C239,Foundation!$C$8:$E$496,3,FALSE)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+VLOOKUP(C240,Foundation!$C$8:$D$534,2,FALSE)</f>
        <v>DA+3</v>
      </c>
      <c r="E240" s="376" t="str">
        <f>+VLOOKUP(C240,Foundation!$C$8:$E$496,3,FALSE)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+VLOOKUP(C241,Foundation!$C$8:$D$534,2,FALSE)</f>
        <v>DA+0</v>
      </c>
      <c r="E241" s="376" t="str">
        <f>+VLOOKUP(C241,Foundation!$C$8:$E$496,3,FALSE)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+VLOOKUP(C242,Foundation!$C$8:$D$534,2,FALSE)</f>
        <v>DA+0</v>
      </c>
      <c r="E242" s="376" t="str">
        <f>+VLOOKUP(C242,Foundation!$C$8:$E$496,3,FALSE)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+VLOOKUP(C243,Foundation!$C$8:$D$534,2,FALSE)</f>
        <v>DB2+0</v>
      </c>
      <c r="E243" s="376" t="str">
        <f>+VLOOKUP(C243,Foundation!$C$8:$E$496,3,FALSE)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+VLOOKUP(C244,Foundation!$C$8:$D$534,2,FALSE)</f>
        <v>DA+0</v>
      </c>
      <c r="E244" s="376" t="str">
        <f>+VLOOKUP(C244,Foundation!$C$8:$E$496,3,FALSE)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+VLOOKUP(C245,Foundation!$C$8:$D$534,2,FALSE)</f>
        <v>DA+0</v>
      </c>
      <c r="E245" s="376" t="str">
        <f>+VLOOKUP(C245,Foundation!$C$8:$E$496,3,FALSE)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+VLOOKUP(C246,Foundation!$C$8:$D$534,2,FALSE)</f>
        <v>DA+0</v>
      </c>
      <c r="E246" s="376" t="str">
        <f>+VLOOKUP(C246,Foundation!$C$8:$E$496,3,FALSE)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+VLOOKUP(C247,Foundation!$C$8:$D$534,2,FALSE)</f>
        <v>DA+3</v>
      </c>
      <c r="E247" s="376" t="str">
        <f>+VLOOKUP(C247,Foundation!$C$8:$E$496,3,FALSE)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+VLOOKUP(C248,Foundation!$C$8:$D$534,2,FALSE)</f>
        <v>DA+0</v>
      </c>
      <c r="E248" s="376" t="str">
        <f>+VLOOKUP(C248,Foundation!$C$8:$E$496,3,FALSE)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+VLOOKUP(C249,Foundation!$C$8:$D$534,2,FALSE)</f>
        <v>DA+0</v>
      </c>
      <c r="E249" s="376" t="str">
        <f>+VLOOKUP(C249,Foundation!$C$8:$E$496,3,FALSE)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+VLOOKUP(C250,Foundation!$C$8:$D$534,2,FALSE)</f>
        <v>DA+0</v>
      </c>
      <c r="E250" s="376" t="str">
        <f>+VLOOKUP(C250,Foundation!$C$8:$E$496,3,FALSE)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+VLOOKUP(C251,Foundation!$C$8:$D$534,2,FALSE)</f>
        <v>DA+9</v>
      </c>
      <c r="E251" s="376" t="str">
        <f>+VLOOKUP(C251,Foundation!$C$8:$E$496,3,FALSE)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+VLOOKUP(C252,Foundation!$C$8:$D$534,2,FALSE)</f>
        <v>DA+0</v>
      </c>
      <c r="E252" s="376" t="str">
        <f>+VLOOKUP(C252,Foundation!$C$8:$E$496,3,FALSE)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+VLOOKUP(C253,Foundation!$C$8:$D$534,2,FALSE)</f>
        <v>DD60+0</v>
      </c>
      <c r="E253" s="376" t="str">
        <f>+VLOOKUP(C253,Foundation!$C$8:$E$496,3,FALSE)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+VLOOKUP(C254,Foundation!$C$8:$D$534,2,FALSE)</f>
        <v>DA+3</v>
      </c>
      <c r="E254" s="376" t="str">
        <f>+VLOOKUP(C254,Foundation!$C$8:$E$496,3,FALSE)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+VLOOKUP(C255,Foundation!$C$8:$D$534,2,FALSE)</f>
        <v>DA+0</v>
      </c>
      <c r="E255" s="376" t="str">
        <f>+VLOOKUP(C255,Foundation!$C$8:$E$496,3,FALSE)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+VLOOKUP(C256,Foundation!$C$8:$D$534,2,FALSE)</f>
        <v>DA+3</v>
      </c>
      <c r="E256" s="376" t="str">
        <f>+VLOOKUP(C256,Foundation!$C$8:$E$496,3,FALSE)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+VLOOKUP(C257,Foundation!$C$8:$D$534,2,FALSE)</f>
        <v>DA+3</v>
      </c>
      <c r="E257" s="376" t="str">
        <f>+VLOOKUP(C257,Foundation!$C$8:$E$496,3,FALSE)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+VLOOKUP(C258,Foundation!$C$8:$D$534,2,FALSE)</f>
        <v>DB1+3</v>
      </c>
      <c r="E258" s="376" t="str">
        <f>+VLOOKUP(C258,Foundation!$C$8:$E$496,3,FALSE)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+VLOOKUP(C259,Foundation!$C$8:$D$534,2,FALSE)</f>
        <v>DD60+0</v>
      </c>
      <c r="E259" s="376" t="str">
        <f>+VLOOKUP(C259,Foundation!$C$8:$E$496,3,FALSE)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+VLOOKUP(C260,Foundation!$C$8:$D$534,2,FALSE)</f>
        <v>DA+3</v>
      </c>
      <c r="E260" s="376" t="str">
        <f>+VLOOKUP(C260,Foundation!$C$8:$E$496,3,FALSE)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+VLOOKUP(C261,Foundation!$C$8:$D$534,2,FALSE)</f>
        <v>DA+9</v>
      </c>
      <c r="E261" s="376" t="str">
        <f>+VLOOKUP(C261,Foundation!$C$8:$E$496,3,FALSE)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+VLOOKUP(C262,Foundation!$C$8:$D$534,2,FALSE)</f>
        <v>DA+3</v>
      </c>
      <c r="E262" s="376" t="str">
        <f>+VLOOKUP(C262,Foundation!$C$8:$E$496,3,FALSE)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+VLOOKUP(C263,Foundation!$C$8:$D$534,2,FALSE)</f>
        <v>DA+0</v>
      </c>
      <c r="E263" s="376" t="str">
        <f>+VLOOKUP(C263,Foundation!$C$8:$E$496,3,FALSE)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+VLOOKUP(C264,Foundation!$C$8:$D$534,2,FALSE)</f>
        <v>DA+3</v>
      </c>
      <c r="E264" s="376" t="str">
        <f>+VLOOKUP(C264,Foundation!$C$8:$E$496,3,FALSE)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+VLOOKUP(C265,Foundation!$C$8:$D$534,2,FALSE)</f>
        <v>DB1+9</v>
      </c>
      <c r="E265" s="376" t="str">
        <f>+VLOOKUP(C265,Foundation!$C$8:$E$496,3,FALSE)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+VLOOKUP(C266,Foundation!$C$8:$D$534,2,FALSE)</f>
        <v>DA+0</v>
      </c>
      <c r="E266" s="376" t="str">
        <f>+VLOOKUP(C266,Foundation!$C$8:$E$496,3,FALSE)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+VLOOKUP(C267,Foundation!$C$8:$D$534,2,FALSE)</f>
        <v>DA+9</v>
      </c>
      <c r="E267" s="376" t="str">
        <f>+VLOOKUP(C267,Foundation!$C$8:$E$496,3,FALSE)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+VLOOKUP(C268,Foundation!$C$8:$D$534,2,FALSE)</f>
        <v>DA+0</v>
      </c>
      <c r="E268" s="376" t="str">
        <f>+VLOOKUP(C268,Foundation!$C$8:$E$496,3,FALSE)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+VLOOKUP(C269,Foundation!$C$8:$D$534,2,FALSE)</f>
        <v>DA+0</v>
      </c>
      <c r="E269" s="376" t="str">
        <f>+VLOOKUP(C269,Foundation!$C$8:$E$496,3,FALSE)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+VLOOKUP(C270,Foundation!$C$8:$D$534,2,FALSE)</f>
        <v>DB1+0</v>
      </c>
      <c r="E270" s="376" t="str">
        <f>+VLOOKUP(C270,Foundation!$C$8:$E$496,3,FALSE)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+VLOOKUP(C271,Foundation!$C$8:$D$534,2,FALSE)</f>
        <v>DA+6</v>
      </c>
      <c r="E271" s="376" t="str">
        <f>+VLOOKUP(C271,Foundation!$C$8:$E$496,3,FALSE)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+VLOOKUP(C272,Foundation!$C$8:$D$534,2,FALSE)</f>
        <v>DC1+0</v>
      </c>
      <c r="E272" s="376" t="str">
        <f>+VLOOKUP(C272,Foundation!$C$8:$E$496,3,FALSE)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+VLOOKUP(C273,Foundation!$C$8:$D$534,2,FALSE)</f>
        <v>DB1+3</v>
      </c>
      <c r="E273" s="376" t="str">
        <f>+VLOOKUP(C273,Foundation!$C$8:$E$496,3,FALSE)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+VLOOKUP(C274,Foundation!$C$8:$D$534,2,FALSE)</f>
        <v>DA+9</v>
      </c>
      <c r="E274" s="376" t="str">
        <f>+VLOOKUP(C274,Foundation!$C$8:$E$496,3,FALSE)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+VLOOKUP(C275,Foundation!$C$8:$D$534,2,FALSE)</f>
        <v>DA+3</v>
      </c>
      <c r="E275" s="376" t="str">
        <f>+VLOOKUP(C275,Foundation!$C$8:$E$496,3,FALSE)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+VLOOKUP(C276,Foundation!$C$8:$D$534,2,FALSE)</f>
        <v>DC2+0</v>
      </c>
      <c r="E276" s="376" t="str">
        <f>+VLOOKUP(C276,Foundation!$C$8:$E$496,3,FALSE)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+VLOOKUP(C277,Foundation!$C$8:$D$534,2,FALSE)</f>
        <v>DA+0</v>
      </c>
      <c r="E277" s="376" t="str">
        <f>+VLOOKUP(C277,Foundation!$C$8:$E$496,3,FALSE)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+VLOOKUP(C278,Foundation!$C$8:$D$534,2,FALSE)</f>
        <v>DA+3</v>
      </c>
      <c r="E278" s="376" t="str">
        <f>+VLOOKUP(C278,Foundation!$C$8:$E$496,3,FALSE)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+VLOOKUP(C279,Foundation!$C$8:$D$534,2,FALSE)</f>
        <v>DA+3</v>
      </c>
      <c r="E279" s="376" t="str">
        <f>+VLOOKUP(C279,Foundation!$C$8:$E$496,3,FALSE)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+VLOOKUP(C280,Foundation!$C$8:$D$534,2,FALSE)</f>
        <v>DA+3</v>
      </c>
      <c r="E280" s="376" t="str">
        <f>+VLOOKUP(C280,Foundation!$C$8:$E$496,3,FALSE)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+VLOOKUP(C281,Foundation!$C$8:$D$534,2,FALSE)</f>
        <v>DA+3</v>
      </c>
      <c r="E281" s="376" t="str">
        <f>+VLOOKUP(C281,Foundation!$C$8:$E$496,3,FALSE)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+VLOOKUP(C282,Foundation!$C$8:$D$534,2,FALSE)</f>
        <v>DA+3</v>
      </c>
      <c r="E282" s="376" t="str">
        <f>+VLOOKUP(C282,Foundation!$C$8:$E$496,3,FALSE)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+VLOOKUP(C283,Foundation!$C$8:$D$534,2,FALSE)</f>
        <v>DA+9</v>
      </c>
      <c r="E283" s="376" t="str">
        <f>+VLOOKUP(C283,Foundation!$C$8:$E$496,3,FALSE)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+VLOOKUP(C284,Foundation!$C$8:$D$534,2,FALSE)</f>
        <v>DA+3</v>
      </c>
      <c r="E284" s="376" t="str">
        <f>+VLOOKUP(C284,Foundation!$C$8:$E$496,3,FALSE)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+VLOOKUP(C285,Foundation!$C$8:$D$534,2,FALSE)</f>
        <v>DD60+0</v>
      </c>
      <c r="E285" s="376" t="str">
        <f>+VLOOKUP(C285,Foundation!$C$8:$E$496,3,FALSE)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+VLOOKUP(C286,Foundation!$C$8:$D$534,2,FALSE)</f>
        <v>DB1+9</v>
      </c>
      <c r="E286" s="376" t="str">
        <f>+VLOOKUP(C286,Foundation!$C$8:$E$496,3,FALSE)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+VLOOKUP(C287,Foundation!$C$8:$D$534,2,FALSE)</f>
        <v>DA+0</v>
      </c>
      <c r="E287" s="376" t="str">
        <f>+VLOOKUP(C287,Foundation!$C$8:$E$496,3,FALSE)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+VLOOKUP(C288,Foundation!$C$8:$D$534,2,FALSE)</f>
        <v>DA+0</v>
      </c>
      <c r="E288" s="376" t="str">
        <f>+VLOOKUP(C288,Foundation!$C$8:$E$496,3,FALSE)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+VLOOKUP(C289,Foundation!$C$8:$D$534,2,FALSE)</f>
        <v>DA+3</v>
      </c>
      <c r="E289" s="376" t="str">
        <f>+VLOOKUP(C289,Foundation!$C$8:$E$496,3,FALSE)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+VLOOKUP(C290,Foundation!$C$8:$D$534,2,FALSE)</f>
        <v>DA+3</v>
      </c>
      <c r="E290" s="376" t="str">
        <f>+VLOOKUP(C290,Foundation!$C$8:$E$496,3,FALSE)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+VLOOKUP(C291,Foundation!$C$8:$D$534,2,FALSE)</f>
        <v>DA+9</v>
      </c>
      <c r="E291" s="376" t="str">
        <f>+VLOOKUP(C291,Foundation!$C$8:$E$496,3,FALSE)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+VLOOKUP(C292,Foundation!$C$8:$D$534,2,FALSE)</f>
        <v>DA+0</v>
      </c>
      <c r="E292" s="376" t="str">
        <f>+VLOOKUP(C292,Foundation!$C$8:$E$496,3,FALSE)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+VLOOKUP(C293,Foundation!$C$8:$D$534,2,FALSE)</f>
        <v>DA+3</v>
      </c>
      <c r="E293" s="376" t="str">
        <f>+VLOOKUP(C293,Foundation!$C$8:$E$496,3,FALSE)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+VLOOKUP(C294,Foundation!$C$8:$D$534,2,FALSE)</f>
        <v>DA+0</v>
      </c>
      <c r="E294" s="376" t="str">
        <f>+VLOOKUP(C294,Foundation!$C$8:$E$496,3,FALSE)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+VLOOKUP(C295,Foundation!$C$8:$D$534,2,FALSE)</f>
        <v>DC2+0</v>
      </c>
      <c r="E295" s="376" t="str">
        <f>+VLOOKUP(C295,Foundation!$C$8:$E$496,3,FALSE)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+VLOOKUP(C296,Foundation!$C$8:$D$534,2,FALSE)</f>
        <v>DA+0</v>
      </c>
      <c r="E296" s="376" t="str">
        <f>+VLOOKUP(C296,Foundation!$C$8:$E$496,3,FALSE)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+VLOOKUP(C297,Foundation!$C$8:$D$534,2,FALSE)</f>
        <v>DA+3</v>
      </c>
      <c r="E297" s="376" t="str">
        <f>+VLOOKUP(C297,Foundation!$C$8:$E$496,3,FALSE)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+VLOOKUP(C298,Foundation!$C$8:$D$534,2,FALSE)</f>
        <v>DA+0</v>
      </c>
      <c r="E298" s="376" t="str">
        <f>+VLOOKUP(C298,Foundation!$C$8:$E$496,3,FALSE)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+VLOOKUP(C299,Foundation!$C$8:$D$534,2,FALSE)</f>
        <v>DA+0</v>
      </c>
      <c r="E299" s="376" t="str">
        <f>+VLOOKUP(C299,Foundation!$C$8:$E$496,3,FALSE)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+VLOOKUP(C300,Foundation!$C$8:$D$534,2,FALSE)</f>
        <v>DA+9</v>
      </c>
      <c r="E300" s="376" t="str">
        <f>+VLOOKUP(C300,Foundation!$C$8:$E$496,3,FALSE)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+VLOOKUP(C301,Foundation!$C$8:$D$534,2,FALSE)</f>
        <v>DA+0</v>
      </c>
      <c r="E301" s="376" t="str">
        <f>+VLOOKUP(C301,Foundation!$C$8:$E$496,3,FALSE)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+VLOOKUP(C302,Foundation!$C$8:$D$534,2,FALSE)</f>
        <v>DA+0</v>
      </c>
      <c r="E302" s="376" t="str">
        <f>+VLOOKUP(C302,Foundation!$C$8:$E$496,3,FALSE)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+VLOOKUP(C303,Foundation!$C$8:$D$534,2,FALSE)</f>
        <v>DA+3</v>
      </c>
      <c r="E303" s="376" t="str">
        <f>+VLOOKUP(C303,Foundation!$C$8:$E$496,3,FALSE)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+VLOOKUP(C304,Foundation!$C$8:$D$534,2,FALSE)</f>
        <v>DA+0</v>
      </c>
      <c r="E304" s="376" t="str">
        <f>+VLOOKUP(C304,Foundation!$C$8:$E$496,3,FALSE)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+VLOOKUP(C305,Foundation!$C$8:$D$534,2,FALSE)</f>
        <v>DA+9</v>
      </c>
      <c r="E305" s="376" t="str">
        <f>+VLOOKUP(C305,Foundation!$C$8:$E$496,3,FALSE)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+VLOOKUP(C306,Foundation!$C$8:$D$534,2,FALSE)</f>
        <v>DA+3</v>
      </c>
      <c r="E306" s="376" t="str">
        <f>+VLOOKUP(C306,Foundation!$C$8:$E$496,3,FALSE)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+VLOOKUP(C307,Foundation!$C$8:$D$534,2,FALSE)</f>
        <v>DA+9</v>
      </c>
      <c r="E307" s="376" t="str">
        <f>+VLOOKUP(C307,Foundation!$C$8:$E$496,3,FALSE)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+VLOOKUP(C308,Foundation!$C$8:$D$534,2,FALSE)</f>
        <v>DA+0</v>
      </c>
      <c r="E308" s="376" t="str">
        <f>+VLOOKUP(C308,Foundation!$C$8:$E$496,3,FALSE)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+VLOOKUP(C309,Foundation!$C$8:$D$534,2,FALSE)</f>
        <v>DA+9</v>
      </c>
      <c r="E309" s="376" t="str">
        <f>+VLOOKUP(C309,Foundation!$C$8:$E$496,3,FALSE)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+VLOOKUP(C310,Foundation!$C$8:$D$534,2,FALSE)</f>
        <v>DC1+0</v>
      </c>
      <c r="E310" s="376" t="str">
        <f>+VLOOKUP(C310,Foundation!$C$8:$E$496,3,FALSE)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+VLOOKUP(C311,Foundation!$C$8:$D$534,2,FALSE)</f>
        <v>DA+0</v>
      </c>
      <c r="E311" s="376" t="str">
        <f>+VLOOKUP(C311,Foundation!$C$8:$E$496,3,FALSE)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+VLOOKUP(C312,Foundation!$C$8:$D$534,2,FALSE)</f>
        <v>DA+0</v>
      </c>
      <c r="E312" s="376" t="str">
        <f>+VLOOKUP(C312,Foundation!$C$8:$E$496,3,FALSE)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+VLOOKUP(C313,Foundation!$C$8:$D$534,2,FALSE)</f>
        <v>DC1+0</v>
      </c>
      <c r="E313" s="376" t="str">
        <f>+VLOOKUP(C313,Foundation!$C$8:$E$496,3,FALSE)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+VLOOKUP(C314,Foundation!$C$8:$D$534,2,FALSE)</f>
        <v>DA+3</v>
      </c>
      <c r="E314" s="376" t="str">
        <f>+VLOOKUP(C314,Foundation!$C$8:$E$496,3,FALSE)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+VLOOKUP(C315,Foundation!$C$8:$D$534,2,FALSE)</f>
        <v>DA+3</v>
      </c>
      <c r="E315" s="376" t="str">
        <f>+VLOOKUP(C315,Foundation!$C$8:$E$496,3,FALSE)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+VLOOKUP(C316,Foundation!$C$8:$D$534,2,FALSE)</f>
        <v>DB2+0</v>
      </c>
      <c r="E316" s="376" t="str">
        <f>+VLOOKUP(C316,Foundation!$C$8:$E$496,3,FALSE)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+VLOOKUP(C317,Foundation!$C$8:$D$534,2,FALSE)</f>
        <v>DA+0</v>
      </c>
      <c r="E317" s="376" t="str">
        <f>+VLOOKUP(C317,Foundation!$C$8:$E$496,3,FALSE)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+VLOOKUP(C318,Foundation!$C$8:$D$534,2,FALSE)</f>
        <v>DA+3</v>
      </c>
      <c r="E318" s="376" t="str">
        <f>+VLOOKUP(C318,Foundation!$C$8:$E$496,3,FALSE)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+VLOOKUP(C319,Foundation!$C$8:$D$534,2,FALSE)</f>
        <v>DA+9</v>
      </c>
      <c r="E319" s="376" t="str">
        <f>+VLOOKUP(C319,Foundation!$C$8:$E$496,3,FALSE)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+VLOOKUP(C320,Foundation!$C$8:$D$534,2,FALSE)</f>
        <v>DB1+0</v>
      </c>
      <c r="E320" s="376" t="str">
        <f>+VLOOKUP(C320,Foundation!$C$8:$E$496,3,FALSE)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+VLOOKUP(C321,Foundation!$C$8:$D$534,2,FALSE)</f>
        <v>DA+3</v>
      </c>
      <c r="E321" s="376" t="str">
        <f>+VLOOKUP(C321,Foundation!$C$8:$E$496,3,FALSE)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+VLOOKUP(C322,Foundation!$C$8:$D$534,2,FALSE)</f>
        <v>DA+0</v>
      </c>
      <c r="E322" s="376" t="str">
        <f>+VLOOKUP(C322,Foundation!$C$8:$E$496,3,FALSE)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+VLOOKUP(C323,Foundation!$C$8:$D$534,2,FALSE)</f>
        <v>DD45+3</v>
      </c>
      <c r="E323" s="376" t="str">
        <f>+VLOOKUP(C323,Foundation!$C$8:$E$496,3,FALSE)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+VLOOKUP(C324,Foundation!$C$8:$D$534,2,FALSE)</f>
        <v>DA+3</v>
      </c>
      <c r="E324" s="376" t="str">
        <f>+VLOOKUP(C324,Foundation!$C$8:$E$496,3,FALSE)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+VLOOKUP(C325,Foundation!$C$8:$D$534,2,FALSE)</f>
        <v>DA+3</v>
      </c>
      <c r="E325" s="376" t="str">
        <f>+VLOOKUP(C325,Foundation!$C$8:$E$496,3,FALSE)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+VLOOKUP(C326,Foundation!$C$8:$D$534,2,FALSE)</f>
        <v>DA+3</v>
      </c>
      <c r="E326" s="376" t="str">
        <f>+VLOOKUP(C326,Foundation!$C$8:$E$496,3,FALSE)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+VLOOKUP(C327,Foundation!$C$8:$D$534,2,FALSE)</f>
        <v>DA+9</v>
      </c>
      <c r="E327" s="376" t="str">
        <f>+VLOOKUP(C327,Foundation!$C$8:$E$496,3,FALSE)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+VLOOKUP(C328,Foundation!$C$8:$D$534,2,FALSE)</f>
        <v>DA+0</v>
      </c>
      <c r="E328" s="376" t="str">
        <f>+VLOOKUP(C328,Foundation!$C$8:$E$496,3,FALSE)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+VLOOKUP(C329,Foundation!$C$8:$D$534,2,FALSE)</f>
        <v>DA+3</v>
      </c>
      <c r="E329" s="376" t="str">
        <f>+VLOOKUP(C329,Foundation!$C$8:$E$496,3,FALSE)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+VLOOKUP(C330,Foundation!$C$8:$D$534,2,FALSE)</f>
        <v>DB2+0</v>
      </c>
      <c r="E330" s="376" t="str">
        <f>+VLOOKUP(C330,Foundation!$C$8:$E$496,3,FALSE)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+VLOOKUP(C331,Foundation!$C$8:$D$534,2,FALSE)</f>
        <v>DA+0</v>
      </c>
      <c r="E331" s="376" t="str">
        <f>+VLOOKUP(C331,Foundation!$C$8:$E$496,3,FALSE)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+VLOOKUP(C332,Foundation!$C$8:$D$534,2,FALSE)</f>
        <v>DA+6</v>
      </c>
      <c r="E332" s="376" t="str">
        <f>+VLOOKUP(C332,Foundation!$C$8:$E$496,3,FALSE)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+VLOOKUP(C333,Foundation!$C$8:$D$534,2,FALSE)</f>
        <v>DA+3</v>
      </c>
      <c r="E333" s="376" t="str">
        <f>+VLOOKUP(C333,Foundation!$C$8:$E$496,3,FALSE)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+VLOOKUP(C334,Foundation!$C$8:$D$534,2,FALSE)</f>
        <v>DD60+25</v>
      </c>
      <c r="E334" s="376" t="str">
        <f>+VLOOKUP(C334,Foundation!$C$8:$E$496,3,FALSE)</f>
        <v>Sandy</v>
      </c>
      <c r="F334" s="358">
        <v>45899</v>
      </c>
      <c r="G334" s="358">
        <v>45914</v>
      </c>
      <c r="H334" s="381" t="s">
        <v>1511</v>
      </c>
      <c r="I334" s="389"/>
      <c r="J334" s="739">
        <f t="shared" ref="J334" si="69">+VLOOKUP(D334,$AB$7:$AC$35,2,FALSE)</f>
        <v>143.60187300000001</v>
      </c>
      <c r="K334" s="381" t="s">
        <v>1630</v>
      </c>
    </row>
    <row r="335" spans="1:11" x14ac:dyDescent="0.2">
      <c r="A335" s="380">
        <f>+SUBTOTAL(3,$G$7:$G335)</f>
        <v>329</v>
      </c>
      <c r="B335" s="374">
        <v>45901</v>
      </c>
      <c r="C335" s="375" t="s">
        <v>58</v>
      </c>
      <c r="D335" s="376" t="str">
        <f>+VLOOKUP(C335,Foundation!$C$8:$D$534,2,FALSE)</f>
        <v>DA+0</v>
      </c>
      <c r="E335" s="376" t="str">
        <f>+VLOOKUP(C335,Foundation!$C$8:$E$496,3,FALSE)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+VLOOKUP(C336,Foundation!$C$8:$D$534,2,FALSE)</f>
        <v>DA+3</v>
      </c>
      <c r="E336" s="376" t="str">
        <f>+VLOOKUP(C336,Foundation!$C$8:$E$496,3,FALSE)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+VLOOKUP(C337,Foundation!$C$8:$D$534,2,FALSE)</f>
        <v>DA+6</v>
      </c>
      <c r="E337" s="376" t="str">
        <f>+VLOOKUP(C337,Foundation!$C$8:$E$496,3,FALSE)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+VLOOKUP(C338,Foundation!$C$8:$D$534,2,FALSE)</f>
        <v>DA+3</v>
      </c>
      <c r="E338" s="376" t="str">
        <f>+VLOOKUP(C338,Foundation!$C$8:$E$496,3,FALSE)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+VLOOKUP(C339,Foundation!$C$8:$D$534,2,FALSE)</f>
        <v>DA+3</v>
      </c>
      <c r="E339" s="376" t="str">
        <f>+VLOOKUP(C339,Foundation!$C$8:$E$496,3,FALSE)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+VLOOKUP(C340,Foundation!$C$8:$D$534,2,FALSE)</f>
        <v>DA+6</v>
      </c>
      <c r="E340" s="376" t="str">
        <f>+VLOOKUP(C340,Foundation!$C$8:$E$496,3,FALSE)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+VLOOKUP(C341,Foundation!$C$8:$D$534,2,FALSE)</f>
        <v>DA+3</v>
      </c>
      <c r="E341" s="376" t="str">
        <f>+VLOOKUP(C341,Foundation!$C$8:$E$496,3,FALSE)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+VLOOKUP(C342,Foundation!$C$8:$D$534,2,FALSE)</f>
        <v>DA+6</v>
      </c>
      <c r="E342" s="376" t="str">
        <f>+VLOOKUP(C342,Foundation!$C$8:$E$496,3,FALSE)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+VLOOKUP(C343,Foundation!$C$8:$D$534,2,FALSE)</f>
        <v>DA+3</v>
      </c>
      <c r="E343" s="376" t="str">
        <f>+VLOOKUP(C343,Foundation!$C$8:$E$496,3,FALSE)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+VLOOKUP(C344,Foundation!$C$8:$D$534,2,FALSE)</f>
        <v>DA+0</v>
      </c>
      <c r="E344" s="376" t="str">
        <f>+VLOOKUP(C344,Foundation!$C$8:$E$496,3,FALSE)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+VLOOKUP(C345,Foundation!$C$8:$D$534,2,FALSE)</f>
        <v>DA+0</v>
      </c>
      <c r="E345" s="376" t="str">
        <f>+VLOOKUP(C345,Foundation!$C$8:$E$496,3,FALSE)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+VLOOKUP(C346,Foundation!$C$8:$D$534,2,FALSE)</f>
        <v>DA+3</v>
      </c>
      <c r="E346" s="376" t="str">
        <f>+VLOOKUP(C346,Foundation!$C$8:$E$496,3,FALSE)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+VLOOKUP(C347,Foundation!$C$8:$D$534,2,FALSE)</f>
        <v>DD60+25</v>
      </c>
      <c r="E347" s="376" t="str">
        <f>+VLOOKUP(C347,Foundation!$C$8:$E$496,3,FALSE)</f>
        <v>Sandy</v>
      </c>
      <c r="F347" s="358">
        <v>45909</v>
      </c>
      <c r="G347" s="358">
        <v>45925</v>
      </c>
      <c r="H347" s="381" t="s">
        <v>894</v>
      </c>
      <c r="I347" s="389"/>
      <c r="J347" s="739">
        <f t="shared" ref="J347" si="77">+VLOOKUP(D347,$AB$7:$AC$35,2,FALSE)</f>
        <v>143.60187300000001</v>
      </c>
      <c r="K347" s="381" t="s">
        <v>1630</v>
      </c>
    </row>
    <row r="348" spans="1:11" x14ac:dyDescent="0.2">
      <c r="A348" s="380">
        <f>+SUBTOTAL(3,$G$7:$G348)</f>
        <v>342</v>
      </c>
      <c r="B348" s="374">
        <v>45901</v>
      </c>
      <c r="C348" s="375" t="s">
        <v>191</v>
      </c>
      <c r="D348" s="376" t="str">
        <f>+VLOOKUP(C348,Foundation!$C$8:$D$534,2,FALSE)</f>
        <v>DA+3</v>
      </c>
      <c r="E348" s="376" t="str">
        <f>+VLOOKUP(C348,Foundation!$C$8:$E$496,3,FALSE)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+VLOOKUP(C349,Foundation!$C$8:$D$534,2,FALSE)</f>
        <v>DB2+0</v>
      </c>
      <c r="E349" s="376" t="str">
        <f>+VLOOKUP(C349,Foundation!$C$8:$E$496,3,FALSE)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+VLOOKUP(C350,Foundation!$C$8:$D$534,2,FALSE)</f>
        <v>DB2+0</v>
      </c>
      <c r="E350" s="376" t="str">
        <f>+VLOOKUP(C350,Foundation!$C$8:$E$496,3,FALSE)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+VLOOKUP(C351,Foundation!$C$8:$D$534,2,FALSE)</f>
        <v>DB2+0</v>
      </c>
      <c r="E351" s="376" t="str">
        <f>+VLOOKUP(C351,Foundation!$C$8:$E$496,3,FALSE)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+VLOOKUP(C352,Foundation!$C$8:$D$534,2,FALSE)</f>
        <v>DA+0</v>
      </c>
      <c r="E352" s="376" t="str">
        <f>+VLOOKUP(C352,Foundation!$C$8:$E$496,3,FALSE)</f>
        <v>Sandy</v>
      </c>
      <c r="F352" s="358">
        <v>45907</v>
      </c>
      <c r="G352" s="358">
        <v>45929</v>
      </c>
      <c r="H352" s="381" t="s">
        <v>1611</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+VLOOKUP(C353,Foundation!$C$8:$D$534,2,FALSE)</f>
        <v>DD60+25</v>
      </c>
      <c r="E353" s="376" t="str">
        <f>+VLOOKUP(C353,Foundation!$C$8:$E$496,3,FALSE)</f>
        <v>Sandy</v>
      </c>
      <c r="F353" s="358">
        <v>45915</v>
      </c>
      <c r="G353" s="358">
        <v>45929</v>
      </c>
      <c r="H353" s="381" t="s">
        <v>1511</v>
      </c>
      <c r="I353" s="389"/>
      <c r="J353" s="739">
        <f t="shared" si="81"/>
        <v>143.60187300000001</v>
      </c>
      <c r="K353" s="381" t="s">
        <v>1630</v>
      </c>
    </row>
    <row r="354" spans="1:13" x14ac:dyDescent="0.2">
      <c r="A354" s="380">
        <f>+SUBTOTAL(3,$G$7:$G354)</f>
        <v>348</v>
      </c>
      <c r="B354" s="374">
        <v>45901</v>
      </c>
      <c r="C354" s="375" t="s">
        <v>715</v>
      </c>
      <c r="D354" s="376" t="str">
        <f>+VLOOKUP(C354,Foundation!$C$8:$D$534,2,FALSE)</f>
        <v>DA+6</v>
      </c>
      <c r="E354" s="376" t="str">
        <f>+VLOOKUP(C354,Foundation!$C$8:$E$496,3,FALSE)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+VLOOKUP(C355,Foundation!$C$8:$D$534,2,FALSE)</f>
        <v>DB1+6</v>
      </c>
      <c r="E355" s="376" t="str">
        <f>+VLOOKUP(C355,Foundation!$C$8:$E$496,3,FALSE)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+VLOOKUP(C356,Foundation!$C$8:$D$534,2,FALSE)</f>
        <v>DA+6</v>
      </c>
      <c r="E356" s="376" t="str">
        <f>+VLOOKUP(C356,Foundation!$C$8:$E$496,3,FALSE)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777" t="s">
        <v>461</v>
      </c>
      <c r="D357" s="376" t="str">
        <f>+VLOOKUP(C357,Foundation!$C$8:$D$534,2,FALSE)</f>
        <v>DA+0</v>
      </c>
      <c r="E357" s="376" t="str">
        <f>+VLOOKUP(C357,Foundation!$C$8:$E$496,3,FALSE)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777" t="s">
        <v>215</v>
      </c>
      <c r="D358" s="376" t="str">
        <f>+VLOOKUP(C358,Foundation!$C$8:$D$534,2,FALSE)</f>
        <v>DA+0</v>
      </c>
      <c r="E358" s="376" t="str">
        <f>+VLOOKUP(C358,Foundation!$C$8:$E$496,3,FALSE)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777" t="s">
        <v>565</v>
      </c>
      <c r="D359" s="376" t="str">
        <f>+VLOOKUP(C359,Foundation!$C$8:$D$534,2,FALSE)</f>
        <v>DA+0</v>
      </c>
      <c r="E359" s="376" t="str">
        <f>+VLOOKUP(C359,Foundation!$C$8:$E$496,3,FALSE)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777" t="s">
        <v>543</v>
      </c>
      <c r="D360" s="376" t="str">
        <f>+VLOOKUP(C360,Foundation!$C$8:$D$534,2,FALSE)</f>
        <v>DC2+0</v>
      </c>
      <c r="E360" s="376" t="str">
        <f>+VLOOKUP(C360,Foundation!$C$8:$E$496,3,FALSE)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777" t="s">
        <v>468</v>
      </c>
      <c r="D361" s="376" t="str">
        <f>+VLOOKUP(C361,Foundation!$C$8:$D$534,2,FALSE)</f>
        <v>DA+0</v>
      </c>
      <c r="E361" s="376" t="str">
        <f>+VLOOKUP(C361,Foundation!$C$8:$E$496,3,FALSE)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+VLOOKUP(C362,Foundation!$C$8:$D$534,2,FALSE)</f>
        <v>DB1+6</v>
      </c>
      <c r="E362" s="376" t="str">
        <f>+VLOOKUP(C362,Foundation!$C$8:$E$496,3,FALSE)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777" t="s">
        <v>200</v>
      </c>
      <c r="D363" s="376" t="str">
        <f>+VLOOKUP(C363,Foundation!$C$8:$D$534,2,FALSE)</f>
        <v>DA+0</v>
      </c>
      <c r="E363" s="376" t="str">
        <f>+VLOOKUP(C363,Foundation!$C$8:$E$496,3,FALSE)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777" t="s">
        <v>214</v>
      </c>
      <c r="D364" s="376" t="str">
        <f>+VLOOKUP(C364,Foundation!$C$8:$D$534,2,FALSE)</f>
        <v>DA+0</v>
      </c>
      <c r="E364" s="376" t="str">
        <f>+VLOOKUP(C364,Foundation!$C$8:$E$496,3,FALSE)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+VLOOKUP(C365,Foundation!$C$8:$D$534,2,FALSE)</f>
        <v>DA+0</v>
      </c>
      <c r="E365" s="376" t="str">
        <f>+VLOOKUP(C365,Foundation!$C$8:$E$496,3,FALSE)</f>
        <v>WFR</v>
      </c>
      <c r="F365" s="358">
        <v>45942</v>
      </c>
      <c r="G365" s="358">
        <v>45944</v>
      </c>
      <c r="H365" s="381" t="s">
        <v>1400</v>
      </c>
      <c r="I365" s="389"/>
      <c r="J365" s="739">
        <f t="shared" ref="J365" si="91">+VLOOKUP(D365,$AB$7:$AC$35,2,FALSE)</f>
        <v>37.504372000000004</v>
      </c>
      <c r="K365" s="381" t="s">
        <v>1416</v>
      </c>
    </row>
    <row r="366" spans="1:13" s="577" customFormat="1" x14ac:dyDescent="0.2">
      <c r="A366" s="763">
        <f>+SUBTOTAL(3,$G$7:$G366)</f>
        <v>360</v>
      </c>
      <c r="B366" s="764">
        <v>45931</v>
      </c>
      <c r="C366" s="778" t="s">
        <v>535</v>
      </c>
      <c r="D366" s="765" t="str">
        <f>+VLOOKUP(C366,Foundation!$C$8:$D$534,2,FALSE)</f>
        <v>DA+9</v>
      </c>
      <c r="E366" s="765" t="str">
        <f>+VLOOKUP(C366,Foundation!$C$8:$E$496,3,FALSE)</f>
        <v>Sandy</v>
      </c>
      <c r="F366" s="766">
        <v>45940</v>
      </c>
      <c r="G366" s="766">
        <v>45947</v>
      </c>
      <c r="H366" s="767" t="s">
        <v>897</v>
      </c>
      <c r="I366" s="768"/>
      <c r="J366" s="769">
        <f t="shared" ref="J366" si="92">+VLOOKUP(D366,$AB$7:$AC$35,2,FALSE)</f>
        <v>47.184350000000002</v>
      </c>
      <c r="K366" s="767" t="s">
        <v>1416</v>
      </c>
      <c r="M366" s="770"/>
    </row>
    <row r="367" spans="1:13" x14ac:dyDescent="0.2">
      <c r="A367" s="380">
        <f>+SUBTOTAL(3,$G$7:$G367)</f>
        <v>361</v>
      </c>
      <c r="B367" s="374">
        <v>45931</v>
      </c>
      <c r="C367" s="777" t="s">
        <v>541</v>
      </c>
      <c r="D367" s="376" t="str">
        <f>+VLOOKUP(C367,Foundation!$C$8:$D$534,2,FALSE)</f>
        <v>DB2+6</v>
      </c>
      <c r="E367" s="376" t="str">
        <f>+VLOOKUP(C367,Foundation!$C$8:$E$496,3,FALSE)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+VLOOKUP(C368,Foundation!$C$8:$D$534,2,FALSE)</f>
        <v>DD60+25</v>
      </c>
      <c r="E368" s="376" t="str">
        <f>+VLOOKUP(C368,Foundation!$C$8:$E$496,3,FALSE)</f>
        <v>Sandy</v>
      </c>
      <c r="F368" s="358">
        <v>45929</v>
      </c>
      <c r="G368" s="358">
        <v>45948</v>
      </c>
      <c r="H368" s="381" t="s">
        <v>894</v>
      </c>
      <c r="I368" s="389"/>
      <c r="J368" s="739">
        <f t="shared" si="93"/>
        <v>143.60187300000001</v>
      </c>
      <c r="K368" s="381" t="s">
        <v>1416</v>
      </c>
    </row>
    <row r="369" spans="1:13" x14ac:dyDescent="0.2">
      <c r="A369" s="380">
        <f>+SUBTOTAL(3,$G$7:$G369)</f>
        <v>363</v>
      </c>
      <c r="B369" s="374">
        <v>45931</v>
      </c>
      <c r="C369" s="777" t="s">
        <v>212</v>
      </c>
      <c r="D369" s="376" t="str">
        <f>+VLOOKUP(C369,Foundation!$C$8:$D$534,2,FALSE)</f>
        <v>DB1+0</v>
      </c>
      <c r="E369" s="376" t="str">
        <f>+VLOOKUP(C369,Foundation!$C$8:$E$496,3,FALSE)</f>
        <v>Sandy</v>
      </c>
      <c r="F369" s="358">
        <v>45944</v>
      </c>
      <c r="G369" s="358">
        <v>45952</v>
      </c>
      <c r="H369" s="381" t="s">
        <v>594</v>
      </c>
      <c r="I369" s="389"/>
      <c r="J369" s="739">
        <f t="shared" ref="J369:J370" si="94">+VLOOKUP(D369,$AB$7:$AC$35,2,FALSE)</f>
        <v>57.597240999999997</v>
      </c>
      <c r="K369" s="381" t="s">
        <v>1416</v>
      </c>
    </row>
    <row r="370" spans="1:13" x14ac:dyDescent="0.2">
      <c r="A370" s="380">
        <f>+SUBTOTAL(3,$G$7:$G370)</f>
        <v>364</v>
      </c>
      <c r="B370" s="374">
        <v>45931</v>
      </c>
      <c r="C370" s="777" t="s">
        <v>542</v>
      </c>
      <c r="D370" s="376" t="str">
        <f>+VLOOKUP(C370,Foundation!$C$8:$D$534,2,FALSE)</f>
        <v>DA+0</v>
      </c>
      <c r="E370" s="376" t="str">
        <f>+VLOOKUP(C370,Foundation!$C$8:$E$496,3,FALSE)</f>
        <v>Sandy</v>
      </c>
      <c r="F370" s="358">
        <v>45948</v>
      </c>
      <c r="G370" s="358">
        <v>45952</v>
      </c>
      <c r="H370" s="381" t="s">
        <v>1511</v>
      </c>
      <c r="I370" s="389"/>
      <c r="J370" s="739">
        <f t="shared" si="94"/>
        <v>37.504372000000004</v>
      </c>
      <c r="K370" s="381" t="s">
        <v>1416</v>
      </c>
    </row>
    <row r="371" spans="1:13" x14ac:dyDescent="0.2">
      <c r="A371" s="380">
        <f>+SUBTOTAL(3,$G$7:$G371)</f>
        <v>365</v>
      </c>
      <c r="B371" s="374">
        <v>45931</v>
      </c>
      <c r="C371" s="777" t="s">
        <v>199</v>
      </c>
      <c r="D371" s="376" t="str">
        <f>+VLOOKUP(C371,Foundation!$C$8:$D$534,2,FALSE)</f>
        <v>DA+6</v>
      </c>
      <c r="E371" s="376" t="str">
        <f>+VLOOKUP(C371,Foundation!$C$8:$E$496,3,FALSE)</f>
        <v>DRY</v>
      </c>
      <c r="F371" s="358">
        <v>45943</v>
      </c>
      <c r="G371" s="358">
        <v>45953</v>
      </c>
      <c r="H371" s="381" t="s">
        <v>895</v>
      </c>
      <c r="I371" s="389"/>
      <c r="J371" s="739">
        <f t="shared" ref="J371" si="95">+VLOOKUP(D371,$AB$7:$AC$35,2,FALSE)</f>
        <v>45.413028000000004</v>
      </c>
      <c r="K371" s="381" t="s">
        <v>1416</v>
      </c>
    </row>
    <row r="372" spans="1:13" x14ac:dyDescent="0.2">
      <c r="A372" s="380">
        <f>+SUBTOTAL(3,$G$7:$G372)</f>
        <v>366</v>
      </c>
      <c r="B372" s="374">
        <v>45931</v>
      </c>
      <c r="C372" s="777" t="s">
        <v>217</v>
      </c>
      <c r="D372" s="376" t="str">
        <f>+VLOOKUP(C372,Foundation!$C$8:$D$534,2,FALSE)</f>
        <v>DA+3</v>
      </c>
      <c r="E372" s="376" t="str">
        <f>+VLOOKUP(C372,Foundation!$C$8:$E$496,3,FALSE)</f>
        <v>Sandy</v>
      </c>
      <c r="F372" s="358">
        <v>45948</v>
      </c>
      <c r="G372" s="358">
        <v>45954</v>
      </c>
      <c r="H372" s="381" t="s">
        <v>897</v>
      </c>
      <c r="I372" s="389"/>
      <c r="J372" s="739">
        <f t="shared" ref="J372:J373" si="96">+VLOOKUP(D372,$AB$7:$AC$35,2,FALSE)</f>
        <v>38.847605999999992</v>
      </c>
      <c r="K372" s="381" t="s">
        <v>1416</v>
      </c>
    </row>
    <row r="373" spans="1:13" x14ac:dyDescent="0.2">
      <c r="A373" s="380">
        <f>+SUBTOTAL(3,$G$7:$G373)</f>
        <v>367</v>
      </c>
      <c r="B373" s="374">
        <v>45931</v>
      </c>
      <c r="C373" s="777" t="s">
        <v>481</v>
      </c>
      <c r="D373" s="376" t="str">
        <f>+VLOOKUP(C373,Foundation!$C$8:$D$534,2,FALSE)</f>
        <v>DA+0</v>
      </c>
      <c r="E373" s="376" t="str">
        <f>+VLOOKUP(C373,Foundation!$C$8:$E$496,3,FALSE)</f>
        <v>Sandy</v>
      </c>
      <c r="F373" s="358">
        <v>45947</v>
      </c>
      <c r="G373" s="358">
        <v>45954</v>
      </c>
      <c r="H373" s="381" t="s">
        <v>1713</v>
      </c>
      <c r="I373" s="389"/>
      <c r="J373" s="739">
        <f t="shared" si="96"/>
        <v>37.504372000000004</v>
      </c>
      <c r="K373" s="381" t="s">
        <v>1416</v>
      </c>
    </row>
    <row r="374" spans="1:13" x14ac:dyDescent="0.2">
      <c r="A374" s="380">
        <f>+SUBTOTAL(3,$G$7:$G374)</f>
        <v>368</v>
      </c>
      <c r="B374" s="374">
        <v>45931</v>
      </c>
      <c r="C374" s="777" t="s">
        <v>29</v>
      </c>
      <c r="D374" s="376" t="str">
        <f>+VLOOKUP(C374,Foundation!$C$8:$D$534,2,FALSE)</f>
        <v>DB2+6</v>
      </c>
      <c r="E374" s="376" t="str">
        <f>+VLOOKUP(C374,Foundation!$C$8:$E$496,3,FALSE)</f>
        <v>Sandy</v>
      </c>
      <c r="F374" s="358">
        <v>45946</v>
      </c>
      <c r="G374" s="358">
        <v>45956</v>
      </c>
      <c r="H374" s="381" t="s">
        <v>896</v>
      </c>
      <c r="I374" s="389"/>
      <c r="J374" s="739">
        <f t="shared" ref="J374:J376" si="97">+VLOOKUP(D374,$AB$7:$AC$35,2,FALSE)</f>
        <v>67.873650999999995</v>
      </c>
      <c r="K374" s="381" t="s">
        <v>1416</v>
      </c>
    </row>
    <row r="375" spans="1:13" x14ac:dyDescent="0.2">
      <c r="A375" s="380">
        <f>+SUBTOTAL(3,$G$7:$G375)</f>
        <v>369</v>
      </c>
      <c r="B375" s="374">
        <v>45931</v>
      </c>
      <c r="C375" s="777" t="s">
        <v>540</v>
      </c>
      <c r="D375" s="376" t="str">
        <f>+VLOOKUP(C375,Foundation!$C$8:$D$534,2,FALSE)</f>
        <v>DA+9</v>
      </c>
      <c r="E375" s="376" t="str">
        <f>+VLOOKUP(C375,Foundation!$C$8:$E$496,3,FALSE)</f>
        <v>Sandy</v>
      </c>
      <c r="F375" s="358">
        <v>45952</v>
      </c>
      <c r="G375" s="358">
        <v>45956</v>
      </c>
      <c r="H375" s="381" t="s">
        <v>1511</v>
      </c>
      <c r="I375" s="389"/>
      <c r="J375" s="739">
        <f t="shared" si="97"/>
        <v>47.184350000000002</v>
      </c>
      <c r="K375" s="381" t="s">
        <v>1416</v>
      </c>
    </row>
    <row r="376" spans="1:13" x14ac:dyDescent="0.2">
      <c r="A376" s="380">
        <f>+SUBTOTAL(3,$G$7:$G376)</f>
        <v>370</v>
      </c>
      <c r="B376" s="374">
        <v>45931</v>
      </c>
      <c r="C376" s="777" t="s">
        <v>558</v>
      </c>
      <c r="D376" s="376" t="str">
        <f>+VLOOKUP(C376,Foundation!$C$8:$D$534,2,FALSE)</f>
        <v>DA+0</v>
      </c>
      <c r="E376" s="376" t="str">
        <f>+VLOOKUP(C376,Foundation!$C$8:$E$496,3,FALSE)</f>
        <v>Sandy</v>
      </c>
      <c r="F376" s="358">
        <v>45940</v>
      </c>
      <c r="G376" s="358">
        <v>45957</v>
      </c>
      <c r="H376" s="381" t="s">
        <v>1513</v>
      </c>
      <c r="I376" s="389"/>
      <c r="J376" s="739">
        <f t="shared" si="97"/>
        <v>37.504372000000004</v>
      </c>
      <c r="K376" s="381" t="s">
        <v>1416</v>
      </c>
    </row>
    <row r="377" spans="1:13" x14ac:dyDescent="0.2">
      <c r="A377" s="380">
        <f>+SUBTOTAL(3,$G$7:$G377)</f>
        <v>371</v>
      </c>
      <c r="B377" s="374">
        <v>45931</v>
      </c>
      <c r="C377" s="777" t="s">
        <v>667</v>
      </c>
      <c r="D377" s="376" t="str">
        <f>+VLOOKUP(C377,Foundation!$C$8:$D$534,2,FALSE)</f>
        <v>DA+0</v>
      </c>
      <c r="E377" s="376" t="str">
        <f>+VLOOKUP(C377,Foundation!$C$8:$E$496,3,FALSE)</f>
        <v>Sandy</v>
      </c>
      <c r="F377" s="358">
        <v>45955</v>
      </c>
      <c r="G377" s="358">
        <v>45960</v>
      </c>
      <c r="H377" s="381" t="s">
        <v>897</v>
      </c>
      <c r="I377" s="389"/>
      <c r="J377" s="739">
        <f t="shared" ref="J377" si="98">+VLOOKUP(D377,$AB$7:$AC$35,2,FALSE)</f>
        <v>37.504372000000004</v>
      </c>
      <c r="K377" s="381" t="s">
        <v>1416</v>
      </c>
    </row>
    <row r="378" spans="1:13" x14ac:dyDescent="0.2">
      <c r="A378" s="380">
        <f>+SUBTOTAL(3,$G$7:$G378)</f>
        <v>372</v>
      </c>
      <c r="B378" s="374">
        <v>45931</v>
      </c>
      <c r="C378" s="777" t="s">
        <v>211</v>
      </c>
      <c r="D378" s="376" t="str">
        <f>+VLOOKUP(C378,Foundation!$C$8:$D$534,2,FALSE)</f>
        <v>DA+9</v>
      </c>
      <c r="E378" s="376" t="str">
        <f>+VLOOKUP(C378,Foundation!$C$8:$E$496,3,FALSE)</f>
        <v>Sandy</v>
      </c>
      <c r="F378" s="358">
        <v>45952</v>
      </c>
      <c r="G378" s="358">
        <v>45961</v>
      </c>
      <c r="H378" s="381" t="s">
        <v>594</v>
      </c>
      <c r="I378" s="389"/>
      <c r="J378" s="739">
        <f t="shared" ref="J378:J379" si="99">+VLOOKUP(D378,$AB$7:$AC$35,2,FALSE)</f>
        <v>47.184350000000002</v>
      </c>
      <c r="K378" s="381" t="s">
        <v>1416</v>
      </c>
    </row>
    <row r="379" spans="1:13" x14ac:dyDescent="0.2">
      <c r="A379" s="380">
        <f>+SUBTOTAL(3,$G$7:$G379)</f>
        <v>373</v>
      </c>
      <c r="B379" s="374">
        <v>45931</v>
      </c>
      <c r="C379" s="777" t="s">
        <v>517</v>
      </c>
      <c r="D379" s="376" t="str">
        <f>+VLOOKUP(C379,Foundation!$C$8:$D$534,2,FALSE)</f>
        <v>DA+0</v>
      </c>
      <c r="E379" s="376" t="str">
        <f>+VLOOKUP(C379,Foundation!$C$8:$E$496,3,FALSE)</f>
        <v>DRY</v>
      </c>
      <c r="F379" s="358">
        <v>45950</v>
      </c>
      <c r="G379" s="358">
        <v>45961</v>
      </c>
      <c r="H379" s="381" t="s">
        <v>1599</v>
      </c>
      <c r="I379" s="389"/>
      <c r="J379" s="739">
        <f t="shared" si="99"/>
        <v>37.504372000000004</v>
      </c>
      <c r="K379" s="381" t="s">
        <v>1416</v>
      </c>
    </row>
    <row r="380" spans="1:13" x14ac:dyDescent="0.2">
      <c r="A380" s="380">
        <f>+SUBTOTAL(3,$G$7:$G380)</f>
        <v>374</v>
      </c>
      <c r="B380" s="374">
        <v>45931</v>
      </c>
      <c r="C380" s="375" t="s">
        <v>676</v>
      </c>
      <c r="D380" s="376" t="str">
        <f>+VLOOKUP(C380,Foundation!$C$8:$D$534,2,FALSE)</f>
        <v>DCT+0</v>
      </c>
      <c r="E380" s="376" t="str">
        <f>+VLOOKUP(C380,Foundation!$C$8:$E$496,3,FALSE)</f>
        <v>Sandy</v>
      </c>
      <c r="F380" s="358">
        <v>45948</v>
      </c>
      <c r="G380" s="358">
        <v>45961</v>
      </c>
      <c r="H380" s="381" t="s">
        <v>894</v>
      </c>
      <c r="I380" s="389"/>
      <c r="J380" s="739">
        <f t="shared" ref="J380:J381" si="100">+VLOOKUP(D380,$AB$7:$AC$35,2,FALSE)</f>
        <v>94.219902999999988</v>
      </c>
      <c r="K380" s="381" t="s">
        <v>1416</v>
      </c>
    </row>
    <row r="381" spans="1:13" x14ac:dyDescent="0.2">
      <c r="A381" s="380">
        <f>+SUBTOTAL(3,$G$7:$G381)</f>
        <v>375</v>
      </c>
      <c r="B381" s="374">
        <v>45931</v>
      </c>
      <c r="C381" s="375" t="s">
        <v>536</v>
      </c>
      <c r="D381" s="376" t="str">
        <f>+VLOOKUP(C381,Foundation!$C$8:$D$534,2,FALSE)</f>
        <v>DB2+6</v>
      </c>
      <c r="E381" s="376" t="str">
        <f>+VLOOKUP(C381,Foundation!$C$8:$E$496,3,FALSE)</f>
        <v>Sandy</v>
      </c>
      <c r="F381" s="358">
        <v>45957</v>
      </c>
      <c r="G381" s="358">
        <v>45961</v>
      </c>
      <c r="H381" s="381" t="s">
        <v>1511</v>
      </c>
      <c r="I381" s="389"/>
      <c r="J381" s="739">
        <f t="shared" si="100"/>
        <v>67.873650999999995</v>
      </c>
      <c r="K381" s="381" t="s">
        <v>1416</v>
      </c>
    </row>
    <row r="382" spans="1:13" x14ac:dyDescent="0.2">
      <c r="A382" s="380"/>
      <c r="B382" s="374"/>
      <c r="C382" s="375"/>
      <c r="D382" s="376"/>
      <c r="E382" s="376"/>
      <c r="F382" s="358"/>
      <c r="G382" s="358"/>
      <c r="H382" s="381"/>
      <c r="I382" s="389"/>
      <c r="J382" s="389"/>
      <c r="K382" s="381"/>
    </row>
    <row r="383" spans="1:13" x14ac:dyDescent="0.2">
      <c r="A383" s="380"/>
      <c r="B383" s="374"/>
      <c r="C383" s="375"/>
      <c r="D383" s="376"/>
      <c r="E383" s="376"/>
      <c r="F383" s="358"/>
      <c r="G383" s="358"/>
      <c r="H383" s="381"/>
      <c r="I383" s="389"/>
      <c r="J383" s="389"/>
      <c r="K383" s="381"/>
    </row>
    <row r="384" spans="1:13" s="675" customFormat="1" x14ac:dyDescent="0.2">
      <c r="A384" s="685"/>
      <c r="B384" s="686"/>
      <c r="C384" s="687"/>
      <c r="D384" s="688" t="s">
        <v>1205</v>
      </c>
      <c r="E384" s="688"/>
      <c r="F384" s="689" t="s">
        <v>6</v>
      </c>
      <c r="G384" s="689" t="s">
        <v>1181</v>
      </c>
      <c r="H384" s="690" t="s">
        <v>7</v>
      </c>
      <c r="I384" s="690"/>
      <c r="J384" s="690"/>
      <c r="K384" s="690"/>
      <c r="M384" s="691"/>
    </row>
    <row r="385" spans="1:13" s="760" customFormat="1" x14ac:dyDescent="0.2">
      <c r="A385" s="754"/>
      <c r="B385" s="755"/>
      <c r="C385" s="756"/>
      <c r="D385" s="757" t="s">
        <v>539</v>
      </c>
      <c r="E385" s="757"/>
      <c r="F385" s="758">
        <v>45939</v>
      </c>
      <c r="G385" s="755" t="s">
        <v>129</v>
      </c>
      <c r="H385" s="759" t="s">
        <v>1511</v>
      </c>
      <c r="I385" s="759"/>
      <c r="J385" s="759"/>
      <c r="K385" s="759" t="s">
        <v>1416</v>
      </c>
      <c r="L385" s="762" t="s">
        <v>1707</v>
      </c>
      <c r="M385" s="761"/>
    </row>
    <row r="386" spans="1:13" s="760" customFormat="1" x14ac:dyDescent="0.2">
      <c r="A386" s="754"/>
      <c r="B386" s="755"/>
      <c r="C386" s="756"/>
      <c r="D386" s="757" t="s">
        <v>553</v>
      </c>
      <c r="E386" s="757"/>
      <c r="F386" s="758">
        <v>45962</v>
      </c>
      <c r="G386" s="755" t="s">
        <v>124</v>
      </c>
      <c r="H386" s="759" t="s">
        <v>1511</v>
      </c>
      <c r="I386" s="759"/>
      <c r="J386" s="759"/>
      <c r="K386" s="759" t="s">
        <v>1416</v>
      </c>
      <c r="L386" s="760" t="s">
        <v>1719</v>
      </c>
      <c r="M386" s="761"/>
    </row>
    <row r="387" spans="1:13" s="972" customFormat="1" x14ac:dyDescent="0.2">
      <c r="A387" s="965"/>
      <c r="B387" s="966"/>
      <c r="C387" s="967"/>
      <c r="D387" s="968" t="s">
        <v>207</v>
      </c>
      <c r="E387" s="969"/>
      <c r="F387" s="758">
        <v>45961</v>
      </c>
      <c r="G387" s="966" t="s">
        <v>124</v>
      </c>
      <c r="H387" s="970" t="s">
        <v>594</v>
      </c>
      <c r="I387" s="971"/>
      <c r="J387" s="971"/>
      <c r="K387" s="970" t="s">
        <v>1416</v>
      </c>
      <c r="L387" s="972" t="s">
        <v>1733</v>
      </c>
      <c r="M387" s="973"/>
    </row>
    <row r="388" spans="1:13" s="760" customFormat="1" x14ac:dyDescent="0.2">
      <c r="A388" s="754"/>
      <c r="B388" s="755"/>
      <c r="C388" s="756"/>
      <c r="D388" s="968" t="s">
        <v>38</v>
      </c>
      <c r="E388" s="968"/>
      <c r="F388" s="758">
        <v>45937</v>
      </c>
      <c r="G388" s="755" t="s">
        <v>124</v>
      </c>
      <c r="H388" s="759" t="s">
        <v>1640</v>
      </c>
      <c r="I388" s="974"/>
      <c r="J388" s="974"/>
      <c r="K388" s="759" t="s">
        <v>1416</v>
      </c>
      <c r="L388" s="760" t="s">
        <v>1736</v>
      </c>
      <c r="M388" s="975"/>
    </row>
    <row r="389" spans="1:13" s="760" customFormat="1" x14ac:dyDescent="0.2">
      <c r="A389" s="754"/>
      <c r="B389" s="755"/>
      <c r="C389" s="756"/>
      <c r="D389" s="968" t="s">
        <v>205</v>
      </c>
      <c r="E389" s="968"/>
      <c r="F389" s="758">
        <v>45961</v>
      </c>
      <c r="G389" s="755" t="s">
        <v>124</v>
      </c>
      <c r="H389" s="759" t="s">
        <v>897</v>
      </c>
      <c r="I389" s="974"/>
      <c r="J389" s="974"/>
      <c r="K389" s="759" t="s">
        <v>1416</v>
      </c>
      <c r="L389" s="972" t="s">
        <v>1719</v>
      </c>
      <c r="M389" s="975"/>
    </row>
    <row r="390" spans="1:13" s="972" customFormat="1" x14ac:dyDescent="0.2">
      <c r="A390" s="965"/>
      <c r="B390" s="966"/>
      <c r="C390" s="967"/>
      <c r="D390" s="968" t="s">
        <v>561</v>
      </c>
      <c r="E390" s="966"/>
      <c r="F390" s="758">
        <v>45957</v>
      </c>
      <c r="G390" s="966" t="s">
        <v>124</v>
      </c>
      <c r="H390" s="970" t="s">
        <v>1513</v>
      </c>
      <c r="I390" s="971"/>
      <c r="J390" s="971"/>
      <c r="K390" s="970" t="s">
        <v>1416</v>
      </c>
      <c r="L390" s="972" t="s">
        <v>1734</v>
      </c>
      <c r="M390" s="973"/>
    </row>
    <row r="391" spans="1:13" s="972" customFormat="1" x14ac:dyDescent="0.2">
      <c r="A391" s="965"/>
      <c r="B391" s="966"/>
      <c r="C391" s="967"/>
      <c r="D391" s="969" t="s">
        <v>210</v>
      </c>
      <c r="E391" s="966"/>
      <c r="F391" s="758">
        <v>45957</v>
      </c>
      <c r="G391" s="966" t="s">
        <v>124</v>
      </c>
      <c r="H391" s="970" t="s">
        <v>896</v>
      </c>
      <c r="I391" s="971"/>
      <c r="J391" s="971"/>
      <c r="K391" s="970" t="s">
        <v>1416</v>
      </c>
      <c r="L391" s="972" t="s">
        <v>1735</v>
      </c>
      <c r="M391" s="973"/>
    </row>
    <row r="392" spans="1:13" s="972" customFormat="1" x14ac:dyDescent="0.2">
      <c r="A392" s="965"/>
      <c r="B392" s="966"/>
      <c r="C392" s="967"/>
      <c r="D392" s="969" t="s">
        <v>83</v>
      </c>
      <c r="E392" s="969"/>
      <c r="F392" s="758">
        <v>45952</v>
      </c>
      <c r="G392" s="966" t="s">
        <v>124</v>
      </c>
      <c r="H392" s="970" t="s">
        <v>1712</v>
      </c>
      <c r="I392" s="971"/>
      <c r="J392" s="971"/>
      <c r="K392" s="970" t="s">
        <v>1416</v>
      </c>
      <c r="L392" s="972" t="s">
        <v>1721</v>
      </c>
      <c r="M392" s="973"/>
    </row>
    <row r="393" spans="1:13" s="972" customFormat="1" x14ac:dyDescent="0.2">
      <c r="A393" s="965"/>
      <c r="B393" s="966"/>
      <c r="C393" s="967"/>
      <c r="D393" s="969" t="s">
        <v>39</v>
      </c>
      <c r="E393" s="966"/>
      <c r="F393" s="758">
        <v>45955</v>
      </c>
      <c r="G393" s="966" t="s">
        <v>124</v>
      </c>
      <c r="H393" s="970" t="s">
        <v>1713</v>
      </c>
      <c r="I393" s="971"/>
      <c r="J393" s="971"/>
      <c r="K393" s="970" t="s">
        <v>1416</v>
      </c>
      <c r="L393" s="972" t="s">
        <v>1737</v>
      </c>
      <c r="M393" s="973"/>
    </row>
    <row r="394" spans="1:13" s="972" customFormat="1" x14ac:dyDescent="0.2">
      <c r="A394" s="965"/>
      <c r="B394" s="966"/>
      <c r="C394" s="967"/>
      <c r="D394" s="969" t="s">
        <v>559</v>
      </c>
      <c r="E394" s="966"/>
      <c r="F394" s="758">
        <v>45957</v>
      </c>
      <c r="G394" s="966" t="s">
        <v>124</v>
      </c>
      <c r="H394" s="759" t="s">
        <v>894</v>
      </c>
      <c r="I394" s="971"/>
      <c r="J394" s="971"/>
      <c r="K394" s="970" t="s">
        <v>1416</v>
      </c>
      <c r="L394" s="972" t="s">
        <v>1718</v>
      </c>
      <c r="M394" s="973"/>
    </row>
    <row r="395" spans="1:13" s="972" customFormat="1" x14ac:dyDescent="0.2">
      <c r="A395" s="965"/>
      <c r="B395" s="966"/>
      <c r="C395" s="967"/>
      <c r="D395" s="969" t="s">
        <v>40</v>
      </c>
      <c r="E395" s="966"/>
      <c r="F395" s="758">
        <v>45959</v>
      </c>
      <c r="G395" s="966" t="s">
        <v>124</v>
      </c>
      <c r="H395" s="970" t="s">
        <v>1720</v>
      </c>
      <c r="I395" s="971"/>
      <c r="J395" s="971"/>
      <c r="K395" s="970" t="s">
        <v>1416</v>
      </c>
      <c r="L395" s="972" t="s">
        <v>1738</v>
      </c>
      <c r="M395" s="973"/>
    </row>
    <row r="396" spans="1:13" x14ac:dyDescent="0.2">
      <c r="A396" s="392"/>
      <c r="B396" s="391"/>
      <c r="C396" s="388"/>
      <c r="D396" s="391"/>
      <c r="E396" s="391"/>
      <c r="F396" s="391"/>
      <c r="G396" s="391"/>
      <c r="H396" s="390"/>
      <c r="I396" s="393"/>
      <c r="J396" s="393"/>
      <c r="K396" s="390"/>
    </row>
    <row r="397" spans="1:13" x14ac:dyDescent="0.2">
      <c r="A397" s="392"/>
      <c r="B397" s="391"/>
      <c r="C397" s="388"/>
      <c r="D397" s="391"/>
      <c r="E397" s="391"/>
      <c r="F397" s="391"/>
      <c r="G397" s="391"/>
      <c r="H397" s="390"/>
      <c r="I397" s="393"/>
      <c r="J397" s="393"/>
      <c r="K397" s="390"/>
    </row>
    <row r="398" spans="1:13" x14ac:dyDescent="0.2">
      <c r="A398" s="392"/>
      <c r="B398" s="391"/>
      <c r="C398" s="388"/>
      <c r="D398" s="391"/>
      <c r="E398" s="391"/>
      <c r="F398" s="391"/>
      <c r="G398" s="391"/>
      <c r="H398" s="390"/>
      <c r="I398" s="393"/>
      <c r="J398" s="393"/>
      <c r="K398" s="390"/>
    </row>
    <row r="399" spans="1:13" x14ac:dyDescent="0.2">
      <c r="A399" s="392"/>
      <c r="B399" s="391"/>
      <c r="C399" s="388"/>
      <c r="D399" s="391"/>
      <c r="E399" s="391"/>
      <c r="F399" s="391"/>
      <c r="G399" s="391"/>
      <c r="H399" s="390"/>
      <c r="I399" s="393"/>
      <c r="J399" s="393"/>
      <c r="K399" s="390"/>
    </row>
    <row r="400" spans="1:13" x14ac:dyDescent="0.2">
      <c r="A400" s="392"/>
      <c r="B400" s="391"/>
      <c r="C400" s="388"/>
      <c r="D400" s="391"/>
      <c r="E400" s="391"/>
      <c r="F400" s="391"/>
      <c r="G400" s="391"/>
      <c r="H400" s="390"/>
      <c r="I400" s="393"/>
      <c r="J400" s="393"/>
      <c r="K400" s="390"/>
    </row>
    <row r="401" spans="1:11" x14ac:dyDescent="0.2">
      <c r="A401" s="392"/>
      <c r="B401" s="391"/>
      <c r="C401" s="388"/>
      <c r="D401" s="391"/>
      <c r="E401" s="391"/>
      <c r="F401" s="391"/>
      <c r="G401" s="391"/>
      <c r="H401" s="390"/>
      <c r="I401" s="393"/>
      <c r="J401" s="393"/>
      <c r="K401" s="390"/>
    </row>
    <row r="402" spans="1:11" x14ac:dyDescent="0.2">
      <c r="A402" s="392"/>
      <c r="B402" s="391"/>
      <c r="C402" s="388"/>
      <c r="D402" s="391"/>
      <c r="E402" s="391"/>
      <c r="F402" s="391"/>
      <c r="G402" s="391"/>
      <c r="H402" s="390"/>
      <c r="I402" s="393"/>
      <c r="J402" s="393"/>
      <c r="K402" s="390"/>
    </row>
    <row r="403" spans="1:11" x14ac:dyDescent="0.2">
      <c r="A403" s="392"/>
      <c r="B403" s="391"/>
      <c r="C403" s="388"/>
      <c r="D403" s="391"/>
      <c r="E403" s="391"/>
      <c r="F403" s="391"/>
      <c r="G403" s="391"/>
      <c r="H403" s="390"/>
      <c r="I403" s="393"/>
      <c r="J403" s="393"/>
      <c r="K403" s="390"/>
    </row>
    <row r="404" spans="1:11" x14ac:dyDescent="0.2">
      <c r="A404" s="392"/>
      <c r="B404" s="391"/>
      <c r="C404" s="388"/>
      <c r="D404" s="391"/>
      <c r="E404" s="391"/>
      <c r="F404" s="391"/>
      <c r="G404" s="391"/>
      <c r="H404" s="390"/>
      <c r="I404" s="393"/>
      <c r="J404" s="393"/>
      <c r="K404" s="390"/>
    </row>
    <row r="405" spans="1:11" x14ac:dyDescent="0.2">
      <c r="A405" s="392"/>
      <c r="B405" s="391"/>
      <c r="C405" s="388"/>
      <c r="D405" s="391"/>
      <c r="E405" s="391"/>
      <c r="F405" s="391"/>
      <c r="G405" s="391"/>
      <c r="H405" s="390"/>
      <c r="I405" s="393"/>
      <c r="J405" s="393"/>
      <c r="K405" s="390"/>
    </row>
    <row r="406" spans="1:11" x14ac:dyDescent="0.2">
      <c r="A406" s="392"/>
      <c r="B406" s="391"/>
      <c r="C406" s="388"/>
      <c r="D406" s="391"/>
      <c r="E406" s="391"/>
      <c r="F406" s="391"/>
      <c r="G406" s="391"/>
      <c r="H406" s="390"/>
      <c r="I406" s="393"/>
      <c r="J406" s="393"/>
      <c r="K406" s="390"/>
    </row>
    <row r="407" spans="1:11" x14ac:dyDescent="0.2">
      <c r="A407" s="392"/>
      <c r="B407" s="391"/>
      <c r="C407" s="388"/>
      <c r="D407" s="391"/>
      <c r="E407" s="391"/>
      <c r="F407" s="391"/>
      <c r="G407" s="391"/>
      <c r="H407" s="390"/>
      <c r="I407" s="393"/>
      <c r="J407" s="393"/>
      <c r="K407" s="390"/>
    </row>
    <row r="408" spans="1:11" x14ac:dyDescent="0.2">
      <c r="A408" s="392"/>
      <c r="B408" s="391"/>
      <c r="C408" s="388"/>
      <c r="D408" s="391"/>
      <c r="E408" s="391"/>
      <c r="F408" s="391"/>
      <c r="G408" s="391"/>
      <c r="H408" s="390"/>
      <c r="I408" s="393"/>
      <c r="J408" s="393"/>
      <c r="K408" s="390"/>
    </row>
    <row r="409" spans="1:11" x14ac:dyDescent="0.2">
      <c r="A409" s="392"/>
      <c r="B409" s="391"/>
      <c r="C409" s="388"/>
      <c r="D409" s="391"/>
      <c r="E409" s="391"/>
      <c r="F409" s="391"/>
      <c r="G409" s="391"/>
      <c r="H409" s="390"/>
      <c r="I409" s="393"/>
      <c r="J409" s="393"/>
      <c r="K409" s="390"/>
    </row>
    <row r="410" spans="1:11" x14ac:dyDescent="0.2">
      <c r="A410" s="392"/>
      <c r="B410" s="391"/>
      <c r="C410" s="388"/>
      <c r="D410" s="391"/>
      <c r="E410" s="391"/>
      <c r="F410" s="391"/>
      <c r="G410" s="391"/>
      <c r="H410" s="390"/>
      <c r="I410" s="393"/>
      <c r="J410" s="393"/>
      <c r="K410" s="390"/>
    </row>
    <row r="411" spans="1:11" x14ac:dyDescent="0.2">
      <c r="A411" s="392"/>
      <c r="B411" s="391"/>
      <c r="C411" s="388"/>
      <c r="D411" s="391"/>
      <c r="E411" s="391"/>
      <c r="F411" s="391"/>
      <c r="G411" s="391"/>
      <c r="H411" s="390"/>
      <c r="I411" s="393"/>
      <c r="J411" s="393"/>
      <c r="K411" s="390"/>
    </row>
    <row r="412" spans="1:11" x14ac:dyDescent="0.2">
      <c r="A412" s="392"/>
      <c r="B412" s="391"/>
      <c r="C412" s="388"/>
      <c r="D412" s="391"/>
      <c r="E412" s="391"/>
      <c r="F412" s="391"/>
      <c r="G412" s="391"/>
      <c r="H412" s="390"/>
      <c r="I412" s="393"/>
      <c r="J412" s="393"/>
      <c r="K412" s="390"/>
    </row>
    <row r="413" spans="1:11" x14ac:dyDescent="0.2">
      <c r="A413" s="392"/>
      <c r="B413" s="391"/>
      <c r="C413" s="388"/>
      <c r="D413" s="391"/>
      <c r="E413" s="391"/>
      <c r="F413" s="391"/>
      <c r="G413" s="391"/>
      <c r="H413" s="390"/>
      <c r="I413" s="393"/>
      <c r="J413" s="393"/>
      <c r="K413" s="390"/>
    </row>
    <row r="414" spans="1:11" x14ac:dyDescent="0.2">
      <c r="A414" s="392"/>
      <c r="B414" s="391"/>
      <c r="C414" s="388"/>
      <c r="D414" s="391"/>
      <c r="E414" s="391"/>
      <c r="F414" s="391"/>
      <c r="G414" s="391"/>
      <c r="H414" s="390"/>
      <c r="I414" s="393"/>
      <c r="J414" s="393"/>
      <c r="K414" s="390"/>
    </row>
    <row r="415" spans="1:11" x14ac:dyDescent="0.2">
      <c r="A415" s="392"/>
      <c r="B415" s="391"/>
      <c r="C415" s="388"/>
      <c r="D415" s="391"/>
      <c r="E415" s="391"/>
      <c r="F415" s="391"/>
      <c r="G415" s="391"/>
      <c r="H415" s="390"/>
      <c r="I415" s="393"/>
      <c r="J415" s="393"/>
      <c r="K415" s="390"/>
    </row>
    <row r="416" spans="1:11"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ht="13.5" thickBot="1" x14ac:dyDescent="0.25">
      <c r="A585" s="394"/>
      <c r="B585" s="395"/>
      <c r="C585" s="396"/>
      <c r="D585" s="397"/>
      <c r="E585" s="397"/>
      <c r="F585" s="397"/>
      <c r="G585" s="397"/>
      <c r="H585" s="398"/>
      <c r="I585" s="399"/>
      <c r="J585" s="399"/>
      <c r="K585" s="398"/>
    </row>
    <row r="586" spans="1:11" ht="13.5" thickTop="1" x14ac:dyDescent="0.2"/>
  </sheetData>
  <autoFilter ref="A4:U384"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1" activePane="bottomLeft" state="frozen"/>
      <selection activeCell="D195" sqref="D195:D200"/>
      <selection pane="bottomLeft" activeCell="A199" sqref="A199:A210"/>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Compiled'!$C$7:$D$598,2,FALSE)</f>
        <v>DA+3</v>
      </c>
      <c r="D6" s="358">
        <v>45342</v>
      </c>
      <c r="E6" s="358">
        <v>45342</v>
      </c>
      <c r="F6" s="352" t="s">
        <v>1029</v>
      </c>
      <c r="G6" s="352" t="s">
        <v>1031</v>
      </c>
      <c r="H6" s="352" t="s">
        <v>1031</v>
      </c>
    </row>
    <row r="7" spans="1:8" x14ac:dyDescent="0.25">
      <c r="A7" s="352">
        <f>+SUBTOTAL(3,$E$6:$E7)</f>
        <v>2</v>
      </c>
      <c r="B7" s="354" t="s">
        <v>767</v>
      </c>
      <c r="C7" s="352" t="str">
        <f>+VLOOKUP(B7,'Erection Compiled'!$C$7:$D$598,2,FALSE)</f>
        <v>DA+6</v>
      </c>
      <c r="D7" s="358">
        <v>45344</v>
      </c>
      <c r="E7" s="358">
        <v>45344</v>
      </c>
      <c r="F7" s="352" t="s">
        <v>1029</v>
      </c>
      <c r="G7" s="352" t="s">
        <v>1031</v>
      </c>
      <c r="H7" s="352" t="s">
        <v>1031</v>
      </c>
    </row>
    <row r="8" spans="1:8" x14ac:dyDescent="0.25">
      <c r="A8" s="352">
        <f>+SUBTOTAL(3,$E$6:$E8)</f>
        <v>3</v>
      </c>
      <c r="B8" s="354" t="s">
        <v>795</v>
      </c>
      <c r="C8" s="352" t="str">
        <f>+VLOOKUP(B8,'Erection Compiled'!$C$7:$D$598,2,FALSE)</f>
        <v>DA+0</v>
      </c>
      <c r="D8" s="358">
        <v>45349</v>
      </c>
      <c r="E8" s="358">
        <v>45349</v>
      </c>
      <c r="F8" s="352" t="s">
        <v>1029</v>
      </c>
      <c r="G8" s="352" t="s">
        <v>1031</v>
      </c>
      <c r="H8" s="352" t="s">
        <v>1031</v>
      </c>
    </row>
    <row r="9" spans="1:8" x14ac:dyDescent="0.25">
      <c r="A9" s="352">
        <f>+SUBTOTAL(3,$E$6:$E9)</f>
        <v>4</v>
      </c>
      <c r="B9" s="354" t="s">
        <v>807</v>
      </c>
      <c r="C9" s="352" t="str">
        <f>+VLOOKUP(B9,'Erection Compiled'!$C$7:$D$598,2,FALSE)</f>
        <v>DA+3</v>
      </c>
      <c r="D9" s="358">
        <v>45350</v>
      </c>
      <c r="E9" s="358">
        <v>45350</v>
      </c>
      <c r="F9" s="352" t="s">
        <v>1029</v>
      </c>
      <c r="G9" s="352" t="s">
        <v>1031</v>
      </c>
      <c r="H9" s="352" t="s">
        <v>1031</v>
      </c>
    </row>
    <row r="10" spans="1:8" x14ac:dyDescent="0.25">
      <c r="A10" s="352">
        <f>+SUBTOTAL(3,$E$6:$E10)</f>
        <v>5</v>
      </c>
      <c r="B10" s="354" t="s">
        <v>809</v>
      </c>
      <c r="C10" s="352" t="str">
        <f>+VLOOKUP(B10,'Erection Compiled'!$C$7:$D$598,2,FALSE)</f>
        <v>DA+3</v>
      </c>
      <c r="D10" s="358">
        <v>45352</v>
      </c>
      <c r="E10" s="358">
        <v>45353</v>
      </c>
      <c r="F10" s="352" t="s">
        <v>1029</v>
      </c>
      <c r="G10" s="352" t="s">
        <v>1031</v>
      </c>
      <c r="H10" s="352" t="s">
        <v>1031</v>
      </c>
    </row>
    <row r="11" spans="1:8" x14ac:dyDescent="0.25">
      <c r="A11" s="352">
        <f>+SUBTOTAL(3,$E$6:$E11)</f>
        <v>6</v>
      </c>
      <c r="B11" s="354" t="s">
        <v>793</v>
      </c>
      <c r="C11" s="352" t="str">
        <f>+VLOOKUP(B11,'Erection Compiled'!$C$7:$D$598,2,FALSE)</f>
        <v>DA+0</v>
      </c>
      <c r="D11" s="358">
        <v>45325</v>
      </c>
      <c r="E11" s="358">
        <v>45325</v>
      </c>
      <c r="F11" s="352" t="s">
        <v>1029</v>
      </c>
      <c r="G11" s="352" t="s">
        <v>1031</v>
      </c>
      <c r="H11" s="352" t="s">
        <v>1031</v>
      </c>
    </row>
    <row r="12" spans="1:8" x14ac:dyDescent="0.25">
      <c r="A12" s="352">
        <f>+SUBTOTAL(3,$E$6:$E12)</f>
        <v>7</v>
      </c>
      <c r="B12" s="354" t="s">
        <v>794</v>
      </c>
      <c r="C12" s="352" t="str">
        <f>+VLOOKUP(B12,'Erection Compiled'!$C$7:$D$598,2,FALSE)</f>
        <v>DA+3</v>
      </c>
      <c r="D12" s="358">
        <v>45355</v>
      </c>
      <c r="E12" s="358">
        <v>45355</v>
      </c>
      <c r="F12" s="352" t="s">
        <v>1029</v>
      </c>
      <c r="G12" s="352" t="s">
        <v>1031</v>
      </c>
      <c r="H12" s="352" t="s">
        <v>1031</v>
      </c>
    </row>
    <row r="13" spans="1:8" x14ac:dyDescent="0.25">
      <c r="A13" s="352">
        <f>+SUBTOTAL(3,$E$6:$E13)</f>
        <v>8</v>
      </c>
      <c r="B13" s="354" t="s">
        <v>765</v>
      </c>
      <c r="C13" s="352" t="str">
        <f>+VLOOKUP(B13,'Erection Compiled'!$C$7:$D$598,2,FALSE)</f>
        <v>DA+6</v>
      </c>
      <c r="D13" s="358">
        <v>45356</v>
      </c>
      <c r="E13" s="358">
        <v>45356</v>
      </c>
      <c r="F13" s="352" t="s">
        <v>1029</v>
      </c>
      <c r="G13" s="352" t="s">
        <v>1031</v>
      </c>
      <c r="H13" s="352" t="s">
        <v>1031</v>
      </c>
    </row>
    <row r="14" spans="1:8" x14ac:dyDescent="0.25">
      <c r="A14" s="352">
        <f>+SUBTOTAL(3,$E$6:$E14)</f>
        <v>9</v>
      </c>
      <c r="B14" s="354" t="s">
        <v>763</v>
      </c>
      <c r="C14" s="352" t="str">
        <f>+VLOOKUP(B14,'Erection Compiled'!$C$7:$D$598,2,FALSE)</f>
        <v>DA+0</v>
      </c>
      <c r="D14" s="358">
        <v>45357</v>
      </c>
      <c r="E14" s="358">
        <v>45357</v>
      </c>
      <c r="F14" s="352" t="s">
        <v>1029</v>
      </c>
      <c r="G14" s="352" t="s">
        <v>1031</v>
      </c>
      <c r="H14" s="352" t="s">
        <v>1031</v>
      </c>
    </row>
    <row r="15" spans="1:8" x14ac:dyDescent="0.25">
      <c r="A15" s="352">
        <f>+SUBTOTAL(3,$E$6:$E15)</f>
        <v>10</v>
      </c>
      <c r="B15" s="354" t="s">
        <v>762</v>
      </c>
      <c r="C15" s="352" t="str">
        <f>+VLOOKUP(B15,'Erection Compiled'!$C$7:$D$598,2,FALSE)</f>
        <v>DA+3</v>
      </c>
      <c r="D15" s="358">
        <v>45358</v>
      </c>
      <c r="E15" s="358">
        <v>45358</v>
      </c>
      <c r="F15" s="352" t="s">
        <v>1029</v>
      </c>
      <c r="G15" s="352" t="s">
        <v>1031</v>
      </c>
      <c r="H15" s="352" t="s">
        <v>1031</v>
      </c>
    </row>
    <row r="16" spans="1:8" x14ac:dyDescent="0.25">
      <c r="A16" s="352">
        <f>+SUBTOTAL(3,$E$6:$E16)</f>
        <v>11</v>
      </c>
      <c r="B16" s="354" t="s">
        <v>776</v>
      </c>
      <c r="C16" s="352" t="str">
        <f>+VLOOKUP(B16,'Erection Compiled'!$C$7:$D$598,2,FALSE)</f>
        <v>DA+3</v>
      </c>
      <c r="D16" s="358">
        <v>45360</v>
      </c>
      <c r="E16" s="358">
        <v>45360</v>
      </c>
      <c r="F16" s="352" t="s">
        <v>1029</v>
      </c>
      <c r="G16" s="352" t="s">
        <v>1031</v>
      </c>
      <c r="H16" s="352" t="s">
        <v>1031</v>
      </c>
    </row>
    <row r="17" spans="1:8" x14ac:dyDescent="0.25">
      <c r="A17" s="352">
        <f>+SUBTOTAL(3,$E$6:$E17)</f>
        <v>12</v>
      </c>
      <c r="B17" s="352" t="s">
        <v>792</v>
      </c>
      <c r="C17" s="352" t="str">
        <f>+VLOOKUP(B17,'Erection Compiled'!$C$7:$D$598,2,FALSE)</f>
        <v>DA+3</v>
      </c>
      <c r="D17" s="358">
        <v>45361</v>
      </c>
      <c r="E17" s="358">
        <v>45361</v>
      </c>
      <c r="F17" s="352" t="s">
        <v>1029</v>
      </c>
      <c r="G17" s="352" t="s">
        <v>1031</v>
      </c>
      <c r="H17" s="352" t="s">
        <v>1031</v>
      </c>
    </row>
    <row r="18" spans="1:8" x14ac:dyDescent="0.25">
      <c r="A18" s="352">
        <f>+SUBTOTAL(3,$E$6:$E18)</f>
        <v>13</v>
      </c>
      <c r="B18" s="352" t="s">
        <v>797</v>
      </c>
      <c r="C18" s="352" t="str">
        <f>+VLOOKUP(B18,'Erection Compiled'!$C$7:$D$598,2,FALSE)</f>
        <v>DA+3</v>
      </c>
      <c r="D18" s="358">
        <v>45362</v>
      </c>
      <c r="E18" s="358">
        <v>45362</v>
      </c>
      <c r="F18" s="352" t="s">
        <v>1029</v>
      </c>
      <c r="G18" s="352" t="s">
        <v>1031</v>
      </c>
      <c r="H18" s="352" t="s">
        <v>1031</v>
      </c>
    </row>
    <row r="19" spans="1:8" x14ac:dyDescent="0.25">
      <c r="A19" s="352">
        <f>+SUBTOTAL(3,$E$6:$E19)</f>
        <v>14</v>
      </c>
      <c r="B19" s="352" t="s">
        <v>811</v>
      </c>
      <c r="C19" s="352" t="str">
        <f>+VLOOKUP(B19,'Erection Compiled'!$C$7:$D$598,2,FALSE)</f>
        <v>DA+0</v>
      </c>
      <c r="D19" s="358">
        <v>45363</v>
      </c>
      <c r="E19" s="358">
        <v>45363</v>
      </c>
      <c r="F19" s="352" t="s">
        <v>1029</v>
      </c>
      <c r="G19" s="352" t="s">
        <v>1031</v>
      </c>
      <c r="H19" s="352" t="s">
        <v>1031</v>
      </c>
    </row>
    <row r="20" spans="1:8" x14ac:dyDescent="0.25">
      <c r="A20" s="352">
        <f>+SUBTOTAL(3,$E$6:$E20)</f>
        <v>15</v>
      </c>
      <c r="B20" s="352" t="s">
        <v>760</v>
      </c>
      <c r="C20" s="352" t="str">
        <f>+VLOOKUP(B20,'Erection Compiled'!$C$7:$D$598,2,FALSE)</f>
        <v>DA+3</v>
      </c>
      <c r="D20" s="358">
        <v>45363</v>
      </c>
      <c r="E20" s="358">
        <v>45363</v>
      </c>
      <c r="F20" s="352" t="s">
        <v>1030</v>
      </c>
      <c r="G20" s="352" t="s">
        <v>1031</v>
      </c>
      <c r="H20" s="352" t="s">
        <v>1031</v>
      </c>
    </row>
    <row r="21" spans="1:8" x14ac:dyDescent="0.25">
      <c r="A21" s="352">
        <f>+SUBTOTAL(3,$E$6:$E21)</f>
        <v>16</v>
      </c>
      <c r="B21" s="352" t="s">
        <v>814</v>
      </c>
      <c r="C21" s="352" t="str">
        <f>+VLOOKUP(B21,'Erection Compiled'!$C$7:$D$598,2,FALSE)</f>
        <v>DA+3</v>
      </c>
      <c r="D21" s="358">
        <v>45364</v>
      </c>
      <c r="E21" s="358">
        <v>45364</v>
      </c>
      <c r="F21" s="352" t="s">
        <v>1029</v>
      </c>
      <c r="G21" s="352" t="s">
        <v>1031</v>
      </c>
      <c r="H21" s="352" t="s">
        <v>1031</v>
      </c>
    </row>
    <row r="22" spans="1:8" x14ac:dyDescent="0.25">
      <c r="A22" s="352">
        <f>+SUBTOTAL(3,$E$6:$E22)</f>
        <v>17</v>
      </c>
      <c r="B22" s="352" t="s">
        <v>780</v>
      </c>
      <c r="C22" s="352" t="str">
        <f>+VLOOKUP(B22,'Erection Compiled'!$C$7:$D$598,2,FALSE)</f>
        <v>DA+3</v>
      </c>
      <c r="D22" s="358">
        <v>45366</v>
      </c>
      <c r="E22" s="358">
        <v>45366</v>
      </c>
      <c r="F22" s="352" t="s">
        <v>1030</v>
      </c>
      <c r="G22" s="352" t="s">
        <v>1031</v>
      </c>
      <c r="H22" s="352" t="s">
        <v>1031</v>
      </c>
    </row>
    <row r="23" spans="1:8" x14ac:dyDescent="0.25">
      <c r="A23" s="352">
        <f>+SUBTOTAL(3,$E$6:$E23)</f>
        <v>18</v>
      </c>
      <c r="B23" s="352" t="s">
        <v>798</v>
      </c>
      <c r="C23" s="352" t="str">
        <f>+VLOOKUP(B23,'Erection Compiled'!$C$7:$D$598,2,FALSE)</f>
        <v>DA+0</v>
      </c>
      <c r="D23" s="358">
        <v>45366</v>
      </c>
      <c r="E23" s="358">
        <v>45366</v>
      </c>
      <c r="F23" s="352" t="s">
        <v>1029</v>
      </c>
      <c r="G23" s="352" t="s">
        <v>1031</v>
      </c>
      <c r="H23" s="352" t="s">
        <v>1031</v>
      </c>
    </row>
    <row r="24" spans="1:8" x14ac:dyDescent="0.25">
      <c r="A24" s="352">
        <f>+SUBTOTAL(3,$E$6:$E24)</f>
        <v>19</v>
      </c>
      <c r="B24" s="352" t="s">
        <v>824</v>
      </c>
      <c r="C24" s="352" t="str">
        <f>+VLOOKUP(B24,'Erection Compiled'!$C$7:$D$598,2,FALSE)</f>
        <v>DA+0</v>
      </c>
      <c r="D24" s="358">
        <v>45367</v>
      </c>
      <c r="E24" s="358">
        <v>45367</v>
      </c>
      <c r="F24" s="352" t="s">
        <v>1029</v>
      </c>
      <c r="G24" s="352" t="s">
        <v>1031</v>
      </c>
      <c r="H24" s="352" t="s">
        <v>1031</v>
      </c>
    </row>
    <row r="25" spans="1:8" x14ac:dyDescent="0.25">
      <c r="A25" s="352">
        <f>+SUBTOTAL(3,$E$6:$E25)</f>
        <v>20</v>
      </c>
      <c r="B25" s="352" t="s">
        <v>775</v>
      </c>
      <c r="C25" s="352" t="str">
        <f>+VLOOKUP(B25,'Erection Compiled'!$C$7:$D$598,2,FALSE)</f>
        <v>DA+0</v>
      </c>
      <c r="D25" s="358">
        <v>45367</v>
      </c>
      <c r="E25" s="358">
        <v>45367</v>
      </c>
      <c r="F25" s="352" t="s">
        <v>1030</v>
      </c>
      <c r="G25" s="352" t="s">
        <v>1031</v>
      </c>
      <c r="H25" s="352" t="s">
        <v>1031</v>
      </c>
    </row>
    <row r="26" spans="1:8" x14ac:dyDescent="0.25">
      <c r="A26" s="352">
        <f>+SUBTOTAL(3,$E$6:$E26)</f>
        <v>21</v>
      </c>
      <c r="B26" s="352" t="s">
        <v>826</v>
      </c>
      <c r="C26" s="352" t="str">
        <f>+VLOOKUP(B26,'Erection Compiled'!$C$7:$D$598,2,FALSE)</f>
        <v>DA+0</v>
      </c>
      <c r="D26" s="358">
        <v>45368</v>
      </c>
      <c r="E26" s="358">
        <v>45368</v>
      </c>
      <c r="F26" s="352" t="s">
        <v>1029</v>
      </c>
      <c r="G26" s="352" t="s">
        <v>1031</v>
      </c>
      <c r="H26" s="352" t="s">
        <v>1031</v>
      </c>
    </row>
    <row r="27" spans="1:8" x14ac:dyDescent="0.25">
      <c r="A27" s="352">
        <f>+SUBTOTAL(3,$E$6:$E27)</f>
        <v>22</v>
      </c>
      <c r="B27" s="352" t="s">
        <v>815</v>
      </c>
      <c r="C27" s="352" t="str">
        <f>+VLOOKUP(B27,'Erection Compiled'!$C$7:$D$598,2,FALSE)</f>
        <v>DA+3</v>
      </c>
      <c r="D27" s="358">
        <v>45369</v>
      </c>
      <c r="E27" s="358">
        <v>45369</v>
      </c>
      <c r="F27" s="352" t="s">
        <v>1029</v>
      </c>
      <c r="G27" s="352" t="s">
        <v>1031</v>
      </c>
      <c r="H27" s="352" t="s">
        <v>1031</v>
      </c>
    </row>
    <row r="28" spans="1:8" x14ac:dyDescent="0.25">
      <c r="A28" s="352">
        <f>+SUBTOTAL(3,$E$6:$E28)</f>
        <v>23</v>
      </c>
      <c r="B28" s="352" t="s">
        <v>799</v>
      </c>
      <c r="C28" s="352" t="str">
        <f>+VLOOKUP(B28,'Erection Compiled'!$C$7:$D$598,2,FALSE)</f>
        <v>DA+3</v>
      </c>
      <c r="D28" s="358">
        <v>45370</v>
      </c>
      <c r="E28" s="358">
        <v>45370</v>
      </c>
      <c r="F28" s="352" t="s">
        <v>1029</v>
      </c>
      <c r="G28" s="352" t="s">
        <v>1031</v>
      </c>
      <c r="H28" s="352" t="s">
        <v>1031</v>
      </c>
    </row>
    <row r="29" spans="1:8" x14ac:dyDescent="0.25">
      <c r="A29" s="352">
        <f>+SUBTOTAL(3,$E$6:$E29)</f>
        <v>24</v>
      </c>
      <c r="B29" s="352" t="s">
        <v>777</v>
      </c>
      <c r="C29" s="352" t="str">
        <f>+VLOOKUP(B29,'Erection Compiled'!$C$7:$D$598,2,FALSE)</f>
        <v>DA+0</v>
      </c>
      <c r="D29" s="358">
        <v>45370</v>
      </c>
      <c r="E29" s="358">
        <v>45370</v>
      </c>
      <c r="F29" s="352" t="s">
        <v>1030</v>
      </c>
      <c r="G29" s="352" t="s">
        <v>1031</v>
      </c>
      <c r="H29" s="352" t="s">
        <v>1031</v>
      </c>
    </row>
    <row r="30" spans="1:8" x14ac:dyDescent="0.25">
      <c r="A30" s="352">
        <f>+SUBTOTAL(3,$E$6:$E30)</f>
        <v>25</v>
      </c>
      <c r="B30" s="352" t="s">
        <v>800</v>
      </c>
      <c r="C30" s="352" t="str">
        <f>+VLOOKUP(B30,'Erection Compiled'!$C$7:$D$598,2,FALSE)</f>
        <v>DA+0</v>
      </c>
      <c r="D30" s="358">
        <v>45372</v>
      </c>
      <c r="E30" s="358">
        <v>45372</v>
      </c>
      <c r="F30" s="352" t="s">
        <v>1029</v>
      </c>
      <c r="G30" s="352" t="s">
        <v>1031</v>
      </c>
      <c r="H30" s="352" t="s">
        <v>1031</v>
      </c>
    </row>
    <row r="31" spans="1:8" x14ac:dyDescent="0.25">
      <c r="A31" s="352">
        <f>+SUBTOTAL(3,$E$6:$E31)</f>
        <v>26</v>
      </c>
      <c r="B31" s="352" t="s">
        <v>825</v>
      </c>
      <c r="C31" s="352" t="str">
        <f>+VLOOKUP(B31,'Erection Compiled'!$C$7:$D$598,2,FALSE)</f>
        <v>DA+3</v>
      </c>
      <c r="D31" s="358">
        <v>45373</v>
      </c>
      <c r="E31" s="358">
        <v>45373</v>
      </c>
      <c r="F31" s="352" t="s">
        <v>1029</v>
      </c>
      <c r="G31" s="352" t="s">
        <v>1031</v>
      </c>
      <c r="H31" s="352" t="s">
        <v>1031</v>
      </c>
    </row>
    <row r="32" spans="1:8" x14ac:dyDescent="0.25">
      <c r="A32" s="352">
        <f>+SUBTOTAL(3,$E$6:$E32)</f>
        <v>27</v>
      </c>
      <c r="B32" s="352" t="s">
        <v>759</v>
      </c>
      <c r="C32" s="352" t="str">
        <f>+VLOOKUP(B32,'Erection Compiled'!$C$7:$D$598,2,FALSE)</f>
        <v>DA+3</v>
      </c>
      <c r="D32" s="358">
        <v>45373</v>
      </c>
      <c r="E32" s="358">
        <v>45373</v>
      </c>
      <c r="F32" s="352" t="s">
        <v>1030</v>
      </c>
      <c r="G32" s="352" t="s">
        <v>1031</v>
      </c>
      <c r="H32" s="352" t="s">
        <v>1031</v>
      </c>
    </row>
    <row r="33" spans="1:8" x14ac:dyDescent="0.25">
      <c r="A33" s="352">
        <f>+SUBTOTAL(3,$E$6:$E33)</f>
        <v>28</v>
      </c>
      <c r="B33" s="352" t="s">
        <v>779</v>
      </c>
      <c r="C33" s="352" t="str">
        <f>+VLOOKUP(B33,'Erection Compiled'!$C$7:$D$598,2,FALSE)</f>
        <v>DA+0</v>
      </c>
      <c r="D33" s="358">
        <v>45375</v>
      </c>
      <c r="E33" s="358">
        <v>45375</v>
      </c>
      <c r="F33" s="352" t="s">
        <v>1029</v>
      </c>
      <c r="G33" s="352" t="s">
        <v>1031</v>
      </c>
      <c r="H33" s="352" t="s">
        <v>1031</v>
      </c>
    </row>
    <row r="34" spans="1:8" x14ac:dyDescent="0.25">
      <c r="A34" s="352">
        <f>+SUBTOTAL(3,$E$6:$E34)</f>
        <v>29</v>
      </c>
      <c r="B34" s="352" t="s">
        <v>786</v>
      </c>
      <c r="C34" s="352" t="str">
        <f>+VLOOKUP(B34,'Erection Compiled'!$C$7:$D$598,2,FALSE)</f>
        <v>DA+3</v>
      </c>
      <c r="D34" s="358">
        <v>45379</v>
      </c>
      <c r="E34" s="358">
        <v>45379</v>
      </c>
      <c r="F34" s="352" t="s">
        <v>1029</v>
      </c>
      <c r="G34" s="352" t="s">
        <v>1031</v>
      </c>
      <c r="H34" s="352" t="s">
        <v>1031</v>
      </c>
    </row>
    <row r="35" spans="1:8" x14ac:dyDescent="0.25">
      <c r="A35" s="352">
        <f>+SUBTOTAL(3,$E$6:$E35)</f>
        <v>30</v>
      </c>
      <c r="B35" s="352" t="s">
        <v>827</v>
      </c>
      <c r="C35" s="352" t="str">
        <f>+VLOOKUP(B35,'Erection Compiled'!$C$7:$D$598,2,FALSE)</f>
        <v>DA+0</v>
      </c>
      <c r="D35" s="358">
        <v>45380</v>
      </c>
      <c r="E35" s="358">
        <v>45380</v>
      </c>
      <c r="F35" s="352" t="s">
        <v>1029</v>
      </c>
      <c r="G35" s="352" t="s">
        <v>1031</v>
      </c>
      <c r="H35" s="352" t="s">
        <v>1031</v>
      </c>
    </row>
    <row r="36" spans="1:8" x14ac:dyDescent="0.25">
      <c r="A36" s="352">
        <f>+SUBTOTAL(3,$E$6:$E36)</f>
        <v>31</v>
      </c>
      <c r="B36" s="352" t="s">
        <v>816</v>
      </c>
      <c r="C36" s="352" t="str">
        <f>+VLOOKUP(B36,'Erection Compiled'!$C$7:$D$598,2,FALSE)</f>
        <v>DA+0</v>
      </c>
      <c r="D36" s="358">
        <v>45383</v>
      </c>
      <c r="E36" s="358">
        <v>45383</v>
      </c>
      <c r="F36" s="352" t="s">
        <v>1029</v>
      </c>
      <c r="G36" s="352" t="s">
        <v>1031</v>
      </c>
      <c r="H36" s="352" t="s">
        <v>1031</v>
      </c>
    </row>
    <row r="37" spans="1:8" x14ac:dyDescent="0.25">
      <c r="A37" s="352">
        <f>+SUBTOTAL(3,$E$6:$E37)</f>
        <v>32</v>
      </c>
      <c r="B37" s="352" t="s">
        <v>787</v>
      </c>
      <c r="C37" s="352" t="str">
        <f>+VLOOKUP(B37,'Erection Compiled'!$C$7:$D$598,2,FALSE)</f>
        <v>DA+9</v>
      </c>
      <c r="D37" s="358">
        <v>45385</v>
      </c>
      <c r="E37" s="358">
        <v>45385</v>
      </c>
      <c r="F37" s="352" t="s">
        <v>1029</v>
      </c>
      <c r="G37" s="352" t="s">
        <v>1031</v>
      </c>
      <c r="H37" s="352" t="s">
        <v>1031</v>
      </c>
    </row>
    <row r="38" spans="1:8" x14ac:dyDescent="0.25">
      <c r="A38" s="352">
        <f>+SUBTOTAL(3,$E$6:$E38)</f>
        <v>33</v>
      </c>
      <c r="B38" s="352" t="s">
        <v>828</v>
      </c>
      <c r="C38" s="352" t="str">
        <f>+VLOOKUP(B38,'Erection Compiled'!$C$7:$D$598,2,FALSE)</f>
        <v>DA+0</v>
      </c>
      <c r="D38" s="358">
        <v>45386</v>
      </c>
      <c r="E38" s="358">
        <v>45386</v>
      </c>
      <c r="F38" s="352" t="s">
        <v>1029</v>
      </c>
      <c r="G38" s="352" t="s">
        <v>1031</v>
      </c>
      <c r="H38" s="352" t="s">
        <v>1031</v>
      </c>
    </row>
    <row r="39" spans="1:8" x14ac:dyDescent="0.25">
      <c r="A39" s="352">
        <f>+SUBTOTAL(3,$E$6:$E39)</f>
        <v>34</v>
      </c>
      <c r="B39" s="352" t="s">
        <v>817</v>
      </c>
      <c r="C39" s="352" t="str">
        <f>+VLOOKUP(B39,'Erection Compiled'!$C$7:$D$598,2,FALSE)</f>
        <v>DA+3</v>
      </c>
      <c r="D39" s="358">
        <v>45388</v>
      </c>
      <c r="E39" s="358">
        <v>45388</v>
      </c>
      <c r="F39" s="352" t="s">
        <v>1029</v>
      </c>
      <c r="G39" s="352" t="s">
        <v>1031</v>
      </c>
      <c r="H39" s="352" t="s">
        <v>1031</v>
      </c>
    </row>
    <row r="40" spans="1:8" x14ac:dyDescent="0.25">
      <c r="A40" s="352">
        <f>+SUBTOTAL(3,$E$6:$E40)</f>
        <v>35</v>
      </c>
      <c r="B40" s="352" t="s">
        <v>808</v>
      </c>
      <c r="C40" s="352" t="str">
        <f>+VLOOKUP(B40,'Erection Compiled'!$C$7:$D$598,2,FALSE)</f>
        <v>DA+3</v>
      </c>
      <c r="D40" s="358">
        <v>45403</v>
      </c>
      <c r="E40" s="358">
        <v>45404</v>
      </c>
      <c r="F40" s="352" t="s">
        <v>1029</v>
      </c>
      <c r="G40" s="352" t="s">
        <v>1031</v>
      </c>
      <c r="H40" s="352" t="s">
        <v>1031</v>
      </c>
    </row>
    <row r="41" spans="1:8" x14ac:dyDescent="0.25">
      <c r="A41" s="352">
        <f>+SUBTOTAL(3,$E$6:$E41)</f>
        <v>36</v>
      </c>
      <c r="B41" s="352" t="s">
        <v>819</v>
      </c>
      <c r="C41" s="352" t="str">
        <f>+VLOOKUP(B41,'Erection Compiled'!$C$7:$D$598,2,FALSE)</f>
        <v>DA+3</v>
      </c>
      <c r="D41" s="358">
        <v>45406</v>
      </c>
      <c r="E41" s="358">
        <v>45406</v>
      </c>
      <c r="F41" s="352" t="s">
        <v>1029</v>
      </c>
      <c r="G41" s="352" t="s">
        <v>1031</v>
      </c>
      <c r="H41" s="352" t="s">
        <v>1031</v>
      </c>
    </row>
    <row r="42" spans="1:8" x14ac:dyDescent="0.25">
      <c r="A42" s="352">
        <f>+SUBTOTAL(3,$E$6:$E42)</f>
        <v>37</v>
      </c>
      <c r="B42" s="352" t="s">
        <v>98</v>
      </c>
      <c r="C42" s="352" t="str">
        <f>+VLOOKUP(B42,'Erection Compiled'!$C$7:$D$598,2,FALSE)</f>
        <v>DB2+0</v>
      </c>
      <c r="D42" s="358">
        <v>45407</v>
      </c>
      <c r="E42" s="358">
        <v>45407</v>
      </c>
      <c r="F42" s="352" t="s">
        <v>1030</v>
      </c>
      <c r="G42" s="352" t="s">
        <v>1031</v>
      </c>
      <c r="H42" s="352" t="s">
        <v>1031</v>
      </c>
    </row>
    <row r="43" spans="1:8" x14ac:dyDescent="0.25">
      <c r="A43" s="352">
        <f>+SUBTOTAL(3,$E$6:$E43)</f>
        <v>38</v>
      </c>
      <c r="B43" s="352" t="s">
        <v>829</v>
      </c>
      <c r="C43" s="352" t="str">
        <f>+VLOOKUP(B43,'Erection Compiled'!$C$7:$D$598,2,FALSE)</f>
        <v>DA+0</v>
      </c>
      <c r="D43" s="358">
        <v>45409</v>
      </c>
      <c r="E43" s="358">
        <v>45409</v>
      </c>
      <c r="F43" s="352" t="s">
        <v>1029</v>
      </c>
      <c r="G43" s="352" t="s">
        <v>1031</v>
      </c>
      <c r="H43" s="352" t="s">
        <v>1031</v>
      </c>
    </row>
    <row r="44" spans="1:8" x14ac:dyDescent="0.25">
      <c r="A44" s="352">
        <f>+SUBTOTAL(3,$E$6:$E44)</f>
        <v>39</v>
      </c>
      <c r="B44" s="352" t="s">
        <v>831</v>
      </c>
      <c r="C44" s="352" t="str">
        <f>+VLOOKUP(B44,'Erection Compiled'!$C$7:$D$598,2,FALSE)</f>
        <v>DA+0</v>
      </c>
      <c r="D44" s="358">
        <v>45410</v>
      </c>
      <c r="E44" s="358">
        <v>45410</v>
      </c>
      <c r="F44" s="352" t="s">
        <v>1029</v>
      </c>
      <c r="G44" s="352" t="s">
        <v>1031</v>
      </c>
      <c r="H44" s="352" t="s">
        <v>1031</v>
      </c>
    </row>
    <row r="45" spans="1:8" x14ac:dyDescent="0.25">
      <c r="A45" s="352">
        <f>+SUBTOTAL(3,$E$6:$E45)</f>
        <v>40</v>
      </c>
      <c r="B45" s="352" t="s">
        <v>833</v>
      </c>
      <c r="C45" s="352" t="str">
        <f>+VLOOKUP(B45,'Erection Compiled'!$C$7:$D$598,2,FALSE)</f>
        <v>DA+0</v>
      </c>
      <c r="D45" s="358">
        <v>45411</v>
      </c>
      <c r="E45" s="358">
        <v>45411</v>
      </c>
      <c r="F45" s="352" t="s">
        <v>1029</v>
      </c>
      <c r="G45" s="352" t="s">
        <v>1031</v>
      </c>
      <c r="H45" s="352" t="s">
        <v>1031</v>
      </c>
    </row>
    <row r="46" spans="1:8" x14ac:dyDescent="0.25">
      <c r="A46" s="352">
        <f>+SUBTOTAL(3,$E$6:$E46)</f>
        <v>41</v>
      </c>
      <c r="B46" s="352" t="s">
        <v>782</v>
      </c>
      <c r="C46" s="352" t="str">
        <f>+VLOOKUP(B46,'Erection Compiled'!$C$7:$D$598,2,FALSE)</f>
        <v>DA+6</v>
      </c>
      <c r="D46" s="358">
        <v>45411</v>
      </c>
      <c r="E46" s="358">
        <v>45412</v>
      </c>
      <c r="F46" s="352" t="s">
        <v>1030</v>
      </c>
      <c r="G46" s="352" t="s">
        <v>1031</v>
      </c>
      <c r="H46" s="352" t="s">
        <v>1031</v>
      </c>
    </row>
    <row r="47" spans="1:8" x14ac:dyDescent="0.25">
      <c r="A47" s="352">
        <f>+SUBTOTAL(3,$E$6:$E47)</f>
        <v>42</v>
      </c>
      <c r="B47" s="352" t="s">
        <v>820</v>
      </c>
      <c r="C47" s="352" t="str">
        <f>+VLOOKUP(B47,'Erection Compiled'!$C$7:$D$598,2,FALSE)</f>
        <v>DA+3</v>
      </c>
      <c r="D47" s="358">
        <v>45417</v>
      </c>
      <c r="E47" s="358">
        <v>45417</v>
      </c>
      <c r="F47" s="352" t="s">
        <v>1029</v>
      </c>
      <c r="G47" s="352" t="s">
        <v>1031</v>
      </c>
      <c r="H47" s="352" t="s">
        <v>1031</v>
      </c>
    </row>
    <row r="48" spans="1:8" x14ac:dyDescent="0.25">
      <c r="A48" s="352">
        <f>+SUBTOTAL(3,$E$6:$E48)</f>
        <v>43</v>
      </c>
      <c r="B48" s="352" t="s">
        <v>832</v>
      </c>
      <c r="C48" s="352" t="str">
        <f>+VLOOKUP(B48,'Erection Compiled'!$C$7:$D$598,2,FALSE)</f>
        <v>DA+0</v>
      </c>
      <c r="D48" s="358">
        <v>45419</v>
      </c>
      <c r="E48" s="358">
        <v>45419</v>
      </c>
      <c r="F48" s="352" t="s">
        <v>1029</v>
      </c>
      <c r="G48" s="352" t="s">
        <v>1031</v>
      </c>
      <c r="H48" s="352" t="s">
        <v>1031</v>
      </c>
    </row>
    <row r="49" spans="1:8" x14ac:dyDescent="0.25">
      <c r="A49" s="352">
        <f>+SUBTOTAL(3,$E$6:$E49)</f>
        <v>44</v>
      </c>
      <c r="B49" s="352" t="s">
        <v>818</v>
      </c>
      <c r="C49" s="352" t="str">
        <f>+VLOOKUP(B49,'Erection Compiled'!$C$7:$D$598,2,FALSE)</f>
        <v>DA+3</v>
      </c>
      <c r="D49" s="358">
        <v>45421</v>
      </c>
      <c r="E49" s="358">
        <v>45421</v>
      </c>
      <c r="F49" s="352" t="s">
        <v>1029</v>
      </c>
      <c r="G49" s="352" t="s">
        <v>1031</v>
      </c>
      <c r="H49" s="352" t="s">
        <v>1031</v>
      </c>
    </row>
    <row r="50" spans="1:8" x14ac:dyDescent="0.25">
      <c r="A50" s="352">
        <f>+SUBTOTAL(3,$E$6:$E50)</f>
        <v>45</v>
      </c>
      <c r="B50" s="352" t="s">
        <v>823</v>
      </c>
      <c r="C50" s="352" t="str">
        <f>+VLOOKUP(B50,'Erection Compiled'!$C$7:$D$598,2,FALSE)</f>
        <v>DA+0</v>
      </c>
      <c r="D50" s="358">
        <v>45422</v>
      </c>
      <c r="E50" s="358">
        <v>45422</v>
      </c>
      <c r="F50" s="352" t="s">
        <v>1029</v>
      </c>
      <c r="G50" s="352" t="s">
        <v>1031</v>
      </c>
      <c r="H50" s="352" t="s">
        <v>1031</v>
      </c>
    </row>
    <row r="51" spans="1:8" x14ac:dyDescent="0.25">
      <c r="A51" s="352">
        <f>+SUBTOTAL(3,$E$6:$E51)</f>
        <v>46</v>
      </c>
      <c r="B51" s="352" t="s">
        <v>822</v>
      </c>
      <c r="C51" s="352" t="str">
        <f>+VLOOKUP(B51,'Erection Compiled'!$C$7:$D$598,2,FALSE)</f>
        <v>DB1+0</v>
      </c>
      <c r="D51" s="358">
        <v>45422</v>
      </c>
      <c r="E51" s="358">
        <v>45422</v>
      </c>
      <c r="F51" s="352" t="s">
        <v>1029</v>
      </c>
      <c r="G51" s="352" t="s">
        <v>1031</v>
      </c>
      <c r="H51" s="352" t="s">
        <v>1031</v>
      </c>
    </row>
    <row r="52" spans="1:8" x14ac:dyDescent="0.25">
      <c r="A52" s="352">
        <f>+SUBTOTAL(3,$E$6:$E52)</f>
        <v>47</v>
      </c>
      <c r="B52" s="352" t="s">
        <v>781</v>
      </c>
      <c r="C52" s="352" t="str">
        <f>+VLOOKUP(B52,'Erection Compiled'!$C$7:$D$598,2,FALSE)</f>
        <v>DA+6</v>
      </c>
      <c r="D52" s="358">
        <v>45422</v>
      </c>
      <c r="E52" s="358">
        <v>45422</v>
      </c>
      <c r="F52" s="352" t="s">
        <v>1030</v>
      </c>
      <c r="G52" s="352" t="s">
        <v>1031</v>
      </c>
      <c r="H52" s="352" t="s">
        <v>1031</v>
      </c>
    </row>
    <row r="53" spans="1:8" x14ac:dyDescent="0.25">
      <c r="A53" s="352">
        <f>+SUBTOTAL(3,$E$6:$E53)</f>
        <v>48</v>
      </c>
      <c r="B53" s="352" t="s">
        <v>778</v>
      </c>
      <c r="C53" s="352" t="str">
        <f>+VLOOKUP(B53,'Erection Compiled'!$C$7:$D$598,2,FALSE)</f>
        <v>DA+3</v>
      </c>
      <c r="D53" s="358">
        <v>45423</v>
      </c>
      <c r="E53" s="358">
        <v>45423</v>
      </c>
      <c r="F53" s="352" t="s">
        <v>1030</v>
      </c>
      <c r="G53" s="352" t="s">
        <v>1031</v>
      </c>
      <c r="H53" s="352" t="s">
        <v>1031</v>
      </c>
    </row>
    <row r="54" spans="1:8" x14ac:dyDescent="0.25">
      <c r="A54" s="352">
        <f>+SUBTOTAL(3,$E$6:$E54)</f>
        <v>49</v>
      </c>
      <c r="B54" s="352" t="s">
        <v>805</v>
      </c>
      <c r="C54" s="352" t="str">
        <f>+VLOOKUP(B54,'Erection Compiled'!$C$7:$D$598,2,FALSE)</f>
        <v>DA+0</v>
      </c>
      <c r="D54" s="358">
        <v>45426</v>
      </c>
      <c r="E54" s="358">
        <v>45426</v>
      </c>
      <c r="F54" s="352" t="s">
        <v>1029</v>
      </c>
      <c r="G54" s="352" t="s">
        <v>1031</v>
      </c>
      <c r="H54" s="352" t="s">
        <v>1031</v>
      </c>
    </row>
    <row r="55" spans="1:8" x14ac:dyDescent="0.25">
      <c r="A55" s="352">
        <f>+SUBTOTAL(3,$E$6:$E55)</f>
        <v>50</v>
      </c>
      <c r="B55" s="352" t="s">
        <v>804</v>
      </c>
      <c r="C55" s="352" t="str">
        <f>+VLOOKUP(B55,'Erection Compiled'!$C$7:$D$598,2,FALSE)</f>
        <v>DA+3</v>
      </c>
      <c r="D55" s="358">
        <v>45427</v>
      </c>
      <c r="E55" s="358">
        <v>45427</v>
      </c>
      <c r="F55" s="352" t="s">
        <v>1029</v>
      </c>
      <c r="G55" s="352" t="s">
        <v>1031</v>
      </c>
      <c r="H55" s="352" t="s">
        <v>1031</v>
      </c>
    </row>
    <row r="56" spans="1:8" x14ac:dyDescent="0.25">
      <c r="A56" s="352">
        <f>+SUBTOTAL(3,$E$6:$E56)</f>
        <v>51</v>
      </c>
      <c r="B56" s="352" t="s">
        <v>806</v>
      </c>
      <c r="C56" s="352" t="str">
        <f>+VLOOKUP(B56,'Erection Compiled'!$C$7:$D$598,2,FALSE)</f>
        <v>DA+3</v>
      </c>
      <c r="D56" s="358">
        <v>45428</v>
      </c>
      <c r="E56" s="358">
        <v>45428</v>
      </c>
      <c r="F56" s="352" t="s">
        <v>1029</v>
      </c>
      <c r="G56" s="352" t="s">
        <v>1031</v>
      </c>
      <c r="H56" s="352" t="s">
        <v>1031</v>
      </c>
    </row>
    <row r="57" spans="1:8" x14ac:dyDescent="0.25">
      <c r="A57" s="352">
        <f>+SUBTOTAL(3,$E$6:$E57)</f>
        <v>52</v>
      </c>
      <c r="B57" s="352" t="s">
        <v>783</v>
      </c>
      <c r="C57" s="352" t="str">
        <f>+VLOOKUP(B57,'Erection Compiled'!$C$7:$D$598,2,FALSE)</f>
        <v>DA+6</v>
      </c>
      <c r="D57" s="358">
        <v>45429</v>
      </c>
      <c r="E57" s="358">
        <v>45429</v>
      </c>
      <c r="F57" s="352" t="s">
        <v>1030</v>
      </c>
      <c r="G57" s="352" t="s">
        <v>1031</v>
      </c>
      <c r="H57" s="352" t="s">
        <v>1031</v>
      </c>
    </row>
    <row r="58" spans="1:8" x14ac:dyDescent="0.25">
      <c r="A58" s="352">
        <f>+SUBTOTAL(3,$E$6:$E58)</f>
        <v>53</v>
      </c>
      <c r="B58" s="352" t="s">
        <v>801</v>
      </c>
      <c r="C58" s="352" t="str">
        <f>+VLOOKUP(B58,'Erection Compiled'!$C$7:$D$598,2,FALSE)</f>
        <v>DA+3</v>
      </c>
      <c r="D58" s="358">
        <v>45431</v>
      </c>
      <c r="E58" s="358">
        <v>45431</v>
      </c>
      <c r="F58" s="352" t="s">
        <v>1029</v>
      </c>
      <c r="G58" s="352" t="s">
        <v>1031</v>
      </c>
      <c r="H58" s="352" t="s">
        <v>1031</v>
      </c>
    </row>
    <row r="59" spans="1:8" x14ac:dyDescent="0.25">
      <c r="A59" s="352">
        <f>+SUBTOTAL(3,$E$6:$E59)</f>
        <v>54</v>
      </c>
      <c r="B59" s="352" t="s">
        <v>784</v>
      </c>
      <c r="C59" s="352" t="str">
        <f>+VLOOKUP(B59,'Erection Compiled'!$C$7:$D$598,2,FALSE)</f>
        <v>DA+3</v>
      </c>
      <c r="D59" s="358">
        <v>45435</v>
      </c>
      <c r="E59" s="358">
        <v>45435</v>
      </c>
      <c r="F59" s="352" t="s">
        <v>1029</v>
      </c>
      <c r="G59" s="352" t="s">
        <v>1031</v>
      </c>
      <c r="H59" s="352" t="s">
        <v>1031</v>
      </c>
    </row>
    <row r="60" spans="1:8" x14ac:dyDescent="0.25">
      <c r="A60" s="352">
        <f>+SUBTOTAL(3,$E$6:$E60)</f>
        <v>55</v>
      </c>
      <c r="B60" s="352" t="s">
        <v>785</v>
      </c>
      <c r="C60" s="352" t="str">
        <f>+VLOOKUP(B60,'Erection Compiled'!$C$7:$D$598,2,FALSE)</f>
        <v>DA+3</v>
      </c>
      <c r="D60" s="358">
        <v>45437</v>
      </c>
      <c r="E60" s="358">
        <v>45437</v>
      </c>
      <c r="F60" s="352" t="s">
        <v>1029</v>
      </c>
      <c r="G60" s="352" t="s">
        <v>1031</v>
      </c>
      <c r="H60" s="352" t="s">
        <v>1031</v>
      </c>
    </row>
    <row r="61" spans="1:8" x14ac:dyDescent="0.25">
      <c r="A61" s="352">
        <f>+SUBTOTAL(3,$E$6:$E61)</f>
        <v>56</v>
      </c>
      <c r="B61" s="352" t="s">
        <v>812</v>
      </c>
      <c r="C61" s="352" t="str">
        <f>+VLOOKUP(B61,'Erection Compiled'!$C$7:$D$598,2,FALSE)</f>
        <v>DA+3</v>
      </c>
      <c r="D61" s="358">
        <v>45446</v>
      </c>
      <c r="E61" s="358">
        <v>45446</v>
      </c>
      <c r="F61" s="352" t="s">
        <v>1029</v>
      </c>
      <c r="G61" s="352" t="s">
        <v>1031</v>
      </c>
      <c r="H61" s="352" t="s">
        <v>1031</v>
      </c>
    </row>
    <row r="62" spans="1:8" x14ac:dyDescent="0.25">
      <c r="A62" s="352">
        <f>+SUBTOTAL(3,$E$6:$E62)</f>
        <v>57</v>
      </c>
      <c r="B62" s="352" t="s">
        <v>813</v>
      </c>
      <c r="C62" s="352" t="str">
        <f>+VLOOKUP(B62,'Erection Compiled'!$C$7:$D$598,2,FALSE)</f>
        <v>DA+0</v>
      </c>
      <c r="D62" s="358">
        <v>45449</v>
      </c>
      <c r="E62" s="358">
        <v>45449</v>
      </c>
      <c r="F62" s="352" t="s">
        <v>1029</v>
      </c>
      <c r="G62" s="352" t="s">
        <v>1031</v>
      </c>
      <c r="H62" s="352" t="s">
        <v>1031</v>
      </c>
    </row>
    <row r="63" spans="1:8" x14ac:dyDescent="0.25">
      <c r="A63" s="352">
        <f>+SUBTOTAL(3,$E$6:$E63)</f>
        <v>58</v>
      </c>
      <c r="B63" s="352" t="s">
        <v>810</v>
      </c>
      <c r="C63" s="352" t="str">
        <f>+VLOOKUP(B63,'Erection Compiled'!$C$7:$D$598,2,FALSE)</f>
        <v>DB2+0</v>
      </c>
      <c r="D63" s="358">
        <v>45449</v>
      </c>
      <c r="E63" s="358">
        <v>45449</v>
      </c>
      <c r="F63" s="352" t="s">
        <v>1029</v>
      </c>
      <c r="G63" s="352" t="s">
        <v>1031</v>
      </c>
      <c r="H63" s="352" t="s">
        <v>1031</v>
      </c>
    </row>
    <row r="64" spans="1:8" x14ac:dyDescent="0.25">
      <c r="A64" s="352">
        <f>+SUBTOTAL(3,$E$6:$E64)</f>
        <v>59</v>
      </c>
      <c r="B64" s="352" t="s">
        <v>790</v>
      </c>
      <c r="C64" s="352" t="str">
        <f>+VLOOKUP(B64,'Erection Compiled'!$C$7:$D$598,2,FALSE)</f>
        <v>DA+9</v>
      </c>
      <c r="D64" s="358">
        <v>45450</v>
      </c>
      <c r="E64" s="358">
        <v>45450</v>
      </c>
      <c r="F64" s="352" t="s">
        <v>1029</v>
      </c>
      <c r="G64" s="352" t="s">
        <v>1031</v>
      </c>
      <c r="H64" s="352" t="s">
        <v>1031</v>
      </c>
    </row>
    <row r="65" spans="1:8" x14ac:dyDescent="0.25">
      <c r="A65" s="352">
        <f>+SUBTOTAL(3,$E$6:$E65)</f>
        <v>60</v>
      </c>
      <c r="B65" s="352" t="s">
        <v>788</v>
      </c>
      <c r="C65" s="352" t="str">
        <f>+VLOOKUP(B65,'Erection Compiled'!$C$7:$D$598,2,FALSE)</f>
        <v>DA+6</v>
      </c>
      <c r="D65" s="358">
        <v>45451</v>
      </c>
      <c r="E65" s="358">
        <v>45451</v>
      </c>
      <c r="F65" s="352" t="s">
        <v>1030</v>
      </c>
      <c r="G65" s="352" t="s">
        <v>1031</v>
      </c>
      <c r="H65" s="352" t="s">
        <v>1031</v>
      </c>
    </row>
    <row r="66" spans="1:8" x14ac:dyDescent="0.25">
      <c r="A66" s="352">
        <f>+SUBTOTAL(3,$E$6:$E66)</f>
        <v>61</v>
      </c>
      <c r="B66" s="352" t="s">
        <v>803</v>
      </c>
      <c r="C66" s="352" t="str">
        <f>+VLOOKUP(B66,'Erection Compiled'!$C$7:$D$598,2,FALSE)</f>
        <v>DA+0</v>
      </c>
      <c r="D66" s="358">
        <v>45451</v>
      </c>
      <c r="E66" s="358">
        <v>45451</v>
      </c>
      <c r="F66" s="352" t="s">
        <v>1029</v>
      </c>
      <c r="G66" s="352" t="s">
        <v>1031</v>
      </c>
      <c r="H66" s="352" t="s">
        <v>1031</v>
      </c>
    </row>
    <row r="67" spans="1:8" x14ac:dyDescent="0.25">
      <c r="A67" s="352">
        <f>+SUBTOTAL(3,$E$6:$E67)</f>
        <v>62</v>
      </c>
      <c r="B67" s="352" t="s">
        <v>789</v>
      </c>
      <c r="C67" s="352" t="str">
        <f>+VLOOKUP(B67,'Erection Compiled'!$C$7:$D$598,2,FALSE)</f>
        <v>DA+0</v>
      </c>
      <c r="D67" s="358">
        <v>45452</v>
      </c>
      <c r="E67" s="358">
        <v>45452</v>
      </c>
      <c r="F67" s="352" t="s">
        <v>1030</v>
      </c>
      <c r="G67" s="352" t="s">
        <v>1031</v>
      </c>
      <c r="H67" s="352" t="s">
        <v>1031</v>
      </c>
    </row>
    <row r="68" spans="1:8" x14ac:dyDescent="0.25">
      <c r="A68" s="352">
        <f>+SUBTOTAL(3,$E$6:$E68)</f>
        <v>63</v>
      </c>
      <c r="B68" s="352" t="s">
        <v>802</v>
      </c>
      <c r="C68" s="352" t="str">
        <f>+VLOOKUP(B68,'Erection Compiled'!$C$7:$D$598,2,FALSE)</f>
        <v>DA+3</v>
      </c>
      <c r="D68" s="358">
        <v>45452</v>
      </c>
      <c r="E68" s="358">
        <v>45452</v>
      </c>
      <c r="F68" s="352" t="s">
        <v>1029</v>
      </c>
      <c r="G68" s="352" t="s">
        <v>1031</v>
      </c>
      <c r="H68" s="352" t="s">
        <v>1031</v>
      </c>
    </row>
    <row r="69" spans="1:8" x14ac:dyDescent="0.25">
      <c r="A69" s="352">
        <f>+SUBTOTAL(3,$E$6:$E69)</f>
        <v>64</v>
      </c>
      <c r="B69" s="352" t="s">
        <v>758</v>
      </c>
      <c r="C69" s="352" t="str">
        <f>+VLOOKUP(B69,'Erection Compiled'!$C$7:$D$598,2,FALSE)</f>
        <v>DA+3</v>
      </c>
      <c r="D69" s="358">
        <v>45453</v>
      </c>
      <c r="E69" s="358">
        <v>45453</v>
      </c>
      <c r="F69" s="352" t="s">
        <v>1030</v>
      </c>
      <c r="G69" s="352" t="s">
        <v>1031</v>
      </c>
      <c r="H69" s="352" t="s">
        <v>1031</v>
      </c>
    </row>
    <row r="70" spans="1:8" x14ac:dyDescent="0.25">
      <c r="A70" s="352">
        <f>+SUBTOTAL(3,$E$6:$E70)</f>
        <v>65</v>
      </c>
      <c r="B70" s="352" t="s">
        <v>100</v>
      </c>
      <c r="C70" s="352" t="str">
        <f>+VLOOKUP(B70,'Erection Compiled'!$C$7:$D$598,2,FALSE)</f>
        <v>DC1+0</v>
      </c>
      <c r="D70" s="358">
        <v>45453</v>
      </c>
      <c r="E70" s="358">
        <v>45454</v>
      </c>
      <c r="F70" s="352" t="s">
        <v>1029</v>
      </c>
      <c r="G70" s="352" t="s">
        <v>1031</v>
      </c>
      <c r="H70" s="352" t="s">
        <v>1031</v>
      </c>
    </row>
    <row r="71" spans="1:8" x14ac:dyDescent="0.25">
      <c r="A71" s="352">
        <f>+SUBTOTAL(3,$E$6:$E71)</f>
        <v>66</v>
      </c>
      <c r="B71" s="352" t="s">
        <v>774</v>
      </c>
      <c r="C71" s="352" t="str">
        <f>+VLOOKUP(B71,'Erection Compiled'!$C$7:$D$598,2,FALSE)</f>
        <v>DA+3</v>
      </c>
      <c r="D71" s="358">
        <v>45454</v>
      </c>
      <c r="E71" s="358">
        <v>45454</v>
      </c>
      <c r="F71" s="352" t="s">
        <v>1030</v>
      </c>
      <c r="G71" s="352" t="s">
        <v>1031</v>
      </c>
      <c r="H71" s="352" t="s">
        <v>1031</v>
      </c>
    </row>
    <row r="72" spans="1:8" x14ac:dyDescent="0.25">
      <c r="A72" s="352">
        <f>+SUBTOTAL(3,$E$6:$E72)</f>
        <v>67</v>
      </c>
      <c r="B72" s="352" t="s">
        <v>773</v>
      </c>
      <c r="C72" s="352" t="str">
        <f>+VLOOKUP(B72,'Erection Compiled'!$C$7:$D$598,2,FALSE)</f>
        <v>DA+3</v>
      </c>
      <c r="D72" s="358">
        <v>45456</v>
      </c>
      <c r="E72" s="358">
        <v>45456</v>
      </c>
      <c r="F72" s="352" t="s">
        <v>1030</v>
      </c>
      <c r="G72" s="352" t="s">
        <v>1031</v>
      </c>
      <c r="H72" s="352" t="s">
        <v>1031</v>
      </c>
    </row>
    <row r="73" spans="1:8" x14ac:dyDescent="0.25">
      <c r="A73" s="352">
        <f>+SUBTOTAL(3,$E$6:$E73)</f>
        <v>68</v>
      </c>
      <c r="B73" s="352" t="s">
        <v>772</v>
      </c>
      <c r="C73" s="352" t="str">
        <f>+VLOOKUP(B73,'Erection Compiled'!$C$7:$D$598,2,FALSE)</f>
        <v>DA+3</v>
      </c>
      <c r="D73" s="358">
        <v>45466</v>
      </c>
      <c r="E73" s="358">
        <v>45466</v>
      </c>
      <c r="F73" s="352" t="s">
        <v>1030</v>
      </c>
      <c r="G73" s="352" t="s">
        <v>1031</v>
      </c>
      <c r="H73" s="352" t="s">
        <v>1031</v>
      </c>
    </row>
    <row r="74" spans="1:8" x14ac:dyDescent="0.25">
      <c r="A74" s="352">
        <f>+SUBTOTAL(3,$E$6:$E74)</f>
        <v>69</v>
      </c>
      <c r="B74" s="352" t="s">
        <v>771</v>
      </c>
      <c r="C74" s="352" t="str">
        <f>+VLOOKUP(B74,'Erection Compiled'!$C$7:$D$598,2,FALSE)</f>
        <v>DA+3</v>
      </c>
      <c r="D74" s="358">
        <v>45468</v>
      </c>
      <c r="E74" s="358">
        <v>45468</v>
      </c>
      <c r="F74" s="352" t="s">
        <v>1030</v>
      </c>
      <c r="G74" s="352" t="s">
        <v>1031</v>
      </c>
      <c r="H74" s="352" t="s">
        <v>1031</v>
      </c>
    </row>
    <row r="75" spans="1:8" x14ac:dyDescent="0.25">
      <c r="A75" s="352">
        <f>+SUBTOTAL(3,$E$6:$E75)</f>
        <v>70</v>
      </c>
      <c r="B75" s="352" t="s">
        <v>770</v>
      </c>
      <c r="C75" s="352" t="str">
        <f>+VLOOKUP(B75,'Erection Compiled'!$C$7:$D$598,2,FALSE)</f>
        <v>DA+6</v>
      </c>
      <c r="D75" s="358">
        <v>45473</v>
      </c>
      <c r="E75" s="358">
        <v>45473</v>
      </c>
      <c r="F75" s="352" t="s">
        <v>1030</v>
      </c>
      <c r="G75" s="352" t="s">
        <v>1031</v>
      </c>
      <c r="H75" s="352" t="s">
        <v>1031</v>
      </c>
    </row>
    <row r="76" spans="1:8" x14ac:dyDescent="0.25">
      <c r="A76" s="352">
        <f>+SUBTOTAL(3,$E$6:$E76)</f>
        <v>71</v>
      </c>
      <c r="B76" s="352" t="s">
        <v>769</v>
      </c>
      <c r="C76" s="352" t="str">
        <f>+VLOOKUP(B76,'Erection Compiled'!$C$7:$D$598,2,FALSE)</f>
        <v>DA+9</v>
      </c>
      <c r="D76" s="358">
        <v>45474</v>
      </c>
      <c r="E76" s="358">
        <v>45474</v>
      </c>
      <c r="F76" s="352" t="s">
        <v>1029</v>
      </c>
      <c r="G76" s="352" t="s">
        <v>1031</v>
      </c>
      <c r="H76" s="352" t="s">
        <v>1031</v>
      </c>
    </row>
    <row r="77" spans="1:8" x14ac:dyDescent="0.25">
      <c r="A77" s="352">
        <f>+SUBTOTAL(3,$E$6:$E77)</f>
        <v>72</v>
      </c>
      <c r="B77" s="352" t="s">
        <v>768</v>
      </c>
      <c r="C77" s="352" t="str">
        <f>+VLOOKUP(B77,'Erection Compiled'!$C$7:$D$598,2,FALSE)</f>
        <v>DA+6</v>
      </c>
      <c r="D77" s="358">
        <v>45475</v>
      </c>
      <c r="E77" s="358">
        <v>45475</v>
      </c>
      <c r="F77" s="352" t="s">
        <v>1029</v>
      </c>
      <c r="G77" s="352" t="s">
        <v>1031</v>
      </c>
      <c r="H77" s="352" t="s">
        <v>1031</v>
      </c>
    </row>
    <row r="78" spans="1:8" x14ac:dyDescent="0.25">
      <c r="A78" s="352">
        <f>+SUBTOTAL(3,$E$6:$E78)</f>
        <v>73</v>
      </c>
      <c r="B78" s="352" t="s">
        <v>97</v>
      </c>
      <c r="C78" s="352" t="str">
        <f>+VLOOKUP(B78,'Erection Compiled'!$C$7:$D$598,2,FALSE)</f>
        <v>DC1+0</v>
      </c>
      <c r="D78" s="358">
        <v>45497</v>
      </c>
      <c r="E78" s="358">
        <v>45497</v>
      </c>
      <c r="F78" s="352" t="s">
        <v>1029</v>
      </c>
      <c r="G78" s="352" t="s">
        <v>1031</v>
      </c>
      <c r="H78" s="352" t="s">
        <v>1031</v>
      </c>
    </row>
    <row r="79" spans="1:8" x14ac:dyDescent="0.25">
      <c r="A79" s="352">
        <f>+SUBTOTAL(3,$E$6:$E79)</f>
        <v>74</v>
      </c>
      <c r="B79" s="352" t="s">
        <v>761</v>
      </c>
      <c r="C79" s="352" t="str">
        <f>+VLOOKUP(B79,'Erection Compiled'!$C$7:$D$598,2,FALSE)</f>
        <v>DB1+3</v>
      </c>
      <c r="D79" s="358">
        <v>45500</v>
      </c>
      <c r="E79" s="358">
        <v>45500</v>
      </c>
      <c r="F79" s="352" t="s">
        <v>1029</v>
      </c>
      <c r="G79" s="352" t="s">
        <v>1031</v>
      </c>
      <c r="H79" s="352" t="s">
        <v>1031</v>
      </c>
    </row>
    <row r="80" spans="1:8" x14ac:dyDescent="0.25">
      <c r="A80" s="352">
        <f>+SUBTOTAL(3,$E$6:$E80)</f>
        <v>75</v>
      </c>
      <c r="B80" s="352" t="s">
        <v>743</v>
      </c>
      <c r="C80" s="352" t="str">
        <f>+VLOOKUP(B80,'Erection Compiled'!$C$7:$D$598,2,FALSE)</f>
        <v>DA+0</v>
      </c>
      <c r="D80" s="358">
        <v>45527</v>
      </c>
      <c r="E80" s="358">
        <v>45527</v>
      </c>
      <c r="F80" s="352" t="s">
        <v>1029</v>
      </c>
      <c r="G80" s="352" t="s">
        <v>1031</v>
      </c>
      <c r="H80" s="352" t="s">
        <v>1031</v>
      </c>
    </row>
    <row r="81" spans="1:8" x14ac:dyDescent="0.25">
      <c r="A81" s="352">
        <f>+SUBTOTAL(3,$E$6:$E81)</f>
        <v>76</v>
      </c>
      <c r="B81" s="352" t="s">
        <v>744</v>
      </c>
      <c r="C81" s="352" t="str">
        <f>+VLOOKUP(B81,'Erection Compiled'!$C$7:$D$598,2,FALSE)</f>
        <v>DA+0</v>
      </c>
      <c r="D81" s="358">
        <v>45528</v>
      </c>
      <c r="E81" s="358">
        <v>45528</v>
      </c>
      <c r="F81" s="352" t="s">
        <v>1029</v>
      </c>
      <c r="G81" s="352" t="s">
        <v>1031</v>
      </c>
      <c r="H81" s="352" t="s">
        <v>1031</v>
      </c>
    </row>
    <row r="82" spans="1:8" x14ac:dyDescent="0.25">
      <c r="A82" s="352">
        <f>+SUBTOTAL(3,$E$6:$E82)</f>
        <v>77</v>
      </c>
      <c r="B82" s="352" t="s">
        <v>754</v>
      </c>
      <c r="C82" s="352" t="str">
        <f>+VLOOKUP(B82,'Erection Compiled'!$C$7:$D$598,2,FALSE)</f>
        <v>DA+3</v>
      </c>
      <c r="D82" s="358">
        <v>45531</v>
      </c>
      <c r="E82" s="358">
        <v>45531</v>
      </c>
      <c r="F82" s="352" t="s">
        <v>1029</v>
      </c>
      <c r="G82" s="352" t="s">
        <v>1031</v>
      </c>
      <c r="H82" s="352" t="s">
        <v>1031</v>
      </c>
    </row>
    <row r="83" spans="1:8" x14ac:dyDescent="0.25">
      <c r="A83" s="352">
        <f>+SUBTOTAL(3,$E$6:$E83)</f>
        <v>78</v>
      </c>
      <c r="B83" s="352" t="s">
        <v>751</v>
      </c>
      <c r="C83" s="352" t="str">
        <f>+VLOOKUP(B83,'Erection Compiled'!$C$7:$D$598,2,FALSE)</f>
        <v>DA+0</v>
      </c>
      <c r="D83" s="358">
        <v>45532</v>
      </c>
      <c r="E83" s="358">
        <v>45532</v>
      </c>
      <c r="F83" s="352" t="s">
        <v>1029</v>
      </c>
      <c r="G83" s="352" t="s">
        <v>1031</v>
      </c>
      <c r="H83" s="352" t="s">
        <v>1031</v>
      </c>
    </row>
    <row r="84" spans="1:8" x14ac:dyDescent="0.25">
      <c r="A84" s="352">
        <f>+SUBTOTAL(3,$E$6:$E84)</f>
        <v>79</v>
      </c>
      <c r="B84" s="352" t="s">
        <v>752</v>
      </c>
      <c r="C84" s="352" t="str">
        <f>+VLOOKUP(B84,'Erection Compiled'!$C$7:$D$598,2,FALSE)</f>
        <v>DA+0</v>
      </c>
      <c r="D84" s="358">
        <v>45534</v>
      </c>
      <c r="E84" s="358">
        <v>45534</v>
      </c>
      <c r="F84" s="352" t="s">
        <v>1029</v>
      </c>
      <c r="G84" s="352" t="s">
        <v>1031</v>
      </c>
      <c r="H84" s="352" t="s">
        <v>1031</v>
      </c>
    </row>
    <row r="85" spans="1:8" x14ac:dyDescent="0.25">
      <c r="A85" s="352">
        <f>+SUBTOTAL(3,$E$6:$E85)</f>
        <v>80</v>
      </c>
      <c r="B85" s="352" t="s">
        <v>753</v>
      </c>
      <c r="C85" s="352" t="str">
        <f>+VLOOKUP(B85,'Erection Compiled'!$C$7:$D$598,2,FALSE)</f>
        <v>DA+3</v>
      </c>
      <c r="D85" s="358">
        <v>45534</v>
      </c>
      <c r="E85" s="358">
        <v>45534</v>
      </c>
      <c r="F85" s="352" t="s">
        <v>1029</v>
      </c>
      <c r="G85" s="352" t="s">
        <v>1031</v>
      </c>
      <c r="H85" s="352" t="s">
        <v>1031</v>
      </c>
    </row>
    <row r="86" spans="1:8" x14ac:dyDescent="0.25">
      <c r="A86" s="352">
        <f>+SUBTOTAL(3,$E$6:$E86)</f>
        <v>81</v>
      </c>
      <c r="B86" s="352" t="s">
        <v>99</v>
      </c>
      <c r="C86" s="352" t="str">
        <f>+VLOOKUP(B86,'Erection Compiled'!$C$7:$D$598,2,FALSE)</f>
        <v>DB2+0</v>
      </c>
      <c r="D86" s="358">
        <v>45550</v>
      </c>
      <c r="E86" s="358">
        <v>45550</v>
      </c>
      <c r="F86" s="352" t="s">
        <v>1029</v>
      </c>
      <c r="G86" s="352" t="s">
        <v>1031</v>
      </c>
      <c r="H86" s="352" t="s">
        <v>1031</v>
      </c>
    </row>
    <row r="87" spans="1:8" x14ac:dyDescent="0.25">
      <c r="A87" s="352">
        <f>+SUBTOTAL(3,$E$6:$E87)</f>
        <v>82</v>
      </c>
      <c r="B87" s="352" t="s">
        <v>791</v>
      </c>
      <c r="C87" s="352" t="str">
        <f>+VLOOKUP(B87,'Erection Compiled'!$C$7:$D$598,2,FALSE)</f>
        <v>DA+3</v>
      </c>
      <c r="D87" s="358">
        <v>45558</v>
      </c>
      <c r="E87" s="358">
        <v>45559</v>
      </c>
      <c r="F87" s="352" t="s">
        <v>1029</v>
      </c>
      <c r="G87" s="352" t="s">
        <v>1031</v>
      </c>
      <c r="H87" s="352" t="s">
        <v>1031</v>
      </c>
    </row>
    <row r="88" spans="1:8" x14ac:dyDescent="0.25">
      <c r="A88" s="352">
        <f>+SUBTOTAL(3,$E$6:$E88)</f>
        <v>83</v>
      </c>
      <c r="B88" s="352" t="s">
        <v>796</v>
      </c>
      <c r="C88" s="352" t="str">
        <f>+VLOOKUP(B88,'Erection Compiled'!$C$7:$D$598,2,FALSE)</f>
        <v>DA+3</v>
      </c>
      <c r="D88" s="358">
        <v>45560</v>
      </c>
      <c r="E88" s="358">
        <v>45561</v>
      </c>
      <c r="F88" s="352" t="s">
        <v>1029</v>
      </c>
      <c r="G88" s="352" t="s">
        <v>1031</v>
      </c>
      <c r="H88" s="352" t="s">
        <v>1031</v>
      </c>
    </row>
    <row r="89" spans="1:8" x14ac:dyDescent="0.25">
      <c r="A89" s="352">
        <f>+SUBTOTAL(3,$E$6:$E89)</f>
        <v>84</v>
      </c>
      <c r="B89" s="352" t="s">
        <v>755</v>
      </c>
      <c r="C89" s="352" t="str">
        <f>+VLOOKUP(B89,'Erection Compiled'!$C$7:$D$598,2,FALSE)</f>
        <v>DA+3</v>
      </c>
      <c r="D89" s="358">
        <v>45570</v>
      </c>
      <c r="E89" s="358">
        <v>45571</v>
      </c>
      <c r="F89" s="352" t="s">
        <v>1029</v>
      </c>
      <c r="G89" s="352" t="s">
        <v>1031</v>
      </c>
      <c r="H89" s="352" t="s">
        <v>1031</v>
      </c>
    </row>
    <row r="90" spans="1:8" x14ac:dyDescent="0.25">
      <c r="A90" s="352">
        <f>+SUBTOTAL(3,$E$6:$E90)</f>
        <v>85</v>
      </c>
      <c r="B90" s="352" t="s">
        <v>709</v>
      </c>
      <c r="C90" s="352" t="str">
        <f>+VLOOKUP(B90,'Erection Compiled'!$C$7:$D$598,2,FALSE)</f>
        <v>DA+0</v>
      </c>
      <c r="D90" s="358">
        <v>45571</v>
      </c>
      <c r="E90" s="358">
        <v>45572</v>
      </c>
      <c r="F90" s="352" t="s">
        <v>1029</v>
      </c>
      <c r="G90" s="352" t="s">
        <v>1031</v>
      </c>
      <c r="H90" s="352" t="s">
        <v>1031</v>
      </c>
    </row>
    <row r="91" spans="1:8" x14ac:dyDescent="0.25">
      <c r="A91" s="352">
        <f>+SUBTOTAL(3,$E$6:$E91)</f>
        <v>86</v>
      </c>
      <c r="B91" s="352" t="s">
        <v>710</v>
      </c>
      <c r="C91" s="352" t="str">
        <f>+VLOOKUP(B91,'Erection Compiled'!$C$7:$D$598,2,FALSE)</f>
        <v>DA+0</v>
      </c>
      <c r="D91" s="358">
        <v>45574</v>
      </c>
      <c r="E91" s="358">
        <v>45574</v>
      </c>
      <c r="F91" s="352" t="s">
        <v>1029</v>
      </c>
      <c r="G91" s="352" t="s">
        <v>1031</v>
      </c>
      <c r="H91" s="352" t="s">
        <v>1031</v>
      </c>
    </row>
    <row r="92" spans="1:8" x14ac:dyDescent="0.25">
      <c r="A92" s="352">
        <f>+SUBTOTAL(3,$E$6:$E92)</f>
        <v>87</v>
      </c>
      <c r="B92" s="352" t="s">
        <v>92</v>
      </c>
      <c r="C92" s="352" t="str">
        <f>+VLOOKUP(B92,'Erection Compiled'!$C$7:$D$598,2,FALSE)</f>
        <v>DB2+0</v>
      </c>
      <c r="D92" s="358">
        <v>45575</v>
      </c>
      <c r="E92" s="358">
        <v>45575</v>
      </c>
      <c r="F92" s="352" t="s">
        <v>1029</v>
      </c>
      <c r="G92" s="352" t="s">
        <v>1031</v>
      </c>
      <c r="H92" s="352" t="s">
        <v>1031</v>
      </c>
    </row>
    <row r="93" spans="1:8" x14ac:dyDescent="0.25">
      <c r="A93" s="352">
        <f>+SUBTOTAL(3,$E$6:$E93)</f>
        <v>88</v>
      </c>
      <c r="B93" s="352" t="s">
        <v>703</v>
      </c>
      <c r="C93" s="352" t="str">
        <f>+VLOOKUP(B93,'Erection Compiled'!$C$7:$D$598,2,FALSE)</f>
        <v>DA+6</v>
      </c>
      <c r="D93" s="358">
        <v>45589</v>
      </c>
      <c r="E93" s="358">
        <v>45589</v>
      </c>
      <c r="F93" s="352" t="s">
        <v>1029</v>
      </c>
      <c r="G93" s="352" t="s">
        <v>1031</v>
      </c>
      <c r="H93" s="352" t="s">
        <v>1031</v>
      </c>
    </row>
    <row r="94" spans="1:8" x14ac:dyDescent="0.25">
      <c r="A94" s="352">
        <f>+SUBTOTAL(3,$E$6:$E94)</f>
        <v>89</v>
      </c>
      <c r="B94" s="352" t="s">
        <v>701</v>
      </c>
      <c r="C94" s="352" t="str">
        <f>+VLOOKUP(B94,'Erection Compiled'!$C$7:$D$598,2,FALSE)</f>
        <v>DA+6</v>
      </c>
      <c r="D94" s="358">
        <v>45590</v>
      </c>
      <c r="E94" s="358">
        <v>45590</v>
      </c>
      <c r="F94" s="352" t="s">
        <v>1029</v>
      </c>
      <c r="G94" s="352" t="s">
        <v>1031</v>
      </c>
      <c r="H94" s="352" t="s">
        <v>1031</v>
      </c>
    </row>
    <row r="95" spans="1:8" x14ac:dyDescent="0.25">
      <c r="A95" s="352">
        <f>+SUBTOTAL(3,$E$6:$E95)</f>
        <v>90</v>
      </c>
      <c r="B95" s="352" t="s">
        <v>712</v>
      </c>
      <c r="C95" s="352" t="str">
        <f>+VLOOKUP(B95,'Erection Compiled'!$C$7:$D$598,2,FALSE)</f>
        <v>DA+0</v>
      </c>
      <c r="D95" s="358">
        <v>45590</v>
      </c>
      <c r="E95" s="358">
        <v>45590</v>
      </c>
      <c r="F95" s="352" t="s">
        <v>1029</v>
      </c>
      <c r="G95" s="352" t="s">
        <v>1031</v>
      </c>
      <c r="H95" s="352" t="s">
        <v>1031</v>
      </c>
    </row>
    <row r="96" spans="1:8" x14ac:dyDescent="0.25">
      <c r="A96" s="352">
        <f>+SUBTOTAL(3,$E$6:$E96)</f>
        <v>91</v>
      </c>
      <c r="B96" s="354" t="s">
        <v>174</v>
      </c>
      <c r="C96" s="352" t="str">
        <f>+VLOOKUP(B96,'Erection Compiled'!$C$7:$D$598,2,FALSE)</f>
        <v>DA+3</v>
      </c>
      <c r="D96" s="358">
        <v>45591</v>
      </c>
      <c r="E96" s="358">
        <v>45591</v>
      </c>
      <c r="F96" s="352" t="s">
        <v>1032</v>
      </c>
      <c r="G96" s="352" t="s">
        <v>1031</v>
      </c>
      <c r="H96" s="352"/>
    </row>
    <row r="97" spans="1:8" x14ac:dyDescent="0.25">
      <c r="A97" s="352">
        <f>+SUBTOTAL(3,$E$6:$E97)</f>
        <v>92</v>
      </c>
      <c r="B97" s="354" t="s">
        <v>702</v>
      </c>
      <c r="C97" s="352" t="str">
        <f>+VLOOKUP(B97,'Erection Compiled'!$C$7:$D$598,2,FALSE)</f>
        <v>DA+9</v>
      </c>
      <c r="D97" s="358">
        <v>45593</v>
      </c>
      <c r="E97" s="358">
        <v>45593</v>
      </c>
      <c r="F97" s="352" t="s">
        <v>1029</v>
      </c>
      <c r="G97" s="352" t="s">
        <v>1031</v>
      </c>
      <c r="H97" s="352" t="s">
        <v>1031</v>
      </c>
    </row>
    <row r="98" spans="1:8" x14ac:dyDescent="0.25">
      <c r="A98" s="352">
        <f>+SUBTOTAL(3,$E$6:$E98)</f>
        <v>93</v>
      </c>
      <c r="B98" s="354" t="s">
        <v>821</v>
      </c>
      <c r="C98" s="352" t="str">
        <f>+VLOOKUP(B98,'Erection Compiled'!$C$7:$D$598,2,FALSE)</f>
        <v>DA+3</v>
      </c>
      <c r="D98" s="358">
        <v>45594</v>
      </c>
      <c r="E98" s="358">
        <v>45594</v>
      </c>
      <c r="F98" s="352" t="s">
        <v>1029</v>
      </c>
      <c r="G98" s="352" t="s">
        <v>1031</v>
      </c>
      <c r="H98" s="352" t="s">
        <v>1031</v>
      </c>
    </row>
    <row r="99" spans="1:8" x14ac:dyDescent="0.25">
      <c r="A99" s="352">
        <f>+SUBTOTAL(3,$E$6:$E99)</f>
        <v>94</v>
      </c>
      <c r="B99" s="354" t="s">
        <v>499</v>
      </c>
      <c r="C99" s="352" t="str">
        <f>+VLOOKUP(B99,'Erection Compiled'!$C$7:$D$598,2,FALSE)</f>
        <v>DA+3</v>
      </c>
      <c r="D99" s="358">
        <v>45591</v>
      </c>
      <c r="E99" s="358">
        <v>45594</v>
      </c>
      <c r="F99" s="352" t="s">
        <v>616</v>
      </c>
      <c r="G99" s="352" t="s">
        <v>1031</v>
      </c>
      <c r="H99" s="352"/>
    </row>
    <row r="100" spans="1:8" x14ac:dyDescent="0.25">
      <c r="A100" s="352">
        <f>+SUBTOTAL(3,$E$6:$E100)</f>
        <v>95</v>
      </c>
      <c r="B100" s="354" t="s">
        <v>175</v>
      </c>
      <c r="C100" s="352" t="str">
        <f>+VLOOKUP(B100,'Erection Compiled'!$C$7:$D$598,2,FALSE)</f>
        <v>DA+0</v>
      </c>
      <c r="D100" s="358">
        <v>45606</v>
      </c>
      <c r="E100" s="358">
        <v>45606</v>
      </c>
      <c r="F100" s="352" t="s">
        <v>616</v>
      </c>
      <c r="G100" s="352" t="s">
        <v>1031</v>
      </c>
      <c r="H100" s="352"/>
    </row>
    <row r="101" spans="1:8" x14ac:dyDescent="0.25">
      <c r="A101" s="352">
        <f>+SUBTOTAL(3,$E$6:$E101)</f>
        <v>96</v>
      </c>
      <c r="B101" s="352" t="s">
        <v>764</v>
      </c>
      <c r="C101" s="352" t="str">
        <f>+VLOOKUP(B101,'Erection Compiled'!$C$7:$D$598,2,FALSE)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Compiled'!$C$7:$D$598,2,FALSE)</f>
        <v>DA+0</v>
      </c>
      <c r="D102" s="358">
        <v>45608</v>
      </c>
      <c r="E102" s="358">
        <v>45608</v>
      </c>
      <c r="F102" s="352" t="s">
        <v>616</v>
      </c>
      <c r="G102" s="352" t="s">
        <v>1031</v>
      </c>
      <c r="H102" s="352"/>
    </row>
    <row r="103" spans="1:8" x14ac:dyDescent="0.25">
      <c r="A103" s="352">
        <f>+SUBTOTAL(3,$E$6:$E103)</f>
        <v>98</v>
      </c>
      <c r="B103" s="352" t="s">
        <v>707</v>
      </c>
      <c r="C103" s="352" t="str">
        <f>+VLOOKUP(B103,'Erection Compiled'!$C$7:$D$598,2,FALSE)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Compiled'!$C$7:$D$598,2,FALSE)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Compiled'!$C$7:$D$598,2,FALSE)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Compiled'!$C$7:$D$598,2,FALSE)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Compiled'!$C$7:$D$598,2,FALSE)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Compiled'!$C$7:$D$598,2,FALSE)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Compiled'!$C$7:$D$598,2,FALSE)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Compiled'!$C$7:$D$598,2,FALSE)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Compiled'!$C$7:$D$598,2,FALSE)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Compiled'!$C$7:$D$598,2,FALSE)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Compiled'!$C$7:$D$598,2,FALSE)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Compiled'!$C$7:$D$598,2,FALSE)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Compiled'!$C$7:$D$598,2,FALSE)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Compiled'!$C$7:$D$598,2,FALSE)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Compiled'!$C$7:$D$598,2,FALSE)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Compiled'!$C$7:$D$598,2,FALSE)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Compiled'!$C$7:$D$598,2,FALSE)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Compiled'!$C$7:$D$598,2,FALSE)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Compiled'!$C$7:$D$598,2,FALSE)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Compiled'!$C$7:$D$598,2,FALSE)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Compiled'!$C$7:$D$598,2,FALSE)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Compiled'!$C$7:$D$598,2,FALSE)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Compiled'!$C$7:$D$598,2,FALSE)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Compiled'!$C$7:$D$598,2,FALSE)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Compiled'!$C$7:$D$598,2,FALSE)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Compiled'!$C$7:$D$598,2,FALSE)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Compiled'!$C$7:$D$598,2,FALSE)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Compiled'!$C$7:$D$598,2,FALSE)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Compiled'!$C$7:$D$598,2,FALSE)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Compiled'!$C$7:$D$598,2,FALSE)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Compiled'!$C$7:$D$598,2,FALSE)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Compiled'!$C$7:$D$598,2,FALSE)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Compiled'!$C$7:$D$598,2,FALSE)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Compiled'!$C$7:$D$598,2,FALSE)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Compiled'!$C$7:$D$598,2,FALSE)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Compiled'!$C$7:$D$598,2,FALSE)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Compiled'!$C$7:$D$598,2,FALSE)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Compiled'!$C$7:$D$598,2,FALSE)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Compiled'!$C$7:$D$598,2,FALSE)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Compiled'!$C$7:$D$598,2,FALSE)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Compiled'!$C$7:$D$598,2,FALSE)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Compiled'!$C$7:$D$598,2,FALSE)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Compiled'!$C$7:$D$598,2,FALSE)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Compiled'!$C$7:$D$598,2,FALSE)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Compiled'!$C$7:$D$598,2,FALSE)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Compiled'!$C$7:$D$598,2,FALSE)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Compiled'!$C$7:$D$598,2,FALSE)</f>
        <v>DA+3</v>
      </c>
      <c r="D149" s="358">
        <v>45763</v>
      </c>
      <c r="E149" s="358">
        <v>45763</v>
      </c>
      <c r="F149" s="352" t="s">
        <v>1029</v>
      </c>
      <c r="G149" s="352" t="s">
        <v>1031</v>
      </c>
      <c r="H149" s="352"/>
    </row>
    <row r="150" spans="1:8" x14ac:dyDescent="0.25">
      <c r="A150" s="352">
        <f>+SUBTOTAL(3,$E$6:$E150)</f>
        <v>145</v>
      </c>
      <c r="B150" s="354" t="s">
        <v>689</v>
      </c>
      <c r="C150" s="352" t="str">
        <f>+VLOOKUP(B150,'Erection Compiled'!$C$7:$D$598,2,FALSE)</f>
        <v>DA+0</v>
      </c>
      <c r="D150" s="358">
        <v>45763</v>
      </c>
      <c r="E150" s="358">
        <v>45763</v>
      </c>
      <c r="F150" s="352" t="s">
        <v>1029</v>
      </c>
      <c r="G150" s="352" t="s">
        <v>1031</v>
      </c>
      <c r="H150" s="352"/>
    </row>
    <row r="151" spans="1:8" x14ac:dyDescent="0.25">
      <c r="A151" s="352">
        <f>+SUBTOTAL(3,$E$6:$E151)</f>
        <v>146</v>
      </c>
      <c r="B151" s="354" t="s">
        <v>95</v>
      </c>
      <c r="C151" s="352" t="str">
        <f>+VLOOKUP(B151,'Erection Compiled'!$C$7:$D$598,2,FALSE)</f>
        <v>DC1+3</v>
      </c>
      <c r="D151" s="358">
        <v>45768</v>
      </c>
      <c r="E151" s="358">
        <v>45768</v>
      </c>
      <c r="F151" s="352" t="s">
        <v>1029</v>
      </c>
      <c r="G151" s="352" t="s">
        <v>1031</v>
      </c>
      <c r="H151" s="352"/>
    </row>
    <row r="152" spans="1:8" x14ac:dyDescent="0.25">
      <c r="A152" s="352">
        <f>+SUBTOTAL(3,$E$6:$E152)</f>
        <v>147</v>
      </c>
      <c r="B152" s="354" t="s">
        <v>856</v>
      </c>
      <c r="C152" s="352" t="str">
        <f>+VLOOKUP(B152,'Erection Compiled'!$C$7:$D$598,2,FALSE)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Compiled'!$C$7:$D$598,2,FALSE)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Compiled'!$C$7:$D$598,2,FALSE)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Compiled'!$C$7:$D$598,2,FALSE)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Compiled'!$C$7:$D$598,2,FALSE)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Compiled'!$C$7:$D$598,2,FALSE)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Compiled'!$C$7:$D$598,2,FALSE)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Compiled'!$C$7:$D$598,2,FALSE)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Compiled'!$C$7:$D$598,2,FALSE)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Compiled'!$C$7:$D$598,2,FALSE)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Compiled'!$C$7:$D$598,2,FALSE)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Compiled'!$C$7:$D$598,2,FALSE)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Compiled'!$C$7:$D$598,2,FALSE)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Compiled'!$C$7:$D$598,2,FALSE)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Compiled'!$C$7:$D$598,2,FALSE)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Compiled'!$C$7:$D$598,2,FALSE)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Compiled'!$C$7:$D$598,2,FALSE)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Compiled'!$C$7:$D$598,2,FALSE)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Compiled'!$C$7:$D$598,2,FALSE)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Compiled'!$C$7:$D$598,2,FALSE)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Compiled'!$C$7:$D$598,2,FALSE)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Compiled'!$C$7:$D$598,2,FALSE)</f>
        <v>DA+0</v>
      </c>
      <c r="D173" s="358">
        <v>45818</v>
      </c>
      <c r="E173" s="358">
        <v>45818</v>
      </c>
      <c r="F173" s="352" t="s">
        <v>1413</v>
      </c>
      <c r="G173" s="352" t="s">
        <v>1031</v>
      </c>
      <c r="H173" s="352"/>
    </row>
    <row r="174" spans="1:8" x14ac:dyDescent="0.25">
      <c r="A174" s="352">
        <f>+SUBTOTAL(3,$E$6:$E174)</f>
        <v>169</v>
      </c>
      <c r="B174" s="354" t="s">
        <v>504</v>
      </c>
      <c r="C174" s="352" t="str">
        <f>+VLOOKUP(B174,'Erection Compiled'!$C$7:$D$598,2,FALSE)</f>
        <v>DB2+3</v>
      </c>
      <c r="D174" s="358">
        <v>45818</v>
      </c>
      <c r="E174" s="358">
        <v>45818</v>
      </c>
      <c r="F174" s="352" t="s">
        <v>1413</v>
      </c>
      <c r="G174" s="352" t="s">
        <v>1031</v>
      </c>
      <c r="H174" s="352"/>
    </row>
    <row r="175" spans="1:8" x14ac:dyDescent="0.25">
      <c r="A175" s="352">
        <f>+SUBTOTAL(3,$E$6:$E175)</f>
        <v>170</v>
      </c>
      <c r="B175" s="354" t="s">
        <v>840</v>
      </c>
      <c r="C175" s="352" t="str">
        <f>+VLOOKUP(B175,'Erection Compiled'!$C$7:$D$598,2,FALSE)</f>
        <v>DA+3</v>
      </c>
      <c r="D175" s="358">
        <v>45851</v>
      </c>
      <c r="E175" s="358">
        <v>45852</v>
      </c>
      <c r="F175" s="352" t="s">
        <v>1029</v>
      </c>
      <c r="G175" s="352" t="s">
        <v>1031</v>
      </c>
      <c r="H175" s="352"/>
    </row>
    <row r="176" spans="1:8" x14ac:dyDescent="0.25">
      <c r="A176" s="352">
        <f>+SUBTOTAL(3,$E$6:$E176)</f>
        <v>171</v>
      </c>
      <c r="B176" s="354" t="s">
        <v>728</v>
      </c>
      <c r="C176" s="352" t="str">
        <f>+VLOOKUP(B176,'Erection Compiled'!$C$7:$D$598,2,FALSE)</f>
        <v>DA+6</v>
      </c>
      <c r="D176" s="358">
        <v>45861</v>
      </c>
      <c r="E176" s="358">
        <v>45861</v>
      </c>
      <c r="F176" s="352" t="s">
        <v>1029</v>
      </c>
      <c r="G176" s="352" t="s">
        <v>1031</v>
      </c>
      <c r="H176" s="352"/>
    </row>
    <row r="177" spans="1:8" x14ac:dyDescent="0.25">
      <c r="A177" s="352">
        <f>+SUBTOTAL(3,$E$6:$E177)</f>
        <v>172</v>
      </c>
      <c r="B177" s="354" t="s">
        <v>729</v>
      </c>
      <c r="C177" s="352" t="str">
        <f>+VLOOKUP(B177,'Erection Compiled'!$C$7:$D$598,2,FALSE)</f>
        <v>DA+0</v>
      </c>
      <c r="D177" s="358">
        <v>45861</v>
      </c>
      <c r="E177" s="358">
        <v>45861</v>
      </c>
      <c r="F177" s="352" t="s">
        <v>1029</v>
      </c>
      <c r="G177" s="352" t="s">
        <v>1031</v>
      </c>
      <c r="H177" s="352"/>
    </row>
    <row r="178" spans="1:8" x14ac:dyDescent="0.25">
      <c r="A178" s="352">
        <f>+SUBTOTAL(3,$E$6:$E178)</f>
        <v>173</v>
      </c>
      <c r="B178" s="354" t="s">
        <v>854</v>
      </c>
      <c r="C178" s="352" t="str">
        <f>+VLOOKUP(B178,'Erection Compiled'!$C$7:$D$598,2,FALSE)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Compiled'!$C$7:$D$598,2,FALSE)</f>
        <v>DA+3</v>
      </c>
      <c r="D179" s="358">
        <v>45861</v>
      </c>
      <c r="E179" s="358">
        <v>45861</v>
      </c>
      <c r="F179" s="352" t="s">
        <v>1725</v>
      </c>
      <c r="G179" s="352" t="s">
        <v>1031</v>
      </c>
      <c r="H179" s="352" t="s">
        <v>1031</v>
      </c>
    </row>
    <row r="180" spans="1:8" x14ac:dyDescent="0.25">
      <c r="A180" s="352">
        <f>+SUBTOTAL(3,$E$6:$E180)</f>
        <v>175</v>
      </c>
      <c r="B180" s="354" t="s">
        <v>747</v>
      </c>
      <c r="C180" s="352" t="str">
        <f>+VLOOKUP(B180,'Erection Compiled'!$C$7:$D$598,2,FALSE)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Compiled'!$C$7:$D$598,2,FALSE)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Compiled'!$C$7:$D$598,2,FALSE)</f>
        <v>DA+0</v>
      </c>
      <c r="D182" s="358">
        <v>45902</v>
      </c>
      <c r="E182" s="358">
        <v>45902</v>
      </c>
      <c r="F182" s="352" t="s">
        <v>1029</v>
      </c>
      <c r="G182" s="352" t="s">
        <v>1031</v>
      </c>
      <c r="H182" s="352"/>
    </row>
    <row r="183" spans="1:8" x14ac:dyDescent="0.25">
      <c r="A183" s="352">
        <f>+SUBTOTAL(3,$E$6:$E183)</f>
        <v>178</v>
      </c>
      <c r="B183" s="354" t="s">
        <v>750</v>
      </c>
      <c r="C183" s="352" t="str">
        <f>+VLOOKUP(B183,'Erection Compiled'!$C$7:$D$598,2,FALSE)</f>
        <v>DA+3</v>
      </c>
      <c r="D183" s="358">
        <v>45902</v>
      </c>
      <c r="E183" s="358">
        <v>45902</v>
      </c>
      <c r="F183" s="352" t="s">
        <v>1029</v>
      </c>
      <c r="G183" s="352" t="s">
        <v>1031</v>
      </c>
      <c r="H183" s="352"/>
    </row>
    <row r="184" spans="1:8" x14ac:dyDescent="0.25">
      <c r="A184" s="352">
        <f>+SUBTOTAL(3,$E$6:$E184)</f>
        <v>179</v>
      </c>
      <c r="B184" s="354" t="s">
        <v>741</v>
      </c>
      <c r="C184" s="352" t="str">
        <f>+VLOOKUP(B184,'Erection Compiled'!$C$7:$D$598,2,FALSE)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Compiled'!$C$7:$D$598,2,FALSE)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Compiled'!$C$7:$D$598,2,FALSE)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Compiled'!$C$7:$D$598,2,FALSE)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Compiled'!$C$7:$D$598,2,FALSE)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Compiled'!$C$7:$D$598,2,FALSE)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Compiled'!$C$7:$D$598,2,FALSE)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Compiled'!$C$7:$D$598,2,FALSE)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Compiled'!$C$7:$D$598,2,FALSE)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Compiled'!$C$7:$D$598,2,FALSE)</f>
        <v>DA+6</v>
      </c>
      <c r="D193" s="358">
        <v>45924</v>
      </c>
      <c r="E193" s="358">
        <v>45924</v>
      </c>
      <c r="F193" s="352" t="s">
        <v>1029</v>
      </c>
      <c r="G193" s="352" t="s">
        <v>1031</v>
      </c>
      <c r="H193" s="352"/>
    </row>
    <row r="194" spans="1:8" x14ac:dyDescent="0.25">
      <c r="A194" s="352">
        <f>+SUBTOTAL(3,$E$6:$E194)</f>
        <v>189</v>
      </c>
      <c r="B194" s="354" t="s">
        <v>735</v>
      </c>
      <c r="C194" s="352" t="str">
        <f>+VLOOKUP(B194,'Erection Compiled'!$C$7:$D$598,2,FALSE)</f>
        <v>DA+3</v>
      </c>
      <c r="D194" s="358">
        <v>45925</v>
      </c>
      <c r="E194" s="358">
        <v>45925</v>
      </c>
      <c r="F194" s="352" t="s">
        <v>1029</v>
      </c>
      <c r="G194" s="352" t="s">
        <v>1031</v>
      </c>
      <c r="H194" s="352"/>
    </row>
    <row r="195" spans="1:8" x14ac:dyDescent="0.25">
      <c r="A195" s="352">
        <f>+SUBTOTAL(3,$E$6:$E195)</f>
        <v>190</v>
      </c>
      <c r="B195" s="354" t="s">
        <v>842</v>
      </c>
      <c r="C195" s="352" t="str">
        <f>+VLOOKUP(B195,'Erection Compiled'!$C$7:$D$598,2,FALSE)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Compiled'!$C$7:$D$598,2,FALSE)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Compiled'!$C$7:$D$598,2,FALSE)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Compiled'!$C$7:$D$598,2,FALSE)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Compiled'!$C$7:$D$598,2,FALSE)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Compiled'!$C$7:$D$598,2,FALSE)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Compiled'!$C$7:$D$598,2,FALSE)</f>
        <v>DA+3</v>
      </c>
      <c r="D201" s="358">
        <v>45949</v>
      </c>
      <c r="E201" s="358">
        <v>45949</v>
      </c>
      <c r="F201" s="352" t="s">
        <v>1725</v>
      </c>
      <c r="G201" s="352" t="s">
        <v>1031</v>
      </c>
      <c r="H201" s="352" t="s">
        <v>1031</v>
      </c>
    </row>
    <row r="202" spans="1:8" x14ac:dyDescent="0.25">
      <c r="A202" s="352">
        <f>+SUBTOTAL(3,$E$6:$E202)</f>
        <v>197</v>
      </c>
      <c r="B202" s="352" t="s">
        <v>449</v>
      </c>
      <c r="C202" s="352" t="str">
        <f>+VLOOKUP(B202,'Erection Compiled'!$C$7:$D$598,2,FALSE)</f>
        <v>DA+3</v>
      </c>
      <c r="D202" s="358">
        <v>45952</v>
      </c>
      <c r="E202" s="358">
        <v>45952</v>
      </c>
      <c r="F202" s="352" t="s">
        <v>1725</v>
      </c>
      <c r="G202" s="352" t="s">
        <v>1031</v>
      </c>
      <c r="H202" s="352" t="s">
        <v>1031</v>
      </c>
    </row>
    <row r="203" spans="1:8" x14ac:dyDescent="0.25">
      <c r="A203" s="352">
        <f>+SUBTOTAL(3,$E$6:$E203)</f>
        <v>198</v>
      </c>
      <c r="B203" s="352" t="s">
        <v>450</v>
      </c>
      <c r="C203" s="352" t="str">
        <f>+VLOOKUP(B203,'Erection Compiled'!$C$7:$D$598,2,FALSE)</f>
        <v>DA+3</v>
      </c>
      <c r="D203" s="358">
        <v>45953</v>
      </c>
      <c r="E203" s="358">
        <v>45953</v>
      </c>
      <c r="F203" s="352" t="s">
        <v>1725</v>
      </c>
      <c r="G203" s="352" t="s">
        <v>1031</v>
      </c>
      <c r="H203" s="352" t="s">
        <v>1031</v>
      </c>
    </row>
    <row r="204" spans="1:8" x14ac:dyDescent="0.25">
      <c r="A204" s="352">
        <f>+SUBTOTAL(3,$E$6:$E204)</f>
        <v>199</v>
      </c>
      <c r="B204" s="352" t="s">
        <v>157</v>
      </c>
      <c r="C204" s="352" t="str">
        <f>+VLOOKUP(B204,'Erection Compiled'!$C$7:$D$598,2,FALSE)</f>
        <v>DA+0</v>
      </c>
      <c r="D204" s="358">
        <v>45955</v>
      </c>
      <c r="E204" s="358">
        <v>45955</v>
      </c>
      <c r="F204" s="352" t="s">
        <v>1725</v>
      </c>
      <c r="G204" s="352" t="s">
        <v>1031</v>
      </c>
      <c r="H204" s="352" t="s">
        <v>1031</v>
      </c>
    </row>
    <row r="205" spans="1:8" x14ac:dyDescent="0.25">
      <c r="A205" s="352">
        <f>+SUBTOTAL(3,$E$6:$E205)</f>
        <v>200</v>
      </c>
      <c r="B205" s="352" t="s">
        <v>470</v>
      </c>
      <c r="C205" s="352" t="str">
        <f>+VLOOKUP(B205,'Erection Compiled'!$C$7:$D$598,2,FALSE)</f>
        <v>DA+3</v>
      </c>
      <c r="D205" s="358">
        <v>45956</v>
      </c>
      <c r="E205" s="358">
        <v>45956</v>
      </c>
      <c r="F205" s="352" t="s">
        <v>1725</v>
      </c>
      <c r="G205" s="352" t="s">
        <v>1031</v>
      </c>
      <c r="H205" s="352" t="s">
        <v>1031</v>
      </c>
    </row>
    <row r="206" spans="1:8" x14ac:dyDescent="0.25">
      <c r="A206" s="352">
        <f>+SUBTOTAL(3,$E$6:$E206)</f>
        <v>201</v>
      </c>
      <c r="B206" s="352" t="s">
        <v>159</v>
      </c>
      <c r="C206" s="352" t="str">
        <f>+VLOOKUP(B206,'Erection Compiled'!$C$7:$D$598,2,FALSE)</f>
        <v>DA+0</v>
      </c>
      <c r="D206" s="358">
        <v>45957</v>
      </c>
      <c r="E206" s="358">
        <v>45957</v>
      </c>
      <c r="F206" s="352" t="s">
        <v>1725</v>
      </c>
      <c r="G206" s="352" t="s">
        <v>1031</v>
      </c>
      <c r="H206" s="352" t="s">
        <v>1031</v>
      </c>
    </row>
    <row r="207" spans="1:8" x14ac:dyDescent="0.25">
      <c r="A207" s="352">
        <f>+SUBTOTAL(3,$E$6:$E207)</f>
        <v>202</v>
      </c>
      <c r="B207" s="352" t="s">
        <v>165</v>
      </c>
      <c r="C207" s="352" t="str">
        <f>+VLOOKUP(B207,'Erection Compiled'!$C$7:$D$598,2,FALSE)</f>
        <v>DB1+0</v>
      </c>
      <c r="D207" s="358">
        <v>45958</v>
      </c>
      <c r="E207" s="358">
        <v>45958</v>
      </c>
      <c r="F207" s="352" t="s">
        <v>1725</v>
      </c>
      <c r="G207" s="352" t="s">
        <v>1031</v>
      </c>
      <c r="H207" s="352" t="s">
        <v>1031</v>
      </c>
    </row>
    <row r="208" spans="1:8" x14ac:dyDescent="0.25">
      <c r="A208" s="352">
        <f>+SUBTOTAL(3,$E$6:$E208)</f>
        <v>203</v>
      </c>
      <c r="B208" s="352" t="s">
        <v>171</v>
      </c>
      <c r="C208" s="352" t="str">
        <f>+VLOOKUP(B208,'Erection Compiled'!$C$7:$D$598,2,FALSE)</f>
        <v>DA+0</v>
      </c>
      <c r="D208" s="358">
        <v>45959</v>
      </c>
      <c r="E208" s="358">
        <v>45959</v>
      </c>
      <c r="F208" s="352" t="s">
        <v>1725</v>
      </c>
      <c r="G208" s="352" t="s">
        <v>1031</v>
      </c>
      <c r="H208" s="352" t="s">
        <v>1031</v>
      </c>
    </row>
    <row r="209" spans="1:8" x14ac:dyDescent="0.25">
      <c r="A209" s="352">
        <f>+SUBTOTAL(3,$E$6:$E209)</f>
        <v>204</v>
      </c>
      <c r="B209" s="352" t="s">
        <v>172</v>
      </c>
      <c r="C209" s="352" t="str">
        <f>+VLOOKUP(B209,'Erection Compiled'!$C$7:$D$598,2,FALSE)</f>
        <v>DB1+0</v>
      </c>
      <c r="D209" s="358">
        <v>45960</v>
      </c>
      <c r="E209" s="358">
        <v>45960</v>
      </c>
      <c r="F209" s="352" t="s">
        <v>1725</v>
      </c>
      <c r="G209" s="352" t="s">
        <v>1031</v>
      </c>
      <c r="H209" s="352"/>
    </row>
    <row r="210" spans="1:8" x14ac:dyDescent="0.25">
      <c r="A210" s="352">
        <f>+SUBTOTAL(3,$E$6:$E210)</f>
        <v>205</v>
      </c>
      <c r="B210" s="352" t="s">
        <v>490</v>
      </c>
      <c r="C210" s="352" t="str">
        <f>+VLOOKUP(B210,'Erection Compiled'!$C$7:$D$598,2,FALSE)</f>
        <v>DA+3</v>
      </c>
      <c r="D210" s="358">
        <v>45961</v>
      </c>
      <c r="E210" s="358">
        <v>45961</v>
      </c>
      <c r="F210" s="352" t="s">
        <v>1725</v>
      </c>
      <c r="G210" s="352" t="s">
        <v>1031</v>
      </c>
      <c r="H210" s="352" t="s">
        <v>1031</v>
      </c>
    </row>
    <row r="211" spans="1:8" x14ac:dyDescent="0.25">
      <c r="A211" s="352"/>
      <c r="B211" s="352"/>
      <c r="C211" s="352"/>
      <c r="D211" s="358"/>
      <c r="E211" s="358"/>
      <c r="F211" s="352"/>
      <c r="G211" s="352"/>
      <c r="H211" s="352"/>
    </row>
    <row r="212" spans="1:8" x14ac:dyDescent="0.25">
      <c r="A212" s="352"/>
      <c r="B212" s="352"/>
      <c r="C212" s="352"/>
      <c r="D212" s="358"/>
      <c r="E212" s="358"/>
      <c r="F212" s="352"/>
      <c r="G212" s="352"/>
      <c r="H212" s="352"/>
    </row>
    <row r="213" spans="1:8" x14ac:dyDescent="0.25">
      <c r="A213" s="352"/>
      <c r="B213" s="352"/>
      <c r="C213" s="352"/>
      <c r="D213" s="358"/>
      <c r="E213" s="358"/>
      <c r="F213" s="352"/>
      <c r="G213" s="352"/>
      <c r="H213" s="352"/>
    </row>
    <row r="214" spans="1:8" x14ac:dyDescent="0.25">
      <c r="A214" s="352"/>
      <c r="B214" s="352"/>
      <c r="C214" s="352"/>
      <c r="D214" s="358"/>
      <c r="E214" s="358"/>
      <c r="F214" s="352"/>
      <c r="G214" s="352"/>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dimension ref="A1:AP7"/>
  <sheetViews>
    <sheetView zoomScaleNormal="100" workbookViewId="0">
      <selection activeCell="I13" sqref="I13"/>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45964</v>
      </c>
    </row>
    <row r="2" spans="1:42" s="357" customFormat="1" ht="12.75" customHeight="1" x14ac:dyDescent="0.25">
      <c r="A2" s="882" t="s">
        <v>304</v>
      </c>
      <c r="B2" s="882" t="s">
        <v>1379</v>
      </c>
      <c r="C2" s="886" t="s">
        <v>1385</v>
      </c>
      <c r="D2" s="887"/>
      <c r="E2" s="888"/>
      <c r="F2" s="886" t="s">
        <v>15</v>
      </c>
      <c r="G2" s="887"/>
      <c r="H2" s="887"/>
      <c r="I2" s="887"/>
      <c r="J2" s="887"/>
      <c r="K2" s="887"/>
      <c r="L2" s="887"/>
      <c r="M2" s="887"/>
      <c r="N2" s="887"/>
      <c r="O2" s="887"/>
      <c r="P2" s="887"/>
      <c r="Q2" s="887"/>
      <c r="R2" s="887"/>
      <c r="S2" s="887"/>
      <c r="T2" s="887"/>
      <c r="U2" s="887"/>
      <c r="V2" s="887"/>
      <c r="W2" s="887"/>
      <c r="X2" s="887"/>
      <c r="Y2" s="887"/>
      <c r="Z2" s="887"/>
      <c r="AA2" s="887"/>
      <c r="AB2" s="887"/>
      <c r="AC2" s="887"/>
      <c r="AD2" s="887"/>
      <c r="AE2" s="887"/>
      <c r="AF2" s="887"/>
      <c r="AG2" s="887"/>
      <c r="AH2" s="887"/>
      <c r="AI2" s="887"/>
      <c r="AJ2" s="887"/>
      <c r="AK2" s="882" t="s">
        <v>1388</v>
      </c>
      <c r="AL2" s="882" t="s">
        <v>1386</v>
      </c>
      <c r="AM2" s="880" t="s">
        <v>6</v>
      </c>
      <c r="AN2" s="882" t="s">
        <v>1380</v>
      </c>
      <c r="AO2" s="884" t="s">
        <v>1181</v>
      </c>
      <c r="AP2" s="882" t="s">
        <v>1387</v>
      </c>
    </row>
    <row r="3" spans="1:42" ht="53.25" x14ac:dyDescent="0.2">
      <c r="A3" s="883"/>
      <c r="B3" s="883"/>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83"/>
      <c r="AL3" s="883"/>
      <c r="AM3" s="881"/>
      <c r="AN3" s="883"/>
      <c r="AO3" s="885"/>
      <c r="AP3" s="883"/>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78"/>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79"/>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8"/>
  <sheetViews>
    <sheetView workbookViewId="0">
      <pane ySplit="5" topLeftCell="A6" activePane="bottomLeft" state="frozen"/>
      <selection activeCell="D195" sqref="D195:D200"/>
      <selection pane="bottomLeft" activeCell="P19" sqref="P19"/>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89" t="s">
        <v>12</v>
      </c>
      <c r="B3" s="889"/>
      <c r="C3" s="889"/>
      <c r="D3" s="889"/>
      <c r="E3" s="889"/>
      <c r="F3" s="889"/>
      <c r="G3" s="889"/>
      <c r="H3" s="889"/>
      <c r="I3" s="889"/>
      <c r="J3" s="889"/>
      <c r="K3" s="889"/>
      <c r="L3" s="889"/>
      <c r="M3" s="889"/>
      <c r="N3" s="889"/>
      <c r="O3" s="889"/>
      <c r="P3" s="889"/>
      <c r="Q3" s="889"/>
    </row>
    <row r="4" spans="1:17" ht="15" customHeight="1" x14ac:dyDescent="0.25">
      <c r="A4" s="894" t="s">
        <v>22</v>
      </c>
      <c r="B4" s="894" t="s">
        <v>13</v>
      </c>
      <c r="C4" s="894"/>
      <c r="D4" s="894" t="s">
        <v>120</v>
      </c>
      <c r="E4" s="894" t="s">
        <v>7</v>
      </c>
      <c r="F4" s="894" t="s">
        <v>14</v>
      </c>
      <c r="G4" s="895" t="s">
        <v>15</v>
      </c>
      <c r="H4" s="895"/>
      <c r="I4" s="896" t="s">
        <v>1418</v>
      </c>
      <c r="J4" s="896"/>
      <c r="K4" s="896"/>
      <c r="L4" s="896"/>
      <c r="M4" s="890" t="s">
        <v>11</v>
      </c>
      <c r="N4" s="891"/>
      <c r="O4" s="891"/>
      <c r="P4" s="891"/>
      <c r="Q4" s="892"/>
    </row>
    <row r="5" spans="1:17" ht="25.5" x14ac:dyDescent="0.25">
      <c r="A5" s="894"/>
      <c r="B5" s="479" t="s">
        <v>118</v>
      </c>
      <c r="C5" s="478" t="s">
        <v>119</v>
      </c>
      <c r="D5" s="894"/>
      <c r="E5" s="894"/>
      <c r="F5" s="894"/>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7"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1627</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1627</v>
      </c>
      <c r="F18" s="634">
        <v>1.6279999999999999</v>
      </c>
      <c r="G18" s="415">
        <v>45801</v>
      </c>
      <c r="H18" s="415">
        <v>45808</v>
      </c>
      <c r="I18" s="413"/>
      <c r="J18" s="415">
        <v>45964</v>
      </c>
      <c r="K18" s="415"/>
      <c r="L18" s="413"/>
      <c r="M18" s="413"/>
      <c r="N18" s="415"/>
      <c r="O18" s="415"/>
      <c r="P18" s="414" t="s">
        <v>1732</v>
      </c>
      <c r="Q18" s="413"/>
    </row>
    <row r="19" spans="1:17" x14ac:dyDescent="0.25">
      <c r="A19" s="413">
        <v>13</v>
      </c>
      <c r="B19" s="489" t="s">
        <v>446</v>
      </c>
      <c r="C19" s="489" t="s">
        <v>447</v>
      </c>
      <c r="D19" s="413" t="s">
        <v>1038</v>
      </c>
      <c r="E19" s="414"/>
      <c r="F19" s="417"/>
      <c r="G19" s="415"/>
      <c r="H19" s="415"/>
      <c r="I19" s="413"/>
      <c r="J19" s="415"/>
      <c r="K19" s="415"/>
      <c r="L19" s="413"/>
      <c r="M19" s="413"/>
      <c r="N19" s="414"/>
      <c r="O19" s="414"/>
      <c r="P19" s="414"/>
      <c r="Q19" s="413"/>
    </row>
    <row r="20" spans="1:17" x14ac:dyDescent="0.25">
      <c r="A20" s="413"/>
      <c r="B20" s="413"/>
      <c r="C20" s="413"/>
      <c r="D20" s="413"/>
      <c r="E20" s="414"/>
      <c r="F20" s="417"/>
      <c r="G20" s="415"/>
      <c r="H20" s="415"/>
      <c r="I20" s="413"/>
      <c r="J20" s="415"/>
      <c r="K20" s="415"/>
      <c r="L20" s="413"/>
      <c r="M20" s="413"/>
      <c r="N20" s="414"/>
      <c r="O20" s="414"/>
      <c r="P20" s="414"/>
      <c r="Q20" s="413"/>
    </row>
    <row r="21" spans="1:17" x14ac:dyDescent="0.25">
      <c r="A21" s="413"/>
      <c r="B21" s="413"/>
      <c r="C21" s="413"/>
      <c r="D21" s="413"/>
      <c r="E21" s="413"/>
      <c r="F21" s="413"/>
      <c r="G21" s="415"/>
      <c r="H21" s="413"/>
      <c r="I21" s="413"/>
      <c r="J21" s="415"/>
      <c r="K21" s="415"/>
      <c r="L21" s="415"/>
      <c r="M21" s="413"/>
      <c r="N21" s="413"/>
      <c r="O21" s="413"/>
      <c r="P21" s="413"/>
      <c r="Q21" s="413"/>
    </row>
    <row r="22" spans="1:17" s="407" customFormat="1" x14ac:dyDescent="0.25">
      <c r="A22" s="893" t="s">
        <v>137</v>
      </c>
      <c r="B22" s="893"/>
      <c r="C22" s="893"/>
      <c r="D22" s="418"/>
      <c r="E22" s="418"/>
      <c r="F22" s="418">
        <f>+SUM(F6:F21)</f>
        <v>48.923999999999992</v>
      </c>
      <c r="G22" s="418"/>
      <c r="H22" s="418"/>
      <c r="I22" s="418">
        <f>+SUM(I6:I21)</f>
        <v>47.295999999999992</v>
      </c>
      <c r="J22" s="418"/>
      <c r="K22" s="418"/>
      <c r="L22" s="418"/>
      <c r="M22" s="418">
        <f>+SUM(M6:M21)</f>
        <v>47.295999999999992</v>
      </c>
      <c r="N22" s="418"/>
      <c r="O22" s="418"/>
      <c r="P22" s="418"/>
      <c r="Q22" s="418"/>
    </row>
    <row r="24" spans="1:17" x14ac:dyDescent="0.25">
      <c r="I24" s="481">
        <f>F22-M22</f>
        <v>1.6280000000000001</v>
      </c>
    </row>
    <row r="27" spans="1:17" x14ac:dyDescent="0.25">
      <c r="F27" s="406">
        <v>39.603000000000002</v>
      </c>
    </row>
    <row r="28" spans="1:17" x14ac:dyDescent="0.25">
      <c r="F28" s="406">
        <f>F22-F27</f>
        <v>9.3209999999999908</v>
      </c>
    </row>
  </sheetData>
  <autoFilter ref="A5:Q18" xr:uid="{7D901AC7-2B41-4C8E-919F-B6C2B68B5696}"/>
  <mergeCells count="10">
    <mergeCell ref="A3:Q3"/>
    <mergeCell ref="M4:Q4"/>
    <mergeCell ref="A22:C22"/>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tabColor theme="0" tint="-0.14999847407452621"/>
  </sheetPr>
  <dimension ref="A1:AE981"/>
  <sheetViews>
    <sheetView workbookViewId="0">
      <pane xSplit="9" ySplit="4" topLeftCell="J5" activePane="bottomRight" state="frozen"/>
      <selection activeCell="D195" sqref="D195:D200"/>
      <selection pane="topRight" activeCell="D195" sqref="D195:D200"/>
      <selection pane="bottomLeft" activeCell="D195" sqref="D195:D200"/>
      <selection pane="bottomRight" activeCell="D195" sqref="D195:D200"/>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900" t="s">
        <v>1039</v>
      </c>
      <c r="B2" s="900"/>
      <c r="C2" s="900"/>
      <c r="D2" s="900"/>
      <c r="E2" s="900"/>
      <c r="F2" s="900"/>
      <c r="G2" s="900"/>
      <c r="H2" s="900"/>
      <c r="I2" s="900"/>
      <c r="J2" s="900"/>
      <c r="K2" s="900"/>
      <c r="L2" s="900"/>
      <c r="M2" s="900"/>
      <c r="N2" s="900"/>
      <c r="O2" s="900"/>
      <c r="P2" s="900"/>
      <c r="Q2" s="900"/>
      <c r="R2" s="900"/>
      <c r="S2" s="900"/>
      <c r="T2" s="900"/>
      <c r="U2" s="900"/>
      <c r="V2" s="900"/>
      <c r="W2" s="900"/>
      <c r="X2" s="900"/>
      <c r="Y2" s="900"/>
      <c r="Z2" s="900"/>
      <c r="AA2" s="900"/>
      <c r="AB2" s="900"/>
      <c r="AC2" s="900"/>
      <c r="AD2" s="900"/>
      <c r="AE2" s="900"/>
    </row>
    <row r="3" spans="1:31" ht="15.75" customHeight="1" x14ac:dyDescent="0.25">
      <c r="A3" s="897" t="s">
        <v>1155</v>
      </c>
      <c r="B3" s="898"/>
      <c r="C3" s="898"/>
      <c r="D3" s="898"/>
      <c r="E3" s="898"/>
      <c r="F3" s="898"/>
      <c r="G3" s="898"/>
      <c r="H3" s="898"/>
      <c r="I3" s="899"/>
      <c r="J3" s="900" t="s">
        <v>1040</v>
      </c>
      <c r="K3" s="900"/>
      <c r="L3" s="897" t="s">
        <v>1041</v>
      </c>
      <c r="M3" s="898"/>
      <c r="N3" s="898"/>
      <c r="O3" s="899"/>
      <c r="P3" s="897" t="s">
        <v>1042</v>
      </c>
      <c r="Q3" s="898"/>
      <c r="R3" s="898"/>
      <c r="S3" s="898"/>
      <c r="T3" s="899"/>
      <c r="U3" s="897" t="s">
        <v>1043</v>
      </c>
      <c r="V3" s="898"/>
      <c r="W3" s="898"/>
      <c r="X3" s="898"/>
      <c r="Y3" s="898"/>
      <c r="Z3" s="899"/>
      <c r="AA3" s="901" t="s">
        <v>9</v>
      </c>
      <c r="AB3" s="897" t="s">
        <v>1160</v>
      </c>
      <c r="AC3" s="898"/>
      <c r="AD3" s="898"/>
      <c r="AE3" s="899"/>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902"/>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50"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50"/>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50"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50"/>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50"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903" t="s">
        <v>1153</v>
      </c>
      <c r="B980" s="903"/>
      <c r="C980" s="903"/>
      <c r="D980" s="903"/>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903" t="s">
        <v>1154</v>
      </c>
      <c r="B981" s="903"/>
      <c r="C981" s="903"/>
      <c r="D981" s="903"/>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tabColor theme="0" tint="-0.499984740745262"/>
  </sheetPr>
  <dimension ref="A1:P28"/>
  <sheetViews>
    <sheetView workbookViewId="0">
      <pane ySplit="5" topLeftCell="A17" activePane="bottomLeft" state="frozen"/>
      <selection activeCell="D195" sqref="D195:D200"/>
      <selection pane="bottomLeft" activeCell="D195" sqref="D195:D200"/>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906" t="s">
        <v>1163</v>
      </c>
      <c r="B3" s="906"/>
      <c r="C3" s="906"/>
      <c r="D3" s="906"/>
      <c r="E3" s="906"/>
      <c r="F3" s="906"/>
      <c r="G3" s="906"/>
      <c r="H3" s="906"/>
      <c r="I3" s="906"/>
      <c r="J3" s="906"/>
      <c r="K3" s="906"/>
      <c r="L3" s="906"/>
      <c r="M3" s="906"/>
      <c r="N3" s="906"/>
      <c r="O3" s="906"/>
      <c r="P3" s="906"/>
    </row>
    <row r="4" spans="1:16" x14ac:dyDescent="0.25">
      <c r="A4" s="906" t="s">
        <v>22</v>
      </c>
      <c r="B4" s="906" t="s">
        <v>13</v>
      </c>
      <c r="C4" s="906"/>
      <c r="D4" s="906" t="s">
        <v>7</v>
      </c>
      <c r="E4" s="906" t="s">
        <v>14</v>
      </c>
      <c r="F4" s="905" t="s">
        <v>1164</v>
      </c>
      <c r="G4" s="905"/>
      <c r="H4" s="905"/>
      <c r="I4" s="905"/>
      <c r="J4" s="906" t="s">
        <v>11</v>
      </c>
      <c r="K4" s="906"/>
      <c r="L4" s="906"/>
      <c r="M4" s="906"/>
      <c r="N4" s="907" t="s">
        <v>1171</v>
      </c>
      <c r="O4" s="907" t="s">
        <v>1165</v>
      </c>
      <c r="P4" s="907" t="s">
        <v>1166</v>
      </c>
    </row>
    <row r="5" spans="1:16" ht="25.5" x14ac:dyDescent="0.25">
      <c r="A5" s="906"/>
      <c r="B5" s="421" t="s">
        <v>118</v>
      </c>
      <c r="C5" s="420" t="s">
        <v>119</v>
      </c>
      <c r="D5" s="906"/>
      <c r="E5" s="906"/>
      <c r="F5" s="420" t="s">
        <v>14</v>
      </c>
      <c r="G5" s="420" t="s">
        <v>6</v>
      </c>
      <c r="H5" s="420" t="s">
        <v>5</v>
      </c>
      <c r="I5" s="420" t="s">
        <v>9</v>
      </c>
      <c r="J5" s="420" t="s">
        <v>14</v>
      </c>
      <c r="K5" s="420" t="s">
        <v>6</v>
      </c>
      <c r="L5" s="420" t="s">
        <v>5</v>
      </c>
      <c r="M5" s="420" t="s">
        <v>9</v>
      </c>
      <c r="N5" s="908"/>
      <c r="O5" s="908"/>
      <c r="P5" s="908"/>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04" t="s">
        <v>137</v>
      </c>
      <c r="B28" s="904"/>
      <c r="C28" s="904"/>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39" zoomScale="84" zoomScaleNormal="90" workbookViewId="0">
      <selection activeCell="U270" sqref="U270"/>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16" t="s">
        <v>915</v>
      </c>
      <c r="D3" s="917"/>
      <c r="E3" s="917"/>
      <c r="F3" s="917"/>
      <c r="G3" s="917"/>
      <c r="H3" s="917"/>
      <c r="I3" s="917"/>
      <c r="J3" s="917"/>
      <c r="K3" s="917"/>
      <c r="L3" s="917"/>
      <c r="M3" s="917"/>
      <c r="N3" s="917"/>
      <c r="O3" s="917"/>
      <c r="P3" s="917"/>
      <c r="Q3" s="917"/>
      <c r="R3" s="918"/>
      <c r="S3" s="922" t="s">
        <v>401</v>
      </c>
      <c r="T3" s="923"/>
      <c r="U3" s="923"/>
      <c r="V3" s="923"/>
      <c r="W3" s="923"/>
      <c r="X3" s="923"/>
      <c r="Y3" s="923"/>
      <c r="Z3" s="924"/>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19">
        <f ca="1">+TODAY()</f>
        <v>45964</v>
      </c>
      <c r="J4" s="920"/>
      <c r="K4" s="920"/>
      <c r="L4" s="920"/>
      <c r="M4" s="920"/>
      <c r="N4" s="920"/>
      <c r="O4" s="920"/>
      <c r="P4" s="920"/>
      <c r="Q4" s="920"/>
      <c r="R4" s="921"/>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10" t="s">
        <v>304</v>
      </c>
      <c r="D5" s="912"/>
      <c r="E5" s="910" t="s">
        <v>37</v>
      </c>
      <c r="F5" s="911"/>
      <c r="G5" s="911"/>
      <c r="H5" s="912"/>
      <c r="I5" s="910" t="s">
        <v>403</v>
      </c>
      <c r="J5" s="912"/>
      <c r="K5" s="910" t="s">
        <v>404</v>
      </c>
      <c r="L5" s="912"/>
      <c r="M5" s="910" t="s">
        <v>405</v>
      </c>
      <c r="N5" s="911"/>
      <c r="O5" s="912"/>
      <c r="P5" s="910" t="s">
        <v>16</v>
      </c>
      <c r="Q5" s="912"/>
      <c r="R5" s="524" t="s">
        <v>124</v>
      </c>
      <c r="T5" s="14"/>
      <c r="U5" s="14"/>
      <c r="W5" s="910" t="s">
        <v>406</v>
      </c>
      <c r="X5" s="911"/>
      <c r="Y5" s="911"/>
      <c r="Z5" s="912"/>
      <c r="AC5" s="153"/>
      <c r="AD5" s="153"/>
      <c r="AE5" s="153"/>
      <c r="AF5" s="153"/>
      <c r="AG5" s="153"/>
      <c r="AH5" s="153"/>
      <c r="AI5" s="153"/>
      <c r="AJ5" s="153"/>
      <c r="AK5" s="153"/>
      <c r="AL5" s="153"/>
      <c r="AM5" s="153"/>
      <c r="AN5" s="153"/>
      <c r="AO5" s="153"/>
      <c r="AP5" s="153"/>
      <c r="AQ5" s="153"/>
      <c r="AR5" s="158"/>
      <c r="AS5" s="159"/>
      <c r="AT5" s="19"/>
      <c r="AV5" s="909" t="s">
        <v>407</v>
      </c>
      <c r="AW5" s="909"/>
      <c r="AX5" s="909"/>
      <c r="AY5" s="909"/>
      <c r="AZ5" s="909"/>
      <c r="BA5" s="909"/>
      <c r="BB5" s="909"/>
      <c r="BC5" s="909"/>
      <c r="BD5" s="909"/>
      <c r="BE5" s="909"/>
    </row>
    <row r="6" spans="1:63" s="16" customFormat="1" ht="15.75" customHeight="1" x14ac:dyDescent="0.25">
      <c r="A6" s="17"/>
      <c r="B6" s="18"/>
      <c r="C6" s="910">
        <v>1</v>
      </c>
      <c r="D6" s="912"/>
      <c r="E6" s="910" t="s">
        <v>10</v>
      </c>
      <c r="F6" s="911"/>
      <c r="G6" s="911"/>
      <c r="H6" s="912"/>
      <c r="I6" s="910" t="s">
        <v>408</v>
      </c>
      <c r="J6" s="912"/>
      <c r="K6" s="910">
        <v>485</v>
      </c>
      <c r="L6" s="912"/>
      <c r="M6" s="910">
        <f>BA18</f>
        <v>478</v>
      </c>
      <c r="N6" s="911"/>
      <c r="O6" s="912"/>
      <c r="P6" s="913">
        <f>K6-M6</f>
        <v>7</v>
      </c>
      <c r="Q6" s="915"/>
      <c r="R6" s="525">
        <f>BB18</f>
        <v>2</v>
      </c>
      <c r="U6" s="14"/>
      <c r="W6" s="910" t="s">
        <v>409</v>
      </c>
      <c r="X6" s="911"/>
      <c r="Y6" s="911"/>
      <c r="Z6" s="912"/>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10">
        <v>2</v>
      </c>
      <c r="D7" s="912"/>
      <c r="E7" s="913" t="s">
        <v>121</v>
      </c>
      <c r="F7" s="914"/>
      <c r="G7" s="914"/>
      <c r="H7" s="915"/>
      <c r="I7" s="910" t="s">
        <v>408</v>
      </c>
      <c r="J7" s="912"/>
      <c r="K7" s="913">
        <v>485</v>
      </c>
      <c r="L7" s="915"/>
      <c r="M7" s="910">
        <f>BC18</f>
        <v>475</v>
      </c>
      <c r="N7" s="911"/>
      <c r="O7" s="912"/>
      <c r="P7" s="913">
        <f t="shared" ref="P7:P11" si="0">K7-M7</f>
        <v>10</v>
      </c>
      <c r="Q7" s="915"/>
      <c r="R7" s="526">
        <v>0</v>
      </c>
      <c r="U7" s="21"/>
      <c r="W7" s="910" t="s">
        <v>410</v>
      </c>
      <c r="X7" s="911"/>
      <c r="Y7" s="911"/>
      <c r="Z7" s="912"/>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10">
        <v>3</v>
      </c>
      <c r="D8" s="912"/>
      <c r="E8" s="910" t="s">
        <v>412</v>
      </c>
      <c r="F8" s="911"/>
      <c r="G8" s="911"/>
      <c r="H8" s="912"/>
      <c r="I8" s="910" t="s">
        <v>408</v>
      </c>
      <c r="J8" s="912"/>
      <c r="K8" s="910">
        <v>485</v>
      </c>
      <c r="L8" s="912"/>
      <c r="M8" s="910">
        <f>BD18</f>
        <v>375</v>
      </c>
      <c r="N8" s="911"/>
      <c r="O8" s="912"/>
      <c r="P8" s="913">
        <f>K8-M8</f>
        <v>110</v>
      </c>
      <c r="Q8" s="915"/>
      <c r="R8" s="526">
        <v>11</v>
      </c>
      <c r="U8" s="513"/>
      <c r="W8" s="910" t="s">
        <v>413</v>
      </c>
      <c r="X8" s="911"/>
      <c r="Y8" s="911"/>
      <c r="Z8" s="912"/>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10">
        <v>4</v>
      </c>
      <c r="D9" s="912"/>
      <c r="E9" s="913" t="s">
        <v>1395</v>
      </c>
      <c r="F9" s="914"/>
      <c r="G9" s="914"/>
      <c r="H9" s="915"/>
      <c r="I9" s="910" t="s">
        <v>408</v>
      </c>
      <c r="J9" s="912"/>
      <c r="K9" s="913">
        <v>485</v>
      </c>
      <c r="L9" s="915"/>
      <c r="M9" s="910">
        <f>BE18</f>
        <v>205</v>
      </c>
      <c r="N9" s="911"/>
      <c r="O9" s="912"/>
      <c r="P9" s="913">
        <f>K9-M9</f>
        <v>280</v>
      </c>
      <c r="Q9" s="915"/>
      <c r="R9" s="526">
        <v>0</v>
      </c>
      <c r="U9" s="21"/>
      <c r="W9" s="910" t="s">
        <v>416</v>
      </c>
      <c r="X9" s="911"/>
      <c r="Y9" s="911"/>
      <c r="Z9" s="912"/>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10">
        <v>5</v>
      </c>
      <c r="D10" s="912"/>
      <c r="E10" s="910" t="s">
        <v>414</v>
      </c>
      <c r="F10" s="911"/>
      <c r="G10" s="911"/>
      <c r="H10" s="912"/>
      <c r="I10" s="910" t="s">
        <v>415</v>
      </c>
      <c r="J10" s="912"/>
      <c r="K10" s="925">
        <v>191.36</v>
      </c>
      <c r="L10" s="926"/>
      <c r="M10" s="925">
        <f>(BK18/1000)+BJ18/1000</f>
        <v>47.297200000000011</v>
      </c>
      <c r="N10" s="927"/>
      <c r="O10" s="926"/>
      <c r="P10" s="928">
        <f t="shared" si="0"/>
        <v>144.06280000000001</v>
      </c>
      <c r="Q10" s="929"/>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10">
        <v>6</v>
      </c>
      <c r="D11" s="912"/>
      <c r="E11" s="910" t="s">
        <v>418</v>
      </c>
      <c r="F11" s="911"/>
      <c r="G11" s="911"/>
      <c r="H11" s="912"/>
      <c r="I11" s="910" t="s">
        <v>415</v>
      </c>
      <c r="J11" s="912"/>
      <c r="K11" s="925">
        <v>191.36</v>
      </c>
      <c r="L11" s="926"/>
      <c r="M11" s="925">
        <f>BK18/1000</f>
        <v>47.297200000000011</v>
      </c>
      <c r="N11" s="927"/>
      <c r="O11" s="926"/>
      <c r="P11" s="928">
        <f t="shared" si="0"/>
        <v>144.06280000000001</v>
      </c>
      <c r="Q11" s="929"/>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10" t="s">
        <v>909</v>
      </c>
      <c r="X12" s="911"/>
      <c r="Y12" s="911"/>
      <c r="Z12" s="912"/>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50" t="s">
        <v>910</v>
      </c>
      <c r="X13" s="950"/>
      <c r="Y13" s="950"/>
      <c r="Z13" s="950"/>
      <c r="AA13" s="166"/>
      <c r="AB13" s="944"/>
      <c r="AC13" s="944"/>
      <c r="AD13" s="944"/>
      <c r="AE13" s="944"/>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10" t="s">
        <v>424</v>
      </c>
      <c r="X14" s="911"/>
      <c r="Y14" s="911"/>
      <c r="Z14" s="912"/>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10" t="s">
        <v>425</v>
      </c>
      <c r="X15" s="911"/>
      <c r="Y15" s="911"/>
      <c r="Z15" s="912"/>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10" t="s">
        <v>429</v>
      </c>
      <c r="X16" s="911"/>
      <c r="Y16" s="911"/>
      <c r="Z16" s="912"/>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10" t="s">
        <v>434</v>
      </c>
      <c r="X17" s="911"/>
      <c r="Y17" s="911"/>
      <c r="Z17" s="912"/>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50" t="s">
        <v>914</v>
      </c>
      <c r="X18" s="950"/>
      <c r="Y18" s="950"/>
      <c r="Z18" s="950"/>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218</v>
      </c>
      <c r="AX18" s="11">
        <f t="shared" si="1"/>
        <v>58</v>
      </c>
      <c r="AY18" s="11">
        <f t="shared" si="1"/>
        <v>2</v>
      </c>
      <c r="AZ18" s="11">
        <f t="shared" si="1"/>
        <v>0</v>
      </c>
      <c r="BA18" s="11">
        <f t="shared" si="1"/>
        <v>478</v>
      </c>
      <c r="BB18" s="11">
        <f t="shared" si="1"/>
        <v>2</v>
      </c>
      <c r="BC18" s="11">
        <f t="shared" si="1"/>
        <v>475</v>
      </c>
      <c r="BD18" s="11">
        <f t="shared" si="1"/>
        <v>375</v>
      </c>
      <c r="BE18" s="11">
        <f t="shared" si="1"/>
        <v>205</v>
      </c>
      <c r="BF18" s="11">
        <f t="shared" si="1"/>
        <v>0</v>
      </c>
      <c r="BG18" s="11">
        <f t="shared" si="1"/>
        <v>0</v>
      </c>
      <c r="BH18" s="11">
        <f t="shared" si="1"/>
        <v>191392.64300000004</v>
      </c>
      <c r="BI18" s="11">
        <f t="shared" si="1"/>
        <v>0</v>
      </c>
      <c r="BJ18" s="11">
        <f t="shared" si="1"/>
        <v>0</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20</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12</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ROW</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WIP</v>
      </c>
      <c r="AT80" s="31"/>
      <c r="AV80" s="12">
        <f>+COUNTIF(C79:AT80,"Sandy")</f>
        <v>2</v>
      </c>
      <c r="AW80" s="12">
        <f>+COUNTIF(C79:AT80,"DRY")</f>
        <v>18</v>
      </c>
      <c r="AX80" s="12">
        <f>+COUNTIF(C80:AT80,"DFR")</f>
        <v>0</v>
      </c>
      <c r="AY80" s="12">
        <f>+COUNTIF(C80:AS80,"WFR")</f>
        <v>0</v>
      </c>
      <c r="AZ80" s="12">
        <f>+COUNTIF(C80:AS80,"FS")</f>
        <v>0</v>
      </c>
      <c r="BA80" s="12">
        <f>+SUM(AV80:AZ80)</f>
        <v>20</v>
      </c>
      <c r="BB80" s="12">
        <f>+COUNTIF(E80:AS80,"WIP")</f>
        <v>1</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ROW</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4</v>
      </c>
      <c r="AX91" s="12">
        <f>+COUNTIF(C91:AT91,"DFR")</f>
        <v>3</v>
      </c>
      <c r="AY91" s="12">
        <f>+COUNTIF(C91:AS91,"WFR")</f>
        <v>0</v>
      </c>
      <c r="AZ91" s="12">
        <f>+COUNTIF(C91:AS91,"FS")</f>
        <v>0</v>
      </c>
      <c r="BA91" s="12">
        <f>+SUM(AV91:AZ91)</f>
        <v>20</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WIP</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6</v>
      </c>
      <c r="AY102" s="12">
        <f>+COUNTIF(C102:AS102,"WFR")</f>
        <v>0</v>
      </c>
      <c r="AZ102" s="12">
        <f>+COUNTIF(C102:AS102,"FS")</f>
        <v>0</v>
      </c>
      <c r="BA102" s="12">
        <f>+SUM(AV102:AZ102)</f>
        <v>20</v>
      </c>
      <c r="BB102" s="12">
        <f>+COUNTIF(E102:AS102,"WIP")</f>
        <v>1</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
      </c>
      <c r="AK122" s="14" t="str">
        <f>+VLOOKUP(AK120,'Visual chart Edit'!$B$7:$L$591,11,FALSE)</f>
        <v/>
      </c>
      <c r="AM122" s="14" t="str">
        <f>+VLOOKUP(AM120,'Visual chart Edit'!$B$7:$L$591,11,FALSE)</f>
        <v/>
      </c>
      <c r="AO122" s="14" t="str">
        <f>+VLOOKUP(AO120,'Visual chart Edit'!$B$7:$L$591,11,FALSE)</f>
        <v/>
      </c>
      <c r="AQ122" s="14" t="str">
        <f>+VLOOKUP(AQ120,'Visual chart Edit'!$B$7:$L$591,11,FALSE)</f>
        <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10</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
      </c>
      <c r="G133" s="14" t="str">
        <f>+VLOOKUP(G131,'Visual chart Edit'!$B$7:$L$591,11,FALSE)</f>
        <v/>
      </c>
      <c r="I133" s="14" t="str">
        <f>+VLOOKUP(I131,'Visual chart Edit'!$B$7:$L$591,11,FALSE)</f>
        <v>E</v>
      </c>
      <c r="K133" s="14" t="str">
        <f>+VLOOKUP(K131,'Visual chart Edit'!$B$7:$L$591,11,FALSE)</f>
        <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16</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
      </c>
      <c r="AE144" s="14" t="str">
        <f>+VLOOKUP(AE142,'Visual chart Edit'!$B$7:$L$591,11,FALSE)</f>
        <v/>
      </c>
      <c r="AG144" s="14" t="str">
        <f>+VLOOKUP(AG142,'Visual chart Edit'!$B$7:$L$591,11,FALSE)</f>
        <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11</v>
      </c>
      <c r="BE146" s="12">
        <f>+COUNTIF(D145:AT145,"Done")</f>
        <v>0</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
      </c>
      <c r="AS177" s="22" t="str">
        <f>+VLOOKUP(AS174,'Visual chart Edit'!$B$7:$M$491,12,FALSE)</f>
        <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19</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10</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0</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32" t="s">
        <v>139</v>
      </c>
      <c r="D285" s="932"/>
      <c r="E285" s="930" t="s">
        <v>922</v>
      </c>
      <c r="F285" s="930"/>
      <c r="G285" s="945" t="s">
        <v>921</v>
      </c>
      <c r="H285" s="934" t="s">
        <v>923</v>
      </c>
      <c r="I285" s="934"/>
      <c r="J285" s="934"/>
      <c r="K285" s="934"/>
      <c r="L285" s="934"/>
      <c r="M285" s="934"/>
      <c r="N285" s="934"/>
      <c r="O285" s="934"/>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33"/>
      <c r="D286" s="933"/>
      <c r="E286" s="931"/>
      <c r="F286" s="931"/>
      <c r="G286" s="946"/>
      <c r="H286" s="935" t="s">
        <v>438</v>
      </c>
      <c r="I286" s="935"/>
      <c r="J286" s="936" t="s">
        <v>436</v>
      </c>
      <c r="K286" s="936"/>
      <c r="L286" s="936"/>
      <c r="M286" s="936"/>
      <c r="N286" s="936"/>
      <c r="O286" s="936"/>
      <c r="P286" s="151"/>
      <c r="Q286" s="148"/>
      <c r="R286" s="147"/>
      <c r="S286" s="147"/>
      <c r="T286" s="147"/>
      <c r="U286" s="147"/>
      <c r="V286" s="151"/>
      <c r="W286" s="953" t="s">
        <v>928</v>
      </c>
      <c r="X286" s="953"/>
      <c r="Y286" s="953"/>
      <c r="Z286" s="953"/>
      <c r="AA286" s="953"/>
      <c r="AB286" s="953"/>
      <c r="AC286" s="953"/>
      <c r="AD286" s="953"/>
      <c r="AE286" s="953"/>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33"/>
      <c r="D287" s="933"/>
      <c r="E287" s="931"/>
      <c r="F287" s="931"/>
      <c r="G287" s="947"/>
      <c r="H287" s="152" t="s">
        <v>578</v>
      </c>
      <c r="I287" s="152" t="s">
        <v>16</v>
      </c>
      <c r="J287" s="152" t="s">
        <v>578</v>
      </c>
      <c r="K287" s="931" t="s">
        <v>919</v>
      </c>
      <c r="L287" s="931"/>
      <c r="M287" s="152" t="s">
        <v>16</v>
      </c>
      <c r="N287" s="931" t="s">
        <v>920</v>
      </c>
      <c r="O287" s="931"/>
      <c r="P287" s="149"/>
      <c r="R287" s="147"/>
      <c r="S287" s="149"/>
      <c r="T287" s="149"/>
      <c r="U287" s="149"/>
      <c r="V287" s="149"/>
      <c r="W287" s="952" t="s">
        <v>37</v>
      </c>
      <c r="X287" s="952"/>
      <c r="Y287" s="952"/>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55">
        <f>+COUNTIF('Visual chart Edit'!$C$6:$C$520,'Visual chart'!C288)</f>
        <v>150</v>
      </c>
      <c r="F288" s="956"/>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117</v>
      </c>
      <c r="K288" s="939">
        <f>G288*J288</f>
        <v>4387.9679999999998</v>
      </c>
      <c r="L288" s="940"/>
      <c r="M288" s="95">
        <f t="shared" ref="M288:M316" si="3">E288-J288</f>
        <v>33</v>
      </c>
      <c r="N288" s="943">
        <f>+M288*G288</f>
        <v>1237.6319999999998</v>
      </c>
      <c r="O288" s="943"/>
      <c r="P288" s="137"/>
      <c r="Q288" s="137"/>
      <c r="R288" s="137"/>
      <c r="S288" s="150"/>
      <c r="T288" s="137"/>
      <c r="U288" s="150"/>
      <c r="V288" s="137"/>
      <c r="W288" s="951" t="s">
        <v>10</v>
      </c>
      <c r="X288" s="951"/>
      <c r="Y288" s="951"/>
      <c r="Z288" s="176">
        <f>H317</f>
        <v>478</v>
      </c>
      <c r="AA288" s="176"/>
      <c r="AB288" s="176"/>
      <c r="AC288" s="176"/>
      <c r="AD288" s="176"/>
      <c r="AE288" s="176"/>
      <c r="AT288" s="31"/>
      <c r="BD288" s="522"/>
    </row>
    <row r="289" spans="1:56" s="14" customFormat="1" x14ac:dyDescent="0.25">
      <c r="A289" s="12"/>
      <c r="B289" s="57"/>
      <c r="C289" s="523" t="s">
        <v>20</v>
      </c>
      <c r="D289" s="26"/>
      <c r="E289" s="955">
        <f>+COUNTIF('Visual chart Edit'!$C$6:$C$520,'Visual chart'!C289)</f>
        <v>161</v>
      </c>
      <c r="F289" s="956"/>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138</v>
      </c>
      <c r="K289" s="939">
        <f t="shared" ref="K289:K316" si="4">G289*J289</f>
        <v>5360.8860000000004</v>
      </c>
      <c r="L289" s="940"/>
      <c r="M289" s="95">
        <f t="shared" si="3"/>
        <v>23</v>
      </c>
      <c r="N289" s="943">
        <f t="shared" ref="N289:N316" si="5">+M289*G289</f>
        <v>893.48099999999999</v>
      </c>
      <c r="O289" s="943"/>
      <c r="P289" s="137"/>
      <c r="Q289" s="137"/>
      <c r="R289" s="137"/>
      <c r="S289" s="150"/>
      <c r="T289" s="137"/>
      <c r="U289" s="150"/>
      <c r="V289" s="137"/>
      <c r="W289" s="951" t="s">
        <v>126</v>
      </c>
      <c r="X289" s="951"/>
      <c r="Y289" s="951"/>
      <c r="Z289" s="176">
        <f>J317</f>
        <v>375</v>
      </c>
      <c r="AA289" s="176"/>
      <c r="AB289" s="176"/>
      <c r="AC289" s="176"/>
      <c r="AD289" s="176"/>
      <c r="AE289" s="176"/>
      <c r="AT289" s="31"/>
      <c r="BD289" s="522"/>
    </row>
    <row r="290" spans="1:56" s="14" customFormat="1" x14ac:dyDescent="0.25">
      <c r="A290" s="12"/>
      <c r="B290" s="57"/>
      <c r="C290" s="523" t="s">
        <v>233</v>
      </c>
      <c r="D290" s="26"/>
      <c r="E290" s="955">
        <f>+COUNTIF('Visual chart Edit'!$C$6:$C$520,'Visual chart'!C290)</f>
        <v>48</v>
      </c>
      <c r="F290" s="956"/>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45</v>
      </c>
      <c r="I290" s="95">
        <f t="shared" si="2"/>
        <v>3</v>
      </c>
      <c r="J290" s="96">
        <f>+COUNTIFS('Visual chart Edit'!$C$6:$C$520,'Visual chart'!C290,'Visual chart Edit'!$L$6:$L$520,"E")</f>
        <v>28</v>
      </c>
      <c r="K290" s="939">
        <f t="shared" si="4"/>
        <v>1271.5639999999999</v>
      </c>
      <c r="L290" s="940"/>
      <c r="M290" s="95">
        <f t="shared" si="3"/>
        <v>20</v>
      </c>
      <c r="N290" s="943">
        <f t="shared" si="5"/>
        <v>908.26</v>
      </c>
      <c r="O290" s="943"/>
      <c r="P290" s="137"/>
      <c r="Q290" s="137"/>
      <c r="R290" s="137"/>
      <c r="S290" s="150"/>
      <c r="T290" s="137"/>
      <c r="U290" s="150"/>
      <c r="V290" s="137"/>
      <c r="X290" s="24"/>
      <c r="AT290" s="31"/>
      <c r="BD290" s="522"/>
    </row>
    <row r="291" spans="1:56" s="14" customFormat="1" x14ac:dyDescent="0.25">
      <c r="A291" s="12"/>
      <c r="B291" s="57"/>
      <c r="C291" s="523" t="s">
        <v>234</v>
      </c>
      <c r="D291" s="26"/>
      <c r="E291" s="955">
        <f>+COUNTIF('Visual chart Edit'!$C$6:$C$520,'Visual chart'!C291)</f>
        <v>38</v>
      </c>
      <c r="F291" s="956"/>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30</v>
      </c>
      <c r="K291" s="939">
        <f t="shared" si="4"/>
        <v>1362.3899999999999</v>
      </c>
      <c r="L291" s="940"/>
      <c r="M291" s="95">
        <f t="shared" si="3"/>
        <v>8</v>
      </c>
      <c r="N291" s="943">
        <f t="shared" si="5"/>
        <v>363.30399999999997</v>
      </c>
      <c r="O291" s="943"/>
      <c r="P291" s="137"/>
      <c r="Q291" s="137"/>
      <c r="R291" s="137"/>
      <c r="S291" s="150"/>
      <c r="T291" s="137"/>
      <c r="U291" s="150"/>
      <c r="V291" s="137"/>
      <c r="X291" s="24"/>
      <c r="AT291" s="31"/>
      <c r="BD291" s="522"/>
    </row>
    <row r="292" spans="1:56" s="14" customFormat="1" x14ac:dyDescent="0.25">
      <c r="A292" s="12"/>
      <c r="B292" s="57"/>
      <c r="C292" s="523" t="s">
        <v>243</v>
      </c>
      <c r="D292" s="26"/>
      <c r="E292" s="955">
        <f>+COUNTIF('Visual chart Edit'!$C$6:$C$520,'Visual chart'!C292)</f>
        <v>13</v>
      </c>
      <c r="F292" s="956"/>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39">
        <f t="shared" si="4"/>
        <v>403.17900000000003</v>
      </c>
      <c r="L292" s="940"/>
      <c r="M292" s="95">
        <f t="shared" si="3"/>
        <v>6</v>
      </c>
      <c r="N292" s="943">
        <f t="shared" si="5"/>
        <v>345.58199999999999</v>
      </c>
      <c r="O292" s="943"/>
      <c r="P292" s="137"/>
      <c r="Q292" s="137"/>
      <c r="R292" s="137"/>
      <c r="S292" s="150"/>
      <c r="T292" s="137"/>
      <c r="U292" s="150"/>
      <c r="V292" s="137"/>
      <c r="X292" s="24"/>
      <c r="AT292" s="31"/>
      <c r="BD292" s="522"/>
    </row>
    <row r="293" spans="1:56" s="14" customFormat="1" x14ac:dyDescent="0.25">
      <c r="A293" s="12"/>
      <c r="B293" s="57"/>
      <c r="C293" s="523" t="s">
        <v>244</v>
      </c>
      <c r="D293" s="26"/>
      <c r="E293" s="955">
        <f>+COUNTIF('Visual chart Edit'!$C$6:$C$520,'Visual chart'!C293)</f>
        <v>3</v>
      </c>
      <c r="F293" s="956"/>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39">
        <f t="shared" si="4"/>
        <v>180.28799999999998</v>
      </c>
      <c r="L293" s="940"/>
      <c r="M293" s="95">
        <f t="shared" si="3"/>
        <v>0</v>
      </c>
      <c r="N293" s="943">
        <f t="shared" si="5"/>
        <v>0</v>
      </c>
      <c r="O293" s="943"/>
      <c r="P293" s="137"/>
      <c r="Q293" s="137"/>
      <c r="R293" s="137"/>
      <c r="S293" s="150"/>
      <c r="T293" s="137"/>
      <c r="U293" s="150"/>
      <c r="V293" s="137"/>
      <c r="X293" s="24"/>
      <c r="AT293" s="31"/>
      <c r="BD293" s="522"/>
    </row>
    <row r="294" spans="1:56" s="14" customFormat="1" x14ac:dyDescent="0.25">
      <c r="A294" s="12"/>
      <c r="B294" s="57"/>
      <c r="C294" s="523" t="s">
        <v>247</v>
      </c>
      <c r="D294" s="26"/>
      <c r="E294" s="955">
        <f>+COUNTIF('Visual chart Edit'!$C$6:$C$520,'Visual chart'!C294)</f>
        <v>3</v>
      </c>
      <c r="F294" s="956"/>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39">
        <f t="shared" si="4"/>
        <v>135.74600000000001</v>
      </c>
      <c r="L294" s="940"/>
      <c r="M294" s="95">
        <f t="shared" si="3"/>
        <v>1</v>
      </c>
      <c r="N294" s="943">
        <f t="shared" si="5"/>
        <v>67.873000000000005</v>
      </c>
      <c r="O294" s="943"/>
      <c r="P294" s="137"/>
      <c r="Q294" s="137"/>
      <c r="R294" s="137"/>
      <c r="S294" s="150"/>
      <c r="T294" s="137"/>
      <c r="U294" s="150"/>
      <c r="V294" s="137"/>
      <c r="X294" s="24"/>
      <c r="AT294" s="31"/>
      <c r="BD294" s="522"/>
    </row>
    <row r="295" spans="1:56" s="14" customFormat="1" x14ac:dyDescent="0.25">
      <c r="A295" s="12"/>
      <c r="B295" s="57"/>
      <c r="C295" s="523" t="s">
        <v>241</v>
      </c>
      <c r="D295" s="26"/>
      <c r="E295" s="955">
        <f>+COUNTIF('Visual chart Edit'!$C$6:$C$520,'Visual chart'!C295)</f>
        <v>3</v>
      </c>
      <c r="F295" s="956"/>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39">
        <f t="shared" si="4"/>
        <v>141.40199999999999</v>
      </c>
      <c r="L295" s="940"/>
      <c r="M295" s="95">
        <f t="shared" si="3"/>
        <v>1</v>
      </c>
      <c r="N295" s="943">
        <f t="shared" si="5"/>
        <v>70.700999999999993</v>
      </c>
      <c r="O295" s="943"/>
      <c r="P295" s="137"/>
      <c r="Q295" s="137"/>
      <c r="R295" s="137"/>
      <c r="S295" s="150"/>
      <c r="T295" s="137"/>
      <c r="U295" s="150"/>
      <c r="V295" s="137"/>
      <c r="X295" s="24"/>
      <c r="AT295" s="31"/>
      <c r="BD295" s="522"/>
    </row>
    <row r="296" spans="1:56" s="14" customFormat="1" x14ac:dyDescent="0.25">
      <c r="A296" s="12"/>
      <c r="B296" s="57"/>
      <c r="C296" s="523" t="s">
        <v>246</v>
      </c>
      <c r="D296" s="26"/>
      <c r="E296" s="955">
        <f>+COUNTIF('Visual chart Edit'!$C$6:$C$520,'Visual chart'!C296)</f>
        <v>14</v>
      </c>
      <c r="F296" s="956"/>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39">
        <f t="shared" si="4"/>
        <v>691.16399999999999</v>
      </c>
      <c r="L296" s="940"/>
      <c r="M296" s="95">
        <f t="shared" si="3"/>
        <v>2</v>
      </c>
      <c r="N296" s="943">
        <f t="shared" si="5"/>
        <v>115.194</v>
      </c>
      <c r="O296" s="943"/>
      <c r="P296" s="137"/>
      <c r="Q296" s="137"/>
      <c r="R296" s="137"/>
      <c r="S296" s="150"/>
      <c r="T296" s="137"/>
      <c r="U296" s="150"/>
      <c r="V296" s="137"/>
      <c r="X296" s="24"/>
      <c r="AT296" s="31"/>
      <c r="BD296" s="522"/>
    </row>
    <row r="297" spans="1:56" s="14" customFormat="1" x14ac:dyDescent="0.25">
      <c r="A297" s="12"/>
      <c r="B297" s="57"/>
      <c r="C297" s="523" t="s">
        <v>250</v>
      </c>
      <c r="D297" s="26"/>
      <c r="E297" s="955">
        <f>+COUNTIF('Visual chart Edit'!$C$6:$C$520,'Visual chart'!C297)</f>
        <v>4</v>
      </c>
      <c r="F297" s="956"/>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3</v>
      </c>
      <c r="I297" s="95">
        <f t="shared" si="2"/>
        <v>1</v>
      </c>
      <c r="J297" s="96">
        <f>+COUNTIFS('Visual chart Edit'!$C$6:$C$520,'Visual chart'!C297,'Visual chart Edit'!$L$6:$L$520,"E")</f>
        <v>3</v>
      </c>
      <c r="K297" s="939">
        <f t="shared" si="4"/>
        <v>180.28799999999998</v>
      </c>
      <c r="L297" s="940"/>
      <c r="M297" s="95">
        <f t="shared" si="3"/>
        <v>1</v>
      </c>
      <c r="N297" s="943">
        <f t="shared" si="5"/>
        <v>60.095999999999997</v>
      </c>
      <c r="O297" s="943"/>
      <c r="P297" s="137"/>
      <c r="Q297" s="137"/>
      <c r="R297" s="137"/>
      <c r="S297" s="150"/>
      <c r="T297" s="137"/>
      <c r="U297" s="150"/>
      <c r="V297" s="137"/>
      <c r="X297" s="24"/>
      <c r="AT297" s="31"/>
      <c r="BD297" s="522"/>
    </row>
    <row r="298" spans="1:56" s="14" customFormat="1" x14ac:dyDescent="0.25">
      <c r="A298" s="12"/>
      <c r="B298" s="57"/>
      <c r="C298" s="523" t="s">
        <v>235</v>
      </c>
      <c r="D298" s="26"/>
      <c r="E298" s="955">
        <f>+COUNTIF('Visual chart Edit'!$C$6:$C$520,'Visual chart'!C298)</f>
        <v>3</v>
      </c>
      <c r="F298" s="956"/>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39">
        <f t="shared" si="4"/>
        <v>203.61900000000003</v>
      </c>
      <c r="L298" s="940"/>
      <c r="M298" s="95">
        <f t="shared" si="3"/>
        <v>0</v>
      </c>
      <c r="N298" s="943">
        <f t="shared" si="5"/>
        <v>0</v>
      </c>
      <c r="O298" s="943"/>
      <c r="P298" s="137"/>
      <c r="Q298" s="137"/>
      <c r="R298" s="137"/>
      <c r="S298" s="150"/>
      <c r="T298" s="137"/>
      <c r="U298" s="150"/>
      <c r="V298" s="137"/>
      <c r="X298" s="24"/>
      <c r="AT298" s="31"/>
      <c r="BD298" s="522"/>
    </row>
    <row r="299" spans="1:56" s="14" customFormat="1" x14ac:dyDescent="0.25">
      <c r="A299" s="12"/>
      <c r="B299" s="57"/>
      <c r="C299" s="523" t="s">
        <v>242</v>
      </c>
      <c r="D299" s="26"/>
      <c r="E299" s="955">
        <f>+COUNTIF('Visual chart Edit'!$C$6:$C$520,'Visual chart'!C299)</f>
        <v>2</v>
      </c>
      <c r="F299" s="956"/>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39">
        <f t="shared" si="4"/>
        <v>70.700999999999993</v>
      </c>
      <c r="L299" s="940"/>
      <c r="M299" s="95">
        <f t="shared" si="3"/>
        <v>1</v>
      </c>
      <c r="N299" s="943">
        <f t="shared" si="5"/>
        <v>70.700999999999993</v>
      </c>
      <c r="O299" s="943"/>
      <c r="P299" s="137"/>
      <c r="Q299" s="137"/>
      <c r="R299" s="137"/>
      <c r="S299" s="150"/>
      <c r="T299" s="137"/>
      <c r="U299" s="150"/>
      <c r="V299" s="137"/>
      <c r="X299" s="24"/>
      <c r="AT299" s="31"/>
      <c r="BD299" s="522"/>
    </row>
    <row r="300" spans="1:56" s="14" customFormat="1" x14ac:dyDescent="0.25">
      <c r="A300" s="12"/>
      <c r="B300" s="57"/>
      <c r="C300" s="523" t="s">
        <v>240</v>
      </c>
      <c r="D300" s="26"/>
      <c r="E300" s="955">
        <f>+COUNTIF('Visual chart Edit'!$C$6:$C$520,'Visual chart'!C300)</f>
        <v>12</v>
      </c>
      <c r="F300" s="956"/>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7</v>
      </c>
      <c r="K300" s="941">
        <f t="shared" si="4"/>
        <v>464.66700000000003</v>
      </c>
      <c r="L300" s="941"/>
      <c r="M300" s="95">
        <f t="shared" si="3"/>
        <v>5</v>
      </c>
      <c r="N300" s="943">
        <f t="shared" si="5"/>
        <v>331.90499999999997</v>
      </c>
      <c r="O300" s="943"/>
      <c r="P300" s="137"/>
      <c r="Q300" s="137"/>
      <c r="R300" s="137"/>
      <c r="S300" s="150"/>
      <c r="T300" s="137"/>
      <c r="U300" s="150"/>
      <c r="V300" s="137"/>
      <c r="AT300" s="31"/>
      <c r="BD300" s="522"/>
    </row>
    <row r="301" spans="1:56" s="14" customFormat="1" x14ac:dyDescent="0.25">
      <c r="A301" s="12"/>
      <c r="B301" s="57"/>
      <c r="C301" s="523" t="s">
        <v>868</v>
      </c>
      <c r="D301" s="26"/>
      <c r="E301" s="955">
        <f>+COUNTIF('Visual chart Edit'!$C$6:$C$520,'Visual chart'!C301)</f>
        <v>1</v>
      </c>
      <c r="F301" s="956"/>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41">
        <f t="shared" si="4"/>
        <v>94.218999999999994</v>
      </c>
      <c r="L301" s="941"/>
      <c r="M301" s="95">
        <f t="shared" si="3"/>
        <v>0</v>
      </c>
      <c r="N301" s="943">
        <f t="shared" si="5"/>
        <v>0</v>
      </c>
      <c r="O301" s="943"/>
      <c r="P301" s="137"/>
      <c r="Q301" s="137"/>
      <c r="R301" s="137"/>
      <c r="S301" s="150"/>
      <c r="T301" s="137"/>
      <c r="U301" s="150"/>
      <c r="V301" s="137"/>
      <c r="AT301" s="31"/>
      <c r="BD301" s="522"/>
    </row>
    <row r="302" spans="1:56" s="14" customFormat="1" x14ac:dyDescent="0.25">
      <c r="A302" s="12"/>
      <c r="B302" s="57"/>
      <c r="C302" s="523" t="s">
        <v>870</v>
      </c>
      <c r="D302" s="26"/>
      <c r="E302" s="955">
        <f>+COUNTIF('Visual chart Edit'!$C$6:$C$520,'Visual chart'!C302)</f>
        <v>1</v>
      </c>
      <c r="F302" s="956"/>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41">
        <f t="shared" si="4"/>
        <v>69.227999999999994</v>
      </c>
      <c r="L302" s="941"/>
      <c r="M302" s="95">
        <f t="shared" si="3"/>
        <v>0</v>
      </c>
      <c r="N302" s="943">
        <f t="shared" si="5"/>
        <v>0</v>
      </c>
      <c r="O302" s="943"/>
      <c r="P302" s="137"/>
      <c r="Q302" s="137"/>
      <c r="R302" s="137"/>
      <c r="S302" s="150"/>
      <c r="T302" s="137"/>
      <c r="U302" s="150"/>
      <c r="V302" s="137"/>
      <c r="AT302" s="31"/>
      <c r="BD302" s="522"/>
    </row>
    <row r="303" spans="1:56" s="14" customFormat="1" x14ac:dyDescent="0.25">
      <c r="A303" s="12"/>
      <c r="B303" s="57"/>
      <c r="C303" s="523" t="s">
        <v>362</v>
      </c>
      <c r="D303" s="26"/>
      <c r="E303" s="955">
        <f>+COUNTIF('Visual chart Edit'!$C$6:$C$520,'Visual chart'!C303)</f>
        <v>2</v>
      </c>
      <c r="F303" s="956"/>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41">
        <f t="shared" si="4"/>
        <v>0</v>
      </c>
      <c r="L303" s="941"/>
      <c r="M303" s="95">
        <f t="shared" si="3"/>
        <v>2</v>
      </c>
      <c r="N303" s="943">
        <f t="shared" si="5"/>
        <v>156.506</v>
      </c>
      <c r="O303" s="943"/>
      <c r="P303" s="137"/>
      <c r="Q303" s="137"/>
      <c r="R303" s="137"/>
      <c r="S303" s="150"/>
      <c r="T303" s="137"/>
      <c r="U303" s="150"/>
      <c r="V303" s="137"/>
      <c r="AT303" s="31"/>
      <c r="BD303" s="522"/>
    </row>
    <row r="304" spans="1:56" s="14" customFormat="1" x14ac:dyDescent="0.25">
      <c r="A304" s="12"/>
      <c r="B304" s="57"/>
      <c r="C304" s="523" t="s">
        <v>872</v>
      </c>
      <c r="D304" s="26"/>
      <c r="E304" s="955">
        <f>+COUNTIF('Visual chart Edit'!$C$6:$C$520,'Visual chart'!C304)</f>
        <v>1</v>
      </c>
      <c r="F304" s="956"/>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41">
        <f t="shared" si="4"/>
        <v>81.613</v>
      </c>
      <c r="L304" s="941"/>
      <c r="M304" s="95">
        <f t="shared" si="3"/>
        <v>0</v>
      </c>
      <c r="N304" s="943">
        <f t="shared" si="5"/>
        <v>0</v>
      </c>
      <c r="O304" s="943"/>
      <c r="P304" s="137"/>
      <c r="Q304" s="137"/>
      <c r="R304" s="137"/>
      <c r="S304" s="150"/>
      <c r="T304" s="137"/>
      <c r="U304" s="150"/>
      <c r="V304" s="137"/>
      <c r="AT304" s="31"/>
      <c r="BD304" s="522"/>
    </row>
    <row r="305" spans="1:67" s="14" customFormat="1" x14ac:dyDescent="0.25">
      <c r="A305" s="12"/>
      <c r="B305" s="57"/>
      <c r="C305" s="523" t="s">
        <v>245</v>
      </c>
      <c r="D305" s="26"/>
      <c r="E305" s="955">
        <f>+COUNTIF('Visual chart Edit'!$C$6:$C$520,'Visual chart'!C305)</f>
        <v>9</v>
      </c>
      <c r="F305" s="956"/>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41">
        <f t="shared" si="4"/>
        <v>531.048</v>
      </c>
      <c r="L305" s="941"/>
      <c r="M305" s="95">
        <f t="shared" si="3"/>
        <v>1</v>
      </c>
      <c r="N305" s="943">
        <f t="shared" si="5"/>
        <v>66.381</v>
      </c>
      <c r="O305" s="943"/>
      <c r="P305" s="137"/>
      <c r="Q305" s="137"/>
      <c r="R305" s="137"/>
      <c r="S305" s="150"/>
      <c r="T305" s="137"/>
      <c r="U305" s="150"/>
      <c r="V305" s="137"/>
      <c r="AT305" s="31"/>
      <c r="BD305" s="522"/>
    </row>
    <row r="306" spans="1:67" s="14" customFormat="1" x14ac:dyDescent="0.25">
      <c r="A306" s="12"/>
      <c r="B306" s="57"/>
      <c r="C306" s="523" t="s">
        <v>907</v>
      </c>
      <c r="D306" s="26"/>
      <c r="E306" s="955">
        <f>+COUNTIF('Visual chart Edit'!$C$6:$C$520,'Visual chart'!C306)</f>
        <v>0</v>
      </c>
      <c r="F306" s="956"/>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41">
        <f t="shared" si="4"/>
        <v>0</v>
      </c>
      <c r="L306" s="941"/>
      <c r="M306" s="95">
        <f t="shared" si="3"/>
        <v>0</v>
      </c>
      <c r="N306" s="943">
        <f t="shared" si="5"/>
        <v>0</v>
      </c>
      <c r="O306" s="943"/>
      <c r="P306" s="137"/>
      <c r="Q306" s="137"/>
      <c r="R306" s="137"/>
      <c r="S306" s="150"/>
      <c r="T306" s="137"/>
      <c r="U306" s="150"/>
      <c r="V306" s="137"/>
      <c r="AT306" s="31"/>
      <c r="BD306" s="522"/>
    </row>
    <row r="307" spans="1:67" s="14" customFormat="1" x14ac:dyDescent="0.25">
      <c r="A307" s="12"/>
      <c r="B307" s="57"/>
      <c r="C307" s="523" t="s">
        <v>871</v>
      </c>
      <c r="D307" s="26"/>
      <c r="E307" s="955">
        <f>+COUNTIF('Visual chart Edit'!$C$6:$C$520,'Visual chart'!C307)</f>
        <v>1</v>
      </c>
      <c r="F307" s="956"/>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41">
        <f t="shared" si="4"/>
        <v>78.253</v>
      </c>
      <c r="L307" s="941"/>
      <c r="M307" s="95">
        <f t="shared" si="3"/>
        <v>0</v>
      </c>
      <c r="N307" s="943">
        <f t="shared" si="5"/>
        <v>0</v>
      </c>
      <c r="O307" s="943"/>
      <c r="P307" s="137"/>
      <c r="Q307" s="137"/>
      <c r="R307" s="137"/>
      <c r="S307" s="150"/>
      <c r="T307" s="137"/>
      <c r="U307" s="150"/>
      <c r="V307" s="137"/>
      <c r="AT307" s="31"/>
      <c r="BD307" s="522"/>
    </row>
    <row r="308" spans="1:67" s="14" customFormat="1" x14ac:dyDescent="0.25">
      <c r="A308" s="12"/>
      <c r="B308" s="57"/>
      <c r="C308" s="523" t="s">
        <v>249</v>
      </c>
      <c r="D308" s="26"/>
      <c r="E308" s="955">
        <f>+COUNTIF('Visual chart Edit'!$C$6:$C$520,'Visual chart'!C308)</f>
        <v>0</v>
      </c>
      <c r="F308" s="956"/>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41">
        <f t="shared" si="4"/>
        <v>0</v>
      </c>
      <c r="L308" s="941"/>
      <c r="M308" s="95">
        <f t="shared" si="3"/>
        <v>0</v>
      </c>
      <c r="N308" s="943">
        <f t="shared" si="5"/>
        <v>0</v>
      </c>
      <c r="O308" s="943"/>
      <c r="P308" s="137"/>
      <c r="Q308" s="137"/>
      <c r="R308" s="137"/>
      <c r="S308" s="150"/>
      <c r="T308" s="137"/>
      <c r="U308" s="150"/>
      <c r="V308" s="137"/>
      <c r="AT308" s="31"/>
      <c r="BD308" s="522"/>
    </row>
    <row r="309" spans="1:67" s="14" customFormat="1" x14ac:dyDescent="0.25">
      <c r="A309" s="12"/>
      <c r="B309" s="57"/>
      <c r="C309" s="523" t="s">
        <v>869</v>
      </c>
      <c r="D309" s="26"/>
      <c r="E309" s="955">
        <f>+COUNTIF('Visual chart Edit'!$C$6:$C$520,'Visual chart'!C309)</f>
        <v>2</v>
      </c>
      <c r="F309" s="956"/>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41">
        <f t="shared" si="4"/>
        <v>172.25800000000001</v>
      </c>
      <c r="L309" s="941"/>
      <c r="M309" s="95">
        <f t="shared" si="3"/>
        <v>0</v>
      </c>
      <c r="N309" s="943">
        <f t="shared" si="5"/>
        <v>0</v>
      </c>
      <c r="O309" s="943"/>
      <c r="P309" s="137"/>
      <c r="Q309" s="137"/>
      <c r="R309" s="137"/>
      <c r="S309" s="150"/>
      <c r="T309" s="137"/>
      <c r="U309" s="150"/>
      <c r="V309" s="137"/>
      <c r="AT309" s="31"/>
      <c r="BD309" s="522"/>
    </row>
    <row r="310" spans="1:67" s="14" customFormat="1" x14ac:dyDescent="0.25">
      <c r="A310" s="12"/>
      <c r="B310" s="57"/>
      <c r="C310" s="523" t="s">
        <v>248</v>
      </c>
      <c r="D310" s="26"/>
      <c r="E310" s="955">
        <f>+COUNTIF('Visual chart Edit'!$C$6:$C$520,'Visual chart'!C310)</f>
        <v>2</v>
      </c>
      <c r="F310" s="956"/>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41">
        <f t="shared" si="4"/>
        <v>89.909000000000006</v>
      </c>
      <c r="L310" s="941"/>
      <c r="M310" s="95">
        <f t="shared" si="3"/>
        <v>1</v>
      </c>
      <c r="N310" s="943">
        <f t="shared" si="5"/>
        <v>89.909000000000006</v>
      </c>
      <c r="O310" s="943"/>
      <c r="P310" s="137"/>
      <c r="Q310" s="137"/>
      <c r="R310" s="137"/>
      <c r="S310" s="150"/>
      <c r="T310" s="137"/>
      <c r="U310" s="150"/>
      <c r="V310" s="137"/>
      <c r="AT310" s="31"/>
      <c r="BD310" s="522"/>
    </row>
    <row r="311" spans="1:67" s="14" customFormat="1" x14ac:dyDescent="0.25">
      <c r="A311" s="12"/>
      <c r="B311" s="57"/>
      <c r="C311" s="523" t="s">
        <v>239</v>
      </c>
      <c r="D311" s="26"/>
      <c r="E311" s="955">
        <f>+COUNTIF('Visual chart Edit'!$C$6:$C$520,'Visual chart'!C311)</f>
        <v>3</v>
      </c>
      <c r="F311" s="956"/>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41">
        <f t="shared" si="4"/>
        <v>258.387</v>
      </c>
      <c r="L311" s="941"/>
      <c r="M311" s="95">
        <f t="shared" si="3"/>
        <v>0</v>
      </c>
      <c r="N311" s="943">
        <f t="shared" si="5"/>
        <v>0</v>
      </c>
      <c r="O311" s="943"/>
      <c r="P311" s="137"/>
      <c r="Q311" s="137"/>
      <c r="R311" s="137"/>
      <c r="S311" s="150"/>
      <c r="T311" s="137"/>
      <c r="U311" s="150"/>
      <c r="V311" s="137"/>
      <c r="AT311" s="31"/>
      <c r="BD311" s="522"/>
    </row>
    <row r="312" spans="1:67" s="14" customFormat="1" x14ac:dyDescent="0.25">
      <c r="A312" s="12"/>
      <c r="B312" s="57"/>
      <c r="C312" s="523" t="s">
        <v>363</v>
      </c>
      <c r="D312" s="26"/>
      <c r="E312" s="955">
        <f>+COUNTIF('Visual chart Edit'!$C$6:$C$520,'Visual chart'!C312)</f>
        <v>1</v>
      </c>
      <c r="F312" s="956"/>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41">
        <f t="shared" si="4"/>
        <v>0</v>
      </c>
      <c r="L312" s="941"/>
      <c r="M312" s="95">
        <f t="shared" si="3"/>
        <v>1</v>
      </c>
      <c r="N312" s="943">
        <f t="shared" si="5"/>
        <v>89.909000000000006</v>
      </c>
      <c r="O312" s="943"/>
      <c r="P312" s="137"/>
      <c r="Q312" s="137"/>
      <c r="R312" s="137"/>
      <c r="S312" s="150"/>
      <c r="T312" s="137"/>
      <c r="U312" s="150"/>
      <c r="V312" s="137"/>
      <c r="AT312" s="31"/>
      <c r="BD312" s="522"/>
    </row>
    <row r="313" spans="1:67" s="14" customFormat="1" x14ac:dyDescent="0.25">
      <c r="A313" s="12"/>
      <c r="B313" s="57"/>
      <c r="C313" s="523" t="s">
        <v>653</v>
      </c>
      <c r="D313" s="26"/>
      <c r="E313" s="955">
        <f>+COUNTIF('Visual chart Edit'!$C$6:$C$520,'Visual chart'!C313)</f>
        <v>2</v>
      </c>
      <c r="F313" s="956"/>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0</v>
      </c>
      <c r="K313" s="941">
        <f t="shared" si="4"/>
        <v>0</v>
      </c>
      <c r="L313" s="941"/>
      <c r="M313" s="95">
        <f t="shared" si="3"/>
        <v>2</v>
      </c>
      <c r="N313" s="943">
        <f t="shared" si="5"/>
        <v>201.93600000000001</v>
      </c>
      <c r="O313" s="943"/>
      <c r="P313" s="137"/>
      <c r="Q313" s="137"/>
      <c r="R313" s="137"/>
      <c r="S313" s="150"/>
      <c r="T313" s="137"/>
      <c r="U313" s="150"/>
      <c r="V313" s="137"/>
      <c r="AT313" s="31"/>
      <c r="BD313" s="522"/>
    </row>
    <row r="314" spans="1:67" s="14" customFormat="1" x14ac:dyDescent="0.25">
      <c r="A314" s="12"/>
      <c r="B314" s="57"/>
      <c r="C314" s="523" t="s">
        <v>358</v>
      </c>
      <c r="D314" s="26"/>
      <c r="E314" s="955">
        <f>+COUNTIF('Visual chart Edit'!$C$6:$C$520,'Visual chart'!C314)</f>
        <v>0</v>
      </c>
      <c r="F314" s="956"/>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41">
        <f t="shared" si="4"/>
        <v>0</v>
      </c>
      <c r="L314" s="941"/>
      <c r="M314" s="95">
        <f t="shared" si="3"/>
        <v>0</v>
      </c>
      <c r="N314" s="943">
        <f t="shared" si="5"/>
        <v>0</v>
      </c>
      <c r="O314" s="943"/>
      <c r="P314" s="137"/>
      <c r="Q314" s="137"/>
      <c r="R314" s="137"/>
      <c r="S314" s="150"/>
      <c r="T314" s="137"/>
      <c r="U314" s="150"/>
      <c r="V314" s="137"/>
      <c r="AT314" s="31"/>
      <c r="BD314" s="522"/>
    </row>
    <row r="315" spans="1:67" s="14" customFormat="1" x14ac:dyDescent="0.25">
      <c r="A315" s="12"/>
      <c r="B315" s="57"/>
      <c r="C315" s="523" t="s">
        <v>654</v>
      </c>
      <c r="D315" s="26"/>
      <c r="E315" s="955">
        <f>+COUNTIF('Visual chart Edit'!$C$6:$C$520,'Visual chart'!C315)</f>
        <v>1</v>
      </c>
      <c r="F315" s="956"/>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41">
        <f t="shared" si="4"/>
        <v>0</v>
      </c>
      <c r="L315" s="941"/>
      <c r="M315" s="95">
        <f t="shared" si="3"/>
        <v>1</v>
      </c>
      <c r="N315" s="943">
        <f t="shared" si="5"/>
        <v>129.11000000000001</v>
      </c>
      <c r="O315" s="943"/>
      <c r="P315" s="137"/>
      <c r="Q315" s="137"/>
      <c r="R315" s="137"/>
      <c r="S315" s="150"/>
      <c r="T315" s="137"/>
      <c r="U315" s="150"/>
      <c r="V315" s="137"/>
      <c r="AT315" s="31"/>
      <c r="BD315" s="522"/>
    </row>
    <row r="316" spans="1:67" s="14" customFormat="1" x14ac:dyDescent="0.25">
      <c r="A316" s="12"/>
      <c r="B316" s="57"/>
      <c r="C316" s="523" t="s">
        <v>655</v>
      </c>
      <c r="D316" s="26"/>
      <c r="E316" s="955">
        <f>+COUNTIF('Visual chart Edit'!$C$6:$C$520,'Visual chart'!C316)</f>
        <v>5</v>
      </c>
      <c r="F316" s="956"/>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41">
        <f t="shared" si="4"/>
        <v>574.404</v>
      </c>
      <c r="L316" s="941"/>
      <c r="M316" s="95">
        <f t="shared" si="3"/>
        <v>1</v>
      </c>
      <c r="N316" s="943">
        <f t="shared" si="5"/>
        <v>143.601</v>
      </c>
      <c r="O316" s="943"/>
      <c r="P316" s="137"/>
      <c r="Q316" s="137"/>
      <c r="R316" s="137"/>
      <c r="S316" s="150"/>
      <c r="T316" s="137"/>
      <c r="U316" s="150"/>
      <c r="V316" s="137"/>
      <c r="AT316" s="31"/>
      <c r="BD316" s="522"/>
    </row>
    <row r="317" spans="1:67" s="24" customFormat="1" ht="15.75" customHeight="1" thickBot="1" x14ac:dyDescent="0.25">
      <c r="A317" s="47"/>
      <c r="B317" s="59"/>
      <c r="C317" s="948" t="s">
        <v>19</v>
      </c>
      <c r="D317" s="949"/>
      <c r="E317" s="937">
        <f>SUM(E288:F316)</f>
        <v>485</v>
      </c>
      <c r="F317" s="938"/>
      <c r="G317" s="660"/>
      <c r="H317" s="661">
        <f>+SUM(H288:H316)</f>
        <v>478</v>
      </c>
      <c r="I317" s="662">
        <f>SUM(I288:I316)</f>
        <v>7</v>
      </c>
      <c r="J317" s="661">
        <f>SUM(J288:J316)</f>
        <v>375</v>
      </c>
      <c r="K317" s="942">
        <f t="shared" ref="K317" si="6">SUM(K288:K316)</f>
        <v>16803.180999999997</v>
      </c>
      <c r="L317" s="942"/>
      <c r="M317" s="662">
        <f>+SUM(M288:M316)</f>
        <v>110</v>
      </c>
      <c r="N317" s="954">
        <f>+SUM(N288:N316)</f>
        <v>5342.0809999999983</v>
      </c>
      <c r="O317" s="954"/>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6" priority="598" operator="equal">
      <formula>"DRY"</formula>
    </cfRule>
    <cfRule type="cellIs" dxfId="143" priority="595" operator="equal">
      <formula>"WFR"</formula>
    </cfRule>
    <cfRule type="cellIs" dxfId="142" priority="597" operator="equal">
      <formula>"DFR"</formula>
    </cfRule>
    <cfRule type="cellIs" dxfId="141" priority="596" operator="equal">
      <formula>"SANDY"</formula>
    </cfRule>
  </conditionalFormatting>
  <conditionalFormatting sqref="G1:G7 O1:O7 Q1:Q7 Y1:Y7 U1:U9 W1:W9 Y9">
    <cfRule type="cellIs" dxfId="139" priority="584" operator="equal">
      <formula>"WIP"</formula>
    </cfRule>
    <cfRule type="cellIs" dxfId="138" priority="583" operator="equal">
      <formula>"C"</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40" operator="equal">
      <formula>"WIP"</formula>
    </cfRule>
    <cfRule type="cellIs" dxfId="130" priority="39" operator="equal">
      <formula>"C"</formula>
    </cfRule>
  </conditionalFormatting>
  <conditionalFormatting sqref="O9:O1048576">
    <cfRule type="cellIs" dxfId="129" priority="38" operator="equal">
      <formula>"WIP"</formula>
    </cfRule>
    <cfRule type="cellIs" dxfId="128" priority="37" operator="equal">
      <formula>"C"</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8" operator="equal">
      <formula>"WIP"</formula>
    </cfRule>
    <cfRule type="cellIs" dxfId="108" priority="17" operator="equal">
      <formula>"C"</formula>
    </cfRule>
  </conditionalFormatting>
  <conditionalFormatting sqref="AK1:AK1048576">
    <cfRule type="cellIs" dxfId="107" priority="16" operator="equal">
      <formula>"WIP"</formula>
    </cfRule>
    <cfRule type="cellIs" dxfId="106" priority="15" operator="equal">
      <formula>"C"</formula>
    </cfRule>
  </conditionalFormatting>
  <conditionalFormatting sqref="AM1:AM1048576">
    <cfRule type="cellIs" dxfId="105" priority="14" operator="equal">
      <formula>"WIP"</formula>
    </cfRule>
    <cfRule type="cellIs" dxfId="104" priority="13" operator="equal">
      <formula>"C"</formula>
    </cfRule>
  </conditionalFormatting>
  <conditionalFormatting sqref="AO1:AO1048576">
    <cfRule type="cellIs" dxfId="103" priority="12" operator="equal">
      <formula>"WIP"</formula>
    </cfRule>
    <cfRule type="cellIs" dxfId="102" priority="11" operator="equal">
      <formula>"C"</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2" operator="equal">
      <formula>"WIP"</formula>
    </cfRule>
    <cfRule type="cellIs" dxfId="98" priority="531" operator="equal">
      <formula>"C"</formula>
    </cfRule>
  </conditionalFormatting>
  <conditionalFormatting sqref="AS35">
    <cfRule type="cellIs" dxfId="97" priority="530" operator="equal">
      <formula>"WIP"</formula>
    </cfRule>
    <cfRule type="cellIs" dxfId="96" priority="529" operator="equal">
      <formula>"C"</formula>
    </cfRule>
  </conditionalFormatting>
  <conditionalFormatting sqref="AS37">
    <cfRule type="cellIs" dxfId="95" priority="536" operator="equal">
      <formula>"WIP"</formula>
    </cfRule>
    <cfRule type="cellIs" dxfId="94" priority="535" operator="equal">
      <formula>"C"</formula>
    </cfRule>
  </conditionalFormatting>
  <conditionalFormatting sqref="AS46">
    <cfRule type="cellIs" dxfId="93" priority="528" operator="equal">
      <formula>"WIP"</formula>
    </cfRule>
    <cfRule type="cellIs" dxfId="92" priority="527" operator="equal">
      <formula>"C"</formula>
    </cfRule>
  </conditionalFormatting>
  <conditionalFormatting sqref="AS48">
    <cfRule type="cellIs" dxfId="91" priority="538" operator="equal">
      <formula>"WIP"</formula>
    </cfRule>
    <cfRule type="cellIs" dxfId="90" priority="537" operator="equal">
      <formula>"C"</formula>
    </cfRule>
  </conditionalFormatting>
  <conditionalFormatting sqref="AS57">
    <cfRule type="cellIs" dxfId="89" priority="526" operator="equal">
      <formula>"WIP"</formula>
    </cfRule>
    <cfRule type="cellIs" dxfId="88" priority="525" operator="equal">
      <formula>"C"</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2" operator="equal">
      <formula>"WIP"</formula>
    </cfRule>
    <cfRule type="cellIs" dxfId="82" priority="541" operator="equal">
      <formula>"C"</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4" operator="equal">
      <formula>"WIP"</formula>
    </cfRule>
    <cfRule type="cellIs" dxfId="78" priority="543" operator="equal">
      <formula>"C"</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6" operator="equal">
      <formula>"WIP"</formula>
    </cfRule>
    <cfRule type="cellIs" dxfId="74" priority="545" operator="equal">
      <formula>"C"</formula>
    </cfRule>
  </conditionalFormatting>
  <conditionalFormatting sqref="AS101">
    <cfRule type="cellIs" dxfId="73" priority="518" operator="equal">
      <formula>"WIP"</formula>
    </cfRule>
    <cfRule type="cellIs" dxfId="72" priority="517" operator="equal">
      <formula>"C"</formula>
    </cfRule>
  </conditionalFormatting>
  <conditionalFormatting sqref="AS103">
    <cfRule type="cellIs" dxfId="71" priority="548" operator="equal">
      <formula>"WIP"</formula>
    </cfRule>
    <cfRule type="cellIs" dxfId="70" priority="547" operator="equal">
      <formula>"C"</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50" operator="equal">
      <formula>"WIP"</formula>
    </cfRule>
    <cfRule type="cellIs" dxfId="66" priority="549" operator="equal">
      <formula>"C"</formula>
    </cfRule>
  </conditionalFormatting>
  <conditionalFormatting sqref="AS123">
    <cfRule type="cellIs" dxfId="65" priority="514" operator="equal">
      <formula>"WIP"</formula>
    </cfRule>
    <cfRule type="cellIs" dxfId="64" priority="513" operator="equal">
      <formula>"C"</formula>
    </cfRule>
  </conditionalFormatting>
  <conditionalFormatting sqref="AS125">
    <cfRule type="cellIs" dxfId="63" priority="552" operator="equal">
      <formula>"WIP"</formula>
    </cfRule>
    <cfRule type="cellIs" dxfId="62" priority="551" operator="equal">
      <formula>"C"</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4" operator="equal">
      <formula>"WIP"</formula>
    </cfRule>
    <cfRule type="cellIs" dxfId="58" priority="553" operator="equal">
      <formula>"C"</formula>
    </cfRule>
  </conditionalFormatting>
  <conditionalFormatting sqref="AS145">
    <cfRule type="cellIs" dxfId="57" priority="470" operator="equal">
      <formula>"WIP"</formula>
    </cfRule>
    <cfRule type="cellIs" dxfId="56" priority="469" operator="equal">
      <formula>"C"</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8" operator="equal">
      <formula>"WIP"</formula>
    </cfRule>
    <cfRule type="cellIs" dxfId="52" priority="427" operator="equal">
      <formula>"C"</formula>
    </cfRule>
  </conditionalFormatting>
  <conditionalFormatting sqref="AS157">
    <cfRule type="cellIs" dxfId="51" priority="560" operator="equal">
      <formula>"WIP"</formula>
    </cfRule>
    <cfRule type="cellIs" dxfId="50" priority="559" operator="equal">
      <formula>"C"</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4" operator="equal">
      <formula>"WIP"</formula>
    </cfRule>
    <cfRule type="cellIs" dxfId="44" priority="343" operator="equal">
      <formula>"C"</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2" operator="equal">
      <formula>"WIP"</formula>
    </cfRule>
    <cfRule type="cellIs" dxfId="40" priority="301" operator="equal">
      <formula>"C"</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8" operator="equal">
      <formula>"WIP"</formula>
    </cfRule>
    <cfRule type="cellIs" dxfId="32" priority="217" operator="equal">
      <formula>"C"</formula>
    </cfRule>
  </conditionalFormatting>
  <conditionalFormatting sqref="AS212">
    <cfRule type="cellIs" dxfId="31" priority="570" operator="equal">
      <formula>"WIP"</formula>
    </cfRule>
    <cfRule type="cellIs" dxfId="30" priority="569" operator="equal">
      <formula>"C"</formula>
    </cfRule>
  </conditionalFormatting>
  <conditionalFormatting sqref="AS221">
    <cfRule type="cellIs" dxfId="29" priority="176" operator="equal">
      <formula>"WIP"</formula>
    </cfRule>
    <cfRule type="cellIs" dxfId="28" priority="175" operator="equal">
      <formula>"C"</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4" operator="equal">
      <formula>"WIP"</formula>
    </cfRule>
    <cfRule type="cellIs" dxfId="24" priority="133" operator="equal">
      <formula>"C"</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2" operator="equal">
      <formula>"WIP"</formula>
    </cfRule>
    <cfRule type="cellIs" dxfId="20" priority="91" operator="equal">
      <formula>"C"</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50" operator="equal">
      <formula>"WIP"</formula>
    </cfRule>
    <cfRule type="cellIs" dxfId="16" priority="49" operator="equal">
      <formula>"C"</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90" operator="equal">
      <formula>"DFR"</formula>
    </cfRule>
    <cfRule type="cellIs" dxfId="4" priority="591" operator="equal">
      <formula>"DRY"</formula>
    </cfRule>
    <cfRule type="cellIs" dxfId="3" priority="589" operator="equal">
      <formula>"SANDY"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73"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57" t="s">
        <v>657</v>
      </c>
      <c r="C3" s="957"/>
      <c r="D3" s="957"/>
      <c r="E3" s="957"/>
      <c r="F3" s="957"/>
      <c r="G3" s="957"/>
      <c r="H3" s="957"/>
      <c r="I3" s="957"/>
      <c r="J3" s="957"/>
    </row>
    <row r="4" spans="1:13" x14ac:dyDescent="0.25">
      <c r="A4" s="437" t="s">
        <v>304</v>
      </c>
      <c r="B4" s="958" t="s">
        <v>293</v>
      </c>
      <c r="C4" s="958"/>
      <c r="D4" s="958"/>
      <c r="E4" s="958"/>
      <c r="F4" s="958"/>
      <c r="G4" s="958"/>
      <c r="H4" s="958"/>
      <c r="I4" s="958"/>
      <c r="J4" s="958"/>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+IFERROR(VLOOKUP(B7,Foundation!$C$8:$E$699,3,FALSE),"")</f>
        <v>DRY</v>
      </c>
      <c r="L7" s="435" t="str">
        <f>+IF(IFERROR(MATCH(B7,'Erection Compiled'!$C$6:$C$763,0),"B")="B","","E")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+IFERROR(VLOOKUP(B8,Foundation!$C$8:$E$699,3,FALSE),"")</f>
        <v>DRY</v>
      </c>
      <c r="L8" s="435" t="str">
        <f>+IF(IFERROR(MATCH(B8,'Erection Compiled'!$C$6:$C$763,0),"B")="B","","E")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+IFERROR(VLOOKUP(B9,Foundation!$C$8:$E$699,3,FALSE),"")</f>
        <v>DFR</v>
      </c>
      <c r="L9" s="435" t="str">
        <f>+IF(IFERROR(MATCH(B9,'Erection Compiled'!$C$6:$C$763,0),"B")="B","","E")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+IFERROR(VLOOKUP(B10,Foundation!$C$8:$E$699,3,FALSE),"")</f>
        <v>DRY</v>
      </c>
      <c r="L10" s="435" t="str">
        <f>+IF(IFERROR(MATCH(B10,'Erection Compiled'!$C$6:$C$763,0),"B")="B","","E")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+IFERROR(VLOOKUP(B11,Foundation!$C$8:$E$699,3,FALSE),"")</f>
        <v>DRY</v>
      </c>
      <c r="L11" s="435" t="str">
        <f>+IF(IFERROR(MATCH(B11,'Erection Compiled'!$C$6:$C$763,0),"B")="B","","E")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+IFERROR(VLOOKUP(B12,Foundation!$C$8:$E$699,3,FALSE),"")</f>
        <v>DFR</v>
      </c>
      <c r="L12" s="435" t="str">
        <f>+IF(IFERROR(MATCH(B12,'Erection Compiled'!$C$6:$C$763,0),"B")="B","","E")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+IFERROR(VLOOKUP(B13,Foundation!$C$8:$E$699,3,FALSE),"")</f>
        <v>DRY</v>
      </c>
      <c r="L13" s="435" t="str">
        <f>+IF(IFERROR(MATCH(B13,'Erection Compiled'!$C$6:$C$763,0),"B")="B","","E")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+IFERROR(VLOOKUP(B14,Foundation!$C$8:$E$699,3,FALSE),"")</f>
        <v>Sandy</v>
      </c>
      <c r="L14" s="435" t="str">
        <f>+IF(IFERROR(MATCH(B14,'Erection Compiled'!$C$6:$C$763,0),"B")="B","","E")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+IFERROR(VLOOKUP(B15,Foundation!$C$8:$E$699,3,FALSE),"")</f>
        <v>Sandy</v>
      </c>
      <c r="L15" s="435" t="str">
        <f>+IF(IFERROR(MATCH(B15,'Erection Compiled'!$C$6:$C$763,0),"B")="B","","E")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+IFERROR(VLOOKUP(B16,Foundation!$C$8:$E$699,3,FALSE),"")</f>
        <v>Sandy</v>
      </c>
      <c r="L16" s="435" t="str">
        <f>+IF(IFERROR(MATCH(B16,'Erection Compiled'!$C$6:$C$763,0),"B")="B","","E")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+IFERROR(VLOOKUP(B17,Foundation!$C$8:$E$699,3,FALSE),"")</f>
        <v>DRY</v>
      </c>
      <c r="L17" s="435" t="str">
        <f>+IF(IFERROR(MATCH(B17,'Erection Compiled'!$C$6:$C$763,0),"B")="B","","E")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+IFERROR(VLOOKUP(B18,Foundation!$C$8:$E$699,3,FALSE),"")</f>
        <v>Sandy</v>
      </c>
      <c r="L18" s="435" t="str">
        <f>+IF(IFERROR(MATCH(B18,'Erection Compiled'!$C$6:$C$763,0),"B")="B","","E")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+IFERROR(VLOOKUP(B19,Foundation!$C$8:$E$699,3,FALSE),"")</f>
        <v>Sandy</v>
      </c>
      <c r="L19" s="435" t="str">
        <f>+IF(IFERROR(MATCH(B19,'Erection Compiled'!$C$6:$C$763,0),"B")="B","","E")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+IFERROR(VLOOKUP(B20,Foundation!$C$8:$E$699,3,FALSE),"")</f>
        <v>Sandy</v>
      </c>
      <c r="L20" s="435" t="str">
        <f>+IF(IFERROR(MATCH(B20,'Erection Compiled'!$C$6:$C$763,0),"B")="B","","E")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+IFERROR(VLOOKUP(B21,Foundation!$C$8:$E$699,3,FALSE),"")</f>
        <v>Sandy</v>
      </c>
      <c r="L21" s="435" t="str">
        <f>+IF(IFERROR(MATCH(B21,'Erection Compiled'!$C$6:$C$763,0),"B")="B","","E")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+IFERROR(VLOOKUP(B22,Foundation!$C$8:$E$699,3,FALSE),"")</f>
        <v>Sandy</v>
      </c>
      <c r="L22" s="435" t="str">
        <f>+IF(IFERROR(MATCH(B22,'Erection Compiled'!$C$6:$C$763,0),"B")="B","","E")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+IFERROR(VLOOKUP(B23,Foundation!$C$8:$E$699,3,FALSE),"")</f>
        <v>Sandy</v>
      </c>
      <c r="L23" s="435" t="str">
        <f>+IF(IFERROR(MATCH(B23,'Erection Compiled'!$C$6:$C$763,0),"B")="B","","E")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+IFERROR(VLOOKUP(B24,Foundation!$C$8:$E$699,3,FALSE),"")</f>
        <v>Sandy</v>
      </c>
      <c r="L24" s="435" t="str">
        <f>+IF(IFERROR(MATCH(B24,'Erection Compiled'!$C$6:$C$763,0),"B")="B","","E")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+IFERROR(VLOOKUP(B25,Foundation!$C$8:$E$699,3,FALSE),"")</f>
        <v>Sandy</v>
      </c>
      <c r="L25" s="435" t="str">
        <f>+IF(IFERROR(MATCH(B25,'Erection Compiled'!$C$6:$C$763,0),"B")="B","","E")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+IFERROR(VLOOKUP(B26,Foundation!$C$8:$E$699,3,FALSE),"")</f>
        <v>DRY</v>
      </c>
      <c r="L26" s="435" t="str">
        <f>+IF(IFERROR(MATCH(B26,'Erection Compiled'!$C$6:$C$763,0),"B")="B","","E")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+IFERROR(VLOOKUP(B27,Foundation!$C$8:$E$699,3,FALSE),"")</f>
        <v>DRY</v>
      </c>
      <c r="L27" s="435" t="str">
        <f>+IF(IFERROR(MATCH(B27,'Erection Compiled'!$C$6:$C$763,0),"B")="B","","E")</f>
        <v/>
      </c>
      <c r="M27" s="435" t="str">
        <f>+IFERROR(VLOOKUP(B27,Tackwelding!$B$6:$G$599,6,FALSE),"")</f>
        <v/>
      </c>
    </row>
    <row r="28" spans="1:13" x14ac:dyDescent="0.25">
      <c r="A28" s="435">
        <v>22</v>
      </c>
      <c r="B28" s="435" t="s">
        <v>39</v>
      </c>
      <c r="C28" s="435" t="s">
        <v>653</v>
      </c>
      <c r="H28" s="435" t="str">
        <f t="shared" si="0"/>
        <v>,,,</v>
      </c>
      <c r="I28" s="440">
        <v>226.5</v>
      </c>
      <c r="K28" s="435" t="str">
        <f>+IFERROR(VLOOKUP(B28,Foundation!$C$8:$E$699,3,FALSE),"")</f>
        <v>DRY</v>
      </c>
      <c r="L28" s="435" t="str">
        <f>+IF(IFERROR(MATCH(B28,'Erection Compiled'!$C$6:$C$763,0),"B")="B","","E")</f>
        <v/>
      </c>
      <c r="M28" s="435" t="str">
        <f>+IFERROR(VLOOKUP(B28,Tackwelding!$B$6:$G$599,6,FALSE),"")</f>
        <v/>
      </c>
    </row>
    <row r="29" spans="1:13" x14ac:dyDescent="0.25">
      <c r="A29" s="435">
        <v>23</v>
      </c>
      <c r="B29" s="435" t="s">
        <v>457</v>
      </c>
      <c r="C29" s="435" t="s">
        <v>232</v>
      </c>
      <c r="H29" s="435" t="str">
        <f t="shared" si="0"/>
        <v>,,,</v>
      </c>
      <c r="I29" s="438">
        <v>343</v>
      </c>
      <c r="K29" s="435" t="str">
        <f>+IFERROR(VLOOKUP(B29,Foundation!$C$8:$E$699,3,FALSE),"")</f>
        <v>DRY</v>
      </c>
      <c r="L29" s="435" t="str">
        <f>+IF(IFERROR(MATCH(B29,'Erection Compiled'!$C$6:$C$763,0),"B")="B","","E")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+IFERROR(VLOOKUP(B30,Foundation!$C$8:$E$699,3,FALSE),"")</f>
        <v>DRY</v>
      </c>
      <c r="L30" s="435" t="str">
        <f>+IF(IFERROR(MATCH(B30,'Erection Compiled'!$C$6:$C$763,0),"B")="B","","E")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+IFERROR(VLOOKUP(B31,Foundation!$C$8:$E$699,3,FALSE),"")</f>
        <v>DRY</v>
      </c>
      <c r="L31" s="435" t="str">
        <f>+IF(IFERROR(MATCH(B31,'Erection Compiled'!$C$6:$C$763,0),"B")="B","","E")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+IFERROR(VLOOKUP(B32,Foundation!$C$8:$E$699,3,FALSE),"")</f>
        <v>DRY</v>
      </c>
      <c r="L32" s="435" t="str">
        <f>+IF(IFERROR(MATCH(B32,'Erection Compiled'!$C$6:$C$763,0),"B")="B","","E")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+IFERROR(VLOOKUP(B33,Foundation!$C$8:$E$699,3,FALSE),"")</f>
        <v>DRY</v>
      </c>
      <c r="L33" s="435" t="str">
        <f>+IF(IFERROR(MATCH(B33,'Erection Compiled'!$C$6:$C$763,0),"B")="B","","E")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+IFERROR(VLOOKUP(B34,Foundation!$C$8:$E$699,3,FALSE),"")</f>
        <v>DRY</v>
      </c>
      <c r="L34" s="435" t="str">
        <f>+IF(IFERROR(MATCH(B34,'Erection Compiled'!$C$6:$C$763,0),"B")="B","","E")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+IFERROR(VLOOKUP(B35,Foundation!$C$8:$E$699,3,FALSE),"")</f>
        <v>DFR</v>
      </c>
      <c r="L35" s="435" t="str">
        <f>+IF(IFERROR(MATCH(B35,'Erection Compiled'!$C$6:$C$763,0),"B")="B","","E")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+IFERROR(VLOOKUP(B36,Foundation!$C$8:$E$699,3,FALSE),"")</f>
        <v>DFR</v>
      </c>
      <c r="L36" s="435" t="str">
        <f>+IF(IFERROR(MATCH(B36,'Erection Compiled'!$C$6:$C$763,0),"B")="B","","E")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+IFERROR(VLOOKUP(B37,Foundation!$C$8:$E$699,3,FALSE),"")</f>
        <v>DRY</v>
      </c>
      <c r="L37" s="435" t="str">
        <f>+IF(IFERROR(MATCH(B37,'Erection Compiled'!$C$6:$C$763,0),"B")="B","","E")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+IFERROR(VLOOKUP(B38,Foundation!$C$8:$E$699,3,FALSE),"")</f>
        <v>DRY</v>
      </c>
      <c r="L38" s="435" t="str">
        <f>+IF(IFERROR(MATCH(B38,'Erection Compiled'!$C$6:$C$763,0),"B")="B","","E")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+IFERROR(VLOOKUP(B39,Foundation!$C$8:$E$699,3,FALSE),"")</f>
        <v>DRY</v>
      </c>
      <c r="L39" s="435" t="str">
        <f>+IF(IFERROR(MATCH(B39,'Erection Compiled'!$C$6:$C$763,0),"B")="B","","E")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+IFERROR(VLOOKUP(B40,Foundation!$C$8:$E$699,3,FALSE),"")</f>
        <v>DRY</v>
      </c>
      <c r="L40" s="435" t="str">
        <f>+IF(IFERROR(MATCH(B40,'Erection Compiled'!$C$6:$C$763,0),"B")="B","","E")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+IFERROR(VLOOKUP(B41,Foundation!$C$8:$E$699,3,FALSE),"")</f>
        <v>DRY</v>
      </c>
      <c r="L41" s="435" t="str">
        <f>+IF(IFERROR(MATCH(B41,'Erection Compiled'!$C$6:$C$763,0),"B")="B","","E")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+IFERROR(VLOOKUP(B42,Foundation!$C$8:$E$699,3,FALSE),"")</f>
        <v>DRY</v>
      </c>
      <c r="L42" s="435" t="str">
        <f>+IF(IFERROR(MATCH(B42,'Erection Compiled'!$C$6:$C$763,0),"B")="B","","E")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+IFERROR(VLOOKUP(B43,Foundation!$C$8:$E$699,3,FALSE),"")</f>
        <v>DRY</v>
      </c>
      <c r="L43" s="435" t="str">
        <f>+IF(IFERROR(MATCH(B43,'Erection Compiled'!$C$6:$C$763,0),"B")="B","","E")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+IFERROR(VLOOKUP(B44,Foundation!$C$8:$E$699,3,FALSE),"")</f>
        <v/>
      </c>
      <c r="L44" s="435" t="str">
        <f>+IF(IFERROR(MATCH(B44,'Erection Compiled'!$C$6:$C$763,0),"B")="B","","E")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+IFERROR(VLOOKUP(B45,Foundation!$C$8:$E$699,3,FALSE),"")</f>
        <v>DRY</v>
      </c>
      <c r="L45" s="435" t="str">
        <f>+IF(IFERROR(MATCH(B45,'Erection Compiled'!$C$6:$C$763,0),"B")="B","","E")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+IFERROR(VLOOKUP(B46,Foundation!$C$8:$E$699,3,FALSE),"")</f>
        <v/>
      </c>
      <c r="L46" s="435" t="str">
        <f>+IF(IFERROR(MATCH(B46,'Erection Compiled'!$C$6:$C$763,0),"B")="B","","E")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+IFERROR(VLOOKUP(B47,Foundation!$C$8:$E$699,3,FALSE),"")</f>
        <v>DFR</v>
      </c>
      <c r="L47" s="435" t="str">
        <f>+IF(IFERROR(MATCH(B47,'Erection Compiled'!$C$6:$C$763,0),"B")="B","","E")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+IFERROR(VLOOKUP(B48,Foundation!$C$8:$E$699,3,FALSE),"")</f>
        <v>DFR</v>
      </c>
      <c r="L48" s="435" t="str">
        <f>+IF(IFERROR(MATCH(B48,'Erection Compiled'!$C$6:$C$763,0),"B")="B","","E")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+IFERROR(VLOOKUP(B49,Foundation!$C$8:$E$699,3,FALSE),"")</f>
        <v>DRY</v>
      </c>
      <c r="L49" s="435" t="str">
        <f>+IF(IFERROR(MATCH(B49,'Erection Compiled'!$C$6:$C$763,0),"B")="B","","E")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+IFERROR(VLOOKUP(B50,Foundation!$C$8:$E$699,3,FALSE),"")</f>
        <v>DRY</v>
      </c>
      <c r="L50" s="435" t="str">
        <f>+IF(IFERROR(MATCH(B50,'Erection Compiled'!$C$6:$C$763,0),"B")="B","","E")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+IFERROR(VLOOKUP(B51,Foundation!$C$8:$E$699,3,FALSE),"")</f>
        <v>DRY</v>
      </c>
      <c r="L51" s="435" t="str">
        <f>+IF(IFERROR(MATCH(B51,'Erection Compiled'!$C$6:$C$763,0),"B")="B","","E")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+IFERROR(VLOOKUP(B52,Foundation!$C$8:$E$699,3,FALSE),"")</f>
        <v>DFR</v>
      </c>
      <c r="L52" s="435" t="str">
        <f>+IF(IFERROR(MATCH(B52,'Erection Compiled'!$C$6:$C$763,0),"B")="B","","E")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+IFERROR(VLOOKUP(B53,Foundation!$C$8:$E$699,3,FALSE),"")</f>
        <v>DRY</v>
      </c>
      <c r="L53" s="435" t="str">
        <f>+IF(IFERROR(MATCH(B53,'Erection Compiled'!$C$6:$C$763,0),"B")="B","","E")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+IFERROR(VLOOKUP(B54,Foundation!$C$8:$E$699,3,FALSE),"")</f>
        <v/>
      </c>
      <c r="L54" s="435" t="str">
        <f>+IF(IFERROR(MATCH(B54,'Erection Compiled'!$C$6:$C$763,0),"B")="B","","E")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+IFERROR(VLOOKUP(B55,Foundation!$C$8:$E$699,3,FALSE),"")</f>
        <v>DFR</v>
      </c>
      <c r="L55" s="435" t="str">
        <f>+IF(IFERROR(MATCH(B55,'Erection Compiled'!$C$6:$C$763,0),"B")="B","","E")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+IFERROR(VLOOKUP(B56,Foundation!$C$8:$E$699,3,FALSE),"")</f>
        <v>DFR</v>
      </c>
      <c r="L56" s="435" t="str">
        <f>+IF(IFERROR(MATCH(B56,'Erection Compiled'!$C$6:$C$763,0),"B")="B","","E")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+IFERROR(VLOOKUP(B57,Foundation!$C$8:$E$699,3,FALSE),"")</f>
        <v>DRY</v>
      </c>
      <c r="L57" s="435" t="str">
        <f>+IF(IFERROR(MATCH(B57,'Erection Compiled'!$C$6:$C$763,0),"B")="B","","E")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+IFERROR(VLOOKUP(B58,Foundation!$C$8:$E$699,3,FALSE),"")</f>
        <v>DFR</v>
      </c>
      <c r="L58" s="435" t="str">
        <f>+IF(IFERROR(MATCH(B58,'Erection Compiled'!$C$6:$C$763,0),"B")="B","","E")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+IFERROR(VLOOKUP(B59,Foundation!$C$8:$E$699,3,FALSE),"")</f>
        <v>DRY</v>
      </c>
      <c r="L59" s="435" t="str">
        <f>+IF(IFERROR(MATCH(B59,'Erection Compiled'!$C$6:$C$763,0),"B")="B","","E")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+IFERROR(VLOOKUP(B60,Foundation!$C$8:$E$699,3,FALSE),"")</f>
        <v>DFR</v>
      </c>
      <c r="L60" s="435" t="str">
        <f>+IF(IFERROR(MATCH(B60,'Erection Compiled'!$C$6:$C$763,0),"B")="B","","E")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+IFERROR(VLOOKUP(B61,Foundation!$C$8:$E$699,3,FALSE),"")</f>
        <v>DRY</v>
      </c>
      <c r="L61" s="435" t="str">
        <f>+IF(IFERROR(MATCH(B61,'Erection Compiled'!$C$6:$C$763,0),"B")="B","","E")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+IFERROR(VLOOKUP(B62,Foundation!$C$8:$E$699,3,FALSE),"")</f>
        <v>Sandy</v>
      </c>
      <c r="L62" s="435" t="str">
        <f>+IF(IFERROR(MATCH(B62,'Erection Compiled'!$C$6:$C$763,0),"B")="B","","E")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+IFERROR(VLOOKUP(B63,Foundation!$C$8:$E$699,3,FALSE),"")</f>
        <v>DRY</v>
      </c>
      <c r="L63" s="435" t="str">
        <f>+IF(IFERROR(MATCH(B63,'Erection Compiled'!$C$6:$C$763,0),"B")="B","","E")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+IFERROR(VLOOKUP(B64,Foundation!$C$8:$E$699,3,FALSE),"")</f>
        <v>DRY</v>
      </c>
      <c r="L64" s="435" t="str">
        <f>+IF(IFERROR(MATCH(B64,'Erection Compiled'!$C$6:$C$763,0),"B")="B","","E")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+IFERROR(VLOOKUP(B65,Foundation!$C$8:$E$699,3,FALSE),"")</f>
        <v>DRY</v>
      </c>
      <c r="L65" s="435" t="str">
        <f>+IF(IFERROR(MATCH(B65,'Erection Compiled'!$C$6:$C$763,0),"B")="B","","E")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+IFERROR(VLOOKUP(B66,Foundation!$C$8:$E$699,3,FALSE),"")</f>
        <v>DRY</v>
      </c>
      <c r="L66" s="435" t="str">
        <f>+IF(IFERROR(MATCH(B66,'Erection Compiled'!$C$6:$C$763,0),"B")="B","","E")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+IFERROR(VLOOKUP(B67,Foundation!$C$8:$E$699,3,FALSE),"")</f>
        <v>DRY</v>
      </c>
      <c r="L67" s="435" t="str">
        <f>+IF(IFERROR(MATCH(B67,'Erection Compiled'!$C$6:$C$763,0),"B")="B","","E")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+IFERROR(VLOOKUP(B68,Foundation!$C$8:$E$699,3,FALSE),"")</f>
        <v>DRY</v>
      </c>
      <c r="L68" s="435" t="str">
        <f>+IF(IFERROR(MATCH(B68,'Erection Compiled'!$C$6:$C$763,0),"B")="B","","E")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+IFERROR(VLOOKUP(B69,Foundation!$C$8:$E$699,3,FALSE),"")</f>
        <v>DFR</v>
      </c>
      <c r="L69" s="435" t="str">
        <f>+IF(IFERROR(MATCH(B69,'Erection Compiled'!$C$6:$C$763,0),"B")="B","","E")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+IFERROR(VLOOKUP(B70,Foundation!$C$8:$E$699,3,FALSE),"")</f>
        <v>DFR</v>
      </c>
      <c r="L70" s="435" t="str">
        <f>+IF(IFERROR(MATCH(B70,'Erection Compiled'!$C$6:$C$763,0),"B")="B","","E")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+IFERROR(VLOOKUP(B71,Foundation!$C$8:$E$699,3,FALSE),"")</f>
        <v>DRY</v>
      </c>
      <c r="L71" s="435" t="str">
        <f>+IF(IFERROR(MATCH(B71,'Erection Compiled'!$C$6:$C$763,0),"B")="B","","E")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+IFERROR(VLOOKUP(B72,Foundation!$C$8:$E$699,3,FALSE),"")</f>
        <v>DFR</v>
      </c>
      <c r="L72" s="435" t="str">
        <f>+IF(IFERROR(MATCH(B72,'Erection Compiled'!$C$6:$C$763,0),"B")="B","","E")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+IFERROR(VLOOKUP(B73,Foundation!$C$8:$E$699,3,FALSE),"")</f>
        <v>DFR</v>
      </c>
      <c r="L73" s="435" t="str">
        <f>+IF(IFERROR(MATCH(B73,'Erection Compiled'!$C$6:$C$763,0),"B")="B","","E")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+IFERROR(VLOOKUP(B74,Foundation!$C$8:$E$699,3,FALSE),"")</f>
        <v>Sandy</v>
      </c>
      <c r="L74" s="435" t="str">
        <f>+IF(IFERROR(MATCH(B74,'Erection Compiled'!$C$6:$C$763,0),"B")="B","","E")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+IFERROR(VLOOKUP(B75,Foundation!$C$8:$E$699,3,FALSE),"")</f>
        <v>Sandy</v>
      </c>
      <c r="L75" s="435" t="str">
        <f>+IF(IFERROR(MATCH(B75,'Erection Compiled'!$C$6:$C$763,0),"B")="B","","E")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+IFERROR(VLOOKUP(B76,Foundation!$C$8:$E$699,3,FALSE),"")</f>
        <v>Sandy</v>
      </c>
      <c r="L76" s="435" t="str">
        <f>+IF(IFERROR(MATCH(B76,'Erection Compiled'!$C$6:$C$763,0),"B")="B","","E")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+IFERROR(VLOOKUP(B77,Foundation!$C$8:$E$699,3,FALSE),"")</f>
        <v>Sandy</v>
      </c>
      <c r="L77" s="435" t="str">
        <f>+IF(IFERROR(MATCH(B77,'Erection Compiled'!$C$6:$C$763,0),"B")="B","","E")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+IFERROR(VLOOKUP(B78,Foundation!$C$8:$E$699,3,FALSE),"")</f>
        <v>Sandy</v>
      </c>
      <c r="L78" s="435" t="str">
        <f>+IF(IFERROR(MATCH(B78,'Erection Compiled'!$C$6:$C$763,0),"B")="B","","E")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+IFERROR(VLOOKUP(B79,Foundation!$C$8:$E$699,3,FALSE),"")</f>
        <v>Sandy</v>
      </c>
      <c r="L79" s="435" t="str">
        <f>+IF(IFERROR(MATCH(B79,'Erection Compiled'!$C$6:$C$763,0),"B")="B","","E")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+IFERROR(VLOOKUP(B80,Foundation!$C$8:$E$699,3,FALSE),"")</f>
        <v>Sandy</v>
      </c>
      <c r="L80" s="435" t="str">
        <f>+IF(IFERROR(MATCH(B80,'Erection Compiled'!$C$6:$C$763,0),"B")="B","","E")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+IFERROR(VLOOKUP(B81,Foundation!$C$8:$E$699,3,FALSE),"")</f>
        <v>DFR</v>
      </c>
      <c r="L81" s="435" t="str">
        <f>+IF(IFERROR(MATCH(B81,'Erection Compiled'!$C$6:$C$763,0),"B")="B","","E")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+IFERROR(VLOOKUP(B82,Foundation!$C$8:$E$699,3,FALSE),"")</f>
        <v>DRY</v>
      </c>
      <c r="L82" s="435" t="str">
        <f>+IF(IFERROR(MATCH(B82,'Erection Compiled'!$C$6:$C$763,0),"B")="B","","E")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+IFERROR(VLOOKUP(B83,Foundation!$C$8:$E$699,3,FALSE),"")</f>
        <v>DRY</v>
      </c>
      <c r="L83" s="435" t="str">
        <f>+IF(IFERROR(MATCH(B83,'Erection Compiled'!$C$6:$C$763,0),"B")="B","","E")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+IFERROR(VLOOKUP(B84,Foundation!$C$8:$E$699,3,FALSE),"")</f>
        <v>DRY</v>
      </c>
      <c r="L84" s="435" t="str">
        <f>+IF(IFERROR(MATCH(B84,'Erection Compiled'!$C$6:$C$763,0),"B")="B","","E")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+IFERROR(VLOOKUP(B85,Foundation!$C$8:$E$699,3,FALSE),"")</f>
        <v>DRY</v>
      </c>
      <c r="L85" s="435" t="str">
        <f>+IF(IFERROR(MATCH(B85,'Erection Compiled'!$C$6:$C$763,0),"B")="B","","E")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+IFERROR(VLOOKUP(B86,Foundation!$C$8:$E$699,3,FALSE),"")</f>
        <v>DRY</v>
      </c>
      <c r="L86" s="435" t="str">
        <f>+IF(IFERROR(MATCH(B86,'Erection Compiled'!$C$6:$C$763,0),"B")="B","","E")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+IFERROR(VLOOKUP(B87,Foundation!$C$8:$E$699,3,FALSE),"")</f>
        <v>DRY</v>
      </c>
      <c r="L87" s="435" t="str">
        <f>+IF(IFERROR(MATCH(B87,'Erection Compiled'!$C$6:$C$763,0),"B")="B","","E")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+IFERROR(VLOOKUP(B88,Foundation!$C$8:$E$699,3,FALSE),"")</f>
        <v>DRY</v>
      </c>
      <c r="L88" s="435" t="str">
        <f>+IF(IFERROR(MATCH(B88,'Erection Compiled'!$C$6:$C$763,0),"B")="B","","E")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+IFERROR(VLOOKUP(B89,Foundation!$C$8:$E$699,3,FALSE),"")</f>
        <v>Sandy</v>
      </c>
      <c r="L89" s="435" t="str">
        <f>+IF(IFERROR(MATCH(B89,'Erection Compiled'!$C$6:$C$763,0),"B")="B","","E")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+IFERROR(VLOOKUP(B90,Foundation!$C$8:$E$699,3,FALSE),"")</f>
        <v>Sandy</v>
      </c>
      <c r="L90" s="435" t="str">
        <f>+IF(IFERROR(MATCH(B90,'Erection Compiled'!$C$6:$C$763,0),"B")="B","","E")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+IFERROR(VLOOKUP(B91,Foundation!$C$8:$E$699,3,FALSE),"")</f>
        <v>DRY</v>
      </c>
      <c r="L91" s="435" t="str">
        <f>+IF(IFERROR(MATCH(B91,'Erection Compiled'!$C$6:$C$763,0),"B")="B","","E")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+IFERROR(VLOOKUP(B92,Foundation!$C$8:$E$699,3,FALSE),"")</f>
        <v>DRY</v>
      </c>
      <c r="L92" s="435" t="str">
        <f>+IF(IFERROR(MATCH(B92,'Erection Compiled'!$C$6:$C$763,0),"B")="B","","E")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+IFERROR(VLOOKUP(B93,Foundation!$C$8:$E$699,3,FALSE),"")</f>
        <v>DRY</v>
      </c>
      <c r="L93" s="435" t="str">
        <f>+IF(IFERROR(MATCH(B93,'Erection Compiled'!$C$6:$C$763,0),"B")="B","","E")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+IFERROR(VLOOKUP(B94,Foundation!$C$8:$E$699,3,FALSE),"")</f>
        <v>DRY</v>
      </c>
      <c r="L94" s="435" t="str">
        <f>+IF(IFERROR(MATCH(B94,'Erection Compiled'!$C$6:$C$763,0),"B")="B","","E")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+IFERROR(VLOOKUP(B95,Foundation!$C$8:$E$699,3,FALSE),"")</f>
        <v>DRY</v>
      </c>
      <c r="L95" s="435" t="str">
        <f>+IF(IFERROR(MATCH(B95,'Erection Compiled'!$C$6:$C$763,0),"B")="B","","E")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+IFERROR(VLOOKUP(B96,Foundation!$C$8:$E$699,3,FALSE),"")</f>
        <v>Sandy</v>
      </c>
      <c r="L96" s="435" t="str">
        <f>+IF(IFERROR(MATCH(B96,'Erection Compiled'!$C$6:$C$763,0),"B")="B","","E")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+IFERROR(VLOOKUP(B97,Foundation!$C$8:$E$699,3,FALSE),"")</f>
        <v>ROW</v>
      </c>
      <c r="L97" s="435" t="str">
        <f>+IF(IFERROR(MATCH(B97,'Erection Compiled'!$C$6:$C$763,0),"B")="B","","E")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+IFERROR(VLOOKUP(B98,Foundation!$C$8:$E$699,3,FALSE),"")</f>
        <v>Sandy</v>
      </c>
      <c r="L98" s="435" t="str">
        <f>+IF(IFERROR(MATCH(B98,'Erection Compiled'!$C$6:$C$763,0),"B")="B","","E")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+IFERROR(VLOOKUP(B99,Foundation!$C$8:$E$699,3,FALSE),"")</f>
        <v>DRY</v>
      </c>
      <c r="L99" s="435" t="str">
        <f>+IF(IFERROR(MATCH(B99,'Erection Compiled'!$C$6:$C$763,0),"B")="B","","E")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+IFERROR(VLOOKUP(B100,Foundation!$C$8:$E$699,3,FALSE),"")</f>
        <v>DRY</v>
      </c>
      <c r="L100" s="435" t="str">
        <f>+IF(IFERROR(MATCH(B100,'Erection Compiled'!$C$6:$C$763,0),"B")="B","","E")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+IFERROR(VLOOKUP(B101,Foundation!$C$8:$E$699,3,FALSE),"")</f>
        <v>DRY</v>
      </c>
      <c r="L101" s="435" t="str">
        <f>+IF(IFERROR(MATCH(B101,'Erection Compiled'!$C$6:$C$763,0),"B")="B","","E")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+IFERROR(VLOOKUP(B102,Foundation!$C$8:$E$699,3,FALSE),"")</f>
        <v>DRY</v>
      </c>
      <c r="L102" s="435" t="str">
        <f>+IF(IFERROR(MATCH(B102,'Erection Compiled'!$C$6:$C$763,0),"B")="B","","E")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+IFERROR(VLOOKUP(B103,Foundation!$C$8:$E$699,3,FALSE),"")</f>
        <v>DRY</v>
      </c>
      <c r="L103" s="435" t="str">
        <f>+IF(IFERROR(MATCH(B103,'Erection Compiled'!$C$6:$C$763,0),"B")="B","","E")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+IFERROR(VLOOKUP(B104,Foundation!$C$8:$E$699,3,FALSE),"")</f>
        <v>DRY</v>
      </c>
      <c r="L104" s="435" t="str">
        <f>+IF(IFERROR(MATCH(B104,'Erection Compiled'!$C$6:$C$763,0),"B")="B","","E")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+IFERROR(VLOOKUP(B105,Foundation!$C$8:$E$699,3,FALSE),"")</f>
        <v>DRY</v>
      </c>
      <c r="L105" s="435" t="str">
        <f>+IF(IFERROR(MATCH(B105,'Erection Compiled'!$C$6:$C$763,0),"B")="B","","E")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+IFERROR(VLOOKUP(B106,Foundation!$C$8:$E$699,3,FALSE),"")</f>
        <v>DRY</v>
      </c>
      <c r="L106" s="435" t="str">
        <f>+IF(IFERROR(MATCH(B106,'Erection Compiled'!$C$6:$C$763,0),"B")="B","","E")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+IFERROR(VLOOKUP(B107,Foundation!$C$8:$E$699,3,FALSE),"")</f>
        <v>DRY</v>
      </c>
      <c r="L107" s="435" t="str">
        <f>+IF(IFERROR(MATCH(B107,'Erection Compiled'!$C$6:$C$763,0),"B")="B","","E")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+IFERROR(VLOOKUP(B108,Foundation!$C$8:$E$699,3,FALSE),"")</f>
        <v>DRY</v>
      </c>
      <c r="L108" s="435" t="str">
        <f>+IF(IFERROR(MATCH(B108,'Erection Compiled'!$C$6:$C$763,0),"B")="B","","E")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+IFERROR(VLOOKUP(B109,Foundation!$C$8:$E$699,3,FALSE),"")</f>
        <v>DRY</v>
      </c>
      <c r="L109" s="435" t="str">
        <f>+IF(IFERROR(MATCH(B109,'Erection Compiled'!$C$6:$C$763,0),"B")="B","","E")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+IFERROR(VLOOKUP(B110,Foundation!$C$8:$E$699,3,FALSE),"")</f>
        <v>DRY</v>
      </c>
      <c r="L110" s="435" t="str">
        <f>+IF(IFERROR(MATCH(B110,'Erection Compiled'!$C$6:$C$763,0),"B")="B","","E")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+IFERROR(VLOOKUP(B111,Foundation!$C$8:$E$699,3,FALSE),"")</f>
        <v>DRY</v>
      </c>
      <c r="L111" s="435" t="str">
        <f>+IF(IFERROR(MATCH(B111,'Erection Compiled'!$C$6:$C$763,0),"B")="B","","E")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+IFERROR(VLOOKUP(B112,Foundation!$C$8:$E$699,3,FALSE),"")</f>
        <v>DRY</v>
      </c>
      <c r="L112" s="435" t="str">
        <f>+IF(IFERROR(MATCH(B112,'Erection Compiled'!$C$6:$C$763,0),"B")="B","","E")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+IFERROR(VLOOKUP(B113,Foundation!$C$8:$E$699,3,FALSE),"")</f>
        <v>DRY</v>
      </c>
      <c r="L113" s="435" t="str">
        <f>+IF(IFERROR(MATCH(B113,'Erection Compiled'!$C$6:$C$763,0),"B")="B","","E")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+IFERROR(VLOOKUP(B114,Foundation!$C$8:$E$699,3,FALSE),"")</f>
        <v>DRY</v>
      </c>
      <c r="L114" s="435" t="str">
        <f>+IF(IFERROR(MATCH(B114,'Erection Compiled'!$C$6:$C$763,0),"B")="B","","E")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+IFERROR(VLOOKUP(B115,Foundation!$C$8:$E$699,3,FALSE),"")</f>
        <v>DRY</v>
      </c>
      <c r="L115" s="435" t="str">
        <f>+IF(IFERROR(MATCH(B115,'Erection Compiled'!$C$6:$C$763,0),"B")="B","","E")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+IFERROR(VLOOKUP(B116,Foundation!$C$8:$E$699,3,FALSE),"")</f>
        <v>DRY</v>
      </c>
      <c r="L116" s="435" t="str">
        <f>+IF(IFERROR(MATCH(B116,'Erection Compiled'!$C$6:$C$763,0),"B")="B","","E")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+IFERROR(VLOOKUP(B117,Foundation!$C$8:$E$699,3,FALSE),"")</f>
        <v>DRY</v>
      </c>
      <c r="L117" s="435" t="str">
        <f>+IF(IFERROR(MATCH(B117,'Erection Compiled'!$C$6:$C$763,0),"B")="B","","E")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+IFERROR(VLOOKUP(B118,Foundation!$C$8:$E$699,3,FALSE),"")</f>
        <v>DRY</v>
      </c>
      <c r="L118" s="435" t="str">
        <f>+IF(IFERROR(MATCH(B118,'Erection Compiled'!$C$6:$C$763,0),"B")="B","","E")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+IFERROR(VLOOKUP(B119,Foundation!$C$8:$E$699,3,FALSE),"")</f>
        <v>DRY</v>
      </c>
      <c r="L119" s="435" t="str">
        <f>+IF(IFERROR(MATCH(B119,'Erection Compiled'!$C$6:$C$763,0),"B")="B","","E")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+IFERROR(VLOOKUP(B120,Foundation!$C$8:$E$699,3,FALSE),"")</f>
        <v>DRY</v>
      </c>
      <c r="L120" s="435" t="str">
        <f>+IF(IFERROR(MATCH(B120,'Erection Compiled'!$C$6:$C$763,0),"B")="B","","E")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+IFERROR(VLOOKUP(B121,Foundation!$C$8:$E$699,3,FALSE),"")</f>
        <v>DRY</v>
      </c>
      <c r="L121" s="435" t="str">
        <f>+IF(IFERROR(MATCH(B121,'Erection Compiled'!$C$6:$C$763,0),"B")="B","","E")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+IFERROR(VLOOKUP(B122,Foundation!$C$8:$E$699,3,FALSE),"")</f>
        <v>DRY</v>
      </c>
      <c r="L122" s="435" t="str">
        <f>+IF(IFERROR(MATCH(B122,'Erection Compiled'!$C$6:$C$763,0),"B")="B","","E")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+IFERROR(VLOOKUP(B123,Foundation!$C$8:$E$699,3,FALSE),"")</f>
        <v>DRY</v>
      </c>
      <c r="L123" s="435" t="str">
        <f>+IF(IFERROR(MATCH(B123,'Erection Compiled'!$C$6:$C$763,0),"B")="B","","E")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+IFERROR(VLOOKUP(B124,Foundation!$C$8:$E$699,3,FALSE),"")</f>
        <v>DRY</v>
      </c>
      <c r="L124" s="435" t="str">
        <f>+IF(IFERROR(MATCH(B124,'Erection Compiled'!$C$6:$C$763,0),"B")="B","","E")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+IFERROR(VLOOKUP(B125,Foundation!$C$8:$E$699,3,FALSE),"")</f>
        <v>DRY</v>
      </c>
      <c r="L125" s="435" t="str">
        <f>+IF(IFERROR(MATCH(B125,'Erection Compiled'!$C$6:$C$763,0),"B")="B","","E")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+IFERROR(VLOOKUP(B126,Foundation!$C$8:$E$699,3,FALSE),"")</f>
        <v>DRY</v>
      </c>
      <c r="L126" s="435" t="str">
        <f>+IF(IFERROR(MATCH(B126,'Erection Compiled'!$C$6:$C$763,0),"B")="B","","E")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+IFERROR(VLOOKUP(B127,Foundation!$C$8:$E$699,3,FALSE),"")</f>
        <v>Sandy</v>
      </c>
      <c r="L127" s="435" t="str">
        <f>+IF(IFERROR(MATCH(B127,'Erection Compiled'!$C$6:$C$763,0),"B")="B","","E")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+IFERROR(VLOOKUP(B128,Foundation!$C$8:$E$699,3,FALSE),"")</f>
        <v>Sandy</v>
      </c>
      <c r="L128" s="435" t="str">
        <f>+IF(IFERROR(MATCH(B128,'Erection Compiled'!$C$6:$C$763,0),"B")="B","","E")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+IFERROR(VLOOKUP(B129,Foundation!$C$8:$E$699,3,FALSE),"")</f>
        <v>DRY</v>
      </c>
      <c r="L129" s="435" t="str">
        <f>+IF(IFERROR(MATCH(B129,'Erection Compiled'!$C$6:$C$763,0),"B")="B","","E")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+IFERROR(VLOOKUP(B130,Foundation!$C$8:$E$699,3,FALSE),"")</f>
        <v>DRY</v>
      </c>
      <c r="L130" s="435" t="str">
        <f>+IF(IFERROR(MATCH(B130,'Erection Compiled'!$C$6:$C$763,0),"B")="B","","E")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+IFERROR(VLOOKUP(B131,Foundation!$C$8:$E$699,3,FALSE),"")</f>
        <v>DRY</v>
      </c>
      <c r="L131" s="435" t="str">
        <f>+IF(IFERROR(MATCH(B131,'Erection Compiled'!$C$6:$C$763,0),"B")="B","","E")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+IFERROR(VLOOKUP(B132,Foundation!$C$8:$E$699,3,FALSE),"")</f>
        <v>WIP</v>
      </c>
      <c r="L132" s="435" t="str">
        <f>+IF(IFERROR(MATCH(B132,'Erection Compiled'!$C$6:$C$763,0),"B")="B","","E")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+IFERROR(VLOOKUP(B133,Foundation!$C$8:$E$699,3,FALSE),"")</f>
        <v>Sandy</v>
      </c>
      <c r="L133" s="435" t="str">
        <f>+IF(IFERROR(MATCH(B133,'Erection Compiled'!$C$6:$C$763,0),"B")="B","","E")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+IFERROR(VLOOKUP(B134,Foundation!$C$8:$E$699,3,FALSE),"")</f>
        <v>Sandy</v>
      </c>
      <c r="L134" s="435" t="str">
        <f>+IF(IFERROR(MATCH(B134,'Erection Compiled'!$C$6:$C$763,0),"B")="B","","E")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+IFERROR(VLOOKUP(B135,Foundation!$C$8:$E$699,3,FALSE),"")</f>
        <v>Sandy</v>
      </c>
      <c r="L135" s="435" t="str">
        <f>+IF(IFERROR(MATCH(B135,'Erection Compiled'!$C$6:$C$763,0),"B")="B","","E")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+IFERROR(VLOOKUP(B136,Foundation!$C$8:$E$699,3,FALSE),"")</f>
        <v>DFR</v>
      </c>
      <c r="L136" s="435" t="str">
        <f>+IF(IFERROR(MATCH(B136,'Erection Compiled'!$C$6:$C$763,0),"B")="B","","E")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+IFERROR(VLOOKUP(B137,Foundation!$C$8:$E$699,3,FALSE),"")</f>
        <v>DRY</v>
      </c>
      <c r="L137" s="435" t="str">
        <f>+IF(IFERROR(MATCH(B137,'Erection Compiled'!$C$6:$C$763,0),"B")="B","","E")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+IFERROR(VLOOKUP(B138,Foundation!$C$8:$E$699,3,FALSE),"")</f>
        <v>DFR</v>
      </c>
      <c r="L138" s="435" t="str">
        <f>+IF(IFERROR(MATCH(B138,'Erection Compiled'!$C$6:$C$763,0),"B")="B","","E")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+IFERROR(VLOOKUP(B139,Foundation!$C$8:$E$699,3,FALSE),"")</f>
        <v>DRY</v>
      </c>
      <c r="L139" s="435" t="str">
        <f>+IF(IFERROR(MATCH(B139,'Erection Compiled'!$C$6:$C$763,0),"B")="B","","E")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+IFERROR(VLOOKUP(B140,Foundation!$C$8:$E$699,3,FALSE),"")</f>
        <v>DFR</v>
      </c>
      <c r="L140" s="435" t="str">
        <f>+IF(IFERROR(MATCH(B140,'Erection Compiled'!$C$6:$C$763,0),"B")="B","","E")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+IFERROR(VLOOKUP(B141,Foundation!$C$8:$E$699,3,FALSE),"")</f>
        <v>DRY</v>
      </c>
      <c r="L141" s="435" t="str">
        <f>+IF(IFERROR(MATCH(B141,'Erection Compiled'!$C$6:$C$763,0),"B")="B","","E")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+IFERROR(VLOOKUP(B142,Foundation!$C$8:$E$699,3,FALSE),"")</f>
        <v>ROW</v>
      </c>
      <c r="L142" s="435" t="str">
        <f>+IF(IFERROR(MATCH(B142,'Erection Compiled'!$C$6:$C$763,0),"B")="B","","E")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+IFERROR(VLOOKUP(B143,Foundation!$C$8:$E$699,3,FALSE),"")</f>
        <v>Sandy</v>
      </c>
      <c r="L143" s="435" t="str">
        <f>+IF(IFERROR(MATCH(B143,'Erection Compiled'!$C$6:$C$763,0),"B")="B","","E")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+IFERROR(VLOOKUP(B144,Foundation!$C$8:$E$699,3,FALSE),"")</f>
        <v>Sandy</v>
      </c>
      <c r="L144" s="435" t="str">
        <f>+IF(IFERROR(MATCH(B144,'Erection Compiled'!$C$6:$C$763,0),"B")="B","","E")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+IFERROR(VLOOKUP(B145,Foundation!$C$8:$E$699,3,FALSE),"")</f>
        <v>Sandy</v>
      </c>
      <c r="L145" s="435" t="str">
        <f>+IF(IFERROR(MATCH(B145,'Erection Compiled'!$C$6:$C$763,0),"B")="B","","E")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+IFERROR(VLOOKUP(B146,Foundation!$C$8:$E$699,3,FALSE),"")</f>
        <v>Sandy</v>
      </c>
      <c r="L146" s="435" t="str">
        <f>+IF(IFERROR(MATCH(B146,'Erection Compiled'!$C$6:$C$763,0),"B")="B","","E")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+IFERROR(VLOOKUP(B147,Foundation!$C$8:$E$699,3,FALSE),"")</f>
        <v>DRY</v>
      </c>
      <c r="L147" s="435" t="str">
        <f>+IF(IFERROR(MATCH(B147,'Erection Compiled'!$C$6:$C$763,0),"B")="B","","E")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+IFERROR(VLOOKUP(B148,Foundation!$C$8:$E$699,3,FALSE),"")</f>
        <v>Sandy</v>
      </c>
      <c r="L148" s="435" t="str">
        <f>+IF(IFERROR(MATCH(B148,'Erection Compiled'!$C$6:$C$763,0),"B")="B","","E")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+IFERROR(VLOOKUP(B149,Foundation!$C$8:$E$699,3,FALSE),"")</f>
        <v>Sandy</v>
      </c>
      <c r="L149" s="435" t="str">
        <f>+IF(IFERROR(MATCH(B149,'Erection Compiled'!$C$6:$C$763,0),"B")="B","","E")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+IFERROR(VLOOKUP(B150,Foundation!$C$8:$E$699,3,FALSE),"")</f>
        <v>Sandy</v>
      </c>
      <c r="L150" s="435" t="str">
        <f>+IF(IFERROR(MATCH(B150,'Erection Compiled'!$C$6:$C$763,0),"B")="B","","E")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+IFERROR(VLOOKUP(B151,Foundation!$C$8:$E$699,3,FALSE),"")</f>
        <v>Sandy</v>
      </c>
      <c r="L151" s="435" t="str">
        <f>+IF(IFERROR(MATCH(B151,'Erection Compiled'!$C$6:$C$763,0),"B")="B","","E")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+IFERROR(VLOOKUP(B152,Foundation!$C$8:$E$699,3,FALSE),"")</f>
        <v>Sandy</v>
      </c>
      <c r="L152" s="435" t="str">
        <f>+IF(IFERROR(MATCH(B152,'Erection Compiled'!$C$6:$C$763,0),"B")="B","","E")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+IFERROR(VLOOKUP(B153,Foundation!$C$8:$E$699,3,FALSE),"")</f>
        <v>Sandy</v>
      </c>
      <c r="L153" s="435" t="str">
        <f>+IF(IFERROR(MATCH(B153,'Erection Compiled'!$C$6:$C$763,0),"B")="B","","E")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+IFERROR(VLOOKUP(B154,Foundation!$C$8:$E$699,3,FALSE),"")</f>
        <v>Sandy</v>
      </c>
      <c r="L154" s="435" t="str">
        <f>+IF(IFERROR(MATCH(B154,'Erection Compiled'!$C$6:$C$763,0),"B")="B","","E")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+IFERROR(VLOOKUP(B155,Foundation!$C$8:$E$699,3,FALSE),"")</f>
        <v>Sandy</v>
      </c>
      <c r="L155" s="435" t="str">
        <f>+IF(IFERROR(MATCH(B155,'Erection Compiled'!$C$6:$C$763,0),"B")="B","","E")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+IFERROR(VLOOKUP(B156,Foundation!$C$8:$E$699,3,FALSE),"")</f>
        <v>DRY</v>
      </c>
      <c r="L156" s="435" t="str">
        <f>+IF(IFERROR(MATCH(B156,'Erection Compiled'!$C$6:$C$763,0),"B")="B","","E")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+IFERROR(VLOOKUP(B157,Foundation!$C$8:$E$699,3,FALSE),"")</f>
        <v>DRY</v>
      </c>
      <c r="L157" s="435" t="str">
        <f>+IF(IFERROR(MATCH(B157,'Erection Compiled'!$C$6:$C$763,0),"B")="B","","E")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+IFERROR(VLOOKUP(B158,Foundation!$C$8:$E$699,3,FALSE),"")</f>
        <v>DRY</v>
      </c>
      <c r="L158" s="435" t="str">
        <f>+IF(IFERROR(MATCH(B158,'Erection Compiled'!$C$6:$C$763,0),"B")="B","","E")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+IFERROR(VLOOKUP(B159,Foundation!$C$8:$E$699,3,FALSE),"")</f>
        <v>DRY</v>
      </c>
      <c r="L159" s="435" t="str">
        <f>+IF(IFERROR(MATCH(B159,'Erection Compiled'!$C$6:$C$763,0),"B")="B","","E")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+IFERROR(VLOOKUP(B160,Foundation!$C$8:$E$699,3,FALSE),"")</f>
        <v>DRY</v>
      </c>
      <c r="L160" s="435" t="str">
        <f>+IF(IFERROR(MATCH(B160,'Erection Compiled'!$C$6:$C$763,0),"B")="B","","E")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+IFERROR(VLOOKUP(B161,Foundation!$C$8:$E$699,3,FALSE),"")</f>
        <v>Sandy</v>
      </c>
      <c r="L161" s="435" t="str">
        <f>+IF(IFERROR(MATCH(B161,'Erection Compiled'!$C$6:$C$763,0),"B")="B","","E")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+IFERROR(VLOOKUP(B162,Foundation!$C$8:$E$699,3,FALSE),"")</f>
        <v>Sandy</v>
      </c>
      <c r="L162" s="435" t="str">
        <f>+IF(IFERROR(MATCH(B162,'Erection Compiled'!$C$6:$C$763,0),"B")="B","","E")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+IFERROR(VLOOKUP(B163,Foundation!$C$8:$E$699,3,FALSE),"")</f>
        <v>DFR</v>
      </c>
      <c r="L163" s="435" t="str">
        <f>+IF(IFERROR(MATCH(B163,'Erection Compiled'!$C$6:$C$763,0),"B")="B","","E")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+IFERROR(VLOOKUP(B164,Foundation!$C$8:$E$699,3,FALSE),"")</f>
        <v>DRY</v>
      </c>
      <c r="L164" s="435" t="str">
        <f>+IF(IFERROR(MATCH(B164,'Erection Compiled'!$C$6:$C$763,0),"B")="B","","E")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+IFERROR(VLOOKUP(B165,Foundation!$C$8:$E$699,3,FALSE),"")</f>
        <v>DFR</v>
      </c>
      <c r="L165" s="435" t="str">
        <f>+IF(IFERROR(MATCH(B165,'Erection Compiled'!$C$6:$C$763,0),"B")="B","","E")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+IFERROR(VLOOKUP(B166,Foundation!$C$8:$E$699,3,FALSE),"")</f>
        <v>DRY</v>
      </c>
      <c r="L166" s="435" t="str">
        <f>+IF(IFERROR(MATCH(B166,'Erection Compiled'!$C$6:$C$763,0),"B")="B","","E")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+IFERROR(VLOOKUP(B167,Foundation!$C$8:$E$699,3,FALSE),"")</f>
        <v>Sandy</v>
      </c>
      <c r="L167" s="435" t="str">
        <f>+IF(IFERROR(MATCH(B167,'Erection Compiled'!$C$6:$C$763,0),"B")="B","","E")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+IFERROR(VLOOKUP(B168,Foundation!$C$8:$E$699,3,FALSE),"")</f>
        <v>Sandy</v>
      </c>
      <c r="L168" s="435" t="str">
        <f>+IF(IFERROR(MATCH(B168,'Erection Compiled'!$C$6:$C$763,0),"B")="B","","E")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+IFERROR(VLOOKUP(B169,Foundation!$C$8:$E$699,3,FALSE),"")</f>
        <v>Sandy</v>
      </c>
      <c r="L169" s="435" t="str">
        <f>+IF(IFERROR(MATCH(B169,'Erection Compiled'!$C$6:$C$763,0),"B")="B","","E")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+IFERROR(VLOOKUP(B170,Foundation!$C$8:$E$699,3,FALSE),"")</f>
        <v>DFR</v>
      </c>
      <c r="L170" s="435" t="str">
        <f>+IF(IFERROR(MATCH(B170,'Erection Compiled'!$C$6:$C$763,0),"B")="B","","E")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+IFERROR(VLOOKUP(B171,Foundation!$C$8:$E$699,3,FALSE),"")</f>
        <v>WIP</v>
      </c>
      <c r="L171" s="435" t="str">
        <f>+IF(IFERROR(MATCH(B171,'Erection Compiled'!$C$6:$C$763,0),"B")="B","","E")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+IFERROR(VLOOKUP(B172,Foundation!$C$8:$E$699,3,FALSE),"")</f>
        <v>DFR</v>
      </c>
      <c r="L172" s="435" t="str">
        <f>+IF(IFERROR(MATCH(B172,'Erection Compiled'!$C$6:$C$763,0),"B")="B","","E")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+IFERROR(VLOOKUP(B173,Foundation!$C$8:$E$699,3,FALSE),"")</f>
        <v>DFR</v>
      </c>
      <c r="L173" s="435" t="str">
        <f>+IF(IFERROR(MATCH(B173,'Erection Compiled'!$C$6:$C$763,0),"B")="B","","E")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+IFERROR(VLOOKUP(B174,Foundation!$C$8:$E$699,3,FALSE),"")</f>
        <v>DFR</v>
      </c>
      <c r="L174" s="435" t="str">
        <f>+IF(IFERROR(MATCH(B174,'Erection Compiled'!$C$6:$C$763,0),"B")="B","","E")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+IFERROR(VLOOKUP(B175,Foundation!$C$8:$E$699,3,FALSE),"")</f>
        <v>DFR</v>
      </c>
      <c r="L175" s="435" t="str">
        <f>+IF(IFERROR(MATCH(B175,'Erection Compiled'!$C$6:$C$763,0),"B")="B","","E")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+IFERROR(VLOOKUP(B176,Foundation!$C$8:$E$699,3,FALSE),"")</f>
        <v>DFR</v>
      </c>
      <c r="L176" s="435" t="str">
        <f>+IF(IFERROR(MATCH(B176,'Erection Compiled'!$C$6:$C$763,0),"B")="B","","E")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+IFERROR(VLOOKUP(B177,Foundation!$C$8:$E$699,3,FALSE),"")</f>
        <v>DRY</v>
      </c>
      <c r="L177" s="435" t="str">
        <f>+IF(IFERROR(MATCH(B177,'Erection Compiled'!$C$6:$C$763,0),"B")="B","","E")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+IFERROR(VLOOKUP(B178,Foundation!$C$8:$E$699,3,FALSE),"")</f>
        <v>Sandy</v>
      </c>
      <c r="L178" s="435" t="str">
        <f>+IF(IFERROR(MATCH(B178,'Erection Compiled'!$C$6:$C$763,0),"B")="B","","E")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+IFERROR(VLOOKUP(B179,Foundation!$C$8:$E$699,3,FALSE),"")</f>
        <v>DFR</v>
      </c>
      <c r="L179" s="435" t="str">
        <f>+IF(IFERROR(MATCH(B179,'Erection Compiled'!$C$6:$C$763,0),"B")="B","","E")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+IFERROR(VLOOKUP(B180,Foundation!$C$8:$E$699,3,FALSE),"")</f>
        <v>DFR</v>
      </c>
      <c r="L180" s="435" t="str">
        <f>+IF(IFERROR(MATCH(B180,'Erection Compiled'!$C$6:$C$763,0),"B")="B","","E")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+IFERROR(VLOOKUP(B181,Foundation!$C$8:$E$699,3,FALSE),"")</f>
        <v>DFR</v>
      </c>
      <c r="L181" s="435" t="str">
        <f>+IF(IFERROR(MATCH(B181,'Erection Compiled'!$C$6:$C$763,0),"B")="B","","E")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+IFERROR(VLOOKUP(B182,Foundation!$C$8:$E$699,3,FALSE),"")</f>
        <v>DFR</v>
      </c>
      <c r="L182" s="435" t="str">
        <f>+IF(IFERROR(MATCH(B182,'Erection Compiled'!$C$6:$C$763,0),"B")="B","","E")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+IFERROR(VLOOKUP(B183,Foundation!$C$8:$E$699,3,FALSE),"")</f>
        <v>DRY</v>
      </c>
      <c r="L183" s="435" t="str">
        <f>+IF(IFERROR(MATCH(B183,'Erection Compiled'!$C$6:$C$763,0),"B")="B","","E")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+IFERROR(VLOOKUP(B184,Foundation!$C$8:$E$699,3,FALSE),"")</f>
        <v>Sandy</v>
      </c>
      <c r="L184" s="435" t="str">
        <f>+IF(IFERROR(MATCH(B184,'Erection Compiled'!$C$6:$C$763,0),"B")="B","","E")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+IFERROR(VLOOKUP(B185,Foundation!$C$8:$E$699,3,FALSE),"")</f>
        <v>DFR</v>
      </c>
      <c r="L185" s="435" t="str">
        <f>+IF(IFERROR(MATCH(B185,'Erection Compiled'!$C$6:$C$763,0),"B")="B","","E")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+IFERROR(VLOOKUP(B186,Foundation!$C$8:$E$699,3,FALSE),"")</f>
        <v>DRY</v>
      </c>
      <c r="L186" s="435" t="str">
        <f>+IF(IFERROR(MATCH(B186,'Erection Compiled'!$C$6:$C$763,0),"B")="B","","E")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+IFERROR(VLOOKUP(B187,Foundation!$C$8:$E$699,3,FALSE),"")</f>
        <v>DFR</v>
      </c>
      <c r="L187" s="435" t="str">
        <f>+IF(IFERROR(MATCH(B187,'Erection Compiled'!$C$6:$C$763,0),"B")="B","","E")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+IFERROR(VLOOKUP(B188,Foundation!$C$8:$E$699,3,FALSE),"")</f>
        <v>DFR</v>
      </c>
      <c r="L188" s="435" t="str">
        <f>+IF(IFERROR(MATCH(B188,'Erection Compiled'!$C$6:$C$763,0),"B")="B","","E")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+IFERROR(VLOOKUP(B189,Foundation!$C$8:$E$699,3,FALSE),"")</f>
        <v>Sandy</v>
      </c>
      <c r="L189" s="435" t="str">
        <f>+IF(IFERROR(MATCH(B189,'Erection Compiled'!$C$6:$C$763,0),"B")="B","","E")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+IFERROR(VLOOKUP(B190,Foundation!$C$8:$E$699,3,FALSE),"")</f>
        <v>Sandy</v>
      </c>
      <c r="L190" s="435" t="str">
        <f>+IF(IFERROR(MATCH(B190,'Erection Compiled'!$C$6:$C$763,0),"B")="B","","E")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+IFERROR(VLOOKUP(B191,Foundation!$C$8:$E$699,3,FALSE),"")</f>
        <v>Sandy</v>
      </c>
      <c r="L191" s="435" t="str">
        <f>+IF(IFERROR(MATCH(B191,'Erection Compiled'!$C$6:$C$763,0),"B")="B","","E")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+IFERROR(VLOOKUP(B192,Foundation!$C$8:$E$699,3,FALSE),"")</f>
        <v>Sandy</v>
      </c>
      <c r="L192" s="435" t="str">
        <f>+IF(IFERROR(MATCH(B192,'Erection Compiled'!$C$6:$C$763,0),"B")="B","","E")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+IFERROR(VLOOKUP(B193,Foundation!$C$8:$E$699,3,FALSE),"")</f>
        <v>Sandy</v>
      </c>
      <c r="L193" s="435" t="str">
        <f>+IF(IFERROR(MATCH(B193,'Erection Compiled'!$C$6:$C$763,0),"B")="B","","E")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+IFERROR(VLOOKUP(B194,Foundation!$C$8:$E$699,3,FALSE),"")</f>
        <v>DRY</v>
      </c>
      <c r="L194" s="435" t="str">
        <f>+IF(IFERROR(MATCH(B194,'Erection Compiled'!$C$6:$C$763,0),"B")="B","","E")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+IFERROR(VLOOKUP(B195,Foundation!$C$8:$E$699,3,FALSE),"")</f>
        <v>DRY</v>
      </c>
      <c r="L195" s="435" t="str">
        <f>+IF(IFERROR(MATCH(B195,'Erection Compiled'!$C$6:$C$763,0),"B")="B","","E")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+IFERROR(VLOOKUP(B196,Foundation!$C$8:$E$699,3,FALSE),"")</f>
        <v>DRY</v>
      </c>
      <c r="L196" s="435" t="str">
        <f>+IF(IFERROR(MATCH(B196,'Erection Compiled'!$C$6:$C$763,0),"B")="B","","E")</f>
        <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+IFERROR(VLOOKUP(B197,Foundation!$C$8:$E$699,3,FALSE),"")</f>
        <v>Sandy</v>
      </c>
      <c r="L197" s="435" t="str">
        <f>+IF(IFERROR(MATCH(B197,'Erection Compiled'!$C$6:$C$763,0),"B")="B","","E")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+IFERROR(VLOOKUP(B198,Foundation!$C$8:$E$699,3,FALSE),"")</f>
        <v>DRY</v>
      </c>
      <c r="L198" s="435" t="str">
        <f>+IF(IFERROR(MATCH(B198,'Erection Compiled'!$C$6:$C$763,0),"B")="B","","E")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+IFERROR(VLOOKUP(B199,Foundation!$C$8:$E$699,3,FALSE),"")</f>
        <v>DRY</v>
      </c>
      <c r="L199" s="435" t="str">
        <f>+IF(IFERROR(MATCH(B199,'Erection Compiled'!$C$6:$C$763,0),"B")="B","","E")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+IFERROR(VLOOKUP(B200,Foundation!$C$8:$E$699,3,FALSE),"")</f>
        <v>Sandy</v>
      </c>
      <c r="L200" s="435" t="str">
        <f>+IF(IFERROR(MATCH(B200,'Erection Compiled'!$C$6:$C$763,0),"B")="B","","E")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+IFERROR(VLOOKUP(B201,Foundation!$C$8:$E$699,3,FALSE),"")</f>
        <v>Sandy</v>
      </c>
      <c r="L201" s="435" t="str">
        <f>+IF(IFERROR(MATCH(B201,'Erection Compiled'!$C$6:$C$763,0),"B")="B","","E")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+IFERROR(VLOOKUP(B202,Foundation!$C$8:$E$699,3,FALSE),"")</f>
        <v>Sandy</v>
      </c>
      <c r="L202" s="435" t="str">
        <f>+IF(IFERROR(MATCH(B202,'Erection Compiled'!$C$6:$C$763,0),"B")="B","","E")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+IFERROR(VLOOKUP(B203,Foundation!$C$8:$E$699,3,FALSE),"")</f>
        <v>DRY</v>
      </c>
      <c r="L203" s="435" t="str">
        <f>+IF(IFERROR(MATCH(B203,'Erection Compiled'!$C$6:$C$763,0),"B")="B","","E")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+IFERROR(VLOOKUP(B204,Foundation!$C$8:$E$699,3,FALSE),"")</f>
        <v>DRY</v>
      </c>
      <c r="L204" s="435" t="str">
        <f>+IF(IFERROR(MATCH(B204,'Erection Compiled'!$C$6:$C$763,0),"B")="B","","E")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+IFERROR(VLOOKUP(B205,Foundation!$C$8:$E$699,3,FALSE),"")</f>
        <v>DRY</v>
      </c>
      <c r="L205" s="435" t="str">
        <f>+IF(IFERROR(MATCH(B205,'Erection Compiled'!$C$6:$C$763,0),"B")="B","","E")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+IFERROR(VLOOKUP(B206,Foundation!$C$8:$E$699,3,FALSE),"")</f>
        <v>Sandy</v>
      </c>
      <c r="L206" s="435" t="str">
        <f>+IF(IFERROR(MATCH(B206,'Erection Compiled'!$C$6:$C$763,0),"B")="B","","E")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+IFERROR(VLOOKUP(B207,Foundation!$C$8:$E$699,3,FALSE),"")</f>
        <v>DRY</v>
      </c>
      <c r="L207" s="435" t="str">
        <f>+IF(IFERROR(MATCH(B207,'Erection Compiled'!$C$6:$C$763,0),"B")="B","","E")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+IFERROR(VLOOKUP(B208,Foundation!$C$8:$E$699,3,FALSE),"")</f>
        <v>DRY</v>
      </c>
      <c r="L208" s="435" t="str">
        <f>+IF(IFERROR(MATCH(B208,'Erection Compiled'!$C$6:$C$763,0),"B")="B","","E")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+IFERROR(VLOOKUP(B209,Foundation!$C$8:$E$699,3,FALSE),"")</f>
        <v>DRY</v>
      </c>
      <c r="L209" s="435" t="str">
        <f>+IF(IFERROR(MATCH(B209,'Erection Compiled'!$C$6:$C$763,0),"B")="B","","E")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+IFERROR(VLOOKUP(B210,Foundation!$C$8:$E$699,3,FALSE),"")</f>
        <v>Sandy</v>
      </c>
      <c r="L210" s="435" t="str">
        <f>+IF(IFERROR(MATCH(B210,'Erection Compiled'!$C$6:$C$763,0),"B")="B","","E")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+IFERROR(VLOOKUP(B211,Foundation!$C$8:$E$699,3,FALSE),"")</f>
        <v>DRY</v>
      </c>
      <c r="L211" s="435" t="str">
        <f>+IF(IFERROR(MATCH(B211,'Erection Compiled'!$C$6:$C$763,0),"B")="B","","E")</f>
        <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+IFERROR(VLOOKUP(B212,Foundation!$C$8:$E$699,3,FALSE),"")</f>
        <v>Sandy</v>
      </c>
      <c r="L212" s="435" t="str">
        <f>+IF(IFERROR(MATCH(B212,'Erection Compiled'!$C$6:$C$763,0),"B")="B","","E")</f>
        <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+IFERROR(VLOOKUP(B213,Foundation!$C$8:$E$699,3,FALSE),"")</f>
        <v>Sandy</v>
      </c>
      <c r="L213" s="435" t="str">
        <f>+IF(IFERROR(MATCH(B213,'Erection Compiled'!$C$6:$C$763,0),"B")="B","","E")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+IFERROR(VLOOKUP(B214,Foundation!$C$8:$E$699,3,FALSE),"")</f>
        <v>DRY</v>
      </c>
      <c r="L214" s="435" t="str">
        <f>+IF(IFERROR(MATCH(B214,'Erection Compiled'!$C$6:$C$763,0),"B")="B","","E")</f>
        <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+IFERROR(VLOOKUP(B215,Foundation!$C$8:$E$699,3,FALSE),"")</f>
        <v>DRY</v>
      </c>
      <c r="L215" s="435" t="str">
        <f>+IF(IFERROR(MATCH(B215,'Erection Compiled'!$C$6:$C$763,0),"B")="B","","E")</f>
        <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+IFERROR(VLOOKUP(B216,Foundation!$C$8:$E$699,3,FALSE),"")</f>
        <v>DRY</v>
      </c>
      <c r="L216" s="435" t="str">
        <f>+IF(IFERROR(MATCH(B216,'Erection Compiled'!$C$6:$C$763,0),"B")="B","","E")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+IFERROR(VLOOKUP(B217,Foundation!$C$8:$E$699,3,FALSE),"")</f>
        <v>Sandy</v>
      </c>
      <c r="L217" s="435" t="str">
        <f>+IF(IFERROR(MATCH(B217,'Erection Compiled'!$C$6:$C$763,0),"B")="B","","E")</f>
        <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+IFERROR(VLOOKUP(B218,Foundation!$C$8:$E$699,3,FALSE),"")</f>
        <v>Sandy</v>
      </c>
      <c r="L218" s="435" t="str">
        <f>+IF(IFERROR(MATCH(B218,'Erection Compiled'!$C$6:$C$763,0),"B")="B","","E")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+IFERROR(VLOOKUP(B219,Foundation!$C$8:$E$699,3,FALSE),"")</f>
        <v>Sandy</v>
      </c>
      <c r="L219" s="435" t="str">
        <f>+IF(IFERROR(MATCH(B219,'Erection Compiled'!$C$6:$C$763,0),"B")="B","","E")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+IFERROR(VLOOKUP(B220,Foundation!$C$8:$E$699,3,FALSE),"")</f>
        <v>Sandy</v>
      </c>
      <c r="L220" s="435" t="str">
        <f>+IF(IFERROR(MATCH(B220,'Erection Compiled'!$C$6:$C$763,0),"B")="B","","E")</f>
        <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+IFERROR(VLOOKUP(B221,Foundation!$C$8:$E$699,3,FALSE),"")</f>
        <v>Sandy</v>
      </c>
      <c r="L221" s="435" t="str">
        <f>+IF(IFERROR(MATCH(B221,'Erection Compiled'!$C$6:$C$763,0),"B")="B","","E")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+IFERROR(VLOOKUP(B222,Foundation!$C$8:$E$699,3,FALSE),"")</f>
        <v>Sandy</v>
      </c>
      <c r="L222" s="435" t="str">
        <f>+IF(IFERROR(MATCH(B222,'Erection Compiled'!$C$6:$C$763,0),"B")="B","","E")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+IFERROR(VLOOKUP(B223,Foundation!$C$8:$E$699,3,FALSE),"")</f>
        <v>Sandy</v>
      </c>
      <c r="L223" s="435" t="str">
        <f>+IF(IFERROR(MATCH(B223,'Erection Compiled'!$C$6:$C$763,0),"B")="B","","E")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+IFERROR(VLOOKUP(B224,Foundation!$C$8:$E$699,3,FALSE),"")</f>
        <v>Sandy</v>
      </c>
      <c r="L224" s="435" t="str">
        <f>+IF(IFERROR(MATCH(B224,'Erection Compiled'!$C$6:$C$763,0),"B")="B","","E")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+IFERROR(VLOOKUP(B225,Foundation!$C$8:$E$699,3,FALSE),"")</f>
        <v>DRY</v>
      </c>
      <c r="L225" s="435" t="str">
        <f>+IF(IFERROR(MATCH(B225,'Erection Compiled'!$C$6:$C$763,0),"B")="B","","E")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+IFERROR(VLOOKUP(B226,Foundation!$C$8:$E$699,3,FALSE),"")</f>
        <v>Sandy</v>
      </c>
      <c r="L226" s="435" t="str">
        <f>+IF(IFERROR(MATCH(B226,'Erection Compiled'!$C$6:$C$763,0),"B")="B","","E")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+IFERROR(VLOOKUP(B227,Foundation!$C$8:$E$699,3,FALSE),"")</f>
        <v>Sandy</v>
      </c>
      <c r="L227" s="435" t="str">
        <f>+IF(IFERROR(MATCH(B227,'Erection Compiled'!$C$6:$C$763,0),"B")="B","","E")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+IFERROR(VLOOKUP(B228,Foundation!$C$8:$E$699,3,FALSE),"")</f>
        <v>Sandy</v>
      </c>
      <c r="L228" s="435" t="str">
        <f>+IF(IFERROR(MATCH(B228,'Erection Compiled'!$C$6:$C$763,0),"B")="B","","E")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+IFERROR(VLOOKUP(B229,Foundation!$C$8:$E$699,3,FALSE),"")</f>
        <v>Sandy</v>
      </c>
      <c r="L229" s="435" t="str">
        <f>+IF(IFERROR(MATCH(B229,'Erection Compiled'!$C$6:$C$763,0),"B")="B","","E")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+IFERROR(VLOOKUP(B230,Foundation!$C$8:$E$699,3,FALSE),"")</f>
        <v>Sandy</v>
      </c>
      <c r="L230" s="435" t="str">
        <f>+IF(IFERROR(MATCH(B230,'Erection Compiled'!$C$6:$C$763,0),"B")="B","","E")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+IFERROR(VLOOKUP(B231,Foundation!$C$8:$E$699,3,FALSE),"")</f>
        <v>Sandy</v>
      </c>
      <c r="L231" s="435" t="str">
        <f>+IF(IFERROR(MATCH(B231,'Erection Compiled'!$C$6:$C$763,0),"B")="B","","E")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+IFERROR(VLOOKUP(B232,Foundation!$C$8:$E$699,3,FALSE),"")</f>
        <v>Sandy</v>
      </c>
      <c r="L232" s="435" t="str">
        <f>+IF(IFERROR(MATCH(B232,'Erection Compiled'!$C$6:$C$763,0),"B")="B","","E")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+IFERROR(VLOOKUP(B233,Foundation!$C$8:$E$699,3,FALSE),"")</f>
        <v>Sandy</v>
      </c>
      <c r="L233" s="435" t="str">
        <f>+IF(IFERROR(MATCH(B233,'Erection Compiled'!$C$6:$C$763,0),"B")="B","","E")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+IFERROR(VLOOKUP(B234,Foundation!$C$8:$E$699,3,FALSE),"")</f>
        <v>Sandy</v>
      </c>
      <c r="L234" s="435" t="str">
        <f>+IF(IFERROR(MATCH(B234,'Erection Compiled'!$C$6:$C$763,0),"B")="B","","E")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+IFERROR(VLOOKUP(B235,Foundation!$C$8:$E$699,3,FALSE),"")</f>
        <v>Sandy</v>
      </c>
      <c r="L235" s="435" t="str">
        <f>+IF(IFERROR(MATCH(B235,'Erection Compiled'!$C$6:$C$763,0),"B")="B","","E")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+IFERROR(VLOOKUP(B236,Foundation!$C$8:$E$699,3,FALSE),"")</f>
        <v>Sandy</v>
      </c>
      <c r="L236" s="435" t="str">
        <f>+IF(IFERROR(MATCH(B236,'Erection Compiled'!$C$6:$C$763,0),"B")="B","","E")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+IFERROR(VLOOKUP(B237,Foundation!$C$8:$E$699,3,FALSE),"")</f>
        <v>Sandy</v>
      </c>
      <c r="L237" s="435" t="str">
        <f>+IF(IFERROR(MATCH(B237,'Erection Compiled'!$C$6:$C$763,0),"B")="B","","E")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+IFERROR(VLOOKUP(B238,Foundation!$C$8:$E$699,3,FALSE),"")</f>
        <v>Sandy</v>
      </c>
      <c r="L238" s="435" t="str">
        <f>+IF(IFERROR(MATCH(B238,'Erection Compiled'!$C$6:$C$763,0),"B")="B","","E")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+IFERROR(VLOOKUP(B239,Foundation!$C$8:$E$699,3,FALSE),"")</f>
        <v>Sandy</v>
      </c>
      <c r="L239" s="435" t="str">
        <f>+IF(IFERROR(MATCH(B239,'Erection Compiled'!$C$6:$C$763,0),"B")="B","","E")</f>
        <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+IFERROR(VLOOKUP(B240,Foundation!$C$8:$E$699,3,FALSE),"")</f>
        <v>Sandy</v>
      </c>
      <c r="L240" s="435" t="str">
        <f>+IF(IFERROR(MATCH(B240,'Erection Compiled'!$C$6:$C$763,0),"B")="B","","E")</f>
        <v>E</v>
      </c>
      <c r="M240" s="435" t="str">
        <f>+IFERROR(VLOOKUP(B240,Tackwelding!$B$6:$G$599,6,FALSE),"")</f>
        <v/>
      </c>
    </row>
    <row r="241" spans="1:13" x14ac:dyDescent="0.25">
      <c r="A241" s="435">
        <v>235</v>
      </c>
      <c r="B241" s="435" t="s">
        <v>541</v>
      </c>
      <c r="C241" s="435" t="s">
        <v>235</v>
      </c>
      <c r="H241" s="435" t="str">
        <f t="shared" si="3"/>
        <v>,,,</v>
      </c>
      <c r="I241" s="438">
        <v>425.5</v>
      </c>
      <c r="K241" s="435" t="str">
        <f>+IFERROR(VLOOKUP(B241,Foundation!$C$8:$E$699,3,FALSE),"")</f>
        <v>Sandy</v>
      </c>
      <c r="L241" s="435" t="str">
        <f>+IF(IFERROR(MATCH(B241,'Erection Compiled'!$C$6:$C$763,0),"B")="B","","E")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+IFERROR(VLOOKUP(B242,Foundation!$C$8:$E$699,3,FALSE),"")</f>
        <v>Sandy</v>
      </c>
      <c r="L242" s="435" t="str">
        <f>+IF(IFERROR(MATCH(B242,'Erection Compiled'!$C$6:$C$763,0),"B")="B","","E")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+IFERROR(VLOOKUP(B243,Foundation!$C$8:$E$699,3,FALSE),"")</f>
        <v>Sandy</v>
      </c>
      <c r="L243" s="435" t="str">
        <f>+IF(IFERROR(MATCH(B243,'Erection Compiled'!$C$6:$C$763,0),"B")="B","","E")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+IFERROR(VLOOKUP(B244,Foundation!$C$8:$E$699,3,FALSE),"")</f>
        <v>Sandy</v>
      </c>
      <c r="L244" s="435" t="str">
        <f>+IF(IFERROR(MATCH(B244,'Erection Compiled'!$C$6:$C$763,0),"B")="B","","E")</f>
        <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+IFERROR(VLOOKUP(B245,Foundation!$C$8:$E$699,3,FALSE),"")</f>
        <v>Sandy</v>
      </c>
      <c r="L245" s="435" t="str">
        <f>+IF(IFERROR(MATCH(B245,'Erection Compiled'!$C$6:$C$763,0),"B")="B","","E")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+IFERROR(VLOOKUP(B246,Foundation!$C$8:$E$699,3,FALSE),"")</f>
        <v>Sandy</v>
      </c>
      <c r="L246" s="435" t="str">
        <f>+IF(IFERROR(MATCH(B246,'Erection Compiled'!$C$6:$C$763,0),"B")="B","","E")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+IFERROR(VLOOKUP(B247,Foundation!$C$8:$E$699,3,FALSE),"")</f>
        <v>Sandy</v>
      </c>
      <c r="L247" s="435" t="str">
        <f>+IF(IFERROR(MATCH(B247,'Erection Compiled'!$C$6:$C$763,0),"B")="B","","E")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+IFERROR(VLOOKUP(B248,Foundation!$C$8:$E$699,3,FALSE),"")</f>
        <v>Sandy</v>
      </c>
      <c r="L248" s="435" t="str">
        <f>+IF(IFERROR(MATCH(B248,'Erection Compiled'!$C$6:$C$763,0),"B")="B","","E")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+IFERROR(VLOOKUP(B249,Foundation!$C$8:$E$699,3,FALSE),"")</f>
        <v>Sandy</v>
      </c>
      <c r="L249" s="435" t="str">
        <f>+IF(IFERROR(MATCH(B249,'Erection Compiled'!$C$6:$C$763,0),"B")="B","","E")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+IFERROR(VLOOKUP(B250,Foundation!$C$8:$E$699,3,FALSE),"")</f>
        <v>Sandy</v>
      </c>
      <c r="L250" s="435" t="str">
        <f>+IF(IFERROR(MATCH(B250,'Erection Compiled'!$C$6:$C$763,0),"B")="B","","E")</f>
        <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+IFERROR(VLOOKUP(B251,Foundation!$C$8:$E$699,3,FALSE),"")</f>
        <v>Sandy</v>
      </c>
      <c r="L251" s="435" t="str">
        <f>+IF(IFERROR(MATCH(B251,'Erection Compiled'!$C$6:$C$763,0),"B")="B","","E")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+IFERROR(VLOOKUP(B252,Foundation!$C$8:$E$699,3,FALSE),"")</f>
        <v>Sandy</v>
      </c>
      <c r="L252" s="435" t="str">
        <f>+IF(IFERROR(MATCH(B252,'Erection Compiled'!$C$6:$C$763,0),"B")="B","","E")</f>
        <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+IFERROR(VLOOKUP(B253,Foundation!$C$8:$E$699,3,FALSE),"")</f>
        <v>Sandy</v>
      </c>
      <c r="L253" s="435" t="str">
        <f>+IF(IFERROR(MATCH(B253,'Erection Compiled'!$C$6:$C$763,0),"B")="B","","E")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+IFERROR(VLOOKUP(B254,Foundation!$C$8:$E$699,3,FALSE),"")</f>
        <v>Sandy</v>
      </c>
      <c r="L254" s="435" t="str">
        <f>+IF(IFERROR(MATCH(B254,'Erection Compiled'!$C$6:$C$763,0),"B")="B","","E")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+IFERROR(VLOOKUP(B255,Foundation!$C$8:$E$699,3,FALSE),"")</f>
        <v>Sandy</v>
      </c>
      <c r="L255" s="435" t="str">
        <f>+IF(IFERROR(MATCH(B255,'Erection Compiled'!$C$6:$C$763,0),"B")="B","","E")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+IFERROR(VLOOKUP(B256,Foundation!$C$8:$E$699,3,FALSE),"")</f>
        <v>Sandy</v>
      </c>
      <c r="L256" s="435" t="str">
        <f>+IF(IFERROR(MATCH(B256,'Erection Compiled'!$C$6:$C$763,0),"B")="B","","E")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+IFERROR(VLOOKUP(B257,Foundation!$C$8:$E$699,3,FALSE),"")</f>
        <v>Sandy</v>
      </c>
      <c r="L257" s="435" t="str">
        <f>+IF(IFERROR(MATCH(B257,'Erection Compiled'!$C$6:$C$763,0),"B")="B","","E")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+IFERROR(VLOOKUP(B258,Foundation!$C$8:$E$699,3,FALSE),"")</f>
        <v>Sandy</v>
      </c>
      <c r="L258" s="435" t="str">
        <f>+IF(IFERROR(MATCH(B258,'Erection Compiled'!$C$6:$C$763,0),"B")="B","","E")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+IFERROR(VLOOKUP(B259,Foundation!$C$8:$E$699,3,FALSE),"")</f>
        <v>Sandy</v>
      </c>
      <c r="L259" s="435" t="str">
        <f>+IF(IFERROR(MATCH(B259,'Erection Compiled'!$C$6:$C$763,0),"B")="B","","E")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+IFERROR(VLOOKUP(B260,Foundation!$C$8:$E$699,3,FALSE),"")</f>
        <v>DRY</v>
      </c>
      <c r="L260" s="435" t="str">
        <f>+IF(IFERROR(MATCH(B260,'Erection Compiled'!$C$6:$C$763,0),"B")="B","","E")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+IFERROR(VLOOKUP(B261,Foundation!$C$8:$E$699,3,FALSE),"")</f>
        <v>Sandy</v>
      </c>
      <c r="L261" s="435" t="str">
        <f>+IF(IFERROR(MATCH(B261,'Erection Compiled'!$C$6:$C$763,0),"B")="B","","E")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+IFERROR(VLOOKUP(B262,Foundation!$C$8:$E$699,3,FALSE),"")</f>
        <v>DRY</v>
      </c>
      <c r="L262" s="435" t="str">
        <f>+IF(IFERROR(MATCH(B262,'Erection Compiled'!$C$6:$C$763,0),"B")="B","","E")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+IFERROR(VLOOKUP(B263,Foundation!$C$8:$E$699,3,FALSE),"")</f>
        <v>Sandy</v>
      </c>
      <c r="L263" s="435" t="str">
        <f>+IF(IFERROR(MATCH(B263,'Erection Compiled'!$C$6:$C$763,0),"B")="B","","E")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+IFERROR(VLOOKUP(B264,Foundation!$C$8:$E$699,3,FALSE),"")</f>
        <v>Sandy</v>
      </c>
      <c r="L264" s="435" t="str">
        <f>+IF(IFERROR(MATCH(B264,'Erection Compiled'!$C$6:$C$763,0),"B")="B","","E")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+IFERROR(VLOOKUP(B265,Foundation!$C$8:$E$699,3,FALSE),"")</f>
        <v>Sandy</v>
      </c>
      <c r="L265" s="435" t="str">
        <f>+IF(IFERROR(MATCH(B265,'Erection Compiled'!$C$6:$C$763,0),"B")="B","","E")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+IFERROR(VLOOKUP(B266,Foundation!$C$8:$E$699,3,FALSE),"")</f>
        <v>Sandy</v>
      </c>
      <c r="L266" s="435" t="str">
        <f>+IF(IFERROR(MATCH(B266,'Erection Compiled'!$C$6:$C$763,0),"B")="B","","E")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+IFERROR(VLOOKUP(B267,Foundation!$C$8:$E$699,3,FALSE),"")</f>
        <v>Sandy</v>
      </c>
      <c r="L267" s="435" t="str">
        <f>+IF(IFERROR(MATCH(B267,'Erection Compiled'!$C$6:$C$763,0),"B")="B","","E")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+IFERROR(VLOOKUP(B268,Foundation!$C$8:$E$699,3,FALSE),"")</f>
        <v>Sandy</v>
      </c>
      <c r="L268" s="435" t="str">
        <f>+IF(IFERROR(MATCH(B268,'Erection Compiled'!$C$6:$C$763,0),"B")="B","","E")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+IFERROR(VLOOKUP(B269,Foundation!$C$8:$E$699,3,FALSE),"")</f>
        <v>Sandy</v>
      </c>
      <c r="L269" s="435" t="str">
        <f>+IF(IFERROR(MATCH(B269,'Erection Compiled'!$C$6:$C$763,0),"B")="B","","E")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+IFERROR(VLOOKUP(B270,Foundation!$C$8:$E$699,3,FALSE),"")</f>
        <v>Sandy</v>
      </c>
      <c r="L270" s="435" t="str">
        <f>+IF(IFERROR(MATCH(B270,'Erection Compiled'!$C$6:$C$763,0),"B")="B","","E")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+IFERROR(VLOOKUP(B271,Foundation!$C$8:$E$699,3,FALSE),"")</f>
        <v>Sandy</v>
      </c>
      <c r="L271" s="435" t="str">
        <f>+IF(IFERROR(MATCH(B271,'Erection Compiled'!$C$6:$C$763,0),"B")="B","","E")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+IFERROR(VLOOKUP(B272,Foundation!$C$8:$E$699,3,FALSE),"")</f>
        <v>Sandy</v>
      </c>
      <c r="L272" s="435" t="str">
        <f>+IF(IFERROR(MATCH(B272,'Erection Compiled'!$C$6:$C$763,0),"B")="B","","E")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+IFERROR(VLOOKUP(B273,Foundation!$C$8:$E$699,3,FALSE),"")</f>
        <v>Sandy</v>
      </c>
      <c r="L273" s="435" t="str">
        <f>+IF(IFERROR(MATCH(B273,'Erection Compiled'!$C$6:$C$763,0),"B")="B","","E")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+IFERROR(VLOOKUP(B274,Foundation!$C$8:$E$699,3,FALSE),"")</f>
        <v>Sandy</v>
      </c>
      <c r="L274" s="435" t="str">
        <f>+IF(IFERROR(MATCH(B274,'Erection Compiled'!$C$6:$C$763,0),"B")="B","","E")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+IFERROR(VLOOKUP(B275,Foundation!$C$8:$E$699,3,FALSE),"")</f>
        <v>Sandy</v>
      </c>
      <c r="L275" s="435" t="str">
        <f>+IF(IFERROR(MATCH(B275,'Erection Compiled'!$C$6:$C$763,0),"B")="B","","E")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+IFERROR(VLOOKUP(B276,Foundation!$C$8:$E$699,3,FALSE),"")</f>
        <v>Sandy</v>
      </c>
      <c r="L276" s="435" t="str">
        <f>+IF(IFERROR(MATCH(B276,'Erection Compiled'!$C$6:$C$763,0),"B")="B","","E")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+IFERROR(VLOOKUP(B277,Foundation!$C$8:$E$699,3,FALSE),"")</f>
        <v>Sandy</v>
      </c>
      <c r="L277" s="435" t="str">
        <f>+IF(IFERROR(MATCH(B277,'Erection Compiled'!$C$6:$C$763,0),"B")="B","","E")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+IFERROR(VLOOKUP(B278,Foundation!$C$8:$E$699,3,FALSE),"")</f>
        <v>Sandy</v>
      </c>
      <c r="L278" s="435" t="str">
        <f>+IF(IFERROR(MATCH(B278,'Erection Compiled'!$C$6:$C$763,0),"B")="B","","E")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+IFERROR(VLOOKUP(B279,Foundation!$C$8:$E$699,3,FALSE),"")</f>
        <v>Sandy</v>
      </c>
      <c r="L279" s="435" t="str">
        <f>+IF(IFERROR(MATCH(B279,'Erection Compiled'!$C$6:$C$763,0),"B")="B","","E")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+IFERROR(VLOOKUP(B280,Foundation!$C$8:$E$699,3,FALSE),"")</f>
        <v>Sandy</v>
      </c>
      <c r="L280" s="435" t="str">
        <f>+IF(IFERROR(MATCH(B280,'Erection Compiled'!$C$6:$C$763,0),"B")="B","","E")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+IFERROR(VLOOKUP(B281,Foundation!$C$8:$E$699,3,FALSE),"")</f>
        <v>Sandy</v>
      </c>
      <c r="L281" s="435" t="str">
        <f>+IF(IFERROR(MATCH(B281,'Erection Compiled'!$C$6:$C$763,0),"B")="B","","E")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+IFERROR(VLOOKUP(B282,Foundation!$C$8:$E$699,3,FALSE),"")</f>
        <v>Sandy</v>
      </c>
      <c r="L282" s="435" t="str">
        <f>+IF(IFERROR(MATCH(B282,'Erection Compiled'!$C$6:$C$763,0),"B")="B","","E")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+IFERROR(VLOOKUP(B283,Foundation!$C$8:$E$699,3,FALSE),"")</f>
        <v>Sandy</v>
      </c>
      <c r="L283" s="435" t="str">
        <f>+IF(IFERROR(MATCH(B283,'Erection Compiled'!$C$6:$C$763,0),"B")="B","","E")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+IFERROR(VLOOKUP(B284,Foundation!$C$8:$E$699,3,FALSE),"")</f>
        <v>Sandy</v>
      </c>
      <c r="L284" s="435" t="str">
        <f>+IF(IFERROR(MATCH(B284,'Erection Compiled'!$C$6:$C$763,0),"B")="B","","E")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+IFERROR(VLOOKUP(B285,Foundation!$C$8:$E$699,3,FALSE),"")</f>
        <v>Sandy</v>
      </c>
      <c r="L285" s="435" t="str">
        <f>+IF(IFERROR(MATCH(B285,'Erection Compiled'!$C$6:$C$763,0),"B")="B","","E")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+IFERROR(VLOOKUP(B286,Foundation!$C$8:$E$699,3,FALSE),"")</f>
        <v>Sandy</v>
      </c>
      <c r="L286" s="435" t="str">
        <f>+IF(IFERROR(MATCH(B286,'Erection Compiled'!$C$6:$C$763,0),"B")="B","","E")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+IFERROR(VLOOKUP(B287,Foundation!$C$8:$E$699,3,FALSE),"")</f>
        <v>Sandy</v>
      </c>
      <c r="L287" s="435" t="str">
        <f>+IF(IFERROR(MATCH(B287,'Erection Compiled'!$C$6:$C$763,0),"B")="B","","E")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+IFERROR(VLOOKUP(B288,Foundation!$C$8:$E$699,3,FALSE),"")</f>
        <v>Sandy</v>
      </c>
      <c r="L288" s="435" t="str">
        <f>+IF(IFERROR(MATCH(B288,'Erection Compiled'!$C$6:$C$763,0),"B")="B","","E")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+IFERROR(VLOOKUP(B289,Foundation!$C$8:$E$699,3,FALSE),"")</f>
        <v>Sandy</v>
      </c>
      <c r="L289" s="435" t="str">
        <f>+IF(IFERROR(MATCH(B289,'Erection Compiled'!$C$6:$C$763,0),"B")="B","","E")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+IFERROR(VLOOKUP(B290,Foundation!$C$8:$E$699,3,FALSE),"")</f>
        <v>Sandy</v>
      </c>
      <c r="L290" s="435" t="str">
        <f>+IF(IFERROR(MATCH(B290,'Erection Compiled'!$C$6:$C$763,0),"B")="B","","E")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+IFERROR(VLOOKUP(B291,Foundation!$C$8:$E$699,3,FALSE),"")</f>
        <v>Sandy</v>
      </c>
      <c r="L291" s="435" t="str">
        <f>+IF(IFERROR(MATCH(B291,'Erection Compiled'!$C$6:$C$763,0),"B")="B","","E")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+IFERROR(VLOOKUP(B292,Foundation!$C$8:$E$699,3,FALSE),"")</f>
        <v>Sandy</v>
      </c>
      <c r="L292" s="435" t="str">
        <f>+IF(IFERROR(MATCH(B292,'Erection Compiled'!$C$6:$C$763,0),"B")="B","","E")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+IFERROR(VLOOKUP(B293,Foundation!$C$8:$E$699,3,FALSE),"")</f>
        <v>Sandy</v>
      </c>
      <c r="L293" s="435" t="str">
        <f>+IF(IFERROR(MATCH(B293,'Erection Compiled'!$C$6:$C$763,0),"B")="B","","E")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+IFERROR(VLOOKUP(B294,Foundation!$C$8:$E$699,3,FALSE),"")</f>
        <v>Sandy</v>
      </c>
      <c r="L294" s="435" t="str">
        <f>+IF(IFERROR(MATCH(B294,'Erection Compiled'!$C$6:$C$763,0),"B")="B","","E")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+IFERROR(VLOOKUP(B295,Foundation!$C$8:$E$699,3,FALSE),"")</f>
        <v>Sandy</v>
      </c>
      <c r="L295" s="435" t="str">
        <f>+IF(IFERROR(MATCH(B295,'Erection Compiled'!$C$6:$C$763,0),"B")="B","","E")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+IFERROR(VLOOKUP(B296,Foundation!$C$8:$E$699,3,FALSE),"")</f>
        <v>Sandy</v>
      </c>
      <c r="L296" s="435" t="str">
        <f>+IF(IFERROR(MATCH(B296,'Erection Compiled'!$C$6:$C$763,0),"B")="B","","E")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+IFERROR(VLOOKUP(B297,Foundation!$C$8:$E$699,3,FALSE),"")</f>
        <v>Sandy</v>
      </c>
      <c r="L297" s="435" t="str">
        <f>+IF(IFERROR(MATCH(B297,'Erection Compiled'!$C$6:$C$763,0),"B")="B","","E")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+IFERROR(VLOOKUP(B298,Foundation!$C$8:$E$699,3,FALSE),"")</f>
        <v>Sandy</v>
      </c>
      <c r="L298" s="435" t="str">
        <f>+IF(IFERROR(MATCH(B298,'Erection Compiled'!$C$6:$C$763,0),"B")="B","","E")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+IFERROR(VLOOKUP(B299,Foundation!$C$8:$E$699,3,FALSE),"")</f>
        <v>Sandy</v>
      </c>
      <c r="L299" s="435" t="str">
        <f>+IF(IFERROR(MATCH(B299,'Erection Compiled'!$C$6:$C$763,0),"B")="B","","E")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+IFERROR(VLOOKUP(B300,Foundation!$C$8:$E$699,3,FALSE),"")</f>
        <v>Sandy</v>
      </c>
      <c r="L300" s="435" t="str">
        <f>+IF(IFERROR(MATCH(B300,'Erection Compiled'!$C$6:$C$763,0),"B")="B","","E")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+IFERROR(VLOOKUP(B301,Foundation!$C$8:$E$699,3,FALSE),"")</f>
        <v>Sandy</v>
      </c>
      <c r="L301" s="435" t="str">
        <f>+IF(IFERROR(MATCH(B301,'Erection Compiled'!$C$6:$C$763,0),"B")="B","","E")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+IFERROR(VLOOKUP(B302,Foundation!$C$8:$E$699,3,FALSE),"")</f>
        <v>Sandy</v>
      </c>
      <c r="L302" s="435" t="str">
        <f>+IF(IFERROR(MATCH(B302,'Erection Compiled'!$C$6:$C$763,0),"B")="B","","E")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+IFERROR(VLOOKUP(B303,Foundation!$C$8:$E$699,3,FALSE),"")</f>
        <v>Sandy</v>
      </c>
      <c r="L303" s="435" t="str">
        <f>+IF(IFERROR(MATCH(B303,'Erection Compiled'!$C$6:$C$763,0),"B")="B","","E")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+IFERROR(VLOOKUP(B304,Foundation!$C$8:$E$699,3,FALSE),"")</f>
        <v>Sandy</v>
      </c>
      <c r="L304" s="435" t="str">
        <f>+IF(IFERROR(MATCH(B304,'Erection Compiled'!$C$6:$C$763,0),"B")="B","","E")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+IFERROR(VLOOKUP(B305,Foundation!$C$8:$E$699,3,FALSE),"")</f>
        <v>Sandy</v>
      </c>
      <c r="L305" s="435" t="str">
        <f>+IF(IFERROR(MATCH(B305,'Erection Compiled'!$C$6:$C$763,0),"B")="B","","E")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+IFERROR(VLOOKUP(B306,Foundation!$C$8:$E$699,3,FALSE),"")</f>
        <v>Sandy</v>
      </c>
      <c r="L306" s="435" t="str">
        <f>+IF(IFERROR(MATCH(B306,'Erection Compiled'!$C$6:$C$763,0),"B")="B","","E")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+IFERROR(VLOOKUP(B307,Foundation!$C$8:$E$699,3,FALSE),"")</f>
        <v>Sandy</v>
      </c>
      <c r="L307" s="435" t="str">
        <f>+IF(IFERROR(MATCH(B307,'Erection Compiled'!$C$6:$C$763,0),"B")="B","","E")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+IFERROR(VLOOKUP(B308,Foundation!$C$8:$E$699,3,FALSE),"")</f>
        <v>Sandy</v>
      </c>
      <c r="L308" s="435" t="str">
        <f>+IF(IFERROR(MATCH(B308,'Erection Compiled'!$C$6:$C$763,0),"B")="B","","E")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+IFERROR(VLOOKUP(B309,Foundation!$C$8:$E$699,3,FALSE),"")</f>
        <v>Sandy</v>
      </c>
      <c r="L309" s="435" t="str">
        <f>+IF(IFERROR(MATCH(B309,'Erection Compiled'!$C$6:$C$763,0),"B")="B","","E")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+IFERROR(VLOOKUP(B310,Foundation!$C$8:$E$699,3,FALSE),"")</f>
        <v>Sandy</v>
      </c>
      <c r="L310" s="435" t="str">
        <f>+IF(IFERROR(MATCH(B310,'Erection Compiled'!$C$6:$C$763,0),"B")="B","","E")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+IFERROR(VLOOKUP(B311,Foundation!$C$8:$E$699,3,FALSE),"")</f>
        <v>Sandy</v>
      </c>
      <c r="L311" s="435" t="str">
        <f>+IF(IFERROR(MATCH(B311,'Erection Compiled'!$C$6:$C$763,0),"B")="B","","E")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+IFERROR(VLOOKUP(B312,Foundation!$C$8:$E$699,3,FALSE),"")</f>
        <v>Sandy</v>
      </c>
      <c r="L312" s="435" t="str">
        <f>+IF(IFERROR(MATCH(B312,'Erection Compiled'!$C$6:$C$763,0),"B")="B","","E")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+IFERROR(VLOOKUP(B313,Foundation!$C$8:$E$699,3,FALSE),"")</f>
        <v>Sandy</v>
      </c>
      <c r="L313" s="435" t="str">
        <f>+IF(IFERROR(MATCH(B313,'Erection Compiled'!$C$6:$C$763,0),"B")="B","","E")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+IFERROR(VLOOKUP(B314,Foundation!$C$8:$E$699,3,FALSE),"")</f>
        <v>Sandy</v>
      </c>
      <c r="L314" s="435" t="str">
        <f>+IF(IFERROR(MATCH(B314,'Erection Compiled'!$C$6:$C$763,0),"B")="B","","E")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+IFERROR(VLOOKUP(B315,Foundation!$C$8:$E$699,3,FALSE),"")</f>
        <v>Sandy</v>
      </c>
      <c r="L315" s="435" t="str">
        <f>+IF(IFERROR(MATCH(B315,'Erection Compiled'!$C$6:$C$763,0),"B")="B","","E")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+IFERROR(VLOOKUP(B316,Foundation!$C$8:$E$699,3,FALSE),"")</f>
        <v>Sandy</v>
      </c>
      <c r="L316" s="435" t="str">
        <f>+IF(IFERROR(MATCH(B316,'Erection Compiled'!$C$6:$C$763,0),"B")="B","","E")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+IFERROR(VLOOKUP(B317,Foundation!$C$8:$E$699,3,FALSE),"")</f>
        <v>Sandy</v>
      </c>
      <c r="L317" s="435" t="str">
        <f>+IF(IFERROR(MATCH(B317,'Erection Compiled'!$C$6:$C$763,0),"B")="B","","E")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+IFERROR(VLOOKUP(B318,Foundation!$C$8:$E$699,3,FALSE),"")</f>
        <v>Sandy</v>
      </c>
      <c r="L318" s="435" t="str">
        <f>+IF(IFERROR(MATCH(B318,'Erection Compiled'!$C$6:$C$763,0),"B")="B","","E")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+IFERROR(VLOOKUP(B319,Foundation!$C$8:$E$699,3,FALSE),"")</f>
        <v>Sandy</v>
      </c>
      <c r="L319" s="435" t="str">
        <f>+IF(IFERROR(MATCH(B319,'Erection Compiled'!$C$6:$C$763,0),"B")="B","","E")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+IFERROR(VLOOKUP(B320,Foundation!$C$8:$E$699,3,FALSE),"")</f>
        <v>Sandy</v>
      </c>
      <c r="L320" s="435" t="str">
        <f>+IF(IFERROR(MATCH(B320,'Erection Compiled'!$C$6:$C$763,0),"B")="B","","E")</f>
        <v>E</v>
      </c>
      <c r="M320" s="435" t="str">
        <f>+IFERROR(VLOOKUP(B320,Tackwelding!$B$6:$G$599,6,FALSE),"")</f>
        <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+IFERROR(VLOOKUP(B321,Foundation!$C$8:$E$699,3,FALSE),"")</f>
        <v>Sandy</v>
      </c>
      <c r="L321" s="435" t="str">
        <f>+IF(IFERROR(MATCH(B321,'Erection Compiled'!$C$6:$C$763,0),"B")="B","","E")</f>
        <v>E</v>
      </c>
      <c r="M321" s="435" t="str">
        <f>+IFERROR(VLOOKUP(B321,Tackwelding!$B$6:$G$599,6,FALSE),"")</f>
        <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+IFERROR(VLOOKUP(B322,Foundation!$C$8:$E$699,3,FALSE),"")</f>
        <v>Sandy</v>
      </c>
      <c r="L322" s="435" t="str">
        <f>+IF(IFERROR(MATCH(B322,'Erection Compiled'!$C$6:$C$763,0),"B")="B","","E")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+IFERROR(VLOOKUP(B323,Foundation!$C$8:$E$699,3,FALSE),"")</f>
        <v>Sandy</v>
      </c>
      <c r="L323" s="435" t="str">
        <f>+IF(IFERROR(MATCH(B323,'Erection Compiled'!$C$6:$C$763,0),"B")="B","","E")</f>
        <v>E</v>
      </c>
      <c r="M323" s="435" t="str">
        <f>+IFERROR(VLOOKUP(B323,Tackwelding!$B$6:$G$599,6,FALSE),"")</f>
        <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+IFERROR(VLOOKUP(B324,Foundation!$C$8:$E$699,3,FALSE),"")</f>
        <v>Sandy</v>
      </c>
      <c r="L324" s="435" t="str">
        <f>+IF(IFERROR(MATCH(B324,'Erection Compiled'!$C$6:$C$763,0),"B")="B","","E")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+IFERROR(VLOOKUP(B325,Foundation!$C$8:$E$699,3,FALSE),"")</f>
        <v>Sandy</v>
      </c>
      <c r="L325" s="435" t="str">
        <f>+IF(IFERROR(MATCH(B325,'Erection Compiled'!$C$6:$C$763,0),"B")="B","","E")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+IFERROR(VLOOKUP(B326,Foundation!$C$8:$E$699,3,FALSE),"")</f>
        <v>Sandy</v>
      </c>
      <c r="L326" s="435" t="str">
        <f>+IF(IFERROR(MATCH(B326,'Erection Compiled'!$C$6:$C$763,0),"B")="B","","E")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+IFERROR(VLOOKUP(B327,Foundation!$C$8:$E$699,3,FALSE),"")</f>
        <v>Sandy</v>
      </c>
      <c r="L327" s="435" t="str">
        <f>+IF(IFERROR(MATCH(B327,'Erection Compiled'!$C$6:$C$763,0),"B")="B","","E")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+IFERROR(VLOOKUP(B328,Foundation!$C$8:$E$699,3,FALSE),"")</f>
        <v>Sandy</v>
      </c>
      <c r="L328" s="435" t="str">
        <f>+IF(IFERROR(MATCH(B328,'Erection Compiled'!$C$6:$C$763,0),"B")="B","","E")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+IFERROR(VLOOKUP(B329,Foundation!$C$8:$E$699,3,FALSE),"")</f>
        <v>Sandy</v>
      </c>
      <c r="L329" s="435" t="str">
        <f>+IF(IFERROR(MATCH(B329,'Erection Compiled'!$C$6:$C$763,0),"B")="B","","E")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+IFERROR(VLOOKUP(B330,Foundation!$C$8:$E$699,3,FALSE),"")</f>
        <v>Sandy</v>
      </c>
      <c r="L330" s="435" t="str">
        <f>+IF(IFERROR(MATCH(B330,'Erection Compiled'!$C$6:$C$763,0),"B")="B","","E")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+IFERROR(VLOOKUP(B331,Foundation!$C$8:$E$699,3,FALSE),"")</f>
        <v>Sandy</v>
      </c>
      <c r="L331" s="435" t="str">
        <f>+IF(IFERROR(MATCH(B331,'Erection Compiled'!$C$6:$C$763,0),"B")="B","","E")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+IFERROR(VLOOKUP(B332,Foundation!$C$8:$E$699,3,FALSE),"")</f>
        <v>Sandy</v>
      </c>
      <c r="L332" s="435" t="str">
        <f>+IF(IFERROR(MATCH(B332,'Erection Compiled'!$C$6:$C$763,0),"B")="B","","E")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+IFERROR(VLOOKUP(B333,Foundation!$C$8:$E$699,3,FALSE),"")</f>
        <v>Sandy</v>
      </c>
      <c r="L333" s="435" t="str">
        <f>+IF(IFERROR(MATCH(B333,'Erection Compiled'!$C$6:$C$763,0),"B")="B","","E")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+IFERROR(VLOOKUP(B334,Foundation!$C$8:$E$699,3,FALSE),"")</f>
        <v>Sandy</v>
      </c>
      <c r="L334" s="435" t="str">
        <f>+IF(IFERROR(MATCH(B334,'Erection Compiled'!$C$6:$C$763,0),"B")="B","","E")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+IFERROR(VLOOKUP(B335,Foundation!$C$8:$E$699,3,FALSE),"")</f>
        <v>Sandy</v>
      </c>
      <c r="L335" s="435" t="str">
        <f>+IF(IFERROR(MATCH(B335,'Erection Compiled'!$C$6:$C$763,0),"B")="B","","E")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+IFERROR(VLOOKUP(B336,Foundation!$C$8:$E$699,3,FALSE),"")</f>
        <v>Sandy</v>
      </c>
      <c r="L336" s="435" t="str">
        <f>+IF(IFERROR(MATCH(B336,'Erection Compiled'!$C$6:$C$763,0),"B")="B","","E")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+IFERROR(VLOOKUP(B337,Foundation!$C$8:$E$699,3,FALSE),"")</f>
        <v>Sandy</v>
      </c>
      <c r="L337" s="435" t="str">
        <f>+IF(IFERROR(MATCH(B337,'Erection Compiled'!$C$6:$C$763,0),"B")="B","","E")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+IFERROR(VLOOKUP(B338,Foundation!$C$8:$E$699,3,FALSE),"")</f>
        <v>Sandy</v>
      </c>
      <c r="L338" s="435" t="str">
        <f>+IF(IFERROR(MATCH(B338,'Erection Compiled'!$C$6:$C$763,0),"B")="B","","E")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+IFERROR(VLOOKUP(B339,Foundation!$C$8:$E$699,3,FALSE),"")</f>
        <v>Sandy</v>
      </c>
      <c r="L339" s="435" t="str">
        <f>+IF(IFERROR(MATCH(B339,'Erection Compiled'!$C$6:$C$763,0),"B")="B","","E")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+IFERROR(VLOOKUP(B340,Foundation!$C$8:$E$699,3,FALSE),"")</f>
        <v>Sandy</v>
      </c>
      <c r="L340" s="435" t="str">
        <f>+IF(IFERROR(MATCH(B340,'Erection Compiled'!$C$6:$C$763,0),"B")="B","","E")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+IFERROR(VLOOKUP(B341,Foundation!$C$8:$E$699,3,FALSE),"")</f>
        <v>Sandy</v>
      </c>
      <c r="L341" s="435" t="str">
        <f>+IF(IFERROR(MATCH(B341,'Erection Compiled'!$C$6:$C$763,0),"B")="B","","E")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+IFERROR(VLOOKUP(B342,Foundation!$C$8:$E$699,3,FALSE),"")</f>
        <v>Sandy</v>
      </c>
      <c r="L342" s="435" t="str">
        <f>+IF(IFERROR(MATCH(B342,'Erection Compiled'!$C$6:$C$763,0),"B")="B","","E")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+IFERROR(VLOOKUP(B343,Foundation!$C$8:$E$699,3,FALSE),"")</f>
        <v>Sandy</v>
      </c>
      <c r="L343" s="435" t="str">
        <f>+IF(IFERROR(MATCH(B343,'Erection Compiled'!$C$6:$C$763,0),"B")="B","","E")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+IFERROR(VLOOKUP(B344,Foundation!$C$8:$E$699,3,FALSE),"")</f>
        <v>Sandy</v>
      </c>
      <c r="L344" s="435" t="str">
        <f>+IF(IFERROR(MATCH(B344,'Erection Compiled'!$C$6:$C$763,0),"B")="B","","E")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+IFERROR(VLOOKUP(B345,Foundation!$C$8:$E$699,3,FALSE),"")</f>
        <v>Sandy</v>
      </c>
      <c r="L345" s="435" t="str">
        <f>+IF(IFERROR(MATCH(B345,'Erection Compiled'!$C$6:$C$763,0),"B")="B","","E")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+IFERROR(VLOOKUP(B346,Foundation!$C$8:$E$699,3,FALSE),"")</f>
        <v>WFR</v>
      </c>
      <c r="L346" s="435" t="str">
        <f>+IF(IFERROR(MATCH(B346,'Erection Compiled'!$C$6:$C$763,0),"B")="B","","E")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+IFERROR(VLOOKUP(B347,Foundation!$C$8:$E$699,3,FALSE),"")</f>
        <v>WFR</v>
      </c>
      <c r="L347" s="435" t="str">
        <f>+IF(IFERROR(MATCH(B347,'Erection Compiled'!$C$6:$C$763,0),"B")="B","","E")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+IFERROR(VLOOKUP(B348,Foundation!$C$8:$E$699,3,FALSE),"")</f>
        <v>Sandy</v>
      </c>
      <c r="L348" s="435" t="str">
        <f>+IF(IFERROR(MATCH(B348,'Erection Compiled'!$C$6:$C$763,0),"B")="B","","E")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+IFERROR(VLOOKUP(B349,Foundation!$C$8:$E$699,3,FALSE),"")</f>
        <v>Sandy</v>
      </c>
      <c r="L349" s="435" t="str">
        <f>+IF(IFERROR(MATCH(B349,'Erection Compiled'!$C$6:$C$763,0),"B")="B","","E")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+IFERROR(VLOOKUP(B350,Foundation!$C$8:$E$699,3,FALSE),"")</f>
        <v>Sandy</v>
      </c>
      <c r="L350" s="435" t="str">
        <f>+IF(IFERROR(MATCH(B350,'Erection Compiled'!$C$6:$C$763,0),"B")="B","","E")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+IFERROR(VLOOKUP(B351,Foundation!$C$8:$E$699,3,FALSE),"")</f>
        <v>Sandy</v>
      </c>
      <c r="L351" s="435" t="str">
        <f>+IF(IFERROR(MATCH(B351,'Erection Compiled'!$C$6:$C$763,0),"B")="B","","E")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+IFERROR(VLOOKUP(B352,Foundation!$C$8:$E$699,3,FALSE),"")</f>
        <v>Sandy</v>
      </c>
      <c r="L352" s="435" t="str">
        <f>+IF(IFERROR(MATCH(B352,'Erection Compiled'!$C$6:$C$763,0),"B")="B","","E")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+IFERROR(VLOOKUP(B353,Foundation!$C$8:$E$699,3,FALSE),"")</f>
        <v>Sandy</v>
      </c>
      <c r="L353" s="435" t="str">
        <f>+IF(IFERROR(MATCH(B353,'Erection Compiled'!$C$6:$C$763,0),"B")="B","","E")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+IFERROR(VLOOKUP(B354,Foundation!$C$8:$E$699,3,FALSE),"")</f>
        <v>Sandy</v>
      </c>
      <c r="L354" s="435" t="str">
        <f>+IF(IFERROR(MATCH(B354,'Erection Compiled'!$C$6:$C$763,0),"B")="B","","E")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+IFERROR(VLOOKUP(B355,Foundation!$C$8:$E$699,3,FALSE),"")</f>
        <v>Sandy</v>
      </c>
      <c r="L355" s="435" t="str">
        <f>+IF(IFERROR(MATCH(B355,'Erection Compiled'!$C$6:$C$763,0),"B")="B","","E")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+IFERROR(VLOOKUP(B356,Foundation!$C$8:$E$699,3,FALSE),"")</f>
        <v>Sandy</v>
      </c>
      <c r="L356" s="435" t="str">
        <f>+IF(IFERROR(MATCH(B356,'Erection Compiled'!$C$6:$C$763,0),"B")="B","","E")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+IFERROR(VLOOKUP(B357,Foundation!$C$8:$E$699,3,FALSE),"")</f>
        <v>DRY</v>
      </c>
      <c r="L357" s="435" t="str">
        <f>+IF(IFERROR(MATCH(B357,'Erection Compiled'!$C$6:$C$763,0),"B")="B","","E")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+IFERROR(VLOOKUP(B358,Foundation!$C$8:$E$699,3,FALSE),"")</f>
        <v>DRY</v>
      </c>
      <c r="L358" s="435" t="str">
        <f>+IF(IFERROR(MATCH(B358,'Erection Compiled'!$C$6:$C$763,0),"B")="B","","E")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+IFERROR(VLOOKUP(B359,Foundation!$C$8:$E$699,3,FALSE),"")</f>
        <v>Sandy</v>
      </c>
      <c r="L359" s="435" t="str">
        <f>+IF(IFERROR(MATCH(B359,'Erection Compiled'!$C$6:$C$763,0),"B")="B","","E")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+IFERROR(VLOOKUP(B360,Foundation!$C$8:$E$699,3,FALSE),"")</f>
        <v>Sandy</v>
      </c>
      <c r="L360" s="435" t="str">
        <f>+IF(IFERROR(MATCH(B360,'Erection Compiled'!$C$6:$C$763,0),"B")="B","","E")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+IFERROR(VLOOKUP(B361,Foundation!$C$8:$E$699,3,FALSE),"")</f>
        <v>Sandy</v>
      </c>
      <c r="L361" s="435" t="str">
        <f>+IF(IFERROR(MATCH(B361,'Erection Compiled'!$C$6:$C$763,0),"B")="B","","E")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+IFERROR(VLOOKUP(B362,Foundation!$C$8:$E$699,3,FALSE),"")</f>
        <v>DFR</v>
      </c>
      <c r="L362" s="435" t="str">
        <f>+IF(IFERROR(MATCH(B362,'Erection Compiled'!$C$6:$C$763,0),"B")="B","","E")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+IFERROR(VLOOKUP(B363,Foundation!$C$8:$E$699,3,FALSE),"")</f>
        <v>DFR</v>
      </c>
      <c r="L363" s="435" t="str">
        <f>+IF(IFERROR(MATCH(B363,'Erection Compiled'!$C$6:$C$763,0),"B")="B","","E")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+IFERROR(VLOOKUP(B364,Foundation!$C$8:$E$699,3,FALSE),"")</f>
        <v>DRY</v>
      </c>
      <c r="L364" s="435" t="str">
        <f>+IF(IFERROR(MATCH(B364,'Erection Compiled'!$C$6:$C$763,0),"B")="B","","E")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+IFERROR(VLOOKUP(B365,Foundation!$C$8:$E$699,3,FALSE),"")</f>
        <v>DRY</v>
      </c>
      <c r="L365" s="435" t="str">
        <f>+IF(IFERROR(MATCH(B365,'Erection Compiled'!$C$6:$C$763,0),"B")="B","","E")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+IFERROR(VLOOKUP(B366,Foundation!$C$8:$E$699,3,FALSE),"")</f>
        <v>DFR</v>
      </c>
      <c r="L366" s="435" t="str">
        <f>+IF(IFERROR(MATCH(B366,'Erection Compiled'!$C$6:$C$763,0),"B")="B","","E")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+IFERROR(VLOOKUP(B367,Foundation!$C$8:$E$699,3,FALSE),"")</f>
        <v>DFR</v>
      </c>
      <c r="L367" s="435" t="str">
        <f>+IF(IFERROR(MATCH(B367,'Erection Compiled'!$C$6:$C$763,0),"B")="B","","E")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+IFERROR(VLOOKUP(B368,Foundation!$C$8:$E$699,3,FALSE),"")</f>
        <v>DFR</v>
      </c>
      <c r="L368" s="435" t="str">
        <f>+IF(IFERROR(MATCH(B368,'Erection Compiled'!$C$6:$C$763,0),"B")="B","","E")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+IFERROR(VLOOKUP(B369,Foundation!$C$8:$E$699,3,FALSE),"")</f>
        <v>DFR</v>
      </c>
      <c r="L369" s="435" t="str">
        <f>+IF(IFERROR(MATCH(B369,'Erection Compiled'!$C$6:$C$763,0),"B")="B","","E")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+IFERROR(VLOOKUP(B370,Foundation!$C$8:$E$699,3,FALSE),"")</f>
        <v>DFR</v>
      </c>
      <c r="L370" s="435" t="str">
        <f>+IF(IFERROR(MATCH(B370,'Erection Compiled'!$C$6:$C$763,0),"B")="B","","E")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+IFERROR(VLOOKUP(B371,Foundation!$C$8:$E$699,3,FALSE),"")</f>
        <v>DRY</v>
      </c>
      <c r="L371" s="435" t="str">
        <f>+IF(IFERROR(MATCH(B371,'Erection Compiled'!$C$6:$C$763,0),"B")="B","","E")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+IFERROR(VLOOKUP(B372,Foundation!$C$8:$E$699,3,FALSE),"")</f>
        <v>DRY</v>
      </c>
      <c r="L372" s="435" t="str">
        <f>+IF(IFERROR(MATCH(B372,'Erection Compiled'!$C$6:$C$763,0),"B")="B","","E")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+IFERROR(VLOOKUP(B373,Foundation!$C$8:$E$699,3,FALSE),"")</f>
        <v>DRY</v>
      </c>
      <c r="L373" s="435" t="str">
        <f>+IF(IFERROR(MATCH(B373,'Erection Compiled'!$C$6:$C$763,0),"B")="B","","E")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+IFERROR(VLOOKUP(B374,Foundation!$C$8:$E$699,3,FALSE),"")</f>
        <v>DRY</v>
      </c>
      <c r="L374" s="435" t="str">
        <f>+IF(IFERROR(MATCH(B374,'Erection Compiled'!$C$6:$C$763,0),"B")="B","","E")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+IFERROR(VLOOKUP(B375,Foundation!$C$8:$E$699,3,FALSE),"")</f>
        <v>DFR</v>
      </c>
      <c r="L375" s="435" t="str">
        <f>+IF(IFERROR(MATCH(B375,'Erection Compiled'!$C$6:$C$763,0),"B")="B","","E")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+IFERROR(VLOOKUP(B376,Foundation!$C$8:$E$699,3,FALSE),"")</f>
        <v>DFR</v>
      </c>
      <c r="L376" s="435" t="str">
        <f>+IF(IFERROR(MATCH(B376,'Erection Compiled'!$C$6:$C$763,0),"B")="B","","E")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+IFERROR(VLOOKUP(B377,Foundation!$C$8:$E$699,3,FALSE),"")</f>
        <v>DRY</v>
      </c>
      <c r="L377" s="435" t="str">
        <f>+IF(IFERROR(MATCH(B377,'Erection Compiled'!$C$6:$C$763,0),"B")="B","","E")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+IFERROR(VLOOKUP(B378,Foundation!$C$8:$E$699,3,FALSE),"")</f>
        <v>DRY</v>
      </c>
      <c r="L378" s="435" t="str">
        <f>+IF(IFERROR(MATCH(B378,'Erection Compiled'!$C$6:$C$763,0),"B")="B","","E")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+IFERROR(VLOOKUP(B379,Foundation!$C$8:$E$699,3,FALSE),"")</f>
        <v>DRY</v>
      </c>
      <c r="L379" s="435" t="str">
        <f>+IF(IFERROR(MATCH(B379,'Erection Compiled'!$C$6:$C$763,0),"B")="B","","E")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+IFERROR(VLOOKUP(B380,Foundation!$C$8:$E$699,3,FALSE),"")</f>
        <v>Dry</v>
      </c>
      <c r="L380" s="435" t="str">
        <f>+IF(IFERROR(MATCH(B380,'Erection Compiled'!$C$6:$C$763,0),"B")="B","","E")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+IFERROR(VLOOKUP(B381,Foundation!$C$8:$E$699,3,FALSE),"")</f>
        <v>DRY</v>
      </c>
      <c r="L381" s="435" t="str">
        <f>+IF(IFERROR(MATCH(B381,'Erection Compiled'!$C$6:$C$763,0),"B")="B","","E")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+IFERROR(VLOOKUP(B382,Foundation!$C$8:$E$699,3,FALSE),"")</f>
        <v>DRY</v>
      </c>
      <c r="L382" s="435" t="str">
        <f>+IF(IFERROR(MATCH(B382,'Erection Compiled'!$C$6:$C$763,0),"B")="B","","E")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+IFERROR(VLOOKUP(B383,Foundation!$C$8:$E$699,3,FALSE),"")</f>
        <v>DFR</v>
      </c>
      <c r="L383" s="435" t="str">
        <f>+IF(IFERROR(MATCH(B383,'Erection Compiled'!$C$6:$C$763,0),"B")="B","","E")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+IFERROR(VLOOKUP(B384,Foundation!$C$8:$E$699,3,FALSE),"")</f>
        <v>DFR</v>
      </c>
      <c r="L384" s="435" t="str">
        <f>+IF(IFERROR(MATCH(B384,'Erection Compiled'!$C$6:$C$763,0),"B")="B","","E")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+IFERROR(VLOOKUP(B385,Foundation!$C$8:$E$699,3,FALSE),"")</f>
        <v>DFR</v>
      </c>
      <c r="L385" s="435" t="str">
        <f>+IF(IFERROR(MATCH(B385,'Erection Compiled'!$C$6:$C$763,0),"B")="B","","E")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+IFERROR(VLOOKUP(B386,Foundation!$C$8:$E$699,3,FALSE),"")</f>
        <v>DRY</v>
      </c>
      <c r="L386" s="435" t="str">
        <f>+IF(IFERROR(MATCH(B386,'Erection Compiled'!$C$6:$C$763,0),"B")="B","","E")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+IFERROR(VLOOKUP(B387,Foundation!$C$8:$E$699,3,FALSE),"")</f>
        <v>DRY</v>
      </c>
      <c r="L387" s="435" t="str">
        <f>+IF(IFERROR(MATCH(B387,'Erection Compiled'!$C$6:$C$763,0),"B")="B","","E")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+IFERROR(VLOOKUP(B388,Foundation!$C$8:$E$699,3,FALSE),"")</f>
        <v>DRY</v>
      </c>
      <c r="L388" s="435" t="str">
        <f>+IF(IFERROR(MATCH(B388,'Erection Compiled'!$C$6:$C$763,0),"B")="B","","E")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+IFERROR(VLOOKUP(B389,Foundation!$C$8:$E$699,3,FALSE),"")</f>
        <v>DRY</v>
      </c>
      <c r="L389" s="435" t="str">
        <f>+IF(IFERROR(MATCH(B389,'Erection Compiled'!$C$6:$C$763,0),"B")="B","","E")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+IFERROR(VLOOKUP(B390,Foundation!$C$8:$E$699,3,FALSE),"")</f>
        <v>DRY</v>
      </c>
      <c r="L390" s="435" t="str">
        <f>+IF(IFERROR(MATCH(B390,'Erection Compiled'!$C$6:$C$763,0),"B")="B","","E")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+IFERROR(VLOOKUP(B391,Foundation!$C$8:$E$699,3,FALSE),"")</f>
        <v>DFR</v>
      </c>
      <c r="L391" s="435" t="str">
        <f>+IF(IFERROR(MATCH(B391,'Erection Compiled'!$C$6:$C$763,0),"B")="B","","E")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+IFERROR(VLOOKUP(B392,Foundation!$C$8:$E$699,3,FALSE),"")</f>
        <v>DRY</v>
      </c>
      <c r="L392" s="435" t="str">
        <f>+IF(IFERROR(MATCH(B392,'Erection Compiled'!$C$6:$C$763,0),"B")="B","","E")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+IFERROR(VLOOKUP(B393,Foundation!$C$8:$E$699,3,FALSE),"")</f>
        <v>DRY</v>
      </c>
      <c r="L393" s="435" t="str">
        <f>+IF(IFERROR(MATCH(B393,'Erection Compiled'!$C$6:$C$763,0),"B")="B","","E")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+IFERROR(VLOOKUP(B394,Foundation!$C$8:$E$699,3,FALSE),"")</f>
        <v>DFR</v>
      </c>
      <c r="L394" s="435" t="str">
        <f>+IF(IFERROR(MATCH(B394,'Erection Compiled'!$C$6:$C$763,0),"B")="B","","E")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+IFERROR(VLOOKUP(B395,Foundation!$C$8:$E$699,3,FALSE),"")</f>
        <v>DFR</v>
      </c>
      <c r="L395" s="435" t="str">
        <f>+IF(IFERROR(MATCH(B395,'Erection Compiled'!$C$6:$C$763,0),"B")="B","","E")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+IFERROR(VLOOKUP(B396,Foundation!$C$8:$E$699,3,FALSE),"")</f>
        <v>DRY</v>
      </c>
      <c r="L396" s="435" t="str">
        <f>+IF(IFERROR(MATCH(B396,'Erection Compiled'!$C$6:$C$763,0),"B")="B","","E")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+IFERROR(VLOOKUP(B397,Foundation!$C$8:$E$699,3,FALSE),"")</f>
        <v>DRY</v>
      </c>
      <c r="L397" s="435" t="str">
        <f>+IF(IFERROR(MATCH(B397,'Erection Compiled'!$C$6:$C$763,0),"B")="B","","E")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+IFERROR(VLOOKUP(B398,Foundation!$C$8:$E$699,3,FALSE),"")</f>
        <v>DRY</v>
      </c>
      <c r="L398" s="435" t="str">
        <f>+IF(IFERROR(MATCH(B398,'Erection Compiled'!$C$6:$C$763,0),"B")="B","","E")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+IFERROR(VLOOKUP(B399,Foundation!$C$8:$E$699,3,FALSE),"")</f>
        <v>DRY</v>
      </c>
      <c r="L399" s="435" t="str">
        <f>+IF(IFERROR(MATCH(B399,'Erection Compiled'!$C$6:$C$763,0),"B")="B","","E")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+IFERROR(VLOOKUP(B400,Foundation!$C$8:$E$699,3,FALSE),"")</f>
        <v>Dry</v>
      </c>
      <c r="L400" s="435" t="str">
        <f>+IF(IFERROR(MATCH(B400,'Erection Compiled'!$C$6:$C$763,0),"B")="B","","E")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+IFERROR(VLOOKUP(B401,Foundation!$C$8:$E$699,3,FALSE),"")</f>
        <v>DRY</v>
      </c>
      <c r="L401" s="435" t="str">
        <f>+IF(IFERROR(MATCH(B401,'Erection Compiled'!$C$6:$C$763,0),"B")="B","","E")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+IFERROR(VLOOKUP(B402,Foundation!$C$8:$E$699,3,FALSE),"")</f>
        <v>Dry</v>
      </c>
      <c r="L402" s="435" t="str">
        <f>+IF(IFERROR(MATCH(B402,'Erection Compiled'!$C$6:$C$763,0),"B")="B","","E")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+IFERROR(VLOOKUP(B403,Foundation!$C$8:$E$699,3,FALSE),"")</f>
        <v>DRY</v>
      </c>
      <c r="L403" s="435" t="str">
        <f>+IF(IFERROR(MATCH(B403,'Erection Compiled'!$C$6:$C$763,0),"B")="B","","E")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+IFERROR(VLOOKUP(B404,Foundation!$C$8:$E$699,3,FALSE),"")</f>
        <v>DRY</v>
      </c>
      <c r="L404" s="435" t="str">
        <f>+IF(IFERROR(MATCH(B404,'Erection Compiled'!$C$6:$C$763,0),"B")="B","","E")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+IFERROR(VLOOKUP(B405,Foundation!$C$8:$E$699,3,FALSE),"")</f>
        <v>Sandy</v>
      </c>
      <c r="L405" s="435" t="str">
        <f>+IF(IFERROR(MATCH(B405,'Erection Compiled'!$C$6:$C$763,0),"B")="B","","E")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+IFERROR(VLOOKUP(B406,Foundation!$C$8:$E$699,3,FALSE),"")</f>
        <v>DRY</v>
      </c>
      <c r="L406" s="435" t="str">
        <f>+IF(IFERROR(MATCH(B406,'Erection Compiled'!$C$6:$C$763,0),"B")="B","","E")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+IFERROR(VLOOKUP(B407,Foundation!$C$8:$E$699,3,FALSE),"")</f>
        <v>DRY</v>
      </c>
      <c r="L407" s="435" t="str">
        <f>+IF(IFERROR(MATCH(B407,'Erection Compiled'!$C$6:$C$763,0),"B")="B","","E")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+IFERROR(VLOOKUP(B408,Foundation!$C$8:$E$699,3,FALSE),"")</f>
        <v>DRY</v>
      </c>
      <c r="L408" s="435" t="str">
        <f>+IF(IFERROR(MATCH(B408,'Erection Compiled'!$C$6:$C$763,0),"B")="B","","E")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+IFERROR(VLOOKUP(B409,Foundation!$C$8:$E$699,3,FALSE),"")</f>
        <v>DRY</v>
      </c>
      <c r="L409" s="435" t="str">
        <f>+IF(IFERROR(MATCH(B409,'Erection Compiled'!$C$6:$C$763,0),"B")="B","","E")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+IFERROR(VLOOKUP(B410,Foundation!$C$8:$E$699,3,FALSE),"")</f>
        <v>DRY</v>
      </c>
      <c r="L410" s="435" t="str">
        <f>+IF(IFERROR(MATCH(B410,'Erection Compiled'!$C$6:$C$763,0),"B")="B","","E")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+IFERROR(VLOOKUP(B411,Foundation!$C$8:$E$699,3,FALSE),"")</f>
        <v>DRY</v>
      </c>
      <c r="L411" s="435" t="str">
        <f>+IF(IFERROR(MATCH(B411,'Erection Compiled'!$C$6:$C$763,0),"B")="B","","E")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+IFERROR(VLOOKUP(B412,Foundation!$C$8:$E$699,3,FALSE),"")</f>
        <v>DFR</v>
      </c>
      <c r="L412" s="435" t="str">
        <f>+IF(IFERROR(MATCH(B412,'Erection Compiled'!$C$6:$C$763,0),"B")="B","","E")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+IFERROR(VLOOKUP(B413,Foundation!$C$8:$E$699,3,FALSE),"")</f>
        <v>DFR</v>
      </c>
      <c r="L413" s="435" t="str">
        <f>+IF(IFERROR(MATCH(B413,'Erection Compiled'!$C$6:$C$763,0),"B")="B","","E")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+IFERROR(VLOOKUP(B414,Foundation!$C$8:$E$699,3,FALSE),"")</f>
        <v>DFR</v>
      </c>
      <c r="L414" s="435" t="str">
        <f>+IF(IFERROR(MATCH(B414,'Erection Compiled'!$C$6:$C$763,0),"B")="B","","E")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+IFERROR(VLOOKUP(B415,Foundation!$C$8:$E$699,3,FALSE),"")</f>
        <v>DRY</v>
      </c>
      <c r="L415" s="435" t="str">
        <f>+IF(IFERROR(MATCH(B415,'Erection Compiled'!$C$6:$C$763,0),"B")="B","","E")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+IFERROR(VLOOKUP(B416,Foundation!$C$8:$E$699,3,FALSE),"")</f>
        <v>DFR</v>
      </c>
      <c r="L416" s="435" t="str">
        <f>+IF(IFERROR(MATCH(B416,'Erection Compiled'!$C$6:$C$763,0),"B")="B","","E")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+IFERROR(VLOOKUP(B417,Foundation!$C$8:$E$699,3,FALSE),"")</f>
        <v>DFR</v>
      </c>
      <c r="L417" s="435" t="str">
        <f>+IF(IFERROR(MATCH(B417,'Erection Compiled'!$C$6:$C$763,0),"B")="B","","E")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+IFERROR(VLOOKUP(B418,Foundation!$C$8:$E$699,3,FALSE),"")</f>
        <v>DFR</v>
      </c>
      <c r="L418" s="435" t="str">
        <f>+IF(IFERROR(MATCH(B418,'Erection Compiled'!$C$6:$C$763,0),"B")="B","","E")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+IFERROR(VLOOKUP(B419,Foundation!$C$8:$E$699,3,FALSE),"")</f>
        <v>DFR</v>
      </c>
      <c r="L419" s="435" t="str">
        <f>+IF(IFERROR(MATCH(B419,'Erection Compiled'!$C$6:$C$763,0),"B")="B","","E")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+IFERROR(VLOOKUP(B420,Foundation!$C$8:$E$699,3,FALSE),"")</f>
        <v>DRY</v>
      </c>
      <c r="L420" s="435" t="str">
        <f>+IF(IFERROR(MATCH(B420,'Erection Compiled'!$C$6:$C$763,0),"B")="B","","E")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+IFERROR(VLOOKUP(B421,Foundation!$C$8:$E$699,3,FALSE),"")</f>
        <v>DFR</v>
      </c>
      <c r="L421" s="435" t="str">
        <f>+IF(IFERROR(MATCH(B421,'Erection Compiled'!$C$6:$C$763,0),"B")="B","","E")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+IFERROR(VLOOKUP(B422,Foundation!$C$8:$E$699,3,FALSE),"")</f>
        <v>DRY</v>
      </c>
      <c r="L422" s="435" t="str">
        <f>+IF(IFERROR(MATCH(B422,'Erection Compiled'!$C$6:$C$763,0),"B")="B","","E")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+IFERROR(VLOOKUP(B423,Foundation!$C$8:$E$699,3,FALSE),"")</f>
        <v>DRY</v>
      </c>
      <c r="L423" s="435" t="str">
        <f>+IF(IFERROR(MATCH(B423,'Erection Compiled'!$C$6:$C$763,0),"B")="B","","E")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+IFERROR(VLOOKUP(B424,Foundation!$C$8:$E$699,3,FALSE),"")</f>
        <v>DRY</v>
      </c>
      <c r="L424" s="435" t="str">
        <f>+IF(IFERROR(MATCH(B424,'Erection Compiled'!$C$6:$C$763,0),"B")="B","","E")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+IFERROR(VLOOKUP(B425,Foundation!$C$8:$E$699,3,FALSE),"")</f>
        <v>DRY</v>
      </c>
      <c r="L425" s="435" t="str">
        <f>+IF(IFERROR(MATCH(B425,'Erection Compiled'!$C$6:$C$763,0),"B")="B","","E")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+IFERROR(VLOOKUP(B426,Foundation!$C$8:$E$699,3,FALSE),"")</f>
        <v>DRY</v>
      </c>
      <c r="L426" s="435" t="str">
        <f>+IF(IFERROR(MATCH(B426,'Erection Compiled'!$C$6:$C$763,0),"B")="B","","E")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+IFERROR(VLOOKUP(B427,Foundation!$C$8:$E$699,3,FALSE),"")</f>
        <v>DRY</v>
      </c>
      <c r="L427" s="435" t="str">
        <f>+IF(IFERROR(MATCH(B427,'Erection Compiled'!$C$6:$C$763,0),"B")="B","","E")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+IFERROR(VLOOKUP(B428,Foundation!$C$8:$E$699,3,FALSE),"")</f>
        <v>DRY</v>
      </c>
      <c r="L428" s="435" t="str">
        <f>+IF(IFERROR(MATCH(B428,'Erection Compiled'!$C$6:$C$763,0),"B")="B","","E")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+IFERROR(VLOOKUP(B429,Foundation!$C$8:$E$699,3,FALSE),"")</f>
        <v>DRY</v>
      </c>
      <c r="L429" s="435" t="str">
        <f>+IF(IFERROR(MATCH(B429,'Erection Compiled'!$C$6:$C$763,0),"B")="B","","E")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+IFERROR(VLOOKUP(B430,Foundation!$C$8:$E$699,3,FALSE),"")</f>
        <v>DRY</v>
      </c>
      <c r="L430" s="435" t="str">
        <f>+IF(IFERROR(MATCH(B430,'Erection Compiled'!$C$6:$C$763,0),"B")="B","","E")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+IFERROR(VLOOKUP(B431,Foundation!$C$8:$E$699,3,FALSE),"")</f>
        <v>DRY</v>
      </c>
      <c r="L431" s="435" t="str">
        <f>+IF(IFERROR(MATCH(B431,'Erection Compiled'!$C$6:$C$763,0),"B")="B","","E")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+IFERROR(VLOOKUP(B432,Foundation!$C$8:$E$699,3,FALSE),"")</f>
        <v>DRY</v>
      </c>
      <c r="L432" s="435" t="str">
        <f>+IF(IFERROR(MATCH(B432,'Erection Compiled'!$C$6:$C$763,0),"B")="B","","E")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+IFERROR(VLOOKUP(B433,Foundation!$C$8:$E$699,3,FALSE),"")</f>
        <v>DRY</v>
      </c>
      <c r="L433" s="435" t="str">
        <f>+IF(IFERROR(MATCH(B433,'Erection Compiled'!$C$6:$C$763,0),"B")="B","","E")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+IFERROR(VLOOKUP(B434,Foundation!$C$8:$E$699,3,FALSE),"")</f>
        <v>DRY</v>
      </c>
      <c r="L434" s="435" t="str">
        <f>+IF(IFERROR(MATCH(B434,'Erection Compiled'!$C$6:$C$763,0),"B")="B","","E")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+IFERROR(VLOOKUP(B435,Foundation!$C$8:$E$699,3,FALSE),"")</f>
        <v>DRY</v>
      </c>
      <c r="L435" s="435" t="str">
        <f>+IF(IFERROR(MATCH(B435,'Erection Compiled'!$C$6:$C$763,0),"B")="B","","E")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+IFERROR(VLOOKUP(B436,Foundation!$C$8:$E$699,3,FALSE),"")</f>
        <v>DRY</v>
      </c>
      <c r="L436" s="435" t="str">
        <f>+IF(IFERROR(MATCH(B436,'Erection Compiled'!$C$6:$C$763,0),"B")="B","","E")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+IFERROR(VLOOKUP(B437,Foundation!$C$8:$E$699,3,FALSE),"")</f>
        <v>DRY</v>
      </c>
      <c r="L437" s="435" t="str">
        <f>+IF(IFERROR(MATCH(B437,'Erection Compiled'!$C$6:$C$763,0),"B")="B","","E")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+IFERROR(VLOOKUP(B438,Foundation!$C$8:$E$699,3,FALSE),"")</f>
        <v>DRY</v>
      </c>
      <c r="L438" s="435" t="str">
        <f>+IF(IFERROR(MATCH(B438,'Erection Compiled'!$C$6:$C$763,0),"B")="B","","E")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+IFERROR(VLOOKUP(B439,Foundation!$C$8:$E$699,3,FALSE),"")</f>
        <v>DRY</v>
      </c>
      <c r="L439" s="435" t="str">
        <f>+IF(IFERROR(MATCH(B439,'Erection Compiled'!$C$6:$C$763,0),"B")="B","","E")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+IFERROR(VLOOKUP(B440,Foundation!$C$8:$E$699,3,FALSE),"")</f>
        <v>DRY</v>
      </c>
      <c r="L440" s="435" t="str">
        <f>+IF(IFERROR(MATCH(B440,'Erection Compiled'!$C$6:$C$763,0),"B")="B","","E")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+IFERROR(VLOOKUP(B441,Foundation!$C$8:$E$699,3,FALSE),"")</f>
        <v>DRY</v>
      </c>
      <c r="L441" s="435" t="str">
        <f>+IF(IFERROR(MATCH(B441,'Erection Compiled'!$C$6:$C$763,0),"B")="B","","E")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+IFERROR(VLOOKUP(B442,Foundation!$C$8:$E$699,3,FALSE),"")</f>
        <v>DRY</v>
      </c>
      <c r="L442" s="435" t="str">
        <f>+IF(IFERROR(MATCH(B442,'Erection Compiled'!$C$6:$C$763,0),"B")="B","","E")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+IFERROR(VLOOKUP(B443,Foundation!$C$8:$E$699,3,FALSE),"")</f>
        <v>DRY</v>
      </c>
      <c r="L443" s="435" t="str">
        <f>+IF(IFERROR(MATCH(B443,'Erection Compiled'!$C$6:$C$763,0),"B")="B","","E")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+IFERROR(VLOOKUP(B444,Foundation!$C$8:$E$699,3,FALSE),"")</f>
        <v>DRY</v>
      </c>
      <c r="L444" s="435" t="str">
        <f>+IF(IFERROR(MATCH(B444,'Erection Compiled'!$C$6:$C$763,0),"B")="B","","E")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+IFERROR(VLOOKUP(B445,Foundation!$C$8:$E$699,3,FALSE),"")</f>
        <v>DRY</v>
      </c>
      <c r="L445" s="435" t="str">
        <f>+IF(IFERROR(MATCH(B445,'Erection Compiled'!$C$6:$C$763,0),"B")="B","","E")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+IFERROR(VLOOKUP(B446,Foundation!$C$8:$E$699,3,FALSE),"")</f>
        <v>DRY</v>
      </c>
      <c r="L446" s="435" t="str">
        <f>+IF(IFERROR(MATCH(B446,'Erection Compiled'!$C$6:$C$763,0),"B")="B","","E")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+IFERROR(VLOOKUP(B447,Foundation!$C$8:$E$699,3,FALSE),"")</f>
        <v>DRY</v>
      </c>
      <c r="L447" s="435" t="str">
        <f>+IF(IFERROR(MATCH(B447,'Erection Compiled'!$C$6:$C$763,0),"B")="B","","E")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+IFERROR(VLOOKUP(B448,Foundation!$C$8:$E$699,3,FALSE),"")</f>
        <v>DRY</v>
      </c>
      <c r="L448" s="435" t="str">
        <f>+IF(IFERROR(MATCH(B448,'Erection Compiled'!$C$6:$C$763,0),"B")="B","","E")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+IFERROR(VLOOKUP(B449,Foundation!$C$8:$E$699,3,FALSE),"")</f>
        <v>DRY</v>
      </c>
      <c r="L449" s="435" t="str">
        <f>+IF(IFERROR(MATCH(B449,'Erection Compiled'!$C$6:$C$763,0),"B")="B","","E")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+IFERROR(VLOOKUP(B450,Foundation!$C$8:$E$699,3,FALSE),"")</f>
        <v>DRY</v>
      </c>
      <c r="L450" s="435" t="str">
        <f>+IF(IFERROR(MATCH(B450,'Erection Compiled'!$C$6:$C$763,0),"B")="B","","E")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+IFERROR(VLOOKUP(B451,Foundation!$C$8:$E$699,3,FALSE),"")</f>
        <v>DRY</v>
      </c>
      <c r="L451" s="435" t="str">
        <f>+IF(IFERROR(MATCH(B451,'Erection Compiled'!$C$6:$C$763,0),"B")="B","","E")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+IFERROR(VLOOKUP(B452,Foundation!$C$8:$E$699,3,FALSE),"")</f>
        <v>DRY</v>
      </c>
      <c r="L452" s="435" t="str">
        <f>+IF(IFERROR(MATCH(B452,'Erection Compiled'!$C$6:$C$763,0),"B")="B","","E")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+IFERROR(VLOOKUP(B453,Foundation!$C$8:$E$699,3,FALSE),"")</f>
        <v>DRY</v>
      </c>
      <c r="L453" s="435" t="str">
        <f>+IF(IFERROR(MATCH(B453,'Erection Compiled'!$C$6:$C$763,0),"B")="B","","E")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+IFERROR(VLOOKUP(B454,Foundation!$C$8:$E$699,3,FALSE),"")</f>
        <v>DFR</v>
      </c>
      <c r="L454" s="435" t="str">
        <f>+IF(IFERROR(MATCH(B454,'Erection Compiled'!$C$6:$C$763,0),"B")="B","","E")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+IFERROR(VLOOKUP(B455,Foundation!$C$8:$E$699,3,FALSE),"")</f>
        <v>DRY</v>
      </c>
      <c r="L455" s="435" t="str">
        <f>+IF(IFERROR(MATCH(B455,'Erection Compiled'!$C$6:$C$763,0),"B")="B","","E")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+IFERROR(VLOOKUP(B456,Foundation!$C$8:$E$699,3,FALSE),"")</f>
        <v>DRY</v>
      </c>
      <c r="L456" s="435" t="str">
        <f>+IF(IFERROR(MATCH(B456,'Erection Compiled'!$C$6:$C$763,0),"B")="B","","E")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+IFERROR(VLOOKUP(B457,Foundation!$C$8:$E$699,3,FALSE),"")</f>
        <v>DRY</v>
      </c>
      <c r="L457" s="435" t="str">
        <f>+IF(IFERROR(MATCH(B457,'Erection Compiled'!$C$6:$C$763,0),"B")="B","","E")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+IFERROR(VLOOKUP(B458,Foundation!$C$8:$E$699,3,FALSE),"")</f>
        <v>DRY</v>
      </c>
      <c r="L458" s="435" t="str">
        <f>+IF(IFERROR(MATCH(B458,'Erection Compiled'!$C$6:$C$763,0),"B")="B","","E")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+IFERROR(VLOOKUP(B459,Foundation!$C$8:$E$699,3,FALSE),"")</f>
        <v>DRY</v>
      </c>
      <c r="L459" s="435" t="str">
        <f>+IF(IFERROR(MATCH(B459,'Erection Compiled'!$C$6:$C$763,0),"B")="B","","E")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+IFERROR(VLOOKUP(B460,Foundation!$C$8:$E$699,3,FALSE),"")</f>
        <v>DRY</v>
      </c>
      <c r="L460" s="435" t="str">
        <f>+IF(IFERROR(MATCH(B460,'Erection Compiled'!$C$6:$C$763,0),"B")="B","","E")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+IFERROR(VLOOKUP(B461,Foundation!$C$8:$E$699,3,FALSE),"")</f>
        <v>DRY</v>
      </c>
      <c r="L461" s="435" t="str">
        <f>+IF(IFERROR(MATCH(B461,'Erection Compiled'!$C$6:$C$763,0),"B")="B","","E")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+IFERROR(VLOOKUP(B462,Foundation!$C$8:$E$699,3,FALSE),"")</f>
        <v>DRY</v>
      </c>
      <c r="L462" s="435" t="str">
        <f>+IF(IFERROR(MATCH(B462,'Erection Compiled'!$C$6:$C$763,0),"B")="B","","E")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+IFERROR(VLOOKUP(B463,Foundation!$C$8:$E$699,3,FALSE),"")</f>
        <v>DRY</v>
      </c>
      <c r="L463" s="435" t="str">
        <f>+IF(IFERROR(MATCH(B463,'Erection Compiled'!$C$6:$C$763,0),"B")="B","","E")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+IFERROR(VLOOKUP(B464,Foundation!$C$8:$E$699,3,FALSE),"")</f>
        <v>DRY</v>
      </c>
      <c r="L464" s="435" t="str">
        <f>+IF(IFERROR(MATCH(B464,'Erection Compiled'!$C$6:$C$763,0),"B")="B","","E")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+IFERROR(VLOOKUP(B465,Foundation!$C$8:$E$699,3,FALSE),"")</f>
        <v>DRY</v>
      </c>
      <c r="L465" s="435" t="str">
        <f>+IF(IFERROR(MATCH(B465,'Erection Compiled'!$C$6:$C$763,0),"B")="B","","E")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+IFERROR(VLOOKUP(B466,Foundation!$C$8:$E$699,3,FALSE),"")</f>
        <v>DRY</v>
      </c>
      <c r="L466" s="435" t="str">
        <f>+IF(IFERROR(MATCH(B466,'Erection Compiled'!$C$6:$C$763,0),"B")="B","","E")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+IFERROR(VLOOKUP(B467,Foundation!$C$8:$E$699,3,FALSE),"")</f>
        <v>DRY</v>
      </c>
      <c r="L467" s="435" t="str">
        <f>+IF(IFERROR(MATCH(B467,'Erection Compiled'!$C$6:$C$763,0),"B")="B","","E")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+IFERROR(VLOOKUP(B468,Foundation!$C$8:$E$699,3,FALSE),"")</f>
        <v>DRY</v>
      </c>
      <c r="L468" s="435" t="str">
        <f>+IF(IFERROR(MATCH(B468,'Erection Compiled'!$C$6:$C$763,0),"B")="B","","E")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+IFERROR(VLOOKUP(B469,Foundation!$C$8:$E$699,3,FALSE),"")</f>
        <v>DRY</v>
      </c>
      <c r="L469" s="435" t="str">
        <f>+IF(IFERROR(MATCH(B469,'Erection Compiled'!$C$6:$C$763,0),"B")="B","","E")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+IFERROR(VLOOKUP(B470,Foundation!$C$8:$E$699,3,FALSE),"")</f>
        <v>DRY</v>
      </c>
      <c r="L470" s="435" t="str">
        <f>+IF(IFERROR(MATCH(B470,'Erection Compiled'!$C$6:$C$763,0),"B")="B","","E")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+IFERROR(VLOOKUP(B471,Foundation!$C$8:$E$699,3,FALSE),"")</f>
        <v>DRY</v>
      </c>
      <c r="L471" s="435" t="str">
        <f>+IF(IFERROR(MATCH(B471,'Erection Compiled'!$C$6:$C$763,0),"B")="B","","E")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+IFERROR(VLOOKUP(B472,Foundation!$C$8:$E$699,3,FALSE),"")</f>
        <v>DRY</v>
      </c>
      <c r="L472" s="435" t="str">
        <f>+IF(IFERROR(MATCH(B472,'Erection Compiled'!$C$6:$C$763,0),"B")="B","","E")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+IFERROR(VLOOKUP(B473,Foundation!$C$8:$E$699,3,FALSE),"")</f>
        <v>DRY</v>
      </c>
      <c r="L473" s="435" t="str">
        <f>+IF(IFERROR(MATCH(B473,'Erection Compiled'!$C$6:$C$763,0),"B")="B","","E")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+IFERROR(VLOOKUP(B474,Foundation!$C$8:$E$699,3,FALSE),"")</f>
        <v>DRY</v>
      </c>
      <c r="L474" s="435" t="str">
        <f>+IF(IFERROR(MATCH(B474,'Erection Compiled'!$C$6:$C$763,0),"B")="B","","E")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+IFERROR(VLOOKUP(B475,Foundation!$C$8:$E$699,3,FALSE),"")</f>
        <v>DRY</v>
      </c>
      <c r="L475" s="435" t="str">
        <f>+IF(IFERROR(MATCH(B475,'Erection Compiled'!$C$6:$C$763,0),"B")="B","","E")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+IFERROR(VLOOKUP(B476,Foundation!$C$8:$E$699,3,FALSE),"")</f>
        <v>DRY</v>
      </c>
      <c r="L476" s="435" t="str">
        <f>+IF(IFERROR(MATCH(B476,'Erection Compiled'!$C$6:$C$763,0),"B")="B","","E")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+IFERROR(VLOOKUP(B477,Foundation!$C$8:$E$699,3,FALSE),"")</f>
        <v>DRY</v>
      </c>
      <c r="L477" s="435" t="str">
        <f>+IF(IFERROR(MATCH(B477,'Erection Compiled'!$C$6:$C$763,0),"B")="B","","E")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+IFERROR(VLOOKUP(B478,Foundation!$C$8:$E$699,3,FALSE),"")</f>
        <v>DRY</v>
      </c>
      <c r="L478" s="435" t="str">
        <f>+IF(IFERROR(MATCH(B478,'Erection Compiled'!$C$6:$C$763,0),"B")="B","","E")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+IFERROR(VLOOKUP(B479,Foundation!$C$8:$E$699,3,FALSE),"")</f>
        <v>DRY</v>
      </c>
      <c r="L479" s="435" t="str">
        <f>+IF(IFERROR(MATCH(B479,'Erection Compiled'!$C$6:$C$763,0),"B")="B","","E")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+IFERROR(VLOOKUP(B480,Foundation!$C$8:$E$699,3,FALSE),"")</f>
        <v>DRY</v>
      </c>
      <c r="L480" s="435" t="str">
        <f>+IF(IFERROR(MATCH(B480,'Erection Compiled'!$C$6:$C$763,0),"B")="B","","E")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+IFERROR(VLOOKUP(B481,Foundation!$C$8:$E$699,3,FALSE),"")</f>
        <v>DRY</v>
      </c>
      <c r="L481" s="435" t="str">
        <f>+IF(IFERROR(MATCH(B481,'Erection Compiled'!$C$6:$C$763,0),"B")="B","","E")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+IFERROR(VLOOKUP(B482,Foundation!$C$8:$E$699,3,FALSE),"")</f>
        <v>DRY</v>
      </c>
      <c r="L482" s="435" t="str">
        <f>+IF(IFERROR(MATCH(B482,'Erection Compiled'!$C$6:$C$763,0),"B")="B","","E")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+IFERROR(VLOOKUP(B483,Foundation!$C$8:$E$699,3,FALSE),"")</f>
        <v>DRY</v>
      </c>
      <c r="L483" s="435" t="str">
        <f>+IF(IFERROR(MATCH(B483,'Erection Compiled'!$C$6:$C$763,0),"B")="B","","E")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+IFERROR(VLOOKUP(B484,Foundation!$C$8:$E$699,3,FALSE),"")</f>
        <v>DRY</v>
      </c>
      <c r="L484" s="435" t="str">
        <f>+IF(IFERROR(MATCH(B484,'Erection Compiled'!$C$6:$C$763,0),"B")="B","","E")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+IFERROR(VLOOKUP(B485,Foundation!$C$8:$E$699,3,FALSE),"")</f>
        <v>DRY</v>
      </c>
      <c r="L485" s="435" t="str">
        <f>+IF(IFERROR(MATCH(B485,'Erection Compiled'!$C$6:$C$763,0),"B")="B","","E")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+IFERROR(VLOOKUP(B486,Foundation!$C$8:$E$699,3,FALSE),"")</f>
        <v>DRY</v>
      </c>
      <c r="L486" s="435" t="str">
        <f>+IF(IFERROR(MATCH(B486,'Erection Compiled'!$C$6:$C$763,0),"B")="B","","E")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+IFERROR(VLOOKUP(B487,Foundation!$C$8:$E$699,3,FALSE),"")</f>
        <v>DRY</v>
      </c>
      <c r="L487" s="435" t="str">
        <f>+IF(IFERROR(MATCH(B487,'Erection Compiled'!$C$6:$C$763,0),"B")="B","","E")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+IFERROR(VLOOKUP(B488,Foundation!$C$8:$E$699,3,FALSE),"")</f>
        <v>DRY</v>
      </c>
      <c r="L488" s="435" t="str">
        <f>+IF(IFERROR(MATCH(B488,'Erection Compiled'!$C$6:$C$763,0),"B")="B","","E")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+IFERROR(VLOOKUP(B489,Foundation!$C$8:$E$699,3,FALSE),"")</f>
        <v>DRY</v>
      </c>
      <c r="L489" s="435" t="str">
        <f>+IF(IFERROR(MATCH(B489,'Erection Compiled'!$C$6:$C$763,0),"B")="B","","E")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+IFERROR(VLOOKUP(B490,Foundation!$C$8:$E$699,3,FALSE),"")</f>
        <v>DRY</v>
      </c>
      <c r="L490" s="435" t="str">
        <f>+IF(IFERROR(MATCH(B490,'Erection Compiled'!$C$6:$C$763,0),"B")="B","","E")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+IFERROR(VLOOKUP(B491,Foundation!$C$8:$E$699,3,FALSE),"")</f>
        <v>Sandy</v>
      </c>
      <c r="L491" s="435" t="str">
        <f>+IF(IFERROR(MATCH(B491,'Erection Compiled'!$C$6:$C$763,0),"B")="B","","E")</f>
        <v>E</v>
      </c>
      <c r="M491" s="435" t="str">
        <f>+IFERROR(VLOOKUP(B491,Tackwelding!$B$6:$G$599,6,FALSE),"")</f>
        <v>Done</v>
      </c>
    </row>
    <row r="492" spans="1:13" x14ac:dyDescent="0.25">
      <c r="K492" s="435" t="str">
        <f>+IFERROR(VLOOKUP(B492,Foundation!$C$8:$E$699,3,FALSE),"")</f>
        <v/>
      </c>
    </row>
    <row r="493" spans="1:13" x14ac:dyDescent="0.25">
      <c r="K493" s="435" t="str">
        <f>+IFERROR(VLOOKUP(B493,Foundation!$C$8:$E$699,3,FALSE),"")</f>
        <v/>
      </c>
    </row>
    <row r="494" spans="1:13" x14ac:dyDescent="0.25">
      <c r="K494" s="435" t="str">
        <f>+IFERROR(VLOOKUP(B494,Foundation!$C$8:$E$699,3,FALSE),"")</f>
        <v/>
      </c>
    </row>
    <row r="495" spans="1:13" x14ac:dyDescent="0.25">
      <c r="K495" s="435" t="str">
        <f>+IFERROR(VLOOKUP(B495,Foundation!$C$8:$E$699,3,FALSE),"")</f>
        <v/>
      </c>
    </row>
    <row r="496" spans="1:13" x14ac:dyDescent="0.25">
      <c r="K496" s="435" t="str">
        <f>+IFERROR(VLOOKUP(B496,Foundation!$C$8:$E$699,3,FALSE),"")</f>
        <v/>
      </c>
    </row>
    <row r="497" spans="11:11" x14ac:dyDescent="0.25">
      <c r="K497" s="435" t="str">
        <f>+IFERROR(VLOOKUP(B497,Foundation!$C$8:$E$699,3,FALSE),"")</f>
        <v/>
      </c>
    </row>
    <row r="498" spans="11:11" x14ac:dyDescent="0.25">
      <c r="K498" s="435" t="str">
        <f>+IFERROR(VLOOKUP(B498,Foundation!$C$8:$E$699,3,FALSE),"")</f>
        <v/>
      </c>
    </row>
    <row r="499" spans="11:11" x14ac:dyDescent="0.25">
      <c r="K499" s="435" t="str">
        <f>+IFERROR(VLOOKUP(B499,Foundation!$C$8:$E$699,3,FALSE),"")</f>
        <v/>
      </c>
    </row>
    <row r="500" spans="11:11" x14ac:dyDescent="0.25">
      <c r="K500" s="435" t="str">
        <f>+IFERROR(VLOOKUP(B500,Foundation!$C$8:$E$699,3,FALSE),"")</f>
        <v/>
      </c>
    </row>
    <row r="501" spans="11:11" x14ac:dyDescent="0.25">
      <c r="K501" s="435" t="str">
        <f>+IFERROR(VLOOKUP(B501,Foundation!$C$8:$E$699,3,FALSE),"")</f>
        <v/>
      </c>
    </row>
    <row r="502" spans="11:11" x14ac:dyDescent="0.25">
      <c r="K502" s="435" t="str">
        <f>+IFERROR(VLOOKUP(B502,Foundation!$C$8:$E$699,3,FALSE),"")</f>
        <v/>
      </c>
    </row>
    <row r="503" spans="11:11" x14ac:dyDescent="0.25">
      <c r="K503" s="435" t="str">
        <f>+IFERROR(VLOOKUP(B503,Foundation!$C$8:$E$699,3,FALSE),"")</f>
        <v/>
      </c>
    </row>
    <row r="504" spans="11:11" x14ac:dyDescent="0.25">
      <c r="K504" s="435" t="str">
        <f>+IFERROR(VLOOKUP(B504,Foundation!$C$8:$E$699,3,FALSE),"")</f>
        <v/>
      </c>
    </row>
    <row r="505" spans="11:11" x14ac:dyDescent="0.25">
      <c r="K505" s="435" t="str">
        <f>+IFERROR(VLOOKUP(B505,Foundation!$C$8:$E$699,3,FALSE),"")</f>
        <v/>
      </c>
    </row>
    <row r="506" spans="11:11" x14ac:dyDescent="0.25">
      <c r="K506" s="435" t="str">
        <f>+IFERROR(VLOOKUP(B506,Foundation!$C$8:$E$699,3,FALSE),"")</f>
        <v/>
      </c>
    </row>
    <row r="507" spans="11:11" x14ac:dyDescent="0.25">
      <c r="K507" s="435" t="str">
        <f>+IFERROR(VLOOKUP(B507,Foundation!$C$8:$E$699,3,FALSE),"")</f>
        <v/>
      </c>
    </row>
    <row r="508" spans="11:11" x14ac:dyDescent="0.25">
      <c r="K508" s="435" t="str">
        <f>+IFERROR(VLOOKUP(B508,Foundation!$C$8:$E$699,3,FALSE),"")</f>
        <v/>
      </c>
    </row>
    <row r="509" spans="11:11" x14ac:dyDescent="0.25">
      <c r="K509" s="435" t="str">
        <f>+IFERROR(VLOOKUP(B509,Foundation!$C$8:$E$699,3,FALSE),"")</f>
        <v/>
      </c>
    </row>
    <row r="510" spans="11:11" x14ac:dyDescent="0.25">
      <c r="K510" s="435" t="str">
        <f>+IFERROR(VLOOKUP(B510,Foundation!$C$8:$E$699,3,FALSE),"")</f>
        <v/>
      </c>
    </row>
    <row r="511" spans="11:11" x14ac:dyDescent="0.25">
      <c r="K511" s="435" t="str">
        <f>+IFERROR(VLOOKUP(B511,Foundation!$C$8:$E$699,3,FALSE),"")</f>
        <v/>
      </c>
    </row>
    <row r="512" spans="11:11" x14ac:dyDescent="0.25">
      <c r="K512" s="435" t="str">
        <f>+IFERROR(VLOOKUP(B512,Foundation!$C$8:$E$699,3,FALSE),"")</f>
        <v/>
      </c>
    </row>
    <row r="513" spans="11:11" x14ac:dyDescent="0.25">
      <c r="K513" s="435" t="str">
        <f>+IFERROR(VLOOKUP(B513,Foundation!$C$8:$E$699,3,FALSE),"")</f>
        <v/>
      </c>
    </row>
    <row r="514" spans="11:11" x14ac:dyDescent="0.25">
      <c r="K514" s="435" t="str">
        <f>+IFERROR(VLOOKUP(B514,Foundation!$C$8:$E$699,3,FALSE),"")</f>
        <v/>
      </c>
    </row>
    <row r="515" spans="11:11" x14ac:dyDescent="0.25">
      <c r="K515" s="435" t="str">
        <f>+IFERROR(VLOOKUP(B515,Foundation!$C$8:$E$699,3,FALSE),"")</f>
        <v/>
      </c>
    </row>
    <row r="516" spans="11:11" x14ac:dyDescent="0.25">
      <c r="K516" s="435" t="str">
        <f>+IFERROR(VLOOKUP(B516,Foundation!$C$8:$E$699,3,FALSE),"")</f>
        <v/>
      </c>
    </row>
    <row r="517" spans="11:11" x14ac:dyDescent="0.25">
      <c r="K517" s="435" t="str">
        <f>+IFERROR(VLOOKUP(B517,Foundation!$C$8:$E$699,3,FALSE),"")</f>
        <v/>
      </c>
    </row>
    <row r="518" spans="11:11" x14ac:dyDescent="0.25">
      <c r="K518" s="435" t="str">
        <f>+IFERROR(VLOOKUP(B518,Foundation!$C$8:$E$699,3,FALSE),"")</f>
        <v/>
      </c>
    </row>
    <row r="519" spans="11:11" x14ac:dyDescent="0.25">
      <c r="K519" s="435" t="str">
        <f>+IFERROR(VLOOKUP(B519,Foundation!$C$8:$E$699,3,FALSE),"")</f>
        <v/>
      </c>
    </row>
    <row r="520" spans="11:11" x14ac:dyDescent="0.25">
      <c r="K520" s="435" t="str">
        <f>+IFERROR(VLOOKUP(B520,Foundation!$C$8:$E$699,3,FALSE),"")</f>
        <v/>
      </c>
    </row>
    <row r="521" spans="11:11" x14ac:dyDescent="0.25">
      <c r="K521" s="435" t="str">
        <f>+IFERROR(VLOOKUP(B521,Foundation!$C$8:$E$699,3,FALSE),"")</f>
        <v/>
      </c>
    </row>
    <row r="522" spans="11:11" x14ac:dyDescent="0.25">
      <c r="K522" s="435" t="str">
        <f>+IFERROR(VLOOKUP(B522,Foundation!$C$8:$E$699,3,FALSE),"")</f>
        <v/>
      </c>
    </row>
    <row r="523" spans="11:11" x14ac:dyDescent="0.25">
      <c r="K523" s="435" t="str">
        <f>+IFERROR(VLOOKUP(B523,Foundation!$C$8:$E$699,3,FALSE),"")</f>
        <v/>
      </c>
    </row>
    <row r="524" spans="11:11" x14ac:dyDescent="0.25">
      <c r="K524" s="435" t="str">
        <f>+IFERROR(VLOOKUP(B524,Foundation!$C$8:$E$699,3,FALSE),"")</f>
        <v/>
      </c>
    </row>
    <row r="525" spans="11:11" x14ac:dyDescent="0.25">
      <c r="K525" s="435" t="str">
        <f>+IFERROR(VLOOKUP(B525,Foundation!$C$8:$E$699,3,FALSE),"")</f>
        <v/>
      </c>
    </row>
    <row r="526" spans="11:11" x14ac:dyDescent="0.25">
      <c r="K526" s="435" t="str">
        <f>+IFERROR(VLOOKUP(B526,Foundation!$C$8:$E$699,3,FALSE),"")</f>
        <v/>
      </c>
    </row>
    <row r="527" spans="11:11" x14ac:dyDescent="0.25">
      <c r="K527" s="435" t="str">
        <f>+IFERROR(VLOOKUP(B527,Foundation!$C$8:$E$699,3,FALSE),"")</f>
        <v/>
      </c>
    </row>
    <row r="528" spans="11:11" x14ac:dyDescent="0.25">
      <c r="K528" s="435" t="str">
        <f>+IFERROR(VLOOKUP(B528,Foundation!$C$8:$E$699,3,FALSE),"")</f>
        <v/>
      </c>
    </row>
    <row r="529" spans="11:11" x14ac:dyDescent="0.25">
      <c r="K529" s="435" t="str">
        <f>+IFERROR(VLOOKUP(B529,Foundation!$C$8:$E$699,3,FALSE),"")</f>
        <v/>
      </c>
    </row>
    <row r="530" spans="11:11" x14ac:dyDescent="0.25">
      <c r="K530" s="435" t="str">
        <f>+IFERROR(VLOOKUP(B530,Foundation!$C$8:$E$699,3,FALSE),"")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1644</v>
      </c>
      <c r="J2" s="720">
        <f>+COUNTA(B7:B221)</f>
        <v>215</v>
      </c>
      <c r="K2" s="464"/>
      <c r="L2" s="720">
        <f>+COUNTA(L7:L221)</f>
        <v>175</v>
      </c>
      <c r="M2" s="464"/>
      <c r="N2" s="720">
        <f>+COUNTA(N7:N221)</f>
        <v>140</v>
      </c>
    </row>
    <row r="3" spans="1:16" x14ac:dyDescent="0.2">
      <c r="A3" s="960" t="s">
        <v>1256</v>
      </c>
      <c r="B3" s="960"/>
      <c r="C3" s="960"/>
      <c r="D3" s="960"/>
      <c r="E3" s="960"/>
      <c r="F3" s="960"/>
      <c r="G3" s="960"/>
      <c r="H3" s="960"/>
      <c r="I3" s="960"/>
      <c r="J3" s="960"/>
      <c r="K3" s="960"/>
      <c r="L3" s="960"/>
      <c r="M3" s="960"/>
      <c r="N3" s="960"/>
      <c r="O3" s="960"/>
    </row>
    <row r="4" spans="1:16" ht="38.25" customHeight="1" x14ac:dyDescent="0.2">
      <c r="A4" s="959" t="s">
        <v>304</v>
      </c>
      <c r="B4" s="959" t="s">
        <v>1205</v>
      </c>
      <c r="C4" s="961" t="s">
        <v>4</v>
      </c>
      <c r="D4" s="961" t="s">
        <v>1257</v>
      </c>
      <c r="E4" s="961" t="s">
        <v>1258</v>
      </c>
      <c r="F4" s="961" t="s">
        <v>1259</v>
      </c>
      <c r="G4" s="961"/>
      <c r="H4" s="961"/>
      <c r="I4" s="961"/>
      <c r="J4" s="959" t="s">
        <v>1260</v>
      </c>
      <c r="K4" s="959"/>
      <c r="L4" s="959" t="s">
        <v>1277</v>
      </c>
      <c r="M4" s="959"/>
      <c r="N4" s="959" t="s">
        <v>1278</v>
      </c>
      <c r="O4" s="959"/>
    </row>
    <row r="5" spans="1:16" ht="26.25" customHeight="1" x14ac:dyDescent="0.2">
      <c r="A5" s="959"/>
      <c r="B5" s="959"/>
      <c r="C5" s="961"/>
      <c r="D5" s="961"/>
      <c r="E5" s="961"/>
      <c r="F5" s="445" t="s">
        <v>108</v>
      </c>
      <c r="G5" s="445" t="s">
        <v>442</v>
      </c>
      <c r="H5" s="445" t="s">
        <v>420</v>
      </c>
      <c r="I5" s="445" t="s">
        <v>443</v>
      </c>
      <c r="J5" s="444" t="s">
        <v>1261</v>
      </c>
      <c r="K5" s="444" t="s">
        <v>1262</v>
      </c>
      <c r="L5" s="444" t="s">
        <v>1261</v>
      </c>
      <c r="M5" s="444" t="s">
        <v>1262</v>
      </c>
      <c r="N5" s="444" t="s">
        <v>1642</v>
      </c>
      <c r="O5" s="444" t="s">
        <v>1643</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1613</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1614</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1615</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1619</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1617</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1616</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1618</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1626</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1625</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1624</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1623</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1622</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1621</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1620</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1702</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1703</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62" t="s">
        <v>1612</v>
      </c>
      <c r="B2" s="962"/>
      <c r="C2" s="962"/>
      <c r="D2" s="962"/>
      <c r="E2" s="962"/>
      <c r="F2" s="962"/>
    </row>
    <row r="3" spans="1:6" s="625" customFormat="1" x14ac:dyDescent="0.25">
      <c r="A3" s="476" t="s">
        <v>304</v>
      </c>
      <c r="B3" s="476" t="s">
        <v>1550</v>
      </c>
      <c r="C3" s="477" t="s">
        <v>1304</v>
      </c>
      <c r="D3" s="477" t="s">
        <v>1543</v>
      </c>
      <c r="E3" s="477" t="s">
        <v>1291</v>
      </c>
      <c r="F3" s="477" t="s">
        <v>1292</v>
      </c>
    </row>
    <row r="4" spans="1:6" x14ac:dyDescent="0.25">
      <c r="A4" s="472">
        <v>1</v>
      </c>
      <c r="B4" s="963" t="s">
        <v>296</v>
      </c>
      <c r="C4" s="470" t="s">
        <v>1287</v>
      </c>
      <c r="D4" s="470" t="s">
        <v>1288</v>
      </c>
      <c r="E4" s="470" t="s">
        <v>1293</v>
      </c>
      <c r="F4" s="472">
        <v>7082518194</v>
      </c>
    </row>
    <row r="5" spans="1:6" x14ac:dyDescent="0.25">
      <c r="A5" s="472">
        <v>2</v>
      </c>
      <c r="B5" s="964"/>
      <c r="C5" s="471" t="s">
        <v>1544</v>
      </c>
      <c r="D5" s="470" t="s">
        <v>1289</v>
      </c>
      <c r="E5" s="470" t="s">
        <v>1294</v>
      </c>
      <c r="F5" s="472">
        <v>9451783340</v>
      </c>
    </row>
    <row r="6" spans="1:6" x14ac:dyDescent="0.25">
      <c r="A6" s="472">
        <v>3</v>
      </c>
      <c r="B6" s="964"/>
      <c r="C6" s="471" t="s">
        <v>1545</v>
      </c>
      <c r="D6" s="471" t="s">
        <v>1454</v>
      </c>
      <c r="E6" s="684" t="s">
        <v>1296</v>
      </c>
      <c r="F6" s="472">
        <v>9598777205</v>
      </c>
    </row>
    <row r="7" spans="1:6" x14ac:dyDescent="0.25">
      <c r="A7" s="472">
        <v>4</v>
      </c>
      <c r="B7" s="964"/>
      <c r="C7" s="471" t="s">
        <v>1538</v>
      </c>
      <c r="D7" s="471" t="s">
        <v>1297</v>
      </c>
      <c r="E7" s="470" t="s">
        <v>1295</v>
      </c>
      <c r="F7" s="472">
        <v>8295788759</v>
      </c>
    </row>
    <row r="8" spans="1:6" x14ac:dyDescent="0.25">
      <c r="A8" s="472">
        <v>5</v>
      </c>
      <c r="B8" s="964"/>
      <c r="C8" s="471" t="s">
        <v>1541</v>
      </c>
      <c r="D8" s="471" t="s">
        <v>1539</v>
      </c>
      <c r="E8" s="470" t="s">
        <v>1546</v>
      </c>
      <c r="F8" s="472">
        <v>6005356903</v>
      </c>
    </row>
    <row r="9" spans="1:6" x14ac:dyDescent="0.25">
      <c r="A9" s="472">
        <v>6</v>
      </c>
      <c r="B9" s="964"/>
      <c r="C9" s="471" t="s">
        <v>1549</v>
      </c>
      <c r="D9" s="471" t="s">
        <v>1540</v>
      </c>
      <c r="E9" s="470" t="s">
        <v>1547</v>
      </c>
      <c r="F9" s="472">
        <v>9998643264</v>
      </c>
    </row>
    <row r="10" spans="1:6" x14ac:dyDescent="0.25">
      <c r="A10" s="472">
        <v>7</v>
      </c>
      <c r="B10" s="963" t="s">
        <v>293</v>
      </c>
      <c r="C10" s="470" t="s">
        <v>1287</v>
      </c>
      <c r="D10" s="470" t="s">
        <v>1288</v>
      </c>
      <c r="E10" s="470" t="s">
        <v>1293</v>
      </c>
      <c r="F10" s="472">
        <v>7082518194</v>
      </c>
    </row>
    <row r="11" spans="1:6" x14ac:dyDescent="0.25">
      <c r="A11" s="472">
        <v>8</v>
      </c>
      <c r="B11" s="964"/>
      <c r="C11" s="471" t="s">
        <v>1544</v>
      </c>
      <c r="D11" s="470" t="s">
        <v>1289</v>
      </c>
      <c r="E11" s="470" t="s">
        <v>1294</v>
      </c>
      <c r="F11" s="472">
        <v>9451783340</v>
      </c>
    </row>
    <row r="12" spans="1:6" x14ac:dyDescent="0.25">
      <c r="A12" s="472">
        <v>9</v>
      </c>
      <c r="B12" s="964"/>
      <c r="C12" s="471" t="s">
        <v>1548</v>
      </c>
      <c r="D12" s="471" t="s">
        <v>1454</v>
      </c>
      <c r="E12" s="684" t="s">
        <v>1296</v>
      </c>
      <c r="F12" s="472">
        <v>9598777205</v>
      </c>
    </row>
    <row r="13" spans="1:6" x14ac:dyDescent="0.25">
      <c r="A13" s="472">
        <v>10</v>
      </c>
      <c r="B13" s="964"/>
      <c r="C13" s="471" t="s">
        <v>1538</v>
      </c>
      <c r="D13" s="471" t="s">
        <v>1297</v>
      </c>
      <c r="E13" s="470" t="s">
        <v>1295</v>
      </c>
      <c r="F13" s="472">
        <v>8295788759</v>
      </c>
    </row>
    <row r="14" spans="1:6" x14ac:dyDescent="0.25">
      <c r="A14" s="472">
        <v>11</v>
      </c>
      <c r="B14" s="964"/>
      <c r="C14" s="471" t="s">
        <v>1541</v>
      </c>
      <c r="D14" s="471" t="s">
        <v>1539</v>
      </c>
      <c r="E14" s="470" t="s">
        <v>1546</v>
      </c>
      <c r="F14" s="472">
        <v>6005356903</v>
      </c>
    </row>
    <row r="15" spans="1:6" x14ac:dyDescent="0.25">
      <c r="A15" s="472">
        <v>12</v>
      </c>
      <c r="B15" s="964"/>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2025-11-03T13:18:02Z</dcterms:modified>
</cp:coreProperties>
</file>